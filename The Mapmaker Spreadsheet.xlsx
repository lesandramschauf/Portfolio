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D:\working\waccache\SN3PEPF00017BE2\EXCELCNV\ba596cc7-ecf7-484b-adb6-0ad113cb26fd\"/>
    </mc:Choice>
  </mc:AlternateContent>
  <xr:revisionPtr revIDLastSave="0" documentId="8_{81BAA466-CD4B-4F27-A1A6-0BC54FDD07D3}" xr6:coauthVersionLast="47" xr6:coauthVersionMax="47" xr10:uidLastSave="{00000000-0000-0000-0000-000000000000}"/>
  <bookViews>
    <workbookView xWindow="-60" yWindow="-60" windowWidth="15480" windowHeight="11640" activeTab="6" xr2:uid="{00000000-000D-0000-FFFF-FFFF00000000}"/>
  </bookViews>
  <sheets>
    <sheet name="Map 1" sheetId="1" r:id="rId1"/>
    <sheet name="Map 2 Dont Touch" sheetId="10" r:id="rId2"/>
    <sheet name="Map 2 Do Touch" sheetId="2" r:id="rId3"/>
    <sheet name="Map 3" sheetId="3" r:id="rId4"/>
    <sheet name="Map 4" sheetId="13" r:id="rId5"/>
    <sheet name="Map 5" sheetId="4" r:id="rId6"/>
    <sheet name="Map 6" sheetId="12" r:id="rId7"/>
    <sheet name="Map Final" sheetId="1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C1" i="12"/>
  <c r="C2" i="4"/>
  <c r="C1" i="4"/>
  <c r="B74" i="1"/>
  <c r="K61" i="1"/>
  <c r="H2" i="1"/>
  <c r="B117" i="1"/>
  <c r="N61" i="1"/>
  <c r="X2" i="1"/>
  <c r="D2" i="1"/>
  <c r="T2" i="1" s="1" a="1"/>
  <c r="T2" i="1" s="1"/>
  <c r="U61" i="1"/>
  <c r="AA2" i="1"/>
  <c r="AD2" i="1" s="1" a="1"/>
  <c r="AD2" i="1" s="1"/>
  <c r="AK2" i="1" a="1"/>
  <c r="AK2" i="1"/>
  <c r="C74" i="1"/>
  <c r="B61" i="1"/>
  <c r="K2" i="1" a="1"/>
  <c r="K2" i="1"/>
  <c r="B19" i="1" s="1" a="1"/>
  <c r="B19" i="1" s="1"/>
  <c r="C117" i="1"/>
  <c r="C19" i="1" a="1"/>
  <c r="C19" i="1"/>
  <c r="D74" i="1"/>
  <c r="D117" i="1"/>
  <c r="D19" i="1" a="1"/>
  <c r="E74" i="1"/>
  <c r="E117" i="1"/>
  <c r="F74" i="1"/>
  <c r="F117" i="1"/>
  <c r="O61" i="1"/>
  <c r="G74" i="1"/>
  <c r="C61" i="1"/>
  <c r="G117" i="1"/>
  <c r="Y2" i="1"/>
  <c r="AE2" i="1" s="1" a="1"/>
  <c r="AE2" i="1" s="1"/>
  <c r="H74" i="1"/>
  <c r="H117" i="1"/>
  <c r="I74" i="1"/>
  <c r="I117" i="1"/>
  <c r="D61" i="1"/>
  <c r="E2" i="1"/>
  <c r="L2" i="1" s="1" a="1"/>
  <c r="L2" i="1" s="1"/>
  <c r="M2" i="1" a="1"/>
  <c r="M2" i="1"/>
  <c r="I19" i="1" a="1"/>
  <c r="J74" i="1"/>
  <c r="J117" i="1"/>
  <c r="J19" i="1" a="1"/>
  <c r="K74" i="1"/>
  <c r="K117" i="1"/>
  <c r="P61" i="1"/>
  <c r="AF2" i="1" a="1"/>
  <c r="AF2" i="1"/>
  <c r="K19" i="1" a="1"/>
  <c r="L74" i="1"/>
  <c r="L117" i="1"/>
  <c r="L19" i="1" a="1"/>
  <c r="M74" i="1"/>
  <c r="E61" i="1"/>
  <c r="F2" i="1"/>
  <c r="N2" i="1" a="1"/>
  <c r="N2" i="1"/>
  <c r="M117" i="1"/>
  <c r="M19" i="1" a="1"/>
  <c r="N74" i="1"/>
  <c r="N117" i="1"/>
  <c r="N19" i="1" a="1"/>
  <c r="O74" i="1"/>
  <c r="O117" i="1"/>
  <c r="O19" i="1" a="1"/>
  <c r="P74" i="1"/>
  <c r="P117" i="1"/>
  <c r="Q61" i="1"/>
  <c r="Z2" i="1"/>
  <c r="AG2" i="1" a="1"/>
  <c r="AG2" i="1"/>
  <c r="P19" i="1" a="1"/>
  <c r="Q74" i="1"/>
  <c r="F61" i="1"/>
  <c r="O2" i="1" a="1"/>
  <c r="O2" i="1"/>
  <c r="Q117" i="1"/>
  <c r="Q19" i="1" a="1"/>
  <c r="R74" i="1"/>
  <c r="R117" i="1"/>
  <c r="R19" i="1" a="1"/>
  <c r="S74" i="1"/>
  <c r="S117" i="1"/>
  <c r="S19" i="1" a="1"/>
  <c r="T74" i="1"/>
  <c r="T117" i="1"/>
  <c r="T19" i="1" a="1"/>
  <c r="U74" i="1"/>
  <c r="G61" i="1"/>
  <c r="G2" i="1"/>
  <c r="P2" i="1" a="1"/>
  <c r="P2" i="1"/>
  <c r="U117" i="1"/>
  <c r="R61" i="1"/>
  <c r="AH2" i="1" a="1"/>
  <c r="AH2" i="1"/>
  <c r="U19" i="1" a="1"/>
  <c r="V74" i="1"/>
  <c r="V117" i="1"/>
  <c r="V19" i="1" a="1"/>
  <c r="W74" i="1"/>
  <c r="W117" i="1"/>
  <c r="W19" i="1" a="1"/>
  <c r="X74" i="1"/>
  <c r="X117" i="1"/>
  <c r="X19" i="1" a="1"/>
  <c r="Y74" i="1"/>
  <c r="Y117" i="1"/>
  <c r="H61" i="1"/>
  <c r="Q2" i="1" a="1"/>
  <c r="Q2" i="1"/>
  <c r="Y19" i="1" a="1"/>
  <c r="Z74" i="1"/>
  <c r="Z117" i="1"/>
  <c r="S61" i="1"/>
  <c r="AI2" i="1" a="1"/>
  <c r="AI2" i="1"/>
  <c r="Z19" i="1" a="1"/>
  <c r="AA74" i="1"/>
  <c r="AA117" i="1"/>
  <c r="AA19" i="1" a="1"/>
  <c r="AB74" i="1"/>
  <c r="AB117" i="1"/>
  <c r="AB19" i="1" a="1"/>
  <c r="AC74" i="1"/>
  <c r="AC117" i="1"/>
  <c r="I61" i="1"/>
  <c r="R2" i="1" a="1"/>
  <c r="R2" i="1"/>
  <c r="AC19" i="1" a="1"/>
  <c r="AD74" i="1"/>
  <c r="AD117" i="1"/>
  <c r="AD19" i="1" a="1"/>
  <c r="AE74" i="1"/>
  <c r="AE117" i="1"/>
  <c r="AF74" i="1"/>
  <c r="AF117" i="1"/>
  <c r="T61" i="1"/>
  <c r="AJ2" i="1" a="1"/>
  <c r="AJ2" i="1"/>
  <c r="AE19" i="1" s="1" a="1"/>
  <c r="AF19" i="1" a="1"/>
  <c r="AG74" i="1"/>
  <c r="AG117" i="1"/>
  <c r="AH74" i="1"/>
  <c r="AH117" i="1"/>
  <c r="J61" i="1"/>
  <c r="S2" i="1" a="1"/>
  <c r="S2" i="1"/>
  <c r="AG19" i="1" s="1" a="1"/>
  <c r="AH19" i="1" a="1"/>
  <c r="AI74" i="1"/>
  <c r="AI117" i="1"/>
  <c r="AI19" i="1" a="1"/>
  <c r="AJ74" i="1"/>
  <c r="AJ117" i="1"/>
  <c r="AJ19" i="1" a="1"/>
  <c r="AK74" i="1"/>
  <c r="AK117" i="1"/>
  <c r="AK19" i="1" a="1"/>
  <c r="AL74" i="1"/>
  <c r="AL117" i="1"/>
  <c r="AL19" i="1" a="1"/>
  <c r="AM74" i="1"/>
  <c r="AM117" i="1"/>
  <c r="AM19" i="1" a="1"/>
  <c r="AN74" i="1"/>
  <c r="AN117" i="1"/>
  <c r="AN19" i="1" a="1"/>
  <c r="AO74" i="1"/>
  <c r="AO117" i="1"/>
  <c r="AO19" i="1" a="1"/>
  <c r="B75" i="1"/>
  <c r="B118" i="1"/>
  <c r="B20" i="1" a="1"/>
  <c r="C75" i="1"/>
  <c r="C118" i="1"/>
  <c r="C20" i="1" a="1"/>
  <c r="D75" i="1"/>
  <c r="D118" i="1"/>
  <c r="D20" i="1" a="1"/>
  <c r="E75" i="1"/>
  <c r="E118" i="1"/>
  <c r="E20" i="1" a="1"/>
  <c r="F75" i="1"/>
  <c r="F118" i="1"/>
  <c r="F20" i="1" a="1"/>
  <c r="G75" i="1"/>
  <c r="G118" i="1"/>
  <c r="G20" i="1" a="1"/>
  <c r="H75" i="1"/>
  <c r="H118" i="1"/>
  <c r="H20" i="1" a="1"/>
  <c r="I75" i="1"/>
  <c r="I118" i="1"/>
  <c r="I20" i="1" a="1"/>
  <c r="J75" i="1"/>
  <c r="J118" i="1"/>
  <c r="J20" i="1" a="1"/>
  <c r="K75" i="1"/>
  <c r="K118" i="1"/>
  <c r="K20" i="1" a="1"/>
  <c r="L75" i="1"/>
  <c r="L118" i="1"/>
  <c r="L20" i="1" a="1"/>
  <c r="M75" i="1"/>
  <c r="M118" i="1"/>
  <c r="M20" i="1" a="1"/>
  <c r="N75" i="1"/>
  <c r="N118" i="1"/>
  <c r="N20" i="1" a="1"/>
  <c r="O75" i="1"/>
  <c r="O118" i="1"/>
  <c r="O20" i="1" a="1"/>
  <c r="P75" i="1"/>
  <c r="P118" i="1"/>
  <c r="P20" i="1" a="1"/>
  <c r="Q75" i="1"/>
  <c r="Q118" i="1"/>
  <c r="Q20" i="1" a="1"/>
  <c r="R75" i="1"/>
  <c r="R118" i="1"/>
  <c r="R20" i="1" a="1"/>
  <c r="S75" i="1"/>
  <c r="S118" i="1"/>
  <c r="S20" i="1" a="1"/>
  <c r="T75" i="1"/>
  <c r="T118" i="1"/>
  <c r="T20" i="1" a="1"/>
  <c r="U75" i="1"/>
  <c r="U118" i="1"/>
  <c r="U20" i="1" a="1"/>
  <c r="V75" i="1"/>
  <c r="V118" i="1"/>
  <c r="V20" i="1" a="1"/>
  <c r="W75" i="1"/>
  <c r="W118" i="1"/>
  <c r="W20" i="1" a="1"/>
  <c r="X75" i="1"/>
  <c r="X118" i="1"/>
  <c r="X20" i="1" a="1"/>
  <c r="Y75" i="1"/>
  <c r="Y118" i="1"/>
  <c r="Y20" i="1" a="1"/>
  <c r="Z75" i="1"/>
  <c r="Z118" i="1"/>
  <c r="Z20" i="1" a="1"/>
  <c r="AA75" i="1"/>
  <c r="AA118" i="1"/>
  <c r="AA20" i="1" a="1"/>
  <c r="AB75" i="1"/>
  <c r="AB118" i="1"/>
  <c r="AB20" i="1" a="1"/>
  <c r="AC75" i="1"/>
  <c r="AC118" i="1"/>
  <c r="AC20" i="1" a="1"/>
  <c r="AD75" i="1"/>
  <c r="AD118" i="1"/>
  <c r="AD20" i="1" a="1"/>
  <c r="AE75" i="1"/>
  <c r="AE118" i="1"/>
  <c r="AE20" i="1" a="1"/>
  <c r="AF75" i="1"/>
  <c r="AF118" i="1"/>
  <c r="AF20" i="1" a="1"/>
  <c r="AG75" i="1"/>
  <c r="AG118" i="1"/>
  <c r="AG20" i="1" a="1"/>
  <c r="AH75" i="1"/>
  <c r="AH118" i="1"/>
  <c r="AH20" i="1" a="1"/>
  <c r="AI75" i="1"/>
  <c r="AI118" i="1"/>
  <c r="AI20" i="1" a="1"/>
  <c r="AJ75" i="1"/>
  <c r="AJ118" i="1"/>
  <c r="AJ20" i="1" a="1"/>
  <c r="AK75" i="1"/>
  <c r="AK118" i="1"/>
  <c r="AK20" i="1" a="1"/>
  <c r="AL75" i="1"/>
  <c r="AL118" i="1"/>
  <c r="AL20" i="1" a="1"/>
  <c r="AM75" i="1"/>
  <c r="AM118" i="1"/>
  <c r="AM20" i="1" a="1"/>
  <c r="AN75" i="1"/>
  <c r="AN118" i="1"/>
  <c r="AN20" i="1" a="1"/>
  <c r="AO75" i="1"/>
  <c r="AO118" i="1"/>
  <c r="AO20" i="1" a="1"/>
  <c r="B76" i="1"/>
  <c r="B119" i="1"/>
  <c r="B21" i="1" a="1"/>
  <c r="C76" i="1"/>
  <c r="C119" i="1"/>
  <c r="C21" i="1" a="1"/>
  <c r="D76" i="1"/>
  <c r="D119" i="1"/>
  <c r="D21" i="1" a="1"/>
  <c r="E76" i="1"/>
  <c r="E119" i="1"/>
  <c r="E21" i="1" a="1"/>
  <c r="F76" i="1"/>
  <c r="F119" i="1"/>
  <c r="F21" i="1" a="1"/>
  <c r="G76" i="1"/>
  <c r="G119" i="1"/>
  <c r="G21" i="1" a="1"/>
  <c r="H76" i="1"/>
  <c r="H119" i="1"/>
  <c r="H21" i="1" a="1"/>
  <c r="I76" i="1"/>
  <c r="I119" i="1"/>
  <c r="I21" i="1" a="1"/>
  <c r="J76" i="1"/>
  <c r="J119" i="1"/>
  <c r="J21" i="1" a="1"/>
  <c r="K76" i="1"/>
  <c r="K119" i="1"/>
  <c r="K21" i="1" a="1"/>
  <c r="L76" i="1"/>
  <c r="L119" i="1"/>
  <c r="L21" i="1" a="1"/>
  <c r="M76" i="1"/>
  <c r="M119" i="1"/>
  <c r="M21" i="1" a="1"/>
  <c r="N76" i="1"/>
  <c r="N119" i="1"/>
  <c r="N21" i="1" a="1"/>
  <c r="O76" i="1"/>
  <c r="O119" i="1"/>
  <c r="O21" i="1" a="1"/>
  <c r="P76" i="1"/>
  <c r="P119" i="1"/>
  <c r="P21" i="1" a="1"/>
  <c r="Q76" i="1"/>
  <c r="Q119" i="1"/>
  <c r="Q21" i="1" a="1"/>
  <c r="R76" i="1"/>
  <c r="R119" i="1"/>
  <c r="R21" i="1" a="1"/>
  <c r="S76" i="1"/>
  <c r="S119" i="1"/>
  <c r="S21" i="1" a="1"/>
  <c r="T76" i="1"/>
  <c r="T119" i="1"/>
  <c r="T21" i="1" a="1"/>
  <c r="U76" i="1"/>
  <c r="U119" i="1"/>
  <c r="U21" i="1" a="1"/>
  <c r="V76" i="1"/>
  <c r="V119" i="1"/>
  <c r="V21" i="1" a="1"/>
  <c r="W76" i="1"/>
  <c r="W119" i="1"/>
  <c r="W21" i="1" a="1"/>
  <c r="X76" i="1"/>
  <c r="X119" i="1"/>
  <c r="X21" i="1" a="1"/>
  <c r="Y76" i="1"/>
  <c r="Y119" i="1"/>
  <c r="Y21" i="1" a="1"/>
  <c r="Z76" i="1"/>
  <c r="Z119" i="1"/>
  <c r="Z21" i="1" a="1"/>
  <c r="AA76" i="1"/>
  <c r="AA119" i="1"/>
  <c r="AA21" i="1" a="1"/>
  <c r="AB76" i="1"/>
  <c r="AB119" i="1"/>
  <c r="AB21" i="1" a="1"/>
  <c r="AC76" i="1"/>
  <c r="AC119" i="1"/>
  <c r="AC21" i="1" a="1"/>
  <c r="AD76" i="1"/>
  <c r="AD119" i="1"/>
  <c r="AD21" i="1" a="1"/>
  <c r="AE76" i="1"/>
  <c r="AE119" i="1"/>
  <c r="AE21" i="1" a="1"/>
  <c r="AF76" i="1"/>
  <c r="AF119" i="1"/>
  <c r="AF21" i="1" a="1"/>
  <c r="AG76" i="1"/>
  <c r="AG119" i="1"/>
  <c r="AG21" i="1" a="1"/>
  <c r="AH76" i="1"/>
  <c r="AH119" i="1"/>
  <c r="AH21" i="1" a="1"/>
  <c r="AI76" i="1"/>
  <c r="AI119" i="1"/>
  <c r="AI21" i="1" a="1"/>
  <c r="AJ76" i="1"/>
  <c r="AJ119" i="1"/>
  <c r="AJ21" i="1" a="1"/>
  <c r="AK76" i="1"/>
  <c r="AK119" i="1"/>
  <c r="AK21" i="1" a="1"/>
  <c r="AL76" i="1"/>
  <c r="AL119" i="1"/>
  <c r="AL21" i="1" a="1"/>
  <c r="AM76" i="1"/>
  <c r="AM119" i="1"/>
  <c r="AM21" i="1" a="1"/>
  <c r="AN76" i="1"/>
  <c r="AN119" i="1"/>
  <c r="AN21" i="1" a="1"/>
  <c r="AO76" i="1"/>
  <c r="AO119" i="1"/>
  <c r="AO21" i="1" a="1"/>
  <c r="B77" i="1"/>
  <c r="B120" i="1"/>
  <c r="C77" i="1"/>
  <c r="B62" i="1"/>
  <c r="C120" i="1"/>
  <c r="D77" i="1"/>
  <c r="D120" i="1"/>
  <c r="E77" i="1"/>
  <c r="E120" i="1"/>
  <c r="F77" i="1"/>
  <c r="F120" i="1"/>
  <c r="G77" i="1"/>
  <c r="C62" i="1"/>
  <c r="E3" i="1"/>
  <c r="G120" i="1"/>
  <c r="H77" i="1"/>
  <c r="H120" i="1"/>
  <c r="I77" i="1"/>
  <c r="I120" i="1"/>
  <c r="J77" i="1"/>
  <c r="J120" i="1"/>
  <c r="K77" i="1"/>
  <c r="D62" i="1"/>
  <c r="D3" i="1"/>
  <c r="L3" i="1" s="1" a="1"/>
  <c r="L3" i="1" s="1"/>
  <c r="M3" i="1" a="1"/>
  <c r="M3" i="1"/>
  <c r="K120" i="1"/>
  <c r="K22" i="1" a="1"/>
  <c r="L77" i="1"/>
  <c r="L120" i="1"/>
  <c r="L22" i="1" a="1"/>
  <c r="M77" i="1"/>
  <c r="M120" i="1"/>
  <c r="N77" i="1"/>
  <c r="N120" i="1"/>
  <c r="E62" i="1"/>
  <c r="O77" i="1"/>
  <c r="O120" i="1"/>
  <c r="P77" i="1"/>
  <c r="P120" i="1"/>
  <c r="Q77" i="1"/>
  <c r="Q120" i="1"/>
  <c r="R77" i="1"/>
  <c r="R120" i="1"/>
  <c r="S77" i="1"/>
  <c r="S120" i="1"/>
  <c r="F62" i="1"/>
  <c r="F3" i="1"/>
  <c r="N3" i="1" s="1" a="1"/>
  <c r="N3" i="1" s="1"/>
  <c r="M22" i="1" s="1" a="1"/>
  <c r="O3" i="1" a="1"/>
  <c r="O3" i="1"/>
  <c r="R22" i="1" s="1" a="1"/>
  <c r="S22" i="1" a="1"/>
  <c r="T77" i="1"/>
  <c r="T120" i="1"/>
  <c r="T22" i="1" a="1"/>
  <c r="U77" i="1"/>
  <c r="U120" i="1"/>
  <c r="V77" i="1"/>
  <c r="V120" i="1"/>
  <c r="W77" i="1"/>
  <c r="G62" i="1"/>
  <c r="G3" i="1"/>
  <c r="P3" i="1" a="1"/>
  <c r="P3" i="1"/>
  <c r="W120" i="1"/>
  <c r="W22" i="1" a="1"/>
  <c r="X77" i="1"/>
  <c r="X120" i="1"/>
  <c r="X22" i="1" a="1"/>
  <c r="Y77" i="1"/>
  <c r="Y120" i="1"/>
  <c r="H62" i="1"/>
  <c r="Q3" i="1" a="1"/>
  <c r="Q3" i="1"/>
  <c r="Y22" i="1" a="1"/>
  <c r="Z77" i="1"/>
  <c r="Z120" i="1"/>
  <c r="Z22" i="1" a="1"/>
  <c r="AA77" i="1"/>
  <c r="AA120" i="1"/>
  <c r="AA22" i="1" a="1"/>
  <c r="AB77" i="1"/>
  <c r="AB120" i="1"/>
  <c r="AB22" i="1" a="1"/>
  <c r="AC77" i="1"/>
  <c r="AC120" i="1"/>
  <c r="AD77" i="1"/>
  <c r="AD120" i="1"/>
  <c r="I62" i="1"/>
  <c r="AE77" i="1"/>
  <c r="AE120" i="1"/>
  <c r="AF77" i="1"/>
  <c r="AF120" i="1"/>
  <c r="AG77" i="1"/>
  <c r="AG120" i="1"/>
  <c r="AH77" i="1"/>
  <c r="J62" i="1"/>
  <c r="S3" i="1" a="1"/>
  <c r="S3" i="1"/>
  <c r="AH120" i="1"/>
  <c r="AI77" i="1"/>
  <c r="AI120" i="1"/>
  <c r="AI22" i="1" a="1"/>
  <c r="AJ77" i="1"/>
  <c r="AJ120" i="1"/>
  <c r="AJ22" i="1" a="1"/>
  <c r="AK77" i="1"/>
  <c r="AK120" i="1"/>
  <c r="AL77" i="1"/>
  <c r="AL120" i="1"/>
  <c r="K62" i="1"/>
  <c r="AM77" i="1"/>
  <c r="AM120" i="1"/>
  <c r="AN77" i="1"/>
  <c r="AN120" i="1"/>
  <c r="AO77" i="1"/>
  <c r="AO120" i="1"/>
  <c r="B78" i="1"/>
  <c r="B121" i="1"/>
  <c r="N62" i="1"/>
  <c r="X3" i="1"/>
  <c r="C78" i="1"/>
  <c r="C121" i="1"/>
  <c r="D78" i="1"/>
  <c r="D121" i="1"/>
  <c r="E78" i="1"/>
  <c r="E121" i="1"/>
  <c r="F78" i="1"/>
  <c r="F121" i="1"/>
  <c r="G78" i="1"/>
  <c r="G121" i="1"/>
  <c r="O62" i="1"/>
  <c r="H78" i="1"/>
  <c r="H121" i="1"/>
  <c r="I78" i="1"/>
  <c r="I121" i="1"/>
  <c r="J78" i="1"/>
  <c r="J121" i="1"/>
  <c r="K78" i="1"/>
  <c r="K121" i="1"/>
  <c r="L78" i="1"/>
  <c r="L121" i="1"/>
  <c r="P62" i="1"/>
  <c r="Y3" i="1"/>
  <c r="AE3" i="1" s="1" a="1"/>
  <c r="AE3" i="1" s="1"/>
  <c r="G23" i="1" s="1" a="1"/>
  <c r="AF3" i="1" a="1"/>
  <c r="AF3" i="1"/>
  <c r="L23" i="1" a="1"/>
  <c r="M78" i="1"/>
  <c r="M121" i="1"/>
  <c r="M23" i="1" a="1"/>
  <c r="N78" i="1"/>
  <c r="N121" i="1"/>
  <c r="N23" i="1" a="1"/>
  <c r="O78" i="1"/>
  <c r="O121" i="1"/>
  <c r="O23" i="1" a="1"/>
  <c r="P78" i="1"/>
  <c r="P121" i="1"/>
  <c r="Q78" i="1"/>
  <c r="Q121" i="1"/>
  <c r="Q23" i="1" a="1"/>
  <c r="R78" i="1"/>
  <c r="R121" i="1"/>
  <c r="S78" i="1"/>
  <c r="S121" i="1"/>
  <c r="T78" i="1"/>
  <c r="T121" i="1"/>
  <c r="Q62" i="1"/>
  <c r="Z3" i="1"/>
  <c r="AG3" i="1" a="1"/>
  <c r="AG3" i="1"/>
  <c r="S23" i="1" s="1" a="1"/>
  <c r="T23" i="1" a="1"/>
  <c r="U78" i="1"/>
  <c r="U121" i="1"/>
  <c r="V78" i="1"/>
  <c r="V121" i="1"/>
  <c r="W78" i="1"/>
  <c r="W121" i="1"/>
  <c r="R62" i="1"/>
  <c r="AH3" i="1" a="1"/>
  <c r="AH3" i="1"/>
  <c r="W23" i="1" a="1"/>
  <c r="X78" i="1"/>
  <c r="X121" i="1"/>
  <c r="X23" i="1" a="1"/>
  <c r="Y78" i="1"/>
  <c r="Y121" i="1"/>
  <c r="Y23" i="1" a="1"/>
  <c r="Z78" i="1"/>
  <c r="Z121" i="1"/>
  <c r="AA78" i="1"/>
  <c r="AA121" i="1"/>
  <c r="S62" i="1"/>
  <c r="AB78" i="1"/>
  <c r="AB121" i="1"/>
  <c r="AC78" i="1"/>
  <c r="AC121" i="1"/>
  <c r="AD78" i="1"/>
  <c r="AD121" i="1"/>
  <c r="AE78" i="1"/>
  <c r="AE121" i="1"/>
  <c r="T62" i="1"/>
  <c r="AA3" i="1"/>
  <c r="AJ3" i="1" a="1"/>
  <c r="AJ3" i="1"/>
  <c r="AF78" i="1"/>
  <c r="AF121" i="1"/>
  <c r="AG78" i="1"/>
  <c r="AG121" i="1"/>
  <c r="AH78" i="1"/>
  <c r="AH121" i="1"/>
  <c r="AI78" i="1"/>
  <c r="AI121" i="1"/>
  <c r="AI23" i="1" a="1"/>
  <c r="AJ78" i="1"/>
  <c r="AJ121" i="1"/>
  <c r="AK78" i="1"/>
  <c r="AK121" i="1"/>
  <c r="U62" i="1"/>
  <c r="AK3" i="1" a="1"/>
  <c r="AK3" i="1"/>
  <c r="AJ23" i="1" s="1" a="1"/>
  <c r="AL78" i="1"/>
  <c r="AL121" i="1"/>
  <c r="AM78" i="1"/>
  <c r="AM121" i="1"/>
  <c r="AN78" i="1"/>
  <c r="AN121" i="1"/>
  <c r="AO78" i="1"/>
  <c r="AO121" i="1"/>
  <c r="B79" i="1"/>
  <c r="B122" i="1"/>
  <c r="C79" i="1"/>
  <c r="C122" i="1"/>
  <c r="D79" i="1"/>
  <c r="D122" i="1"/>
  <c r="E79" i="1"/>
  <c r="E122" i="1"/>
  <c r="F79" i="1"/>
  <c r="F122" i="1"/>
  <c r="G79" i="1"/>
  <c r="G122" i="1"/>
  <c r="G24" i="1" a="1"/>
  <c r="H79" i="1"/>
  <c r="H122" i="1"/>
  <c r="H24" i="1" a="1"/>
  <c r="I79" i="1"/>
  <c r="I122" i="1"/>
  <c r="I24" i="1" a="1"/>
  <c r="J79" i="1"/>
  <c r="J122" i="1"/>
  <c r="J24" i="1" a="1"/>
  <c r="K79" i="1"/>
  <c r="K122" i="1"/>
  <c r="K24" i="1" a="1"/>
  <c r="L79" i="1"/>
  <c r="L122" i="1"/>
  <c r="L24" i="1" a="1"/>
  <c r="M79" i="1"/>
  <c r="M122" i="1"/>
  <c r="M24" i="1" a="1"/>
  <c r="N79" i="1"/>
  <c r="N122" i="1"/>
  <c r="N24" i="1" a="1"/>
  <c r="O79" i="1"/>
  <c r="O122" i="1"/>
  <c r="O24" i="1" a="1"/>
  <c r="P79" i="1"/>
  <c r="P122" i="1"/>
  <c r="P24" i="1" a="1"/>
  <c r="Q79" i="1"/>
  <c r="Q122" i="1"/>
  <c r="Q24" i="1" a="1"/>
  <c r="R79" i="1"/>
  <c r="R122" i="1"/>
  <c r="R24" i="1" a="1"/>
  <c r="S79" i="1"/>
  <c r="S122" i="1"/>
  <c r="S24" i="1" a="1"/>
  <c r="T79" i="1"/>
  <c r="T122" i="1"/>
  <c r="T24" i="1" a="1"/>
  <c r="U79" i="1"/>
  <c r="U122" i="1"/>
  <c r="U24" i="1" a="1"/>
  <c r="V79" i="1"/>
  <c r="V122" i="1"/>
  <c r="V24" i="1" a="1"/>
  <c r="W79" i="1"/>
  <c r="W122" i="1"/>
  <c r="W24" i="1" a="1"/>
  <c r="X79" i="1"/>
  <c r="X122" i="1"/>
  <c r="X24" i="1" a="1"/>
  <c r="Y79" i="1"/>
  <c r="Y122" i="1"/>
  <c r="Y24" i="1" a="1"/>
  <c r="Z79" i="1"/>
  <c r="Z122" i="1"/>
  <c r="Z24" i="1" a="1"/>
  <c r="AA79" i="1"/>
  <c r="AA122" i="1"/>
  <c r="AA24" i="1" a="1"/>
  <c r="AB79" i="1"/>
  <c r="AB122" i="1"/>
  <c r="AC79" i="1"/>
  <c r="AC122" i="1"/>
  <c r="AD79" i="1"/>
  <c r="AD122" i="1"/>
  <c r="AE79" i="1"/>
  <c r="AE122" i="1"/>
  <c r="AF79" i="1"/>
  <c r="AF122" i="1"/>
  <c r="AG79" i="1"/>
  <c r="AG122" i="1"/>
  <c r="AH79" i="1"/>
  <c r="AH122" i="1"/>
  <c r="AI79" i="1"/>
  <c r="AI122" i="1"/>
  <c r="AI24" i="1" a="1"/>
  <c r="AJ79" i="1"/>
  <c r="AJ122" i="1"/>
  <c r="AJ24" i="1" a="1"/>
  <c r="AK79" i="1"/>
  <c r="AK122" i="1"/>
  <c r="AL79" i="1"/>
  <c r="AL122" i="1"/>
  <c r="AM79" i="1"/>
  <c r="AM122" i="1"/>
  <c r="AN79" i="1"/>
  <c r="AN122" i="1"/>
  <c r="AO79" i="1"/>
  <c r="AO122" i="1"/>
  <c r="B80" i="1"/>
  <c r="B123" i="1"/>
  <c r="C80" i="1"/>
  <c r="C123" i="1"/>
  <c r="D80" i="1"/>
  <c r="D123" i="1"/>
  <c r="E80" i="1"/>
  <c r="E123" i="1"/>
  <c r="F80" i="1"/>
  <c r="F123" i="1"/>
  <c r="G80" i="1"/>
  <c r="G123" i="1"/>
  <c r="G25" i="1" a="1"/>
  <c r="H80" i="1"/>
  <c r="H123" i="1"/>
  <c r="H25" i="1" a="1"/>
  <c r="I80" i="1"/>
  <c r="I123" i="1"/>
  <c r="I25" i="1" a="1"/>
  <c r="J80" i="1"/>
  <c r="J123" i="1"/>
  <c r="J25" i="1" a="1"/>
  <c r="K80" i="1"/>
  <c r="K123" i="1"/>
  <c r="K25" i="1" a="1"/>
  <c r="L80" i="1"/>
  <c r="L123" i="1"/>
  <c r="L25" i="1" a="1"/>
  <c r="M80" i="1"/>
  <c r="M123" i="1"/>
  <c r="M25" i="1" a="1"/>
  <c r="N80" i="1"/>
  <c r="N123" i="1"/>
  <c r="N25" i="1" a="1"/>
  <c r="O80" i="1"/>
  <c r="O123" i="1"/>
  <c r="O25" i="1" a="1"/>
  <c r="P80" i="1"/>
  <c r="P123" i="1"/>
  <c r="P25" i="1" a="1"/>
  <c r="Q80" i="1"/>
  <c r="Q123" i="1"/>
  <c r="Q25" i="1" a="1"/>
  <c r="R80" i="1"/>
  <c r="R123" i="1"/>
  <c r="R25" i="1" a="1"/>
  <c r="S80" i="1"/>
  <c r="S123" i="1"/>
  <c r="S25" i="1" a="1"/>
  <c r="T80" i="1"/>
  <c r="T123" i="1"/>
  <c r="T25" i="1" a="1"/>
  <c r="U80" i="1"/>
  <c r="U123" i="1"/>
  <c r="U25" i="1" a="1"/>
  <c r="V80" i="1"/>
  <c r="V123" i="1"/>
  <c r="V25" i="1" a="1"/>
  <c r="W80" i="1"/>
  <c r="W123" i="1"/>
  <c r="W25" i="1" a="1"/>
  <c r="X80" i="1"/>
  <c r="X123" i="1"/>
  <c r="X25" i="1" a="1"/>
  <c r="Y80" i="1"/>
  <c r="Y123" i="1"/>
  <c r="Y25" i="1" a="1"/>
  <c r="Z80" i="1"/>
  <c r="Z123" i="1"/>
  <c r="Z25" i="1" a="1"/>
  <c r="AA80" i="1"/>
  <c r="AA123" i="1"/>
  <c r="AB80" i="1"/>
  <c r="AB123" i="1"/>
  <c r="AC80" i="1"/>
  <c r="AC123" i="1"/>
  <c r="AD80" i="1"/>
  <c r="AD123" i="1"/>
  <c r="AE80" i="1"/>
  <c r="AE123" i="1"/>
  <c r="AF80" i="1"/>
  <c r="AF123" i="1"/>
  <c r="AG80" i="1"/>
  <c r="AG123" i="1"/>
  <c r="AH80" i="1"/>
  <c r="AH123" i="1"/>
  <c r="AI80" i="1"/>
  <c r="AI123" i="1"/>
  <c r="AI25" i="1" a="1"/>
  <c r="AJ80" i="1"/>
  <c r="AJ123" i="1"/>
  <c r="AJ25" i="1" a="1"/>
  <c r="AK80" i="1"/>
  <c r="AK123" i="1"/>
  <c r="AL80" i="1"/>
  <c r="AL123" i="1"/>
  <c r="AM80" i="1"/>
  <c r="AM123" i="1"/>
  <c r="AN80" i="1"/>
  <c r="AN123" i="1"/>
  <c r="AO80" i="1"/>
  <c r="AO123" i="1"/>
  <c r="B81" i="1"/>
  <c r="B63" i="1"/>
  <c r="H3" i="1"/>
  <c r="T3" i="1" s="1" a="1"/>
  <c r="T3" i="1" s="1"/>
  <c r="AK23" i="1" s="1" a="1"/>
  <c r="K4" i="1" a="1"/>
  <c r="K4" i="1"/>
  <c r="B124" i="1"/>
  <c r="C81" i="1"/>
  <c r="C124" i="1"/>
  <c r="D81" i="1"/>
  <c r="D124" i="1"/>
  <c r="E81" i="1"/>
  <c r="E124" i="1"/>
  <c r="F81" i="1"/>
  <c r="F124" i="1"/>
  <c r="C63" i="1"/>
  <c r="L4" i="1" a="1"/>
  <c r="L4" i="1"/>
  <c r="G81" i="1"/>
  <c r="G124" i="1"/>
  <c r="G26" i="1" a="1"/>
  <c r="H81" i="1"/>
  <c r="H124" i="1"/>
  <c r="H26" i="1" a="1"/>
  <c r="I81" i="1"/>
  <c r="I124" i="1"/>
  <c r="D63" i="1"/>
  <c r="M4" i="1" a="1"/>
  <c r="M4" i="1"/>
  <c r="I26" i="1" a="1"/>
  <c r="J81" i="1"/>
  <c r="J124" i="1"/>
  <c r="J26" i="1" a="1"/>
  <c r="K81" i="1"/>
  <c r="K124" i="1"/>
  <c r="K26" i="1" a="1"/>
  <c r="L81" i="1"/>
  <c r="L124" i="1"/>
  <c r="L26" i="1" a="1"/>
  <c r="M81" i="1"/>
  <c r="M124" i="1"/>
  <c r="N81" i="1"/>
  <c r="N124" i="1"/>
  <c r="E63" i="1"/>
  <c r="N4" i="1" a="1"/>
  <c r="N4" i="1"/>
  <c r="M26" i="1" s="1" a="1"/>
  <c r="N26" i="1" a="1"/>
  <c r="O81" i="1"/>
  <c r="O124" i="1"/>
  <c r="O26" i="1" a="1"/>
  <c r="P81" i="1"/>
  <c r="P124" i="1"/>
  <c r="P26" i="1" a="1"/>
  <c r="Q81" i="1"/>
  <c r="Q124" i="1"/>
  <c r="R81" i="1"/>
  <c r="R124" i="1"/>
  <c r="F63" i="1"/>
  <c r="O4" i="1" a="1"/>
  <c r="O4" i="1"/>
  <c r="Q26" i="1" s="1" a="1"/>
  <c r="R26" i="1" a="1"/>
  <c r="S81" i="1"/>
  <c r="S124" i="1"/>
  <c r="S26" i="1" a="1"/>
  <c r="T81" i="1"/>
  <c r="T124" i="1"/>
  <c r="T26" i="1" a="1"/>
  <c r="U81" i="1"/>
  <c r="U124" i="1"/>
  <c r="V81" i="1"/>
  <c r="G63" i="1"/>
  <c r="P4" i="1" a="1"/>
  <c r="P4" i="1"/>
  <c r="U26" i="1" s="1" a="1"/>
  <c r="V124" i="1"/>
  <c r="V26" i="1" a="1"/>
  <c r="W81" i="1"/>
  <c r="W124" i="1"/>
  <c r="W26" i="1" a="1"/>
  <c r="X81" i="1"/>
  <c r="X124" i="1"/>
  <c r="X26" i="1" a="1"/>
  <c r="Y81" i="1"/>
  <c r="Y124" i="1"/>
  <c r="H63" i="1"/>
  <c r="Q4" i="1" a="1"/>
  <c r="Q4" i="1"/>
  <c r="Y26" i="1" a="1"/>
  <c r="Z81" i="1"/>
  <c r="Z124" i="1"/>
  <c r="Z26" i="1" a="1"/>
  <c r="AA81" i="1"/>
  <c r="AA124" i="1"/>
  <c r="AB81" i="1"/>
  <c r="AB124" i="1"/>
  <c r="AC81" i="1"/>
  <c r="AC124" i="1"/>
  <c r="AD81" i="1"/>
  <c r="AD124" i="1"/>
  <c r="I63" i="1"/>
  <c r="R4" i="1" a="1"/>
  <c r="R4" i="1"/>
  <c r="AE81" i="1"/>
  <c r="AE124" i="1"/>
  <c r="AF81" i="1"/>
  <c r="AF124" i="1"/>
  <c r="AG81" i="1"/>
  <c r="AG124" i="1"/>
  <c r="AH81" i="1"/>
  <c r="AH124" i="1"/>
  <c r="AI81" i="1"/>
  <c r="J63" i="1"/>
  <c r="S4" i="1" a="1"/>
  <c r="S4" i="1"/>
  <c r="AI124" i="1"/>
  <c r="AI26" i="1" a="1"/>
  <c r="AJ81" i="1"/>
  <c r="AJ124" i="1"/>
  <c r="AJ26" i="1" a="1"/>
  <c r="AK81" i="1"/>
  <c r="AK124" i="1"/>
  <c r="AL81" i="1"/>
  <c r="AL124" i="1"/>
  <c r="AM81" i="1"/>
  <c r="AM124" i="1"/>
  <c r="AN81" i="1"/>
  <c r="AN124" i="1"/>
  <c r="K63" i="1"/>
  <c r="T4" i="1" a="1"/>
  <c r="T4" i="1"/>
  <c r="AK26" i="1" s="1" a="1"/>
  <c r="AN26" i="1" a="1"/>
  <c r="AO81" i="1"/>
  <c r="AO124" i="1"/>
  <c r="B82" i="1"/>
  <c r="B125" i="1"/>
  <c r="C82" i="1"/>
  <c r="C125" i="1"/>
  <c r="D82" i="1"/>
  <c r="D125" i="1"/>
  <c r="E82" i="1"/>
  <c r="E125" i="1"/>
  <c r="F82" i="1"/>
  <c r="F125" i="1"/>
  <c r="G82" i="1"/>
  <c r="G125" i="1"/>
  <c r="G27" i="1" a="1"/>
  <c r="H82" i="1"/>
  <c r="H125" i="1"/>
  <c r="H27" i="1" a="1"/>
  <c r="I82" i="1"/>
  <c r="I125" i="1"/>
  <c r="I27" i="1" a="1"/>
  <c r="J82" i="1"/>
  <c r="J125" i="1"/>
  <c r="J27" i="1" a="1"/>
  <c r="K82" i="1"/>
  <c r="K125" i="1"/>
  <c r="K27" i="1" a="1"/>
  <c r="L82" i="1"/>
  <c r="L125" i="1"/>
  <c r="L27" i="1" a="1"/>
  <c r="M82" i="1"/>
  <c r="M125" i="1"/>
  <c r="M27" i="1" a="1"/>
  <c r="N82" i="1"/>
  <c r="N125" i="1"/>
  <c r="N27" i="1" a="1"/>
  <c r="O82" i="1"/>
  <c r="O125" i="1"/>
  <c r="O27" i="1" a="1"/>
  <c r="P82" i="1"/>
  <c r="P125" i="1"/>
  <c r="P27" i="1" a="1"/>
  <c r="Q82" i="1"/>
  <c r="Q125" i="1"/>
  <c r="Q27" i="1" a="1"/>
  <c r="R82" i="1"/>
  <c r="R125" i="1"/>
  <c r="R27" i="1" a="1"/>
  <c r="S82" i="1"/>
  <c r="S125" i="1"/>
  <c r="S27" i="1" a="1"/>
  <c r="T82" i="1"/>
  <c r="T125" i="1"/>
  <c r="T27" i="1" a="1"/>
  <c r="U82" i="1"/>
  <c r="U125" i="1"/>
  <c r="U27" i="1" a="1"/>
  <c r="V82" i="1"/>
  <c r="V125" i="1"/>
  <c r="V27" i="1" a="1"/>
  <c r="W82" i="1"/>
  <c r="W125" i="1"/>
  <c r="W27" i="1" a="1"/>
  <c r="X82" i="1"/>
  <c r="X125" i="1"/>
  <c r="X27" i="1" a="1"/>
  <c r="Y82" i="1"/>
  <c r="Y125" i="1"/>
  <c r="Y27" i="1" a="1"/>
  <c r="Z82" i="1"/>
  <c r="Z125" i="1"/>
  <c r="Z27" i="1" a="1"/>
  <c r="AA82" i="1"/>
  <c r="AA125" i="1"/>
  <c r="AB82" i="1"/>
  <c r="AB125" i="1"/>
  <c r="AC82" i="1"/>
  <c r="AC125" i="1"/>
  <c r="AD82" i="1"/>
  <c r="AD125" i="1"/>
  <c r="AE82" i="1"/>
  <c r="AE125" i="1"/>
  <c r="AF82" i="1"/>
  <c r="AF125" i="1"/>
  <c r="AG82" i="1"/>
  <c r="AG125" i="1"/>
  <c r="AH82" i="1"/>
  <c r="AH125" i="1"/>
  <c r="AH27" i="1" a="1"/>
  <c r="AI82" i="1"/>
  <c r="AI125" i="1"/>
  <c r="AI27" i="1" a="1"/>
  <c r="AJ82" i="1"/>
  <c r="AJ125" i="1"/>
  <c r="AJ27" i="1" a="1"/>
  <c r="AK82" i="1"/>
  <c r="AK125" i="1"/>
  <c r="AK27" i="1" a="1"/>
  <c r="AL82" i="1"/>
  <c r="AL125" i="1"/>
  <c r="AL27" i="1" a="1"/>
  <c r="AM82" i="1"/>
  <c r="AM125" i="1"/>
  <c r="AM27" i="1" a="1"/>
  <c r="AN82" i="1"/>
  <c r="AN125" i="1"/>
  <c r="AN27" i="1" a="1"/>
  <c r="AO82" i="1"/>
  <c r="AO125" i="1"/>
  <c r="B83" i="1"/>
  <c r="B126" i="1"/>
  <c r="N63" i="1"/>
  <c r="AD4" i="1" a="1"/>
  <c r="AD4" i="1"/>
  <c r="C83" i="1"/>
  <c r="C126" i="1"/>
  <c r="D83" i="1"/>
  <c r="D126" i="1"/>
  <c r="E83" i="1"/>
  <c r="E126" i="1"/>
  <c r="F83" i="1"/>
  <c r="F126" i="1"/>
  <c r="G83" i="1"/>
  <c r="G126" i="1"/>
  <c r="O63" i="1"/>
  <c r="AE4" i="1" a="1"/>
  <c r="AE4" i="1"/>
  <c r="H83" i="1"/>
  <c r="H126" i="1"/>
  <c r="H28" i="1" a="1"/>
  <c r="I83" i="1"/>
  <c r="I126" i="1"/>
  <c r="I28" i="1" a="1"/>
  <c r="J83" i="1"/>
  <c r="J126" i="1"/>
  <c r="J28" i="1" a="1"/>
  <c r="K83" i="1"/>
  <c r="K126" i="1"/>
  <c r="P63" i="1"/>
  <c r="AF4" i="1" a="1"/>
  <c r="AF4" i="1"/>
  <c r="K28" i="1" a="1"/>
  <c r="L83" i="1"/>
  <c r="L126" i="1"/>
  <c r="L28" i="1" a="1"/>
  <c r="M83" i="1"/>
  <c r="M126" i="1"/>
  <c r="M28" i="1" a="1"/>
  <c r="N83" i="1"/>
  <c r="N126" i="1"/>
  <c r="N28" i="1" a="1"/>
  <c r="O83" i="1"/>
  <c r="O126" i="1"/>
  <c r="O28" i="1" a="1"/>
  <c r="P83" i="1"/>
  <c r="P126" i="1"/>
  <c r="P28" i="1" a="1"/>
  <c r="Q83" i="1"/>
  <c r="Q126" i="1"/>
  <c r="Q63" i="1"/>
  <c r="AG4" i="1" a="1"/>
  <c r="AG4" i="1"/>
  <c r="Q28" i="1" a="1"/>
  <c r="R83" i="1"/>
  <c r="R126" i="1"/>
  <c r="R28" i="1" a="1"/>
  <c r="S83" i="1"/>
  <c r="S126" i="1"/>
  <c r="S28" i="1" a="1"/>
  <c r="T83" i="1"/>
  <c r="T126" i="1"/>
  <c r="T28" i="1" a="1"/>
  <c r="U83" i="1"/>
  <c r="U126" i="1"/>
  <c r="U28" i="1" a="1"/>
  <c r="V83" i="1"/>
  <c r="V126" i="1"/>
  <c r="R63" i="1"/>
  <c r="AH4" i="1" a="1"/>
  <c r="AH4" i="1"/>
  <c r="V28" i="1" a="1"/>
  <c r="W83" i="1"/>
  <c r="W126" i="1"/>
  <c r="W28" i="1" a="1"/>
  <c r="X83" i="1"/>
  <c r="X126" i="1"/>
  <c r="X28" i="1" a="1"/>
  <c r="Y83" i="1"/>
  <c r="Y126" i="1"/>
  <c r="Y28" i="1" a="1"/>
  <c r="Z83" i="1"/>
  <c r="Z126" i="1"/>
  <c r="AA83" i="1"/>
  <c r="AA126" i="1"/>
  <c r="S63" i="1"/>
  <c r="AI4" i="1" a="1"/>
  <c r="AI4" i="1"/>
  <c r="Z28" i="1" s="1" a="1"/>
  <c r="AA28" i="1" a="1"/>
  <c r="AB83" i="1"/>
  <c r="AB126" i="1"/>
  <c r="AC83" i="1"/>
  <c r="AC126" i="1"/>
  <c r="AC28" i="1" a="1"/>
  <c r="AD83" i="1"/>
  <c r="AD126" i="1"/>
  <c r="AD28" i="1" a="1"/>
  <c r="AE83" i="1"/>
  <c r="AE126" i="1"/>
  <c r="AF83" i="1"/>
  <c r="AF126" i="1"/>
  <c r="AG83" i="1"/>
  <c r="AG126" i="1"/>
  <c r="AH83" i="1"/>
  <c r="AH126" i="1"/>
  <c r="T63" i="1"/>
  <c r="AJ4" i="1" a="1"/>
  <c r="AJ4" i="1"/>
  <c r="AE28" i="1" s="1" a="1"/>
  <c r="AH28" i="1" a="1"/>
  <c r="AI83" i="1"/>
  <c r="AI126" i="1"/>
  <c r="AI28" i="1" a="1"/>
  <c r="AJ83" i="1"/>
  <c r="AJ126" i="1"/>
  <c r="AK83" i="1"/>
  <c r="AK126" i="1"/>
  <c r="U63" i="1"/>
  <c r="AK4" i="1" a="1"/>
  <c r="AK4" i="1"/>
  <c r="AK28" i="1" a="1"/>
  <c r="AL83" i="1"/>
  <c r="AL126" i="1"/>
  <c r="AL28" i="1" a="1"/>
  <c r="AM83" i="1"/>
  <c r="AM126" i="1"/>
  <c r="AM28" i="1" a="1"/>
  <c r="AN83" i="1"/>
  <c r="AN126" i="1"/>
  <c r="AN28" i="1" a="1"/>
  <c r="AO83" i="1"/>
  <c r="AO126" i="1"/>
  <c r="B84" i="1"/>
  <c r="B127" i="1"/>
  <c r="B29" i="1" a="1"/>
  <c r="C84" i="1"/>
  <c r="C127" i="1"/>
  <c r="D84" i="1"/>
  <c r="D127" i="1"/>
  <c r="D29" i="1" a="1"/>
  <c r="E84" i="1"/>
  <c r="E127" i="1"/>
  <c r="E29" i="1" a="1"/>
  <c r="F84" i="1"/>
  <c r="F127" i="1"/>
  <c r="G84" i="1"/>
  <c r="G127" i="1"/>
  <c r="G29" i="1" a="1"/>
  <c r="H84" i="1"/>
  <c r="H127" i="1"/>
  <c r="H29" i="1" a="1"/>
  <c r="I84" i="1"/>
  <c r="I127" i="1"/>
  <c r="I29" i="1" a="1"/>
  <c r="J84" i="1"/>
  <c r="J127" i="1"/>
  <c r="J29" i="1" a="1"/>
  <c r="K84" i="1"/>
  <c r="K127" i="1"/>
  <c r="K29" i="1" a="1"/>
  <c r="L84" i="1"/>
  <c r="L127" i="1"/>
  <c r="L29" i="1" a="1"/>
  <c r="M84" i="1"/>
  <c r="M127" i="1"/>
  <c r="M29" i="1" a="1"/>
  <c r="N84" i="1"/>
  <c r="N127" i="1"/>
  <c r="N29" i="1" a="1"/>
  <c r="O84" i="1"/>
  <c r="O127" i="1"/>
  <c r="O29" i="1" a="1"/>
  <c r="P84" i="1"/>
  <c r="P127" i="1"/>
  <c r="P29" i="1" a="1"/>
  <c r="Q84" i="1"/>
  <c r="Q127" i="1"/>
  <c r="Q29" i="1" a="1"/>
  <c r="R84" i="1"/>
  <c r="R127" i="1"/>
  <c r="R29" i="1" a="1"/>
  <c r="S84" i="1"/>
  <c r="S127" i="1"/>
  <c r="S29" i="1" a="1"/>
  <c r="T84" i="1"/>
  <c r="T127" i="1"/>
  <c r="T29" i="1" a="1"/>
  <c r="U84" i="1"/>
  <c r="U127" i="1"/>
  <c r="U29" i="1" a="1"/>
  <c r="V84" i="1"/>
  <c r="V127" i="1"/>
  <c r="V29" i="1" a="1"/>
  <c r="W84" i="1"/>
  <c r="W127" i="1"/>
  <c r="W29" i="1" a="1"/>
  <c r="X84" i="1"/>
  <c r="X127" i="1"/>
  <c r="X29" i="1" a="1"/>
  <c r="Y84" i="1"/>
  <c r="Y127" i="1"/>
  <c r="Y29" i="1" a="1"/>
  <c r="Z84" i="1"/>
  <c r="Z127" i="1"/>
  <c r="Z29" i="1" a="1"/>
  <c r="AA84" i="1"/>
  <c r="AA127" i="1"/>
  <c r="AB84" i="1"/>
  <c r="AB127" i="1"/>
  <c r="AB29" i="1" a="1"/>
  <c r="AC84" i="1"/>
  <c r="AC127" i="1"/>
  <c r="AD84" i="1"/>
  <c r="AD127" i="1"/>
  <c r="AD29" i="1" a="1"/>
  <c r="AE84" i="1"/>
  <c r="AE127" i="1"/>
  <c r="AF84" i="1"/>
  <c r="AF127" i="1"/>
  <c r="AF29" i="1" a="1"/>
  <c r="AG84" i="1"/>
  <c r="AG127" i="1"/>
  <c r="AG29" i="1" a="1"/>
  <c r="AH84" i="1"/>
  <c r="AH127" i="1"/>
  <c r="AH29" i="1" a="1"/>
  <c r="AI84" i="1"/>
  <c r="AI127" i="1"/>
  <c r="AI29" i="1" a="1"/>
  <c r="AJ84" i="1"/>
  <c r="AJ127" i="1"/>
  <c r="AJ29" i="1" a="1"/>
  <c r="AK84" i="1"/>
  <c r="AK127" i="1"/>
  <c r="AK29" i="1" a="1"/>
  <c r="AL84" i="1"/>
  <c r="AL127" i="1"/>
  <c r="AL29" i="1" a="1"/>
  <c r="AM84" i="1"/>
  <c r="AM127" i="1"/>
  <c r="AM29" i="1" a="1"/>
  <c r="AN84" i="1"/>
  <c r="AN127" i="1"/>
  <c r="AN29" i="1" a="1"/>
  <c r="AO84" i="1"/>
  <c r="AO127" i="1"/>
  <c r="AO29" i="1" a="1"/>
  <c r="B85" i="1"/>
  <c r="B64" i="1"/>
  <c r="B128" i="1"/>
  <c r="C85" i="1"/>
  <c r="C128" i="1"/>
  <c r="D85" i="1"/>
  <c r="D128" i="1"/>
  <c r="E85" i="1"/>
  <c r="E128" i="1"/>
  <c r="C64" i="1"/>
  <c r="F85" i="1"/>
  <c r="F128" i="1"/>
  <c r="G85" i="1"/>
  <c r="G128" i="1"/>
  <c r="H85" i="1"/>
  <c r="H128" i="1"/>
  <c r="I85" i="1"/>
  <c r="I128" i="1"/>
  <c r="J85" i="1"/>
  <c r="J128" i="1"/>
  <c r="D64" i="1"/>
  <c r="D4" i="1"/>
  <c r="K85" i="1"/>
  <c r="K128" i="1"/>
  <c r="L85" i="1"/>
  <c r="L128" i="1"/>
  <c r="M85" i="1"/>
  <c r="M128" i="1"/>
  <c r="E64" i="1"/>
  <c r="N85" i="1"/>
  <c r="N128" i="1"/>
  <c r="O85" i="1"/>
  <c r="O128" i="1"/>
  <c r="P85" i="1"/>
  <c r="F4" i="1"/>
  <c r="P128" i="1"/>
  <c r="Q85" i="1"/>
  <c r="Q128" i="1"/>
  <c r="R85" i="1"/>
  <c r="R128" i="1"/>
  <c r="S85" i="1"/>
  <c r="F64" i="1"/>
  <c r="S128" i="1"/>
  <c r="S30" i="1" a="1"/>
  <c r="T85" i="1"/>
  <c r="T128" i="1"/>
  <c r="T30" i="1" a="1"/>
  <c r="U85" i="1"/>
  <c r="U128" i="1"/>
  <c r="V85" i="1"/>
  <c r="V128" i="1"/>
  <c r="W85" i="1"/>
  <c r="G64" i="1"/>
  <c r="W128" i="1"/>
  <c r="X85" i="1"/>
  <c r="X128" i="1"/>
  <c r="Y85" i="1"/>
  <c r="Y128" i="1"/>
  <c r="H64" i="1"/>
  <c r="Z85" i="1"/>
  <c r="Z128" i="1"/>
  <c r="AA85" i="1"/>
  <c r="G4" i="1"/>
  <c r="AA128" i="1"/>
  <c r="AB85" i="1"/>
  <c r="AB128" i="1"/>
  <c r="AC85" i="1"/>
  <c r="AC128" i="1"/>
  <c r="AD85" i="1"/>
  <c r="AD128" i="1"/>
  <c r="AE85" i="1"/>
  <c r="I64" i="1"/>
  <c r="H4" i="1"/>
  <c r="R5" i="1" a="1"/>
  <c r="R5" i="1"/>
  <c r="AE128" i="1"/>
  <c r="AE30" i="1" a="1"/>
  <c r="AF85" i="1"/>
  <c r="AF128" i="1"/>
  <c r="AF30" i="1" a="1"/>
  <c r="AG85" i="1"/>
  <c r="AG128" i="1"/>
  <c r="AH85" i="1"/>
  <c r="AH128" i="1"/>
  <c r="AI85" i="1"/>
  <c r="AI128" i="1"/>
  <c r="J64" i="1"/>
  <c r="S5" i="1" a="1"/>
  <c r="S5" i="1"/>
  <c r="AI30" i="1" a="1"/>
  <c r="AJ85" i="1"/>
  <c r="AJ128" i="1"/>
  <c r="AJ30" i="1" a="1"/>
  <c r="AK85" i="1"/>
  <c r="AK128" i="1"/>
  <c r="AL85" i="1"/>
  <c r="AL128" i="1"/>
  <c r="AM85" i="1"/>
  <c r="K64" i="1"/>
  <c r="T5" i="1" a="1"/>
  <c r="T5" i="1"/>
  <c r="AL30" i="1" s="1" a="1"/>
  <c r="AM128" i="1"/>
  <c r="AM30" i="1" a="1"/>
  <c r="AN85" i="1"/>
  <c r="AN128" i="1"/>
  <c r="AN30" i="1" a="1"/>
  <c r="AO85" i="1"/>
  <c r="AO128" i="1"/>
  <c r="B86" i="1"/>
  <c r="B129" i="1"/>
  <c r="C86" i="1"/>
  <c r="C129" i="1"/>
  <c r="D86" i="1"/>
  <c r="D129" i="1"/>
  <c r="E86" i="1"/>
  <c r="E129" i="1"/>
  <c r="F86" i="1"/>
  <c r="F129" i="1"/>
  <c r="G86" i="1"/>
  <c r="G129" i="1"/>
  <c r="H86" i="1"/>
  <c r="H129" i="1"/>
  <c r="I86" i="1"/>
  <c r="I129" i="1"/>
  <c r="J86" i="1"/>
  <c r="J129" i="1"/>
  <c r="K86" i="1"/>
  <c r="K129" i="1"/>
  <c r="L86" i="1"/>
  <c r="L129" i="1"/>
  <c r="M86" i="1"/>
  <c r="M129" i="1"/>
  <c r="N86" i="1"/>
  <c r="N129" i="1"/>
  <c r="O86" i="1"/>
  <c r="O129" i="1"/>
  <c r="P86" i="1"/>
  <c r="P129" i="1"/>
  <c r="Q86" i="1"/>
  <c r="Q129" i="1"/>
  <c r="R86" i="1"/>
  <c r="R129" i="1"/>
  <c r="S86" i="1"/>
  <c r="S129" i="1"/>
  <c r="S31" i="1" a="1"/>
  <c r="T86" i="1"/>
  <c r="T129" i="1"/>
  <c r="U86" i="1"/>
  <c r="U129" i="1"/>
  <c r="V86" i="1"/>
  <c r="V129" i="1"/>
  <c r="W86" i="1"/>
  <c r="W129" i="1"/>
  <c r="X86" i="1"/>
  <c r="X129" i="1"/>
  <c r="Y86" i="1"/>
  <c r="Y129" i="1"/>
  <c r="Z86" i="1"/>
  <c r="Z129" i="1"/>
  <c r="AA86" i="1"/>
  <c r="AA129" i="1"/>
  <c r="AB86" i="1"/>
  <c r="AB129" i="1"/>
  <c r="AC86" i="1"/>
  <c r="AC129" i="1"/>
  <c r="AD86" i="1"/>
  <c r="AD129" i="1"/>
  <c r="AD31" i="1" a="1"/>
  <c r="AE86" i="1"/>
  <c r="AE129" i="1"/>
  <c r="AE31" i="1" a="1"/>
  <c r="AF86" i="1"/>
  <c r="AF129" i="1"/>
  <c r="AF31" i="1" a="1"/>
  <c r="AG86" i="1"/>
  <c r="AG129" i="1"/>
  <c r="AG31" i="1" a="1"/>
  <c r="AH86" i="1"/>
  <c r="AH129" i="1"/>
  <c r="AH31" i="1" a="1"/>
  <c r="AI86" i="1"/>
  <c r="AI129" i="1"/>
  <c r="AI31" i="1" a="1"/>
  <c r="AJ86" i="1"/>
  <c r="AJ129" i="1"/>
  <c r="AJ31" i="1" a="1"/>
  <c r="AK86" i="1"/>
  <c r="AK129" i="1"/>
  <c r="AK31" i="1" a="1"/>
  <c r="AL86" i="1"/>
  <c r="AL129" i="1"/>
  <c r="AL31" i="1" a="1"/>
  <c r="AM86" i="1"/>
  <c r="AM129" i="1"/>
  <c r="AM31" i="1" a="1"/>
  <c r="AN86" i="1"/>
  <c r="AN129" i="1"/>
  <c r="AN31" i="1" a="1"/>
  <c r="AO86" i="1"/>
  <c r="AO129" i="1"/>
  <c r="B87" i="1"/>
  <c r="B130" i="1"/>
  <c r="C87" i="1"/>
  <c r="C130" i="1"/>
  <c r="D87" i="1"/>
  <c r="D130" i="1"/>
  <c r="E87" i="1"/>
  <c r="E130" i="1"/>
  <c r="F87" i="1"/>
  <c r="F130" i="1"/>
  <c r="G87" i="1"/>
  <c r="G130" i="1"/>
  <c r="H87" i="1"/>
  <c r="H130" i="1"/>
  <c r="I87" i="1"/>
  <c r="I130" i="1"/>
  <c r="J87" i="1"/>
  <c r="J130" i="1"/>
  <c r="K87" i="1"/>
  <c r="K130" i="1"/>
  <c r="L87" i="1"/>
  <c r="L130" i="1"/>
  <c r="M87" i="1"/>
  <c r="M130" i="1"/>
  <c r="N87" i="1"/>
  <c r="N130" i="1"/>
  <c r="O87" i="1"/>
  <c r="O130" i="1"/>
  <c r="P87" i="1"/>
  <c r="P130" i="1"/>
  <c r="Q87" i="1"/>
  <c r="Q130" i="1"/>
  <c r="R87" i="1"/>
  <c r="R130" i="1"/>
  <c r="S87" i="1"/>
  <c r="S130" i="1"/>
  <c r="T87" i="1"/>
  <c r="T130" i="1"/>
  <c r="U87" i="1"/>
  <c r="U130" i="1"/>
  <c r="V87" i="1"/>
  <c r="V130" i="1"/>
  <c r="W87" i="1"/>
  <c r="W130" i="1"/>
  <c r="X87" i="1"/>
  <c r="X130" i="1"/>
  <c r="Y87" i="1"/>
  <c r="Y130" i="1"/>
  <c r="Z87" i="1"/>
  <c r="Z130" i="1"/>
  <c r="AA87" i="1"/>
  <c r="AA130" i="1"/>
  <c r="AB87" i="1"/>
  <c r="AB130" i="1"/>
  <c r="AC87" i="1"/>
  <c r="AC130" i="1"/>
  <c r="AD87" i="1"/>
  <c r="AD130" i="1"/>
  <c r="AE87" i="1"/>
  <c r="AE130" i="1"/>
  <c r="AE32" i="1" a="1"/>
  <c r="AF87" i="1"/>
  <c r="AF130" i="1"/>
  <c r="AF32" i="1" a="1"/>
  <c r="AG87" i="1"/>
  <c r="AG130" i="1"/>
  <c r="AG32" i="1" a="1"/>
  <c r="AH87" i="1"/>
  <c r="AH130" i="1"/>
  <c r="AH32" i="1" a="1"/>
  <c r="AI87" i="1"/>
  <c r="AI130" i="1"/>
  <c r="AI32" i="1" a="1"/>
  <c r="AJ87" i="1"/>
  <c r="AJ130" i="1"/>
  <c r="AJ32" i="1" a="1"/>
  <c r="AK87" i="1"/>
  <c r="AK130" i="1"/>
  <c r="AK32" i="1" a="1"/>
  <c r="AL87" i="1"/>
  <c r="AL130" i="1"/>
  <c r="AL32" i="1" a="1"/>
  <c r="AM87" i="1"/>
  <c r="AM130" i="1"/>
  <c r="AM32" i="1" a="1"/>
  <c r="AN87" i="1"/>
  <c r="AN130" i="1"/>
  <c r="AN32" i="1" a="1"/>
  <c r="AO87" i="1"/>
  <c r="AO130" i="1"/>
  <c r="B88" i="1"/>
  <c r="B131" i="1"/>
  <c r="N64" i="1"/>
  <c r="X4" i="1"/>
  <c r="AD5" i="1" a="1"/>
  <c r="AD5" i="1"/>
  <c r="C88" i="1"/>
  <c r="C131" i="1"/>
  <c r="D88" i="1"/>
  <c r="D131" i="1"/>
  <c r="E88" i="1"/>
  <c r="E131" i="1"/>
  <c r="F88" i="1"/>
  <c r="F131" i="1"/>
  <c r="G88" i="1"/>
  <c r="G131" i="1"/>
  <c r="H88" i="1"/>
  <c r="H131" i="1"/>
  <c r="I88" i="1"/>
  <c r="I131" i="1"/>
  <c r="O64" i="1"/>
  <c r="AE5" i="1" a="1"/>
  <c r="AE5" i="1"/>
  <c r="J88" i="1"/>
  <c r="J131" i="1"/>
  <c r="K88" i="1"/>
  <c r="K131" i="1"/>
  <c r="P64" i="1"/>
  <c r="L88" i="1"/>
  <c r="L131" i="1"/>
  <c r="M88" i="1"/>
  <c r="M131" i="1"/>
  <c r="N88" i="1"/>
  <c r="N131" i="1"/>
  <c r="O88" i="1"/>
  <c r="O131" i="1"/>
  <c r="P88" i="1"/>
  <c r="P131" i="1"/>
  <c r="Q88" i="1"/>
  <c r="Q131" i="1"/>
  <c r="Q64" i="1"/>
  <c r="R88" i="1"/>
  <c r="R131" i="1"/>
  <c r="S88" i="1"/>
  <c r="S131" i="1"/>
  <c r="T88" i="1"/>
  <c r="T131" i="1"/>
  <c r="U88" i="1"/>
  <c r="U131" i="1"/>
  <c r="V88" i="1"/>
  <c r="V131" i="1"/>
  <c r="W88" i="1"/>
  <c r="W131" i="1"/>
  <c r="R64" i="1"/>
  <c r="X88" i="1"/>
  <c r="X131" i="1"/>
  <c r="Y88" i="1"/>
  <c r="Y131" i="1"/>
  <c r="Y4" i="1"/>
  <c r="AH5" i="1" s="1" a="1"/>
  <c r="AH5" i="1" s="1"/>
  <c r="Z88" i="1"/>
  <c r="Z131" i="1"/>
  <c r="S64" i="1"/>
  <c r="AA4" i="1"/>
  <c r="AA88" i="1"/>
  <c r="AA131" i="1"/>
  <c r="AB88" i="1"/>
  <c r="AB131" i="1"/>
  <c r="AC88" i="1"/>
  <c r="AC131" i="1"/>
  <c r="AD88" i="1"/>
  <c r="AD131" i="1"/>
  <c r="AE88" i="1"/>
  <c r="AE131" i="1"/>
  <c r="T64" i="1"/>
  <c r="AF88" i="1"/>
  <c r="AF131" i="1"/>
  <c r="AG88" i="1"/>
  <c r="AG131" i="1"/>
  <c r="AH88" i="1"/>
  <c r="AH131" i="1"/>
  <c r="AI88" i="1"/>
  <c r="AI131" i="1"/>
  <c r="AJ88" i="1"/>
  <c r="AJ131" i="1"/>
  <c r="AK88" i="1"/>
  <c r="AK131" i="1"/>
  <c r="U64" i="1"/>
  <c r="AK5" i="1" a="1"/>
  <c r="AK5" i="1"/>
  <c r="AL88" i="1"/>
  <c r="AL131" i="1"/>
  <c r="AL33" i="1" a="1"/>
  <c r="AM88" i="1"/>
  <c r="AM131" i="1"/>
  <c r="AM33" i="1" a="1"/>
  <c r="AN88" i="1"/>
  <c r="AN131" i="1"/>
  <c r="AN33" i="1" a="1"/>
  <c r="AO88" i="1"/>
  <c r="AO131" i="1"/>
  <c r="AO33" i="1" a="1"/>
  <c r="B89" i="1"/>
  <c r="B65" i="1"/>
  <c r="K6" i="1" a="1"/>
  <c r="K6" i="1"/>
  <c r="B132" i="1"/>
  <c r="C89" i="1"/>
  <c r="C132" i="1"/>
  <c r="D89" i="1"/>
  <c r="D132" i="1"/>
  <c r="E89" i="1"/>
  <c r="E132" i="1"/>
  <c r="F89" i="1"/>
  <c r="F132" i="1"/>
  <c r="C65" i="1"/>
  <c r="E4" i="1"/>
  <c r="L6" i="1" a="1"/>
  <c r="L6" i="1"/>
  <c r="G89" i="1"/>
  <c r="G132" i="1"/>
  <c r="G34" i="1" a="1"/>
  <c r="H89" i="1"/>
  <c r="H132" i="1"/>
  <c r="H34" i="1" a="1"/>
  <c r="I89" i="1"/>
  <c r="I132" i="1"/>
  <c r="D65" i="1"/>
  <c r="M6" i="1" a="1"/>
  <c r="M6" i="1"/>
  <c r="J89" i="1"/>
  <c r="J132" i="1"/>
  <c r="K89" i="1"/>
  <c r="K132" i="1"/>
  <c r="L89" i="1"/>
  <c r="L132" i="1"/>
  <c r="M89" i="1"/>
  <c r="M132" i="1"/>
  <c r="N89" i="1"/>
  <c r="N132" i="1"/>
  <c r="O89" i="1"/>
  <c r="O132" i="1"/>
  <c r="P89" i="1"/>
  <c r="E65" i="1"/>
  <c r="N6" i="1" a="1"/>
  <c r="N6" i="1"/>
  <c r="P132" i="1"/>
  <c r="Q89" i="1"/>
  <c r="Q132" i="1"/>
  <c r="R89" i="1"/>
  <c r="R132" i="1"/>
  <c r="S89" i="1"/>
  <c r="S132" i="1"/>
  <c r="F65" i="1"/>
  <c r="O6" i="1" a="1"/>
  <c r="O6" i="1"/>
  <c r="T89" i="1"/>
  <c r="T132" i="1"/>
  <c r="U89" i="1"/>
  <c r="U132" i="1"/>
  <c r="V89" i="1"/>
  <c r="G65" i="1"/>
  <c r="P6" i="1" a="1"/>
  <c r="P6" i="1"/>
  <c r="V132" i="1"/>
  <c r="W89" i="1"/>
  <c r="W132" i="1"/>
  <c r="X89" i="1"/>
  <c r="X132" i="1"/>
  <c r="Y89" i="1"/>
  <c r="Y132" i="1"/>
  <c r="Z89" i="1"/>
  <c r="Z132" i="1"/>
  <c r="H65" i="1"/>
  <c r="Q6" i="1" a="1"/>
  <c r="Q6" i="1"/>
  <c r="AA89" i="1"/>
  <c r="AA132" i="1"/>
  <c r="AB89" i="1"/>
  <c r="AB132" i="1"/>
  <c r="AC89" i="1"/>
  <c r="AC132" i="1"/>
  <c r="AD89" i="1"/>
  <c r="AD132" i="1"/>
  <c r="AE89" i="1"/>
  <c r="I65" i="1"/>
  <c r="R6" i="1" a="1"/>
  <c r="R6" i="1"/>
  <c r="AE132" i="1"/>
  <c r="AF89" i="1"/>
  <c r="AF132" i="1"/>
  <c r="AG89" i="1"/>
  <c r="AG132" i="1"/>
  <c r="AH89" i="1"/>
  <c r="J65" i="1"/>
  <c r="S6" i="1" a="1"/>
  <c r="S6" i="1"/>
  <c r="AH132" i="1"/>
  <c r="AI89" i="1"/>
  <c r="AI132" i="1"/>
  <c r="AJ89" i="1"/>
  <c r="AJ132" i="1"/>
  <c r="AK89" i="1"/>
  <c r="AK132" i="1"/>
  <c r="AL89" i="1"/>
  <c r="AL132" i="1"/>
  <c r="AM89" i="1"/>
  <c r="K65" i="1"/>
  <c r="T6" i="1" a="1"/>
  <c r="T6" i="1"/>
  <c r="AM132" i="1"/>
  <c r="AM34" i="1" a="1"/>
  <c r="AN89" i="1"/>
  <c r="AN132" i="1"/>
  <c r="AN34" i="1" a="1"/>
  <c r="AO89" i="1"/>
  <c r="AO132" i="1"/>
  <c r="B90" i="1"/>
  <c r="B133" i="1"/>
  <c r="C90" i="1"/>
  <c r="C133" i="1"/>
  <c r="D90" i="1"/>
  <c r="D133" i="1"/>
  <c r="E90" i="1"/>
  <c r="E133" i="1"/>
  <c r="F90" i="1"/>
  <c r="F133" i="1"/>
  <c r="G90" i="1"/>
  <c r="G133" i="1"/>
  <c r="G35" i="1" a="1"/>
  <c r="H90" i="1"/>
  <c r="H133" i="1"/>
  <c r="H35" i="1" a="1"/>
  <c r="I90" i="1"/>
  <c r="I133" i="1"/>
  <c r="J90" i="1"/>
  <c r="J133" i="1"/>
  <c r="K90" i="1"/>
  <c r="K133" i="1"/>
  <c r="L90" i="1"/>
  <c r="L133" i="1"/>
  <c r="M90" i="1"/>
  <c r="M133" i="1"/>
  <c r="N90" i="1"/>
  <c r="N133" i="1"/>
  <c r="O90" i="1"/>
  <c r="O133" i="1"/>
  <c r="P90" i="1"/>
  <c r="P133" i="1"/>
  <c r="Q90" i="1"/>
  <c r="Q133" i="1"/>
  <c r="R90" i="1"/>
  <c r="R133" i="1"/>
  <c r="S90" i="1"/>
  <c r="S133" i="1"/>
  <c r="T90" i="1"/>
  <c r="T133" i="1"/>
  <c r="U90" i="1"/>
  <c r="U133" i="1"/>
  <c r="V90" i="1"/>
  <c r="V133" i="1"/>
  <c r="W90" i="1"/>
  <c r="W133" i="1"/>
  <c r="W35" i="1" a="1"/>
  <c r="X90" i="1"/>
  <c r="X133" i="1"/>
  <c r="Y90" i="1"/>
  <c r="Y133" i="1"/>
  <c r="Z90" i="1"/>
  <c r="Z133" i="1"/>
  <c r="AA90" i="1"/>
  <c r="AA133" i="1"/>
  <c r="AB90" i="1"/>
  <c r="AB133" i="1"/>
  <c r="AC90" i="1"/>
  <c r="AC133" i="1"/>
  <c r="AD90" i="1"/>
  <c r="AD133" i="1"/>
  <c r="AE90" i="1"/>
  <c r="AE133" i="1"/>
  <c r="AF90" i="1"/>
  <c r="AF133" i="1"/>
  <c r="AG90" i="1"/>
  <c r="AG133" i="1"/>
  <c r="AH90" i="1"/>
  <c r="AH133" i="1"/>
  <c r="AI90" i="1"/>
  <c r="AI133" i="1"/>
  <c r="AJ90" i="1"/>
  <c r="AJ133" i="1"/>
  <c r="AK90" i="1"/>
  <c r="AK133" i="1"/>
  <c r="AL90" i="1"/>
  <c r="AL133" i="1"/>
  <c r="AL35" i="1" a="1"/>
  <c r="AM90" i="1"/>
  <c r="AM133" i="1"/>
  <c r="AM35" i="1" a="1"/>
  <c r="AN90" i="1"/>
  <c r="AN133" i="1"/>
  <c r="AN35" i="1" a="1"/>
  <c r="AO90" i="1"/>
  <c r="AO133" i="1"/>
  <c r="AO35" i="1" a="1"/>
  <c r="B91" i="1"/>
  <c r="B134" i="1"/>
  <c r="B36" i="1" a="1"/>
  <c r="C91" i="1"/>
  <c r="C134" i="1"/>
  <c r="C36" i="1" a="1"/>
  <c r="D91" i="1"/>
  <c r="D134" i="1"/>
  <c r="D36" i="1" a="1"/>
  <c r="E91" i="1"/>
  <c r="E134" i="1"/>
  <c r="E36" i="1" a="1"/>
  <c r="F91" i="1"/>
  <c r="F134" i="1"/>
  <c r="F36" i="1" a="1"/>
  <c r="G91" i="1"/>
  <c r="G134" i="1"/>
  <c r="G36" i="1" a="1"/>
  <c r="H91" i="1"/>
  <c r="H134" i="1"/>
  <c r="H36" i="1" a="1"/>
  <c r="I91" i="1"/>
  <c r="I134" i="1"/>
  <c r="I36" i="1" a="1"/>
  <c r="J91" i="1"/>
  <c r="J134" i="1"/>
  <c r="J36" i="1" a="1"/>
  <c r="K91" i="1"/>
  <c r="K134" i="1"/>
  <c r="L91" i="1"/>
  <c r="L134" i="1"/>
  <c r="M91" i="1"/>
  <c r="M134" i="1"/>
  <c r="N91" i="1"/>
  <c r="N134" i="1"/>
  <c r="O91" i="1"/>
  <c r="O134" i="1"/>
  <c r="P91" i="1"/>
  <c r="P134" i="1"/>
  <c r="Q91" i="1"/>
  <c r="Q134" i="1"/>
  <c r="R91" i="1"/>
  <c r="R134" i="1"/>
  <c r="S91" i="1"/>
  <c r="S134" i="1"/>
  <c r="T91" i="1"/>
  <c r="T134" i="1"/>
  <c r="U91" i="1"/>
  <c r="U134" i="1"/>
  <c r="V91" i="1"/>
  <c r="V134" i="1"/>
  <c r="W91" i="1"/>
  <c r="W134" i="1"/>
  <c r="W36" i="1" a="1"/>
  <c r="X91" i="1"/>
  <c r="X134" i="1"/>
  <c r="X36" i="1" a="1"/>
  <c r="Y91" i="1"/>
  <c r="Y134" i="1"/>
  <c r="Y36" i="1" a="1"/>
  <c r="Z91" i="1"/>
  <c r="Z134" i="1"/>
  <c r="AA91" i="1"/>
  <c r="AA134" i="1"/>
  <c r="AB91" i="1"/>
  <c r="AB134" i="1"/>
  <c r="AC91" i="1"/>
  <c r="AC134" i="1"/>
  <c r="AD91" i="1"/>
  <c r="AD134" i="1"/>
  <c r="AE91" i="1"/>
  <c r="AE134" i="1"/>
  <c r="AF91" i="1"/>
  <c r="AF134" i="1"/>
  <c r="AG91" i="1"/>
  <c r="AG134" i="1"/>
  <c r="AH91" i="1"/>
  <c r="AH134" i="1"/>
  <c r="AI91" i="1"/>
  <c r="AI134" i="1"/>
  <c r="AJ91" i="1"/>
  <c r="AJ134" i="1"/>
  <c r="AK91" i="1"/>
  <c r="AK134" i="1"/>
  <c r="AL91" i="1"/>
  <c r="AL134" i="1"/>
  <c r="AL36" i="1" a="1"/>
  <c r="AM91" i="1"/>
  <c r="AM134" i="1"/>
  <c r="AM36" i="1" a="1"/>
  <c r="AN91" i="1"/>
  <c r="AN134" i="1"/>
  <c r="AN36" i="1" a="1"/>
  <c r="AO91" i="1"/>
  <c r="AO134" i="1"/>
  <c r="AO36" i="1" a="1"/>
  <c r="B92" i="1"/>
  <c r="B135" i="1"/>
  <c r="B37" i="1" a="1"/>
  <c r="C92" i="1"/>
  <c r="C135" i="1"/>
  <c r="C37" i="1" a="1"/>
  <c r="D92" i="1"/>
  <c r="D135" i="1"/>
  <c r="D37" i="1" a="1"/>
  <c r="E92" i="1"/>
  <c r="E135" i="1"/>
  <c r="E37" i="1" a="1"/>
  <c r="F92" i="1"/>
  <c r="F135" i="1"/>
  <c r="F37" i="1" a="1"/>
  <c r="G92" i="1"/>
  <c r="G135" i="1"/>
  <c r="G37" i="1" a="1"/>
  <c r="H92" i="1"/>
  <c r="H135" i="1"/>
  <c r="H37" i="1" a="1"/>
  <c r="I92" i="1"/>
  <c r="I135" i="1"/>
  <c r="I37" i="1" a="1"/>
  <c r="J92" i="1"/>
  <c r="J135" i="1"/>
  <c r="J37" i="1" a="1"/>
  <c r="K92" i="1"/>
  <c r="K135" i="1"/>
  <c r="L92" i="1"/>
  <c r="L135" i="1"/>
  <c r="M92" i="1"/>
  <c r="M135" i="1"/>
  <c r="N92" i="1"/>
  <c r="N135" i="1"/>
  <c r="O92" i="1"/>
  <c r="O135" i="1"/>
  <c r="P92" i="1"/>
  <c r="P135" i="1"/>
  <c r="Q92" i="1"/>
  <c r="Q135" i="1"/>
  <c r="R92" i="1"/>
  <c r="R135" i="1"/>
  <c r="S92" i="1"/>
  <c r="S135" i="1"/>
  <c r="T92" i="1"/>
  <c r="T135" i="1"/>
  <c r="U92" i="1"/>
  <c r="U135" i="1"/>
  <c r="V92" i="1"/>
  <c r="V135" i="1"/>
  <c r="W92" i="1"/>
  <c r="W135" i="1"/>
  <c r="W37" i="1" a="1"/>
  <c r="X92" i="1"/>
  <c r="X135" i="1"/>
  <c r="X37" i="1" a="1"/>
  <c r="Y92" i="1"/>
  <c r="Y135" i="1"/>
  <c r="Y37" i="1" a="1"/>
  <c r="Z92" i="1"/>
  <c r="Z135" i="1"/>
  <c r="AA92" i="1"/>
  <c r="AA135" i="1"/>
  <c r="AB92" i="1"/>
  <c r="AB135" i="1"/>
  <c r="AC92" i="1"/>
  <c r="AC135" i="1"/>
  <c r="AD92" i="1"/>
  <c r="AD135" i="1"/>
  <c r="AE92" i="1"/>
  <c r="AE135" i="1"/>
  <c r="AF92" i="1"/>
  <c r="AF135" i="1"/>
  <c r="AG92" i="1"/>
  <c r="AG135" i="1"/>
  <c r="AH92" i="1"/>
  <c r="AH135" i="1"/>
  <c r="AI92" i="1"/>
  <c r="AI135" i="1"/>
  <c r="AJ92" i="1"/>
  <c r="AJ135" i="1"/>
  <c r="AK92" i="1"/>
  <c r="AK135" i="1"/>
  <c r="AL92" i="1"/>
  <c r="AL135" i="1"/>
  <c r="AL37" i="1" a="1"/>
  <c r="AM92" i="1"/>
  <c r="AM135" i="1"/>
  <c r="AM37" i="1" a="1"/>
  <c r="AN92" i="1"/>
  <c r="AN135" i="1"/>
  <c r="AN37" i="1" a="1"/>
  <c r="AO92" i="1"/>
  <c r="AO135" i="1"/>
  <c r="AO37" i="1" a="1"/>
  <c r="B93" i="1"/>
  <c r="K66" i="1"/>
  <c r="B136" i="1"/>
  <c r="C93" i="1"/>
  <c r="C136" i="1"/>
  <c r="N65" i="1"/>
  <c r="AD6" i="1" a="1"/>
  <c r="AD6" i="1"/>
  <c r="D93" i="1"/>
  <c r="D136" i="1"/>
  <c r="E93" i="1"/>
  <c r="E136" i="1"/>
  <c r="B66" i="1"/>
  <c r="F93" i="1"/>
  <c r="F136" i="1"/>
  <c r="C66" i="1"/>
  <c r="D5" i="1"/>
  <c r="G93" i="1"/>
  <c r="G136" i="1"/>
  <c r="O65" i="1"/>
  <c r="AE6" i="1" a="1"/>
  <c r="AE6" i="1"/>
  <c r="G38" i="1" a="1"/>
  <c r="H93" i="1"/>
  <c r="H136" i="1"/>
  <c r="H38" i="1" a="1"/>
  <c r="I93" i="1"/>
  <c r="I136" i="1"/>
  <c r="J93" i="1"/>
  <c r="J136" i="1"/>
  <c r="K93" i="1"/>
  <c r="K136" i="1"/>
  <c r="P65" i="1"/>
  <c r="AF6" i="1" a="1"/>
  <c r="AF6" i="1"/>
  <c r="D66" i="1"/>
  <c r="L93" i="1"/>
  <c r="E5" i="1"/>
  <c r="L136" i="1"/>
  <c r="M93" i="1"/>
  <c r="M136" i="1"/>
  <c r="N93" i="1"/>
  <c r="N136" i="1"/>
  <c r="O93" i="1"/>
  <c r="E66" i="1"/>
  <c r="F5" i="1"/>
  <c r="N7" i="1" a="1"/>
  <c r="N7" i="1"/>
  <c r="O136" i="1"/>
  <c r="P93" i="1"/>
  <c r="P136" i="1"/>
  <c r="Q65" i="1"/>
  <c r="Z4" i="1"/>
  <c r="AG6" i="1" a="1"/>
  <c r="AG6" i="1"/>
  <c r="Q93" i="1"/>
  <c r="Q136" i="1"/>
  <c r="R93" i="1"/>
  <c r="R136" i="1"/>
  <c r="S93" i="1"/>
  <c r="F66" i="1"/>
  <c r="O7" i="1" a="1"/>
  <c r="O7" i="1"/>
  <c r="S136" i="1"/>
  <c r="T93" i="1"/>
  <c r="T136" i="1"/>
  <c r="U93" i="1"/>
  <c r="U136" i="1"/>
  <c r="V93" i="1"/>
  <c r="V136" i="1"/>
  <c r="G66" i="1"/>
  <c r="P7" i="1" a="1"/>
  <c r="P7" i="1"/>
  <c r="R65" i="1"/>
  <c r="AH6" i="1" a="1"/>
  <c r="AH6" i="1"/>
  <c r="W93" i="1"/>
  <c r="W136" i="1"/>
  <c r="W38" i="1" a="1"/>
  <c r="X93" i="1"/>
  <c r="X136" i="1"/>
  <c r="X38" i="1" a="1"/>
  <c r="Y93" i="1"/>
  <c r="Y136" i="1"/>
  <c r="H66" i="1"/>
  <c r="Z93" i="1"/>
  <c r="Z136" i="1"/>
  <c r="S65" i="1"/>
  <c r="AI6" i="1" a="1"/>
  <c r="AI6" i="1"/>
  <c r="AA93" i="1"/>
  <c r="AA136" i="1"/>
  <c r="AB93" i="1"/>
  <c r="AB136" i="1"/>
  <c r="AC93" i="1"/>
  <c r="AC136" i="1"/>
  <c r="AD93" i="1"/>
  <c r="I66" i="1"/>
  <c r="AD136" i="1"/>
  <c r="AE93" i="1"/>
  <c r="AE136" i="1"/>
  <c r="AF93" i="1"/>
  <c r="AF136" i="1"/>
  <c r="T65" i="1"/>
  <c r="AJ6" i="1" a="1"/>
  <c r="AJ6" i="1"/>
  <c r="AG93" i="1"/>
  <c r="AG136" i="1"/>
  <c r="J66" i="1"/>
  <c r="H5" i="1"/>
  <c r="AH93" i="1"/>
  <c r="AH136" i="1"/>
  <c r="AI93" i="1"/>
  <c r="AI136" i="1"/>
  <c r="AJ93" i="1"/>
  <c r="AJ136" i="1"/>
  <c r="AK93" i="1"/>
  <c r="AK136" i="1"/>
  <c r="U65" i="1"/>
  <c r="AK6" i="1" a="1"/>
  <c r="AK6" i="1"/>
  <c r="AL93" i="1"/>
  <c r="AL136" i="1"/>
  <c r="AM93" i="1"/>
  <c r="AM136" i="1"/>
  <c r="AN93" i="1"/>
  <c r="AN136" i="1"/>
  <c r="AO93" i="1"/>
  <c r="AO136" i="1"/>
  <c r="B94" i="1"/>
  <c r="B137" i="1"/>
  <c r="C94" i="1"/>
  <c r="C137" i="1"/>
  <c r="D94" i="1"/>
  <c r="D137" i="1"/>
  <c r="E94" i="1"/>
  <c r="E137" i="1"/>
  <c r="F94" i="1"/>
  <c r="F137" i="1"/>
  <c r="G94" i="1"/>
  <c r="G137" i="1"/>
  <c r="H94" i="1"/>
  <c r="H137" i="1"/>
  <c r="I94" i="1"/>
  <c r="I137" i="1"/>
  <c r="J94" i="1"/>
  <c r="J137" i="1"/>
  <c r="K94" i="1"/>
  <c r="K137" i="1"/>
  <c r="L94" i="1"/>
  <c r="L137" i="1"/>
  <c r="M94" i="1"/>
  <c r="M137" i="1"/>
  <c r="N94" i="1"/>
  <c r="N137" i="1"/>
  <c r="O94" i="1"/>
  <c r="O137" i="1"/>
  <c r="P94" i="1"/>
  <c r="P137" i="1"/>
  <c r="Q94" i="1"/>
  <c r="Q137" i="1"/>
  <c r="R94" i="1"/>
  <c r="R137" i="1"/>
  <c r="S94" i="1"/>
  <c r="S137" i="1"/>
  <c r="T94" i="1"/>
  <c r="T137" i="1"/>
  <c r="U94" i="1"/>
  <c r="U137" i="1"/>
  <c r="V94" i="1"/>
  <c r="V137" i="1"/>
  <c r="W94" i="1"/>
  <c r="W137" i="1"/>
  <c r="W39" i="1" a="1"/>
  <c r="X94" i="1"/>
  <c r="X137" i="1"/>
  <c r="X39" i="1" a="1"/>
  <c r="Y94" i="1"/>
  <c r="Y137" i="1"/>
  <c r="Z94" i="1"/>
  <c r="Z137" i="1"/>
  <c r="AA94" i="1"/>
  <c r="AA137" i="1"/>
  <c r="AB94" i="1"/>
  <c r="AB137" i="1"/>
  <c r="AC94" i="1"/>
  <c r="AC137" i="1"/>
  <c r="AD94" i="1"/>
  <c r="AD137" i="1"/>
  <c r="AE94" i="1"/>
  <c r="AE137" i="1"/>
  <c r="AF94" i="1"/>
  <c r="AF137" i="1"/>
  <c r="AG94" i="1"/>
  <c r="AG137" i="1"/>
  <c r="AH94" i="1"/>
  <c r="AH137" i="1"/>
  <c r="AI94" i="1"/>
  <c r="AI137" i="1"/>
  <c r="AJ94" i="1"/>
  <c r="AJ137" i="1"/>
  <c r="AK94" i="1"/>
  <c r="AK137" i="1"/>
  <c r="AL94" i="1"/>
  <c r="AL137" i="1"/>
  <c r="AM94" i="1"/>
  <c r="AM137" i="1"/>
  <c r="AN94" i="1"/>
  <c r="AN137" i="1"/>
  <c r="AO94" i="1"/>
  <c r="AO137" i="1"/>
  <c r="B95" i="1"/>
  <c r="B138" i="1"/>
  <c r="C95" i="1"/>
  <c r="C138" i="1"/>
  <c r="D95" i="1"/>
  <c r="D138" i="1"/>
  <c r="E95" i="1"/>
  <c r="E138" i="1"/>
  <c r="F95" i="1"/>
  <c r="F138" i="1"/>
  <c r="G95" i="1"/>
  <c r="G138" i="1"/>
  <c r="H95" i="1"/>
  <c r="H138" i="1"/>
  <c r="I95" i="1"/>
  <c r="I138" i="1"/>
  <c r="J95" i="1"/>
  <c r="J138" i="1"/>
  <c r="K95" i="1"/>
  <c r="K138" i="1"/>
  <c r="L95" i="1"/>
  <c r="L138" i="1"/>
  <c r="M95" i="1"/>
  <c r="M138" i="1"/>
  <c r="N95" i="1"/>
  <c r="N138" i="1"/>
  <c r="O95" i="1"/>
  <c r="O138" i="1"/>
  <c r="O40" i="1" a="1"/>
  <c r="P95" i="1"/>
  <c r="P138" i="1"/>
  <c r="P40" i="1" a="1"/>
  <c r="Q95" i="1"/>
  <c r="Q138" i="1"/>
  <c r="Q40" i="1" a="1"/>
  <c r="R95" i="1"/>
  <c r="R138" i="1"/>
  <c r="R40" i="1" a="1"/>
  <c r="S95" i="1"/>
  <c r="S138" i="1"/>
  <c r="S40" i="1" a="1"/>
  <c r="T95" i="1"/>
  <c r="T138" i="1"/>
  <c r="T40" i="1" a="1"/>
  <c r="U95" i="1"/>
  <c r="U138" i="1"/>
  <c r="U40" i="1" a="1"/>
  <c r="V95" i="1"/>
  <c r="V138" i="1"/>
  <c r="V40" i="1" a="1"/>
  <c r="W95" i="1"/>
  <c r="W138" i="1"/>
  <c r="W40" i="1" a="1"/>
  <c r="X95" i="1"/>
  <c r="X138" i="1"/>
  <c r="X40" i="1" a="1"/>
  <c r="Y95" i="1"/>
  <c r="Y138" i="1"/>
  <c r="Z95" i="1"/>
  <c r="Z138" i="1"/>
  <c r="AA95" i="1"/>
  <c r="AA138" i="1"/>
  <c r="AB95" i="1"/>
  <c r="AB138" i="1"/>
  <c r="AC95" i="1"/>
  <c r="AC138" i="1"/>
  <c r="AD95" i="1"/>
  <c r="AD138" i="1"/>
  <c r="AE95" i="1"/>
  <c r="AE138" i="1"/>
  <c r="AF95" i="1"/>
  <c r="AF138" i="1"/>
  <c r="AG95" i="1"/>
  <c r="AG138" i="1"/>
  <c r="AH95" i="1"/>
  <c r="AH138" i="1"/>
  <c r="AI95" i="1"/>
  <c r="AI138" i="1"/>
  <c r="AJ95" i="1"/>
  <c r="AJ138" i="1"/>
  <c r="AK95" i="1"/>
  <c r="AK138" i="1"/>
  <c r="AL95" i="1"/>
  <c r="AL138" i="1"/>
  <c r="AM95" i="1"/>
  <c r="AM138" i="1"/>
  <c r="AN95" i="1"/>
  <c r="AN138" i="1"/>
  <c r="AO95" i="1"/>
  <c r="AO138" i="1"/>
  <c r="B96" i="1"/>
  <c r="B139" i="1"/>
  <c r="C96" i="1"/>
  <c r="C139" i="1"/>
  <c r="D96" i="1"/>
  <c r="D139" i="1"/>
  <c r="E96" i="1"/>
  <c r="E139" i="1"/>
  <c r="F96" i="1"/>
  <c r="F139" i="1"/>
  <c r="G96" i="1"/>
  <c r="G139" i="1"/>
  <c r="H96" i="1"/>
  <c r="H139" i="1"/>
  <c r="I96" i="1"/>
  <c r="I139" i="1"/>
  <c r="J96" i="1"/>
  <c r="J139" i="1"/>
  <c r="K96" i="1"/>
  <c r="K139" i="1"/>
  <c r="L96" i="1"/>
  <c r="L139" i="1"/>
  <c r="M96" i="1"/>
  <c r="M139" i="1"/>
  <c r="N96" i="1"/>
  <c r="N139" i="1"/>
  <c r="O96" i="1"/>
  <c r="O139" i="1"/>
  <c r="O41" i="1" a="1"/>
  <c r="P96" i="1"/>
  <c r="P139" i="1"/>
  <c r="P41" i="1" a="1"/>
  <c r="Q96" i="1"/>
  <c r="Q139" i="1"/>
  <c r="Q41" i="1" a="1"/>
  <c r="R96" i="1"/>
  <c r="R139" i="1"/>
  <c r="R41" i="1" a="1"/>
  <c r="S96" i="1"/>
  <c r="S139" i="1"/>
  <c r="S41" i="1" a="1"/>
  <c r="T96" i="1"/>
  <c r="T139" i="1"/>
  <c r="T41" i="1" a="1"/>
  <c r="U96" i="1"/>
  <c r="U139" i="1"/>
  <c r="U41" i="1" a="1"/>
  <c r="V96" i="1"/>
  <c r="V139" i="1"/>
  <c r="V41" i="1" a="1"/>
  <c r="W96" i="1"/>
  <c r="W139" i="1"/>
  <c r="W41" i="1" a="1"/>
  <c r="X96" i="1"/>
  <c r="X139" i="1"/>
  <c r="X41" i="1" a="1"/>
  <c r="Y96" i="1"/>
  <c r="Y139" i="1"/>
  <c r="Z96" i="1"/>
  <c r="Z139" i="1"/>
  <c r="AA96" i="1"/>
  <c r="AA139" i="1"/>
  <c r="AB96" i="1"/>
  <c r="AB139" i="1"/>
  <c r="AC96" i="1"/>
  <c r="AC139" i="1"/>
  <c r="AD96" i="1"/>
  <c r="AD139" i="1"/>
  <c r="AE96" i="1"/>
  <c r="AE139" i="1"/>
  <c r="AF96" i="1"/>
  <c r="AF139" i="1"/>
  <c r="AG96" i="1"/>
  <c r="AG139" i="1"/>
  <c r="AH96" i="1"/>
  <c r="AH139" i="1"/>
  <c r="AI96" i="1"/>
  <c r="AI139" i="1"/>
  <c r="AJ96" i="1"/>
  <c r="AJ139" i="1"/>
  <c r="AK96" i="1"/>
  <c r="AK139" i="1"/>
  <c r="AL96" i="1"/>
  <c r="AL139" i="1"/>
  <c r="AM96" i="1"/>
  <c r="AM139" i="1"/>
  <c r="AN96" i="1"/>
  <c r="AN139" i="1"/>
  <c r="AO96" i="1"/>
  <c r="AO139" i="1"/>
  <c r="B97" i="1"/>
  <c r="B140" i="1"/>
  <c r="C97" i="1"/>
  <c r="C140" i="1"/>
  <c r="B67" i="1"/>
  <c r="K8" i="1" a="1"/>
  <c r="K8" i="1"/>
  <c r="D97" i="1"/>
  <c r="D140" i="1"/>
  <c r="E97" i="1"/>
  <c r="E140" i="1"/>
  <c r="F97" i="1"/>
  <c r="F140" i="1"/>
  <c r="C67" i="1"/>
  <c r="L8" i="1" a="1"/>
  <c r="L8" i="1"/>
  <c r="G97" i="1"/>
  <c r="G140" i="1"/>
  <c r="H97" i="1"/>
  <c r="H140" i="1"/>
  <c r="I97" i="1"/>
  <c r="I140" i="1"/>
  <c r="J97" i="1"/>
  <c r="J140" i="1"/>
  <c r="D67" i="1"/>
  <c r="M8" i="1" a="1"/>
  <c r="M8" i="1"/>
  <c r="K97" i="1"/>
  <c r="K140" i="1"/>
  <c r="L97" i="1"/>
  <c r="L140" i="1"/>
  <c r="M97" i="1"/>
  <c r="M140" i="1"/>
  <c r="M42" i="1" a="1"/>
  <c r="N97" i="1"/>
  <c r="N140" i="1"/>
  <c r="O97" i="1"/>
  <c r="E67" i="1"/>
  <c r="N8" i="1" a="1"/>
  <c r="N8" i="1"/>
  <c r="O140" i="1"/>
  <c r="O42" i="1" a="1"/>
  <c r="P97" i="1"/>
  <c r="P140" i="1"/>
  <c r="P42" i="1" a="1"/>
  <c r="Q97" i="1"/>
  <c r="Q140" i="1"/>
  <c r="R97" i="1"/>
  <c r="R140" i="1"/>
  <c r="F67" i="1"/>
  <c r="O8" i="1" a="1"/>
  <c r="O8" i="1"/>
  <c r="Q42" i="1" s="1" a="1"/>
  <c r="R42" i="1" a="1"/>
  <c r="S97" i="1"/>
  <c r="S140" i="1"/>
  <c r="S42" i="1" a="1"/>
  <c r="T97" i="1"/>
  <c r="T140" i="1"/>
  <c r="T42" i="1" a="1"/>
  <c r="U97" i="1"/>
  <c r="U140" i="1"/>
  <c r="U42" i="1" a="1"/>
  <c r="V97" i="1"/>
  <c r="G67" i="1"/>
  <c r="G5" i="1"/>
  <c r="S7" i="1" s="1" a="1"/>
  <c r="S7" i="1" s="1"/>
  <c r="P8" i="1" a="1"/>
  <c r="P8" i="1"/>
  <c r="V140" i="1"/>
  <c r="V42" i="1" a="1"/>
  <c r="W97" i="1"/>
  <c r="W140" i="1"/>
  <c r="W42" i="1" a="1"/>
  <c r="X97" i="1"/>
  <c r="X140" i="1"/>
  <c r="X42" i="1" a="1"/>
  <c r="Y97" i="1"/>
  <c r="Y140" i="1"/>
  <c r="H67" i="1"/>
  <c r="Q8" i="1" a="1"/>
  <c r="Q8" i="1"/>
  <c r="Z97" i="1"/>
  <c r="Z140" i="1"/>
  <c r="AA97" i="1"/>
  <c r="AA140" i="1"/>
  <c r="AB97" i="1"/>
  <c r="AB140" i="1"/>
  <c r="AC97" i="1"/>
  <c r="AC140" i="1"/>
  <c r="AD97" i="1"/>
  <c r="AD140" i="1"/>
  <c r="I67" i="1"/>
  <c r="R8" i="1" a="1"/>
  <c r="R8" i="1"/>
  <c r="AE97" i="1"/>
  <c r="AE140" i="1"/>
  <c r="AF97" i="1"/>
  <c r="AF140" i="1"/>
  <c r="AG97" i="1"/>
  <c r="AG140" i="1"/>
  <c r="AH97" i="1"/>
  <c r="J67" i="1"/>
  <c r="S8" i="1" a="1"/>
  <c r="S8" i="1"/>
  <c r="AH140" i="1"/>
  <c r="AI97" i="1"/>
  <c r="AI140" i="1"/>
  <c r="AI42" i="1" a="1"/>
  <c r="AJ97" i="1"/>
  <c r="AJ140" i="1"/>
  <c r="AJ42" i="1" a="1"/>
  <c r="AK97" i="1"/>
  <c r="AK140" i="1"/>
  <c r="AL97" i="1"/>
  <c r="K67" i="1"/>
  <c r="T8" i="1" a="1"/>
  <c r="T8" i="1"/>
  <c r="AL140" i="1"/>
  <c r="AM97" i="1"/>
  <c r="AM140" i="1"/>
  <c r="AN97" i="1"/>
  <c r="AN140" i="1"/>
  <c r="AO97" i="1"/>
  <c r="AO140" i="1"/>
  <c r="B98" i="1"/>
  <c r="B141" i="1"/>
  <c r="N66" i="1"/>
  <c r="X5" i="1"/>
  <c r="C98" i="1"/>
  <c r="C141" i="1"/>
  <c r="D98" i="1"/>
  <c r="D141" i="1"/>
  <c r="E98" i="1"/>
  <c r="E141" i="1"/>
  <c r="F98" i="1"/>
  <c r="F141" i="1"/>
  <c r="G98" i="1"/>
  <c r="G141" i="1"/>
  <c r="H98" i="1"/>
  <c r="H141" i="1"/>
  <c r="I98" i="1"/>
  <c r="I141" i="1"/>
  <c r="O66" i="1"/>
  <c r="J98" i="1"/>
  <c r="J141" i="1"/>
  <c r="K98" i="1"/>
  <c r="K141" i="1"/>
  <c r="L98" i="1"/>
  <c r="L141" i="1"/>
  <c r="M98" i="1"/>
  <c r="M141" i="1"/>
  <c r="N98" i="1"/>
  <c r="N141" i="1"/>
  <c r="P66" i="1"/>
  <c r="O98" i="1"/>
  <c r="O141" i="1"/>
  <c r="P98" i="1"/>
  <c r="P141" i="1"/>
  <c r="Q98" i="1"/>
  <c r="Q141" i="1"/>
  <c r="R98" i="1"/>
  <c r="R141" i="1"/>
  <c r="Q66" i="1"/>
  <c r="Z5" i="1"/>
  <c r="S98" i="1"/>
  <c r="S141" i="1"/>
  <c r="T98" i="1"/>
  <c r="T141" i="1"/>
  <c r="U98" i="1"/>
  <c r="U141" i="1"/>
  <c r="V98" i="1"/>
  <c r="V141" i="1"/>
  <c r="W98" i="1"/>
  <c r="W141" i="1"/>
  <c r="R66" i="1"/>
  <c r="W43" i="1" a="1"/>
  <c r="X98" i="1"/>
  <c r="X141" i="1"/>
  <c r="X43" i="1" a="1"/>
  <c r="Y98" i="1"/>
  <c r="Y141" i="1"/>
  <c r="Y43" i="1" a="1"/>
  <c r="Z98" i="1"/>
  <c r="Z141" i="1"/>
  <c r="AA98" i="1"/>
  <c r="AA141" i="1"/>
  <c r="AB98" i="1"/>
  <c r="AB141" i="1"/>
  <c r="S66" i="1"/>
  <c r="AC98" i="1"/>
  <c r="AC141" i="1"/>
  <c r="AD98" i="1"/>
  <c r="AD141" i="1"/>
  <c r="AA5" i="1"/>
  <c r="AE98" i="1"/>
  <c r="AE141" i="1"/>
  <c r="AF98" i="1"/>
  <c r="AF141" i="1"/>
  <c r="AG98" i="1"/>
  <c r="AG141" i="1"/>
  <c r="T66" i="1"/>
  <c r="AJ7" i="1" a="1"/>
  <c r="AJ7" i="1"/>
  <c r="AG43" i="1" a="1"/>
  <c r="AH98" i="1"/>
  <c r="AH141" i="1"/>
  <c r="AI98" i="1"/>
  <c r="AI141" i="1"/>
  <c r="AI43" i="1" a="1"/>
  <c r="AJ98" i="1"/>
  <c r="AJ141" i="1"/>
  <c r="U66" i="1"/>
  <c r="AK7" i="1" a="1"/>
  <c r="AK7" i="1"/>
  <c r="AJ43" i="1" a="1"/>
  <c r="AK98" i="1"/>
  <c r="AK141" i="1"/>
  <c r="AL98" i="1"/>
  <c r="AL141" i="1"/>
  <c r="AM98" i="1"/>
  <c r="AM141" i="1"/>
  <c r="AN98" i="1"/>
  <c r="AN141" i="1"/>
  <c r="AO98" i="1"/>
  <c r="AO141" i="1"/>
  <c r="B99" i="1"/>
  <c r="B142" i="1"/>
  <c r="C99" i="1"/>
  <c r="C142" i="1"/>
  <c r="D99" i="1"/>
  <c r="D142" i="1"/>
  <c r="E99" i="1"/>
  <c r="E142" i="1"/>
  <c r="F99" i="1"/>
  <c r="F142" i="1"/>
  <c r="G99" i="1"/>
  <c r="G142" i="1"/>
  <c r="H99" i="1"/>
  <c r="H142" i="1"/>
  <c r="I99" i="1"/>
  <c r="I142" i="1"/>
  <c r="J99" i="1"/>
  <c r="J142" i="1"/>
  <c r="K99" i="1"/>
  <c r="K142" i="1"/>
  <c r="L99" i="1"/>
  <c r="L142" i="1"/>
  <c r="M99" i="1"/>
  <c r="M142" i="1"/>
  <c r="N99" i="1"/>
  <c r="N142" i="1"/>
  <c r="O99" i="1"/>
  <c r="O142" i="1"/>
  <c r="P99" i="1"/>
  <c r="P142" i="1"/>
  <c r="Q99" i="1"/>
  <c r="Q142" i="1"/>
  <c r="R99" i="1"/>
  <c r="R142" i="1"/>
  <c r="S99" i="1"/>
  <c r="S142" i="1"/>
  <c r="T99" i="1"/>
  <c r="T142" i="1"/>
  <c r="U99" i="1"/>
  <c r="U142" i="1"/>
  <c r="V99" i="1"/>
  <c r="V142" i="1"/>
  <c r="W99" i="1"/>
  <c r="W142" i="1"/>
  <c r="W44" i="1" a="1"/>
  <c r="X99" i="1"/>
  <c r="X142" i="1"/>
  <c r="Y99" i="1"/>
  <c r="Y142" i="1"/>
  <c r="Z99" i="1"/>
  <c r="Z142" i="1"/>
  <c r="AA99" i="1"/>
  <c r="AA142" i="1"/>
  <c r="AB99" i="1"/>
  <c r="AB142" i="1"/>
  <c r="AC99" i="1"/>
  <c r="AC142" i="1"/>
  <c r="AD99" i="1"/>
  <c r="AD142" i="1"/>
  <c r="AE99" i="1"/>
  <c r="AE142" i="1"/>
  <c r="AF99" i="1"/>
  <c r="AF142" i="1"/>
  <c r="AF44" i="1" a="1"/>
  <c r="AG99" i="1"/>
  <c r="AG142" i="1"/>
  <c r="AG44" i="1" a="1"/>
  <c r="AH99" i="1"/>
  <c r="AH142" i="1"/>
  <c r="AH44" i="1" a="1"/>
  <c r="AI99" i="1"/>
  <c r="AI142" i="1"/>
  <c r="AI44" i="1" a="1"/>
  <c r="AJ99" i="1"/>
  <c r="AJ142" i="1"/>
  <c r="AJ44" i="1" a="1"/>
  <c r="AK99" i="1"/>
  <c r="AK142" i="1"/>
  <c r="AK44" i="1" a="1"/>
  <c r="AL99" i="1"/>
  <c r="AL142" i="1"/>
  <c r="AL44" i="1" a="1"/>
  <c r="AM99" i="1"/>
  <c r="AM142" i="1"/>
  <c r="AM44" i="1" a="1"/>
  <c r="AN99" i="1"/>
  <c r="AN142" i="1"/>
  <c r="AN44" i="1" a="1"/>
  <c r="AO99" i="1"/>
  <c r="AO142" i="1"/>
  <c r="B100" i="1"/>
  <c r="B143" i="1"/>
  <c r="C100" i="1"/>
  <c r="C143" i="1"/>
  <c r="D100" i="1"/>
  <c r="D143" i="1"/>
  <c r="E100" i="1"/>
  <c r="E143" i="1"/>
  <c r="F100" i="1"/>
  <c r="F143" i="1"/>
  <c r="G100" i="1"/>
  <c r="G143" i="1"/>
  <c r="H100" i="1"/>
  <c r="H143" i="1"/>
  <c r="I100" i="1"/>
  <c r="I143" i="1"/>
  <c r="J100" i="1"/>
  <c r="J143" i="1"/>
  <c r="K100" i="1"/>
  <c r="K143" i="1"/>
  <c r="L100" i="1"/>
  <c r="L143" i="1"/>
  <c r="M100" i="1"/>
  <c r="M143" i="1"/>
  <c r="N100" i="1"/>
  <c r="N143" i="1"/>
  <c r="O100" i="1"/>
  <c r="O143" i="1"/>
  <c r="P100" i="1"/>
  <c r="P143" i="1"/>
  <c r="Q100" i="1"/>
  <c r="Q143" i="1"/>
  <c r="R100" i="1"/>
  <c r="R143" i="1"/>
  <c r="S100" i="1"/>
  <c r="S143" i="1"/>
  <c r="T100" i="1"/>
  <c r="T143" i="1"/>
  <c r="U100" i="1"/>
  <c r="U143" i="1"/>
  <c r="V100" i="1"/>
  <c r="V143" i="1"/>
  <c r="W100" i="1"/>
  <c r="W143" i="1"/>
  <c r="X100" i="1"/>
  <c r="X143" i="1"/>
  <c r="Y100" i="1"/>
  <c r="Y143" i="1"/>
  <c r="Z100" i="1"/>
  <c r="Z143" i="1"/>
  <c r="AA100" i="1"/>
  <c r="AA143" i="1"/>
  <c r="AB100" i="1"/>
  <c r="AB143" i="1"/>
  <c r="AC100" i="1"/>
  <c r="AC143" i="1"/>
  <c r="AD100" i="1"/>
  <c r="AD143" i="1"/>
  <c r="AE100" i="1"/>
  <c r="AE143" i="1"/>
  <c r="AF100" i="1"/>
  <c r="AF143" i="1"/>
  <c r="AG100" i="1"/>
  <c r="AG143" i="1"/>
  <c r="AG45" i="1" a="1"/>
  <c r="AH100" i="1"/>
  <c r="AH143" i="1"/>
  <c r="AH45" i="1" a="1"/>
  <c r="AI100" i="1"/>
  <c r="AI143" i="1"/>
  <c r="AI45" i="1" a="1"/>
  <c r="AJ100" i="1"/>
  <c r="AJ143" i="1"/>
  <c r="AJ45" i="1" a="1"/>
  <c r="AK100" i="1"/>
  <c r="AK143" i="1"/>
  <c r="AK45" i="1" a="1"/>
  <c r="AL100" i="1"/>
  <c r="AL143" i="1"/>
  <c r="AL45" i="1" a="1"/>
  <c r="AM100" i="1"/>
  <c r="AM143" i="1"/>
  <c r="AM45" i="1" a="1"/>
  <c r="AN100" i="1"/>
  <c r="AN143" i="1"/>
  <c r="AN45" i="1" a="1"/>
  <c r="AO100" i="1"/>
  <c r="AO143" i="1"/>
  <c r="B101" i="1"/>
  <c r="B68" i="1"/>
  <c r="D6" i="1"/>
  <c r="B144" i="1"/>
  <c r="C101" i="1"/>
  <c r="C144" i="1"/>
  <c r="D101" i="1"/>
  <c r="D144" i="1"/>
  <c r="E101" i="1"/>
  <c r="E144" i="1"/>
  <c r="F101" i="1"/>
  <c r="F144" i="1"/>
  <c r="C68" i="1"/>
  <c r="G101" i="1"/>
  <c r="G144" i="1"/>
  <c r="H101" i="1"/>
  <c r="H144" i="1"/>
  <c r="I101" i="1"/>
  <c r="I144" i="1"/>
  <c r="J101" i="1"/>
  <c r="E6" i="1"/>
  <c r="L9" i="1" s="1" a="1"/>
  <c r="L9" i="1" s="1"/>
  <c r="J144" i="1"/>
  <c r="K101" i="1"/>
  <c r="K144" i="1"/>
  <c r="L101" i="1"/>
  <c r="L144" i="1"/>
  <c r="D68" i="1"/>
  <c r="M9" i="1" a="1"/>
  <c r="M9" i="1"/>
  <c r="M101" i="1"/>
  <c r="M144" i="1"/>
  <c r="N101" i="1"/>
  <c r="N144" i="1"/>
  <c r="E68" i="1"/>
  <c r="O101" i="1"/>
  <c r="O144" i="1"/>
  <c r="P101" i="1"/>
  <c r="P144" i="1"/>
  <c r="Q101" i="1"/>
  <c r="Q144" i="1"/>
  <c r="R101" i="1"/>
  <c r="R144" i="1"/>
  <c r="S101" i="1"/>
  <c r="F68" i="1"/>
  <c r="F6" i="1"/>
  <c r="N9" i="1" s="1" a="1"/>
  <c r="N9" i="1" s="1"/>
  <c r="O9" i="1" a="1"/>
  <c r="O9" i="1"/>
  <c r="S144" i="1"/>
  <c r="T101" i="1"/>
  <c r="T144" i="1"/>
  <c r="U101" i="1"/>
  <c r="G68" i="1"/>
  <c r="U144" i="1"/>
  <c r="V101" i="1"/>
  <c r="V144" i="1"/>
  <c r="W101" i="1"/>
  <c r="W144" i="1"/>
  <c r="X101" i="1"/>
  <c r="X144" i="1"/>
  <c r="Y101" i="1"/>
  <c r="Y144" i="1"/>
  <c r="Z101" i="1"/>
  <c r="Z144" i="1"/>
  <c r="AA101" i="1"/>
  <c r="AA144" i="1"/>
  <c r="AB101" i="1"/>
  <c r="AB144" i="1"/>
  <c r="AC101" i="1"/>
  <c r="H68" i="1"/>
  <c r="G6" i="1"/>
  <c r="P9" i="1" s="1" a="1"/>
  <c r="P9" i="1" s="1"/>
  <c r="Q9" i="1" a="1"/>
  <c r="Q9" i="1"/>
  <c r="AC144" i="1"/>
  <c r="AD101" i="1"/>
  <c r="AD144" i="1"/>
  <c r="AE101" i="1"/>
  <c r="AE144" i="1"/>
  <c r="I68" i="1"/>
  <c r="H6" i="1"/>
  <c r="K9" i="1" s="1" a="1"/>
  <c r="K9" i="1" s="1"/>
  <c r="R9" i="1" a="1"/>
  <c r="R9" i="1"/>
  <c r="AF101" i="1"/>
  <c r="AF144" i="1"/>
  <c r="AG101" i="1"/>
  <c r="AG144" i="1"/>
  <c r="AH101" i="1"/>
  <c r="AH144" i="1"/>
  <c r="AI101" i="1"/>
  <c r="AI144" i="1"/>
  <c r="J68" i="1"/>
  <c r="S9" i="1" a="1"/>
  <c r="S9" i="1"/>
  <c r="AI46" i="1" a="1"/>
  <c r="AJ101" i="1"/>
  <c r="AJ144" i="1"/>
  <c r="AJ46" i="1" a="1"/>
  <c r="AK101" i="1"/>
  <c r="AK144" i="1"/>
  <c r="AL101" i="1"/>
  <c r="AL144" i="1"/>
  <c r="AM101" i="1"/>
  <c r="AM144" i="1"/>
  <c r="AN101" i="1"/>
  <c r="K68" i="1"/>
  <c r="T9" i="1" a="1"/>
  <c r="T9" i="1"/>
  <c r="AN144" i="1"/>
  <c r="AN46" i="1" a="1"/>
  <c r="AO101" i="1"/>
  <c r="AO144" i="1"/>
  <c r="B102" i="1"/>
  <c r="B145" i="1"/>
  <c r="C102" i="1"/>
  <c r="C145" i="1"/>
  <c r="D102" i="1"/>
  <c r="D145" i="1"/>
  <c r="E102" i="1"/>
  <c r="E145" i="1"/>
  <c r="F102" i="1"/>
  <c r="F145" i="1"/>
  <c r="G102" i="1"/>
  <c r="G145" i="1"/>
  <c r="H102" i="1"/>
  <c r="H145" i="1"/>
  <c r="I102" i="1"/>
  <c r="I145" i="1"/>
  <c r="J102" i="1"/>
  <c r="J145" i="1"/>
  <c r="K102" i="1"/>
  <c r="K145" i="1"/>
  <c r="L102" i="1"/>
  <c r="L145" i="1"/>
  <c r="M102" i="1"/>
  <c r="M145" i="1"/>
  <c r="N102" i="1"/>
  <c r="N145" i="1"/>
  <c r="O102" i="1"/>
  <c r="O145" i="1"/>
  <c r="P102" i="1"/>
  <c r="P145" i="1"/>
  <c r="Q102" i="1"/>
  <c r="Q145" i="1"/>
  <c r="R102" i="1"/>
  <c r="R145" i="1"/>
  <c r="S102" i="1"/>
  <c r="S145" i="1"/>
  <c r="T102" i="1"/>
  <c r="T145" i="1"/>
  <c r="U102" i="1"/>
  <c r="U145" i="1"/>
  <c r="V102" i="1"/>
  <c r="V145" i="1"/>
  <c r="W102" i="1"/>
  <c r="W145" i="1"/>
  <c r="X102" i="1"/>
  <c r="X145" i="1"/>
  <c r="Y102" i="1"/>
  <c r="Y145" i="1"/>
  <c r="Z102" i="1"/>
  <c r="Z145" i="1"/>
  <c r="AA102" i="1"/>
  <c r="AA145" i="1"/>
  <c r="AB102" i="1"/>
  <c r="AB145" i="1"/>
  <c r="AC102" i="1"/>
  <c r="AC145" i="1"/>
  <c r="AD102" i="1"/>
  <c r="AD145" i="1"/>
  <c r="AE102" i="1"/>
  <c r="AE145" i="1"/>
  <c r="AF102" i="1"/>
  <c r="AF145" i="1"/>
  <c r="AG102" i="1"/>
  <c r="AG145" i="1"/>
  <c r="AG47" i="1" a="1"/>
  <c r="AH102" i="1"/>
  <c r="AH145" i="1"/>
  <c r="AH47" i="1" a="1"/>
  <c r="AI102" i="1"/>
  <c r="AI145" i="1"/>
  <c r="AI47" i="1" a="1"/>
  <c r="AJ102" i="1"/>
  <c r="AJ145" i="1"/>
  <c r="AJ47" i="1" a="1"/>
  <c r="AK102" i="1"/>
  <c r="AK145" i="1"/>
  <c r="AK47" i="1" a="1"/>
  <c r="AL102" i="1"/>
  <c r="AL145" i="1"/>
  <c r="AL47" i="1" a="1"/>
  <c r="AM102" i="1"/>
  <c r="AM145" i="1"/>
  <c r="AM47" i="1" a="1"/>
  <c r="AN102" i="1"/>
  <c r="AN145" i="1"/>
  <c r="AN47" i="1" a="1"/>
  <c r="AO102" i="1"/>
  <c r="AO145" i="1"/>
  <c r="B103" i="1"/>
  <c r="B146" i="1"/>
  <c r="C103" i="1"/>
  <c r="C146" i="1"/>
  <c r="N67" i="1"/>
  <c r="AD8" i="1" a="1"/>
  <c r="AD8" i="1"/>
  <c r="D103" i="1"/>
  <c r="D146" i="1"/>
  <c r="E103" i="1"/>
  <c r="E146" i="1"/>
  <c r="F103" i="1"/>
  <c r="F146" i="1"/>
  <c r="G103" i="1"/>
  <c r="G146" i="1"/>
  <c r="O67" i="1"/>
  <c r="Y5" i="1"/>
  <c r="AE8" i="1" a="1"/>
  <c r="AE8" i="1"/>
  <c r="H103" i="1"/>
  <c r="H146" i="1"/>
  <c r="I103" i="1"/>
  <c r="I146" i="1"/>
  <c r="J103" i="1"/>
  <c r="J146" i="1"/>
  <c r="K103" i="1"/>
  <c r="K146" i="1"/>
  <c r="L103" i="1"/>
  <c r="L146" i="1"/>
  <c r="M103" i="1"/>
  <c r="M146" i="1"/>
  <c r="P67" i="1"/>
  <c r="AF8" i="1" a="1"/>
  <c r="AF8" i="1"/>
  <c r="N103" i="1"/>
  <c r="N146" i="1"/>
  <c r="O103" i="1"/>
  <c r="O146" i="1"/>
  <c r="P103" i="1"/>
  <c r="P146" i="1"/>
  <c r="Q103" i="1"/>
  <c r="Q146" i="1"/>
  <c r="Q67" i="1"/>
  <c r="AG8" i="1" a="1"/>
  <c r="AG8" i="1"/>
  <c r="R103" i="1"/>
  <c r="R146" i="1"/>
  <c r="R48" i="1" a="1"/>
  <c r="S103" i="1"/>
  <c r="S146" i="1"/>
  <c r="T103" i="1"/>
  <c r="T146" i="1"/>
  <c r="U103" i="1"/>
  <c r="U146" i="1"/>
  <c r="R67" i="1"/>
  <c r="AH8" i="1" a="1"/>
  <c r="AH8" i="1"/>
  <c r="U48" i="1" a="1"/>
  <c r="V103" i="1"/>
  <c r="V146" i="1"/>
  <c r="W103" i="1"/>
  <c r="W146" i="1"/>
  <c r="W48" i="1" a="1"/>
  <c r="X103" i="1"/>
  <c r="X146" i="1"/>
  <c r="Y103" i="1"/>
  <c r="Y146" i="1"/>
  <c r="Y48" i="1" a="1"/>
  <c r="Z103" i="1"/>
  <c r="Z146" i="1"/>
  <c r="AA103" i="1"/>
  <c r="AA146" i="1"/>
  <c r="AB103" i="1"/>
  <c r="AB146" i="1"/>
  <c r="AC103" i="1"/>
  <c r="AC146" i="1"/>
  <c r="S67" i="1"/>
  <c r="AI8" i="1" a="1"/>
  <c r="AI8" i="1"/>
  <c r="AD103" i="1"/>
  <c r="AD146" i="1"/>
  <c r="AE103" i="1"/>
  <c r="AE146" i="1"/>
  <c r="AF103" i="1"/>
  <c r="AF146" i="1"/>
  <c r="T67" i="1"/>
  <c r="AJ8" i="1" a="1"/>
  <c r="AJ8" i="1"/>
  <c r="AF48" i="1" a="1"/>
  <c r="AG103" i="1"/>
  <c r="AG146" i="1"/>
  <c r="AG48" i="1" a="1"/>
  <c r="AH103" i="1"/>
  <c r="AH146" i="1"/>
  <c r="AH48" i="1" a="1"/>
  <c r="AI103" i="1"/>
  <c r="AI146" i="1"/>
  <c r="AI48" i="1" a="1"/>
  <c r="AJ103" i="1"/>
  <c r="AJ146" i="1"/>
  <c r="AJ48" i="1" a="1"/>
  <c r="AK103" i="1"/>
  <c r="AK146" i="1"/>
  <c r="AL103" i="1"/>
  <c r="AL146" i="1"/>
  <c r="U67" i="1"/>
  <c r="AK8" i="1" a="1"/>
  <c r="AK8" i="1"/>
  <c r="AK48" i="1" s="1" a="1"/>
  <c r="AL48" i="1" a="1"/>
  <c r="AM103" i="1"/>
  <c r="AM146" i="1"/>
  <c r="AM48" i="1" a="1"/>
  <c r="AN103" i="1"/>
  <c r="AN146" i="1"/>
  <c r="AN48" i="1" a="1"/>
  <c r="AO103" i="1"/>
  <c r="AO146" i="1"/>
  <c r="AO48" i="1" a="1"/>
  <c r="B104" i="1"/>
  <c r="B147" i="1"/>
  <c r="C104" i="1"/>
  <c r="C147" i="1"/>
  <c r="D104" i="1"/>
  <c r="D147" i="1"/>
  <c r="E104" i="1"/>
  <c r="E147" i="1"/>
  <c r="F104" i="1"/>
  <c r="F147" i="1"/>
  <c r="G104" i="1"/>
  <c r="G147" i="1"/>
  <c r="H104" i="1"/>
  <c r="H147" i="1"/>
  <c r="I104" i="1"/>
  <c r="I147" i="1"/>
  <c r="J104" i="1"/>
  <c r="J147" i="1"/>
  <c r="K104" i="1"/>
  <c r="K147" i="1"/>
  <c r="L104" i="1"/>
  <c r="L147" i="1"/>
  <c r="M104" i="1"/>
  <c r="M147" i="1"/>
  <c r="N104" i="1"/>
  <c r="N147" i="1"/>
  <c r="O104" i="1"/>
  <c r="O147" i="1"/>
  <c r="P104" i="1"/>
  <c r="P147" i="1"/>
  <c r="Q104" i="1"/>
  <c r="Q147" i="1"/>
  <c r="R104" i="1"/>
  <c r="R147" i="1"/>
  <c r="S104" i="1"/>
  <c r="S147" i="1"/>
  <c r="S49" i="1" a="1"/>
  <c r="T104" i="1"/>
  <c r="T147" i="1"/>
  <c r="T49" i="1" a="1"/>
  <c r="U104" i="1"/>
  <c r="U147" i="1"/>
  <c r="V104" i="1"/>
  <c r="V147" i="1"/>
  <c r="V49" i="1" a="1"/>
  <c r="W104" i="1"/>
  <c r="W147" i="1"/>
  <c r="W49" i="1" a="1"/>
  <c r="X104" i="1"/>
  <c r="X147" i="1"/>
  <c r="X49" i="1" a="1"/>
  <c r="Y104" i="1"/>
  <c r="Y147" i="1"/>
  <c r="Z104" i="1"/>
  <c r="Z147" i="1"/>
  <c r="AA104" i="1"/>
  <c r="AA147" i="1"/>
  <c r="AB104" i="1"/>
  <c r="AB147" i="1"/>
  <c r="AC104" i="1"/>
  <c r="AC147" i="1"/>
  <c r="AD104" i="1"/>
  <c r="AD147" i="1"/>
  <c r="AE104" i="1"/>
  <c r="AE147" i="1"/>
  <c r="AE49" i="1" a="1"/>
  <c r="AF104" i="1"/>
  <c r="AF147" i="1"/>
  <c r="AF49" i="1" a="1"/>
  <c r="AG104" i="1"/>
  <c r="AG147" i="1"/>
  <c r="AG49" i="1" a="1"/>
  <c r="AH104" i="1"/>
  <c r="AH147" i="1"/>
  <c r="AH49" i="1" a="1"/>
  <c r="AI104" i="1"/>
  <c r="AI147" i="1"/>
  <c r="AI49" i="1" a="1"/>
  <c r="AJ104" i="1"/>
  <c r="AJ147" i="1"/>
  <c r="AJ49" i="1" a="1"/>
  <c r="AK104" i="1"/>
  <c r="AK147" i="1"/>
  <c r="AK49" i="1" a="1"/>
  <c r="AL104" i="1"/>
  <c r="AL147" i="1"/>
  <c r="AL49" i="1" a="1"/>
  <c r="AM104" i="1"/>
  <c r="AM147" i="1"/>
  <c r="AM49" i="1" a="1"/>
  <c r="AN104" i="1"/>
  <c r="AN147" i="1"/>
  <c r="AN49" i="1" a="1"/>
  <c r="AO104" i="1"/>
  <c r="AO147" i="1"/>
  <c r="B105" i="1"/>
  <c r="B148" i="1"/>
  <c r="K69" i="1"/>
  <c r="T10" i="1" a="1"/>
  <c r="T10" i="1"/>
  <c r="B69" i="1"/>
  <c r="K10" i="1" a="1"/>
  <c r="K10" i="1"/>
  <c r="B50" i="1" a="1"/>
  <c r="C105" i="1"/>
  <c r="C148" i="1"/>
  <c r="C50" i="1" a="1"/>
  <c r="D105" i="1"/>
  <c r="D148" i="1"/>
  <c r="D50" i="1" a="1"/>
  <c r="E105" i="1"/>
  <c r="E148" i="1"/>
  <c r="E50" i="1" a="1"/>
  <c r="F105" i="1"/>
  <c r="F148" i="1"/>
  <c r="C69" i="1"/>
  <c r="L10" i="1" a="1"/>
  <c r="L10" i="1"/>
  <c r="F50" i="1" a="1"/>
  <c r="G105" i="1"/>
  <c r="G148" i="1"/>
  <c r="G50" i="1" a="1"/>
  <c r="H105" i="1"/>
  <c r="H148" i="1"/>
  <c r="H50" i="1" a="1"/>
  <c r="I105" i="1"/>
  <c r="I148" i="1"/>
  <c r="J105" i="1"/>
  <c r="J148" i="1"/>
  <c r="K105" i="1"/>
  <c r="K148" i="1"/>
  <c r="D69" i="1"/>
  <c r="M10" i="1" a="1"/>
  <c r="M10" i="1"/>
  <c r="K50" i="1" a="1"/>
  <c r="L105" i="1"/>
  <c r="L148" i="1"/>
  <c r="L50" i="1" a="1"/>
  <c r="M105" i="1"/>
  <c r="M148" i="1"/>
  <c r="E69" i="1"/>
  <c r="N10" i="1" a="1"/>
  <c r="N10" i="1"/>
  <c r="M50" i="1" a="1"/>
  <c r="N105" i="1"/>
  <c r="N148" i="1"/>
  <c r="N50" i="1" a="1"/>
  <c r="O105" i="1"/>
  <c r="O148" i="1"/>
  <c r="O50" i="1" a="1"/>
  <c r="P105" i="1"/>
  <c r="P148" i="1"/>
  <c r="P50" i="1" a="1"/>
  <c r="Q105" i="1"/>
  <c r="Q148" i="1"/>
  <c r="R105" i="1"/>
  <c r="R148" i="1"/>
  <c r="S105" i="1"/>
  <c r="F69" i="1"/>
  <c r="O10" i="1" a="1"/>
  <c r="O10" i="1"/>
  <c r="S148" i="1"/>
  <c r="S50" i="1" a="1"/>
  <c r="T105" i="1"/>
  <c r="T148" i="1"/>
  <c r="T50" i="1" a="1"/>
  <c r="U105" i="1"/>
  <c r="U148" i="1"/>
  <c r="U50" i="1" a="1"/>
  <c r="V105" i="1"/>
  <c r="V148" i="1"/>
  <c r="W105" i="1"/>
  <c r="G69" i="1"/>
  <c r="P10" i="1" a="1"/>
  <c r="P10" i="1"/>
  <c r="V50" i="1" s="1" a="1"/>
  <c r="W148" i="1"/>
  <c r="W50" i="1" a="1"/>
  <c r="X105" i="1"/>
  <c r="X148" i="1"/>
  <c r="X50" i="1" a="1"/>
  <c r="Y105" i="1"/>
  <c r="Y148" i="1"/>
  <c r="Z105" i="1"/>
  <c r="H69" i="1"/>
  <c r="Q10" i="1" a="1"/>
  <c r="Q10" i="1"/>
  <c r="Y50" i="1" s="1" a="1"/>
  <c r="Z148" i="1"/>
  <c r="Z50" i="1" a="1"/>
  <c r="AA105" i="1"/>
  <c r="AA148" i="1"/>
  <c r="AA50" i="1" a="1"/>
  <c r="AB105" i="1"/>
  <c r="AB148" i="1"/>
  <c r="AB50" i="1" a="1"/>
  <c r="AC105" i="1"/>
  <c r="AC148" i="1"/>
  <c r="I69" i="1"/>
  <c r="R10" i="1" a="1"/>
  <c r="R10" i="1"/>
  <c r="AC50" i="1" a="1"/>
  <c r="AD105" i="1"/>
  <c r="AD148" i="1"/>
  <c r="AD50" i="1" a="1"/>
  <c r="AE105" i="1"/>
  <c r="AE148" i="1"/>
  <c r="AE50" i="1" a="1"/>
  <c r="AF105" i="1"/>
  <c r="AF148" i="1"/>
  <c r="AF50" i="1" a="1"/>
  <c r="AG105" i="1"/>
  <c r="J69" i="1"/>
  <c r="S10" i="1" a="1"/>
  <c r="S10" i="1"/>
  <c r="AG148" i="1"/>
  <c r="AG50" i="1" a="1"/>
  <c r="AH105" i="1"/>
  <c r="AH148" i="1"/>
  <c r="AH50" i="1" a="1"/>
  <c r="AI105" i="1"/>
  <c r="AI148" i="1"/>
  <c r="AI50" i="1" a="1"/>
  <c r="AJ105" i="1"/>
  <c r="AJ148" i="1"/>
  <c r="AJ50" i="1" a="1"/>
  <c r="AK105" i="1"/>
  <c r="AK148" i="1"/>
  <c r="AK50" i="1" a="1"/>
  <c r="AL105" i="1"/>
  <c r="AL148" i="1"/>
  <c r="AL50" i="1" a="1"/>
  <c r="AM105" i="1"/>
  <c r="AM148" i="1"/>
  <c r="AM50" i="1" a="1"/>
  <c r="AN105" i="1"/>
  <c r="AN148" i="1"/>
  <c r="AN50" i="1" a="1"/>
  <c r="AO105" i="1"/>
  <c r="AO148" i="1"/>
  <c r="AO50" i="1" a="1"/>
  <c r="B106" i="1"/>
  <c r="B149" i="1"/>
  <c r="B51" i="1" a="1"/>
  <c r="C106" i="1"/>
  <c r="C149" i="1"/>
  <c r="C51" i="1" a="1"/>
  <c r="D106" i="1"/>
  <c r="D149" i="1"/>
  <c r="D51" i="1" a="1"/>
  <c r="E106" i="1"/>
  <c r="E149" i="1"/>
  <c r="E51" i="1" a="1"/>
  <c r="F106" i="1"/>
  <c r="F149" i="1"/>
  <c r="F51" i="1" a="1"/>
  <c r="G106" i="1"/>
  <c r="G149" i="1"/>
  <c r="G51" i="1" a="1"/>
  <c r="H106" i="1"/>
  <c r="H149" i="1"/>
  <c r="H51" i="1" a="1"/>
  <c r="I106" i="1"/>
  <c r="I149" i="1"/>
  <c r="I51" i="1" a="1"/>
  <c r="J106" i="1"/>
  <c r="J149" i="1"/>
  <c r="J51" i="1" a="1"/>
  <c r="K106" i="1"/>
  <c r="K149" i="1"/>
  <c r="K51" i="1" a="1"/>
  <c r="L106" i="1"/>
  <c r="L149" i="1"/>
  <c r="L51" i="1" a="1"/>
  <c r="M106" i="1"/>
  <c r="M149" i="1"/>
  <c r="M51" i="1" a="1"/>
  <c r="N106" i="1"/>
  <c r="N149" i="1"/>
  <c r="N51" i="1" a="1"/>
  <c r="O106" i="1"/>
  <c r="O149" i="1"/>
  <c r="O51" i="1" a="1"/>
  <c r="P106" i="1"/>
  <c r="P149" i="1"/>
  <c r="P51" i="1" a="1"/>
  <c r="Q106" i="1"/>
  <c r="Q149" i="1"/>
  <c r="Q51" i="1" a="1"/>
  <c r="R106" i="1"/>
  <c r="R149" i="1"/>
  <c r="R51" i="1" a="1"/>
  <c r="S106" i="1"/>
  <c r="S149" i="1"/>
  <c r="S51" i="1" a="1"/>
  <c r="T106" i="1"/>
  <c r="T149" i="1"/>
  <c r="T51" i="1" a="1"/>
  <c r="U106" i="1"/>
  <c r="U149" i="1"/>
  <c r="U51" i="1" a="1"/>
  <c r="V106" i="1"/>
  <c r="V149" i="1"/>
  <c r="V51" i="1" a="1"/>
  <c r="W106" i="1"/>
  <c r="W149" i="1"/>
  <c r="W51" i="1" a="1"/>
  <c r="X106" i="1"/>
  <c r="X149" i="1"/>
  <c r="X51" i="1" a="1"/>
  <c r="Y106" i="1"/>
  <c r="Y149" i="1"/>
  <c r="Y51" i="1" a="1"/>
  <c r="Z106" i="1"/>
  <c r="Z149" i="1"/>
  <c r="Z51" i="1" a="1"/>
  <c r="AA106" i="1"/>
  <c r="AA149" i="1"/>
  <c r="AA51" i="1" a="1"/>
  <c r="AB106" i="1"/>
  <c r="AB149" i="1"/>
  <c r="AB51" i="1" a="1"/>
  <c r="AC106" i="1"/>
  <c r="AC149" i="1"/>
  <c r="AC51" i="1" a="1"/>
  <c r="AD106" i="1"/>
  <c r="AD149" i="1"/>
  <c r="AD51" i="1" a="1"/>
  <c r="AE106" i="1"/>
  <c r="AE149" i="1"/>
  <c r="AE51" i="1" a="1"/>
  <c r="AF106" i="1"/>
  <c r="AF149" i="1"/>
  <c r="AF51" i="1" a="1"/>
  <c r="AG106" i="1"/>
  <c r="AG149" i="1"/>
  <c r="AG51" i="1" a="1"/>
  <c r="AH106" i="1"/>
  <c r="AH149" i="1"/>
  <c r="AH51" i="1" a="1"/>
  <c r="AI106" i="1"/>
  <c r="AI149" i="1"/>
  <c r="AI51" i="1" a="1"/>
  <c r="AJ106" i="1"/>
  <c r="AJ149" i="1"/>
  <c r="AJ51" i="1" a="1"/>
  <c r="AK106" i="1"/>
  <c r="AK149" i="1"/>
  <c r="AK51" i="1" a="1"/>
  <c r="AL106" i="1"/>
  <c r="AL149" i="1"/>
  <c r="AL51" i="1" a="1"/>
  <c r="AM106" i="1"/>
  <c r="AM149" i="1"/>
  <c r="AM51" i="1" a="1"/>
  <c r="AN106" i="1"/>
  <c r="AN149" i="1"/>
  <c r="AN51" i="1" a="1"/>
  <c r="AO106" i="1"/>
  <c r="AO149" i="1"/>
  <c r="AO51" i="1" a="1"/>
  <c r="B107" i="1"/>
  <c r="B150" i="1"/>
  <c r="B52" i="1" a="1"/>
  <c r="C107" i="1"/>
  <c r="C150" i="1"/>
  <c r="C52" i="1" a="1"/>
  <c r="D107" i="1"/>
  <c r="D150" i="1"/>
  <c r="D52" i="1" a="1"/>
  <c r="E107" i="1"/>
  <c r="E150" i="1"/>
  <c r="E52" i="1" a="1"/>
  <c r="F107" i="1"/>
  <c r="F150" i="1"/>
  <c r="F52" i="1" a="1"/>
  <c r="G107" i="1"/>
  <c r="G150" i="1"/>
  <c r="G52" i="1" a="1"/>
  <c r="H107" i="1"/>
  <c r="H150" i="1"/>
  <c r="H52" i="1" a="1"/>
  <c r="I107" i="1"/>
  <c r="I150" i="1"/>
  <c r="I52" i="1" a="1"/>
  <c r="J107" i="1"/>
  <c r="J150" i="1"/>
  <c r="J52" i="1" a="1"/>
  <c r="K107" i="1"/>
  <c r="K150" i="1"/>
  <c r="K52" i="1" a="1"/>
  <c r="L107" i="1"/>
  <c r="L150" i="1"/>
  <c r="L52" i="1" a="1"/>
  <c r="M107" i="1"/>
  <c r="M150" i="1"/>
  <c r="M52" i="1" a="1"/>
  <c r="N107" i="1"/>
  <c r="N150" i="1"/>
  <c r="N52" i="1" a="1"/>
  <c r="O107" i="1"/>
  <c r="O150" i="1"/>
  <c r="O52" i="1" a="1"/>
  <c r="P107" i="1"/>
  <c r="P150" i="1"/>
  <c r="P52" i="1" a="1"/>
  <c r="Q107" i="1"/>
  <c r="Q150" i="1"/>
  <c r="Q52" i="1" a="1"/>
  <c r="R107" i="1"/>
  <c r="R150" i="1"/>
  <c r="R52" i="1" a="1"/>
  <c r="S107" i="1"/>
  <c r="S150" i="1"/>
  <c r="S52" i="1" a="1"/>
  <c r="T107" i="1"/>
  <c r="T150" i="1"/>
  <c r="T52" i="1" a="1"/>
  <c r="U107" i="1"/>
  <c r="U150" i="1"/>
  <c r="U52" i="1" a="1"/>
  <c r="V107" i="1"/>
  <c r="V150" i="1"/>
  <c r="V52" i="1" a="1"/>
  <c r="W107" i="1"/>
  <c r="W150" i="1"/>
  <c r="W52" i="1" a="1"/>
  <c r="X107" i="1"/>
  <c r="X150" i="1"/>
  <c r="X52" i="1" a="1"/>
  <c r="Y107" i="1"/>
  <c r="Y150" i="1"/>
  <c r="Y52" i="1" a="1"/>
  <c r="Z107" i="1"/>
  <c r="Z150" i="1"/>
  <c r="Z52" i="1" a="1"/>
  <c r="AA107" i="1"/>
  <c r="AA150" i="1"/>
  <c r="AA52" i="1" a="1"/>
  <c r="AB107" i="1"/>
  <c r="AB150" i="1"/>
  <c r="AB52" i="1" a="1"/>
  <c r="AC107" i="1"/>
  <c r="AC150" i="1"/>
  <c r="AC52" i="1" a="1"/>
  <c r="AD107" i="1"/>
  <c r="AD150" i="1"/>
  <c r="AD52" i="1" a="1"/>
  <c r="AE107" i="1"/>
  <c r="AE150" i="1"/>
  <c r="AE52" i="1" a="1"/>
  <c r="AF107" i="1"/>
  <c r="AF150" i="1"/>
  <c r="AF52" i="1" a="1"/>
  <c r="AG107" i="1"/>
  <c r="AG150" i="1"/>
  <c r="AG52" i="1" a="1"/>
  <c r="AH107" i="1"/>
  <c r="AH150" i="1"/>
  <c r="AH52" i="1" a="1"/>
  <c r="AI107" i="1"/>
  <c r="AI150" i="1"/>
  <c r="AI52" i="1" a="1"/>
  <c r="AJ107" i="1"/>
  <c r="AJ150" i="1"/>
  <c r="AJ52" i="1" a="1"/>
  <c r="AK107" i="1"/>
  <c r="AK150" i="1"/>
  <c r="AK52" i="1" a="1"/>
  <c r="AL107" i="1"/>
  <c r="AL150" i="1"/>
  <c r="AL52" i="1" a="1"/>
  <c r="AM107" i="1"/>
  <c r="AM150" i="1"/>
  <c r="AM52" i="1" a="1"/>
  <c r="AN107" i="1"/>
  <c r="AN150" i="1"/>
  <c r="AN52" i="1" a="1"/>
  <c r="AO107" i="1"/>
  <c r="AO150" i="1"/>
  <c r="AO52" i="1" a="1"/>
  <c r="B108" i="1"/>
  <c r="B151" i="1"/>
  <c r="N68" i="1"/>
  <c r="AD9" i="1" a="1"/>
  <c r="AD9" i="1"/>
  <c r="C108" i="1"/>
  <c r="C151" i="1"/>
  <c r="C53" i="1" a="1"/>
  <c r="D108" i="1"/>
  <c r="D151" i="1"/>
  <c r="D53" i="1" a="1"/>
  <c r="E108" i="1"/>
  <c r="E151" i="1"/>
  <c r="E53" i="1" a="1"/>
  <c r="F108" i="1"/>
  <c r="F151" i="1"/>
  <c r="O68" i="1"/>
  <c r="AE9" i="1" a="1"/>
  <c r="AE9" i="1"/>
  <c r="F53" i="1" a="1"/>
  <c r="G108" i="1"/>
  <c r="G151" i="1"/>
  <c r="G53" i="1" a="1"/>
  <c r="H108" i="1"/>
  <c r="H151" i="1"/>
  <c r="H53" i="1" a="1"/>
  <c r="I108" i="1"/>
  <c r="I151" i="1"/>
  <c r="I53" i="1" a="1"/>
  <c r="J108" i="1"/>
  <c r="J151" i="1"/>
  <c r="J53" i="1" a="1"/>
  <c r="K108" i="1"/>
  <c r="K151" i="1"/>
  <c r="L108" i="1"/>
  <c r="L151" i="1"/>
  <c r="P68" i="1"/>
  <c r="AF9" i="1" a="1"/>
  <c r="AF9" i="1"/>
  <c r="K53" i="1" s="1" a="1"/>
  <c r="L53" i="1" a="1"/>
  <c r="M108" i="1"/>
  <c r="M151" i="1"/>
  <c r="M53" i="1" a="1"/>
  <c r="N108" i="1"/>
  <c r="N151" i="1"/>
  <c r="N53" i="1" a="1"/>
  <c r="O108" i="1"/>
  <c r="O151" i="1"/>
  <c r="O53" i="1" a="1"/>
  <c r="P108" i="1"/>
  <c r="P151" i="1"/>
  <c r="Q108" i="1"/>
  <c r="Q151" i="1"/>
  <c r="Q68" i="1"/>
  <c r="AG9" i="1" a="1"/>
  <c r="AG9" i="1"/>
  <c r="P53" i="1" s="1" a="1"/>
  <c r="Q53" i="1" a="1"/>
  <c r="R108" i="1"/>
  <c r="R151" i="1"/>
  <c r="R53" i="1" a="1"/>
  <c r="S108" i="1"/>
  <c r="S151" i="1"/>
  <c r="S53" i="1" a="1"/>
  <c r="T108" i="1"/>
  <c r="T151" i="1"/>
  <c r="T53" i="1" a="1"/>
  <c r="U108" i="1"/>
  <c r="U151" i="1"/>
  <c r="R68" i="1"/>
  <c r="AH9" i="1" a="1"/>
  <c r="AH9" i="1"/>
  <c r="U53" i="1" a="1"/>
  <c r="V108" i="1"/>
  <c r="V151" i="1"/>
  <c r="V53" i="1" a="1"/>
  <c r="W108" i="1"/>
  <c r="W151" i="1"/>
  <c r="W53" i="1" a="1"/>
  <c r="X108" i="1"/>
  <c r="X151" i="1"/>
  <c r="X53" i="1" a="1"/>
  <c r="Y108" i="1"/>
  <c r="Y151" i="1"/>
  <c r="Y53" i="1" a="1"/>
  <c r="Z108" i="1"/>
  <c r="Z151" i="1"/>
  <c r="AA108" i="1"/>
  <c r="AA151" i="1"/>
  <c r="AB108" i="1"/>
  <c r="AB151" i="1"/>
  <c r="S68" i="1"/>
  <c r="AI9" i="1" a="1"/>
  <c r="AI9" i="1"/>
  <c r="AB53" i="1" a="1"/>
  <c r="AC108" i="1"/>
  <c r="AC151" i="1"/>
  <c r="AC53" i="1" a="1"/>
  <c r="AD108" i="1"/>
  <c r="AD151" i="1"/>
  <c r="AD53" i="1" a="1"/>
  <c r="AE108" i="1"/>
  <c r="AE151" i="1"/>
  <c r="AF108" i="1"/>
  <c r="AF151" i="1"/>
  <c r="AG108" i="1"/>
  <c r="AG151" i="1"/>
  <c r="T68" i="1"/>
  <c r="AJ9" i="1" a="1"/>
  <c r="AJ9" i="1"/>
  <c r="AG53" i="1" a="1"/>
  <c r="AH108" i="1"/>
  <c r="AH151" i="1"/>
  <c r="AH53" i="1" a="1"/>
  <c r="AI108" i="1"/>
  <c r="AI151" i="1"/>
  <c r="AI53" i="1" a="1"/>
  <c r="AJ108" i="1"/>
  <c r="AJ151" i="1"/>
  <c r="AK108" i="1"/>
  <c r="AK151" i="1"/>
  <c r="U68" i="1"/>
  <c r="AK9" i="1" a="1"/>
  <c r="AK9" i="1"/>
  <c r="AK53" i="1" a="1"/>
  <c r="AL108" i="1"/>
  <c r="AL151" i="1"/>
  <c r="AL53" i="1" a="1"/>
  <c r="AM108" i="1"/>
  <c r="AM151" i="1"/>
  <c r="AM53" i="1" a="1"/>
  <c r="AN108" i="1"/>
  <c r="AN151" i="1"/>
  <c r="AN53" i="1" a="1"/>
  <c r="AO108" i="1"/>
  <c r="AO151" i="1"/>
  <c r="AO53" i="1" a="1"/>
  <c r="B109" i="1"/>
  <c r="B152" i="1"/>
  <c r="B70" i="1"/>
  <c r="K11" i="1" a="1"/>
  <c r="K11" i="1"/>
  <c r="C109" i="1"/>
  <c r="C152" i="1"/>
  <c r="C54" i="1" a="1"/>
  <c r="D109" i="1"/>
  <c r="D152" i="1"/>
  <c r="D54" i="1" a="1"/>
  <c r="E109" i="1"/>
  <c r="E152" i="1"/>
  <c r="F109" i="1"/>
  <c r="F152" i="1"/>
  <c r="G109" i="1"/>
  <c r="G152" i="1"/>
  <c r="H109" i="1"/>
  <c r="H152" i="1"/>
  <c r="I109" i="1"/>
  <c r="I152" i="1"/>
  <c r="J109" i="1"/>
  <c r="J152" i="1"/>
  <c r="D70" i="1"/>
  <c r="M11" i="1" a="1"/>
  <c r="M11" i="1"/>
  <c r="K109" i="1"/>
  <c r="K152" i="1"/>
  <c r="K54" i="1" a="1"/>
  <c r="L109" i="1"/>
  <c r="L152" i="1"/>
  <c r="L54" i="1" a="1"/>
  <c r="M109" i="1"/>
  <c r="M152" i="1"/>
  <c r="N109" i="1"/>
  <c r="E70" i="1"/>
  <c r="N11" i="1" a="1"/>
  <c r="N11" i="1"/>
  <c r="M54" i="1" s="1" a="1"/>
  <c r="N152" i="1"/>
  <c r="N54" i="1" a="1"/>
  <c r="O109" i="1"/>
  <c r="O152" i="1"/>
  <c r="O54" i="1" a="1"/>
  <c r="P109" i="1"/>
  <c r="P152" i="1"/>
  <c r="P54" i="1" a="1"/>
  <c r="Q109" i="1"/>
  <c r="Q152" i="1"/>
  <c r="F70" i="1"/>
  <c r="O11" i="1" a="1"/>
  <c r="O11" i="1"/>
  <c r="Q54" i="1" a="1"/>
  <c r="R109" i="1"/>
  <c r="R152" i="1"/>
  <c r="R54" i="1" a="1"/>
  <c r="S109" i="1"/>
  <c r="S152" i="1"/>
  <c r="S54" i="1" a="1"/>
  <c r="T109" i="1"/>
  <c r="T152" i="1"/>
  <c r="T54" i="1" a="1"/>
  <c r="U109" i="1"/>
  <c r="U152" i="1"/>
  <c r="V109" i="1"/>
  <c r="V152" i="1"/>
  <c r="W109" i="1"/>
  <c r="W152" i="1"/>
  <c r="X109" i="1"/>
  <c r="X152" i="1"/>
  <c r="Y109" i="1"/>
  <c r="G70" i="1"/>
  <c r="P11" i="1" a="1"/>
  <c r="P11" i="1"/>
  <c r="Y152" i="1"/>
  <c r="H70" i="1"/>
  <c r="Q11" i="1" a="1"/>
  <c r="Q11" i="1"/>
  <c r="Y54" i="1" a="1"/>
  <c r="Z109" i="1"/>
  <c r="Z152" i="1"/>
  <c r="Z54" i="1" a="1"/>
  <c r="AA109" i="1"/>
  <c r="AA152" i="1"/>
  <c r="AA54" i="1" a="1"/>
  <c r="AB109" i="1"/>
  <c r="AB152" i="1"/>
  <c r="AB54" i="1" a="1"/>
  <c r="AC109" i="1"/>
  <c r="I70" i="1"/>
  <c r="R11" i="1" a="1"/>
  <c r="R11" i="1"/>
  <c r="AC152" i="1"/>
  <c r="AC54" i="1" a="1"/>
  <c r="AD109" i="1"/>
  <c r="AD152" i="1"/>
  <c r="AD54" i="1" a="1"/>
  <c r="AE109" i="1"/>
  <c r="AE152" i="1"/>
  <c r="AE54" i="1" a="1"/>
  <c r="AF109" i="1"/>
  <c r="AF152" i="1"/>
  <c r="AF54" i="1" a="1"/>
  <c r="AG109" i="1"/>
  <c r="AG152" i="1"/>
  <c r="AH109" i="1"/>
  <c r="AH152" i="1"/>
  <c r="AI109" i="1"/>
  <c r="AI152" i="1"/>
  <c r="J70" i="1"/>
  <c r="S11" i="1" a="1"/>
  <c r="S11" i="1"/>
  <c r="AI54" i="1" a="1"/>
  <c r="AJ109" i="1"/>
  <c r="AJ152" i="1"/>
  <c r="AJ54" i="1" a="1"/>
  <c r="AK109" i="1"/>
  <c r="AK152" i="1"/>
  <c r="K70" i="1"/>
  <c r="T11" i="1" a="1"/>
  <c r="T11" i="1"/>
  <c r="B54" i="1" s="1" a="1"/>
  <c r="AK54" i="1" a="1"/>
  <c r="AL109" i="1"/>
  <c r="AL152" i="1"/>
  <c r="AL54" i="1" a="1"/>
  <c r="AM109" i="1"/>
  <c r="AM152" i="1"/>
  <c r="AM54" i="1" a="1"/>
  <c r="AN109" i="1"/>
  <c r="AN152" i="1"/>
  <c r="AN54" i="1" a="1"/>
  <c r="AO109" i="1"/>
  <c r="AO152" i="1"/>
  <c r="AO54" i="1" a="1"/>
  <c r="B110" i="1"/>
  <c r="B153" i="1"/>
  <c r="B55" i="1" a="1"/>
  <c r="C110" i="1"/>
  <c r="C153" i="1"/>
  <c r="C55" i="1" a="1"/>
  <c r="D110" i="1"/>
  <c r="D153" i="1"/>
  <c r="D55" i="1" a="1"/>
  <c r="E110" i="1"/>
  <c r="E153" i="1"/>
  <c r="F110" i="1"/>
  <c r="F153" i="1"/>
  <c r="C70" i="1"/>
  <c r="L11" i="1" a="1"/>
  <c r="L11" i="1"/>
  <c r="F55" i="1" a="1"/>
  <c r="G110" i="1"/>
  <c r="G153" i="1"/>
  <c r="G55" i="1" a="1"/>
  <c r="H110" i="1"/>
  <c r="H153" i="1"/>
  <c r="H55" i="1" a="1"/>
  <c r="I110" i="1"/>
  <c r="I153" i="1"/>
  <c r="I55" i="1" a="1"/>
  <c r="J110" i="1"/>
  <c r="J153" i="1"/>
  <c r="J55" i="1" a="1"/>
  <c r="K110" i="1"/>
  <c r="K153" i="1"/>
  <c r="K55" i="1" a="1"/>
  <c r="L110" i="1"/>
  <c r="L153" i="1"/>
  <c r="L55" i="1" a="1"/>
  <c r="M110" i="1"/>
  <c r="M153" i="1"/>
  <c r="M55" i="1" a="1"/>
  <c r="N110" i="1"/>
  <c r="N153" i="1"/>
  <c r="N55" i="1" a="1"/>
  <c r="O110" i="1"/>
  <c r="O153" i="1"/>
  <c r="O55" i="1" a="1"/>
  <c r="P110" i="1"/>
  <c r="P153" i="1"/>
  <c r="P55" i="1" a="1"/>
  <c r="Q110" i="1"/>
  <c r="Q153" i="1"/>
  <c r="Q55" i="1" a="1"/>
  <c r="R110" i="1"/>
  <c r="R153" i="1"/>
  <c r="R55" i="1" a="1"/>
  <c r="S110" i="1"/>
  <c r="S153" i="1"/>
  <c r="S55" i="1" a="1"/>
  <c r="T110" i="1"/>
  <c r="T153" i="1"/>
  <c r="T55" i="1" a="1"/>
  <c r="U110" i="1"/>
  <c r="U153" i="1"/>
  <c r="U55" i="1" a="1"/>
  <c r="V110" i="1"/>
  <c r="V153" i="1"/>
  <c r="V55" i="1" a="1"/>
  <c r="W110" i="1"/>
  <c r="W153" i="1"/>
  <c r="W55" i="1" a="1"/>
  <c r="X110" i="1"/>
  <c r="X153" i="1"/>
  <c r="X55" i="1" a="1"/>
  <c r="Y110" i="1"/>
  <c r="Y153" i="1"/>
  <c r="Y55" i="1" a="1"/>
  <c r="Z110" i="1"/>
  <c r="Z153" i="1"/>
  <c r="Z55" i="1" a="1"/>
  <c r="AA110" i="1"/>
  <c r="AA153" i="1"/>
  <c r="AA55" i="1" a="1"/>
  <c r="AB110" i="1"/>
  <c r="AB153" i="1"/>
  <c r="AB55" i="1" a="1"/>
  <c r="AC110" i="1"/>
  <c r="AC153" i="1"/>
  <c r="AC55" i="1" a="1"/>
  <c r="AD110" i="1"/>
  <c r="AD153" i="1"/>
  <c r="AD55" i="1" a="1"/>
  <c r="AE110" i="1"/>
  <c r="AE153" i="1"/>
  <c r="AE55" i="1" a="1"/>
  <c r="AF110" i="1"/>
  <c r="AF153" i="1"/>
  <c r="AF55" i="1" a="1"/>
  <c r="AG110" i="1"/>
  <c r="AG153" i="1"/>
  <c r="AG55" i="1" a="1"/>
  <c r="AH110" i="1"/>
  <c r="AH153" i="1"/>
  <c r="AH55" i="1" a="1"/>
  <c r="AI110" i="1"/>
  <c r="AI153" i="1"/>
  <c r="AI55" i="1" a="1"/>
  <c r="AJ110" i="1"/>
  <c r="AJ153" i="1"/>
  <c r="AJ55" i="1" a="1"/>
  <c r="AK110" i="1"/>
  <c r="AK153" i="1"/>
  <c r="AK55" i="1" a="1"/>
  <c r="AL110" i="1"/>
  <c r="AL153" i="1"/>
  <c r="AL55" i="1" a="1"/>
  <c r="AM110" i="1"/>
  <c r="AM153" i="1"/>
  <c r="AM55" i="1" a="1"/>
  <c r="AN110" i="1"/>
  <c r="AN153" i="1"/>
  <c r="AN55" i="1" a="1"/>
  <c r="AO110" i="1"/>
  <c r="AO153" i="1"/>
  <c r="AO55" i="1" a="1"/>
  <c r="B111" i="1"/>
  <c r="B154" i="1"/>
  <c r="B56" i="1" a="1"/>
  <c r="C111" i="1"/>
  <c r="C154" i="1"/>
  <c r="C56" i="1" a="1"/>
  <c r="D111" i="1"/>
  <c r="D154" i="1"/>
  <c r="D56" i="1" a="1"/>
  <c r="E111" i="1"/>
  <c r="E154" i="1"/>
  <c r="E56" i="1" a="1"/>
  <c r="F111" i="1"/>
  <c r="F154" i="1"/>
  <c r="F56" i="1" a="1"/>
  <c r="G111" i="1"/>
  <c r="G154" i="1"/>
  <c r="G56" i="1" a="1"/>
  <c r="H111" i="1"/>
  <c r="H154" i="1"/>
  <c r="H56" i="1" a="1"/>
  <c r="I111" i="1"/>
  <c r="I154" i="1"/>
  <c r="I56" i="1" a="1"/>
  <c r="J111" i="1"/>
  <c r="J154" i="1"/>
  <c r="J56" i="1" a="1"/>
  <c r="K111" i="1"/>
  <c r="K154" i="1"/>
  <c r="K56" i="1" a="1"/>
  <c r="L111" i="1"/>
  <c r="L154" i="1"/>
  <c r="L56" i="1" a="1"/>
  <c r="M111" i="1"/>
  <c r="M154" i="1"/>
  <c r="M56" i="1" a="1"/>
  <c r="N111" i="1"/>
  <c r="N154" i="1"/>
  <c r="N56" i="1" a="1"/>
  <c r="O111" i="1"/>
  <c r="O154" i="1"/>
  <c r="O56" i="1" a="1"/>
  <c r="P111" i="1"/>
  <c r="P154" i="1"/>
  <c r="P56" i="1" a="1"/>
  <c r="Q111" i="1"/>
  <c r="Q154" i="1"/>
  <c r="Q56" i="1" a="1"/>
  <c r="R111" i="1"/>
  <c r="R154" i="1"/>
  <c r="R56" i="1" a="1"/>
  <c r="S111" i="1"/>
  <c r="S154" i="1"/>
  <c r="S56" i="1" a="1"/>
  <c r="T111" i="1"/>
  <c r="T154" i="1"/>
  <c r="T56" i="1" a="1"/>
  <c r="U111" i="1"/>
  <c r="U154" i="1"/>
  <c r="U56" i="1" a="1"/>
  <c r="V111" i="1"/>
  <c r="V154" i="1"/>
  <c r="V56" i="1" a="1"/>
  <c r="W111" i="1"/>
  <c r="W154" i="1"/>
  <c r="W56" i="1" a="1"/>
  <c r="X111" i="1"/>
  <c r="X154" i="1"/>
  <c r="X56" i="1" a="1"/>
  <c r="Y111" i="1"/>
  <c r="Y154" i="1"/>
  <c r="Y56" i="1" a="1"/>
  <c r="Z111" i="1"/>
  <c r="Z154" i="1"/>
  <c r="Z56" i="1" a="1"/>
  <c r="AA111" i="1"/>
  <c r="AA154" i="1"/>
  <c r="AA56" i="1" a="1"/>
  <c r="AB111" i="1"/>
  <c r="AB154" i="1"/>
  <c r="AB56" i="1" a="1"/>
  <c r="AC111" i="1"/>
  <c r="AC154" i="1"/>
  <c r="AC56" i="1" a="1"/>
  <c r="AD111" i="1"/>
  <c r="AD154" i="1"/>
  <c r="AD56" i="1" a="1"/>
  <c r="AE111" i="1"/>
  <c r="AE154" i="1"/>
  <c r="AE56" i="1" a="1"/>
  <c r="AF111" i="1"/>
  <c r="AF154" i="1"/>
  <c r="AF56" i="1" a="1"/>
  <c r="AG111" i="1"/>
  <c r="AG154" i="1"/>
  <c r="AG56" i="1" a="1"/>
  <c r="AH111" i="1"/>
  <c r="AH154" i="1"/>
  <c r="AH56" i="1" a="1"/>
  <c r="AI111" i="1"/>
  <c r="AI154" i="1"/>
  <c r="AI56" i="1" a="1"/>
  <c r="AJ111" i="1"/>
  <c r="AJ154" i="1"/>
  <c r="AJ56" i="1" a="1"/>
  <c r="AK111" i="1"/>
  <c r="AK154" i="1"/>
  <c r="AK56" i="1" a="1"/>
  <c r="AL111" i="1"/>
  <c r="AL154" i="1"/>
  <c r="AL56" i="1" a="1"/>
  <c r="AM111" i="1"/>
  <c r="AM154" i="1"/>
  <c r="AM56" i="1" a="1"/>
  <c r="AN111" i="1"/>
  <c r="AN154" i="1"/>
  <c r="AN56" i="1" a="1"/>
  <c r="AO111" i="1"/>
  <c r="AO154" i="1"/>
  <c r="AO56" i="1" a="1"/>
  <c r="B112" i="1"/>
  <c r="B155" i="1"/>
  <c r="B57" i="1" a="1"/>
  <c r="C112" i="1"/>
  <c r="C155" i="1"/>
  <c r="C57" i="1" a="1"/>
  <c r="D112" i="1"/>
  <c r="D155" i="1"/>
  <c r="D57" i="1" a="1"/>
  <c r="E112" i="1"/>
  <c r="E155" i="1"/>
  <c r="E57" i="1" a="1"/>
  <c r="F112" i="1"/>
  <c r="F155" i="1"/>
  <c r="F57" i="1" a="1"/>
  <c r="G112" i="1"/>
  <c r="G155" i="1"/>
  <c r="G57" i="1" a="1"/>
  <c r="H112" i="1"/>
  <c r="H155" i="1"/>
  <c r="H57" i="1" a="1"/>
  <c r="I112" i="1"/>
  <c r="I155" i="1"/>
  <c r="I57" i="1" a="1"/>
  <c r="J112" i="1"/>
  <c r="J155" i="1"/>
  <c r="J57" i="1" a="1"/>
  <c r="K112" i="1"/>
  <c r="K155" i="1"/>
  <c r="K57" i="1" a="1"/>
  <c r="L112" i="1"/>
  <c r="L155" i="1"/>
  <c r="L57" i="1" a="1"/>
  <c r="M112" i="1"/>
  <c r="M155" i="1"/>
  <c r="M57" i="1" a="1"/>
  <c r="N112" i="1"/>
  <c r="N155" i="1"/>
  <c r="N57" i="1" a="1"/>
  <c r="O112" i="1"/>
  <c r="O155" i="1"/>
  <c r="O57" i="1" a="1"/>
  <c r="P112" i="1"/>
  <c r="P155" i="1"/>
  <c r="P57" i="1" a="1"/>
  <c r="Q112" i="1"/>
  <c r="Q155" i="1"/>
  <c r="Q57" i="1" a="1"/>
  <c r="R112" i="1"/>
  <c r="R155" i="1"/>
  <c r="R57" i="1" a="1"/>
  <c r="S112" i="1"/>
  <c r="S155" i="1"/>
  <c r="S57" i="1" a="1"/>
  <c r="T112" i="1"/>
  <c r="T155" i="1"/>
  <c r="T57" i="1" a="1"/>
  <c r="U112" i="1"/>
  <c r="U155" i="1"/>
  <c r="U57" i="1" a="1"/>
  <c r="V112" i="1"/>
  <c r="V155" i="1"/>
  <c r="V57" i="1" a="1"/>
  <c r="W112" i="1"/>
  <c r="W155" i="1"/>
  <c r="W57" i="1" a="1"/>
  <c r="X112" i="1"/>
  <c r="X155" i="1"/>
  <c r="X57" i="1" a="1"/>
  <c r="Y112" i="1"/>
  <c r="Y155" i="1"/>
  <c r="Y57" i="1" a="1"/>
  <c r="Z112" i="1"/>
  <c r="Z155" i="1"/>
  <c r="Z57" i="1" a="1"/>
  <c r="AA112" i="1"/>
  <c r="AA155" i="1"/>
  <c r="AA57" i="1" a="1"/>
  <c r="AB112" i="1"/>
  <c r="AB155" i="1"/>
  <c r="AB57" i="1" a="1"/>
  <c r="AC112" i="1"/>
  <c r="AC155" i="1"/>
  <c r="AC57" i="1" a="1"/>
  <c r="AD112" i="1"/>
  <c r="AD155" i="1"/>
  <c r="AD57" i="1" a="1"/>
  <c r="AE112" i="1"/>
  <c r="AE155" i="1"/>
  <c r="AE57" i="1" a="1"/>
  <c r="AF112" i="1"/>
  <c r="AF155" i="1"/>
  <c r="AF57" i="1" a="1"/>
  <c r="AG112" i="1"/>
  <c r="AG155" i="1"/>
  <c r="AG57" i="1" a="1"/>
  <c r="AH112" i="1"/>
  <c r="AH155" i="1"/>
  <c r="AH57" i="1" a="1"/>
  <c r="AI112" i="1"/>
  <c r="AI155" i="1"/>
  <c r="AI57" i="1" a="1"/>
  <c r="AJ112" i="1"/>
  <c r="AJ155" i="1"/>
  <c r="AJ57" i="1" a="1"/>
  <c r="AK112" i="1"/>
  <c r="AK155" i="1"/>
  <c r="AK57" i="1" a="1"/>
  <c r="AL112" i="1"/>
  <c r="AL155" i="1"/>
  <c r="AL57" i="1" a="1"/>
  <c r="AM112" i="1"/>
  <c r="AM155" i="1"/>
  <c r="AM57" i="1" a="1"/>
  <c r="AN112" i="1"/>
  <c r="AN155" i="1"/>
  <c r="AN57" i="1" a="1"/>
  <c r="AO112" i="1"/>
  <c r="AO155" i="1"/>
  <c r="AO57" i="1" a="1"/>
  <c r="B113" i="1"/>
  <c r="B156" i="1"/>
  <c r="B58" i="1" a="1"/>
  <c r="C113" i="1"/>
  <c r="C156" i="1"/>
  <c r="C58" i="1" a="1"/>
  <c r="D113" i="1"/>
  <c r="D156" i="1"/>
  <c r="D58" i="1" a="1"/>
  <c r="E113" i="1"/>
  <c r="E156" i="1"/>
  <c r="E58" i="1" a="1"/>
  <c r="F113" i="1"/>
  <c r="F156" i="1"/>
  <c r="F58" i="1" a="1"/>
  <c r="G113" i="1"/>
  <c r="G156" i="1"/>
  <c r="G58" i="1" a="1"/>
  <c r="H113" i="1"/>
  <c r="H156" i="1"/>
  <c r="H58" i="1" a="1"/>
  <c r="I113" i="1"/>
  <c r="I156" i="1"/>
  <c r="I58" i="1" a="1"/>
  <c r="J113" i="1"/>
  <c r="J156" i="1"/>
  <c r="J58" i="1" a="1"/>
  <c r="K113" i="1"/>
  <c r="K156" i="1"/>
  <c r="K58" i="1" a="1"/>
  <c r="L113" i="1"/>
  <c r="L156" i="1"/>
  <c r="L58" i="1" a="1"/>
  <c r="M113" i="1"/>
  <c r="M156" i="1"/>
  <c r="M58" i="1" a="1"/>
  <c r="N113" i="1"/>
  <c r="N156" i="1"/>
  <c r="N58" i="1" a="1"/>
  <c r="O113" i="1"/>
  <c r="O156" i="1"/>
  <c r="O58" i="1" a="1"/>
  <c r="P113" i="1"/>
  <c r="P156" i="1"/>
  <c r="P58" i="1" a="1"/>
  <c r="Q113" i="1"/>
  <c r="Q156" i="1"/>
  <c r="Q58" i="1" a="1"/>
  <c r="R113" i="1"/>
  <c r="R156" i="1"/>
  <c r="R58" i="1" a="1"/>
  <c r="S113" i="1"/>
  <c r="S156" i="1"/>
  <c r="S58" i="1" a="1"/>
  <c r="T113" i="1"/>
  <c r="T156" i="1"/>
  <c r="T58" i="1" a="1"/>
  <c r="U113" i="1"/>
  <c r="U156" i="1"/>
  <c r="U58" i="1" a="1"/>
  <c r="V113" i="1"/>
  <c r="V156" i="1"/>
  <c r="V58" i="1" a="1"/>
  <c r="W113" i="1"/>
  <c r="W156" i="1"/>
  <c r="W58" i="1" a="1"/>
  <c r="X113" i="1"/>
  <c r="X156" i="1"/>
  <c r="X58" i="1" a="1"/>
  <c r="Y113" i="1"/>
  <c r="Y156" i="1"/>
  <c r="Y58" i="1" a="1"/>
  <c r="Z113" i="1"/>
  <c r="Z156" i="1"/>
  <c r="Z58" i="1" a="1"/>
  <c r="AA113" i="1"/>
  <c r="AA156" i="1"/>
  <c r="AA58" i="1" a="1"/>
  <c r="AB113" i="1"/>
  <c r="AB156" i="1"/>
  <c r="AB58" i="1" a="1"/>
  <c r="AC113" i="1"/>
  <c r="AC156" i="1"/>
  <c r="AC58" i="1" a="1"/>
  <c r="AD113" i="1"/>
  <c r="AD156" i="1"/>
  <c r="AD58" i="1" a="1"/>
  <c r="AE113" i="1"/>
  <c r="AE156" i="1"/>
  <c r="AE58" i="1" a="1"/>
  <c r="AF113" i="1"/>
  <c r="AF156" i="1"/>
  <c r="AF58" i="1" a="1"/>
  <c r="AG113" i="1"/>
  <c r="AG156" i="1"/>
  <c r="AG58" i="1" a="1"/>
  <c r="AH113" i="1"/>
  <c r="AH156" i="1"/>
  <c r="AH58" i="1" a="1"/>
  <c r="AI113" i="1"/>
  <c r="AI156" i="1"/>
  <c r="AI58" i="1" a="1"/>
  <c r="AJ113" i="1"/>
  <c r="AJ156" i="1"/>
  <c r="AJ58" i="1" a="1"/>
  <c r="AK113" i="1"/>
  <c r="AK156" i="1"/>
  <c r="AK58" i="1" a="1"/>
  <c r="AL113" i="1"/>
  <c r="AL156" i="1"/>
  <c r="AL58" i="1" a="1"/>
  <c r="AM113" i="1"/>
  <c r="AM156" i="1"/>
  <c r="AM58" i="1" a="1"/>
  <c r="AN113" i="1"/>
  <c r="AN156" i="1"/>
  <c r="AN58" i="1" a="1"/>
  <c r="AO113" i="1"/>
  <c r="AO156" i="1"/>
  <c r="AO58" i="1" a="1"/>
  <c r="D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K22" i="1"/>
  <c r="L22" i="1"/>
  <c r="M22" i="1"/>
  <c r="R22" i="1"/>
  <c r="S22" i="1"/>
  <c r="T22" i="1"/>
  <c r="W22" i="1"/>
  <c r="X22" i="1"/>
  <c r="Y22" i="1"/>
  <c r="Z22" i="1"/>
  <c r="AA22" i="1"/>
  <c r="AB22" i="1"/>
  <c r="AI22" i="1"/>
  <c r="AJ22" i="1"/>
  <c r="G23" i="1"/>
  <c r="L23" i="1"/>
  <c r="M23" i="1"/>
  <c r="N23" i="1"/>
  <c r="O23" i="1"/>
  <c r="Q23" i="1"/>
  <c r="S23" i="1"/>
  <c r="T23" i="1"/>
  <c r="W23" i="1"/>
  <c r="X23" i="1"/>
  <c r="Y23" i="1"/>
  <c r="AI23" i="1"/>
  <c r="AJ23" i="1"/>
  <c r="AK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I24" i="1"/>
  <c r="AJ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I25" i="1"/>
  <c r="AJ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I26" i="1"/>
  <c r="AJ26" i="1"/>
  <c r="AK26" i="1"/>
  <c r="AN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H27" i="1"/>
  <c r="AI27" i="1"/>
  <c r="AJ27" i="1"/>
  <c r="AK27" i="1"/>
  <c r="AL27" i="1"/>
  <c r="AM27" i="1"/>
  <c r="AN27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C28" i="1"/>
  <c r="AD28" i="1"/>
  <c r="AE28" i="1"/>
  <c r="AH28" i="1"/>
  <c r="AI28" i="1"/>
  <c r="AK28" i="1"/>
  <c r="AL28" i="1"/>
  <c r="AM28" i="1"/>
  <c r="AN28" i="1"/>
  <c r="B29" i="1"/>
  <c r="D29" i="1"/>
  <c r="E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B29" i="1"/>
  <c r="AD29" i="1"/>
  <c r="AF29" i="1"/>
  <c r="AG29" i="1"/>
  <c r="AH29" i="1"/>
  <c r="AI29" i="1"/>
  <c r="AJ29" i="1"/>
  <c r="AK29" i="1"/>
  <c r="AL29" i="1"/>
  <c r="AM29" i="1"/>
  <c r="AN29" i="1"/>
  <c r="AO29" i="1"/>
  <c r="S30" i="1"/>
  <c r="T30" i="1"/>
  <c r="AE30" i="1"/>
  <c r="AF30" i="1"/>
  <c r="AI30" i="1"/>
  <c r="AJ30" i="1"/>
  <c r="AL30" i="1"/>
  <c r="AM30" i="1"/>
  <c r="AN30" i="1"/>
  <c r="S31" i="1"/>
  <c r="AD31" i="1"/>
  <c r="AE31" i="1"/>
  <c r="AF31" i="1"/>
  <c r="AG31" i="1"/>
  <c r="AH31" i="1"/>
  <c r="AI31" i="1"/>
  <c r="AJ31" i="1"/>
  <c r="AK31" i="1"/>
  <c r="AL31" i="1"/>
  <c r="AM31" i="1"/>
  <c r="AN31" i="1"/>
  <c r="AE32" i="1"/>
  <c r="AF32" i="1"/>
  <c r="AG32" i="1"/>
  <c r="AH32" i="1"/>
  <c r="AI32" i="1"/>
  <c r="AJ32" i="1"/>
  <c r="AK32" i="1"/>
  <c r="AL32" i="1"/>
  <c r="AM32" i="1"/>
  <c r="AN32" i="1"/>
  <c r="AL33" i="1"/>
  <c r="AM33" i="1"/>
  <c r="AN33" i="1"/>
  <c r="AO33" i="1"/>
  <c r="G34" i="1"/>
  <c r="H34" i="1"/>
  <c r="AM34" i="1"/>
  <c r="AN34" i="1"/>
  <c r="G35" i="1"/>
  <c r="H35" i="1"/>
  <c r="W35" i="1"/>
  <c r="AL35" i="1"/>
  <c r="AM35" i="1"/>
  <c r="AN35" i="1"/>
  <c r="AO35" i="1"/>
  <c r="B36" i="1"/>
  <c r="C36" i="1"/>
  <c r="D36" i="1"/>
  <c r="E36" i="1"/>
  <c r="F36" i="1"/>
  <c r="G36" i="1"/>
  <c r="H36" i="1"/>
  <c r="I36" i="1"/>
  <c r="J36" i="1"/>
  <c r="W36" i="1"/>
  <c r="X36" i="1"/>
  <c r="Y36" i="1"/>
  <c r="AL36" i="1"/>
  <c r="AM36" i="1"/>
  <c r="AN36" i="1"/>
  <c r="AO36" i="1"/>
  <c r="B37" i="1"/>
  <c r="C37" i="1"/>
  <c r="D37" i="1"/>
  <c r="E37" i="1"/>
  <c r="F37" i="1"/>
  <c r="G37" i="1"/>
  <c r="H37" i="1"/>
  <c r="I37" i="1"/>
  <c r="J37" i="1"/>
  <c r="W37" i="1"/>
  <c r="X37" i="1"/>
  <c r="Y37" i="1"/>
  <c r="AL37" i="1"/>
  <c r="AM37" i="1"/>
  <c r="AN37" i="1"/>
  <c r="AO37" i="1"/>
  <c r="G38" i="1"/>
  <c r="H38" i="1"/>
  <c r="W38" i="1"/>
  <c r="X38" i="1"/>
  <c r="W39" i="1"/>
  <c r="X39" i="1"/>
  <c r="O40" i="1"/>
  <c r="P40" i="1"/>
  <c r="Q40" i="1"/>
  <c r="R40" i="1"/>
  <c r="S40" i="1"/>
  <c r="T40" i="1"/>
  <c r="U40" i="1"/>
  <c r="V40" i="1"/>
  <c r="W40" i="1"/>
  <c r="X40" i="1"/>
  <c r="O41" i="1"/>
  <c r="P41" i="1"/>
  <c r="Q41" i="1"/>
  <c r="R41" i="1"/>
  <c r="S41" i="1"/>
  <c r="T41" i="1"/>
  <c r="U41" i="1"/>
  <c r="V41" i="1"/>
  <c r="W41" i="1"/>
  <c r="X41" i="1"/>
  <c r="M42" i="1"/>
  <c r="O42" i="1"/>
  <c r="P42" i="1"/>
  <c r="Q42" i="1"/>
  <c r="R42" i="1"/>
  <c r="S42" i="1"/>
  <c r="T42" i="1"/>
  <c r="U42" i="1"/>
  <c r="V42" i="1"/>
  <c r="W42" i="1"/>
  <c r="X42" i="1"/>
  <c r="AI42" i="1"/>
  <c r="AJ42" i="1"/>
  <c r="W43" i="1"/>
  <c r="X43" i="1"/>
  <c r="Y43" i="1"/>
  <c r="AG43" i="1"/>
  <c r="AI43" i="1"/>
  <c r="AJ43" i="1"/>
  <c r="W44" i="1"/>
  <c r="AF44" i="1"/>
  <c r="AG44" i="1"/>
  <c r="AH44" i="1"/>
  <c r="AI44" i="1"/>
  <c r="AJ44" i="1"/>
  <c r="AK44" i="1"/>
  <c r="AL44" i="1"/>
  <c r="AM44" i="1"/>
  <c r="AN44" i="1"/>
  <c r="AG45" i="1"/>
  <c r="AH45" i="1"/>
  <c r="AI45" i="1"/>
  <c r="AJ45" i="1"/>
  <c r="AK45" i="1"/>
  <c r="AL45" i="1"/>
  <c r="AM45" i="1"/>
  <c r="AN45" i="1"/>
  <c r="AI46" i="1"/>
  <c r="AJ46" i="1"/>
  <c r="AN46" i="1"/>
  <c r="AG47" i="1"/>
  <c r="AH47" i="1"/>
  <c r="AI47" i="1"/>
  <c r="AJ47" i="1"/>
  <c r="AK47" i="1"/>
  <c r="AL47" i="1"/>
  <c r="AM47" i="1"/>
  <c r="AN47" i="1"/>
  <c r="R48" i="1"/>
  <c r="U48" i="1"/>
  <c r="W48" i="1"/>
  <c r="Y48" i="1"/>
  <c r="AF48" i="1"/>
  <c r="AG48" i="1"/>
  <c r="AH48" i="1"/>
  <c r="AI48" i="1"/>
  <c r="AJ48" i="1"/>
  <c r="AK48" i="1"/>
  <c r="AL48" i="1"/>
  <c r="AM48" i="1"/>
  <c r="AN48" i="1"/>
  <c r="AO48" i="1"/>
  <c r="S49" i="1"/>
  <c r="T49" i="1"/>
  <c r="V49" i="1"/>
  <c r="W49" i="1"/>
  <c r="X49" i="1"/>
  <c r="AE49" i="1"/>
  <c r="AF49" i="1"/>
  <c r="AG49" i="1"/>
  <c r="AH49" i="1"/>
  <c r="AI49" i="1"/>
  <c r="AJ49" i="1"/>
  <c r="AK49" i="1"/>
  <c r="AL49" i="1"/>
  <c r="AM49" i="1"/>
  <c r="AN49" i="1"/>
  <c r="B50" i="1"/>
  <c r="C50" i="1"/>
  <c r="D50" i="1"/>
  <c r="E50" i="1"/>
  <c r="F50" i="1"/>
  <c r="G50" i="1"/>
  <c r="H50" i="1"/>
  <c r="K50" i="1"/>
  <c r="L50" i="1"/>
  <c r="M50" i="1"/>
  <c r="N50" i="1"/>
  <c r="O50" i="1"/>
  <c r="P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AB53" i="1"/>
  <c r="AC53" i="1"/>
  <c r="AD53" i="1"/>
  <c r="AG53" i="1"/>
  <c r="AH53" i="1"/>
  <c r="AI53" i="1"/>
  <c r="AK53" i="1"/>
  <c r="AL53" i="1"/>
  <c r="AM53" i="1"/>
  <c r="AN53" i="1"/>
  <c r="AO53" i="1"/>
  <c r="B54" i="1"/>
  <c r="C54" i="1"/>
  <c r="D54" i="1"/>
  <c r="K54" i="1"/>
  <c r="L54" i="1"/>
  <c r="M54" i="1"/>
  <c r="N54" i="1"/>
  <c r="O54" i="1"/>
  <c r="P54" i="1"/>
  <c r="Q54" i="1"/>
  <c r="R54" i="1"/>
  <c r="S54" i="1"/>
  <c r="T54" i="1"/>
  <c r="Y54" i="1"/>
  <c r="Z54" i="1"/>
  <c r="AA54" i="1"/>
  <c r="AB54" i="1"/>
  <c r="AC54" i="1"/>
  <c r="AD54" i="1"/>
  <c r="AE54" i="1"/>
  <c r="AF54" i="1"/>
  <c r="AI54" i="1"/>
  <c r="AJ54" i="1"/>
  <c r="AK54" i="1"/>
  <c r="AL54" i="1"/>
  <c r="AM54" i="1"/>
  <c r="AN54" i="1"/>
  <c r="AO54" i="1"/>
  <c r="B55" i="1"/>
  <c r="C55" i="1"/>
  <c r="D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D9" i="1"/>
  <c r="B13" i="1"/>
  <c r="B9" i="10"/>
  <c r="B9" i="2"/>
  <c r="B10" i="10"/>
  <c r="B10" i="2"/>
  <c r="AO10" i="10"/>
  <c r="AO10" i="2"/>
  <c r="B14" i="3"/>
  <c r="B12" i="13"/>
  <c r="B8" i="10"/>
  <c r="B8" i="2"/>
  <c r="AO9" i="10"/>
  <c r="AO9" i="2"/>
  <c r="B13" i="3"/>
  <c r="B11" i="13"/>
  <c r="AO8" i="10"/>
  <c r="AO8" i="2"/>
  <c r="B12" i="3"/>
  <c r="B10" i="13"/>
  <c r="B11" i="4"/>
  <c r="AN19" i="10"/>
  <c r="AN19" i="2"/>
  <c r="AN20" i="10"/>
  <c r="AN20" i="2"/>
  <c r="AN18" i="10"/>
  <c r="AN18" i="2"/>
  <c r="AO18" i="10"/>
  <c r="AO18" i="2"/>
  <c r="AN17" i="10"/>
  <c r="AN17" i="2"/>
  <c r="AM19" i="10"/>
  <c r="AM19" i="2"/>
  <c r="AM20" i="10"/>
  <c r="AM20" i="2"/>
  <c r="AN24" i="3"/>
  <c r="AN22" i="13"/>
  <c r="AM18" i="10"/>
  <c r="AM18" i="2"/>
  <c r="AN23" i="3"/>
  <c r="AN21" i="13"/>
  <c r="AM17" i="10"/>
  <c r="AM17" i="2"/>
  <c r="AN22" i="3"/>
  <c r="AN20" i="13"/>
  <c r="AN21" i="4"/>
  <c r="AL19" i="10"/>
  <c r="AL19" i="2"/>
  <c r="AL20" i="10"/>
  <c r="AL20" i="2"/>
  <c r="AM24" i="3"/>
  <c r="AM22" i="13"/>
  <c r="AL18" i="10"/>
  <c r="AL18" i="2"/>
  <c r="AM23" i="3"/>
  <c r="AM21" i="13"/>
  <c r="AL17" i="10"/>
  <c r="AL17" i="2"/>
  <c r="AM22" i="3"/>
  <c r="AM20" i="13"/>
  <c r="AM21" i="4"/>
  <c r="AK20" i="10"/>
  <c r="AK20" i="2"/>
  <c r="AK18" i="10"/>
  <c r="AK18" i="2"/>
  <c r="AK17" i="10"/>
  <c r="AK17" i="2"/>
  <c r="AL22" i="3"/>
  <c r="AL20" i="13"/>
  <c r="AJ19" i="10"/>
  <c r="AJ19" i="2"/>
  <c r="AJ20" i="10"/>
  <c r="AJ20" i="2"/>
  <c r="AJ18" i="10"/>
  <c r="AJ18" i="2"/>
  <c r="AI19" i="10"/>
  <c r="AI19" i="2"/>
  <c r="AI20" i="10"/>
  <c r="AI20" i="2"/>
  <c r="AJ24" i="3"/>
  <c r="AJ22" i="13"/>
  <c r="AI18" i="10"/>
  <c r="AI18" i="2"/>
  <c r="AJ23" i="3"/>
  <c r="AJ21" i="13"/>
  <c r="AI17" i="10"/>
  <c r="AI17" i="2"/>
  <c r="AH20" i="10"/>
  <c r="AH20" i="2"/>
  <c r="AH18" i="10"/>
  <c r="AH18" i="2"/>
  <c r="AH17" i="10"/>
  <c r="AH17" i="2"/>
  <c r="AI22" i="3"/>
  <c r="AI20" i="13"/>
  <c r="AG20" i="10"/>
  <c r="AG20" i="2"/>
  <c r="AG18" i="10"/>
  <c r="AG18" i="2"/>
  <c r="AF19" i="10"/>
  <c r="AF19" i="2"/>
  <c r="AF20" i="10"/>
  <c r="AF20" i="2"/>
  <c r="AF18" i="10"/>
  <c r="AF18" i="2"/>
  <c r="AE19" i="10"/>
  <c r="AE19" i="2"/>
  <c r="AE20" i="10"/>
  <c r="AE20" i="2"/>
  <c r="AF24" i="3"/>
  <c r="AF22" i="13"/>
  <c r="AE17" i="10"/>
  <c r="AE17" i="2"/>
  <c r="AD20" i="10"/>
  <c r="AD20" i="2"/>
  <c r="AD18" i="10"/>
  <c r="AD18" i="2"/>
  <c r="AD17" i="10"/>
  <c r="AD17" i="2"/>
  <c r="AC17" i="10"/>
  <c r="AC17" i="2"/>
  <c r="AB18" i="10"/>
  <c r="AB18" i="2"/>
  <c r="AA17" i="10"/>
  <c r="AA17" i="2"/>
  <c r="Z18" i="10"/>
  <c r="Z18" i="2"/>
  <c r="Z17" i="10"/>
  <c r="Z17" i="2"/>
  <c r="Y18" i="10"/>
  <c r="Y18" i="2"/>
  <c r="Y17" i="10"/>
  <c r="Y17" i="2"/>
  <c r="Z22" i="3"/>
  <c r="Z20" i="13"/>
  <c r="X18" i="10"/>
  <c r="X18" i="2"/>
  <c r="X17" i="10"/>
  <c r="X17" i="2"/>
  <c r="Y22" i="3"/>
  <c r="Y20" i="13"/>
  <c r="W18" i="10"/>
  <c r="W18" i="2"/>
  <c r="W17" i="10"/>
  <c r="W17" i="2"/>
  <c r="X22" i="3"/>
  <c r="X20" i="13"/>
  <c r="V18" i="10"/>
  <c r="V18" i="2"/>
  <c r="V17" i="10"/>
  <c r="V17" i="2"/>
  <c r="W22" i="3"/>
  <c r="W20" i="13"/>
  <c r="U18" i="10"/>
  <c r="U18" i="2"/>
  <c r="U17" i="10"/>
  <c r="U17" i="2"/>
  <c r="V22" i="3"/>
  <c r="V20" i="13"/>
  <c r="T19" i="10"/>
  <c r="T19" i="2"/>
  <c r="T18" i="10"/>
  <c r="T18" i="2"/>
  <c r="T17" i="10"/>
  <c r="T17" i="2"/>
  <c r="U22" i="3"/>
  <c r="U20" i="13"/>
  <c r="S19" i="10"/>
  <c r="S19" i="2"/>
  <c r="S20" i="10"/>
  <c r="S20" i="2"/>
  <c r="S18" i="10"/>
  <c r="S18" i="2"/>
  <c r="T23" i="3"/>
  <c r="T21" i="13"/>
  <c r="S17" i="10"/>
  <c r="S17" i="2"/>
  <c r="T22" i="3"/>
  <c r="T20" i="13"/>
  <c r="R18" i="10"/>
  <c r="R18" i="2"/>
  <c r="R17" i="10"/>
  <c r="R17" i="2"/>
  <c r="S22" i="3"/>
  <c r="S20" i="13"/>
  <c r="Q18" i="10"/>
  <c r="Q18" i="2"/>
  <c r="Q17" i="10"/>
  <c r="Q17" i="2"/>
  <c r="R22" i="3"/>
  <c r="R20" i="13"/>
  <c r="P18" i="10"/>
  <c r="P18" i="2"/>
  <c r="P17" i="10"/>
  <c r="P17" i="2"/>
  <c r="Q22" i="3"/>
  <c r="Q20" i="13"/>
  <c r="O18" i="10"/>
  <c r="O18" i="2"/>
  <c r="O17" i="10"/>
  <c r="O17" i="2"/>
  <c r="P22" i="3"/>
  <c r="P20" i="13"/>
  <c r="N18" i="10"/>
  <c r="N18" i="2"/>
  <c r="N17" i="10"/>
  <c r="N17" i="2"/>
  <c r="O22" i="3"/>
  <c r="O20" i="13"/>
  <c r="M18" i="10"/>
  <c r="M18" i="2"/>
  <c r="M17" i="10"/>
  <c r="M17" i="2"/>
  <c r="N22" i="3"/>
  <c r="N20" i="13"/>
  <c r="L18" i="10"/>
  <c r="L18" i="2"/>
  <c r="L17" i="10"/>
  <c r="L17" i="2"/>
  <c r="M22" i="3"/>
  <c r="M20" i="13"/>
  <c r="K18" i="10"/>
  <c r="K18" i="2"/>
  <c r="K17" i="10"/>
  <c r="K17" i="2"/>
  <c r="L22" i="3"/>
  <c r="L20" i="13"/>
  <c r="J18" i="10"/>
  <c r="J18" i="2"/>
  <c r="J17" i="10"/>
  <c r="J17" i="2"/>
  <c r="K22" i="3"/>
  <c r="K20" i="13"/>
  <c r="I18" i="10"/>
  <c r="I18" i="2"/>
  <c r="I17" i="10"/>
  <c r="I17" i="2"/>
  <c r="J22" i="3"/>
  <c r="J20" i="13"/>
  <c r="H18" i="10"/>
  <c r="H18" i="2"/>
  <c r="H17" i="10"/>
  <c r="H17" i="2"/>
  <c r="I22" i="3"/>
  <c r="I20" i="13"/>
  <c r="G18" i="10"/>
  <c r="G18" i="2"/>
  <c r="E18" i="10"/>
  <c r="E18" i="2"/>
  <c r="D18" i="10"/>
  <c r="D18" i="2"/>
  <c r="B18" i="10"/>
  <c r="B18" i="2"/>
  <c r="AN16" i="10"/>
  <c r="AN16" i="2"/>
  <c r="AM16" i="10"/>
  <c r="AM16" i="2"/>
  <c r="AN21" i="3"/>
  <c r="AN19" i="13"/>
  <c r="AN20" i="4"/>
  <c r="AL16" i="10"/>
  <c r="AL16" i="2"/>
  <c r="AM21" i="3"/>
  <c r="AM19" i="13"/>
  <c r="AM20" i="4"/>
  <c r="AK16" i="10"/>
  <c r="AK16" i="2"/>
  <c r="AL21" i="3"/>
  <c r="AL19" i="13"/>
  <c r="AJ16" i="10"/>
  <c r="AJ16" i="2"/>
  <c r="AI16" i="10"/>
  <c r="AI16" i="2"/>
  <c r="AH16" i="10"/>
  <c r="AH16" i="2"/>
  <c r="AI21" i="3"/>
  <c r="AI19" i="13"/>
  <c r="Z16" i="10"/>
  <c r="Z16" i="2"/>
  <c r="Y16" i="10"/>
  <c r="Y16" i="2"/>
  <c r="Z21" i="3"/>
  <c r="Z19" i="13"/>
  <c r="X16" i="10"/>
  <c r="X16" i="2"/>
  <c r="Y21" i="3"/>
  <c r="Y19" i="13"/>
  <c r="W16" i="10"/>
  <c r="W16" i="2"/>
  <c r="X21" i="3"/>
  <c r="X19" i="13"/>
  <c r="V16" i="10"/>
  <c r="V16" i="2"/>
  <c r="W21" i="3"/>
  <c r="W19" i="13"/>
  <c r="U16" i="10"/>
  <c r="U16" i="2"/>
  <c r="V21" i="3"/>
  <c r="V19" i="13"/>
  <c r="T16" i="10"/>
  <c r="T16" i="2"/>
  <c r="U21" i="3"/>
  <c r="U19" i="13"/>
  <c r="S16" i="10"/>
  <c r="S16" i="2"/>
  <c r="T21" i="3"/>
  <c r="T19" i="13"/>
  <c r="T20" i="4"/>
  <c r="R16" i="10"/>
  <c r="R16" i="2"/>
  <c r="S21" i="3"/>
  <c r="S19" i="13"/>
  <c r="Q16" i="10"/>
  <c r="Q16" i="2"/>
  <c r="R21" i="3"/>
  <c r="R19" i="13"/>
  <c r="P16" i="10"/>
  <c r="P16" i="2"/>
  <c r="Q21" i="3"/>
  <c r="Q19" i="13"/>
  <c r="O16" i="10"/>
  <c r="O16" i="2"/>
  <c r="P21" i="3"/>
  <c r="P19" i="13"/>
  <c r="N16" i="10"/>
  <c r="N16" i="2"/>
  <c r="O21" i="3"/>
  <c r="O19" i="13"/>
  <c r="M16" i="10"/>
  <c r="M16" i="2"/>
  <c r="N21" i="3"/>
  <c r="N19" i="13"/>
  <c r="L16" i="10"/>
  <c r="L16" i="2"/>
  <c r="M21" i="3"/>
  <c r="M19" i="13"/>
  <c r="K16" i="10"/>
  <c r="K16" i="2"/>
  <c r="L21" i="3"/>
  <c r="L19" i="13"/>
  <c r="J16" i="10"/>
  <c r="J16" i="2"/>
  <c r="K21" i="3"/>
  <c r="K19" i="13"/>
  <c r="I16" i="10"/>
  <c r="I16" i="2"/>
  <c r="J21" i="3"/>
  <c r="J19" i="13"/>
  <c r="H16" i="10"/>
  <c r="H16" i="2"/>
  <c r="I21" i="3"/>
  <c r="I19" i="13"/>
  <c r="G16" i="10"/>
  <c r="G16" i="2"/>
  <c r="AN15" i="10"/>
  <c r="AN15" i="2"/>
  <c r="AK15" i="10"/>
  <c r="AK15" i="2"/>
  <c r="AJ15" i="10"/>
  <c r="AJ15" i="2"/>
  <c r="AK20" i="3"/>
  <c r="AK18" i="13"/>
  <c r="AI15" i="10"/>
  <c r="AI15" i="2"/>
  <c r="AJ20" i="3"/>
  <c r="AJ18" i="13"/>
  <c r="Z15" i="10"/>
  <c r="Z15" i="2"/>
  <c r="Y15" i="10"/>
  <c r="Y15" i="2"/>
  <c r="Z20" i="3"/>
  <c r="Z18" i="13"/>
  <c r="Z19" i="4"/>
  <c r="X15" i="10"/>
  <c r="X15" i="2"/>
  <c r="Y20" i="3"/>
  <c r="Y18" i="13"/>
  <c r="Y19" i="4"/>
  <c r="W15" i="10"/>
  <c r="W15" i="2"/>
  <c r="X20" i="3"/>
  <c r="X18" i="13"/>
  <c r="X19" i="4"/>
  <c r="V15" i="10"/>
  <c r="V15" i="2"/>
  <c r="W20" i="3"/>
  <c r="W18" i="13"/>
  <c r="W19" i="4"/>
  <c r="U15" i="10"/>
  <c r="U15" i="2"/>
  <c r="V20" i="3"/>
  <c r="V18" i="13"/>
  <c r="V19" i="4"/>
  <c r="T15" i="10"/>
  <c r="T15" i="2"/>
  <c r="U20" i="3"/>
  <c r="U18" i="13"/>
  <c r="U19" i="4"/>
  <c r="S15" i="10"/>
  <c r="S15" i="2"/>
  <c r="T20" i="3"/>
  <c r="T18" i="13"/>
  <c r="T19" i="4"/>
  <c r="R15" i="10"/>
  <c r="R15" i="2"/>
  <c r="S20" i="3"/>
  <c r="S18" i="13"/>
  <c r="S19" i="4"/>
  <c r="Q15" i="10"/>
  <c r="Q15" i="2"/>
  <c r="R20" i="3"/>
  <c r="R18" i="13"/>
  <c r="R19" i="4"/>
  <c r="P15" i="10"/>
  <c r="P15" i="2"/>
  <c r="Q20" i="3"/>
  <c r="Q18" i="13"/>
  <c r="Q19" i="4"/>
  <c r="O15" i="10"/>
  <c r="O15" i="2"/>
  <c r="P20" i="3"/>
  <c r="P18" i="13"/>
  <c r="P19" i="4"/>
  <c r="N15" i="10"/>
  <c r="N15" i="2"/>
  <c r="O20" i="3"/>
  <c r="O18" i="13"/>
  <c r="O19" i="4"/>
  <c r="M15" i="10"/>
  <c r="M15" i="2"/>
  <c r="N20" i="3"/>
  <c r="N18" i="13"/>
  <c r="N19" i="4"/>
  <c r="L15" i="10"/>
  <c r="L15" i="2"/>
  <c r="M20" i="3"/>
  <c r="M18" i="13"/>
  <c r="M19" i="4"/>
  <c r="K15" i="10"/>
  <c r="K15" i="2"/>
  <c r="L20" i="3"/>
  <c r="L18" i="13"/>
  <c r="L19" i="4"/>
  <c r="J15" i="10"/>
  <c r="J15" i="2"/>
  <c r="K20" i="3"/>
  <c r="K18" i="13"/>
  <c r="K19" i="4"/>
  <c r="I15" i="10"/>
  <c r="I15" i="2"/>
  <c r="J20" i="3"/>
  <c r="J18" i="13"/>
  <c r="J19" i="4"/>
  <c r="H15" i="10"/>
  <c r="H15" i="2"/>
  <c r="I20" i="3"/>
  <c r="I18" i="13"/>
  <c r="I19" i="4"/>
  <c r="G15" i="10"/>
  <c r="G15" i="2"/>
  <c r="H20" i="3"/>
  <c r="H18" i="13"/>
  <c r="AJ14" i="10"/>
  <c r="AJ14" i="2"/>
  <c r="AI14" i="10"/>
  <c r="AI14" i="2"/>
  <c r="AJ19" i="3"/>
  <c r="AJ17" i="13"/>
  <c r="Z14" i="10"/>
  <c r="Z14" i="2"/>
  <c r="Y14" i="10"/>
  <c r="Y14" i="2"/>
  <c r="Z19" i="3"/>
  <c r="Z17" i="13"/>
  <c r="Z18" i="4"/>
  <c r="X14" i="10"/>
  <c r="X14" i="2"/>
  <c r="Y19" i="3"/>
  <c r="Y17" i="13"/>
  <c r="Y18" i="4"/>
  <c r="W14" i="10"/>
  <c r="W14" i="2"/>
  <c r="X19" i="3"/>
  <c r="X17" i="13"/>
  <c r="X18" i="4"/>
  <c r="V14" i="10"/>
  <c r="V14" i="2"/>
  <c r="W19" i="3"/>
  <c r="W17" i="13"/>
  <c r="W18" i="4"/>
  <c r="U14" i="10"/>
  <c r="U14" i="2"/>
  <c r="V19" i="3"/>
  <c r="V17" i="13"/>
  <c r="V18" i="4"/>
  <c r="T14" i="10"/>
  <c r="T14" i="2"/>
  <c r="U19" i="3"/>
  <c r="U17" i="13"/>
  <c r="U18" i="4"/>
  <c r="S14" i="10"/>
  <c r="S14" i="2"/>
  <c r="T19" i="3"/>
  <c r="T17" i="13"/>
  <c r="T18" i="4"/>
  <c r="R14" i="10"/>
  <c r="R14" i="2"/>
  <c r="S19" i="3"/>
  <c r="S17" i="13"/>
  <c r="S18" i="4"/>
  <c r="Q14" i="10"/>
  <c r="Q14" i="2"/>
  <c r="R19" i="3"/>
  <c r="R17" i="13"/>
  <c r="R18" i="4"/>
  <c r="P14" i="10"/>
  <c r="P14" i="2"/>
  <c r="Q19" i="3"/>
  <c r="Q17" i="13"/>
  <c r="Q18" i="4"/>
  <c r="O14" i="10"/>
  <c r="O14" i="2"/>
  <c r="P19" i="3"/>
  <c r="P17" i="13"/>
  <c r="P18" i="4"/>
  <c r="N14" i="10"/>
  <c r="N14" i="2"/>
  <c r="O19" i="3"/>
  <c r="O17" i="13"/>
  <c r="O18" i="4"/>
  <c r="M14" i="10"/>
  <c r="M14" i="2"/>
  <c r="N19" i="3"/>
  <c r="N17" i="13"/>
  <c r="N18" i="4"/>
  <c r="L14" i="10"/>
  <c r="L14" i="2"/>
  <c r="M19" i="3"/>
  <c r="M17" i="13"/>
  <c r="M18" i="4"/>
  <c r="K14" i="10"/>
  <c r="K14" i="2"/>
  <c r="L19" i="3"/>
  <c r="L17" i="13"/>
  <c r="L18" i="4"/>
  <c r="J14" i="10"/>
  <c r="J14" i="2"/>
  <c r="K19" i="3"/>
  <c r="K17" i="13"/>
  <c r="K18" i="4"/>
  <c r="I14" i="10"/>
  <c r="I14" i="2"/>
  <c r="J19" i="3"/>
  <c r="J17" i="13"/>
  <c r="J18" i="4"/>
  <c r="H14" i="10"/>
  <c r="H14" i="2"/>
  <c r="I19" i="3"/>
  <c r="I17" i="13"/>
  <c r="I18" i="4"/>
  <c r="G14" i="10"/>
  <c r="G14" i="2"/>
  <c r="H19" i="3"/>
  <c r="H17" i="13"/>
  <c r="AJ13" i="10"/>
  <c r="AJ13" i="2"/>
  <c r="AI13" i="10"/>
  <c r="AI13" i="2"/>
  <c r="AJ18" i="3"/>
  <c r="AJ16" i="13"/>
  <c r="AJ17" i="4"/>
  <c r="AA13" i="10"/>
  <c r="AA13" i="2"/>
  <c r="Z13" i="10"/>
  <c r="Z13" i="2"/>
  <c r="Y13" i="10"/>
  <c r="Y13" i="2"/>
  <c r="Z18" i="3"/>
  <c r="Z16" i="13"/>
  <c r="Z17" i="4"/>
  <c r="X13" i="10"/>
  <c r="X13" i="2"/>
  <c r="Y18" i="3"/>
  <c r="Y16" i="13"/>
  <c r="Y17" i="4"/>
  <c r="W13" i="10"/>
  <c r="W13" i="2"/>
  <c r="X18" i="3"/>
  <c r="X16" i="13"/>
  <c r="X17" i="4"/>
  <c r="V13" i="10"/>
  <c r="V13" i="2"/>
  <c r="W18" i="3"/>
  <c r="W16" i="13"/>
  <c r="W17" i="4"/>
  <c r="U13" i="10"/>
  <c r="U13" i="2"/>
  <c r="V18" i="3"/>
  <c r="V16" i="13"/>
  <c r="V17" i="4"/>
  <c r="T13" i="10"/>
  <c r="T13" i="2"/>
  <c r="U18" i="3"/>
  <c r="U16" i="13"/>
  <c r="U17" i="4"/>
  <c r="S13" i="10"/>
  <c r="S13" i="2"/>
  <c r="T18" i="3"/>
  <c r="T16" i="13"/>
  <c r="T17" i="4"/>
  <c r="R13" i="10"/>
  <c r="R13" i="2"/>
  <c r="S18" i="3"/>
  <c r="S16" i="13"/>
  <c r="S17" i="4"/>
  <c r="Q13" i="10"/>
  <c r="Q13" i="2"/>
  <c r="R18" i="3"/>
  <c r="R16" i="13"/>
  <c r="R17" i="4"/>
  <c r="P13" i="10"/>
  <c r="P13" i="2"/>
  <c r="Q18" i="3"/>
  <c r="Q16" i="13"/>
  <c r="Q17" i="4"/>
  <c r="O13" i="10"/>
  <c r="O13" i="2"/>
  <c r="P18" i="3"/>
  <c r="P16" i="13"/>
  <c r="P17" i="4"/>
  <c r="N13" i="10"/>
  <c r="N13" i="2"/>
  <c r="O18" i="3"/>
  <c r="O16" i="13"/>
  <c r="O17" i="4"/>
  <c r="M13" i="10"/>
  <c r="M13" i="2"/>
  <c r="N18" i="3"/>
  <c r="N16" i="13"/>
  <c r="N17" i="4"/>
  <c r="L13" i="10"/>
  <c r="L13" i="2"/>
  <c r="M18" i="3"/>
  <c r="M16" i="13"/>
  <c r="M17" i="4"/>
  <c r="K13" i="10"/>
  <c r="K13" i="2"/>
  <c r="L18" i="3"/>
  <c r="L16" i="13"/>
  <c r="L17" i="4"/>
  <c r="J13" i="10"/>
  <c r="J13" i="2"/>
  <c r="K18" i="3"/>
  <c r="K16" i="13"/>
  <c r="K17" i="4"/>
  <c r="I13" i="10"/>
  <c r="I13" i="2"/>
  <c r="J18" i="3"/>
  <c r="J16" i="13"/>
  <c r="J17" i="4"/>
  <c r="H13" i="10"/>
  <c r="H13" i="2"/>
  <c r="I18" i="3"/>
  <c r="I16" i="13"/>
  <c r="I17" i="4"/>
  <c r="G13" i="10"/>
  <c r="G13" i="2"/>
  <c r="H18" i="3"/>
  <c r="H16" i="13"/>
  <c r="H17" i="4"/>
  <c r="AK12" i="10"/>
  <c r="AK12" i="2"/>
  <c r="AJ12" i="10"/>
  <c r="AJ12" i="2"/>
  <c r="AI12" i="10"/>
  <c r="AI12" i="2"/>
  <c r="AJ17" i="3"/>
  <c r="AJ15" i="13"/>
  <c r="AJ16" i="4"/>
  <c r="Y12" i="10"/>
  <c r="Y12" i="2"/>
  <c r="X12" i="10"/>
  <c r="X12" i="2"/>
  <c r="Y17" i="3"/>
  <c r="Y15" i="13"/>
  <c r="Y16" i="4"/>
  <c r="W12" i="10"/>
  <c r="W12" i="2"/>
  <c r="X17" i="3"/>
  <c r="X15" i="13"/>
  <c r="X16" i="4"/>
  <c r="T12" i="10"/>
  <c r="T12" i="2"/>
  <c r="S12" i="10"/>
  <c r="S12" i="2"/>
  <c r="T17" i="3"/>
  <c r="T15" i="13"/>
  <c r="T16" i="4"/>
  <c r="Q12" i="10"/>
  <c r="Q12" i="2"/>
  <c r="O12" i="10"/>
  <c r="O12" i="2"/>
  <c r="N12" i="10"/>
  <c r="N12" i="2"/>
  <c r="O17" i="3"/>
  <c r="O15" i="13"/>
  <c r="O16" i="4"/>
  <c r="M12" i="10"/>
  <c r="M12" i="2"/>
  <c r="N17" i="3"/>
  <c r="N15" i="13"/>
  <c r="N16" i="4"/>
  <c r="L12" i="10"/>
  <c r="L12" i="2"/>
  <c r="M17" i="3"/>
  <c r="M15" i="13"/>
  <c r="M16" i="4"/>
  <c r="G12" i="10"/>
  <c r="G12" i="2"/>
  <c r="AJ11" i="10"/>
  <c r="AJ11" i="2"/>
  <c r="AI11" i="10"/>
  <c r="AI11" i="2"/>
  <c r="AJ16" i="3"/>
  <c r="AJ14" i="13"/>
  <c r="AJ15" i="4"/>
  <c r="AB11" i="10"/>
  <c r="AB11" i="2"/>
  <c r="AA11" i="10"/>
  <c r="AA11" i="2"/>
  <c r="Z11" i="10"/>
  <c r="Z11" i="2"/>
  <c r="Y11" i="10"/>
  <c r="Y11" i="2"/>
  <c r="X11" i="10"/>
  <c r="X11" i="2"/>
  <c r="Y16" i="3"/>
  <c r="Y14" i="13"/>
  <c r="Y15" i="4"/>
  <c r="W11" i="10"/>
  <c r="W11" i="2"/>
  <c r="X16" i="3"/>
  <c r="X14" i="13"/>
  <c r="X15" i="4"/>
  <c r="T11" i="10"/>
  <c r="T11" i="2"/>
  <c r="S11" i="10"/>
  <c r="S11" i="2"/>
  <c r="T16" i="3"/>
  <c r="T14" i="13"/>
  <c r="T15" i="4"/>
  <c r="R11" i="10"/>
  <c r="R11" i="2"/>
  <c r="M11" i="10"/>
  <c r="M11" i="2"/>
  <c r="L11" i="10"/>
  <c r="L11" i="2"/>
  <c r="M16" i="3"/>
  <c r="M14" i="13"/>
  <c r="M15" i="4"/>
  <c r="K11" i="10"/>
  <c r="K11" i="2"/>
  <c r="AN10" i="10"/>
  <c r="AN10" i="2"/>
  <c r="AM10" i="10"/>
  <c r="AM10" i="2"/>
  <c r="AL10" i="10"/>
  <c r="AL10" i="2"/>
  <c r="AK10" i="10"/>
  <c r="AK10" i="2"/>
  <c r="AJ10" i="10"/>
  <c r="AJ10" i="2"/>
  <c r="AI10" i="10"/>
  <c r="AI10" i="2"/>
  <c r="AJ15" i="3"/>
  <c r="AJ13" i="13"/>
  <c r="AJ14" i="4"/>
  <c r="AH10" i="10"/>
  <c r="AH10" i="2"/>
  <c r="AG10" i="10"/>
  <c r="AG10" i="2"/>
  <c r="AF10" i="10"/>
  <c r="AF10" i="2"/>
  <c r="AE10" i="10"/>
  <c r="AE10" i="2"/>
  <c r="AD10" i="10"/>
  <c r="AD10" i="2"/>
  <c r="AC10" i="10"/>
  <c r="AC10" i="2"/>
  <c r="AB10" i="10"/>
  <c r="AB10" i="2"/>
  <c r="AA10" i="10"/>
  <c r="AA10" i="2"/>
  <c r="AB15" i="3"/>
  <c r="AB13" i="13"/>
  <c r="Z10" i="10"/>
  <c r="Z10" i="2"/>
  <c r="AA15" i="3"/>
  <c r="AA13" i="13"/>
  <c r="Y10" i="10"/>
  <c r="Y10" i="2"/>
  <c r="Z15" i="3"/>
  <c r="Z13" i="13"/>
  <c r="X10" i="10"/>
  <c r="X10" i="2"/>
  <c r="Y15" i="3"/>
  <c r="Y13" i="13"/>
  <c r="Y14" i="4"/>
  <c r="W10" i="10"/>
  <c r="W10" i="2"/>
  <c r="X15" i="3"/>
  <c r="X13" i="13"/>
  <c r="X14" i="4"/>
  <c r="V10" i="10"/>
  <c r="V10" i="2"/>
  <c r="U10" i="10"/>
  <c r="U10" i="2"/>
  <c r="T10" i="10"/>
  <c r="T10" i="2"/>
  <c r="S10" i="10"/>
  <c r="S10" i="2"/>
  <c r="T15" i="3"/>
  <c r="T13" i="13"/>
  <c r="T14" i="4"/>
  <c r="R10" i="10"/>
  <c r="R10" i="2"/>
  <c r="S15" i="3"/>
  <c r="S13" i="13"/>
  <c r="Q10" i="10"/>
  <c r="Q10" i="2"/>
  <c r="P10" i="10"/>
  <c r="P10" i="2"/>
  <c r="O10" i="10"/>
  <c r="O10" i="2"/>
  <c r="N10" i="10"/>
  <c r="N10" i="2"/>
  <c r="M10" i="10"/>
  <c r="M10" i="2"/>
  <c r="L10" i="10"/>
  <c r="L10" i="2"/>
  <c r="M15" i="3"/>
  <c r="M13" i="13"/>
  <c r="M14" i="4"/>
  <c r="K10" i="10"/>
  <c r="K10" i="2"/>
  <c r="L15" i="3"/>
  <c r="L13" i="13"/>
  <c r="J10" i="10"/>
  <c r="J10" i="2"/>
  <c r="I10" i="10"/>
  <c r="I10" i="2"/>
  <c r="H10" i="10"/>
  <c r="H10" i="2"/>
  <c r="G10" i="10"/>
  <c r="G10" i="2"/>
  <c r="F10" i="10"/>
  <c r="F10" i="2"/>
  <c r="E10" i="10"/>
  <c r="E10" i="2"/>
  <c r="D10" i="10"/>
  <c r="D10" i="2"/>
  <c r="C10" i="10"/>
  <c r="C10" i="2"/>
  <c r="AN9" i="10"/>
  <c r="AN9" i="2"/>
  <c r="AO14" i="3"/>
  <c r="AO12" i="13"/>
  <c r="AM9" i="10"/>
  <c r="AM9" i="2"/>
  <c r="AN14" i="3"/>
  <c r="AN12" i="13"/>
  <c r="AL9" i="10"/>
  <c r="AL9" i="2"/>
  <c r="AM14" i="3"/>
  <c r="AM12" i="13"/>
  <c r="AK9" i="10"/>
  <c r="AK9" i="2"/>
  <c r="AL14" i="3"/>
  <c r="AL12" i="13"/>
  <c r="AJ9" i="10"/>
  <c r="AJ9" i="2"/>
  <c r="AK14" i="3"/>
  <c r="AK12" i="13"/>
  <c r="AI9" i="10"/>
  <c r="AI9" i="2"/>
  <c r="AJ14" i="3"/>
  <c r="AJ12" i="13"/>
  <c r="AJ13" i="4"/>
  <c r="AH9" i="10"/>
  <c r="AH9" i="2"/>
  <c r="AI14" i="3"/>
  <c r="AI12" i="13"/>
  <c r="AG9" i="10"/>
  <c r="AG9" i="2"/>
  <c r="AH14" i="3"/>
  <c r="AH12" i="13"/>
  <c r="AF9" i="10"/>
  <c r="AF9" i="2"/>
  <c r="AG14" i="3"/>
  <c r="AG12" i="13"/>
  <c r="AE9" i="10"/>
  <c r="AE9" i="2"/>
  <c r="AF14" i="3"/>
  <c r="AF12" i="13"/>
  <c r="AD9" i="10"/>
  <c r="AD9" i="2"/>
  <c r="AE14" i="3"/>
  <c r="AE12" i="13"/>
  <c r="AC9" i="10"/>
  <c r="AC9" i="2"/>
  <c r="AD14" i="3"/>
  <c r="AD12" i="13"/>
  <c r="AB9" i="10"/>
  <c r="AB9" i="2"/>
  <c r="AC14" i="3"/>
  <c r="AC12" i="13"/>
  <c r="AA9" i="10"/>
  <c r="AA9" i="2"/>
  <c r="AB14" i="3"/>
  <c r="AB12" i="13"/>
  <c r="Z9" i="10"/>
  <c r="Z9" i="2"/>
  <c r="AA14" i="3"/>
  <c r="AA12" i="13"/>
  <c r="Y9" i="10"/>
  <c r="Y9" i="2"/>
  <c r="Z14" i="3"/>
  <c r="Z12" i="13"/>
  <c r="X9" i="10"/>
  <c r="X9" i="2"/>
  <c r="Y14" i="3"/>
  <c r="Y12" i="13"/>
  <c r="Y13" i="4"/>
  <c r="W9" i="10"/>
  <c r="W9" i="2"/>
  <c r="X14" i="3"/>
  <c r="X12" i="13"/>
  <c r="X13" i="4"/>
  <c r="V9" i="10"/>
  <c r="V9" i="2"/>
  <c r="W14" i="3"/>
  <c r="W12" i="13"/>
  <c r="U9" i="10"/>
  <c r="U9" i="2"/>
  <c r="V14" i="3"/>
  <c r="V12" i="13"/>
  <c r="T9" i="10"/>
  <c r="T9" i="2"/>
  <c r="U14" i="3"/>
  <c r="U12" i="13"/>
  <c r="S9" i="10"/>
  <c r="S9" i="2"/>
  <c r="T14" i="3"/>
  <c r="T12" i="13"/>
  <c r="T13" i="4"/>
  <c r="R9" i="10"/>
  <c r="R9" i="2"/>
  <c r="S14" i="3"/>
  <c r="S12" i="13"/>
  <c r="Q9" i="10"/>
  <c r="Q9" i="2"/>
  <c r="R14" i="3"/>
  <c r="R12" i="13"/>
  <c r="P9" i="10"/>
  <c r="P9" i="2"/>
  <c r="Q14" i="3"/>
  <c r="Q12" i="13"/>
  <c r="O9" i="10"/>
  <c r="O9" i="2"/>
  <c r="P14" i="3"/>
  <c r="P12" i="13"/>
  <c r="N9" i="10"/>
  <c r="N9" i="2"/>
  <c r="O14" i="3"/>
  <c r="O12" i="13"/>
  <c r="M9" i="10"/>
  <c r="M9" i="2"/>
  <c r="N14" i="3"/>
  <c r="N12" i="13"/>
  <c r="L9" i="10"/>
  <c r="L9" i="2"/>
  <c r="M14" i="3"/>
  <c r="M12" i="13"/>
  <c r="M13" i="4"/>
  <c r="K9" i="10"/>
  <c r="K9" i="2"/>
  <c r="L14" i="3"/>
  <c r="L12" i="13"/>
  <c r="J9" i="10"/>
  <c r="J9" i="2"/>
  <c r="K14" i="3"/>
  <c r="K12" i="13"/>
  <c r="I9" i="10"/>
  <c r="I9" i="2"/>
  <c r="J14" i="3"/>
  <c r="J12" i="13"/>
  <c r="H9" i="10"/>
  <c r="H9" i="2"/>
  <c r="I14" i="3"/>
  <c r="I12" i="13"/>
  <c r="G9" i="10"/>
  <c r="G9" i="2"/>
  <c r="H14" i="3"/>
  <c r="H12" i="13"/>
  <c r="F9" i="10"/>
  <c r="F9" i="2"/>
  <c r="G14" i="3"/>
  <c r="G12" i="13"/>
  <c r="E9" i="10"/>
  <c r="E9" i="2"/>
  <c r="F14" i="3"/>
  <c r="F12" i="13"/>
  <c r="D9" i="10"/>
  <c r="D9" i="2"/>
  <c r="E14" i="3"/>
  <c r="E12" i="13"/>
  <c r="C9" i="10"/>
  <c r="C9" i="2"/>
  <c r="D14" i="3"/>
  <c r="D12" i="13"/>
  <c r="C14" i="3"/>
  <c r="C12" i="13"/>
  <c r="AN8" i="10"/>
  <c r="AN8" i="2"/>
  <c r="AO13" i="3"/>
  <c r="AO11" i="13"/>
  <c r="AM8" i="10"/>
  <c r="AM8" i="2"/>
  <c r="AN13" i="3"/>
  <c r="AN11" i="13"/>
  <c r="AL8" i="10"/>
  <c r="AL8" i="2"/>
  <c r="AM13" i="3"/>
  <c r="AM11" i="13"/>
  <c r="AK8" i="10"/>
  <c r="AK8" i="2"/>
  <c r="AL13" i="3"/>
  <c r="AL11" i="13"/>
  <c r="AJ8" i="10"/>
  <c r="AJ8" i="2"/>
  <c r="AK13" i="3"/>
  <c r="AK11" i="13"/>
  <c r="AI8" i="10"/>
  <c r="AI8" i="2"/>
  <c r="AJ13" i="3"/>
  <c r="AJ11" i="13"/>
  <c r="AJ12" i="4"/>
  <c r="AH8" i="10"/>
  <c r="AH8" i="2"/>
  <c r="AI13" i="3"/>
  <c r="AI11" i="13"/>
  <c r="AG8" i="10"/>
  <c r="AG8" i="2"/>
  <c r="AH13" i="3"/>
  <c r="AH11" i="13"/>
  <c r="AF8" i="10"/>
  <c r="AF8" i="2"/>
  <c r="AG13" i="3"/>
  <c r="AG11" i="13"/>
  <c r="AE8" i="10"/>
  <c r="AE8" i="2"/>
  <c r="AF13" i="3"/>
  <c r="AF11" i="13"/>
  <c r="AD8" i="10"/>
  <c r="AD8" i="2"/>
  <c r="AE13" i="3"/>
  <c r="AE11" i="13"/>
  <c r="AC8" i="10"/>
  <c r="AC8" i="2"/>
  <c r="AD13" i="3"/>
  <c r="AD11" i="13"/>
  <c r="AB8" i="10"/>
  <c r="AB8" i="2"/>
  <c r="AC13" i="3"/>
  <c r="AC11" i="13"/>
  <c r="AA8" i="10"/>
  <c r="AA8" i="2"/>
  <c r="AB13" i="3"/>
  <c r="AB11" i="13"/>
  <c r="AB12" i="4"/>
  <c r="Z8" i="10"/>
  <c r="Z8" i="2"/>
  <c r="AA13" i="3"/>
  <c r="AA11" i="13"/>
  <c r="AA12" i="4"/>
  <c r="Y8" i="10"/>
  <c r="Y8" i="2"/>
  <c r="Z13" i="3"/>
  <c r="Z11" i="13"/>
  <c r="Z12" i="4"/>
  <c r="X8" i="10"/>
  <c r="X8" i="2"/>
  <c r="Y13" i="3"/>
  <c r="Y11" i="13"/>
  <c r="Y12" i="4"/>
  <c r="W8" i="10"/>
  <c r="W8" i="2"/>
  <c r="X13" i="3"/>
  <c r="X11" i="13"/>
  <c r="X12" i="4"/>
  <c r="V8" i="10"/>
  <c r="V8" i="2"/>
  <c r="W13" i="3"/>
  <c r="W11" i="13"/>
  <c r="U8" i="10"/>
  <c r="U8" i="2"/>
  <c r="V13" i="3"/>
  <c r="V11" i="13"/>
  <c r="T8" i="10"/>
  <c r="T8" i="2"/>
  <c r="U13" i="3"/>
  <c r="U11" i="13"/>
  <c r="S8" i="10"/>
  <c r="S8" i="2"/>
  <c r="T13" i="3"/>
  <c r="T11" i="13"/>
  <c r="T12" i="4"/>
  <c r="R8" i="10"/>
  <c r="R8" i="2"/>
  <c r="S13" i="3"/>
  <c r="S11" i="13"/>
  <c r="S12" i="4"/>
  <c r="Q8" i="10"/>
  <c r="Q8" i="2"/>
  <c r="R13" i="3"/>
  <c r="R11" i="13"/>
  <c r="P8" i="10"/>
  <c r="P8" i="2"/>
  <c r="Q13" i="3"/>
  <c r="Q11" i="13"/>
  <c r="O8" i="10"/>
  <c r="O8" i="2"/>
  <c r="P13" i="3"/>
  <c r="P11" i="13"/>
  <c r="N8" i="10"/>
  <c r="N8" i="2"/>
  <c r="O13" i="3"/>
  <c r="O11" i="13"/>
  <c r="M8" i="10"/>
  <c r="M8" i="2"/>
  <c r="N13" i="3"/>
  <c r="N11" i="13"/>
  <c r="L8" i="10"/>
  <c r="L8" i="2"/>
  <c r="M13" i="3"/>
  <c r="M11" i="13"/>
  <c r="M12" i="4"/>
  <c r="K8" i="10"/>
  <c r="K8" i="2"/>
  <c r="L13" i="3"/>
  <c r="L11" i="13"/>
  <c r="L12" i="4"/>
  <c r="J8" i="10"/>
  <c r="J8" i="2"/>
  <c r="K13" i="3"/>
  <c r="K11" i="13"/>
  <c r="I8" i="10"/>
  <c r="I8" i="2"/>
  <c r="J13" i="3"/>
  <c r="J11" i="13"/>
  <c r="D8" i="10"/>
  <c r="D8" i="2"/>
  <c r="C8" i="10"/>
  <c r="C8" i="2"/>
  <c r="D13" i="3"/>
  <c r="D11" i="13"/>
  <c r="C13" i="3"/>
  <c r="C11" i="13"/>
  <c r="AO12" i="3"/>
  <c r="AO10" i="13"/>
  <c r="AO11" i="4"/>
  <c r="AN12" i="3"/>
  <c r="AN10" i="13"/>
  <c r="AN11" i="4"/>
  <c r="AM12" i="3"/>
  <c r="AM10" i="13"/>
  <c r="AM11" i="4"/>
  <c r="AL12" i="3"/>
  <c r="AL10" i="13"/>
  <c r="AL11" i="4"/>
  <c r="AK12" i="3"/>
  <c r="AK10" i="13"/>
  <c r="AK11" i="4"/>
  <c r="AJ12" i="3"/>
  <c r="AJ10" i="13"/>
  <c r="AJ11" i="4"/>
  <c r="AI12" i="3"/>
  <c r="AI10" i="13"/>
  <c r="AI11" i="4"/>
  <c r="AH12" i="3"/>
  <c r="AH10" i="13"/>
  <c r="AH11" i="4"/>
  <c r="AG12" i="3"/>
  <c r="AG10" i="13"/>
  <c r="AG11" i="4"/>
  <c r="AF12" i="3"/>
  <c r="AF10" i="13"/>
  <c r="AF11" i="4"/>
  <c r="AE12" i="3"/>
  <c r="AE10" i="13"/>
  <c r="AE11" i="4"/>
  <c r="AD12" i="3"/>
  <c r="AD10" i="13"/>
  <c r="AD11" i="4"/>
  <c r="AC12" i="3"/>
  <c r="AC10" i="13"/>
  <c r="AC11" i="4"/>
  <c r="AB12" i="3"/>
  <c r="AB10" i="13"/>
  <c r="AB11" i="4"/>
  <c r="AA12" i="3"/>
  <c r="AA10" i="13"/>
  <c r="AA11" i="4"/>
  <c r="Z12" i="3"/>
  <c r="Z10" i="13"/>
  <c r="Z11" i="4"/>
  <c r="Y12" i="3"/>
  <c r="Y10" i="13"/>
  <c r="Y11" i="4"/>
  <c r="X12" i="3"/>
  <c r="X10" i="13"/>
  <c r="X11" i="4"/>
  <c r="W12" i="3"/>
  <c r="W10" i="13"/>
  <c r="W11" i="4"/>
  <c r="V12" i="3"/>
  <c r="V10" i="13"/>
  <c r="V11" i="4"/>
  <c r="U12" i="3"/>
  <c r="U10" i="13"/>
  <c r="U11" i="4"/>
  <c r="T12" i="3"/>
  <c r="T10" i="13"/>
  <c r="T11" i="4"/>
  <c r="S12" i="3"/>
  <c r="S10" i="13"/>
  <c r="S11" i="4"/>
  <c r="R12" i="3"/>
  <c r="R10" i="13"/>
  <c r="R11" i="4"/>
  <c r="Q12" i="3"/>
  <c r="Q10" i="13"/>
  <c r="Q11" i="4"/>
  <c r="P12" i="3"/>
  <c r="P10" i="13"/>
  <c r="P11" i="4"/>
  <c r="O12" i="3"/>
  <c r="O10" i="13"/>
  <c r="O11" i="4"/>
  <c r="N12" i="3"/>
  <c r="N10" i="13"/>
  <c r="N11" i="4"/>
  <c r="M12" i="3"/>
  <c r="M10" i="13"/>
  <c r="M11" i="4"/>
  <c r="L12" i="3"/>
  <c r="L10" i="13"/>
  <c r="L11" i="4"/>
  <c r="K12" i="3"/>
  <c r="K10" i="13"/>
  <c r="K11" i="4"/>
  <c r="J12" i="3"/>
  <c r="J10" i="13"/>
  <c r="J11" i="4"/>
  <c r="D12" i="3"/>
  <c r="D10" i="13"/>
  <c r="D11" i="4"/>
  <c r="C12" i="3"/>
  <c r="C10" i="13"/>
  <c r="C11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D10" i="4"/>
  <c r="C10" i="4"/>
  <c r="B10" i="4"/>
  <c r="AW16" i="4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W17" i="4"/>
  <c r="AW10" i="4"/>
  <c r="AV29" i="4" a="1"/>
  <c r="AV29" i="4"/>
  <c r="AV10" i="4" a="1"/>
  <c r="AV10" i="4"/>
  <c r="AW11" i="4"/>
  <c r="AT49" i="13"/>
  <c r="AT31" i="13"/>
  <c r="AT30" i="13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Q1" i="13"/>
  <c r="R1" i="13"/>
  <c r="AX25" i="12"/>
  <c r="AX24" i="12"/>
  <c r="AX23" i="12"/>
  <c r="AX22" i="12"/>
  <c r="AX21" i="12"/>
  <c r="AX20" i="12"/>
  <c r="AX19" i="12"/>
  <c r="AX18" i="12"/>
  <c r="AX17" i="12"/>
  <c r="AX16" i="12"/>
  <c r="AX15" i="12"/>
  <c r="AX14" i="12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AS49" i="12"/>
  <c r="AS48" i="12"/>
  <c r="AS47" i="12"/>
  <c r="AS46" i="12"/>
  <c r="AS45" i="12"/>
  <c r="AS44" i="12"/>
  <c r="AS43" i="12"/>
  <c r="AS42" i="12"/>
  <c r="AS41" i="12"/>
  <c r="AS40" i="12"/>
  <c r="AS39" i="12"/>
  <c r="AS38" i="12"/>
  <c r="AS37" i="12"/>
  <c r="AS36" i="12"/>
  <c r="AS35" i="12"/>
  <c r="AS34" i="12"/>
  <c r="AS33" i="12"/>
  <c r="AS32" i="12"/>
  <c r="AS31" i="12"/>
  <c r="AS30" i="12"/>
  <c r="AS29" i="12"/>
  <c r="AS28" i="12"/>
  <c r="AS27" i="12"/>
  <c r="AS26" i="12"/>
  <c r="AS25" i="12"/>
  <c r="AS24" i="12"/>
  <c r="AS23" i="12"/>
  <c r="AS22" i="12"/>
  <c r="AS21" i="12"/>
  <c r="AS20" i="12"/>
  <c r="AS19" i="12"/>
  <c r="AS18" i="12"/>
  <c r="AS17" i="12"/>
  <c r="AS16" i="12"/>
  <c r="AS15" i="12"/>
  <c r="AS14" i="12"/>
  <c r="AS13" i="12"/>
  <c r="AS12" i="12"/>
  <c r="AS11" i="12"/>
  <c r="AS10" i="12"/>
  <c r="AV49" i="4" a="1"/>
  <c r="AV49" i="4"/>
  <c r="AU49" i="12"/>
  <c r="AQ49" i="14"/>
  <c r="AV48" i="4" a="1"/>
  <c r="AV48" i="4"/>
  <c r="AU48" i="12"/>
  <c r="AQ48" i="14"/>
  <c r="AV47" i="4" a="1"/>
  <c r="AV47" i="4"/>
  <c r="AU47" i="12"/>
  <c r="AQ47" i="14"/>
  <c r="AV46" i="4" a="1"/>
  <c r="AV46" i="4"/>
  <c r="AU46" i="12"/>
  <c r="AQ46" i="14"/>
  <c r="AV45" i="4" a="1"/>
  <c r="AV45" i="4"/>
  <c r="AU45" i="12"/>
  <c r="AQ45" i="14"/>
  <c r="AV44" i="4" a="1"/>
  <c r="AV44" i="4"/>
  <c r="AU44" i="12"/>
  <c r="AQ44" i="14"/>
  <c r="AV43" i="4" a="1"/>
  <c r="AV43" i="4"/>
  <c r="AU43" i="12"/>
  <c r="AQ43" i="14"/>
  <c r="AV42" i="4" a="1"/>
  <c r="AV42" i="4"/>
  <c r="AU42" i="12"/>
  <c r="AQ42" i="14"/>
  <c r="AV41" i="4" a="1"/>
  <c r="AV41" i="4"/>
  <c r="AU41" i="12"/>
  <c r="AQ41" i="14"/>
  <c r="AV40" i="4" a="1"/>
  <c r="AV40" i="4"/>
  <c r="AU40" i="12"/>
  <c r="AQ40" i="14"/>
  <c r="AV39" i="4" a="1"/>
  <c r="AV39" i="4"/>
  <c r="AU39" i="12"/>
  <c r="AQ39" i="14"/>
  <c r="AV38" i="4" a="1"/>
  <c r="AV38" i="4"/>
  <c r="AU38" i="12"/>
  <c r="AQ38" i="14"/>
  <c r="AV37" i="4" a="1"/>
  <c r="AV37" i="4"/>
  <c r="AU37" i="12"/>
  <c r="AQ37" i="14"/>
  <c r="AV36" i="4" a="1"/>
  <c r="AV36" i="4"/>
  <c r="AU36" i="12"/>
  <c r="AQ36" i="14"/>
  <c r="AV35" i="4" a="1"/>
  <c r="AV35" i="4"/>
  <c r="AU35" i="12"/>
  <c r="AQ35" i="14"/>
  <c r="AV34" i="4" a="1"/>
  <c r="AV34" i="4"/>
  <c r="AU34" i="12"/>
  <c r="AQ34" i="14"/>
  <c r="AV33" i="4" a="1"/>
  <c r="AV33" i="4"/>
  <c r="AU33" i="12"/>
  <c r="AQ33" i="14"/>
  <c r="AV32" i="4" a="1"/>
  <c r="AV32" i="4"/>
  <c r="AU32" i="12"/>
  <c r="AQ32" i="14"/>
  <c r="AV31" i="4" a="1"/>
  <c r="AV31" i="4"/>
  <c r="AU31" i="12"/>
  <c r="AQ31" i="14"/>
  <c r="AV30" i="4" a="1"/>
  <c r="AV30" i="4"/>
  <c r="AU30" i="12"/>
  <c r="AQ30" i="14"/>
  <c r="AV28" i="4" a="1"/>
  <c r="AV28" i="4"/>
  <c r="AU28" i="12"/>
  <c r="AQ28" i="14"/>
  <c r="AV27" i="4" a="1"/>
  <c r="AV27" i="4"/>
  <c r="AU27" i="12"/>
  <c r="AQ27" i="14"/>
  <c r="AV26" i="4" a="1"/>
  <c r="AV26" i="4"/>
  <c r="AU26" i="12"/>
  <c r="AQ26" i="14"/>
  <c r="AV25" i="4" a="1"/>
  <c r="AV25" i="4"/>
  <c r="AU25" i="12"/>
  <c r="AQ25" i="14"/>
  <c r="AV24" i="4" a="1"/>
  <c r="AV24" i="4"/>
  <c r="AU24" i="12"/>
  <c r="AQ24" i="14"/>
  <c r="AV23" i="4" a="1"/>
  <c r="AV23" i="4"/>
  <c r="AU23" i="12"/>
  <c r="AQ23" i="14"/>
  <c r="AV22" i="4" a="1"/>
  <c r="AV22" i="4"/>
  <c r="AU22" i="12"/>
  <c r="AQ22" i="14"/>
  <c r="AV21" i="4" a="1"/>
  <c r="AV21" i="4"/>
  <c r="AU21" i="12"/>
  <c r="AQ21" i="14"/>
  <c r="AV20" i="4" a="1"/>
  <c r="AV20" i="4"/>
  <c r="AU20" i="12"/>
  <c r="AQ20" i="14"/>
  <c r="AV19" i="4" a="1"/>
  <c r="AV19" i="4"/>
  <c r="AU19" i="12"/>
  <c r="AQ19" i="14"/>
  <c r="AV18" i="4" a="1"/>
  <c r="AV18" i="4"/>
  <c r="AU18" i="12"/>
  <c r="AQ18" i="14"/>
  <c r="AV17" i="4" a="1"/>
  <c r="AV17" i="4"/>
  <c r="AU17" i="12"/>
  <c r="AQ17" i="14"/>
  <c r="AV16" i="4" a="1"/>
  <c r="AV16" i="4"/>
  <c r="AU16" i="12"/>
  <c r="AQ16" i="14"/>
  <c r="AV15" i="4" a="1"/>
  <c r="AV15" i="4"/>
  <c r="AU15" i="12"/>
  <c r="AQ15" i="14"/>
  <c r="AV14" i="4" a="1"/>
  <c r="AV14" i="4"/>
  <c r="AU14" i="12"/>
  <c r="AQ14" i="14"/>
  <c r="AV13" i="4" a="1"/>
  <c r="AV13" i="4"/>
  <c r="AU13" i="12"/>
  <c r="AQ13" i="14"/>
  <c r="AV12" i="4" a="1"/>
  <c r="AV12" i="4"/>
  <c r="AU12" i="12"/>
  <c r="AQ12" i="14"/>
  <c r="AV11" i="4" a="1"/>
  <c r="AV11" i="4"/>
  <c r="AU11" i="12"/>
  <c r="AQ11" i="14"/>
  <c r="AU10" i="12"/>
  <c r="AQ10" i="14"/>
  <c r="AU29" i="12"/>
  <c r="AQ29" i="14"/>
  <c r="K14" i="1"/>
  <c r="K13" i="1"/>
  <c r="L14" i="1"/>
  <c r="L13" i="1"/>
  <c r="M14" i="1"/>
  <c r="M13" i="1"/>
  <c r="N14" i="1"/>
  <c r="N13" i="1"/>
  <c r="O14" i="1"/>
  <c r="O13" i="1"/>
  <c r="P14" i="1"/>
  <c r="P13" i="1"/>
  <c r="Q14" i="1"/>
  <c r="Q13" i="1"/>
  <c r="R14" i="1"/>
  <c r="R13" i="1"/>
  <c r="S14" i="1"/>
  <c r="S13" i="1"/>
  <c r="T14" i="1"/>
  <c r="T13" i="1"/>
  <c r="I14" i="1"/>
  <c r="I13" i="1"/>
  <c r="H14" i="1"/>
  <c r="H13" i="1"/>
  <c r="G14" i="1"/>
  <c r="G13" i="1"/>
  <c r="E14" i="1"/>
  <c r="E13" i="1"/>
  <c r="B2" i="1"/>
  <c r="J14" i="1"/>
  <c r="J13" i="1"/>
  <c r="F14" i="1"/>
  <c r="F13" i="1"/>
  <c r="D14" i="1"/>
  <c r="D13" i="1"/>
  <c r="C14" i="1"/>
  <c r="C13" i="1"/>
  <c r="B14" i="1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X14" i="1"/>
  <c r="W14" i="1"/>
  <c r="V14" i="1"/>
  <c r="U14" i="1"/>
  <c r="X13" i="1"/>
  <c r="W13" i="1"/>
  <c r="V13" i="1"/>
  <c r="U13" i="1"/>
  <c r="AE21" i="10"/>
  <c r="AE21" i="2"/>
  <c r="AF21" i="10"/>
  <c r="AF21" i="2"/>
  <c r="AG21" i="10"/>
  <c r="AG21" i="2"/>
  <c r="AH21" i="10"/>
  <c r="AH21" i="2"/>
  <c r="AI21" i="10"/>
  <c r="AI21" i="2"/>
  <c r="AJ21" i="10"/>
  <c r="AJ21" i="2"/>
  <c r="AK21" i="10"/>
  <c r="AK21" i="2"/>
  <c r="AL21" i="10"/>
  <c r="AL21" i="2"/>
  <c r="AM21" i="10"/>
  <c r="AM21" i="2"/>
  <c r="AN21" i="10"/>
  <c r="AN21" i="2"/>
  <c r="AL22" i="10"/>
  <c r="AL22" i="2"/>
  <c r="AM22" i="10"/>
  <c r="AM22" i="2"/>
  <c r="AN22" i="10"/>
  <c r="AN22" i="2"/>
  <c r="AO22" i="10"/>
  <c r="AO22" i="2"/>
  <c r="H23" i="10"/>
  <c r="H23" i="2"/>
  <c r="G24" i="10"/>
  <c r="G24" i="2"/>
  <c r="H24" i="10"/>
  <c r="H24" i="2"/>
  <c r="W24" i="10"/>
  <c r="W24" i="2"/>
  <c r="C25" i="10"/>
  <c r="C25" i="2"/>
  <c r="D25" i="10"/>
  <c r="D25" i="2"/>
  <c r="E25" i="10"/>
  <c r="E25" i="2"/>
  <c r="F25" i="10"/>
  <c r="F25" i="2"/>
  <c r="G25" i="10"/>
  <c r="G25" i="2"/>
  <c r="H25" i="10"/>
  <c r="H25" i="2"/>
  <c r="W25" i="10"/>
  <c r="W25" i="2"/>
  <c r="X25" i="10"/>
  <c r="X25" i="2"/>
  <c r="Y25" i="10"/>
  <c r="Y25" i="2"/>
  <c r="C26" i="10"/>
  <c r="C26" i="2"/>
  <c r="D26" i="10"/>
  <c r="D26" i="2"/>
  <c r="E26" i="10"/>
  <c r="E26" i="2"/>
  <c r="F26" i="10"/>
  <c r="F26" i="2"/>
  <c r="G26" i="10"/>
  <c r="G26" i="2"/>
  <c r="H26" i="10"/>
  <c r="H26" i="2"/>
  <c r="W26" i="10"/>
  <c r="W26" i="2"/>
  <c r="X26" i="10"/>
  <c r="X26" i="2"/>
  <c r="Y26" i="10"/>
  <c r="Y26" i="2"/>
  <c r="G27" i="10"/>
  <c r="G27" i="2"/>
  <c r="H27" i="10"/>
  <c r="H27" i="2"/>
  <c r="W27" i="10"/>
  <c r="W27" i="2"/>
  <c r="X27" i="10"/>
  <c r="X27" i="2"/>
  <c r="W28" i="10"/>
  <c r="W28" i="2"/>
  <c r="R29" i="10"/>
  <c r="R29" i="2"/>
  <c r="S29" i="10"/>
  <c r="S29" i="2"/>
  <c r="T29" i="10"/>
  <c r="T29" i="2"/>
  <c r="U29" i="10"/>
  <c r="U29" i="2"/>
  <c r="V29" i="10"/>
  <c r="V29" i="2"/>
  <c r="W29" i="10"/>
  <c r="W29" i="2"/>
  <c r="X29" i="10"/>
  <c r="X29" i="2"/>
  <c r="R30" i="10"/>
  <c r="R30" i="2"/>
  <c r="S30" i="10"/>
  <c r="S30" i="2"/>
  <c r="T30" i="10"/>
  <c r="T30" i="2"/>
  <c r="U30" i="10"/>
  <c r="U30" i="2"/>
  <c r="V30" i="10"/>
  <c r="V30" i="2"/>
  <c r="W30" i="10"/>
  <c r="W30" i="2"/>
  <c r="X30" i="10"/>
  <c r="X30" i="2"/>
  <c r="R31" i="10"/>
  <c r="R31" i="2"/>
  <c r="S31" i="10"/>
  <c r="S31" i="2"/>
  <c r="T31" i="10"/>
  <c r="T31" i="2"/>
  <c r="U31" i="10"/>
  <c r="U31" i="2"/>
  <c r="V31" i="10"/>
  <c r="V31" i="2"/>
  <c r="W31" i="10"/>
  <c r="W31" i="2"/>
  <c r="X31" i="10"/>
  <c r="X31" i="2"/>
  <c r="W32" i="10"/>
  <c r="W32" i="2"/>
  <c r="X32" i="10"/>
  <c r="X32" i="2"/>
  <c r="Y32" i="10"/>
  <c r="Y32" i="2"/>
  <c r="AM34" i="10"/>
  <c r="AM34" i="2"/>
  <c r="AN34" i="10"/>
  <c r="AN34" i="2"/>
  <c r="AN35" i="10"/>
  <c r="AN35" i="2"/>
  <c r="AM36" i="10"/>
  <c r="AM36" i="2"/>
  <c r="AN36" i="10"/>
  <c r="AN36" i="2"/>
  <c r="R37" i="10"/>
  <c r="R37" i="2"/>
  <c r="U37" i="10"/>
  <c r="U37" i="2"/>
  <c r="W37" i="10"/>
  <c r="W37" i="2"/>
  <c r="Y37" i="10"/>
  <c r="Y37" i="2"/>
  <c r="AF37" i="10"/>
  <c r="AF37" i="2"/>
  <c r="AG37" i="10"/>
  <c r="AG37" i="2"/>
  <c r="AH37" i="10"/>
  <c r="AH37" i="2"/>
  <c r="AI37" i="10"/>
  <c r="AI37" i="2"/>
  <c r="AJ37" i="10"/>
  <c r="AJ37" i="2"/>
  <c r="AK37" i="10"/>
  <c r="AK37" i="2"/>
  <c r="AL37" i="10"/>
  <c r="AL37" i="2"/>
  <c r="AM37" i="10"/>
  <c r="AM37" i="2"/>
  <c r="AN37" i="10"/>
  <c r="AN37" i="2"/>
  <c r="AO37" i="10"/>
  <c r="AO37" i="2"/>
  <c r="S38" i="10"/>
  <c r="S38" i="2"/>
  <c r="T38" i="10"/>
  <c r="T38" i="2"/>
  <c r="W38" i="10"/>
  <c r="W38" i="2"/>
  <c r="X38" i="10"/>
  <c r="X38" i="2"/>
  <c r="AE38" i="10"/>
  <c r="AE38" i="2"/>
  <c r="AF38" i="10"/>
  <c r="AF38" i="2"/>
  <c r="AG38" i="10"/>
  <c r="AG38" i="2"/>
  <c r="AH38" i="10"/>
  <c r="AH38" i="2"/>
  <c r="AI38" i="10"/>
  <c r="AI38" i="2"/>
  <c r="AJ38" i="10"/>
  <c r="AJ38" i="2"/>
  <c r="AK38" i="10"/>
  <c r="AK38" i="2"/>
  <c r="AL38" i="10"/>
  <c r="AL38" i="2"/>
  <c r="AM38" i="10"/>
  <c r="AM38" i="2"/>
  <c r="AN38" i="10"/>
  <c r="AN38" i="2"/>
  <c r="G39" i="10"/>
  <c r="G39" i="2"/>
  <c r="H39" i="10"/>
  <c r="H39" i="2"/>
  <c r="O39" i="10"/>
  <c r="O39" i="2"/>
  <c r="P39" i="10"/>
  <c r="P39" i="2"/>
  <c r="S39" i="10"/>
  <c r="S39" i="2"/>
  <c r="T39" i="10"/>
  <c r="T39" i="2"/>
  <c r="U39" i="10"/>
  <c r="U39" i="2"/>
  <c r="V39" i="10"/>
  <c r="V39" i="2"/>
  <c r="W39" i="10"/>
  <c r="W39" i="2"/>
  <c r="X39" i="10"/>
  <c r="X39" i="2"/>
  <c r="Y39" i="10"/>
  <c r="Y39" i="2"/>
  <c r="Z39" i="10"/>
  <c r="Z39" i="2"/>
  <c r="AA39" i="10"/>
  <c r="AA39" i="2"/>
  <c r="AB39" i="10"/>
  <c r="AB39" i="2"/>
  <c r="AC39" i="10"/>
  <c r="AC39" i="2"/>
  <c r="AD39" i="10"/>
  <c r="AD39" i="2"/>
  <c r="AE39" i="10"/>
  <c r="AE39" i="2"/>
  <c r="AF39" i="10"/>
  <c r="AF39" i="2"/>
  <c r="AG39" i="10"/>
  <c r="AG39" i="2"/>
  <c r="AH39" i="10"/>
  <c r="AH39" i="2"/>
  <c r="AI39" i="10"/>
  <c r="AI39" i="2"/>
  <c r="AJ39" i="10"/>
  <c r="AJ39" i="2"/>
  <c r="AK39" i="10"/>
  <c r="AK39" i="2"/>
  <c r="AL39" i="10"/>
  <c r="AL39" i="2"/>
  <c r="AM39" i="10"/>
  <c r="AM39" i="2"/>
  <c r="AN39" i="10"/>
  <c r="AN39" i="2"/>
  <c r="G40" i="10"/>
  <c r="G40" i="2"/>
  <c r="H40" i="10"/>
  <c r="H40" i="2"/>
  <c r="O40" i="10"/>
  <c r="O40" i="2"/>
  <c r="P40" i="10"/>
  <c r="P40" i="2"/>
  <c r="Q40" i="10"/>
  <c r="Q40" i="2"/>
  <c r="R40" i="10"/>
  <c r="R40" i="2"/>
  <c r="S40" i="10"/>
  <c r="S40" i="2"/>
  <c r="T40" i="10"/>
  <c r="T40" i="2"/>
  <c r="U40" i="10"/>
  <c r="U40" i="2"/>
  <c r="V40" i="10"/>
  <c r="V40" i="2"/>
  <c r="W40" i="10"/>
  <c r="W40" i="2"/>
  <c r="X40" i="10"/>
  <c r="X40" i="2"/>
  <c r="Y40" i="10"/>
  <c r="Y40" i="2"/>
  <c r="Z40" i="10"/>
  <c r="Z40" i="2"/>
  <c r="AA40" i="10"/>
  <c r="AA40" i="2"/>
  <c r="AB40" i="10"/>
  <c r="AB40" i="2"/>
  <c r="AE40" i="10"/>
  <c r="AE40" i="2"/>
  <c r="AF40" i="10"/>
  <c r="AF40" i="2"/>
  <c r="AG40" i="10"/>
  <c r="AG40" i="2"/>
  <c r="AH40" i="10"/>
  <c r="AH40" i="2"/>
  <c r="AI40" i="10"/>
  <c r="AI40" i="2"/>
  <c r="AJ40" i="10"/>
  <c r="AJ40" i="2"/>
  <c r="AK40" i="10"/>
  <c r="AK40" i="2"/>
  <c r="AL40" i="10"/>
  <c r="AL40" i="2"/>
  <c r="AM40" i="10"/>
  <c r="AM40" i="2"/>
  <c r="AN40" i="10"/>
  <c r="AN40" i="2"/>
  <c r="G41" i="10"/>
  <c r="G41" i="2"/>
  <c r="H41" i="10"/>
  <c r="H41" i="2"/>
  <c r="O41" i="10"/>
  <c r="O41" i="2"/>
  <c r="P41" i="10"/>
  <c r="P41" i="2"/>
  <c r="Q41" i="10"/>
  <c r="Q41" i="2"/>
  <c r="R41" i="10"/>
  <c r="R41" i="2"/>
  <c r="S41" i="10"/>
  <c r="S41" i="2"/>
  <c r="T41" i="10"/>
  <c r="T41" i="2"/>
  <c r="U41" i="10"/>
  <c r="U41" i="2"/>
  <c r="V41" i="10"/>
  <c r="V41" i="2"/>
  <c r="W41" i="10"/>
  <c r="W41" i="2"/>
  <c r="X41" i="10"/>
  <c r="X41" i="2"/>
  <c r="Y41" i="10"/>
  <c r="Y41" i="2"/>
  <c r="Z41" i="10"/>
  <c r="Z41" i="2"/>
  <c r="AA41" i="10"/>
  <c r="AA41" i="2"/>
  <c r="AB41" i="10"/>
  <c r="AB41" i="2"/>
  <c r="AC41" i="10"/>
  <c r="AC41" i="2"/>
  <c r="AD41" i="10"/>
  <c r="AD41" i="2"/>
  <c r="AE41" i="10"/>
  <c r="AE41" i="2"/>
  <c r="AF41" i="10"/>
  <c r="AF41" i="2"/>
  <c r="AG41" i="10"/>
  <c r="AG41" i="2"/>
  <c r="AH41" i="10"/>
  <c r="AH41" i="2"/>
  <c r="AI41" i="10"/>
  <c r="AI41" i="2"/>
  <c r="AJ41" i="10"/>
  <c r="AJ41" i="2"/>
  <c r="AK41" i="10"/>
  <c r="AK41" i="2"/>
  <c r="AL41" i="10"/>
  <c r="AL41" i="2"/>
  <c r="AM41" i="10"/>
  <c r="AM41" i="2"/>
  <c r="AN41" i="10"/>
  <c r="AN41" i="2"/>
  <c r="G42" i="10"/>
  <c r="G42" i="2"/>
  <c r="H42" i="10"/>
  <c r="H42" i="2"/>
  <c r="O42" i="10"/>
  <c r="O42" i="2"/>
  <c r="S42" i="10"/>
  <c r="S42" i="2"/>
  <c r="W42" i="10"/>
  <c r="W42" i="2"/>
  <c r="AM42" i="10"/>
  <c r="AM42" i="2"/>
  <c r="O43" i="10"/>
  <c r="O43" i="2"/>
  <c r="AC43" i="10"/>
  <c r="AC43" i="2"/>
  <c r="AM44" i="10"/>
  <c r="AM44" i="2"/>
  <c r="AN44" i="10"/>
  <c r="AN44" i="2"/>
  <c r="X28" i="10"/>
  <c r="X28" i="2"/>
  <c r="AK47" i="10"/>
  <c r="AK47" i="2"/>
  <c r="AI47" i="10"/>
  <c r="AI47" i="2"/>
  <c r="AI33" i="10"/>
  <c r="AI33" i="2"/>
  <c r="AK33" i="10"/>
  <c r="AK33" i="2"/>
  <c r="AC40" i="10"/>
  <c r="AC40" i="2"/>
  <c r="AL36" i="10"/>
  <c r="AL36" i="2"/>
  <c r="AK36" i="10"/>
  <c r="AK36" i="2"/>
  <c r="AF33" i="10"/>
  <c r="AF33" i="2"/>
  <c r="AH33" i="10"/>
  <c r="AH33" i="2"/>
  <c r="AJ33" i="10"/>
  <c r="AJ33" i="2"/>
  <c r="AI44" i="10"/>
  <c r="AI44" i="2"/>
  <c r="AJ44" i="10"/>
  <c r="AJ44" i="2"/>
  <c r="AD43" i="10"/>
  <c r="AD43" i="2"/>
  <c r="AJ47" i="10"/>
  <c r="AJ47" i="2"/>
  <c r="AL47" i="10"/>
  <c r="AL47" i="2"/>
  <c r="Z44" i="10"/>
  <c r="Z44" i="2"/>
  <c r="U44" i="10"/>
  <c r="U44" i="2"/>
  <c r="V44" i="10"/>
  <c r="V44" i="2"/>
  <c r="AO40" i="10"/>
  <c r="AO40" i="2"/>
  <c r="F40" i="10"/>
  <c r="F40" i="2"/>
  <c r="Y43" i="10"/>
  <c r="Y43" i="2"/>
  <c r="Z43" i="10"/>
  <c r="Z43" i="2"/>
  <c r="W33" i="10"/>
  <c r="W33" i="2"/>
  <c r="AC44" i="10"/>
  <c r="AC44" i="2"/>
  <c r="AA47" i="10"/>
  <c r="AA47" i="2"/>
  <c r="AH36" i="10"/>
  <c r="AH36" i="2"/>
  <c r="AG36" i="10"/>
  <c r="AG36" i="2"/>
  <c r="V47" i="10"/>
  <c r="V47" i="2"/>
  <c r="AD40" i="10"/>
  <c r="AD40" i="2"/>
  <c r="AE43" i="10"/>
  <c r="AE43" i="2"/>
  <c r="AA44" i="10"/>
  <c r="AA44" i="2"/>
  <c r="AD44" i="10"/>
  <c r="AD44" i="2"/>
  <c r="V38" i="10"/>
  <c r="V38" i="2"/>
  <c r="AB44" i="10"/>
  <c r="AB44" i="2"/>
  <c r="Z47" i="10"/>
  <c r="Z47" i="2"/>
  <c r="AA43" i="10"/>
  <c r="AA43" i="2"/>
  <c r="G23" i="10"/>
  <c r="G23" i="2"/>
  <c r="J26" i="10"/>
  <c r="J26" i="2"/>
  <c r="AN26" i="10"/>
  <c r="AN26" i="2"/>
  <c r="AL26" i="10"/>
  <c r="AL26" i="2"/>
  <c r="AO25" i="10"/>
  <c r="AO25" i="2"/>
  <c r="AM25" i="10"/>
  <c r="AM25" i="2"/>
  <c r="AL25" i="10"/>
  <c r="AL25" i="2"/>
  <c r="AO24" i="10"/>
  <c r="AO24" i="2"/>
  <c r="AM24" i="10"/>
  <c r="AM24" i="2"/>
  <c r="AB42" i="10"/>
  <c r="AB42" i="2"/>
  <c r="AI42" i="10"/>
  <c r="AI42" i="2"/>
  <c r="AK42" i="10"/>
  <c r="AK42" i="2"/>
  <c r="Y42" i="10"/>
  <c r="Y42" i="2"/>
  <c r="U42" i="10"/>
  <c r="U42" i="2"/>
  <c r="AC42" i="10"/>
  <c r="AC42" i="2"/>
  <c r="Q42" i="10"/>
  <c r="Q42" i="2"/>
  <c r="P42" i="10"/>
  <c r="P42" i="2"/>
  <c r="AG42" i="10"/>
  <c r="AG42" i="2"/>
  <c r="AD42" i="10"/>
  <c r="AD42" i="2"/>
  <c r="AL42" i="10"/>
  <c r="AL42" i="2"/>
  <c r="AN42" i="10"/>
  <c r="AN42" i="2"/>
  <c r="AH42" i="10"/>
  <c r="AH42" i="2"/>
  <c r="V42" i="10"/>
  <c r="V42" i="2"/>
  <c r="X42" i="10"/>
  <c r="X42" i="2"/>
  <c r="R42" i="10"/>
  <c r="R42" i="2"/>
  <c r="T42" i="10"/>
  <c r="T42" i="2"/>
  <c r="AB43" i="10"/>
  <c r="AB43" i="2"/>
  <c r="G47" i="10"/>
  <c r="G47" i="2"/>
  <c r="T43" i="10"/>
  <c r="T43" i="2"/>
  <c r="R44" i="10"/>
  <c r="R44" i="2"/>
  <c r="T47" i="10"/>
  <c r="T47" i="2"/>
  <c r="O47" i="10"/>
  <c r="O47" i="2"/>
  <c r="H44" i="10"/>
  <c r="H44" i="2"/>
  <c r="I47" i="10"/>
  <c r="I47" i="2"/>
  <c r="AM43" i="10"/>
  <c r="AM43" i="2"/>
  <c r="AN43" i="10"/>
  <c r="AN43" i="2"/>
  <c r="AM45" i="10"/>
  <c r="AM45" i="2"/>
  <c r="AN45" i="10"/>
  <c r="AN45" i="2"/>
  <c r="AM46" i="10"/>
  <c r="AM46" i="2"/>
  <c r="AN46" i="10"/>
  <c r="AN46" i="2"/>
  <c r="AF43" i="10"/>
  <c r="AF43" i="2"/>
  <c r="AF47" i="10"/>
  <c r="AF47" i="2"/>
  <c r="S43" i="10"/>
  <c r="S43" i="2"/>
  <c r="S44" i="10"/>
  <c r="S44" i="2"/>
  <c r="T44" i="10"/>
  <c r="T44" i="2"/>
  <c r="S47" i="10"/>
  <c r="S47" i="2"/>
  <c r="P43" i="10"/>
  <c r="P43" i="2"/>
  <c r="P44" i="10"/>
  <c r="P44" i="2"/>
  <c r="AE44" i="10"/>
  <c r="AE44" i="2"/>
  <c r="AF44" i="10"/>
  <c r="AF44" i="2"/>
  <c r="AD45" i="10"/>
  <c r="AD45" i="2"/>
  <c r="AE45" i="10"/>
  <c r="AE45" i="2"/>
  <c r="AF45" i="10"/>
  <c r="AF45" i="2"/>
  <c r="AD46" i="10"/>
  <c r="AD46" i="2"/>
  <c r="AE46" i="10"/>
  <c r="AE46" i="2"/>
  <c r="AF46" i="10"/>
  <c r="AF46" i="2"/>
  <c r="AD47" i="10"/>
  <c r="AD47" i="2"/>
  <c r="AE47" i="10"/>
  <c r="AE47" i="2"/>
  <c r="Y45" i="10"/>
  <c r="Y45" i="2"/>
  <c r="Z45" i="10"/>
  <c r="Z45" i="2"/>
  <c r="AA45" i="10"/>
  <c r="AA45" i="2"/>
  <c r="AB45" i="10"/>
  <c r="AB45" i="2"/>
  <c r="AC45" i="10"/>
  <c r="AC45" i="2"/>
  <c r="AA46" i="10"/>
  <c r="AA46" i="2"/>
  <c r="AB46" i="10"/>
  <c r="AB46" i="2"/>
  <c r="AC46" i="10"/>
  <c r="AC46" i="2"/>
  <c r="AB47" i="10"/>
  <c r="AB47" i="2"/>
  <c r="AC47" i="10"/>
  <c r="AC47" i="2"/>
  <c r="W44" i="10"/>
  <c r="W44" i="2"/>
  <c r="X44" i="10"/>
  <c r="X44" i="2"/>
  <c r="Y44" i="10"/>
  <c r="Y44" i="2"/>
  <c r="W45" i="10"/>
  <c r="W45" i="2"/>
  <c r="X45" i="10"/>
  <c r="X45" i="2"/>
  <c r="W46" i="10"/>
  <c r="W46" i="2"/>
  <c r="X46" i="10"/>
  <c r="X46" i="2"/>
  <c r="Y46" i="10"/>
  <c r="Y46" i="2"/>
  <c r="Z46" i="10"/>
  <c r="Z46" i="2"/>
  <c r="U47" i="10"/>
  <c r="U47" i="2"/>
  <c r="W47" i="10"/>
  <c r="W47" i="2"/>
  <c r="X47" i="10"/>
  <c r="X47" i="2"/>
  <c r="Y47" i="10"/>
  <c r="Y47" i="2"/>
  <c r="R43" i="10"/>
  <c r="R43" i="2"/>
  <c r="Q45" i="10"/>
  <c r="Q45" i="2"/>
  <c r="S45" i="10"/>
  <c r="S45" i="2"/>
  <c r="T45" i="10"/>
  <c r="T45" i="2"/>
  <c r="U45" i="10"/>
  <c r="U45" i="2"/>
  <c r="V45" i="10"/>
  <c r="V45" i="2"/>
  <c r="S46" i="10"/>
  <c r="S46" i="2"/>
  <c r="T46" i="10"/>
  <c r="T46" i="2"/>
  <c r="U46" i="10"/>
  <c r="U46" i="2"/>
  <c r="V46" i="10"/>
  <c r="V46" i="2"/>
  <c r="Q47" i="10"/>
  <c r="Q47" i="2"/>
  <c r="Q43" i="10"/>
  <c r="Q43" i="2"/>
  <c r="O44" i="10"/>
  <c r="O44" i="2"/>
  <c r="Q44" i="10"/>
  <c r="Q44" i="2"/>
  <c r="N45" i="10"/>
  <c r="N45" i="2"/>
  <c r="O45" i="10"/>
  <c r="O45" i="2"/>
  <c r="P45" i="10"/>
  <c r="P45" i="2"/>
  <c r="R45" i="10"/>
  <c r="R45" i="2"/>
  <c r="N46" i="10"/>
  <c r="N46" i="2"/>
  <c r="O46" i="10"/>
  <c r="O46" i="2"/>
  <c r="P46" i="10"/>
  <c r="P46" i="2"/>
  <c r="Q46" i="10"/>
  <c r="Q46" i="2"/>
  <c r="R46" i="10"/>
  <c r="R46" i="2"/>
  <c r="P47" i="10"/>
  <c r="P47" i="2"/>
  <c r="R47" i="10"/>
  <c r="R47" i="2"/>
  <c r="L47" i="10"/>
  <c r="L47" i="2"/>
  <c r="I45" i="10"/>
  <c r="I45" i="2"/>
  <c r="J45" i="10"/>
  <c r="J45" i="2"/>
  <c r="K45" i="10"/>
  <c r="K45" i="2"/>
  <c r="L45" i="10"/>
  <c r="L45" i="2"/>
  <c r="M45" i="10"/>
  <c r="M45" i="2"/>
  <c r="K46" i="10"/>
  <c r="K46" i="2"/>
  <c r="L46" i="10"/>
  <c r="L46" i="2"/>
  <c r="M46" i="10"/>
  <c r="M46" i="2"/>
  <c r="J47" i="10"/>
  <c r="J47" i="2"/>
  <c r="K47" i="10"/>
  <c r="K47" i="2"/>
  <c r="M47" i="10"/>
  <c r="M47" i="2"/>
  <c r="N47" i="10"/>
  <c r="N47" i="2"/>
  <c r="G44" i="10"/>
  <c r="G44" i="2"/>
  <c r="G45" i="10"/>
  <c r="G45" i="2"/>
  <c r="H45" i="10"/>
  <c r="H45" i="2"/>
  <c r="G46" i="10"/>
  <c r="G46" i="2"/>
  <c r="H46" i="10"/>
  <c r="H46" i="2"/>
  <c r="I46" i="10"/>
  <c r="I46" i="2"/>
  <c r="J46" i="10"/>
  <c r="J46" i="2"/>
  <c r="H47" i="10"/>
  <c r="H47" i="2"/>
  <c r="AM23" i="10"/>
  <c r="AM23" i="2"/>
  <c r="AO26" i="10"/>
  <c r="AO26" i="2"/>
  <c r="AN24" i="10"/>
  <c r="AN24" i="2"/>
  <c r="AI31" i="10"/>
  <c r="AI31" i="2"/>
  <c r="AJ31" i="10"/>
  <c r="AJ31" i="2"/>
  <c r="AI32" i="10"/>
  <c r="AI32" i="2"/>
  <c r="AJ32" i="10"/>
  <c r="AJ32" i="2"/>
  <c r="C43" i="10"/>
  <c r="C43" i="2"/>
  <c r="C44" i="10"/>
  <c r="C44" i="2"/>
  <c r="B45" i="10"/>
  <c r="B45" i="2"/>
  <c r="C45" i="10"/>
  <c r="C45" i="2"/>
  <c r="D45" i="10"/>
  <c r="D45" i="2"/>
  <c r="E45" i="10"/>
  <c r="E45" i="2"/>
  <c r="AO45" i="10"/>
  <c r="AO45" i="2"/>
  <c r="C46" i="10"/>
  <c r="C46" i="2"/>
  <c r="D46" i="10"/>
  <c r="D46" i="2"/>
  <c r="C47" i="10"/>
  <c r="C47" i="2"/>
  <c r="D47" i="10"/>
  <c r="D47" i="2"/>
  <c r="AG32" i="10"/>
  <c r="AG32" i="2"/>
  <c r="AN23" i="10"/>
  <c r="AN23" i="2"/>
  <c r="I25" i="10"/>
  <c r="I25" i="2"/>
  <c r="O29" i="10"/>
  <c r="O29" i="2"/>
  <c r="P29" i="10"/>
  <c r="P29" i="2"/>
  <c r="O30" i="10"/>
  <c r="O30" i="2"/>
  <c r="P30" i="10"/>
  <c r="P30" i="2"/>
  <c r="M31" i="10"/>
  <c r="M31" i="2"/>
  <c r="O31" i="10"/>
  <c r="O31" i="2"/>
  <c r="P31" i="10"/>
  <c r="P31" i="2"/>
  <c r="AL33" i="10"/>
  <c r="AL33" i="2"/>
  <c r="AM33" i="10"/>
  <c r="AM33" i="2"/>
  <c r="B46" i="10"/>
  <c r="B46" i="2"/>
  <c r="F46" i="10"/>
  <c r="F46" i="2"/>
  <c r="E47" i="10"/>
  <c r="E47" i="2"/>
  <c r="Q30" i="10"/>
  <c r="Q30" i="2"/>
  <c r="AO46" i="10"/>
  <c r="AO46" i="2"/>
  <c r="Q29" i="10"/>
  <c r="Q29" i="2"/>
  <c r="E40" i="10"/>
  <c r="E40" i="2"/>
  <c r="C41" i="10"/>
  <c r="C41" i="2"/>
  <c r="D41" i="10"/>
  <c r="D41" i="2"/>
  <c r="E41" i="10"/>
  <c r="E41" i="2"/>
  <c r="F41" i="10"/>
  <c r="F41" i="2"/>
  <c r="C42" i="10"/>
  <c r="C42" i="2"/>
  <c r="D42" i="10"/>
  <c r="D42" i="2"/>
  <c r="N40" i="10"/>
  <c r="N40" i="2"/>
  <c r="I40" i="10"/>
  <c r="I40" i="2"/>
  <c r="K41" i="10"/>
  <c r="K41" i="2"/>
  <c r="L41" i="10"/>
  <c r="L41" i="2"/>
  <c r="M41" i="10"/>
  <c r="M41" i="2"/>
  <c r="J42" i="10"/>
  <c r="J42" i="2"/>
  <c r="K42" i="10"/>
  <c r="K42" i="2"/>
  <c r="L42" i="10"/>
  <c r="L42" i="2"/>
  <c r="N42" i="10"/>
  <c r="N42" i="2"/>
  <c r="N43" i="10"/>
  <c r="N43" i="2"/>
  <c r="J44" i="10"/>
  <c r="J44" i="2"/>
  <c r="B43" i="10"/>
  <c r="B43" i="2"/>
  <c r="AH44" i="10"/>
  <c r="AH44" i="2"/>
  <c r="AG45" i="10"/>
  <c r="AG45" i="2"/>
  <c r="AH45" i="10"/>
  <c r="AH45" i="2"/>
  <c r="AI45" i="10"/>
  <c r="AI45" i="2"/>
  <c r="AJ45" i="10"/>
  <c r="AJ45" i="2"/>
  <c r="AK45" i="10"/>
  <c r="AK45" i="2"/>
  <c r="AL45" i="10"/>
  <c r="AL45" i="2"/>
  <c r="AH46" i="10"/>
  <c r="AH46" i="2"/>
  <c r="AI46" i="10"/>
  <c r="AI46" i="2"/>
  <c r="AJ46" i="10"/>
  <c r="AJ46" i="2"/>
  <c r="AK46" i="10"/>
  <c r="AK46" i="2"/>
  <c r="AL46" i="10"/>
  <c r="AL46" i="2"/>
  <c r="B39" i="10"/>
  <c r="B39" i="2"/>
  <c r="D39" i="10"/>
  <c r="D39" i="2"/>
  <c r="B40" i="10"/>
  <c r="B40" i="2"/>
  <c r="J40" i="10"/>
  <c r="J40" i="2"/>
  <c r="K43" i="10"/>
  <c r="K43" i="2"/>
  <c r="AK43" i="10"/>
  <c r="AK43" i="2"/>
  <c r="C39" i="10"/>
  <c r="C39" i="2"/>
  <c r="E39" i="10"/>
  <c r="E39" i="2"/>
  <c r="F39" i="10"/>
  <c r="F39" i="2"/>
  <c r="C40" i="10"/>
  <c r="C40" i="2"/>
  <c r="K39" i="10"/>
  <c r="K39" i="2"/>
  <c r="L40" i="10"/>
  <c r="L40" i="2"/>
  <c r="L44" i="10"/>
  <c r="L44" i="2"/>
  <c r="L43" i="10"/>
  <c r="L43" i="2"/>
  <c r="AO42" i="10"/>
  <c r="AO42" i="2"/>
  <c r="N39" i="10"/>
  <c r="N39" i="2"/>
  <c r="N44" i="10"/>
  <c r="N44" i="2"/>
  <c r="AG46" i="10"/>
  <c r="AG46" i="2"/>
  <c r="I41" i="10"/>
  <c r="I41" i="2"/>
  <c r="AO39" i="10"/>
  <c r="AO39" i="2"/>
  <c r="E42" i="10"/>
  <c r="E42" i="2"/>
  <c r="AG34" i="10"/>
  <c r="AG34" i="2"/>
  <c r="AH34" i="10"/>
  <c r="AH34" i="2"/>
  <c r="AI34" i="10"/>
  <c r="AI34" i="2"/>
  <c r="AJ34" i="10"/>
  <c r="AJ34" i="2"/>
  <c r="AK34" i="10"/>
  <c r="AK34" i="2"/>
  <c r="AJ35" i="10"/>
  <c r="AJ35" i="2"/>
  <c r="AG44" i="10"/>
  <c r="AG44" i="2"/>
  <c r="M39" i="10"/>
  <c r="M39" i="2"/>
  <c r="AJ43" i="10"/>
  <c r="AJ43" i="2"/>
  <c r="AG33" i="10"/>
  <c r="AG33" i="2"/>
  <c r="B44" i="10"/>
  <c r="B44" i="2"/>
  <c r="D44" i="10"/>
  <c r="D44" i="2"/>
  <c r="E46" i="10"/>
  <c r="E46" i="2"/>
  <c r="B26" i="10"/>
  <c r="B26" i="2"/>
  <c r="B47" i="10"/>
  <c r="B47" i="2"/>
  <c r="F45" i="10"/>
  <c r="F45" i="2"/>
  <c r="AO47" i="10"/>
  <c r="AO47" i="2"/>
  <c r="D43" i="10"/>
  <c r="D43" i="2"/>
  <c r="AN33" i="10"/>
  <c r="AN33" i="2"/>
  <c r="AO44" i="10"/>
  <c r="AO44" i="2"/>
  <c r="AN47" i="10"/>
  <c r="AN47" i="2"/>
  <c r="AO43" i="10"/>
  <c r="AO43" i="2"/>
  <c r="D40" i="10"/>
  <c r="D40" i="2"/>
  <c r="B41" i="10"/>
  <c r="B41" i="2"/>
  <c r="AO41" i="10"/>
  <c r="AO41" i="2"/>
  <c r="L39" i="10"/>
  <c r="L39" i="2"/>
  <c r="K40" i="10"/>
  <c r="K40" i="2"/>
  <c r="M40" i="10"/>
  <c r="M40" i="2"/>
  <c r="J41" i="10"/>
  <c r="J41" i="2"/>
  <c r="AM47" i="10"/>
  <c r="AM47" i="2"/>
  <c r="F47" i="10"/>
  <c r="F47" i="2"/>
  <c r="AH47" i="10"/>
  <c r="AH47" i="2"/>
  <c r="AI43" i="10"/>
  <c r="AI43" i="2"/>
  <c r="N41" i="10"/>
  <c r="N41" i="2"/>
  <c r="M42" i="10"/>
  <c r="M42" i="2"/>
  <c r="AK44" i="10"/>
  <c r="AK44" i="2"/>
  <c r="M43" i="10"/>
  <c r="M43" i="2"/>
  <c r="K44" i="10"/>
  <c r="K44" i="2"/>
  <c r="AG47" i="10"/>
  <c r="AG47" i="2"/>
  <c r="M44" i="10"/>
  <c r="M44" i="2"/>
  <c r="F44" i="10"/>
  <c r="F44" i="2"/>
  <c r="F42" i="10"/>
  <c r="F42" i="2"/>
  <c r="I42" i="10"/>
  <c r="I42" i="2"/>
  <c r="I44" i="10"/>
  <c r="I44" i="2"/>
  <c r="AL34" i="10"/>
  <c r="AL34" i="2"/>
  <c r="Q31" i="10"/>
  <c r="Q31" i="2"/>
  <c r="AI35" i="10"/>
  <c r="AI35" i="2"/>
  <c r="AJ36" i="10"/>
  <c r="AJ36" i="2"/>
  <c r="AI36" i="10"/>
  <c r="AI36" i="2"/>
  <c r="AL44" i="10"/>
  <c r="AL44" i="2"/>
  <c r="AL43" i="10"/>
  <c r="AL43" i="2"/>
  <c r="G46" i="3"/>
  <c r="M44" i="3"/>
  <c r="M47" i="3"/>
  <c r="AJ48" i="3"/>
  <c r="AF51" i="3"/>
  <c r="AC51" i="3"/>
  <c r="Z51" i="3"/>
  <c r="V51" i="3"/>
  <c r="R51" i="3"/>
  <c r="M51" i="3"/>
  <c r="J51" i="3"/>
  <c r="AN48" i="3"/>
  <c r="AN51" i="3"/>
  <c r="T48" i="3"/>
  <c r="AC48" i="3"/>
  <c r="H45" i="3"/>
  <c r="AB45" i="3"/>
  <c r="AN45" i="3"/>
  <c r="AX44" i="12"/>
  <c r="AX45" i="12"/>
  <c r="AX46" i="12"/>
  <c r="AX47" i="12"/>
  <c r="AX48" i="12"/>
  <c r="AX49" i="12"/>
  <c r="AX38" i="12"/>
  <c r="AX39" i="12"/>
  <c r="AX40" i="12"/>
  <c r="AX41" i="12"/>
  <c r="AX42" i="12"/>
  <c r="AX43" i="12"/>
  <c r="AX32" i="12"/>
  <c r="AX26" i="12"/>
  <c r="AX33" i="12"/>
  <c r="AX27" i="12"/>
  <c r="AX34" i="12"/>
  <c r="AX28" i="12"/>
  <c r="AX35" i="12"/>
  <c r="AX29" i="12"/>
  <c r="AX36" i="12"/>
  <c r="AX30" i="12"/>
  <c r="AX37" i="12"/>
  <c r="AX31" i="12"/>
  <c r="AI41" i="3"/>
  <c r="AH41" i="3"/>
  <c r="N45" i="3"/>
  <c r="N48" i="3"/>
  <c r="AJ41" i="3"/>
  <c r="AD47" i="3"/>
  <c r="J49" i="3"/>
  <c r="R48" i="3"/>
  <c r="K51" i="3"/>
  <c r="B49" i="3"/>
  <c r="C49" i="3"/>
  <c r="B50" i="3"/>
  <c r="C50" i="3"/>
  <c r="AH37" i="3"/>
  <c r="B51" i="3"/>
  <c r="C51" i="3"/>
  <c r="R34" i="3"/>
  <c r="D47" i="3"/>
  <c r="C48" i="3"/>
  <c r="B44" i="3"/>
  <c r="C44" i="3"/>
  <c r="E44" i="3"/>
  <c r="C45" i="3"/>
  <c r="K45" i="3"/>
  <c r="O46" i="3"/>
  <c r="N47" i="3"/>
  <c r="AL49" i="3"/>
  <c r="AL48" i="3"/>
  <c r="D44" i="3"/>
  <c r="F44" i="3"/>
  <c r="D45" i="3"/>
  <c r="L44" i="3"/>
  <c r="M45" i="3"/>
  <c r="M48" i="3"/>
  <c r="G49" i="3"/>
  <c r="O44" i="3"/>
  <c r="AH51" i="3"/>
  <c r="J46" i="3"/>
  <c r="AJ40" i="3"/>
  <c r="AM49" i="3"/>
  <c r="AH49" i="3"/>
  <c r="N44" i="3"/>
  <c r="AM48" i="3"/>
  <c r="AK48" i="3"/>
  <c r="AG49" i="3"/>
  <c r="AG50" i="3"/>
  <c r="AG51" i="3"/>
  <c r="AD50" i="3"/>
  <c r="AD51" i="3"/>
  <c r="Y49" i="3"/>
  <c r="Z49" i="3"/>
  <c r="Y50" i="3"/>
  <c r="AA51" i="3"/>
  <c r="W50" i="3"/>
  <c r="W51" i="3"/>
  <c r="R49" i="3"/>
  <c r="Q50" i="3"/>
  <c r="S50" i="3"/>
  <c r="S51" i="3"/>
  <c r="N50" i="3"/>
  <c r="N51" i="3"/>
  <c r="I50" i="3"/>
  <c r="AO48" i="3"/>
  <c r="AO50" i="3"/>
  <c r="AO51" i="3"/>
  <c r="T49" i="3"/>
  <c r="U49" i="3"/>
  <c r="Q48" i="3"/>
  <c r="Q49" i="3"/>
  <c r="S49" i="3"/>
  <c r="I49" i="3"/>
  <c r="AM47" i="3"/>
  <c r="AO47" i="3"/>
  <c r="S47" i="3"/>
  <c r="R47" i="3"/>
  <c r="Q47" i="3"/>
  <c r="AL47" i="3"/>
  <c r="AC47" i="3"/>
  <c r="AJ38" i="3"/>
  <c r="AL38" i="3"/>
  <c r="AD45" i="3"/>
  <c r="AL41" i="3"/>
  <c r="AI38" i="3"/>
  <c r="AK38" i="3"/>
  <c r="AJ49" i="3"/>
  <c r="AK49" i="3"/>
  <c r="AF48" i="3"/>
  <c r="AE48" i="3"/>
  <c r="AA49" i="3"/>
  <c r="AB49" i="3"/>
  <c r="AE49" i="3"/>
  <c r="V49" i="3"/>
  <c r="W49" i="3"/>
  <c r="G45" i="3"/>
  <c r="Z48" i="3"/>
  <c r="AA48" i="3"/>
  <c r="AC49" i="3"/>
  <c r="AD49" i="3"/>
  <c r="AB48" i="3"/>
  <c r="AO49" i="3"/>
  <c r="AN49" i="3"/>
  <c r="P48" i="3"/>
  <c r="AD48" i="3"/>
  <c r="P47" i="3"/>
  <c r="T47" i="3"/>
  <c r="AN47" i="3"/>
  <c r="AN27" i="3"/>
  <c r="X32" i="3"/>
  <c r="X33" i="3"/>
  <c r="AC44" i="3"/>
  <c r="AD44" i="3"/>
  <c r="AE44" i="3"/>
  <c r="AO44" i="3"/>
  <c r="I45" i="3"/>
  <c r="AC45" i="3"/>
  <c r="AO45" i="3"/>
  <c r="H46" i="3"/>
  <c r="I46" i="3"/>
  <c r="P46" i="3"/>
  <c r="Q46" i="3"/>
  <c r="R46" i="3"/>
  <c r="S46" i="3"/>
  <c r="T46" i="3"/>
  <c r="U46" i="3"/>
  <c r="V46" i="3"/>
  <c r="W46" i="3"/>
  <c r="X46" i="3"/>
  <c r="Y46" i="3"/>
  <c r="AC46" i="3"/>
  <c r="AD46" i="3"/>
  <c r="AH46" i="3"/>
  <c r="AI46" i="3"/>
  <c r="AL46" i="3"/>
  <c r="AM46" i="3"/>
  <c r="AN46" i="3"/>
  <c r="AO46" i="3"/>
  <c r="B48" i="3"/>
  <c r="B45" i="3"/>
  <c r="B47" i="13"/>
  <c r="B48" i="13"/>
  <c r="B49" i="13"/>
  <c r="G44" i="13"/>
  <c r="M42" i="13"/>
  <c r="M45" i="13"/>
  <c r="AJ46" i="13"/>
  <c r="B42" i="13"/>
  <c r="AH49" i="13"/>
  <c r="J47" i="13"/>
  <c r="AF49" i="13"/>
  <c r="AC49" i="13"/>
  <c r="Y48" i="13"/>
  <c r="Z49" i="13"/>
  <c r="V49" i="13"/>
  <c r="R49" i="13"/>
  <c r="M49" i="13"/>
  <c r="I48" i="13"/>
  <c r="J49" i="13"/>
  <c r="AN46" i="13"/>
  <c r="AN49" i="13"/>
  <c r="AO49" i="13"/>
  <c r="T46" i="13"/>
  <c r="AC46" i="13"/>
  <c r="H43" i="13"/>
  <c r="AB43" i="13"/>
  <c r="AN43" i="13"/>
  <c r="N46" i="13"/>
  <c r="AA49" i="13"/>
  <c r="W49" i="13"/>
  <c r="Q48" i="13"/>
  <c r="AD45" i="13"/>
  <c r="AD43" i="13"/>
  <c r="N43" i="13"/>
  <c r="AL39" i="13"/>
  <c r="X31" i="13"/>
  <c r="C47" i="13"/>
  <c r="C48" i="13"/>
  <c r="AH35" i="13"/>
  <c r="C49" i="13"/>
  <c r="R32" i="13"/>
  <c r="D45" i="13"/>
  <c r="C46" i="13"/>
  <c r="C42" i="13"/>
  <c r="E42" i="13"/>
  <c r="C43" i="13"/>
  <c r="K43" i="13"/>
  <c r="O44" i="13"/>
  <c r="N45" i="13"/>
  <c r="AL47" i="13"/>
  <c r="AL46" i="13"/>
  <c r="D42" i="13"/>
  <c r="F42" i="13"/>
  <c r="D43" i="13"/>
  <c r="L42" i="13"/>
  <c r="M43" i="13"/>
  <c r="M46" i="13"/>
  <c r="G47" i="13"/>
  <c r="O42" i="13"/>
  <c r="J44" i="13"/>
  <c r="AJ39" i="13"/>
  <c r="AM47" i="13"/>
  <c r="AH47" i="13"/>
  <c r="N42" i="13"/>
  <c r="AM46" i="13"/>
  <c r="AK46" i="13"/>
  <c r="AG47" i="13"/>
  <c r="AG48" i="13"/>
  <c r="AD48" i="13"/>
  <c r="Y47" i="13"/>
  <c r="Z47" i="13"/>
  <c r="W48" i="13"/>
  <c r="R46" i="13"/>
  <c r="R47" i="13"/>
  <c r="S48" i="13"/>
  <c r="N48" i="13"/>
  <c r="AO46" i="13"/>
  <c r="AO48" i="13"/>
  <c r="T47" i="13"/>
  <c r="U47" i="13"/>
  <c r="Q46" i="13"/>
  <c r="Q47" i="13"/>
  <c r="S47" i="13"/>
  <c r="I47" i="13"/>
  <c r="AM45" i="13"/>
  <c r="AO45" i="13"/>
  <c r="S45" i="13"/>
  <c r="R45" i="13"/>
  <c r="Q45" i="13"/>
  <c r="AL45" i="13"/>
  <c r="AC45" i="13"/>
  <c r="AJ36" i="13"/>
  <c r="AL36" i="13"/>
  <c r="AI36" i="13"/>
  <c r="AK36" i="13"/>
  <c r="AJ47" i="13"/>
  <c r="AK47" i="13"/>
  <c r="AF46" i="13"/>
  <c r="AE46" i="13"/>
  <c r="AA47" i="13"/>
  <c r="AB47" i="13"/>
  <c r="AE47" i="13"/>
  <c r="V47" i="13"/>
  <c r="W47" i="13"/>
  <c r="G43" i="13"/>
  <c r="Z46" i="13"/>
  <c r="AA46" i="13"/>
  <c r="AC47" i="13"/>
  <c r="AC46" i="4"/>
  <c r="AD47" i="13"/>
  <c r="AI39" i="13"/>
  <c r="AH39" i="13"/>
  <c r="AB46" i="13"/>
  <c r="AO47" i="13"/>
  <c r="AO46" i="4"/>
  <c r="AN47" i="13"/>
  <c r="P46" i="13"/>
  <c r="AD46" i="13"/>
  <c r="P45" i="13"/>
  <c r="T45" i="13"/>
  <c r="AN45" i="13"/>
  <c r="AN25" i="13"/>
  <c r="X30" i="13"/>
  <c r="AC42" i="13"/>
  <c r="AD42" i="13"/>
  <c r="AE42" i="13"/>
  <c r="AO42" i="13"/>
  <c r="I43" i="13"/>
  <c r="AO43" i="13"/>
  <c r="H44" i="13"/>
  <c r="I44" i="13"/>
  <c r="P44" i="13"/>
  <c r="Q44" i="13"/>
  <c r="R44" i="13"/>
  <c r="S44" i="13"/>
  <c r="T44" i="13"/>
  <c r="U44" i="13"/>
  <c r="V44" i="13"/>
  <c r="W44" i="13"/>
  <c r="X44" i="13"/>
  <c r="Y44" i="13"/>
  <c r="AC44" i="13"/>
  <c r="AD44" i="13"/>
  <c r="AD43" i="4"/>
  <c r="AH44" i="13"/>
  <c r="AI44" i="13"/>
  <c r="AL44" i="13"/>
  <c r="AM44" i="13"/>
  <c r="AN44" i="13"/>
  <c r="AO44" i="13"/>
  <c r="AO43" i="4"/>
  <c r="AJ37" i="3"/>
  <c r="AJ35" i="13"/>
  <c r="AL45" i="3"/>
  <c r="AL43" i="13"/>
  <c r="AG45" i="3"/>
  <c r="AG43" i="13"/>
  <c r="AF45" i="3"/>
  <c r="AF43" i="13"/>
  <c r="AM45" i="3"/>
  <c r="AM43" i="13"/>
  <c r="AK45" i="3"/>
  <c r="AK43" i="13"/>
  <c r="AA45" i="3"/>
  <c r="AA43" i="13"/>
  <c r="R45" i="3"/>
  <c r="R43" i="13"/>
  <c r="Q45" i="3"/>
  <c r="Q43" i="13"/>
  <c r="L51" i="3"/>
  <c r="L49" i="13"/>
  <c r="AJ45" i="3"/>
  <c r="AJ43" i="13"/>
  <c r="AI45" i="3"/>
  <c r="AI43" i="13"/>
  <c r="AH45" i="3"/>
  <c r="AH43" i="13"/>
  <c r="Z45" i="3"/>
  <c r="Z43" i="13"/>
  <c r="Y45" i="3"/>
  <c r="Y43" i="13"/>
  <c r="X45" i="3"/>
  <c r="X43" i="13"/>
  <c r="W45" i="3"/>
  <c r="W43" i="13"/>
  <c r="V45" i="3"/>
  <c r="V43" i="13"/>
  <c r="U45" i="3"/>
  <c r="U43" i="13"/>
  <c r="T45" i="3"/>
  <c r="T43" i="13"/>
  <c r="S45" i="3"/>
  <c r="S43" i="13"/>
  <c r="P45" i="3"/>
  <c r="P43" i="13"/>
  <c r="AN44" i="3"/>
  <c r="AN42" i="13"/>
  <c r="AM44" i="3"/>
  <c r="AM42" i="13"/>
  <c r="AL44" i="3"/>
  <c r="AL42" i="13"/>
  <c r="AK44" i="3"/>
  <c r="AK42" i="13"/>
  <c r="AJ44" i="3"/>
  <c r="AJ42" i="13"/>
  <c r="AI44" i="3"/>
  <c r="AI42" i="13"/>
  <c r="AH44" i="3"/>
  <c r="AH42" i="13"/>
  <c r="AG44" i="3"/>
  <c r="AG42" i="13"/>
  <c r="AF44" i="3"/>
  <c r="AF42" i="13"/>
  <c r="AB44" i="3"/>
  <c r="AB42" i="13"/>
  <c r="AA44" i="3"/>
  <c r="AA42" i="13"/>
  <c r="Z44" i="3"/>
  <c r="Z42" i="13"/>
  <c r="Y44" i="3"/>
  <c r="Y42" i="13"/>
  <c r="X44" i="3"/>
  <c r="X42" i="13"/>
  <c r="W44" i="3"/>
  <c r="W42" i="13"/>
  <c r="V44" i="3"/>
  <c r="V42" i="13"/>
  <c r="U44" i="3"/>
  <c r="U42" i="13"/>
  <c r="T44" i="3"/>
  <c r="T42" i="13"/>
  <c r="P44" i="3"/>
  <c r="P42" i="13"/>
  <c r="H44" i="3"/>
  <c r="H42" i="13"/>
  <c r="AN43" i="3"/>
  <c r="AN41" i="13"/>
  <c r="AM43" i="3"/>
  <c r="AM41" i="13"/>
  <c r="AL43" i="3"/>
  <c r="AL41" i="13"/>
  <c r="AK43" i="3"/>
  <c r="AK41" i="13"/>
  <c r="AJ43" i="3"/>
  <c r="AJ41" i="13"/>
  <c r="AI43" i="3"/>
  <c r="AI41" i="13"/>
  <c r="AH43" i="3"/>
  <c r="AH41" i="13"/>
  <c r="AG43" i="3"/>
  <c r="AG41" i="13"/>
  <c r="AF43" i="3"/>
  <c r="AF41" i="13"/>
  <c r="X43" i="3"/>
  <c r="X41" i="13"/>
  <c r="T43" i="3"/>
  <c r="T41" i="13"/>
  <c r="AN42" i="3"/>
  <c r="AN40" i="13"/>
  <c r="AM42" i="3"/>
  <c r="AM40" i="13"/>
  <c r="AL42" i="3"/>
  <c r="AL40" i="13"/>
  <c r="AK42" i="3"/>
  <c r="AK40" i="13"/>
  <c r="AJ42" i="3"/>
  <c r="AJ40" i="13"/>
  <c r="AI42" i="3"/>
  <c r="AI40" i="13"/>
  <c r="AH42" i="3"/>
  <c r="AH40" i="13"/>
  <c r="AG42" i="3"/>
  <c r="AG40" i="13"/>
  <c r="AN41" i="3"/>
  <c r="AN39" i="13"/>
  <c r="X36" i="3"/>
  <c r="X34" i="13"/>
  <c r="X35" i="3"/>
  <c r="X33" i="13"/>
  <c r="W35" i="3"/>
  <c r="W33" i="13"/>
  <c r="V35" i="3"/>
  <c r="V33" i="13"/>
  <c r="U35" i="3"/>
  <c r="U33" i="13"/>
  <c r="T35" i="3"/>
  <c r="T33" i="13"/>
  <c r="S35" i="3"/>
  <c r="S33" i="13"/>
  <c r="X34" i="3"/>
  <c r="X32" i="13"/>
  <c r="W34" i="3"/>
  <c r="W32" i="13"/>
  <c r="V34" i="3"/>
  <c r="V32" i="13"/>
  <c r="U34" i="3"/>
  <c r="U32" i="13"/>
  <c r="T34" i="3"/>
  <c r="T32" i="13"/>
  <c r="S34" i="3"/>
  <c r="S32" i="13"/>
  <c r="X31" i="3"/>
  <c r="X29" i="13"/>
  <c r="H31" i="3"/>
  <c r="H29" i="13"/>
  <c r="Y30" i="3"/>
  <c r="Y28" i="13"/>
  <c r="X30" i="3"/>
  <c r="X28" i="13"/>
  <c r="H30" i="3"/>
  <c r="H28" i="13"/>
  <c r="G30" i="3"/>
  <c r="G28" i="13"/>
  <c r="F30" i="3"/>
  <c r="F28" i="13"/>
  <c r="E30" i="3"/>
  <c r="E28" i="13"/>
  <c r="D30" i="3"/>
  <c r="D28" i="13"/>
  <c r="H29" i="3"/>
  <c r="H27" i="13"/>
  <c r="AN26" i="3"/>
  <c r="AN24" i="13"/>
  <c r="AM26" i="3"/>
  <c r="AM24" i="13"/>
  <c r="AN25" i="3"/>
  <c r="AN23" i="13"/>
  <c r="AM25" i="3"/>
  <c r="AM23" i="13"/>
  <c r="AL25" i="3"/>
  <c r="AL23" i="13"/>
  <c r="AK25" i="3"/>
  <c r="AK23" i="13"/>
  <c r="AJ25" i="3"/>
  <c r="AJ23" i="13"/>
  <c r="AI25" i="3"/>
  <c r="AI23" i="13"/>
  <c r="AH25" i="3"/>
  <c r="AH23" i="13"/>
  <c r="AG25" i="3"/>
  <c r="AG23" i="13"/>
  <c r="AF25" i="3"/>
  <c r="AF23" i="13"/>
  <c r="H28" i="3"/>
  <c r="H26" i="13"/>
  <c r="W43" i="3"/>
  <c r="W41" i="13"/>
  <c r="AM41" i="3"/>
  <c r="AM39" i="13"/>
  <c r="AE45" i="3"/>
  <c r="AE43" i="13"/>
  <c r="AN50" i="3"/>
  <c r="AN48" i="13"/>
  <c r="I51" i="3"/>
  <c r="I49" i="13"/>
  <c r="H51" i="3"/>
  <c r="H49" i="13"/>
  <c r="H50" i="3"/>
  <c r="H48" i="13"/>
  <c r="H49" i="3"/>
  <c r="H47" i="13"/>
  <c r="M50" i="3"/>
  <c r="M48" i="13"/>
  <c r="L50" i="3"/>
  <c r="L48" i="13"/>
  <c r="K50" i="3"/>
  <c r="K48" i="13"/>
  <c r="J50" i="3"/>
  <c r="J48" i="13"/>
  <c r="Q51" i="3"/>
  <c r="Q49" i="13"/>
  <c r="P51" i="3"/>
  <c r="P49" i="13"/>
  <c r="O51" i="3"/>
  <c r="O49" i="13"/>
  <c r="P50" i="3"/>
  <c r="P48" i="13"/>
  <c r="O50" i="3"/>
  <c r="O48" i="13"/>
  <c r="P49" i="3"/>
  <c r="P47" i="13"/>
  <c r="U51" i="3"/>
  <c r="U49" i="13"/>
  <c r="T51" i="3"/>
  <c r="T49" i="13"/>
  <c r="V50" i="3"/>
  <c r="V48" i="13"/>
  <c r="U50" i="3"/>
  <c r="U48" i="13"/>
  <c r="T50" i="3"/>
  <c r="T48" i="13"/>
  <c r="R50" i="3"/>
  <c r="R48" i="13"/>
  <c r="S48" i="3"/>
  <c r="S46" i="13"/>
  <c r="Y51" i="3"/>
  <c r="Y49" i="13"/>
  <c r="X51" i="3"/>
  <c r="X49" i="13"/>
  <c r="X50" i="3"/>
  <c r="X48" i="13"/>
  <c r="X49" i="3"/>
  <c r="X47" i="13"/>
  <c r="AB51" i="3"/>
  <c r="AB49" i="13"/>
  <c r="AC50" i="3"/>
  <c r="AC48" i="13"/>
  <c r="AB50" i="3"/>
  <c r="AB48" i="13"/>
  <c r="AA50" i="3"/>
  <c r="AA48" i="13"/>
  <c r="Z50" i="3"/>
  <c r="Z48" i="13"/>
  <c r="AE51" i="3"/>
  <c r="AE49" i="13"/>
  <c r="AF50" i="3"/>
  <c r="AF48" i="13"/>
  <c r="AE50" i="3"/>
  <c r="AE48" i="13"/>
  <c r="AF49" i="3"/>
  <c r="AF47" i="13"/>
  <c r="AK41" i="3"/>
  <c r="AK39" i="13"/>
  <c r="AJ39" i="3"/>
  <c r="AJ37" i="13"/>
  <c r="O49" i="3"/>
  <c r="O47" i="13"/>
  <c r="N49" i="3"/>
  <c r="N47" i="13"/>
  <c r="M49" i="3"/>
  <c r="M47" i="13"/>
  <c r="L49" i="3"/>
  <c r="L47" i="13"/>
  <c r="G44" i="3"/>
  <c r="G42" i="13"/>
  <c r="L48" i="3"/>
  <c r="L46" i="13"/>
  <c r="AM51" i="3"/>
  <c r="AM49" i="13"/>
  <c r="AL51" i="3"/>
  <c r="AL49" i="13"/>
  <c r="AK51" i="3"/>
  <c r="AK49" i="13"/>
  <c r="AJ51" i="3"/>
  <c r="AJ49" i="13"/>
  <c r="AI51" i="3"/>
  <c r="AI49" i="13"/>
  <c r="AM50" i="3"/>
  <c r="AM48" i="13"/>
  <c r="AL50" i="3"/>
  <c r="AL48" i="13"/>
  <c r="AK50" i="3"/>
  <c r="AK48" i="13"/>
  <c r="AJ50" i="3"/>
  <c r="AJ48" i="13"/>
  <c r="AI50" i="3"/>
  <c r="AI48" i="13"/>
  <c r="AH50" i="3"/>
  <c r="AH48" i="13"/>
  <c r="AI49" i="3"/>
  <c r="AI47" i="13"/>
  <c r="K49" i="3"/>
  <c r="K47" i="13"/>
  <c r="O48" i="3"/>
  <c r="O46" i="13"/>
  <c r="O47" i="3"/>
  <c r="O45" i="13"/>
  <c r="L47" i="3"/>
  <c r="L45" i="13"/>
  <c r="N46" i="3"/>
  <c r="N44" i="13"/>
  <c r="N44" i="4"/>
  <c r="M46" i="3"/>
  <c r="M44" i="13"/>
  <c r="M45" i="4"/>
  <c r="L46" i="3"/>
  <c r="L44" i="13"/>
  <c r="K46" i="3"/>
  <c r="K44" i="13"/>
  <c r="L45" i="3"/>
  <c r="L43" i="13"/>
  <c r="J45" i="3"/>
  <c r="J43" i="13"/>
  <c r="O45" i="3"/>
  <c r="O43" i="13"/>
  <c r="F46" i="3"/>
  <c r="F44" i="13"/>
  <c r="E46" i="3"/>
  <c r="E44" i="13"/>
  <c r="D46" i="3"/>
  <c r="D44" i="13"/>
  <c r="F45" i="3"/>
  <c r="F43" i="13"/>
  <c r="E45" i="3"/>
  <c r="E43" i="13"/>
  <c r="R35" i="3"/>
  <c r="R33" i="13"/>
  <c r="G51" i="3"/>
  <c r="G49" i="13"/>
  <c r="G50" i="3"/>
  <c r="G48" i="13"/>
  <c r="AN38" i="3"/>
  <c r="AN36" i="13"/>
  <c r="AM38" i="3"/>
  <c r="AM36" i="13"/>
  <c r="Q35" i="3"/>
  <c r="Q33" i="13"/>
  <c r="P35" i="3"/>
  <c r="P33" i="13"/>
  <c r="Q34" i="3"/>
  <c r="Q32" i="13"/>
  <c r="P34" i="3"/>
  <c r="P32" i="13"/>
  <c r="F51" i="3"/>
  <c r="F49" i="13"/>
  <c r="E51" i="3"/>
  <c r="E49" i="13"/>
  <c r="D51" i="3"/>
  <c r="D49" i="13"/>
  <c r="F50" i="3"/>
  <c r="F48" i="13"/>
  <c r="E50" i="3"/>
  <c r="E48" i="13"/>
  <c r="D50" i="3"/>
  <c r="D48" i="13"/>
  <c r="D49" i="3"/>
  <c r="D47" i="13"/>
  <c r="D48" i="3"/>
  <c r="D46" i="13"/>
  <c r="AH38" i="3"/>
  <c r="AH36" i="13"/>
  <c r="AJ36" i="3"/>
  <c r="AJ34" i="13"/>
  <c r="C1" i="14"/>
  <c r="N47" i="4"/>
  <c r="W49" i="4"/>
  <c r="Q49" i="4"/>
  <c r="AN49" i="4"/>
  <c r="M49" i="4"/>
  <c r="L47" i="4"/>
  <c r="L49" i="4"/>
  <c r="J49" i="4"/>
  <c r="P49" i="4"/>
  <c r="O47" i="4"/>
  <c r="O49" i="4"/>
  <c r="V49" i="4"/>
  <c r="U49" i="4"/>
  <c r="T49" i="4"/>
  <c r="R49" i="4"/>
  <c r="Y49" i="4"/>
  <c r="X49" i="4"/>
  <c r="AC49" i="4"/>
  <c r="AB49" i="4"/>
  <c r="AA49" i="4"/>
  <c r="Z49" i="4"/>
  <c r="AF49" i="4"/>
  <c r="AE49" i="4"/>
  <c r="AM49" i="4"/>
  <c r="AL49" i="4"/>
  <c r="AK49" i="4"/>
  <c r="AJ49" i="4"/>
  <c r="AI49" i="4"/>
  <c r="AH49" i="4"/>
  <c r="D47" i="4"/>
  <c r="B48" i="4"/>
  <c r="AN44" i="4"/>
  <c r="T44" i="4"/>
  <c r="P44" i="4"/>
  <c r="AD45" i="4"/>
  <c r="P45" i="4"/>
  <c r="AN46" i="4"/>
  <c r="AD46" i="4"/>
  <c r="AL44" i="4"/>
  <c r="Q44" i="4"/>
  <c r="R44" i="4"/>
  <c r="S44" i="4"/>
  <c r="AO44" i="4"/>
  <c r="AM44" i="4"/>
  <c r="S46" i="4"/>
  <c r="Q46" i="4"/>
  <c r="Q45" i="4"/>
  <c r="T46" i="4"/>
  <c r="AO47" i="4"/>
  <c r="AO45" i="4"/>
  <c r="S47" i="4"/>
  <c r="R46" i="4"/>
  <c r="R45" i="4"/>
  <c r="AD47" i="4"/>
  <c r="AM45" i="4"/>
  <c r="AM46" i="4"/>
  <c r="AL45" i="4"/>
  <c r="AL46" i="4"/>
  <c r="O43" i="4"/>
  <c r="D44" i="4"/>
  <c r="C48" i="4"/>
  <c r="C47" i="4"/>
  <c r="X30" i="4"/>
  <c r="AD44" i="4"/>
  <c r="Q47" i="4"/>
  <c r="W48" i="4"/>
  <c r="AA48" i="4"/>
  <c r="N45" i="4"/>
  <c r="AL40" i="4"/>
  <c r="AJ40" i="4"/>
  <c r="AI40" i="4"/>
  <c r="AH40" i="4"/>
  <c r="X32" i="4"/>
  <c r="X31" i="4"/>
  <c r="AC45" i="4"/>
  <c r="T45" i="4"/>
  <c r="AO48" i="4"/>
  <c r="AN48" i="4"/>
  <c r="AN47" i="4"/>
  <c r="AN45" i="4"/>
  <c r="J48" i="4"/>
  <c r="I48" i="4"/>
  <c r="H48" i="4"/>
  <c r="M48" i="4"/>
  <c r="L48" i="4"/>
  <c r="M47" i="4"/>
  <c r="R48" i="4"/>
  <c r="Q48" i="4"/>
  <c r="P48" i="4"/>
  <c r="O48" i="4"/>
  <c r="P47" i="4"/>
  <c r="P46" i="4"/>
  <c r="V48" i="4"/>
  <c r="U48" i="4"/>
  <c r="T48" i="4"/>
  <c r="T47" i="4"/>
  <c r="R47" i="4"/>
  <c r="S45" i="4"/>
  <c r="Z48" i="4"/>
  <c r="Y48" i="4"/>
  <c r="X48" i="4"/>
  <c r="AC48" i="4"/>
  <c r="AB48" i="4"/>
  <c r="AC47" i="4"/>
  <c r="AB47" i="4"/>
  <c r="AA47" i="4"/>
  <c r="Z47" i="4"/>
  <c r="AF48" i="4"/>
  <c r="AE48" i="4"/>
  <c r="AF47" i="4"/>
  <c r="AE47" i="4"/>
  <c r="AJ36" i="4"/>
  <c r="AH48" i="4"/>
  <c r="N46" i="4"/>
  <c r="M46" i="4"/>
  <c r="AM48" i="4"/>
  <c r="AL48" i="4"/>
  <c r="AK48" i="4"/>
  <c r="AJ48" i="4"/>
  <c r="AI48" i="4"/>
  <c r="AM47" i="4"/>
  <c r="AL47" i="4"/>
  <c r="AK47" i="4"/>
  <c r="AJ47" i="4"/>
  <c r="O45" i="4"/>
  <c r="O44" i="4"/>
  <c r="M44" i="4"/>
  <c r="N43" i="4"/>
  <c r="M43" i="4"/>
  <c r="L43" i="4"/>
  <c r="G43" i="4"/>
  <c r="F43" i="4"/>
  <c r="E43" i="4"/>
  <c r="D43" i="4"/>
  <c r="G48" i="4"/>
  <c r="D48" i="4"/>
  <c r="D46" i="4"/>
  <c r="D45" i="4"/>
  <c r="B43" i="13"/>
  <c r="B46" i="13"/>
  <c r="AG49" i="13"/>
  <c r="AG49" i="4"/>
  <c r="AJ38" i="13"/>
  <c r="AC43" i="13"/>
  <c r="AD49" i="13"/>
  <c r="AD49" i="4"/>
  <c r="N49" i="13"/>
  <c r="N49" i="4"/>
  <c r="S49" i="13"/>
  <c r="S49" i="4"/>
  <c r="K49" i="13"/>
  <c r="K49" i="4"/>
  <c r="AJ35" i="4"/>
  <c r="L44" i="4"/>
  <c r="L45" i="4"/>
  <c r="L46" i="4"/>
  <c r="O46" i="4"/>
  <c r="AJ22" i="4"/>
  <c r="AM22" i="4"/>
  <c r="AN22" i="4"/>
  <c r="AM23" i="4"/>
  <c r="AN23" i="4"/>
  <c r="AN24" i="4"/>
  <c r="H27" i="4"/>
  <c r="H28" i="4"/>
  <c r="X29" i="4"/>
  <c r="X33" i="4"/>
  <c r="AK40" i="4"/>
  <c r="AM40" i="4"/>
  <c r="AN40" i="4"/>
  <c r="H43" i="4"/>
  <c r="AF42" i="4"/>
  <c r="AG41" i="4"/>
  <c r="AG42" i="4"/>
  <c r="AH41" i="4"/>
  <c r="AI41" i="4"/>
  <c r="AJ41" i="4"/>
  <c r="AK41" i="4"/>
  <c r="AK42" i="4"/>
  <c r="AL41" i="4"/>
  <c r="AL43" i="4"/>
  <c r="AL42" i="4"/>
  <c r="AM41" i="4"/>
  <c r="AM43" i="4"/>
  <c r="AM42" i="4"/>
  <c r="AN41" i="4"/>
  <c r="AN43" i="4"/>
  <c r="AN42" i="4"/>
  <c r="P43" i="4"/>
  <c r="T42" i="4"/>
  <c r="T43" i="4"/>
  <c r="U43" i="4"/>
  <c r="V43" i="4"/>
  <c r="W42" i="4"/>
  <c r="W43" i="4"/>
  <c r="X42" i="4"/>
  <c r="X43" i="4"/>
  <c r="Y43" i="4"/>
  <c r="AH42" i="4"/>
  <c r="AH43" i="4"/>
  <c r="AI42" i="4"/>
  <c r="AI43" i="4"/>
  <c r="AJ42" i="4"/>
  <c r="K48" i="4"/>
  <c r="S48" i="4"/>
  <c r="N48" i="4"/>
  <c r="AD48" i="4"/>
  <c r="AC43" i="4"/>
  <c r="AC44" i="4"/>
  <c r="AJ37" i="4"/>
  <c r="AJ38" i="4"/>
  <c r="AJ39" i="4"/>
  <c r="AG48" i="4"/>
  <c r="B47" i="4"/>
  <c r="C2" i="14"/>
  <c r="E2" i="14"/>
  <c r="E3" i="14"/>
  <c r="E2" i="12"/>
  <c r="E3" i="12"/>
  <c r="E2" i="13"/>
  <c r="E3" i="13" s="1"/>
  <c r="AR30" i="13"/>
  <c r="E2" i="4"/>
  <c r="E3" i="4"/>
  <c r="AS29" i="4"/>
  <c r="AS30" i="4"/>
  <c r="AR30" i="12"/>
  <c r="AS31" i="4"/>
  <c r="AP30" i="4"/>
  <c r="AP30" i="14"/>
  <c r="AR29" i="12"/>
  <c r="AS28" i="4"/>
  <c r="AP29" i="4"/>
  <c r="AP29" i="14"/>
  <c r="AR31" i="13"/>
  <c r="AP30" i="13"/>
  <c r="AQ30" i="13"/>
  <c r="AR32" i="13"/>
  <c r="AP31" i="13"/>
  <c r="AQ31" i="13"/>
  <c r="AP29" i="12"/>
  <c r="AQ29" i="4"/>
  <c r="AQ29" i="12"/>
  <c r="AR28" i="12"/>
  <c r="AP28" i="4"/>
  <c r="AP28" i="14"/>
  <c r="AS27" i="4"/>
  <c r="AP30" i="12"/>
  <c r="AQ30" i="4"/>
  <c r="AQ30" i="12"/>
  <c r="AR31" i="12"/>
  <c r="AS32" i="4"/>
  <c r="AP31" i="4"/>
  <c r="AP31" i="14"/>
  <c r="AP31" i="12"/>
  <c r="AQ31" i="4"/>
  <c r="AQ31" i="12"/>
  <c r="AR32" i="12"/>
  <c r="AS33" i="4"/>
  <c r="AP32" i="4"/>
  <c r="AP32" i="14"/>
  <c r="AR27" i="12"/>
  <c r="AP27" i="4"/>
  <c r="AP27" i="14"/>
  <c r="AS26" i="4"/>
  <c r="AP28" i="12"/>
  <c r="AQ28" i="4"/>
  <c r="AQ28" i="12"/>
  <c r="AR33" i="13"/>
  <c r="AP32" i="13"/>
  <c r="AQ32" i="13"/>
  <c r="AR34" i="13"/>
  <c r="AP33" i="13"/>
  <c r="AQ33" i="13"/>
  <c r="AR26" i="12"/>
  <c r="AP26" i="4"/>
  <c r="AP26" i="14"/>
  <c r="AS25" i="4"/>
  <c r="AP27" i="12"/>
  <c r="AQ27" i="4"/>
  <c r="AQ27" i="12"/>
  <c r="AP32" i="12"/>
  <c r="AQ32" i="4"/>
  <c r="AQ32" i="12"/>
  <c r="AR33" i="12"/>
  <c r="AS34" i="4"/>
  <c r="AP33" i="4"/>
  <c r="AP33" i="14"/>
  <c r="AP33" i="12"/>
  <c r="AQ33" i="4"/>
  <c r="AQ33" i="12"/>
  <c r="AR34" i="12"/>
  <c r="AS35" i="4"/>
  <c r="AP34" i="4"/>
  <c r="AP34" i="14"/>
  <c r="AR25" i="12"/>
  <c r="AP25" i="4"/>
  <c r="AP25" i="14"/>
  <c r="AS24" i="4"/>
  <c r="AP26" i="12"/>
  <c r="AQ26" i="4"/>
  <c r="AQ26" i="12"/>
  <c r="AR35" i="13"/>
  <c r="AP34" i="13"/>
  <c r="AQ34" i="13"/>
  <c r="AR36" i="13"/>
  <c r="AP35" i="13"/>
  <c r="AQ35" i="13"/>
  <c r="AR24" i="12"/>
  <c r="AP24" i="4"/>
  <c r="AP24" i="14"/>
  <c r="AS23" i="4"/>
  <c r="AP25" i="12"/>
  <c r="AQ25" i="4"/>
  <c r="AQ25" i="12"/>
  <c r="AP34" i="12"/>
  <c r="AQ34" i="4"/>
  <c r="AQ34" i="12"/>
  <c r="AR35" i="12"/>
  <c r="AS36" i="4"/>
  <c r="AP35" i="4"/>
  <c r="AP35" i="14"/>
  <c r="AP35" i="12"/>
  <c r="AQ35" i="4"/>
  <c r="AQ35" i="12"/>
  <c r="AR36" i="12"/>
  <c r="AS37" i="4"/>
  <c r="AP36" i="4"/>
  <c r="AP36" i="14"/>
  <c r="AR23" i="12"/>
  <c r="AP23" i="4"/>
  <c r="AP23" i="14"/>
  <c r="AS22" i="4"/>
  <c r="AP24" i="12"/>
  <c r="AQ24" i="4"/>
  <c r="AQ24" i="12"/>
  <c r="AR37" i="13"/>
  <c r="AP36" i="13"/>
  <c r="AQ36" i="13"/>
  <c r="AR38" i="13"/>
  <c r="AP37" i="13"/>
  <c r="AQ37" i="13"/>
  <c r="AR22" i="12"/>
  <c r="AP22" i="4"/>
  <c r="AP22" i="14"/>
  <c r="AS21" i="4"/>
  <c r="AP23" i="12"/>
  <c r="AQ23" i="4"/>
  <c r="AQ23" i="12"/>
  <c r="AP36" i="12"/>
  <c r="AQ36" i="4"/>
  <c r="AQ36" i="12"/>
  <c r="AR37" i="12"/>
  <c r="AS38" i="4"/>
  <c r="AP37" i="4"/>
  <c r="AP37" i="14"/>
  <c r="AP37" i="12"/>
  <c r="AQ37" i="4"/>
  <c r="AQ37" i="12"/>
  <c r="AR38" i="12"/>
  <c r="AS39" i="4"/>
  <c r="AP38" i="4"/>
  <c r="AP38" i="14"/>
  <c r="AR21" i="12"/>
  <c r="AP21" i="4"/>
  <c r="AP21" i="14"/>
  <c r="AS20" i="4"/>
  <c r="AP22" i="12"/>
  <c r="AQ22" i="4"/>
  <c r="AQ22" i="12"/>
  <c r="AR39" i="13"/>
  <c r="AP38" i="13"/>
  <c r="AQ38" i="13"/>
  <c r="AR40" i="13"/>
  <c r="AP39" i="13"/>
  <c r="AQ39" i="13"/>
  <c r="AR20" i="12"/>
  <c r="AP20" i="4"/>
  <c r="AP20" i="14"/>
  <c r="AS19" i="4"/>
  <c r="AP21" i="12"/>
  <c r="AQ21" i="4"/>
  <c r="AQ21" i="12"/>
  <c r="AP38" i="12"/>
  <c r="AQ38" i="4"/>
  <c r="AQ38" i="12"/>
  <c r="AR39" i="12"/>
  <c r="AS40" i="4"/>
  <c r="AP39" i="4"/>
  <c r="AP39" i="14"/>
  <c r="AP39" i="12"/>
  <c r="AQ39" i="4"/>
  <c r="AQ39" i="12"/>
  <c r="AR40" i="12"/>
  <c r="AS41" i="4"/>
  <c r="AP40" i="4"/>
  <c r="AP40" i="14"/>
  <c r="AR19" i="12"/>
  <c r="AP19" i="4"/>
  <c r="AP19" i="14"/>
  <c r="AS18" i="4"/>
  <c r="AP20" i="12"/>
  <c r="AQ20" i="4"/>
  <c r="AQ20" i="12"/>
  <c r="AR41" i="13"/>
  <c r="AP40" i="13"/>
  <c r="AQ40" i="13"/>
  <c r="AR42" i="13"/>
  <c r="AP41" i="13"/>
  <c r="AQ41" i="13"/>
  <c r="AR18" i="12"/>
  <c r="AP18" i="4"/>
  <c r="AP18" i="14"/>
  <c r="AS17" i="4"/>
  <c r="AP19" i="12"/>
  <c r="AQ19" i="4"/>
  <c r="AQ19" i="12"/>
  <c r="AP40" i="12"/>
  <c r="AQ40" i="4"/>
  <c r="AQ40" i="12"/>
  <c r="AR41" i="12"/>
  <c r="AS42" i="4"/>
  <c r="AP41" i="4"/>
  <c r="AP41" i="14"/>
  <c r="AP41" i="12"/>
  <c r="AQ41" i="4"/>
  <c r="AQ41" i="12"/>
  <c r="AR42" i="12"/>
  <c r="AS43" i="4"/>
  <c r="AP42" i="4"/>
  <c r="AP42" i="14"/>
  <c r="AR17" i="12"/>
  <c r="AP17" i="4"/>
  <c r="AP17" i="14"/>
  <c r="AS16" i="4"/>
  <c r="AP18" i="12"/>
  <c r="AQ18" i="4"/>
  <c r="AQ18" i="12"/>
  <c r="AR43" i="13"/>
  <c r="AP42" i="13"/>
  <c r="AQ42" i="13"/>
  <c r="AR44" i="13"/>
  <c r="AP43" i="13"/>
  <c r="AQ43" i="13"/>
  <c r="AR16" i="12"/>
  <c r="AP16" i="4"/>
  <c r="AP16" i="14"/>
  <c r="AS15" i="4"/>
  <c r="AP17" i="12"/>
  <c r="AQ17" i="4"/>
  <c r="AQ17" i="12"/>
  <c r="AP42" i="12"/>
  <c r="AQ42" i="4"/>
  <c r="AQ42" i="12"/>
  <c r="AR43" i="12"/>
  <c r="AS44" i="4"/>
  <c r="AP43" i="4"/>
  <c r="AP43" i="14"/>
  <c r="AP43" i="12"/>
  <c r="AQ43" i="4"/>
  <c r="AQ43" i="12"/>
  <c r="AR44" i="12"/>
  <c r="AS45" i="4"/>
  <c r="AP44" i="4"/>
  <c r="AP44" i="14"/>
  <c r="AR15" i="12"/>
  <c r="AP15" i="4"/>
  <c r="AP15" i="14"/>
  <c r="AS14" i="4"/>
  <c r="AP16" i="12"/>
  <c r="AQ16" i="4"/>
  <c r="AQ16" i="12"/>
  <c r="AR45" i="13"/>
  <c r="AP44" i="13"/>
  <c r="AQ44" i="13"/>
  <c r="AR46" i="13"/>
  <c r="AP45" i="13"/>
  <c r="AQ45" i="13"/>
  <c r="AR14" i="12"/>
  <c r="AP14" i="4"/>
  <c r="AP14" i="14"/>
  <c r="AS13" i="4"/>
  <c r="AP15" i="12"/>
  <c r="AQ15" i="4"/>
  <c r="AQ15" i="12"/>
  <c r="AP44" i="12"/>
  <c r="AQ44" i="4"/>
  <c r="AQ44" i="12"/>
  <c r="AR45" i="12"/>
  <c r="AS46" i="4"/>
  <c r="AP45" i="4"/>
  <c r="AP45" i="14"/>
  <c r="AP45" i="12"/>
  <c r="AQ45" i="4"/>
  <c r="AQ45" i="12"/>
  <c r="AR46" i="12"/>
  <c r="AS47" i="4"/>
  <c r="AP46" i="4"/>
  <c r="AP46" i="14"/>
  <c r="AR13" i="12"/>
  <c r="AP13" i="4"/>
  <c r="AP13" i="14"/>
  <c r="AS12" i="4"/>
  <c r="AP14" i="12"/>
  <c r="AQ14" i="4"/>
  <c r="AQ14" i="12"/>
  <c r="AR47" i="13"/>
  <c r="AP46" i="13"/>
  <c r="AQ46" i="13"/>
  <c r="AR48" i="13"/>
  <c r="AP47" i="13"/>
  <c r="AQ47" i="13"/>
  <c r="AR12" i="12"/>
  <c r="AP12" i="4"/>
  <c r="AP12" i="14"/>
  <c r="AS11" i="4"/>
  <c r="AP13" i="12"/>
  <c r="AQ13" i="4"/>
  <c r="AQ13" i="12"/>
  <c r="AP46" i="12"/>
  <c r="AQ46" i="4"/>
  <c r="AQ46" i="12"/>
  <c r="AR47" i="12"/>
  <c r="AS48" i="4"/>
  <c r="AP47" i="4"/>
  <c r="AP47" i="14"/>
  <c r="AP47" i="12"/>
  <c r="AQ47" i="4"/>
  <c r="AQ47" i="12"/>
  <c r="AR48" i="12"/>
  <c r="AS49" i="4"/>
  <c r="AP48" i="4"/>
  <c r="AP48" i="14"/>
  <c r="AR11" i="12"/>
  <c r="AS10" i="4"/>
  <c r="AP11" i="4"/>
  <c r="AU11" i="4" s="1" a="1"/>
  <c r="AU11" i="4" s="1"/>
  <c r="AP11" i="14"/>
  <c r="AP12" i="12"/>
  <c r="AQ12" i="4"/>
  <c r="AQ12" i="12"/>
  <c r="AR49" i="13"/>
  <c r="AP49" i="13"/>
  <c r="AQ49" i="13"/>
  <c r="AP48" i="13"/>
  <c r="AQ48" i="13"/>
  <c r="AP11" i="12"/>
  <c r="AQ11" i="4"/>
  <c r="AQ11" i="12"/>
  <c r="AR10" i="12"/>
  <c r="AP10" i="4"/>
  <c r="AU10" i="4" s="1" a="1"/>
  <c r="AU10" i="4" s="1"/>
  <c r="AP10" i="14"/>
  <c r="AP48" i="12"/>
  <c r="AQ48" i="4"/>
  <c r="AQ48" i="12"/>
  <c r="AR49" i="12"/>
  <c r="AP49" i="4"/>
  <c r="AP49" i="14"/>
  <c r="AP49" i="12"/>
  <c r="AQ49" i="4"/>
  <c r="AQ49" i="12"/>
  <c r="AP10" i="12"/>
  <c r="AQ10" i="4"/>
  <c r="AQ10" i="12"/>
  <c r="AL24" i="10"/>
  <c r="AL24" i="2"/>
  <c r="B25" i="10"/>
  <c r="B25" i="2"/>
  <c r="AN25" i="10"/>
  <c r="AN25" i="2"/>
  <c r="AM26" i="10"/>
  <c r="AM26" i="2"/>
  <c r="J25" i="10"/>
  <c r="J25" i="2"/>
  <c r="I26" i="10"/>
  <c r="I26" i="2"/>
  <c r="J30" i="3"/>
  <c r="J28" i="13"/>
  <c r="I30" i="3"/>
  <c r="I28" i="13"/>
  <c r="AO29" i="3"/>
  <c r="AO27" i="13"/>
  <c r="AO30" i="3"/>
  <c r="AO28" i="13"/>
  <c r="AN30" i="3"/>
  <c r="AN28" i="13"/>
  <c r="AM30" i="3"/>
  <c r="AM28" i="13"/>
  <c r="B30" i="3"/>
  <c r="B28" i="13"/>
  <c r="C30" i="3"/>
  <c r="C28" i="13"/>
  <c r="AN28" i="3"/>
  <c r="AN26" i="13"/>
  <c r="AN25" i="4"/>
  <c r="AN29" i="3"/>
  <c r="AN27" i="13"/>
  <c r="AN26" i="4"/>
  <c r="AM29" i="3"/>
  <c r="AM27" i="13"/>
  <c r="AN27" i="4"/>
  <c r="AR29" i="13"/>
  <c r="AW12" i="4"/>
  <c r="AU12" i="4" a="1"/>
  <c r="AU12" i="4"/>
  <c r="AW49" i="4"/>
  <c r="AR28" i="13"/>
  <c r="AP29" i="13"/>
  <c r="AQ29" i="13"/>
  <c r="AU48" i="4"/>
  <c r="AT48" i="12"/>
  <c r="AT11" i="12"/>
  <c r="AW13" i="4"/>
  <c r="AU13" i="4" a="1"/>
  <c r="AU13" i="4"/>
  <c r="AW48" i="4"/>
  <c r="AR27" i="13"/>
  <c r="AP28" i="13"/>
  <c r="AQ28" i="13"/>
  <c r="AU47" i="4"/>
  <c r="AT47" i="12"/>
  <c r="AT12" i="12"/>
  <c r="AW14" i="4"/>
  <c r="AU14" i="4" a="1"/>
  <c r="AU14" i="4"/>
  <c r="D48" i="12" a="1"/>
  <c r="D48" i="12"/>
  <c r="D48" i="14"/>
  <c r="G48" i="12" a="1"/>
  <c r="G48" i="12"/>
  <c r="G48" i="14"/>
  <c r="AI48" i="12" a="1"/>
  <c r="AI48" i="12"/>
  <c r="AI48" i="14"/>
  <c r="AJ48" i="12" a="1"/>
  <c r="AJ48" i="12"/>
  <c r="AJ48" i="14"/>
  <c r="AK48" i="12" a="1"/>
  <c r="AK48" i="12"/>
  <c r="AK48" i="14"/>
  <c r="AL48" i="12" a="1"/>
  <c r="AL48" i="12"/>
  <c r="AL48" i="14"/>
  <c r="AM48" i="12" a="1"/>
  <c r="AM48" i="12"/>
  <c r="AM48" i="14"/>
  <c r="AH48" i="12" a="1"/>
  <c r="AH48" i="12"/>
  <c r="AH48" i="14"/>
  <c r="AE48" i="12" a="1"/>
  <c r="AE48" i="12"/>
  <c r="AE48" i="14"/>
  <c r="AF48" i="12" a="1"/>
  <c r="AF48" i="12"/>
  <c r="AF48" i="14"/>
  <c r="AB48" i="12" a="1"/>
  <c r="AB48" i="12"/>
  <c r="AB48" i="14"/>
  <c r="AC48" i="12" a="1"/>
  <c r="AC48" i="12"/>
  <c r="AC48" i="14"/>
  <c r="X48" i="12" a="1"/>
  <c r="X48" i="12"/>
  <c r="X48" i="14"/>
  <c r="Y48" i="12" a="1"/>
  <c r="Y48" i="12"/>
  <c r="Y48" i="14"/>
  <c r="Z48" i="12" a="1"/>
  <c r="Z48" i="12"/>
  <c r="Z48" i="14"/>
  <c r="T48" i="12" a="1"/>
  <c r="T48" i="12"/>
  <c r="T48" i="14"/>
  <c r="U48" i="12" a="1"/>
  <c r="U48" i="12"/>
  <c r="U48" i="14"/>
  <c r="V48" i="12" a="1"/>
  <c r="V48" i="12"/>
  <c r="V48" i="14"/>
  <c r="O48" i="12" a="1"/>
  <c r="O48" i="12"/>
  <c r="O48" i="14"/>
  <c r="P48" i="12" a="1"/>
  <c r="P48" i="12"/>
  <c r="P48" i="14"/>
  <c r="Q48" i="12" a="1"/>
  <c r="Q48" i="12"/>
  <c r="Q48" i="14"/>
  <c r="R48" i="12" a="1"/>
  <c r="R48" i="12"/>
  <c r="R48" i="14"/>
  <c r="L48" i="12" a="1"/>
  <c r="L48" i="12"/>
  <c r="L48" i="14"/>
  <c r="M48" i="12" a="1"/>
  <c r="M48" i="12"/>
  <c r="M48" i="14"/>
  <c r="H48" i="12" a="1"/>
  <c r="H48" i="12"/>
  <c r="H48" i="14"/>
  <c r="I48" i="12" a="1"/>
  <c r="I48" i="12"/>
  <c r="I48" i="14"/>
  <c r="J48" i="12" a="1"/>
  <c r="J48" i="12"/>
  <c r="J48" i="14"/>
  <c r="AN48" i="12" a="1"/>
  <c r="AN48" i="12"/>
  <c r="AN48" i="14"/>
  <c r="AO48" i="12" a="1"/>
  <c r="AO48" i="12"/>
  <c r="AO48" i="14"/>
  <c r="AA48" i="12" a="1"/>
  <c r="AA48" i="12"/>
  <c r="AA48" i="14"/>
  <c r="W48" i="12" a="1"/>
  <c r="W48" i="12"/>
  <c r="W48" i="14"/>
  <c r="C48" i="12" a="1"/>
  <c r="C48" i="12"/>
  <c r="C48" i="14"/>
  <c r="B48" i="12" a="1"/>
  <c r="B48" i="12"/>
  <c r="B48" i="14"/>
  <c r="AG48" i="12" a="1"/>
  <c r="AG48" i="12"/>
  <c r="AG48" i="14"/>
  <c r="AD48" i="12" a="1"/>
  <c r="AD48" i="12"/>
  <c r="AD48" i="14"/>
  <c r="N48" i="12" a="1"/>
  <c r="N48" i="12"/>
  <c r="N48" i="14"/>
  <c r="S48" i="12" a="1"/>
  <c r="S48" i="12"/>
  <c r="S48" i="14"/>
  <c r="K48" i="12" a="1"/>
  <c r="K48" i="12"/>
  <c r="K48" i="14"/>
  <c r="AW47" i="4"/>
  <c r="AR26" i="13"/>
  <c r="AP27" i="13"/>
  <c r="AQ27" i="13"/>
  <c r="AU46" i="4"/>
  <c r="AT46" i="12"/>
  <c r="AT13" i="12"/>
  <c r="AW15" i="4"/>
  <c r="AU15" i="4" a="1"/>
  <c r="AU15" i="4"/>
  <c r="AJ47" i="12" a="1"/>
  <c r="AJ47" i="12"/>
  <c r="AJ47" i="14"/>
  <c r="AK47" i="12" a="1"/>
  <c r="AK47" i="12"/>
  <c r="AK47" i="14"/>
  <c r="AL47" i="12" a="1"/>
  <c r="AL47" i="12"/>
  <c r="AL47" i="14"/>
  <c r="AM47" i="12" a="1"/>
  <c r="AM47" i="12"/>
  <c r="AM47" i="14"/>
  <c r="AE47" i="12" a="1"/>
  <c r="AE47" i="12"/>
  <c r="AE47" i="14"/>
  <c r="AF47" i="12" a="1"/>
  <c r="AF47" i="12"/>
  <c r="AF47" i="14"/>
  <c r="Z47" i="12" a="1"/>
  <c r="Z47" i="12"/>
  <c r="Z47" i="14"/>
  <c r="AA47" i="12" a="1"/>
  <c r="AA47" i="12"/>
  <c r="AA47" i="14"/>
  <c r="AB47" i="12" a="1"/>
  <c r="AB47" i="12"/>
  <c r="AB47" i="14"/>
  <c r="AC47" i="12" a="1"/>
  <c r="AC47" i="12"/>
  <c r="AC47" i="14"/>
  <c r="R47" i="12" a="1"/>
  <c r="R47" i="12"/>
  <c r="R47" i="14"/>
  <c r="T47" i="12" a="1"/>
  <c r="T47" i="12"/>
  <c r="T47" i="14"/>
  <c r="P47" i="12" a="1"/>
  <c r="P47" i="12"/>
  <c r="P47" i="14"/>
  <c r="M47" i="12" a="1"/>
  <c r="M47" i="12"/>
  <c r="M47" i="14"/>
  <c r="AN47" i="12" a="1"/>
  <c r="AN47" i="12"/>
  <c r="AN47" i="14"/>
  <c r="Q47" i="12" a="1"/>
  <c r="Q47" i="12"/>
  <c r="Q47" i="14"/>
  <c r="C47" i="12" a="1"/>
  <c r="C47" i="12"/>
  <c r="C47" i="14"/>
  <c r="AD47" i="12" a="1"/>
  <c r="AD47" i="12"/>
  <c r="AD47" i="14"/>
  <c r="S47" i="12" a="1"/>
  <c r="S47" i="12"/>
  <c r="S47" i="14"/>
  <c r="AO47" i="12" a="1"/>
  <c r="AO47" i="12"/>
  <c r="AO47" i="14"/>
  <c r="D47" i="12" a="1"/>
  <c r="D47" i="12"/>
  <c r="D47" i="14"/>
  <c r="O47" i="12" a="1"/>
  <c r="O47" i="12"/>
  <c r="O47" i="14"/>
  <c r="L47" i="12" a="1"/>
  <c r="L47" i="12"/>
  <c r="L47" i="14"/>
  <c r="N47" i="12" a="1"/>
  <c r="N47" i="12"/>
  <c r="N47" i="14"/>
  <c r="B47" i="12" a="1"/>
  <c r="B47" i="12"/>
  <c r="B47" i="14"/>
  <c r="AW46" i="4"/>
  <c r="AR25" i="13"/>
  <c r="AP26" i="13"/>
  <c r="AQ26" i="13"/>
  <c r="AU45" i="4"/>
  <c r="AT45" i="12"/>
  <c r="AT14" i="12"/>
  <c r="AU16" i="4" a="1"/>
  <c r="AU16" i="4"/>
  <c r="AO46" i="12" a="1"/>
  <c r="AO46" i="12"/>
  <c r="AO46" i="14"/>
  <c r="AC46" i="12" a="1"/>
  <c r="AC46" i="12"/>
  <c r="AC46" i="14"/>
  <c r="L46" i="12" a="1"/>
  <c r="L46" i="12"/>
  <c r="L46" i="14"/>
  <c r="O46" i="12" a="1"/>
  <c r="O46" i="12"/>
  <c r="O46" i="14"/>
  <c r="D46" i="12" a="1"/>
  <c r="D46" i="12"/>
  <c r="D46" i="14"/>
  <c r="M46" i="12" a="1"/>
  <c r="M46" i="12"/>
  <c r="M46" i="14"/>
  <c r="N46" i="12" a="1"/>
  <c r="N46" i="12"/>
  <c r="N46" i="14"/>
  <c r="P46" i="12" a="1"/>
  <c r="P46" i="12"/>
  <c r="P46" i="14"/>
  <c r="AL46" i="12" a="1"/>
  <c r="AL46" i="12"/>
  <c r="AL46" i="14"/>
  <c r="AM46" i="12" a="1"/>
  <c r="AM46" i="12"/>
  <c r="AM46" i="14"/>
  <c r="R46" i="12" a="1"/>
  <c r="R46" i="12"/>
  <c r="R46" i="14"/>
  <c r="T46" i="12" a="1"/>
  <c r="T46" i="12"/>
  <c r="T46" i="14"/>
  <c r="Q46" i="12" a="1"/>
  <c r="Q46" i="12"/>
  <c r="Q46" i="14"/>
  <c r="S46" i="12" a="1"/>
  <c r="S46" i="12"/>
  <c r="S46" i="14"/>
  <c r="AD46" i="12" a="1"/>
  <c r="AD46" i="12"/>
  <c r="AD46" i="14"/>
  <c r="AN46" i="12" a="1"/>
  <c r="AN46" i="12"/>
  <c r="AN46" i="14"/>
  <c r="AW45" i="4"/>
  <c r="AR24" i="13"/>
  <c r="AP25" i="13"/>
  <c r="AQ25" i="13"/>
  <c r="AU44" i="4"/>
  <c r="AT44" i="12"/>
  <c r="AT15" i="12"/>
  <c r="AU17" i="4" a="1"/>
  <c r="AU17" i="4"/>
  <c r="M45" i="12" a="1"/>
  <c r="M45" i="12"/>
  <c r="M45" i="14"/>
  <c r="L45" i="12" a="1"/>
  <c r="L45" i="12"/>
  <c r="L45" i="14"/>
  <c r="D45" i="12" a="1"/>
  <c r="D45" i="12"/>
  <c r="D45" i="14"/>
  <c r="O45" i="12" a="1"/>
  <c r="O45" i="12"/>
  <c r="O45" i="14"/>
  <c r="S45" i="12" a="1"/>
  <c r="S45" i="12"/>
  <c r="S45" i="14"/>
  <c r="AN45" i="12" a="1"/>
  <c r="AN45" i="12"/>
  <c r="AN45" i="14"/>
  <c r="T45" i="12" a="1"/>
  <c r="T45" i="12"/>
  <c r="T45" i="14"/>
  <c r="AC45" i="12" a="1"/>
  <c r="AC45" i="12"/>
  <c r="AC45" i="14"/>
  <c r="N45" i="12" a="1"/>
  <c r="N45" i="12"/>
  <c r="N45" i="14"/>
  <c r="AL45" i="12" a="1"/>
  <c r="AL45" i="12"/>
  <c r="AL45" i="14"/>
  <c r="AM45" i="12" a="1"/>
  <c r="AM45" i="12"/>
  <c r="AM45" i="14"/>
  <c r="R45" i="12" a="1"/>
  <c r="R45" i="12"/>
  <c r="R45" i="14"/>
  <c r="AO45" i="12" a="1"/>
  <c r="AO45" i="12"/>
  <c r="AO45" i="14"/>
  <c r="Q45" i="12" a="1"/>
  <c r="Q45" i="12"/>
  <c r="Q45" i="14"/>
  <c r="P45" i="12" a="1"/>
  <c r="P45" i="12"/>
  <c r="P45" i="14"/>
  <c r="AD45" i="12" a="1"/>
  <c r="AD45" i="12"/>
  <c r="AD45" i="14"/>
  <c r="AW44" i="4"/>
  <c r="AR23" i="13"/>
  <c r="AP24" i="13"/>
  <c r="AQ24" i="13"/>
  <c r="AU43" i="4"/>
  <c r="AT43" i="12"/>
  <c r="AT16" i="12"/>
  <c r="AW18" i="4"/>
  <c r="AU18" i="4" a="1"/>
  <c r="AU18" i="4"/>
  <c r="N44" i="12" a="1"/>
  <c r="N44" i="12"/>
  <c r="N44" i="14"/>
  <c r="L44" i="12" a="1"/>
  <c r="L44" i="12"/>
  <c r="L44" i="14"/>
  <c r="M44" i="12" a="1"/>
  <c r="M44" i="12"/>
  <c r="M44" i="14"/>
  <c r="O44" i="12" a="1"/>
  <c r="O44" i="12"/>
  <c r="O44" i="14"/>
  <c r="AD44" i="12" a="1"/>
  <c r="AD44" i="12"/>
  <c r="AD44" i="14"/>
  <c r="D44" i="12" a="1"/>
  <c r="D44" i="12"/>
  <c r="D44" i="14"/>
  <c r="AM44" i="12" a="1"/>
  <c r="AM44" i="12"/>
  <c r="AM44" i="14"/>
  <c r="AO44" i="12" a="1"/>
  <c r="AO44" i="12"/>
  <c r="AO44" i="14"/>
  <c r="S44" i="12" a="1"/>
  <c r="S44" i="12"/>
  <c r="S44" i="14"/>
  <c r="R44" i="12" a="1"/>
  <c r="R44" i="12"/>
  <c r="R44" i="14"/>
  <c r="Q44" i="12" a="1"/>
  <c r="Q44" i="12"/>
  <c r="Q44" i="14"/>
  <c r="AL44" i="12" a="1"/>
  <c r="AL44" i="12"/>
  <c r="AL44" i="14"/>
  <c r="P44" i="12" a="1"/>
  <c r="P44" i="12"/>
  <c r="P44" i="14"/>
  <c r="T44" i="12" a="1"/>
  <c r="T44" i="12"/>
  <c r="T44" i="14"/>
  <c r="AN44" i="12" a="1"/>
  <c r="AN44" i="12"/>
  <c r="AN44" i="14"/>
  <c r="AC44" i="12" a="1"/>
  <c r="AC44" i="12"/>
  <c r="AC44" i="14"/>
  <c r="AW43" i="4"/>
  <c r="AR22" i="13"/>
  <c r="AP23" i="13"/>
  <c r="AQ23" i="13"/>
  <c r="AU42" i="4"/>
  <c r="AT42" i="12"/>
  <c r="AT17" i="12"/>
  <c r="AW19" i="4"/>
  <c r="AU19" i="4" a="1"/>
  <c r="AU19" i="4"/>
  <c r="AO43" i="12" a="1"/>
  <c r="AO43" i="12"/>
  <c r="AO43" i="14"/>
  <c r="AD43" i="12" a="1"/>
  <c r="AD43" i="12"/>
  <c r="AD43" i="14"/>
  <c r="H43" i="12" a="1"/>
  <c r="H43" i="12"/>
  <c r="H43" i="14"/>
  <c r="AL43" i="12" a="1"/>
  <c r="AL43" i="12"/>
  <c r="AL43" i="14"/>
  <c r="AM43" i="12" a="1"/>
  <c r="AM43" i="12"/>
  <c r="AM43" i="14"/>
  <c r="AN43" i="12" a="1"/>
  <c r="AN43" i="12"/>
  <c r="AN43" i="14"/>
  <c r="P43" i="12" a="1"/>
  <c r="P43" i="12"/>
  <c r="P43" i="14"/>
  <c r="T43" i="12" a="1"/>
  <c r="T43" i="12"/>
  <c r="T43" i="14"/>
  <c r="U43" i="12" a="1"/>
  <c r="U43" i="12"/>
  <c r="U43" i="14"/>
  <c r="V43" i="12" a="1"/>
  <c r="V43" i="12"/>
  <c r="V43" i="14"/>
  <c r="W43" i="12" a="1"/>
  <c r="W43" i="12"/>
  <c r="W43" i="14"/>
  <c r="X43" i="12" a="1"/>
  <c r="X43" i="12"/>
  <c r="X43" i="14"/>
  <c r="Y43" i="12" a="1"/>
  <c r="Y43" i="12"/>
  <c r="Y43" i="14"/>
  <c r="AH43" i="12" a="1"/>
  <c r="AH43" i="12"/>
  <c r="AH43" i="14"/>
  <c r="AI43" i="12" a="1"/>
  <c r="AI43" i="12"/>
  <c r="AI43" i="14"/>
  <c r="D43" i="12" a="1"/>
  <c r="D43" i="12"/>
  <c r="D43" i="14"/>
  <c r="E43" i="12" a="1"/>
  <c r="E43" i="12"/>
  <c r="E43" i="14"/>
  <c r="F43" i="12" a="1"/>
  <c r="F43" i="12"/>
  <c r="F43" i="14"/>
  <c r="G43" i="12" a="1"/>
  <c r="G43" i="12"/>
  <c r="G43" i="14"/>
  <c r="L43" i="12" a="1"/>
  <c r="L43" i="12"/>
  <c r="L43" i="14"/>
  <c r="M43" i="12" a="1"/>
  <c r="M43" i="12"/>
  <c r="M43" i="14"/>
  <c r="N43" i="12" a="1"/>
  <c r="N43" i="12"/>
  <c r="N43" i="14"/>
  <c r="O43" i="12" a="1"/>
  <c r="O43" i="12"/>
  <c r="O43" i="14"/>
  <c r="AC43" i="12" a="1"/>
  <c r="AC43" i="12"/>
  <c r="AC43" i="14"/>
  <c r="AW42" i="4"/>
  <c r="AR21" i="13"/>
  <c r="AP22" i="13"/>
  <c r="AQ22" i="13"/>
  <c r="AU41" i="4"/>
  <c r="AT41" i="12"/>
  <c r="AT18" i="12"/>
  <c r="AW20" i="4"/>
  <c r="AU20" i="4" a="1"/>
  <c r="AU20" i="4"/>
  <c r="AF42" i="12" a="1"/>
  <c r="AF42" i="12"/>
  <c r="AF42" i="14"/>
  <c r="AG42" i="12" a="1"/>
  <c r="AG42" i="12"/>
  <c r="AG42" i="14"/>
  <c r="AK42" i="12" a="1"/>
  <c r="AK42" i="12"/>
  <c r="AK42" i="14"/>
  <c r="AL42" i="12" a="1"/>
  <c r="AL42" i="12"/>
  <c r="AL42" i="14"/>
  <c r="AM42" i="12" a="1"/>
  <c r="AM42" i="12"/>
  <c r="AM42" i="14"/>
  <c r="AN42" i="12" a="1"/>
  <c r="AN42" i="12"/>
  <c r="AN42" i="14"/>
  <c r="T42" i="12" a="1"/>
  <c r="T42" i="12"/>
  <c r="T42" i="14"/>
  <c r="W42" i="12" a="1"/>
  <c r="W42" i="12"/>
  <c r="W42" i="14"/>
  <c r="X42" i="12" a="1"/>
  <c r="X42" i="12"/>
  <c r="X42" i="14"/>
  <c r="AH42" i="12" a="1"/>
  <c r="AH42" i="12"/>
  <c r="AH42" i="14"/>
  <c r="AI42" i="12" a="1"/>
  <c r="AI42" i="12"/>
  <c r="AI42" i="14"/>
  <c r="AJ42" i="12" a="1"/>
  <c r="AJ42" i="12"/>
  <c r="AJ42" i="14"/>
  <c r="AW41" i="4"/>
  <c r="AR20" i="13"/>
  <c r="AP21" i="13"/>
  <c r="AQ21" i="13"/>
  <c r="AU40" i="4"/>
  <c r="AT40" i="12"/>
  <c r="AT19" i="12"/>
  <c r="AW21" i="4"/>
  <c r="AU21" i="4" a="1"/>
  <c r="AU21" i="4"/>
  <c r="AG41" i="12" a="1"/>
  <c r="AG41" i="12"/>
  <c r="AG41" i="14"/>
  <c r="AH41" i="12" a="1"/>
  <c r="AH41" i="12"/>
  <c r="AH41" i="14"/>
  <c r="AI41" i="12" a="1"/>
  <c r="AI41" i="12"/>
  <c r="AI41" i="14"/>
  <c r="AJ41" i="12" a="1"/>
  <c r="AJ41" i="12"/>
  <c r="AJ41" i="14"/>
  <c r="AK41" i="12" a="1"/>
  <c r="AK41" i="12"/>
  <c r="AK41" i="14"/>
  <c r="AL41" i="12" a="1"/>
  <c r="AL41" i="12"/>
  <c r="AL41" i="14"/>
  <c r="AM41" i="12" a="1"/>
  <c r="AM41" i="12"/>
  <c r="AM41" i="14"/>
  <c r="AN41" i="12" a="1"/>
  <c r="AN41" i="12"/>
  <c r="AN41" i="14"/>
  <c r="AW40" i="4"/>
  <c r="AR19" i="13"/>
  <c r="AP20" i="13"/>
  <c r="AQ20" i="13"/>
  <c r="AU39" i="4"/>
  <c r="AT39" i="12"/>
  <c r="AT20" i="12"/>
  <c r="AW22" i="4"/>
  <c r="AU22" i="4" a="1"/>
  <c r="AU22" i="4"/>
  <c r="AK40" i="12" a="1"/>
  <c r="AK40" i="12"/>
  <c r="AK40" i="14"/>
  <c r="AM40" i="12" a="1"/>
  <c r="AM40" i="12"/>
  <c r="AM40" i="14"/>
  <c r="AN40" i="12" a="1"/>
  <c r="AN40" i="12"/>
  <c r="AN40" i="14"/>
  <c r="AH40" i="12" a="1"/>
  <c r="AH40" i="12"/>
  <c r="AH40" i="14"/>
  <c r="AI40" i="12" a="1"/>
  <c r="AI40" i="12"/>
  <c r="AI40" i="14"/>
  <c r="AJ40" i="12" a="1"/>
  <c r="AJ40" i="12"/>
  <c r="AJ40" i="14"/>
  <c r="AL40" i="12" a="1"/>
  <c r="AL40" i="12"/>
  <c r="AL40" i="14"/>
  <c r="AW39" i="4"/>
  <c r="AR18" i="13"/>
  <c r="AP19" i="13"/>
  <c r="AQ19" i="13"/>
  <c r="AU38" i="4"/>
  <c r="AT38" i="12"/>
  <c r="AT21" i="12"/>
  <c r="AW23" i="4"/>
  <c r="AU23" i="4" a="1"/>
  <c r="AU23" i="4"/>
  <c r="AJ39" i="12" a="1"/>
  <c r="AJ39" i="12"/>
  <c r="AJ39" i="14"/>
  <c r="AW38" i="4"/>
  <c r="AR17" i="13"/>
  <c r="AP18" i="13"/>
  <c r="AQ18" i="13"/>
  <c r="AU37" i="4"/>
  <c r="AT37" i="12"/>
  <c r="AT22" i="12"/>
  <c r="AW24" i="4"/>
  <c r="AU24" i="4" a="1"/>
  <c r="AU24" i="4"/>
  <c r="AJ38" i="12" a="1"/>
  <c r="AJ38" i="12"/>
  <c r="AJ38" i="14"/>
  <c r="AW37" i="4"/>
  <c r="AR16" i="13"/>
  <c r="AP17" i="13"/>
  <c r="AQ17" i="13"/>
  <c r="AU36" i="4"/>
  <c r="AT36" i="12"/>
  <c r="AT23" i="12"/>
  <c r="AW25" i="4"/>
  <c r="AU25" i="4" a="1"/>
  <c r="AU25" i="4"/>
  <c r="AJ22" i="12" a="1"/>
  <c r="AJ22" i="12"/>
  <c r="AJ22" i="14"/>
  <c r="AM22" i="12" a="1"/>
  <c r="AM22" i="12"/>
  <c r="AM22" i="14"/>
  <c r="AN22" i="12" a="1"/>
  <c r="AN22" i="12"/>
  <c r="AN22" i="14"/>
  <c r="AJ37" i="12" a="1"/>
  <c r="AJ37" i="12"/>
  <c r="AJ37" i="14"/>
  <c r="AW36" i="4"/>
  <c r="AR15" i="13"/>
  <c r="AP16" i="13"/>
  <c r="AQ16" i="13"/>
  <c r="AU35" i="4"/>
  <c r="AT35" i="12"/>
  <c r="AT24" i="12"/>
  <c r="AW26" i="4"/>
  <c r="AU26" i="4" a="1"/>
  <c r="AU26" i="4"/>
  <c r="AM23" i="12" a="1"/>
  <c r="AM23" i="12"/>
  <c r="AM23" i="14"/>
  <c r="AN23" i="12" a="1"/>
  <c r="AN23" i="12"/>
  <c r="AN23" i="14"/>
  <c r="AJ36" i="12" a="1"/>
  <c r="AJ36" i="12"/>
  <c r="AJ36" i="14"/>
  <c r="AW35" i="4"/>
  <c r="AR14" i="13"/>
  <c r="AP15" i="13"/>
  <c r="AQ15" i="13"/>
  <c r="AU34" i="4"/>
  <c r="AT34" i="12"/>
  <c r="AT25" i="12"/>
  <c r="AW27" i="4"/>
  <c r="AU27" i="4" a="1"/>
  <c r="AU27" i="4"/>
  <c r="AN24" i="12" a="1"/>
  <c r="AN24" i="12"/>
  <c r="AN24" i="14"/>
  <c r="AJ35" i="12" a="1"/>
  <c r="AJ35" i="12"/>
  <c r="AJ35" i="14"/>
  <c r="AW34" i="4"/>
  <c r="AR13" i="13"/>
  <c r="AP14" i="13"/>
  <c r="AQ14" i="13"/>
  <c r="AU33" i="4"/>
  <c r="AT33" i="12"/>
  <c r="AT26" i="12"/>
  <c r="AW28" i="4"/>
  <c r="AU28" i="4" a="1"/>
  <c r="AU28" i="4"/>
  <c r="AN25" i="12" a="1"/>
  <c r="AN25" i="12"/>
  <c r="AN25" i="14"/>
  <c r="AW33" i="4"/>
  <c r="AR12" i="13"/>
  <c r="AP13" i="13"/>
  <c r="AQ13" i="13"/>
  <c r="AU32" i="4"/>
  <c r="AT32" i="12"/>
  <c r="AT27" i="12"/>
  <c r="AW29" i="4"/>
  <c r="AU29" i="4" a="1"/>
  <c r="AU29" i="4"/>
  <c r="AN26" i="12" a="1"/>
  <c r="AN26" i="12"/>
  <c r="AN26" i="14"/>
  <c r="X33" i="12" a="1"/>
  <c r="X33" i="12"/>
  <c r="X33" i="14"/>
  <c r="AW32" i="4"/>
  <c r="AR11" i="13"/>
  <c r="AR10" i="13"/>
  <c r="AP12" i="13"/>
  <c r="AQ12" i="13"/>
  <c r="AU31" i="4"/>
  <c r="AT31" i="12"/>
  <c r="AT28" i="12"/>
  <c r="AU30" i="4"/>
  <c r="AT30" i="12"/>
  <c r="AT29" i="12"/>
  <c r="H27" i="12" a="1"/>
  <c r="H27" i="12"/>
  <c r="H27" i="14"/>
  <c r="AN27" i="12" a="1"/>
  <c r="AN27" i="12"/>
  <c r="AN27" i="14"/>
  <c r="X32" i="12" a="1"/>
  <c r="X32" i="12"/>
  <c r="X32" i="14"/>
  <c r="AW30" i="4"/>
  <c r="AW31" i="4"/>
  <c r="AP11" i="13"/>
  <c r="AQ11" i="13"/>
  <c r="X29" i="12" a="1"/>
  <c r="X29" i="12"/>
  <c r="X29" i="14"/>
  <c r="X30" i="12" a="1"/>
  <c r="X30" i="12"/>
  <c r="X30" i="14"/>
  <c r="H28" i="12" a="1"/>
  <c r="H28" i="12"/>
  <c r="H28" i="14"/>
  <c r="X31" i="12" a="1"/>
  <c r="X31" i="12"/>
  <c r="X31" i="14"/>
  <c r="AR9" i="13"/>
  <c r="AP10" i="13"/>
  <c r="AQ10" i="13"/>
  <c r="AV8" i="13"/>
  <c r="AO49" i="4"/>
  <c r="D49" i="4"/>
  <c r="B49" i="4"/>
  <c r="C49" i="4"/>
  <c r="H54" i="1" l="1" a="1"/>
  <c r="H54" i="1" s="1"/>
  <c r="H43" i="10" s="1"/>
  <c r="H43" i="2" s="1"/>
  <c r="E54" i="1" a="1"/>
  <c r="E54" i="1" s="1"/>
  <c r="E43" i="10" s="1"/>
  <c r="E43" i="2" s="1"/>
  <c r="E47" i="3" s="1"/>
  <c r="E45" i="13" s="1"/>
  <c r="E44" i="4" s="1"/>
  <c r="E44" i="12" s="1" a="1"/>
  <c r="E44" i="12" s="1"/>
  <c r="E44" i="14" s="1"/>
  <c r="J54" i="1" a="1"/>
  <c r="J54" i="1" s="1"/>
  <c r="J43" i="10" s="1"/>
  <c r="J43" i="2" s="1"/>
  <c r="AG7" i="1" a="1"/>
  <c r="AG7" i="1" s="1"/>
  <c r="AH7" i="1" a="1"/>
  <c r="AH7" i="1" s="1"/>
  <c r="AL46" i="1" a="1"/>
  <c r="AL46" i="1" s="1"/>
  <c r="AL35" i="10" s="1"/>
  <c r="AL35" i="2" s="1"/>
  <c r="AM46" i="1" a="1"/>
  <c r="AM46" i="1" s="1"/>
  <c r="AM35" i="10" s="1"/>
  <c r="AM35" i="2" s="1"/>
  <c r="Y46" i="1" a="1"/>
  <c r="Y46" i="1" s="1"/>
  <c r="Y35" i="10" s="1"/>
  <c r="Y35" i="2" s="1"/>
  <c r="X46" i="1" a="1"/>
  <c r="X46" i="1" s="1"/>
  <c r="X35" i="10" s="1"/>
  <c r="X35" i="2" s="1"/>
  <c r="W46" i="1" a="1"/>
  <c r="W46" i="1" s="1"/>
  <c r="W35" i="10" s="1"/>
  <c r="W35" i="2" s="1"/>
  <c r="L5" i="1" a="1"/>
  <c r="L5" i="1" s="1"/>
  <c r="O5" i="1" a="1"/>
  <c r="O5" i="1" s="1"/>
  <c r="AI3" i="1" a="1"/>
  <c r="AI3" i="1" s="1"/>
  <c r="AD3" i="1" a="1"/>
  <c r="AD3" i="1" s="1"/>
  <c r="V54" i="1" a="1"/>
  <c r="V54" i="1" s="1"/>
  <c r="V43" i="10" s="1"/>
  <c r="V43" i="2" s="1"/>
  <c r="U54" i="1" a="1"/>
  <c r="U54" i="1" s="1"/>
  <c r="U43" i="10" s="1"/>
  <c r="U43" i="2" s="1"/>
  <c r="M7" i="1" a="1"/>
  <c r="M7" i="1" s="1"/>
  <c r="L7" i="1" a="1"/>
  <c r="L7" i="1" s="1"/>
  <c r="Q50" i="1" a="1"/>
  <c r="Q50" i="1" s="1"/>
  <c r="Q39" i="10" s="1"/>
  <c r="Q39" i="2" s="1"/>
  <c r="Q44" i="3" s="1"/>
  <c r="Q42" i="13" s="1"/>
  <c r="Q43" i="4" s="1"/>
  <c r="Q43" i="12" s="1" a="1"/>
  <c r="Q43" i="12" s="1"/>
  <c r="Q43" i="14" s="1"/>
  <c r="R50" i="1" a="1"/>
  <c r="R50" i="1" s="1"/>
  <c r="R39" i="10" s="1"/>
  <c r="R39" i="2" s="1"/>
  <c r="S43" i="1" a="1"/>
  <c r="S43" i="1" s="1"/>
  <c r="S32" i="10" s="1"/>
  <c r="S32" i="2" s="1"/>
  <c r="T44" i="1" a="1"/>
  <c r="T44" i="1" s="1"/>
  <c r="T33" i="10" s="1"/>
  <c r="T33" i="2" s="1"/>
  <c r="B28" i="1" a="1"/>
  <c r="B28" i="1" s="1"/>
  <c r="B17" i="10" s="1"/>
  <c r="B17" i="2" s="1"/>
  <c r="AJ28" i="1" a="1"/>
  <c r="AJ28" i="1" s="1"/>
  <c r="AJ17" i="10" s="1"/>
  <c r="AJ17" i="2" s="1"/>
  <c r="AJ22" i="3" s="1"/>
  <c r="AJ20" i="13" s="1"/>
  <c r="AJ21" i="4" s="1"/>
  <c r="O22" i="1" a="1"/>
  <c r="O22" i="1" s="1"/>
  <c r="O11" i="10" s="1"/>
  <c r="O11" i="2" s="1"/>
  <c r="N22" i="1" a="1"/>
  <c r="N22" i="1" s="1"/>
  <c r="N11" i="10" s="1"/>
  <c r="N11" i="2" s="1"/>
  <c r="N16" i="3" s="1"/>
  <c r="N14" i="13" s="1"/>
  <c r="N15" i="4" s="1"/>
  <c r="AJ53" i="1" a="1"/>
  <c r="AJ53" i="1" s="1"/>
  <c r="AJ42" i="10" s="1"/>
  <c r="AJ42" i="2" s="1"/>
  <c r="AJ47" i="3" s="1"/>
  <c r="AJ45" i="13" s="1"/>
  <c r="AJ46" i="4" s="1"/>
  <c r="AJ46" i="12" s="1" a="1"/>
  <c r="AJ46" i="12" s="1"/>
  <c r="AJ46" i="14" s="1"/>
  <c r="B53" i="1" a="1"/>
  <c r="B53" i="1" s="1"/>
  <c r="B42" i="10" s="1"/>
  <c r="B42" i="2" s="1"/>
  <c r="AF53" i="1" a="1"/>
  <c r="AF53" i="1" s="1"/>
  <c r="AF42" i="10" s="1"/>
  <c r="AF42" i="2" s="1"/>
  <c r="AG46" i="3" s="1"/>
  <c r="AG44" i="13" s="1"/>
  <c r="AG43" i="4" s="1"/>
  <c r="AG43" i="12" s="1" a="1"/>
  <c r="AG43" i="12" s="1"/>
  <c r="AG43" i="14" s="1"/>
  <c r="AE53" i="1" a="1"/>
  <c r="AE53" i="1" s="1"/>
  <c r="AE42" i="10" s="1"/>
  <c r="AE42" i="2" s="1"/>
  <c r="K5" i="1" a="1"/>
  <c r="K5" i="1" s="1"/>
  <c r="C35" i="1" s="1" a="1"/>
  <c r="C35" i="1" s="1"/>
  <c r="C24" i="10" s="1"/>
  <c r="C24" i="2" s="1"/>
  <c r="AM22" i="1" a="1"/>
  <c r="AM22" i="1" s="1"/>
  <c r="AM11" i="10" s="1"/>
  <c r="AM11" i="2" s="1"/>
  <c r="AN22" i="1" a="1"/>
  <c r="AN22" i="1" s="1"/>
  <c r="AN11" i="10" s="1"/>
  <c r="AN11" i="2" s="1"/>
  <c r="U43" i="1" a="1"/>
  <c r="U43" i="1" s="1"/>
  <c r="U32" i="10" s="1"/>
  <c r="U32" i="2" s="1"/>
  <c r="U44" i="1" a="1"/>
  <c r="U44" i="1" s="1"/>
  <c r="U33" i="10" s="1"/>
  <c r="U33" i="2" s="1"/>
  <c r="Q5" i="1" a="1"/>
  <c r="Q5" i="1" s="1"/>
  <c r="AC31" i="1" s="1" a="1"/>
  <c r="AC31" i="1" s="1"/>
  <c r="AC20" i="10" s="1"/>
  <c r="AC20" i="2" s="1"/>
  <c r="P5" i="1" a="1"/>
  <c r="P5" i="1" s="1"/>
  <c r="H22" i="1" a="1"/>
  <c r="H22" i="1" s="1"/>
  <c r="H11" i="10" s="1"/>
  <c r="H11" i="2" s="1"/>
  <c r="G22" i="1" a="1"/>
  <c r="G22" i="1" s="1"/>
  <c r="G11" i="10" s="1"/>
  <c r="G11" i="2" s="1"/>
  <c r="H15" i="3" s="1"/>
  <c r="H13" i="13" s="1"/>
  <c r="AH54" i="1" a="1"/>
  <c r="AH54" i="1" s="1"/>
  <c r="AH43" i="10" s="1"/>
  <c r="AH43" i="2" s="1"/>
  <c r="AG54" i="1" a="1"/>
  <c r="AG54" i="1" s="1"/>
  <c r="AG43" i="10" s="1"/>
  <c r="AG43" i="2" s="1"/>
  <c r="AG48" i="3" s="1"/>
  <c r="AG46" i="13" s="1"/>
  <c r="AG47" i="4" s="1"/>
  <c r="AG47" i="12" s="1" a="1"/>
  <c r="AG47" i="12" s="1"/>
  <c r="AG47" i="14" s="1"/>
  <c r="R43" i="1" a="1"/>
  <c r="R43" i="1" s="1"/>
  <c r="R32" i="10" s="1"/>
  <c r="R32" i="2" s="1"/>
  <c r="S36" i="3" s="1"/>
  <c r="S34" i="13" s="1"/>
  <c r="S33" i="4" s="1"/>
  <c r="S33" i="12" s="1" a="1"/>
  <c r="S33" i="12" s="1"/>
  <c r="S33" i="14" s="1"/>
  <c r="V44" i="1" a="1"/>
  <c r="V44" i="1" s="1"/>
  <c r="V33" i="10" s="1"/>
  <c r="V33" i="2" s="1"/>
  <c r="U47" i="1" a="1"/>
  <c r="U47" i="1" s="1"/>
  <c r="U36" i="10" s="1"/>
  <c r="U36" i="2" s="1"/>
  <c r="AD7" i="1" a="1"/>
  <c r="AD7" i="1" s="1"/>
  <c r="AI7" i="1" a="1"/>
  <c r="AI7" i="1" s="1"/>
  <c r="K7" i="1" a="1"/>
  <c r="K7" i="1" s="1"/>
  <c r="AT11" i="13" a="1"/>
  <c r="AT11" i="13" s="1"/>
  <c r="AT48" i="13" s="1"/>
  <c r="AT12" i="13" a="1"/>
  <c r="AT12" i="13" s="1"/>
  <c r="AN21" i="12" a="1"/>
  <c r="AN21" i="12" s="1"/>
  <c r="AN21" i="14" s="1"/>
  <c r="AM21" i="12" a="1"/>
  <c r="AM21" i="12" s="1"/>
  <c r="AM21" i="14" s="1"/>
  <c r="AJ21" i="12" a="1"/>
  <c r="AJ21" i="12" s="1"/>
  <c r="AJ21" i="14" s="1"/>
  <c r="AN20" i="12" a="1"/>
  <c r="AN20" i="12" s="1"/>
  <c r="AN20" i="14" s="1"/>
  <c r="AM20" i="12" a="1"/>
  <c r="AM20" i="12" s="1"/>
  <c r="AM20" i="14" s="1"/>
  <c r="T20" i="12" a="1"/>
  <c r="T20" i="12" s="1"/>
  <c r="T20" i="14" s="1"/>
  <c r="Z19" i="12" a="1"/>
  <c r="Z19" i="12" s="1"/>
  <c r="Z19" i="14" s="1"/>
  <c r="Y19" i="12" a="1"/>
  <c r="Y19" i="12" s="1"/>
  <c r="Y19" i="14" s="1"/>
  <c r="X19" i="12" a="1"/>
  <c r="X19" i="12" s="1"/>
  <c r="X19" i="14" s="1"/>
  <c r="W19" i="12" a="1"/>
  <c r="W19" i="12" s="1"/>
  <c r="W19" i="14" s="1"/>
  <c r="V19" i="12" a="1"/>
  <c r="V19" i="12" s="1"/>
  <c r="V19" i="14" s="1"/>
  <c r="U19" i="12" a="1"/>
  <c r="U19" i="12" s="1"/>
  <c r="U19" i="14" s="1"/>
  <c r="T19" i="12" a="1"/>
  <c r="T19" i="12" s="1"/>
  <c r="T19" i="14" s="1"/>
  <c r="S19" i="12" a="1"/>
  <c r="S19" i="12" s="1"/>
  <c r="S19" i="14" s="1"/>
  <c r="R19" i="12" a="1"/>
  <c r="R19" i="12" s="1"/>
  <c r="R19" i="14" s="1"/>
  <c r="Q19" i="12" a="1"/>
  <c r="Q19" i="12" s="1"/>
  <c r="Q19" i="14" s="1"/>
  <c r="P19" i="12" a="1"/>
  <c r="P19" i="12" s="1"/>
  <c r="P19" i="14" s="1"/>
  <c r="O19" i="12" a="1"/>
  <c r="O19" i="12" s="1"/>
  <c r="O19" i="14" s="1"/>
  <c r="N19" i="12" a="1"/>
  <c r="N19" i="12" s="1"/>
  <c r="N19" i="14" s="1"/>
  <c r="M19" i="12" a="1"/>
  <c r="M19" i="12" s="1"/>
  <c r="M19" i="14" s="1"/>
  <c r="L19" i="12" a="1"/>
  <c r="L19" i="12" s="1"/>
  <c r="L19" i="14" s="1"/>
  <c r="K19" i="12" a="1"/>
  <c r="K19" i="12" s="1"/>
  <c r="K19" i="14" s="1"/>
  <c r="J19" i="12" a="1"/>
  <c r="J19" i="12" s="1"/>
  <c r="J19" i="14" s="1"/>
  <c r="I19" i="12" a="1"/>
  <c r="I19" i="12" s="1"/>
  <c r="I19" i="14" s="1"/>
  <c r="Z18" i="12" a="1"/>
  <c r="Z18" i="12" s="1"/>
  <c r="Z18" i="14" s="1"/>
  <c r="Y18" i="12" a="1"/>
  <c r="Y18" i="12" s="1"/>
  <c r="Y18" i="14" s="1"/>
  <c r="X18" i="12" a="1"/>
  <c r="X18" i="12" s="1"/>
  <c r="X18" i="14" s="1"/>
  <c r="W18" i="12" a="1"/>
  <c r="W18" i="12" s="1"/>
  <c r="W18" i="14" s="1"/>
  <c r="V18" i="12" a="1"/>
  <c r="V18" i="12" s="1"/>
  <c r="V18" i="14" s="1"/>
  <c r="U18" i="12" a="1"/>
  <c r="U18" i="12" s="1"/>
  <c r="U18" i="14" s="1"/>
  <c r="T18" i="12" a="1"/>
  <c r="T18" i="12" s="1"/>
  <c r="T18" i="14" s="1"/>
  <c r="S18" i="12" a="1"/>
  <c r="S18" i="12" s="1"/>
  <c r="S18" i="14" s="1"/>
  <c r="R18" i="12" a="1"/>
  <c r="R18" i="12" s="1"/>
  <c r="R18" i="14" s="1"/>
  <c r="Q18" i="12" a="1"/>
  <c r="Q18" i="12" s="1"/>
  <c r="Q18" i="14" s="1"/>
  <c r="P18" i="12" a="1"/>
  <c r="P18" i="12" s="1"/>
  <c r="P18" i="14" s="1"/>
  <c r="O18" i="12" a="1"/>
  <c r="O18" i="12" s="1"/>
  <c r="O18" i="14" s="1"/>
  <c r="N18" i="12" a="1"/>
  <c r="N18" i="12" s="1"/>
  <c r="N18" i="14" s="1"/>
  <c r="M18" i="12" a="1"/>
  <c r="M18" i="12" s="1"/>
  <c r="M18" i="14" s="1"/>
  <c r="L18" i="12" a="1"/>
  <c r="L18" i="12" s="1"/>
  <c r="L18" i="14" s="1"/>
  <c r="K18" i="12" a="1"/>
  <c r="K18" i="12" s="1"/>
  <c r="K18" i="14" s="1"/>
  <c r="J18" i="12" a="1"/>
  <c r="J18" i="12" s="1"/>
  <c r="J18" i="14" s="1"/>
  <c r="I18" i="12" a="1"/>
  <c r="I18" i="12" s="1"/>
  <c r="I18" i="14" s="1"/>
  <c r="AJ17" i="12" a="1"/>
  <c r="AJ17" i="12" s="1"/>
  <c r="AJ17" i="14" s="1"/>
  <c r="Z17" i="12" a="1"/>
  <c r="Z17" i="12" s="1"/>
  <c r="Z17" i="14" s="1"/>
  <c r="Y17" i="12" a="1"/>
  <c r="Y17" i="12" s="1"/>
  <c r="Y17" i="14" s="1"/>
  <c r="X17" i="12" a="1"/>
  <c r="X17" i="12" s="1"/>
  <c r="X17" i="14" s="1"/>
  <c r="W17" i="12" a="1"/>
  <c r="W17" i="12" s="1"/>
  <c r="W17" i="14" s="1"/>
  <c r="V17" i="12" a="1"/>
  <c r="V17" i="12" s="1"/>
  <c r="V17" i="14" s="1"/>
  <c r="U17" i="12" a="1"/>
  <c r="U17" i="12" s="1"/>
  <c r="U17" i="14" s="1"/>
  <c r="T17" i="12" a="1"/>
  <c r="T17" i="12" s="1"/>
  <c r="T17" i="14" s="1"/>
  <c r="S17" i="12" a="1"/>
  <c r="S17" i="12" s="1"/>
  <c r="S17" i="14" s="1"/>
  <c r="R17" i="12" a="1"/>
  <c r="R17" i="12" s="1"/>
  <c r="R17" i="14" s="1"/>
  <c r="Q17" i="12" a="1"/>
  <c r="Q17" i="12" s="1"/>
  <c r="Q17" i="14" s="1"/>
  <c r="P17" i="12" a="1"/>
  <c r="P17" i="12" s="1"/>
  <c r="P17" i="14" s="1"/>
  <c r="O17" i="12" a="1"/>
  <c r="O17" i="12" s="1"/>
  <c r="O17" i="14" s="1"/>
  <c r="N17" i="12" a="1"/>
  <c r="N17" i="12" s="1"/>
  <c r="N17" i="14" s="1"/>
  <c r="M17" i="12" a="1"/>
  <c r="M17" i="12" s="1"/>
  <c r="M17" i="14" s="1"/>
  <c r="L17" i="12" a="1"/>
  <c r="L17" i="12" s="1"/>
  <c r="L17" i="14" s="1"/>
  <c r="K17" i="12" a="1"/>
  <c r="K17" i="12" s="1"/>
  <c r="K17" i="14" s="1"/>
  <c r="J17" i="12" a="1"/>
  <c r="J17" i="12" s="1"/>
  <c r="J17" i="14" s="1"/>
  <c r="I17" i="12" a="1"/>
  <c r="I17" i="12" s="1"/>
  <c r="I17" i="14" s="1"/>
  <c r="H17" i="12" a="1"/>
  <c r="H17" i="12" s="1"/>
  <c r="H17" i="14" s="1"/>
  <c r="AJ16" i="12" a="1"/>
  <c r="AJ16" i="12" s="1"/>
  <c r="AJ16" i="14" s="1"/>
  <c r="Y16" i="12" a="1"/>
  <c r="Y16" i="12" s="1"/>
  <c r="Y16" i="14" s="1"/>
  <c r="X16" i="12" a="1"/>
  <c r="X16" i="12" s="1"/>
  <c r="X16" i="14" s="1"/>
  <c r="T16" i="12" a="1"/>
  <c r="T16" i="12" s="1"/>
  <c r="T16" i="14" s="1"/>
  <c r="O16" i="12" a="1"/>
  <c r="O16" i="12" s="1"/>
  <c r="O16" i="14" s="1"/>
  <c r="N16" i="12" a="1"/>
  <c r="N16" i="12" s="1"/>
  <c r="N16" i="14" s="1"/>
  <c r="M16" i="12" a="1"/>
  <c r="M16" i="12" s="1"/>
  <c r="M16" i="14" s="1"/>
  <c r="AJ15" i="12" a="1"/>
  <c r="AJ15" i="12" s="1"/>
  <c r="AJ15" i="14" s="1"/>
  <c r="Y15" i="12" a="1"/>
  <c r="Y15" i="12" s="1"/>
  <c r="Y15" i="14" s="1"/>
  <c r="X15" i="12" a="1"/>
  <c r="X15" i="12" s="1"/>
  <c r="X15" i="14" s="1"/>
  <c r="T15" i="12" a="1"/>
  <c r="T15" i="12" s="1"/>
  <c r="T15" i="14" s="1"/>
  <c r="N15" i="12" a="1"/>
  <c r="N15" i="12" s="1"/>
  <c r="N15" i="14" s="1"/>
  <c r="M15" i="12" a="1"/>
  <c r="M15" i="12" s="1"/>
  <c r="M15" i="14" s="1"/>
  <c r="AJ14" i="12" a="1"/>
  <c r="AJ14" i="12" s="1"/>
  <c r="AJ14" i="14" s="1"/>
  <c r="Y14" i="12" a="1"/>
  <c r="Y14" i="12" s="1"/>
  <c r="Y14" i="14" s="1"/>
  <c r="X14" i="12" a="1"/>
  <c r="X14" i="12" s="1"/>
  <c r="X14" i="14" s="1"/>
  <c r="T14" i="12" a="1"/>
  <c r="T14" i="12" s="1"/>
  <c r="T14" i="14" s="1"/>
  <c r="M14" i="12" a="1"/>
  <c r="M14" i="12" s="1"/>
  <c r="M14" i="14" s="1"/>
  <c r="AJ13" i="12" a="1"/>
  <c r="AJ13" i="12" s="1"/>
  <c r="AJ13" i="14" s="1"/>
  <c r="Y13" i="12" a="1"/>
  <c r="Y13" i="12" s="1"/>
  <c r="Y13" i="14" s="1"/>
  <c r="X13" i="12" a="1"/>
  <c r="X13" i="12" s="1"/>
  <c r="X13" i="14" s="1"/>
  <c r="T13" i="12" a="1"/>
  <c r="T13" i="12" s="1"/>
  <c r="T13" i="14" s="1"/>
  <c r="M13" i="12" a="1"/>
  <c r="M13" i="12" s="1"/>
  <c r="M13" i="14" s="1"/>
  <c r="AJ12" i="12" a="1"/>
  <c r="AJ12" i="12" s="1"/>
  <c r="AJ12" i="14" s="1"/>
  <c r="AB12" i="12" a="1"/>
  <c r="AB12" i="12" s="1"/>
  <c r="AB12" i="14" s="1"/>
  <c r="AA12" i="12" a="1"/>
  <c r="AA12" i="12" s="1"/>
  <c r="AA12" i="14" s="1"/>
  <c r="Z12" i="12" a="1"/>
  <c r="Z12" i="12" s="1"/>
  <c r="Z12" i="14" s="1"/>
  <c r="Y12" i="12" a="1"/>
  <c r="Y12" i="12" s="1"/>
  <c r="Y12" i="14" s="1"/>
  <c r="X12" i="12" a="1"/>
  <c r="X12" i="12" s="1"/>
  <c r="X12" i="14" s="1"/>
  <c r="T12" i="12" a="1"/>
  <c r="T12" i="12" s="1"/>
  <c r="T12" i="14" s="1"/>
  <c r="S12" i="12" a="1"/>
  <c r="S12" i="12" s="1"/>
  <c r="S12" i="14" s="1"/>
  <c r="M12" i="12" a="1"/>
  <c r="M12" i="12" s="1"/>
  <c r="M12" i="14" s="1"/>
  <c r="L12" i="12" a="1"/>
  <c r="L12" i="12" s="1"/>
  <c r="L12" i="14" s="1"/>
  <c r="B11" i="12" a="1"/>
  <c r="B11" i="12" s="1"/>
  <c r="B11" i="14" s="1"/>
  <c r="AO11" i="12" a="1"/>
  <c r="AO11" i="12" s="1"/>
  <c r="AO11" i="14" s="1"/>
  <c r="AN11" i="12" a="1"/>
  <c r="AN11" i="12" s="1"/>
  <c r="AN11" i="14" s="1"/>
  <c r="AM11" i="12" a="1"/>
  <c r="AM11" i="12" s="1"/>
  <c r="AM11" i="14" s="1"/>
  <c r="AL11" i="12" a="1"/>
  <c r="AL11" i="12" s="1"/>
  <c r="AL11" i="14" s="1"/>
  <c r="AK11" i="12" a="1"/>
  <c r="AK11" i="12" s="1"/>
  <c r="AK11" i="14" s="1"/>
  <c r="AJ11" i="12" a="1"/>
  <c r="AJ11" i="12" s="1"/>
  <c r="AJ11" i="14" s="1"/>
  <c r="AI11" i="12" a="1"/>
  <c r="AI11" i="12" s="1"/>
  <c r="AI11" i="14" s="1"/>
  <c r="AH11" i="12" a="1"/>
  <c r="AH11" i="12" s="1"/>
  <c r="AH11" i="14" s="1"/>
  <c r="AG11" i="12" a="1"/>
  <c r="AG11" i="12" s="1"/>
  <c r="AG11" i="14" s="1"/>
  <c r="AF11" i="12" a="1"/>
  <c r="AF11" i="12" s="1"/>
  <c r="AF11" i="14" s="1"/>
  <c r="AE11" i="12" a="1"/>
  <c r="AE11" i="12" s="1"/>
  <c r="AE11" i="14" s="1"/>
  <c r="AD11" i="12" a="1"/>
  <c r="AD11" i="12" s="1"/>
  <c r="AD11" i="14" s="1"/>
  <c r="AC11" i="12" a="1"/>
  <c r="AC11" i="12" s="1"/>
  <c r="AC11" i="14" s="1"/>
  <c r="AB11" i="12" a="1"/>
  <c r="AB11" i="12" s="1"/>
  <c r="AB11" i="14" s="1"/>
  <c r="AA11" i="12" a="1"/>
  <c r="AA11" i="12" s="1"/>
  <c r="AA11" i="14" s="1"/>
  <c r="Z11" i="12" a="1"/>
  <c r="Z11" i="12" s="1"/>
  <c r="Z11" i="14" s="1"/>
  <c r="Y11" i="12" a="1"/>
  <c r="Y11" i="12" s="1"/>
  <c r="Y11" i="14" s="1"/>
  <c r="X11" i="12" a="1"/>
  <c r="X11" i="12" s="1"/>
  <c r="X11" i="14" s="1"/>
  <c r="W11" i="12" a="1"/>
  <c r="W11" i="12" s="1"/>
  <c r="W11" i="14" s="1"/>
  <c r="V11" i="12" a="1"/>
  <c r="V11" i="12" s="1"/>
  <c r="V11" i="14" s="1"/>
  <c r="U11" i="12" a="1"/>
  <c r="U11" i="12" s="1"/>
  <c r="U11" i="14" s="1"/>
  <c r="T11" i="12" a="1"/>
  <c r="T11" i="12" s="1"/>
  <c r="T11" i="14" s="1"/>
  <c r="S11" i="12" a="1"/>
  <c r="S11" i="12" s="1"/>
  <c r="S11" i="14" s="1"/>
  <c r="R11" i="12" a="1"/>
  <c r="R11" i="12" s="1"/>
  <c r="R11" i="14" s="1"/>
  <c r="Q11" i="12" a="1"/>
  <c r="Q11" i="12" s="1"/>
  <c r="Q11" i="14" s="1"/>
  <c r="P11" i="12" a="1"/>
  <c r="P11" i="12" s="1"/>
  <c r="P11" i="14" s="1"/>
  <c r="O11" i="12" a="1"/>
  <c r="O11" i="12" s="1"/>
  <c r="O11" i="14" s="1"/>
  <c r="N11" i="12" a="1"/>
  <c r="N11" i="12" s="1"/>
  <c r="N11" i="14" s="1"/>
  <c r="M11" i="12" a="1"/>
  <c r="M11" i="12" s="1"/>
  <c r="M11" i="14" s="1"/>
  <c r="L11" i="12" a="1"/>
  <c r="L11" i="12" s="1"/>
  <c r="L11" i="14" s="1"/>
  <c r="K11" i="12" a="1"/>
  <c r="K11" i="12" s="1"/>
  <c r="K11" i="14" s="1"/>
  <c r="J11" i="12" a="1"/>
  <c r="J11" i="12" s="1"/>
  <c r="J11" i="14" s="1"/>
  <c r="D11" i="12" a="1"/>
  <c r="D11" i="12" s="1"/>
  <c r="D11" i="14" s="1"/>
  <c r="C11" i="12" a="1"/>
  <c r="C11" i="12" s="1"/>
  <c r="C11" i="14" s="1"/>
  <c r="AU49" i="4"/>
  <c r="AT49" i="12" s="1"/>
  <c r="AT10" i="12"/>
  <c r="J50" i="1" a="1"/>
  <c r="J50" i="1" s="1"/>
  <c r="J39" i="10" s="1"/>
  <c r="J39" i="2" s="1"/>
  <c r="I50" i="1" a="1"/>
  <c r="I50" i="1" s="1"/>
  <c r="I39" i="10" s="1"/>
  <c r="I39" i="2" s="1"/>
  <c r="T43" i="1" a="1"/>
  <c r="T43" i="1" s="1"/>
  <c r="T32" i="10" s="1"/>
  <c r="T32" i="2" s="1"/>
  <c r="R44" i="1" a="1"/>
  <c r="R44" i="1" s="1"/>
  <c r="R33" i="10" s="1"/>
  <c r="R33" i="2" s="1"/>
  <c r="S44" i="1" a="1"/>
  <c r="S44" i="1" s="1"/>
  <c r="S33" i="10" s="1"/>
  <c r="S33" i="2" s="1"/>
  <c r="R45" i="1" a="1"/>
  <c r="R45" i="1" s="1"/>
  <c r="R34" i="10" s="1"/>
  <c r="R34" i="2" s="1"/>
  <c r="S45" i="1" a="1"/>
  <c r="S45" i="1" s="1"/>
  <c r="S34" i="10" s="1"/>
  <c r="S34" i="2" s="1"/>
  <c r="T45" i="1" a="1"/>
  <c r="T45" i="1" s="1"/>
  <c r="T34" i="10" s="1"/>
  <c r="T34" i="2" s="1"/>
  <c r="U45" i="1" a="1"/>
  <c r="U45" i="1" s="1"/>
  <c r="U34" i="10" s="1"/>
  <c r="U34" i="2" s="1"/>
  <c r="R46" i="1" a="1"/>
  <c r="R46" i="1" s="1"/>
  <c r="R35" i="10" s="1"/>
  <c r="R35" i="2" s="1"/>
  <c r="S46" i="1" a="1"/>
  <c r="S46" i="1" s="1"/>
  <c r="S35" i="10" s="1"/>
  <c r="S35" i="2" s="1"/>
  <c r="T46" i="1" a="1"/>
  <c r="T46" i="1" s="1"/>
  <c r="T35" i="10" s="1"/>
  <c r="T35" i="2" s="1"/>
  <c r="U46" i="1" a="1"/>
  <c r="U46" i="1" s="1"/>
  <c r="U35" i="10" s="1"/>
  <c r="U35" i="2" s="1"/>
  <c r="V46" i="1" a="1"/>
  <c r="V46" i="1" s="1"/>
  <c r="V35" i="10" s="1"/>
  <c r="V35" i="2" s="1"/>
  <c r="R47" i="1" a="1"/>
  <c r="R47" i="1" s="1"/>
  <c r="R36" i="10" s="1"/>
  <c r="R36" i="2" s="1"/>
  <c r="S47" i="1" a="1"/>
  <c r="S47" i="1" s="1"/>
  <c r="S36" i="10" s="1"/>
  <c r="S36" i="2" s="1"/>
  <c r="T47" i="1" a="1"/>
  <c r="T47" i="1" s="1"/>
  <c r="T36" i="10" s="1"/>
  <c r="T36" i="2" s="1"/>
  <c r="V47" i="1" a="1"/>
  <c r="V47" i="1" s="1"/>
  <c r="V36" i="10" s="1"/>
  <c r="V36" i="2" s="1"/>
  <c r="D43" i="1" a="1"/>
  <c r="D43" i="1" s="1"/>
  <c r="D32" i="10" s="1"/>
  <c r="D32" i="2" s="1"/>
  <c r="E43" i="1" a="1"/>
  <c r="E43" i="1" s="1"/>
  <c r="E32" i="10" s="1"/>
  <c r="E32" i="2" s="1"/>
  <c r="J38" i="1" a="1"/>
  <c r="J38" i="1" s="1"/>
  <c r="J27" i="10" s="1"/>
  <c r="J27" i="2" s="1"/>
  <c r="E30" i="1" a="1"/>
  <c r="E30" i="1" s="1"/>
  <c r="E19" i="10" s="1"/>
  <c r="E19" i="2" s="1"/>
  <c r="G30" i="1" a="1"/>
  <c r="G30" i="1" s="1"/>
  <c r="G19" i="10" s="1"/>
  <c r="G19" i="2" s="1"/>
  <c r="G54" i="1" a="1"/>
  <c r="G54" i="1" s="1"/>
  <c r="G43" i="10" s="1"/>
  <c r="G43" i="2" s="1"/>
  <c r="E55" i="1" a="1"/>
  <c r="E55" i="1" s="1"/>
  <c r="E44" i="10" s="1"/>
  <c r="E44" i="2" s="1"/>
  <c r="AE7" i="1" a="1"/>
  <c r="AE7" i="1" s="1"/>
  <c r="AF7" i="1" a="1"/>
  <c r="AF7" i="1" s="1"/>
  <c r="C30" i="1" a="1"/>
  <c r="C30" i="1" s="1"/>
  <c r="C19" i="10" s="1"/>
  <c r="C19" i="2" s="1"/>
  <c r="D30" i="1" a="1"/>
  <c r="D30" i="1" s="1"/>
  <c r="D19" i="10" s="1"/>
  <c r="D19" i="2" s="1"/>
  <c r="E23" i="3" s="1"/>
  <c r="E21" i="13" s="1"/>
  <c r="AL22" i="1" a="1"/>
  <c r="AL22" i="1" s="1"/>
  <c r="AL11" i="10" s="1"/>
  <c r="AL11" i="2" s="1"/>
  <c r="AM15" i="3" s="1"/>
  <c r="AM13" i="13" s="1"/>
  <c r="AM12" i="4" s="1"/>
  <c r="AM12" i="12" s="1" a="1"/>
  <c r="AM12" i="12" s="1"/>
  <c r="AM12" i="14" s="1"/>
  <c r="AN23" i="1" a="1"/>
  <c r="AN23" i="1" s="1"/>
  <c r="AN12" i="10" s="1"/>
  <c r="AN12" i="2" s="1"/>
  <c r="AK24" i="1" a="1"/>
  <c r="AK24" i="1" s="1"/>
  <c r="AK13" i="10" s="1"/>
  <c r="AK13" i="2" s="1"/>
  <c r="AK17" i="3" s="1"/>
  <c r="AK15" i="13" s="1"/>
  <c r="AK25" i="1" a="1"/>
  <c r="AK25" i="1" s="1"/>
  <c r="AK14" i="10" s="1"/>
  <c r="AK14" i="2" s="1"/>
  <c r="K48" i="1" a="1"/>
  <c r="K48" i="1" s="1"/>
  <c r="K37" i="10" s="1"/>
  <c r="K37" i="2" s="1"/>
  <c r="L48" i="1" a="1"/>
  <c r="L48" i="1" s="1"/>
  <c r="L37" i="10" s="1"/>
  <c r="L37" i="2" s="1"/>
  <c r="J43" i="1" a="1"/>
  <c r="J43" i="1" s="1"/>
  <c r="J32" i="10" s="1"/>
  <c r="J32" i="2" s="1"/>
  <c r="G44" i="1" a="1"/>
  <c r="G44" i="1" s="1"/>
  <c r="G33" i="10" s="1"/>
  <c r="G33" i="2" s="1"/>
  <c r="D46" i="1" a="1"/>
  <c r="D46" i="1" s="1"/>
  <c r="D35" i="10" s="1"/>
  <c r="D35" i="2" s="1"/>
  <c r="E46" i="1" a="1"/>
  <c r="E46" i="1" s="1"/>
  <c r="E35" i="10" s="1"/>
  <c r="E35" i="2" s="1"/>
  <c r="AB46" i="1" a="1"/>
  <c r="AB46" i="1" s="1"/>
  <c r="AB35" i="10" s="1"/>
  <c r="AB35" i="2" s="1"/>
  <c r="AA46" i="1" a="1"/>
  <c r="AA46" i="1" s="1"/>
  <c r="AA35" i="10" s="1"/>
  <c r="AA35" i="2" s="1"/>
  <c r="B30" i="1" a="1"/>
  <c r="B30" i="1" s="1"/>
  <c r="B19" i="10" s="1"/>
  <c r="B19" i="2" s="1"/>
  <c r="AK30" i="1" a="1"/>
  <c r="AK30" i="1" s="1"/>
  <c r="AK19" i="10" s="1"/>
  <c r="AK19" i="2" s="1"/>
  <c r="AK22" i="1" a="1"/>
  <c r="AK22" i="1" s="1"/>
  <c r="AK11" i="10" s="1"/>
  <c r="AK11" i="2" s="1"/>
  <c r="AL23" i="1" a="1"/>
  <c r="AL23" i="1" s="1"/>
  <c r="AL12" i="10" s="1"/>
  <c r="AL12" i="2" s="1"/>
  <c r="AM23" i="1" a="1"/>
  <c r="AM23" i="1" s="1"/>
  <c r="AM12" i="10" s="1"/>
  <c r="AM12" i="2" s="1"/>
  <c r="AL24" i="1" a="1"/>
  <c r="AL24" i="1" s="1"/>
  <c r="AL13" i="10" s="1"/>
  <c r="AL13" i="2" s="1"/>
  <c r="AM24" i="1" a="1"/>
  <c r="AM24" i="1" s="1"/>
  <c r="AM13" i="10" s="1"/>
  <c r="AM13" i="2" s="1"/>
  <c r="AN24" i="1" a="1"/>
  <c r="AN24" i="1" s="1"/>
  <c r="AN13" i="10" s="1"/>
  <c r="AN13" i="2" s="1"/>
  <c r="AL25" i="1" a="1"/>
  <c r="AL25" i="1" s="1"/>
  <c r="AL14" i="10" s="1"/>
  <c r="AL14" i="2" s="1"/>
  <c r="AL18" i="3" s="1"/>
  <c r="AL16" i="13" s="1"/>
  <c r="AM25" i="1" a="1"/>
  <c r="AM25" i="1" s="1"/>
  <c r="AM14" i="10" s="1"/>
  <c r="AM14" i="2" s="1"/>
  <c r="AN25" i="1" a="1"/>
  <c r="AN25" i="1" s="1"/>
  <c r="AN14" i="10" s="1"/>
  <c r="AN14" i="2" s="1"/>
  <c r="AA23" i="1" a="1"/>
  <c r="AA23" i="1" s="1"/>
  <c r="AA12" i="10" s="1"/>
  <c r="AA12" i="2" s="1"/>
  <c r="H23" i="1" a="1"/>
  <c r="H23" i="1" s="1"/>
  <c r="H12" i="10" s="1"/>
  <c r="H12" i="2" s="1"/>
  <c r="H17" i="3" s="1"/>
  <c r="H15" i="13" s="1"/>
  <c r="H16" i="4" s="1"/>
  <c r="H16" i="12" s="1" a="1"/>
  <c r="H16" i="12" s="1"/>
  <c r="H16" i="14" s="1"/>
  <c r="I23" i="1" a="1"/>
  <c r="I23" i="1" s="1"/>
  <c r="I12" i="10" s="1"/>
  <c r="I12" i="2" s="1"/>
  <c r="V22" i="1" a="1"/>
  <c r="V22" i="1" s="1"/>
  <c r="V11" i="10" s="1"/>
  <c r="V11" i="2" s="1"/>
  <c r="W15" i="3" s="1"/>
  <c r="W13" i="13" s="1"/>
  <c r="W12" i="4" s="1"/>
  <c r="W12" i="12" s="1" a="1"/>
  <c r="W12" i="12" s="1"/>
  <c r="W12" i="14" s="1"/>
  <c r="U22" i="1" a="1"/>
  <c r="U22" i="1" s="1"/>
  <c r="U11" i="10" s="1"/>
  <c r="U11" i="2" s="1"/>
  <c r="I54" i="1" a="1"/>
  <c r="I54" i="1" s="1"/>
  <c r="I43" i="10" s="1"/>
  <c r="I43" i="2" s="1"/>
  <c r="F54" i="1" a="1"/>
  <c r="F54" i="1" s="1"/>
  <c r="F43" i="10" s="1"/>
  <c r="F43" i="2" s="1"/>
  <c r="Z53" i="1" a="1"/>
  <c r="Z53" i="1" s="1"/>
  <c r="Z42" i="10" s="1"/>
  <c r="Z42" i="2" s="1"/>
  <c r="Z47" i="3" s="1"/>
  <c r="Z45" i="13" s="1"/>
  <c r="Z46" i="4" s="1"/>
  <c r="Z46" i="12" s="1" a="1"/>
  <c r="Z46" i="12" s="1"/>
  <c r="Z46" i="14" s="1"/>
  <c r="AA53" i="1" a="1"/>
  <c r="AA53" i="1" s="1"/>
  <c r="AA42" i="10" s="1"/>
  <c r="AA42" i="2" s="1"/>
  <c r="AB48" i="1" a="1"/>
  <c r="AB48" i="1" s="1"/>
  <c r="AB37" i="10" s="1"/>
  <c r="AB37" i="2" s="1"/>
  <c r="AA48" i="1" a="1"/>
  <c r="AA48" i="1" s="1"/>
  <c r="AA37" i="10" s="1"/>
  <c r="AA37" i="2" s="1"/>
  <c r="L43" i="1" a="1"/>
  <c r="L43" i="1" s="1"/>
  <c r="L32" i="10" s="1"/>
  <c r="L32" i="2" s="1"/>
  <c r="I44" i="1" a="1"/>
  <c r="I44" i="1" s="1"/>
  <c r="I33" i="10" s="1"/>
  <c r="I33" i="2" s="1"/>
  <c r="F45" i="1" a="1"/>
  <c r="F45" i="1" s="1"/>
  <c r="F34" i="10" s="1"/>
  <c r="F34" i="2" s="1"/>
  <c r="K45" i="1" a="1"/>
  <c r="K45" i="1" s="1"/>
  <c r="K34" i="10" s="1"/>
  <c r="K34" i="2" s="1"/>
  <c r="T7" i="1" a="1"/>
  <c r="T7" i="1" s="1"/>
  <c r="AL43" i="1" s="1" a="1"/>
  <c r="AL43" i="1" s="1"/>
  <c r="AL32" i="10" s="1"/>
  <c r="AL32" i="2" s="1"/>
  <c r="H31" i="1" a="1"/>
  <c r="H31" i="1" s="1"/>
  <c r="H20" i="10" s="1"/>
  <c r="H20" i="2" s="1"/>
  <c r="F32" i="1" a="1"/>
  <c r="F32" i="1" s="1"/>
  <c r="F21" i="10" s="1"/>
  <c r="F21" i="2" s="1"/>
  <c r="F33" i="1" a="1"/>
  <c r="F33" i="1" s="1"/>
  <c r="F22" i="10" s="1"/>
  <c r="F22" i="2" s="1"/>
  <c r="P23" i="1" a="1"/>
  <c r="P23" i="1" s="1"/>
  <c r="P12" i="10" s="1"/>
  <c r="P12" i="2" s="1"/>
  <c r="R23" i="1" a="1"/>
  <c r="R23" i="1" s="1"/>
  <c r="R12" i="10" s="1"/>
  <c r="R12" i="2" s="1"/>
  <c r="R17" i="3" s="1"/>
  <c r="R15" i="13" s="1"/>
  <c r="R16" i="4" s="1"/>
  <c r="R16" i="12" s="1" a="1"/>
  <c r="R16" i="12" s="1"/>
  <c r="R16" i="14" s="1"/>
  <c r="I22" i="1" a="1"/>
  <c r="I22" i="1" s="1"/>
  <c r="I11" i="10" s="1"/>
  <c r="I11" i="2" s="1"/>
  <c r="J22" i="1" a="1"/>
  <c r="J22" i="1" s="1"/>
  <c r="J11" i="10" s="1"/>
  <c r="J11" i="2" s="1"/>
  <c r="K15" i="3" s="1"/>
  <c r="K13" i="13" s="1"/>
  <c r="K12" i="4" s="1"/>
  <c r="K12" i="12" s="1" a="1"/>
  <c r="K12" i="12" s="1"/>
  <c r="K12" i="14" s="1"/>
  <c r="F43" i="1" a="1"/>
  <c r="F43" i="1" s="1"/>
  <c r="F32" i="10" s="1"/>
  <c r="F32" i="2" s="1"/>
  <c r="H43" i="1" a="1"/>
  <c r="H43" i="1" s="1"/>
  <c r="H32" i="10" s="1"/>
  <c r="H32" i="2" s="1"/>
  <c r="I43" i="1" a="1"/>
  <c r="I43" i="1" s="1"/>
  <c r="I32" i="10" s="1"/>
  <c r="I32" i="2" s="1"/>
  <c r="H44" i="1" a="1"/>
  <c r="H44" i="1" s="1"/>
  <c r="H33" i="10" s="1"/>
  <c r="H33" i="2" s="1"/>
  <c r="J44" i="1" a="1"/>
  <c r="J44" i="1" s="1"/>
  <c r="J33" i="10" s="1"/>
  <c r="J33" i="2" s="1"/>
  <c r="L44" i="1" a="1"/>
  <c r="L44" i="1" s="1"/>
  <c r="L33" i="10" s="1"/>
  <c r="L33" i="2" s="1"/>
  <c r="G45" i="1" a="1"/>
  <c r="G45" i="1" s="1"/>
  <c r="G34" i="10" s="1"/>
  <c r="G34" i="2" s="1"/>
  <c r="H45" i="1" a="1"/>
  <c r="H45" i="1" s="1"/>
  <c r="H34" i="10" s="1"/>
  <c r="H34" i="2" s="1"/>
  <c r="I45" i="1" a="1"/>
  <c r="I45" i="1" s="1"/>
  <c r="I34" i="10" s="1"/>
  <c r="I34" i="2" s="1"/>
  <c r="J45" i="1" a="1"/>
  <c r="J45" i="1" s="1"/>
  <c r="J34" i="10" s="1"/>
  <c r="J34" i="2" s="1"/>
  <c r="L45" i="1" a="1"/>
  <c r="L45" i="1" s="1"/>
  <c r="L34" i="10" s="1"/>
  <c r="L34" i="2" s="1"/>
  <c r="F46" i="1" a="1"/>
  <c r="F46" i="1" s="1"/>
  <c r="F35" i="10" s="1"/>
  <c r="F35" i="2" s="1"/>
  <c r="G46" i="1" a="1"/>
  <c r="G46" i="1" s="1"/>
  <c r="G35" i="10" s="1"/>
  <c r="G35" i="2" s="1"/>
  <c r="H46" i="1" a="1"/>
  <c r="H46" i="1" s="1"/>
  <c r="H35" i="10" s="1"/>
  <c r="H35" i="2" s="1"/>
  <c r="I46" i="1" a="1"/>
  <c r="I46" i="1" s="1"/>
  <c r="I35" i="10" s="1"/>
  <c r="I35" i="2" s="1"/>
  <c r="J46" i="1" a="1"/>
  <c r="J46" i="1" s="1"/>
  <c r="J35" i="10" s="1"/>
  <c r="J35" i="2" s="1"/>
  <c r="K46" i="1" a="1"/>
  <c r="K46" i="1" s="1"/>
  <c r="K35" i="10" s="1"/>
  <c r="K35" i="2" s="1"/>
  <c r="L46" i="1" a="1"/>
  <c r="L46" i="1" s="1"/>
  <c r="L35" i="10" s="1"/>
  <c r="L35" i="2" s="1"/>
  <c r="F47" i="1" a="1"/>
  <c r="F47" i="1" s="1"/>
  <c r="F36" i="10" s="1"/>
  <c r="F36" i="2" s="1"/>
  <c r="G47" i="1" a="1"/>
  <c r="G47" i="1" s="1"/>
  <c r="G36" i="10" s="1"/>
  <c r="G36" i="2" s="1"/>
  <c r="H47" i="1" a="1"/>
  <c r="H47" i="1" s="1"/>
  <c r="H36" i="10" s="1"/>
  <c r="H36" i="2" s="1"/>
  <c r="I47" i="1" a="1"/>
  <c r="I47" i="1" s="1"/>
  <c r="I36" i="10" s="1"/>
  <c r="I36" i="2" s="1"/>
  <c r="J47" i="1" a="1"/>
  <c r="J47" i="1" s="1"/>
  <c r="J36" i="10" s="1"/>
  <c r="J36" i="2" s="1"/>
  <c r="K47" i="1" a="1"/>
  <c r="K47" i="1" s="1"/>
  <c r="K36" i="10" s="1"/>
  <c r="K36" i="2" s="1"/>
  <c r="B46" i="1" a="1"/>
  <c r="B46" i="1" s="1"/>
  <c r="B35" i="10" s="1"/>
  <c r="B35" i="2" s="1"/>
  <c r="AK46" i="1" a="1"/>
  <c r="AK46" i="1" s="1"/>
  <c r="AK35" i="10" s="1"/>
  <c r="AK35" i="2" s="1"/>
  <c r="AK40" i="3" s="1"/>
  <c r="AK38" i="13" s="1"/>
  <c r="AK39" i="4" s="1"/>
  <c r="AK39" i="12" s="1" a="1"/>
  <c r="AK39" i="12" s="1"/>
  <c r="AK39" i="14" s="1"/>
  <c r="O46" i="1" a="1"/>
  <c r="O46" i="1" s="1"/>
  <c r="O35" i="10" s="1"/>
  <c r="O35" i="2" s="1"/>
  <c r="P46" i="1" a="1"/>
  <c r="P46" i="1" s="1"/>
  <c r="P35" i="10" s="1"/>
  <c r="P35" i="2" s="1"/>
  <c r="Q46" i="1" a="1"/>
  <c r="Q46" i="1" s="1"/>
  <c r="Q35" i="10" s="1"/>
  <c r="Q35" i="2" s="1"/>
  <c r="P43" i="1" a="1"/>
  <c r="P43" i="1" s="1"/>
  <c r="P32" i="10" s="1"/>
  <c r="P32" i="2" s="1"/>
  <c r="Q43" i="1" a="1"/>
  <c r="Q43" i="1" s="1"/>
  <c r="Q32" i="10" s="1"/>
  <c r="Q32" i="2" s="1"/>
  <c r="AL38" i="1" a="1"/>
  <c r="AL38" i="1" s="1"/>
  <c r="AL27" i="10" s="1"/>
  <c r="AL27" i="2" s="1"/>
  <c r="AI40" i="1" a="1"/>
  <c r="AI40" i="1" s="1"/>
  <c r="AI29" i="10" s="1"/>
  <c r="AI29" i="2" s="1"/>
  <c r="AJ40" i="1" a="1"/>
  <c r="AJ40" i="1" s="1"/>
  <c r="AJ29" i="10" s="1"/>
  <c r="AJ29" i="2" s="1"/>
  <c r="AK40" i="1" a="1"/>
  <c r="AK40" i="1" s="1"/>
  <c r="AK29" i="10" s="1"/>
  <c r="AK29" i="2" s="1"/>
  <c r="AL40" i="1" a="1"/>
  <c r="AL40" i="1" s="1"/>
  <c r="AL29" i="10" s="1"/>
  <c r="AL29" i="2" s="1"/>
  <c r="AI41" i="1" a="1"/>
  <c r="AI41" i="1" s="1"/>
  <c r="AI30" i="10" s="1"/>
  <c r="AI30" i="2" s="1"/>
  <c r="AJ41" i="1" a="1"/>
  <c r="AJ41" i="1" s="1"/>
  <c r="AJ30" i="10" s="1"/>
  <c r="AJ30" i="2" s="1"/>
  <c r="AI5" i="1" a="1"/>
  <c r="AI5" i="1" s="1"/>
  <c r="AJ5" i="1" a="1"/>
  <c r="AJ5" i="1" s="1"/>
  <c r="AJ39" i="1" s="1" a="1"/>
  <c r="AJ39" i="1" s="1"/>
  <c r="AJ28" i="10" s="1"/>
  <c r="AJ28" i="2" s="1"/>
  <c r="D38" i="1" a="1"/>
  <c r="D38" i="1" s="1"/>
  <c r="D27" i="10" s="1"/>
  <c r="D27" i="2" s="1"/>
  <c r="B38" i="1" a="1"/>
  <c r="B38" i="1" s="1"/>
  <c r="B27" i="10" s="1"/>
  <c r="B27" i="2" s="1"/>
  <c r="C38" i="1" a="1"/>
  <c r="C38" i="1" s="1"/>
  <c r="C27" i="10" s="1"/>
  <c r="C27" i="2" s="1"/>
  <c r="AK34" i="1" a="1"/>
  <c r="AK34" i="1" s="1"/>
  <c r="AK23" i="10" s="1"/>
  <c r="AK23" i="2" s="1"/>
  <c r="B34" i="1" a="1"/>
  <c r="B34" i="1" s="1"/>
  <c r="B23" i="10" s="1"/>
  <c r="B23" i="2" s="1"/>
  <c r="AL34" i="1" a="1"/>
  <c r="AL34" i="1" s="1"/>
  <c r="AL23" i="10" s="1"/>
  <c r="AL23" i="2" s="1"/>
  <c r="F30" i="1" a="1"/>
  <c r="F30" i="1" s="1"/>
  <c r="F19" i="10" s="1"/>
  <c r="F19" i="2" s="1"/>
  <c r="E31" i="1" a="1"/>
  <c r="E31" i="1" s="1"/>
  <c r="E20" i="10" s="1"/>
  <c r="E20" i="2" s="1"/>
  <c r="F31" i="1" a="1"/>
  <c r="F31" i="1" s="1"/>
  <c r="F20" i="10" s="1"/>
  <c r="F20" i="2" s="1"/>
  <c r="G31" i="1" a="1"/>
  <c r="G31" i="1" s="1"/>
  <c r="G20" i="10" s="1"/>
  <c r="G20" i="2" s="1"/>
  <c r="E32" i="1" a="1"/>
  <c r="E32" i="1" s="1"/>
  <c r="E21" i="10" s="1"/>
  <c r="E21" i="2" s="1"/>
  <c r="G32" i="1" a="1"/>
  <c r="G32" i="1" s="1"/>
  <c r="G21" i="10" s="1"/>
  <c r="G21" i="2" s="1"/>
  <c r="H32" i="1" a="1"/>
  <c r="H32" i="1" s="1"/>
  <c r="H21" i="10" s="1"/>
  <c r="H21" i="2" s="1"/>
  <c r="E33" i="1" a="1"/>
  <c r="E33" i="1" s="1"/>
  <c r="E22" i="10" s="1"/>
  <c r="E22" i="2" s="1"/>
  <c r="G33" i="1" a="1"/>
  <c r="G33" i="1" s="1"/>
  <c r="G22" i="10" s="1"/>
  <c r="G22" i="2" s="1"/>
  <c r="H33" i="1" a="1"/>
  <c r="H33" i="1" s="1"/>
  <c r="H22" i="10" s="1"/>
  <c r="H22" i="2" s="1"/>
  <c r="AF5" i="1" a="1"/>
  <c r="AF5" i="1" s="1"/>
  <c r="N39" i="1" s="1" a="1"/>
  <c r="N39" i="1" s="1"/>
  <c r="N28" i="10" s="1"/>
  <c r="N28" i="2" s="1"/>
  <c r="AG5" i="1" a="1"/>
  <c r="AG5" i="1" s="1"/>
  <c r="V36" i="1" s="1" a="1"/>
  <c r="V36" i="1" s="1"/>
  <c r="V25" i="10" s="1"/>
  <c r="V25" i="2" s="1"/>
  <c r="AF28" i="1" a="1"/>
  <c r="AF28" i="1" s="1"/>
  <c r="AF17" i="10" s="1"/>
  <c r="AF17" i="2" s="1"/>
  <c r="AG28" i="1" a="1"/>
  <c r="AG28" i="1" s="1"/>
  <c r="AG17" i="10" s="1"/>
  <c r="AG17" i="2" s="1"/>
  <c r="AB23" i="1" a="1"/>
  <c r="AB23" i="1" s="1"/>
  <c r="AB12" i="10" s="1"/>
  <c r="AB12" i="2" s="1"/>
  <c r="V23" i="1" a="1"/>
  <c r="V23" i="1" s="1"/>
  <c r="V12" i="10" s="1"/>
  <c r="V12" i="2" s="1"/>
  <c r="U23" i="1" a="1"/>
  <c r="U23" i="1" s="1"/>
  <c r="U12" i="10" s="1"/>
  <c r="U12" i="2" s="1"/>
  <c r="J23" i="1" a="1"/>
  <c r="J23" i="1" s="1"/>
  <c r="J12" i="10" s="1"/>
  <c r="J12" i="2" s="1"/>
  <c r="K23" i="1" a="1"/>
  <c r="K23" i="1" s="1"/>
  <c r="K12" i="10" s="1"/>
  <c r="K12" i="2" s="1"/>
  <c r="W54" i="1" a="1"/>
  <c r="W54" i="1" s="1"/>
  <c r="W43" i="10" s="1"/>
  <c r="W43" i="2" s="1"/>
  <c r="X54" i="1" a="1"/>
  <c r="X54" i="1" s="1"/>
  <c r="X43" i="10" s="1"/>
  <c r="X43" i="2" s="1"/>
  <c r="AG46" i="1" a="1"/>
  <c r="AG46" i="1" s="1"/>
  <c r="AG35" i="10" s="1"/>
  <c r="AG35" i="2" s="1"/>
  <c r="AH46" i="1" a="1"/>
  <c r="AH46" i="1" s="1"/>
  <c r="AH35" i="10" s="1"/>
  <c r="AH35" i="2" s="1"/>
  <c r="Q7" i="1" a="1"/>
  <c r="Q7" i="1" s="1"/>
  <c r="R7" i="1" a="1"/>
  <c r="R7" i="1" s="1"/>
  <c r="Q38" i="1" a="1"/>
  <c r="Q38" i="1" s="1"/>
  <c r="Q27" i="10" s="1"/>
  <c r="Q27" i="2" s="1"/>
  <c r="R38" i="1" a="1"/>
  <c r="R38" i="1" s="1"/>
  <c r="R27" i="10" s="1"/>
  <c r="R27" i="2" s="1"/>
  <c r="AB33" i="1" a="1"/>
  <c r="AB33" i="1" s="1"/>
  <c r="AB22" i="10" s="1"/>
  <c r="AB22" i="2" s="1"/>
  <c r="AD34" i="1" a="1"/>
  <c r="AD34" i="1" s="1"/>
  <c r="AD23" i="10" s="1"/>
  <c r="AD23" i="2" s="1"/>
  <c r="AA35" i="1" a="1"/>
  <c r="AA35" i="1" s="1"/>
  <c r="AA24" i="10" s="1"/>
  <c r="AA24" i="2" s="1"/>
  <c r="AB35" i="1" a="1"/>
  <c r="AB35" i="1" s="1"/>
  <c r="AB24" i="10" s="1"/>
  <c r="AB24" i="2" s="1"/>
  <c r="AC35" i="1" a="1"/>
  <c r="AC35" i="1" s="1"/>
  <c r="AC24" i="10" s="1"/>
  <c r="AC24" i="2" s="1"/>
  <c r="AD35" i="1" a="1"/>
  <c r="AD35" i="1" s="1"/>
  <c r="AD24" i="10" s="1"/>
  <c r="AD24" i="2" s="1"/>
  <c r="AF35" i="1" a="1"/>
  <c r="AF35" i="1" s="1"/>
  <c r="AF24" i="10" s="1"/>
  <c r="AF24" i="2" s="1"/>
  <c r="AA36" i="1" a="1"/>
  <c r="AA36" i="1" s="1"/>
  <c r="AA25" i="10" s="1"/>
  <c r="AA25" i="2" s="1"/>
  <c r="AB36" i="1" a="1"/>
  <c r="AB36" i="1" s="1"/>
  <c r="AB25" i="10" s="1"/>
  <c r="AB25" i="2" s="1"/>
  <c r="AC36" i="1" a="1"/>
  <c r="AC36" i="1" s="1"/>
  <c r="AC25" i="10" s="1"/>
  <c r="AC25" i="2" s="1"/>
  <c r="AD36" i="1" a="1"/>
  <c r="AD36" i="1" s="1"/>
  <c r="AD25" i="10" s="1"/>
  <c r="AD25" i="2" s="1"/>
  <c r="AF36" i="1" a="1"/>
  <c r="AF36" i="1" s="1"/>
  <c r="AF25" i="10" s="1"/>
  <c r="AF25" i="2" s="1"/>
  <c r="AA37" i="1" a="1"/>
  <c r="AA37" i="1" s="1"/>
  <c r="AA26" i="10" s="1"/>
  <c r="AA26" i="2" s="1"/>
  <c r="AB37" i="1" a="1"/>
  <c r="AB37" i="1" s="1"/>
  <c r="AB26" i="10" s="1"/>
  <c r="AB26" i="2" s="1"/>
  <c r="AC37" i="1" a="1"/>
  <c r="AC37" i="1" s="1"/>
  <c r="AC26" i="10" s="1"/>
  <c r="AC26" i="2" s="1"/>
  <c r="AD37" i="1" a="1"/>
  <c r="AD37" i="1" s="1"/>
  <c r="AD26" i="10" s="1"/>
  <c r="AD26" i="2" s="1"/>
  <c r="AE37" i="1" a="1"/>
  <c r="AE37" i="1" s="1"/>
  <c r="AE26" i="10" s="1"/>
  <c r="AE26" i="2" s="1"/>
  <c r="M5" i="1" a="1"/>
  <c r="M5" i="1" s="1"/>
  <c r="N5" i="1" a="1"/>
  <c r="N5" i="1" s="1"/>
  <c r="AG30" i="1" a="1"/>
  <c r="AG30" i="1" s="1"/>
  <c r="AG19" i="10" s="1"/>
  <c r="AG19" i="2" s="1"/>
  <c r="AG24" i="3" s="1"/>
  <c r="AG22" i="13" s="1"/>
  <c r="AH30" i="1" a="1"/>
  <c r="AH30" i="1" s="1"/>
  <c r="AH19" i="10" s="1"/>
  <c r="AH19" i="2" s="1"/>
  <c r="AL26" i="1" a="1"/>
  <c r="AL26" i="1" s="1"/>
  <c r="AL15" i="10" s="1"/>
  <c r="AL15" i="2" s="1"/>
  <c r="AM26" i="1" a="1"/>
  <c r="AM26" i="1" s="1"/>
  <c r="AM15" i="10" s="1"/>
  <c r="AM15" i="2" s="1"/>
  <c r="K3" i="1" a="1"/>
  <c r="K3" i="1" s="1"/>
  <c r="AO23" i="1" s="1" a="1"/>
  <c r="AO23" i="1" s="1"/>
  <c r="AO12" i="10" s="1"/>
  <c r="AO12" i="2" s="1"/>
  <c r="R3" i="1" a="1"/>
  <c r="R3" i="1" s="1"/>
  <c r="P22" i="1" a="1"/>
  <c r="P22" i="1" s="1"/>
  <c r="P11" i="10" s="1"/>
  <c r="P11" i="2" s="1"/>
  <c r="P16" i="3" s="1"/>
  <c r="P14" i="13" s="1"/>
  <c r="Q22" i="1" a="1"/>
  <c r="Q22" i="1" s="1"/>
  <c r="Q11" i="10" s="1"/>
  <c r="Q11" i="2" s="1"/>
  <c r="E19" i="1" a="1"/>
  <c r="E19" i="1" s="1"/>
  <c r="F19" i="1" a="1"/>
  <c r="F19" i="1" s="1"/>
  <c r="F8" i="10" s="1"/>
  <c r="F8" i="2" s="1"/>
  <c r="G19" i="1" a="1"/>
  <c r="G19" i="1" s="1"/>
  <c r="G8" i="10" s="1"/>
  <c r="G8" i="2" s="1"/>
  <c r="H19" i="1" a="1"/>
  <c r="H19" i="1" s="1"/>
  <c r="H8" i="10" s="1"/>
  <c r="H8" i="2" s="1"/>
  <c r="R30" i="1" l="1" a="1"/>
  <c r="R30" i="1" s="1"/>
  <c r="R19" i="10" s="1"/>
  <c r="R19" i="2" s="1"/>
  <c r="S23" i="3" s="1"/>
  <c r="S21" i="13" s="1"/>
  <c r="S20" i="4" s="1"/>
  <c r="S20" i="12" s="1" a="1"/>
  <c r="S20" i="12" s="1"/>
  <c r="S20" i="14" s="1"/>
  <c r="R34" i="1" a="1"/>
  <c r="R34" i="1" s="1"/>
  <c r="R23" i="10" s="1"/>
  <c r="R23" i="2" s="1"/>
  <c r="AH41" i="1" a="1"/>
  <c r="AH41" i="1" s="1"/>
  <c r="AH30" i="10" s="1"/>
  <c r="AH30" i="2" s="1"/>
  <c r="AH43" i="1" a="1"/>
  <c r="AH43" i="1" s="1"/>
  <c r="AH32" i="10" s="1"/>
  <c r="AH32" i="2" s="1"/>
  <c r="AI37" i="3" s="1"/>
  <c r="AI35" i="13" s="1"/>
  <c r="N40" i="1" a="1"/>
  <c r="N40" i="1" s="1"/>
  <c r="N29" i="10" s="1"/>
  <c r="N29" i="2" s="1"/>
  <c r="I42" i="1" a="1"/>
  <c r="I42" i="1" s="1"/>
  <c r="I31" i="10" s="1"/>
  <c r="I31" i="2" s="1"/>
  <c r="C28" i="1" a="1"/>
  <c r="C28" i="1" s="1"/>
  <c r="C17" i="10" s="1"/>
  <c r="C17" i="2" s="1"/>
  <c r="D28" i="1" a="1"/>
  <c r="D28" i="1" s="1"/>
  <c r="D17" i="10" s="1"/>
  <c r="D17" i="2" s="1"/>
  <c r="E22" i="3" s="1"/>
  <c r="E20" i="13" s="1"/>
  <c r="E28" i="1" a="1"/>
  <c r="E28" i="1" s="1"/>
  <c r="E17" i="10" s="1"/>
  <c r="E17" i="2" s="1"/>
  <c r="G28" i="1" a="1"/>
  <c r="G28" i="1" s="1"/>
  <c r="G17" i="10" s="1"/>
  <c r="G17" i="2" s="1"/>
  <c r="AO28" i="1" a="1"/>
  <c r="AO28" i="1" s="1"/>
  <c r="AO17" i="10" s="1"/>
  <c r="AO17" i="2" s="1"/>
  <c r="AO22" i="3" s="1"/>
  <c r="AO20" i="13" s="1"/>
  <c r="C29" i="1" a="1"/>
  <c r="C29" i="1" s="1"/>
  <c r="C18" i="10" s="1"/>
  <c r="C18" i="2" s="1"/>
  <c r="F29" i="1" a="1"/>
  <c r="F29" i="1" s="1"/>
  <c r="F18" i="10" s="1"/>
  <c r="F18" i="2" s="1"/>
  <c r="F28" i="1" a="1"/>
  <c r="F28" i="1" s="1"/>
  <c r="F17" i="10" s="1"/>
  <c r="F17" i="2" s="1"/>
  <c r="G22" i="3" s="1"/>
  <c r="G20" i="13" s="1"/>
  <c r="Z23" i="1" a="1"/>
  <c r="Z23" i="1" s="1"/>
  <c r="Z12" i="10" s="1"/>
  <c r="Z12" i="2" s="1"/>
  <c r="AB24" i="1" a="1"/>
  <c r="AB24" i="1" s="1"/>
  <c r="AB13" i="10" s="1"/>
  <c r="AB13" i="2" s="1"/>
  <c r="AA25" i="1" a="1"/>
  <c r="AA25" i="1" s="1"/>
  <c r="AA14" i="10" s="1"/>
  <c r="AA14" i="2" s="1"/>
  <c r="AB25" i="1" a="1"/>
  <c r="AB25" i="1" s="1"/>
  <c r="AB14" i="10" s="1"/>
  <c r="AB14" i="2" s="1"/>
  <c r="AA26" i="1" a="1"/>
  <c r="AA26" i="1" s="1"/>
  <c r="AA15" i="10" s="1"/>
  <c r="AA15" i="2" s="1"/>
  <c r="AB26" i="1" a="1"/>
  <c r="AB26" i="1" s="1"/>
  <c r="AB15" i="10" s="1"/>
  <c r="AB15" i="2" s="1"/>
  <c r="AA27" i="1" a="1"/>
  <c r="AA27" i="1" s="1"/>
  <c r="AA16" i="10" s="1"/>
  <c r="AA16" i="2" s="1"/>
  <c r="AB27" i="1" a="1"/>
  <c r="AB27" i="1" s="1"/>
  <c r="AB16" i="10" s="1"/>
  <c r="AB16" i="2" s="1"/>
  <c r="AB28" i="1" a="1"/>
  <c r="AB28" i="1" s="1"/>
  <c r="AB17" i="10" s="1"/>
  <c r="AB17" i="2" s="1"/>
  <c r="AA29" i="1" a="1"/>
  <c r="AA29" i="1" s="1"/>
  <c r="AA18" i="10" s="1"/>
  <c r="AA18" i="2" s="1"/>
  <c r="AC29" i="1" a="1"/>
  <c r="AC29" i="1" s="1"/>
  <c r="AC18" i="10" s="1"/>
  <c r="AC18" i="2" s="1"/>
  <c r="AD22" i="3" s="1"/>
  <c r="AD20" i="13" s="1"/>
  <c r="AE29" i="1" a="1"/>
  <c r="AE29" i="1" s="1"/>
  <c r="AE18" i="10" s="1"/>
  <c r="AE18" i="2" s="1"/>
  <c r="T31" i="1" a="1"/>
  <c r="T31" i="1" s="1"/>
  <c r="T20" i="10" s="1"/>
  <c r="T20" i="2" s="1"/>
  <c r="T24" i="3" s="1"/>
  <c r="T22" i="13" s="1"/>
  <c r="T21" i="4" s="1"/>
  <c r="T21" i="12" s="1" a="1"/>
  <c r="T21" i="12" s="1"/>
  <c r="T21" i="14" s="1"/>
  <c r="S32" i="1" a="1"/>
  <c r="S32" i="1" s="1"/>
  <c r="S21" i="10" s="1"/>
  <c r="S21" i="2" s="1"/>
  <c r="T32" i="1" a="1"/>
  <c r="T32" i="1" s="1"/>
  <c r="T21" i="10" s="1"/>
  <c r="T21" i="2" s="1"/>
  <c r="H30" i="1" a="1"/>
  <c r="H30" i="1" s="1"/>
  <c r="H19" i="10" s="1"/>
  <c r="H19" i="2" s="1"/>
  <c r="H23" i="3" s="1"/>
  <c r="H21" i="13" s="1"/>
  <c r="F34" i="1" a="1"/>
  <c r="F34" i="1" s="1"/>
  <c r="F23" i="10" s="1"/>
  <c r="F23" i="2" s="1"/>
  <c r="AN40" i="3"/>
  <c r="AN38" i="13" s="1"/>
  <c r="AN39" i="3"/>
  <c r="AN37" i="13" s="1"/>
  <c r="AM40" i="3"/>
  <c r="AM38" i="13" s="1"/>
  <c r="AM39" i="3"/>
  <c r="AM37" i="13" s="1"/>
  <c r="V43" i="1" a="1"/>
  <c r="V43" i="1" s="1"/>
  <c r="V32" i="10" s="1"/>
  <c r="V32" i="2" s="1"/>
  <c r="X44" i="1" a="1"/>
  <c r="X44" i="1" s="1"/>
  <c r="X33" i="10" s="1"/>
  <c r="X33" i="2" s="1"/>
  <c r="Y44" i="1" a="1"/>
  <c r="Y44" i="1" s="1"/>
  <c r="Y33" i="10" s="1"/>
  <c r="Y33" i="2" s="1"/>
  <c r="W45" i="1" a="1"/>
  <c r="W45" i="1" s="1"/>
  <c r="W34" i="10" s="1"/>
  <c r="W34" i="2" s="1"/>
  <c r="X45" i="1" a="1"/>
  <c r="X45" i="1" s="1"/>
  <c r="X34" i="10" s="1"/>
  <c r="X34" i="2" s="1"/>
  <c r="Y45" i="1" a="1"/>
  <c r="Y45" i="1" s="1"/>
  <c r="Y34" i="10" s="1"/>
  <c r="Y34" i="2" s="1"/>
  <c r="W47" i="1" a="1"/>
  <c r="W47" i="1" s="1"/>
  <c r="W36" i="10" s="1"/>
  <c r="W36" i="2" s="1"/>
  <c r="X47" i="1" a="1"/>
  <c r="X47" i="1" s="1"/>
  <c r="X36" i="10" s="1"/>
  <c r="X36" i="2" s="1"/>
  <c r="Y47" i="1" a="1"/>
  <c r="Y47" i="1" s="1"/>
  <c r="Y36" i="10" s="1"/>
  <c r="Y36" i="2" s="1"/>
  <c r="Z47" i="1" a="1"/>
  <c r="Z47" i="1" s="1"/>
  <c r="Z36" i="10" s="1"/>
  <c r="Z36" i="2" s="1"/>
  <c r="V48" i="1" a="1"/>
  <c r="V48" i="1" s="1"/>
  <c r="V37" i="10" s="1"/>
  <c r="V37" i="2" s="1"/>
  <c r="W42" i="3" s="1"/>
  <c r="W40" i="13" s="1"/>
  <c r="W41" i="4" s="1"/>
  <c r="W41" i="12" s="1" a="1"/>
  <c r="W41" i="12" s="1"/>
  <c r="W41" i="14" s="1"/>
  <c r="X48" i="1" a="1"/>
  <c r="X48" i="1" s="1"/>
  <c r="X37" i="10" s="1"/>
  <c r="X37" i="2" s="1"/>
  <c r="Y49" i="1" a="1"/>
  <c r="Y49" i="1" s="1"/>
  <c r="Y38" i="10" s="1"/>
  <c r="Y38" i="2" s="1"/>
  <c r="Y43" i="3" s="1"/>
  <c r="Y41" i="13" s="1"/>
  <c r="V45" i="1" a="1"/>
  <c r="V45" i="1" s="1"/>
  <c r="V34" i="10" s="1"/>
  <c r="V34" i="2" s="1"/>
  <c r="S48" i="1" a="1"/>
  <c r="S48" i="1" s="1"/>
  <c r="S37" i="10" s="1"/>
  <c r="S37" i="2" s="1"/>
  <c r="T42" i="3" s="1"/>
  <c r="T40" i="13" s="1"/>
  <c r="T41" i="4" s="1"/>
  <c r="T41" i="12" s="1" a="1"/>
  <c r="T41" i="12" s="1"/>
  <c r="T41" i="14" s="1"/>
  <c r="T48" i="1" a="1"/>
  <c r="T48" i="1" s="1"/>
  <c r="T37" i="10" s="1"/>
  <c r="T37" i="2" s="1"/>
  <c r="R49" i="1" a="1"/>
  <c r="R49" i="1" s="1"/>
  <c r="R38" i="10" s="1"/>
  <c r="R38" i="2" s="1"/>
  <c r="S42" i="3" s="1"/>
  <c r="S40" i="13" s="1"/>
  <c r="U49" i="1" a="1"/>
  <c r="U49" i="1" s="1"/>
  <c r="U38" i="10" s="1"/>
  <c r="U38" i="2" s="1"/>
  <c r="K48" i="3"/>
  <c r="K46" i="13" s="1"/>
  <c r="K47" i="3"/>
  <c r="K45" i="13" s="1"/>
  <c r="K44" i="4" s="1"/>
  <c r="K44" i="12" s="1" a="1"/>
  <c r="K44" i="12" s="1"/>
  <c r="K44" i="14" s="1"/>
  <c r="AO30" i="1" a="1"/>
  <c r="AO30" i="1" s="1"/>
  <c r="AO19" i="10" s="1"/>
  <c r="AO19" i="2" s="1"/>
  <c r="AO23" i="3" s="1"/>
  <c r="AO21" i="13" s="1"/>
  <c r="B31" i="1" a="1"/>
  <c r="B31" i="1" s="1"/>
  <c r="B20" i="10" s="1"/>
  <c r="B20" i="2" s="1"/>
  <c r="E35" i="1" a="1"/>
  <c r="E35" i="1" s="1"/>
  <c r="E24" i="10" s="1"/>
  <c r="E24" i="2" s="1"/>
  <c r="F29" i="3" s="1"/>
  <c r="F27" i="13" s="1"/>
  <c r="F35" i="1" a="1"/>
  <c r="F35" i="1" s="1"/>
  <c r="F24" i="10" s="1"/>
  <c r="F24" i="2" s="1"/>
  <c r="I38" i="1" a="1"/>
  <c r="I38" i="1" s="1"/>
  <c r="I27" i="10" s="1"/>
  <c r="I27" i="2" s="1"/>
  <c r="I31" i="3" s="1"/>
  <c r="I29" i="13" s="1"/>
  <c r="G39" i="1" a="1"/>
  <c r="G39" i="1" s="1"/>
  <c r="G28" i="10" s="1"/>
  <c r="G28" i="2" s="1"/>
  <c r="H39" i="1" a="1"/>
  <c r="H39" i="1" s="1"/>
  <c r="H28" i="10" s="1"/>
  <c r="H28" i="2" s="1"/>
  <c r="M40" i="1" a="1"/>
  <c r="M40" i="1" s="1"/>
  <c r="M29" i="10" s="1"/>
  <c r="M29" i="2" s="1"/>
  <c r="N41" i="1" a="1"/>
  <c r="N41" i="1" s="1"/>
  <c r="N30" i="10" s="1"/>
  <c r="N30" i="2" s="1"/>
  <c r="L42" i="1" a="1"/>
  <c r="L42" i="1" s="1"/>
  <c r="L31" i="10" s="1"/>
  <c r="L31" i="2" s="1"/>
  <c r="N42" i="1" a="1"/>
  <c r="N42" i="1" s="1"/>
  <c r="N31" i="10" s="1"/>
  <c r="N31" i="2" s="1"/>
  <c r="AA43" i="1" a="1"/>
  <c r="AA43" i="1" s="1"/>
  <c r="AA32" i="10" s="1"/>
  <c r="AA32" i="2" s="1"/>
  <c r="Y38" i="1" a="1"/>
  <c r="Y38" i="1" s="1"/>
  <c r="Y27" i="10" s="1"/>
  <c r="Y27" i="2" s="1"/>
  <c r="Y31" i="3" s="1"/>
  <c r="Y29" i="13" s="1"/>
  <c r="AE33" i="1" a="1"/>
  <c r="AE33" i="1" s="1"/>
  <c r="AE22" i="10" s="1"/>
  <c r="AE22" i="2" s="1"/>
  <c r="AG33" i="1" a="1"/>
  <c r="AG33" i="1" s="1"/>
  <c r="AG22" i="10" s="1"/>
  <c r="AG22" i="2" s="1"/>
  <c r="Q48" i="1" a="1"/>
  <c r="Q48" i="1" s="1"/>
  <c r="Q37" i="10" s="1"/>
  <c r="Q37" i="2" s="1"/>
  <c r="Q49" i="1" a="1"/>
  <c r="Q49" i="1" s="1"/>
  <c r="Q38" i="10" s="1"/>
  <c r="Q38" i="2" s="1"/>
  <c r="AF45" i="1" a="1"/>
  <c r="AF45" i="1" s="1"/>
  <c r="AF34" i="10" s="1"/>
  <c r="AF34" i="2" s="1"/>
  <c r="AG38" i="3" s="1"/>
  <c r="AG36" i="13" s="1"/>
  <c r="AB49" i="1" a="1"/>
  <c r="AB49" i="1" s="1"/>
  <c r="AB38" i="10" s="1"/>
  <c r="AB38" i="2" s="1"/>
  <c r="Z30" i="1" a="1"/>
  <c r="Z30" i="1" s="1"/>
  <c r="Z19" i="10" s="1"/>
  <c r="Z19" i="2" s="1"/>
  <c r="AD30" i="1" a="1"/>
  <c r="AD30" i="1" s="1"/>
  <c r="AD19" i="10" s="1"/>
  <c r="AD19" i="2" s="1"/>
  <c r="AC30" i="1" a="1"/>
  <c r="AC30" i="1" s="1"/>
  <c r="AC19" i="10" s="1"/>
  <c r="AC19" i="2" s="1"/>
  <c r="C31" i="1" a="1"/>
  <c r="C31" i="1" s="1"/>
  <c r="C20" i="10" s="1"/>
  <c r="C20" i="2" s="1"/>
  <c r="B35" i="1" a="1"/>
  <c r="B35" i="1" s="1"/>
  <c r="B24" i="10" s="1"/>
  <c r="B24" i="2" s="1"/>
  <c r="I39" i="1" a="1"/>
  <c r="I39" i="1" s="1"/>
  <c r="I28" i="10" s="1"/>
  <c r="I28" i="2" s="1"/>
  <c r="G40" i="1" a="1"/>
  <c r="G40" i="1" s="1"/>
  <c r="G29" i="10" s="1"/>
  <c r="G29" i="2" s="1"/>
  <c r="H40" i="1" a="1"/>
  <c r="H40" i="1" s="1"/>
  <c r="H29" i="10" s="1"/>
  <c r="H29" i="2" s="1"/>
  <c r="I40" i="1" a="1"/>
  <c r="I40" i="1" s="1"/>
  <c r="I29" i="10" s="1"/>
  <c r="I29" i="2" s="1"/>
  <c r="G41" i="1" a="1"/>
  <c r="G41" i="1" s="1"/>
  <c r="G30" i="10" s="1"/>
  <c r="G30" i="2" s="1"/>
  <c r="H41" i="1" a="1"/>
  <c r="H41" i="1" s="1"/>
  <c r="H30" i="10" s="1"/>
  <c r="H30" i="2" s="1"/>
  <c r="I41" i="1" a="1"/>
  <c r="I41" i="1" s="1"/>
  <c r="I30" i="10" s="1"/>
  <c r="I30" i="2" s="1"/>
  <c r="J41" i="1" a="1"/>
  <c r="J41" i="1" s="1"/>
  <c r="J30" i="10" s="1"/>
  <c r="J30" i="2" s="1"/>
  <c r="G42" i="1" a="1"/>
  <c r="G42" i="1" s="1"/>
  <c r="G31" i="10" s="1"/>
  <c r="G31" i="2" s="1"/>
  <c r="H42" i="1" a="1"/>
  <c r="H42" i="1" s="1"/>
  <c r="H31" i="10" s="1"/>
  <c r="H31" i="2" s="1"/>
  <c r="J39" i="1" a="1"/>
  <c r="J39" i="1" s="1"/>
  <c r="J28" i="10" s="1"/>
  <c r="J28" i="2" s="1"/>
  <c r="J40" i="1" a="1"/>
  <c r="J40" i="1" s="1"/>
  <c r="J29" i="10" s="1"/>
  <c r="J29" i="2" s="1"/>
  <c r="K40" i="1" a="1"/>
  <c r="K40" i="1" s="1"/>
  <c r="K29" i="10" s="1"/>
  <c r="K29" i="2" s="1"/>
  <c r="L40" i="1" a="1"/>
  <c r="L40" i="1" s="1"/>
  <c r="L29" i="10" s="1"/>
  <c r="L29" i="2" s="1"/>
  <c r="K41" i="1" a="1"/>
  <c r="K41" i="1" s="1"/>
  <c r="K30" i="10" s="1"/>
  <c r="K30" i="2" s="1"/>
  <c r="L41" i="1" a="1"/>
  <c r="L41" i="1" s="1"/>
  <c r="L30" i="10" s="1"/>
  <c r="L30" i="2" s="1"/>
  <c r="M41" i="1" a="1"/>
  <c r="M41" i="1" s="1"/>
  <c r="M30" i="10" s="1"/>
  <c r="M30" i="2" s="1"/>
  <c r="J42" i="1" a="1"/>
  <c r="J42" i="1" s="1"/>
  <c r="J31" i="10" s="1"/>
  <c r="J31" i="2" s="1"/>
  <c r="K42" i="1" a="1"/>
  <c r="K42" i="1" s="1"/>
  <c r="K31" i="10" s="1"/>
  <c r="K31" i="2" s="1"/>
  <c r="V48" i="3"/>
  <c r="V46" i="13" s="1"/>
  <c r="U48" i="3"/>
  <c r="U46" i="13" s="1"/>
  <c r="U47" i="3"/>
  <c r="U45" i="13" s="1"/>
  <c r="U44" i="4" s="1"/>
  <c r="U44" i="12" s="1" a="1"/>
  <c r="U44" i="12" s="1"/>
  <c r="U44" i="14" s="1"/>
  <c r="V47" i="3"/>
  <c r="V45" i="13" s="1"/>
  <c r="V44" i="4" s="1"/>
  <c r="V44" i="12" s="1" a="1"/>
  <c r="V44" i="12" s="1"/>
  <c r="V44" i="14" s="1"/>
  <c r="AO22" i="1" a="1"/>
  <c r="AO22" i="1" s="1"/>
  <c r="AO11" i="10" s="1"/>
  <c r="AO11" i="2" s="1"/>
  <c r="AO26" i="1" a="1"/>
  <c r="AO26" i="1" s="1"/>
  <c r="AO15" i="10" s="1"/>
  <c r="AO15" i="2" s="1"/>
  <c r="AM38" i="1" a="1"/>
  <c r="AM38" i="1" s="1"/>
  <c r="AM27" i="10" s="1"/>
  <c r="AM27" i="2" s="1"/>
  <c r="AO43" i="1" a="1"/>
  <c r="AO43" i="1" s="1"/>
  <c r="AO32" i="10" s="1"/>
  <c r="AO32" i="2" s="1"/>
  <c r="AO16" i="3"/>
  <c r="AO14" i="13" s="1"/>
  <c r="E42" i="1" a="1"/>
  <c r="E42" i="1" s="1"/>
  <c r="E31" i="10" s="1"/>
  <c r="E31" i="2" s="1"/>
  <c r="E39" i="1" a="1"/>
  <c r="E39" i="1" s="1"/>
  <c r="E28" i="10" s="1"/>
  <c r="E28" i="2" s="1"/>
  <c r="F39" i="1" a="1"/>
  <c r="F39" i="1" s="1"/>
  <c r="F28" i="10" s="1"/>
  <c r="F28" i="2" s="1"/>
  <c r="F42" i="1" a="1"/>
  <c r="F42" i="1" s="1"/>
  <c r="F31" i="10" s="1"/>
  <c r="F31" i="2" s="1"/>
  <c r="B49" i="1" a="1"/>
  <c r="B49" i="1" s="1"/>
  <c r="B38" i="10" s="1"/>
  <c r="B38" i="2" s="1"/>
  <c r="B43" i="3" s="1"/>
  <c r="B41" i="13" s="1"/>
  <c r="B42" i="4" s="1"/>
  <c r="B42" i="12" s="1" a="1"/>
  <c r="B42" i="12" s="1"/>
  <c r="B42" i="14" s="1"/>
  <c r="AO49" i="1" a="1"/>
  <c r="AO49" i="1" s="1"/>
  <c r="AO38" i="10" s="1"/>
  <c r="AO38" i="2" s="1"/>
  <c r="AO15" i="3"/>
  <c r="AO13" i="13" s="1"/>
  <c r="AO12" i="4" s="1"/>
  <c r="AO12" i="12" s="1" a="1"/>
  <c r="AO12" i="12" s="1"/>
  <c r="AO12" i="14" s="1"/>
  <c r="S44" i="3"/>
  <c r="S42" i="13" s="1"/>
  <c r="S43" i="3"/>
  <c r="S41" i="13" s="1"/>
  <c r="R44" i="3"/>
  <c r="R42" i="13" s="1"/>
  <c r="R43" i="3"/>
  <c r="R41" i="13" s="1"/>
  <c r="G48" i="1" a="1"/>
  <c r="G48" i="1" s="1"/>
  <c r="G37" i="10" s="1"/>
  <c r="G37" i="2" s="1"/>
  <c r="K49" i="1" a="1"/>
  <c r="K49" i="1" s="1"/>
  <c r="K38" i="10" s="1"/>
  <c r="K38" i="2" s="1"/>
  <c r="W30" i="1" a="1"/>
  <c r="W30" i="1" s="1"/>
  <c r="W19" i="10" s="1"/>
  <c r="W19" i="2" s="1"/>
  <c r="V31" i="1" a="1"/>
  <c r="V31" i="1" s="1"/>
  <c r="V20" i="10" s="1"/>
  <c r="V20" i="2" s="1"/>
  <c r="X35" i="1" a="1"/>
  <c r="X35" i="1" s="1"/>
  <c r="X24" i="10" s="1"/>
  <c r="X24" i="2" s="1"/>
  <c r="X29" i="3" s="1"/>
  <c r="X27" i="13" s="1"/>
  <c r="X28" i="4" s="1"/>
  <c r="X28" i="12" s="1" a="1"/>
  <c r="X28" i="12" s="1"/>
  <c r="X28" i="14" s="1"/>
  <c r="AB31" i="1" a="1"/>
  <c r="AB31" i="1" s="1"/>
  <c r="AB20" i="10" s="1"/>
  <c r="AB20" i="2" s="1"/>
  <c r="Y30" i="1" a="1"/>
  <c r="Y30" i="1" s="1"/>
  <c r="Y19" i="10" s="1"/>
  <c r="Y19" i="2" s="1"/>
  <c r="Z23" i="3" s="1"/>
  <c r="Z21" i="13" s="1"/>
  <c r="Z20" i="4" s="1"/>
  <c r="Z20" i="12" s="1" a="1"/>
  <c r="Z20" i="12" s="1"/>
  <c r="Z20" i="14" s="1"/>
  <c r="Y31" i="1" a="1"/>
  <c r="Y31" i="1" s="1"/>
  <c r="Y20" i="10" s="1"/>
  <c r="Y20" i="2" s="1"/>
  <c r="AO31" i="1" a="1"/>
  <c r="AO31" i="1" s="1"/>
  <c r="AO20" i="10" s="1"/>
  <c r="AO20" i="2" s="1"/>
  <c r="AO24" i="3" s="1"/>
  <c r="AO22" i="13" s="1"/>
  <c r="AO21" i="4" s="1"/>
  <c r="AO21" i="12" s="1" a="1"/>
  <c r="AO21" i="12" s="1"/>
  <c r="AO21" i="14" s="1"/>
  <c r="C34" i="1" a="1"/>
  <c r="C34" i="1" s="1"/>
  <c r="C23" i="10" s="1"/>
  <c r="C23" i="2" s="1"/>
  <c r="D35" i="1" a="1"/>
  <c r="D35" i="1" s="1"/>
  <c r="D24" i="10" s="1"/>
  <c r="D24" i="2" s="1"/>
  <c r="E34" i="1" a="1"/>
  <c r="E34" i="1" s="1"/>
  <c r="E23" i="10" s="1"/>
  <c r="E23" i="2" s="1"/>
  <c r="F28" i="3" s="1"/>
  <c r="F26" i="13" s="1"/>
  <c r="F27" i="4" s="1"/>
  <c r="F27" i="12" s="1" a="1"/>
  <c r="F27" i="12" s="1"/>
  <c r="F27" i="14" s="1"/>
  <c r="O16" i="3"/>
  <c r="O14" i="13" s="1"/>
  <c r="O15" i="3"/>
  <c r="O13" i="13" s="1"/>
  <c r="O12" i="4" s="1"/>
  <c r="O12" i="12" s="1" a="1"/>
  <c r="O12" i="12" s="1"/>
  <c r="O12" i="14" s="1"/>
  <c r="N15" i="3"/>
  <c r="N13" i="13" s="1"/>
  <c r="AK22" i="3"/>
  <c r="AK20" i="13" s="1"/>
  <c r="AK21" i="3"/>
  <c r="AK19" i="13" s="1"/>
  <c r="AJ21" i="3"/>
  <c r="AJ19" i="13" s="1"/>
  <c r="C22" i="3"/>
  <c r="C20" i="13" s="1"/>
  <c r="B22" i="3"/>
  <c r="B20" i="13" s="1"/>
  <c r="E22" i="1" a="1"/>
  <c r="E22" i="1" s="1"/>
  <c r="E11" i="10" s="1"/>
  <c r="E11" i="2" s="1"/>
  <c r="E23" i="1" a="1"/>
  <c r="E23" i="1" s="1"/>
  <c r="E12" i="10" s="1"/>
  <c r="E12" i="2" s="1"/>
  <c r="AF34" i="1" a="1"/>
  <c r="AF34" i="1" s="1"/>
  <c r="AF23" i="10" s="1"/>
  <c r="AF23" i="2" s="1"/>
  <c r="AK39" i="1" a="1"/>
  <c r="AK39" i="1" s="1"/>
  <c r="AK28" i="10" s="1"/>
  <c r="AK28" i="2" s="1"/>
  <c r="Q45" i="1" a="1"/>
  <c r="Q45" i="1" s="1"/>
  <c r="Q34" i="10" s="1"/>
  <c r="Q34" i="2" s="1"/>
  <c r="N43" i="1" a="1"/>
  <c r="N43" i="1" s="1"/>
  <c r="N32" i="10" s="1"/>
  <c r="N32" i="2" s="1"/>
  <c r="Q47" i="1" a="1"/>
  <c r="Q47" i="1" s="1"/>
  <c r="Q36" i="10" s="1"/>
  <c r="Q36" i="2" s="1"/>
  <c r="Z45" i="1" a="1"/>
  <c r="Z45" i="1" s="1"/>
  <c r="Z34" i="10" s="1"/>
  <c r="Z34" i="2" s="1"/>
  <c r="AC49" i="1" a="1"/>
  <c r="AC49" i="1" s="1"/>
  <c r="AC38" i="10" s="1"/>
  <c r="AC38" i="2" s="1"/>
  <c r="AC43" i="3" s="1"/>
  <c r="AC41" i="13" s="1"/>
  <c r="AC42" i="4" s="1"/>
  <c r="AC42" i="12" s="1" a="1"/>
  <c r="AC42" i="12" s="1"/>
  <c r="AC42" i="14" s="1"/>
  <c r="AO44" i="1" a="1"/>
  <c r="AO44" i="1" s="1"/>
  <c r="AO33" i="10" s="1"/>
  <c r="AO33" i="2" s="1"/>
  <c r="AO47" i="1" a="1"/>
  <c r="AO47" i="1" s="1"/>
  <c r="AO36" i="10" s="1"/>
  <c r="AO36" i="2" s="1"/>
  <c r="AO41" i="3" s="1"/>
  <c r="AO39" i="13" s="1"/>
  <c r="E48" i="1" a="1"/>
  <c r="E48" i="1" s="1"/>
  <c r="E37" i="10" s="1"/>
  <c r="E37" i="2" s="1"/>
  <c r="U32" i="1" a="1"/>
  <c r="U32" i="1" s="1"/>
  <c r="U21" i="10" s="1"/>
  <c r="U21" i="2" s="1"/>
  <c r="Y35" i="1" a="1"/>
  <c r="Y35" i="1" s="1"/>
  <c r="Y24" i="10" s="1"/>
  <c r="Y24" i="2" s="1"/>
  <c r="Y29" i="3" s="1"/>
  <c r="Y27" i="13" s="1"/>
  <c r="Y28" i="4" s="1"/>
  <c r="Y28" i="12" s="1" a="1"/>
  <c r="Y28" i="12" s="1"/>
  <c r="Y28" i="14" s="1"/>
  <c r="AN15" i="3"/>
  <c r="AN13" i="13" s="1"/>
  <c r="AN12" i="4" s="1"/>
  <c r="AN12" i="12" s="1" a="1"/>
  <c r="AN12" i="12" s="1"/>
  <c r="AN12" i="14" s="1"/>
  <c r="D31" i="1" a="1"/>
  <c r="D31" i="1" s="1"/>
  <c r="D20" i="10" s="1"/>
  <c r="D20" i="2" s="1"/>
  <c r="B32" i="1" a="1"/>
  <c r="B32" i="1" s="1"/>
  <c r="B21" i="10" s="1"/>
  <c r="B21" i="2" s="1"/>
  <c r="C32" i="1" a="1"/>
  <c r="C32" i="1" s="1"/>
  <c r="C21" i="10" s="1"/>
  <c r="C21" i="2" s="1"/>
  <c r="D32" i="1" a="1"/>
  <c r="D32" i="1" s="1"/>
  <c r="D21" i="10" s="1"/>
  <c r="D21" i="2" s="1"/>
  <c r="AO32" i="1" a="1"/>
  <c r="AO32" i="1" s="1"/>
  <c r="AO21" i="10" s="1"/>
  <c r="AO21" i="2" s="1"/>
  <c r="B33" i="1" a="1"/>
  <c r="B33" i="1" s="1"/>
  <c r="B22" i="10" s="1"/>
  <c r="B22" i="2" s="1"/>
  <c r="C33" i="1" a="1"/>
  <c r="C33" i="1" s="1"/>
  <c r="C22" i="10" s="1"/>
  <c r="C22" i="2" s="1"/>
  <c r="D33" i="1" a="1"/>
  <c r="D33" i="1" s="1"/>
  <c r="D22" i="10" s="1"/>
  <c r="D22" i="2" s="1"/>
  <c r="D34" i="1" a="1"/>
  <c r="D34" i="1" s="1"/>
  <c r="D23" i="10" s="1"/>
  <c r="D23" i="2" s="1"/>
  <c r="AO34" i="1" a="1"/>
  <c r="AO34" i="1" s="1"/>
  <c r="AO23" i="10" s="1"/>
  <c r="AO23" i="2" s="1"/>
  <c r="AE47" i="3"/>
  <c r="AE45" i="13" s="1"/>
  <c r="AF47" i="3"/>
  <c r="AF45" i="13" s="1"/>
  <c r="AE46" i="3"/>
  <c r="AE44" i="13" s="1"/>
  <c r="AE43" i="4" s="1"/>
  <c r="AE43" i="12" s="1" a="1"/>
  <c r="AE43" i="12" s="1"/>
  <c r="AE43" i="14" s="1"/>
  <c r="AF46" i="3"/>
  <c r="AF44" i="13" s="1"/>
  <c r="AF43" i="4" s="1"/>
  <c r="AF43" i="12" s="1" a="1"/>
  <c r="AF43" i="12" s="1"/>
  <c r="AF43" i="14" s="1"/>
  <c r="B46" i="3"/>
  <c r="B44" i="13" s="1"/>
  <c r="B43" i="4" s="1"/>
  <c r="B43" i="12" s="1" a="1"/>
  <c r="B43" i="12" s="1"/>
  <c r="B43" i="14" s="1"/>
  <c r="C46" i="3"/>
  <c r="C44" i="13" s="1"/>
  <c r="C43" i="4" s="1"/>
  <c r="C43" i="12" s="1" a="1"/>
  <c r="C43" i="12" s="1"/>
  <c r="C43" i="14" s="1"/>
  <c r="C47" i="3"/>
  <c r="C45" i="13" s="1"/>
  <c r="B47" i="3"/>
  <c r="B45" i="13" s="1"/>
  <c r="AK47" i="3"/>
  <c r="AK45" i="13" s="1"/>
  <c r="AJ46" i="3"/>
  <c r="AJ44" i="13" s="1"/>
  <c r="AK46" i="3"/>
  <c r="AK44" i="13" s="1"/>
  <c r="AK43" i="4" s="1"/>
  <c r="AK43" i="12" s="1" a="1"/>
  <c r="AK43" i="12" s="1"/>
  <c r="AK43" i="14" s="1"/>
  <c r="AH25" i="1" a="1"/>
  <c r="AH25" i="1" s="1"/>
  <c r="AH14" i="10" s="1"/>
  <c r="AH14" i="2" s="1"/>
  <c r="AC23" i="1" a="1"/>
  <c r="AC23" i="1" s="1"/>
  <c r="AC12" i="10" s="1"/>
  <c r="AC12" i="2" s="1"/>
  <c r="T39" i="1" a="1"/>
  <c r="T39" i="1" s="1"/>
  <c r="T28" i="10" s="1"/>
  <c r="T28" i="2" s="1"/>
  <c r="V38" i="1" a="1"/>
  <c r="V38" i="1" s="1"/>
  <c r="V27" i="10" s="1"/>
  <c r="V27" i="2" s="1"/>
  <c r="L39" i="1" a="1"/>
  <c r="L39" i="1" s="1"/>
  <c r="L28" i="10" s="1"/>
  <c r="L28" i="2" s="1"/>
  <c r="K37" i="1" a="1"/>
  <c r="K37" i="1" s="1"/>
  <c r="K26" i="10" s="1"/>
  <c r="K26" i="2" s="1"/>
  <c r="M39" i="1" a="1"/>
  <c r="M39" i="1" s="1"/>
  <c r="M28" i="10" s="1"/>
  <c r="M28" i="2" s="1"/>
  <c r="N33" i="3" s="1"/>
  <c r="N31" i="13" s="1"/>
  <c r="B39" i="1" a="1"/>
  <c r="B39" i="1" s="1"/>
  <c r="B28" i="10" s="1"/>
  <c r="B28" i="2" s="1"/>
  <c r="D39" i="1" a="1"/>
  <c r="D39" i="1" s="1"/>
  <c r="D28" i="10" s="1"/>
  <c r="D28" i="2" s="1"/>
  <c r="F41" i="1" a="1"/>
  <c r="F41" i="1" s="1"/>
  <c r="F30" i="10" s="1"/>
  <c r="F30" i="2" s="1"/>
  <c r="G35" i="3" s="1"/>
  <c r="G33" i="13" s="1"/>
  <c r="F38" i="1" a="1"/>
  <c r="F38" i="1" s="1"/>
  <c r="F27" i="10" s="1"/>
  <c r="F27" i="2" s="1"/>
  <c r="Z44" i="1" a="1"/>
  <c r="Z44" i="1" s="1"/>
  <c r="Z33" i="10" s="1"/>
  <c r="Z33" i="2" s="1"/>
  <c r="AA44" i="1" a="1"/>
  <c r="AA44" i="1" s="1"/>
  <c r="AA33" i="10" s="1"/>
  <c r="AA33" i="2" s="1"/>
  <c r="AB44" i="1" a="1"/>
  <c r="AB44" i="1" s="1"/>
  <c r="AB33" i="10" s="1"/>
  <c r="AB33" i="2" s="1"/>
  <c r="AC44" i="1" a="1"/>
  <c r="AC44" i="1" s="1"/>
  <c r="AC33" i="10" s="1"/>
  <c r="AC33" i="2" s="1"/>
  <c r="AE44" i="1" a="1"/>
  <c r="AE44" i="1" s="1"/>
  <c r="AE33" i="10" s="1"/>
  <c r="AE33" i="2" s="1"/>
  <c r="AF47" i="1" a="1"/>
  <c r="AF47" i="1" s="1"/>
  <c r="AF36" i="10" s="1"/>
  <c r="AF36" i="2" s="1"/>
  <c r="AG41" i="3" s="1"/>
  <c r="AG39" i="13" s="1"/>
  <c r="AG40" i="4" s="1"/>
  <c r="AG40" i="12" s="1" a="1"/>
  <c r="AG40" i="12" s="1"/>
  <c r="AG40" i="14" s="1"/>
  <c r="Z49" i="1" a="1"/>
  <c r="Z49" i="1" s="1"/>
  <c r="Z38" i="10" s="1"/>
  <c r="Z38" i="2" s="1"/>
  <c r="AA49" i="1" a="1"/>
  <c r="AA49" i="1" s="1"/>
  <c r="AA38" i="10" s="1"/>
  <c r="AA38" i="2" s="1"/>
  <c r="AB43" i="3" s="1"/>
  <c r="AB41" i="13" s="1"/>
  <c r="AB42" i="4" s="1"/>
  <c r="AB42" i="12" s="1" a="1"/>
  <c r="AB42" i="12" s="1"/>
  <c r="AB42" i="14" s="1"/>
  <c r="F44" i="1" a="1"/>
  <c r="F44" i="1" s="1"/>
  <c r="F33" i="10" s="1"/>
  <c r="F33" i="2" s="1"/>
  <c r="D49" i="1" a="1"/>
  <c r="D49" i="1" s="1"/>
  <c r="D38" i="10" s="1"/>
  <c r="D38" i="2" s="1"/>
  <c r="E49" i="1" a="1"/>
  <c r="E49" i="1" s="1"/>
  <c r="E38" i="10" s="1"/>
  <c r="E38" i="2" s="1"/>
  <c r="V30" i="1" a="1"/>
  <c r="V30" i="1" s="1"/>
  <c r="V19" i="10" s="1"/>
  <c r="V19" i="2" s="1"/>
  <c r="U30" i="1" a="1"/>
  <c r="U30" i="1" s="1"/>
  <c r="U19" i="10" s="1"/>
  <c r="U19" i="2" s="1"/>
  <c r="X30" i="1" a="1"/>
  <c r="X30" i="1" s="1"/>
  <c r="X19" i="10" s="1"/>
  <c r="X19" i="2" s="1"/>
  <c r="U31" i="1" a="1"/>
  <c r="U31" i="1" s="1"/>
  <c r="U20" i="10" s="1"/>
  <c r="U20" i="2" s="1"/>
  <c r="W31" i="1" a="1"/>
  <c r="W31" i="1" s="1"/>
  <c r="W20" i="10" s="1"/>
  <c r="W20" i="2" s="1"/>
  <c r="X31" i="1" a="1"/>
  <c r="X31" i="1" s="1"/>
  <c r="X20" i="10" s="1"/>
  <c r="X20" i="2" s="1"/>
  <c r="V32" i="1" a="1"/>
  <c r="V32" i="1" s="1"/>
  <c r="V21" i="10" s="1"/>
  <c r="V21" i="2" s="1"/>
  <c r="W32" i="1" a="1"/>
  <c r="W32" i="1" s="1"/>
  <c r="W21" i="10" s="1"/>
  <c r="W21" i="2" s="1"/>
  <c r="X32" i="1" a="1"/>
  <c r="X32" i="1" s="1"/>
  <c r="X21" i="10" s="1"/>
  <c r="X21" i="2" s="1"/>
  <c r="Y32" i="1" a="1"/>
  <c r="Y32" i="1" s="1"/>
  <c r="Y21" i="10" s="1"/>
  <c r="Y21" i="2" s="1"/>
  <c r="X33" i="1" a="1"/>
  <c r="X33" i="1" s="1"/>
  <c r="X22" i="10" s="1"/>
  <c r="X22" i="2" s="1"/>
  <c r="Y33" i="1" a="1"/>
  <c r="Y33" i="1" s="1"/>
  <c r="Y22" i="10" s="1"/>
  <c r="Y22" i="2" s="1"/>
  <c r="V34" i="1" a="1"/>
  <c r="V34" i="1" s="1"/>
  <c r="V23" i="10" s="1"/>
  <c r="V23" i="2" s="1"/>
  <c r="W34" i="1" a="1"/>
  <c r="W34" i="1" s="1"/>
  <c r="W23" i="10" s="1"/>
  <c r="W23" i="2" s="1"/>
  <c r="X34" i="1" a="1"/>
  <c r="X34" i="1" s="1"/>
  <c r="X23" i="10" s="1"/>
  <c r="X23" i="2" s="1"/>
  <c r="Y34" i="1" a="1"/>
  <c r="Y34" i="1" s="1"/>
  <c r="Y23" i="10" s="1"/>
  <c r="Y23" i="2" s="1"/>
  <c r="W33" i="1" a="1"/>
  <c r="W33" i="1" s="1"/>
  <c r="W22" i="10" s="1"/>
  <c r="W22" i="2" s="1"/>
  <c r="X27" i="3" s="1"/>
  <c r="X25" i="13" s="1"/>
  <c r="AA30" i="1" a="1"/>
  <c r="AA30" i="1" s="1"/>
  <c r="AA19" i="10" s="1"/>
  <c r="AA19" i="2" s="1"/>
  <c r="AB30" i="1" a="1"/>
  <c r="AB30" i="1" s="1"/>
  <c r="AB19" i="10" s="1"/>
  <c r="AB19" i="2" s="1"/>
  <c r="Z31" i="1" a="1"/>
  <c r="Z31" i="1" s="1"/>
  <c r="Z20" i="10" s="1"/>
  <c r="Z20" i="2" s="1"/>
  <c r="AA31" i="1" a="1"/>
  <c r="AA31" i="1" s="1"/>
  <c r="AA20" i="10" s="1"/>
  <c r="AA20" i="2" s="1"/>
  <c r="Z32" i="1" a="1"/>
  <c r="Z32" i="1" s="1"/>
  <c r="Z21" i="10" s="1"/>
  <c r="Z21" i="2" s="1"/>
  <c r="AA32" i="1" a="1"/>
  <c r="AA32" i="1" s="1"/>
  <c r="AA21" i="10" s="1"/>
  <c r="AA21" i="2" s="1"/>
  <c r="AB32" i="1" a="1"/>
  <c r="AB32" i="1" s="1"/>
  <c r="AB21" i="10" s="1"/>
  <c r="AB21" i="2" s="1"/>
  <c r="AC32" i="1" a="1"/>
  <c r="AC32" i="1" s="1"/>
  <c r="AC21" i="10" s="1"/>
  <c r="AC21" i="2" s="1"/>
  <c r="AD32" i="1" a="1"/>
  <c r="AD32" i="1" s="1"/>
  <c r="AD21" i="10" s="1"/>
  <c r="AD21" i="2" s="1"/>
  <c r="AE25" i="3" s="1"/>
  <c r="AE23" i="13" s="1"/>
  <c r="D22" i="1" a="1"/>
  <c r="D22" i="1" s="1"/>
  <c r="D11" i="10" s="1"/>
  <c r="D11" i="2" s="1"/>
  <c r="E15" i="3" s="1"/>
  <c r="E13" i="13" s="1"/>
  <c r="AO27" i="1" a="1"/>
  <c r="AO27" i="1" s="1"/>
  <c r="AO16" i="10" s="1"/>
  <c r="AO16" i="2" s="1"/>
  <c r="O43" i="1" a="1"/>
  <c r="O43" i="1" s="1"/>
  <c r="O32" i="10" s="1"/>
  <c r="O32" i="2" s="1"/>
  <c r="O36" i="3" s="1"/>
  <c r="O34" i="13" s="1"/>
  <c r="N44" i="1" a="1"/>
  <c r="N44" i="1" s="1"/>
  <c r="N33" i="10" s="1"/>
  <c r="N33" i="2" s="1"/>
  <c r="N49" i="1" a="1"/>
  <c r="N49" i="1" s="1"/>
  <c r="N38" i="10" s="1"/>
  <c r="N38" i="2" s="1"/>
  <c r="O49" i="1" a="1"/>
  <c r="O49" i="1" s="1"/>
  <c r="O38" i="10" s="1"/>
  <c r="O38" i="2" s="1"/>
  <c r="P47" i="1" a="1"/>
  <c r="P47" i="1" s="1"/>
  <c r="P36" i="10" s="1"/>
  <c r="P36" i="2" s="1"/>
  <c r="I48" i="1" a="1"/>
  <c r="I48" i="1" s="1"/>
  <c r="I37" i="10" s="1"/>
  <c r="I37" i="2" s="1"/>
  <c r="J49" i="1" a="1"/>
  <c r="J49" i="1" s="1"/>
  <c r="J38" i="10" s="1"/>
  <c r="J38" i="2" s="1"/>
  <c r="E38" i="1" a="1"/>
  <c r="E38" i="1" s="1"/>
  <c r="E27" i="10" s="1"/>
  <c r="E27" i="2" s="1"/>
  <c r="C39" i="1" a="1"/>
  <c r="C39" i="1" s="1"/>
  <c r="C28" i="10" s="1"/>
  <c r="C28" i="2" s="1"/>
  <c r="C40" i="1" a="1"/>
  <c r="C40" i="1" s="1"/>
  <c r="C29" i="10" s="1"/>
  <c r="C29" i="2" s="1"/>
  <c r="D40" i="1" a="1"/>
  <c r="D40" i="1" s="1"/>
  <c r="D29" i="10" s="1"/>
  <c r="D29" i="2" s="1"/>
  <c r="E40" i="1" a="1"/>
  <c r="E40" i="1" s="1"/>
  <c r="E29" i="10" s="1"/>
  <c r="E29" i="2" s="1"/>
  <c r="F40" i="1" a="1"/>
  <c r="F40" i="1" s="1"/>
  <c r="F29" i="10" s="1"/>
  <c r="F29" i="2" s="1"/>
  <c r="C41" i="1" a="1"/>
  <c r="C41" i="1" s="1"/>
  <c r="C30" i="10" s="1"/>
  <c r="C30" i="2" s="1"/>
  <c r="D41" i="1" a="1"/>
  <c r="D41" i="1" s="1"/>
  <c r="D30" i="10" s="1"/>
  <c r="D30" i="2" s="1"/>
  <c r="E41" i="1" a="1"/>
  <c r="E41" i="1" s="1"/>
  <c r="E30" i="10" s="1"/>
  <c r="E30" i="2" s="1"/>
  <c r="F35" i="3" s="1"/>
  <c r="F33" i="13" s="1"/>
  <c r="C42" i="1" a="1"/>
  <c r="C42" i="1" s="1"/>
  <c r="C31" i="10" s="1"/>
  <c r="C31" i="2" s="1"/>
  <c r="D42" i="1" a="1"/>
  <c r="D42" i="1" s="1"/>
  <c r="D31" i="10" s="1"/>
  <c r="D31" i="2" s="1"/>
  <c r="C43" i="1" a="1"/>
  <c r="C43" i="1" s="1"/>
  <c r="C32" i="10" s="1"/>
  <c r="C32" i="2" s="1"/>
  <c r="AD44" i="1" a="1"/>
  <c r="AD44" i="1" s="1"/>
  <c r="AD33" i="10" s="1"/>
  <c r="AD33" i="2" s="1"/>
  <c r="AA45" i="1" a="1"/>
  <c r="AA45" i="1" s="1"/>
  <c r="AA34" i="10" s="1"/>
  <c r="AA34" i="2" s="1"/>
  <c r="AB45" i="1" a="1"/>
  <c r="AB45" i="1" s="1"/>
  <c r="AB34" i="10" s="1"/>
  <c r="AB34" i="2" s="1"/>
  <c r="AC45" i="1" a="1"/>
  <c r="AC45" i="1" s="1"/>
  <c r="AC34" i="10" s="1"/>
  <c r="AC34" i="2" s="1"/>
  <c r="AD45" i="1" a="1"/>
  <c r="AD45" i="1" s="1"/>
  <c r="AD34" i="10" s="1"/>
  <c r="AD34" i="2" s="1"/>
  <c r="AE45" i="1" a="1"/>
  <c r="AE45" i="1" s="1"/>
  <c r="AE34" i="10" s="1"/>
  <c r="AE34" i="2" s="1"/>
  <c r="AC46" i="1" a="1"/>
  <c r="AC46" i="1" s="1"/>
  <c r="AC35" i="10" s="1"/>
  <c r="AC35" i="2" s="1"/>
  <c r="AD46" i="1" a="1"/>
  <c r="AD46" i="1" s="1"/>
  <c r="AD35" i="10" s="1"/>
  <c r="AD35" i="2" s="1"/>
  <c r="AE46" i="1" a="1"/>
  <c r="AE46" i="1" s="1"/>
  <c r="AE35" i="10" s="1"/>
  <c r="AE35" i="2" s="1"/>
  <c r="AF46" i="1" a="1"/>
  <c r="AF46" i="1" s="1"/>
  <c r="AF35" i="10" s="1"/>
  <c r="AF35" i="2" s="1"/>
  <c r="AG40" i="3" s="1"/>
  <c r="AG38" i="13" s="1"/>
  <c r="AG39" i="4" s="1"/>
  <c r="AG39" i="12" s="1" a="1"/>
  <c r="AG39" i="12" s="1"/>
  <c r="AG39" i="14" s="1"/>
  <c r="AA47" i="1" a="1"/>
  <c r="AA47" i="1" s="1"/>
  <c r="AA36" i="10" s="1"/>
  <c r="AA36" i="2" s="1"/>
  <c r="AB47" i="1" a="1"/>
  <c r="AB47" i="1" s="1"/>
  <c r="AB36" i="10" s="1"/>
  <c r="AB36" i="2" s="1"/>
  <c r="AC47" i="1" a="1"/>
  <c r="AC47" i="1" s="1"/>
  <c r="AC36" i="10" s="1"/>
  <c r="AC36" i="2" s="1"/>
  <c r="AD47" i="1" a="1"/>
  <c r="AD47" i="1" s="1"/>
  <c r="AD36" i="10" s="1"/>
  <c r="AD36" i="2" s="1"/>
  <c r="AE47" i="1" a="1"/>
  <c r="AE47" i="1" s="1"/>
  <c r="AE36" i="10" s="1"/>
  <c r="AE36" i="2" s="1"/>
  <c r="Z48" i="1" a="1"/>
  <c r="Z48" i="1" s="1"/>
  <c r="Z37" i="10" s="1"/>
  <c r="Z37" i="2" s="1"/>
  <c r="AC48" i="1" a="1"/>
  <c r="AC48" i="1" s="1"/>
  <c r="AC37" i="10" s="1"/>
  <c r="AC37" i="2" s="1"/>
  <c r="AD48" i="1" a="1"/>
  <c r="AD48" i="1" s="1"/>
  <c r="AD37" i="10" s="1"/>
  <c r="AD37" i="2" s="1"/>
  <c r="AD49" i="1" a="1"/>
  <c r="AD49" i="1" s="1"/>
  <c r="AD38" i="10" s="1"/>
  <c r="AD38" i="2" s="1"/>
  <c r="AE48" i="1" a="1"/>
  <c r="AE48" i="1" s="1"/>
  <c r="AE37" i="10" s="1"/>
  <c r="AE37" i="2" s="1"/>
  <c r="AF42" i="3" s="1"/>
  <c r="AF40" i="13" s="1"/>
  <c r="Z46" i="1" a="1"/>
  <c r="Z46" i="1" s="1"/>
  <c r="Z35" i="10" s="1"/>
  <c r="Z35" i="2" s="1"/>
  <c r="B44" i="1" a="1"/>
  <c r="B44" i="1" s="1"/>
  <c r="B33" i="10" s="1"/>
  <c r="B33" i="2" s="1"/>
  <c r="C44" i="1" a="1"/>
  <c r="C44" i="1" s="1"/>
  <c r="C33" i="10" s="1"/>
  <c r="C33" i="2" s="1"/>
  <c r="D44" i="1" a="1"/>
  <c r="D44" i="1" s="1"/>
  <c r="D33" i="10" s="1"/>
  <c r="D33" i="2" s="1"/>
  <c r="E44" i="1" a="1"/>
  <c r="E44" i="1" s="1"/>
  <c r="E33" i="10" s="1"/>
  <c r="E33" i="2" s="1"/>
  <c r="B45" i="1" a="1"/>
  <c r="B45" i="1" s="1"/>
  <c r="B34" i="10" s="1"/>
  <c r="B34" i="2" s="1"/>
  <c r="C45" i="1" a="1"/>
  <c r="C45" i="1" s="1"/>
  <c r="C34" i="10" s="1"/>
  <c r="C34" i="2" s="1"/>
  <c r="D45" i="1" a="1"/>
  <c r="D45" i="1" s="1"/>
  <c r="D34" i="10" s="1"/>
  <c r="D34" i="2" s="1"/>
  <c r="E45" i="1" a="1"/>
  <c r="E45" i="1" s="1"/>
  <c r="E34" i="10" s="1"/>
  <c r="E34" i="2" s="1"/>
  <c r="AO45" i="1" a="1"/>
  <c r="AO45" i="1" s="1"/>
  <c r="AO34" i="10" s="1"/>
  <c r="AO34" i="2" s="1"/>
  <c r="AO38" i="3" s="1"/>
  <c r="AO36" i="13" s="1"/>
  <c r="C46" i="1" a="1"/>
  <c r="C46" i="1" s="1"/>
  <c r="C35" i="10" s="1"/>
  <c r="C35" i="2" s="1"/>
  <c r="AO46" i="1" a="1"/>
  <c r="AO46" i="1" s="1"/>
  <c r="AO35" i="10" s="1"/>
  <c r="AO35" i="2" s="1"/>
  <c r="B47" i="1" a="1"/>
  <c r="B47" i="1" s="1"/>
  <c r="B36" i="10" s="1"/>
  <c r="B36" i="2" s="1"/>
  <c r="C47" i="1" a="1"/>
  <c r="C47" i="1" s="1"/>
  <c r="C36" i="10" s="1"/>
  <c r="C36" i="2" s="1"/>
  <c r="D47" i="1" a="1"/>
  <c r="D47" i="1" s="1"/>
  <c r="D36" i="10" s="1"/>
  <c r="D36" i="2" s="1"/>
  <c r="E47" i="1" a="1"/>
  <c r="E47" i="1" s="1"/>
  <c r="E36" i="10" s="1"/>
  <c r="E36" i="2" s="1"/>
  <c r="C48" i="1" a="1"/>
  <c r="C48" i="1" s="1"/>
  <c r="C37" i="10" s="1"/>
  <c r="C37" i="2" s="1"/>
  <c r="D48" i="1" a="1"/>
  <c r="D48" i="1" s="1"/>
  <c r="D37" i="10" s="1"/>
  <c r="D37" i="2" s="1"/>
  <c r="E42" i="3" s="1"/>
  <c r="E40" i="13" s="1"/>
  <c r="F48" i="1" a="1"/>
  <c r="F48" i="1" s="1"/>
  <c r="F37" i="10" s="1"/>
  <c r="F37" i="2" s="1"/>
  <c r="C49" i="1" a="1"/>
  <c r="C49" i="1" s="1"/>
  <c r="C38" i="10" s="1"/>
  <c r="C38" i="2" s="1"/>
  <c r="B48" i="1" a="1"/>
  <c r="B48" i="1" s="1"/>
  <c r="B37" i="10" s="1"/>
  <c r="B37" i="2" s="1"/>
  <c r="W38" i="3"/>
  <c r="W36" i="13" s="1"/>
  <c r="W37" i="3"/>
  <c r="W35" i="13" s="1"/>
  <c r="V37" i="3"/>
  <c r="V35" i="13" s="1"/>
  <c r="AH48" i="3"/>
  <c r="AH46" i="13" s="1"/>
  <c r="AG47" i="3"/>
  <c r="AG45" i="13" s="1"/>
  <c r="AH47" i="3"/>
  <c r="AH45" i="13" s="1"/>
  <c r="AH44" i="4" s="1"/>
  <c r="AH44" i="12" s="1" a="1"/>
  <c r="AH44" i="12" s="1"/>
  <c r="AH44" i="14" s="1"/>
  <c r="AI47" i="3"/>
  <c r="AI45" i="13" s="1"/>
  <c r="AI44" i="4" s="1"/>
  <c r="AI44" i="12" s="1" a="1"/>
  <c r="AI44" i="12" s="1"/>
  <c r="AI44" i="14" s="1"/>
  <c r="AI48" i="3"/>
  <c r="AI46" i="13" s="1"/>
  <c r="K30" i="1" a="1"/>
  <c r="K30" i="1" s="1"/>
  <c r="K19" i="10" s="1"/>
  <c r="K19" i="2" s="1"/>
  <c r="I33" i="1" a="1"/>
  <c r="I33" i="1" s="1"/>
  <c r="I22" i="10" s="1"/>
  <c r="I22" i="2" s="1"/>
  <c r="AC42" i="1" a="1"/>
  <c r="AC42" i="1" s="1"/>
  <c r="AC31" i="10" s="1"/>
  <c r="AC31" i="2" s="1"/>
  <c r="Y42" i="1" a="1"/>
  <c r="Y42" i="1" s="1"/>
  <c r="Y31" i="10" s="1"/>
  <c r="Y31" i="2" s="1"/>
  <c r="Y36" i="3" s="1"/>
  <c r="Y34" i="13" s="1"/>
  <c r="O39" i="1" a="1"/>
  <c r="O39" i="1" s="1"/>
  <c r="O28" i="10" s="1"/>
  <c r="O28" i="2" s="1"/>
  <c r="O33" i="3" s="1"/>
  <c r="O31" i="13" s="1"/>
  <c r="K38" i="1" a="1"/>
  <c r="K38" i="1" s="1"/>
  <c r="K27" i="10" s="1"/>
  <c r="K27" i="2" s="1"/>
  <c r="AO39" i="1" a="1"/>
  <c r="AO39" i="1" s="1"/>
  <c r="AO28" i="10" s="1"/>
  <c r="AO28" i="2" s="1"/>
  <c r="B43" i="1" a="1"/>
  <c r="B43" i="1" s="1"/>
  <c r="B32" i="10" s="1"/>
  <c r="B32" i="2" s="1"/>
  <c r="B42" i="1" a="1"/>
  <c r="B42" i="1" s="1"/>
  <c r="B31" i="10" s="1"/>
  <c r="B31" i="2" s="1"/>
  <c r="H48" i="1" a="1"/>
  <c r="H48" i="1" s="1"/>
  <c r="H37" i="10" s="1"/>
  <c r="H37" i="2" s="1"/>
  <c r="G49" i="1" a="1"/>
  <c r="G49" i="1" s="1"/>
  <c r="G38" i="10" s="1"/>
  <c r="G38" i="2" s="1"/>
  <c r="J32" i="3"/>
  <c r="J30" i="13" s="1"/>
  <c r="J31" i="3"/>
  <c r="J29" i="13" s="1"/>
  <c r="K31" i="3"/>
  <c r="K29" i="13" s="1"/>
  <c r="E36" i="3"/>
  <c r="E34" i="13" s="1"/>
  <c r="E37" i="3"/>
  <c r="E35" i="13" s="1"/>
  <c r="D37" i="3"/>
  <c r="D35" i="13" s="1"/>
  <c r="D36" i="3"/>
  <c r="D34" i="13" s="1"/>
  <c r="V41" i="3"/>
  <c r="V39" i="13" s="1"/>
  <c r="W41" i="3"/>
  <c r="W39" i="13" s="1"/>
  <c r="T41" i="3"/>
  <c r="T39" i="13" s="1"/>
  <c r="S41" i="3"/>
  <c r="S39" i="13" s="1"/>
  <c r="R41" i="3"/>
  <c r="R39" i="13" s="1"/>
  <c r="W40" i="3"/>
  <c r="W38" i="13" s="1"/>
  <c r="W39" i="3"/>
  <c r="W37" i="13" s="1"/>
  <c r="W36" i="4" s="1"/>
  <c r="W36" i="12" s="1" a="1"/>
  <c r="W36" i="12" s="1"/>
  <c r="W36" i="14" s="1"/>
  <c r="V40" i="3"/>
  <c r="V38" i="13" s="1"/>
  <c r="U40" i="3"/>
  <c r="U38" i="13" s="1"/>
  <c r="T40" i="3"/>
  <c r="T38" i="13" s="1"/>
  <c r="S40" i="3"/>
  <c r="S38" i="13" s="1"/>
  <c r="V39" i="3"/>
  <c r="V37" i="13" s="1"/>
  <c r="V38" i="3"/>
  <c r="V36" i="13" s="1"/>
  <c r="U39" i="3"/>
  <c r="U37" i="13" s="1"/>
  <c r="U38" i="3"/>
  <c r="U36" i="13" s="1"/>
  <c r="T39" i="3"/>
  <c r="T37" i="13" s="1"/>
  <c r="S39" i="3"/>
  <c r="S37" i="13" s="1"/>
  <c r="T38" i="3"/>
  <c r="T36" i="13" s="1"/>
  <c r="T37" i="3"/>
  <c r="T35" i="13" s="1"/>
  <c r="S38" i="3"/>
  <c r="S36" i="13" s="1"/>
  <c r="S37" i="3"/>
  <c r="S35" i="13" s="1"/>
  <c r="S34" i="4" s="1"/>
  <c r="S34" i="12" s="1" a="1"/>
  <c r="S34" i="12" s="1"/>
  <c r="S34" i="14" s="1"/>
  <c r="U37" i="3"/>
  <c r="U35" i="13" s="1"/>
  <c r="U36" i="3"/>
  <c r="U34" i="13" s="1"/>
  <c r="U33" i="4" s="1"/>
  <c r="U33" i="12" s="1" a="1"/>
  <c r="U33" i="12" s="1"/>
  <c r="U33" i="14" s="1"/>
  <c r="T36" i="3"/>
  <c r="T34" i="13" s="1"/>
  <c r="T33" i="4" s="1"/>
  <c r="T33" i="12" s="1" a="1"/>
  <c r="T33" i="12" s="1"/>
  <c r="T33" i="14" s="1"/>
  <c r="J44" i="3"/>
  <c r="J42" i="13" s="1"/>
  <c r="J43" i="4" s="1"/>
  <c r="J43" i="12" s="1" a="1"/>
  <c r="J43" i="12" s="1"/>
  <c r="J43" i="14" s="1"/>
  <c r="I44" i="3"/>
  <c r="I42" i="13" s="1"/>
  <c r="I43" i="4" s="1"/>
  <c r="I43" i="12" s="1" a="1"/>
  <c r="I43" i="12" s="1"/>
  <c r="I43" i="14" s="1"/>
  <c r="K44" i="3"/>
  <c r="K42" i="13" s="1"/>
  <c r="K43" i="3"/>
  <c r="K41" i="13" s="1"/>
  <c r="AO10" i="12" a="1"/>
  <c r="AO10" i="12" s="1"/>
  <c r="AO10" i="14" s="1"/>
  <c r="AN10" i="12" a="1"/>
  <c r="AN10" i="12" s="1"/>
  <c r="AN10" i="14" s="1"/>
  <c r="AM10" i="12" a="1"/>
  <c r="AM10" i="12" s="1"/>
  <c r="AM10" i="14" s="1"/>
  <c r="AL10" i="12" a="1"/>
  <c r="AL10" i="12" s="1"/>
  <c r="AL10" i="14" s="1"/>
  <c r="AK10" i="12" a="1"/>
  <c r="AK10" i="12" s="1"/>
  <c r="AK10" i="14" s="1"/>
  <c r="AJ10" i="12" a="1"/>
  <c r="AJ10" i="12" s="1"/>
  <c r="AJ10" i="14" s="1"/>
  <c r="AI10" i="12" a="1"/>
  <c r="AI10" i="12" s="1"/>
  <c r="AI10" i="14" s="1"/>
  <c r="AH10" i="12" a="1"/>
  <c r="AH10" i="12" s="1"/>
  <c r="AH10" i="14" s="1"/>
  <c r="AG10" i="12" a="1"/>
  <c r="AG10" i="12" s="1"/>
  <c r="AG10" i="14" s="1"/>
  <c r="AF10" i="12" a="1"/>
  <c r="AF10" i="12" s="1"/>
  <c r="AF10" i="14" s="1"/>
  <c r="AE10" i="12" a="1"/>
  <c r="AE10" i="12" s="1"/>
  <c r="AE10" i="14" s="1"/>
  <c r="AD10" i="12" a="1"/>
  <c r="AD10" i="12" s="1"/>
  <c r="AD10" i="14" s="1"/>
  <c r="AC10" i="12" a="1"/>
  <c r="AC10" i="12" s="1"/>
  <c r="AC10" i="14" s="1"/>
  <c r="AB10" i="12" a="1"/>
  <c r="AB10" i="12" s="1"/>
  <c r="AB10" i="14" s="1"/>
  <c r="AA10" i="12" a="1"/>
  <c r="AA10" i="12" s="1"/>
  <c r="AA10" i="14" s="1"/>
  <c r="Z10" i="12" a="1"/>
  <c r="Z10" i="12" s="1"/>
  <c r="Z10" i="14" s="1"/>
  <c r="Y10" i="12" a="1"/>
  <c r="Y10" i="12" s="1"/>
  <c r="Y10" i="14" s="1"/>
  <c r="X10" i="12" a="1"/>
  <c r="X10" i="12" s="1"/>
  <c r="X10" i="14" s="1"/>
  <c r="W10" i="12" a="1"/>
  <c r="W10" i="12" s="1"/>
  <c r="W10" i="14" s="1"/>
  <c r="V10" i="12" a="1"/>
  <c r="V10" i="12" s="1"/>
  <c r="V10" i="14" s="1"/>
  <c r="U10" i="12" a="1"/>
  <c r="U10" i="12" s="1"/>
  <c r="U10" i="14" s="1"/>
  <c r="T10" i="12" a="1"/>
  <c r="T10" i="12" s="1"/>
  <c r="T10" i="14" s="1"/>
  <c r="S10" i="12" a="1"/>
  <c r="S10" i="12" s="1"/>
  <c r="S10" i="14" s="1"/>
  <c r="R10" i="12" a="1"/>
  <c r="R10" i="12" s="1"/>
  <c r="R10" i="14" s="1"/>
  <c r="Q10" i="12" a="1"/>
  <c r="Q10" i="12" s="1"/>
  <c r="Q10" i="14" s="1"/>
  <c r="P10" i="12" a="1"/>
  <c r="P10" i="12" s="1"/>
  <c r="P10" i="14" s="1"/>
  <c r="O10" i="12" a="1"/>
  <c r="O10" i="12" s="1"/>
  <c r="O10" i="14" s="1"/>
  <c r="N10" i="12" a="1"/>
  <c r="N10" i="12" s="1"/>
  <c r="N10" i="14" s="1"/>
  <c r="M10" i="12" a="1"/>
  <c r="M10" i="12" s="1"/>
  <c r="M10" i="14" s="1"/>
  <c r="L10" i="12" a="1"/>
  <c r="L10" i="12" s="1"/>
  <c r="L10" i="14" s="1"/>
  <c r="K10" i="12" a="1"/>
  <c r="K10" i="12" s="1"/>
  <c r="K10" i="14" s="1"/>
  <c r="J10" i="12" a="1"/>
  <c r="J10" i="12" s="1"/>
  <c r="J10" i="14" s="1"/>
  <c r="D10" i="12" a="1"/>
  <c r="D10" i="12" s="1"/>
  <c r="D10" i="14" s="1"/>
  <c r="C10" i="12" a="1"/>
  <c r="C10" i="12" s="1"/>
  <c r="C10" i="14" s="1"/>
  <c r="B10" i="12" a="1"/>
  <c r="B10" i="12" s="1"/>
  <c r="B10" i="14" s="1"/>
  <c r="K49" i="12" a="1"/>
  <c r="K49" i="12" s="1"/>
  <c r="K49" i="14" s="1"/>
  <c r="S49" i="12" a="1"/>
  <c r="S49" i="12" s="1"/>
  <c r="S49" i="14" s="1"/>
  <c r="N49" i="12" a="1"/>
  <c r="N49" i="12" s="1"/>
  <c r="N49" i="14" s="1"/>
  <c r="AD49" i="12" a="1"/>
  <c r="AD49" i="12" s="1"/>
  <c r="AD49" i="14" s="1"/>
  <c r="AG49" i="12" a="1"/>
  <c r="AG49" i="12" s="1"/>
  <c r="AG49" i="14" s="1"/>
  <c r="AH49" i="12" a="1"/>
  <c r="AH49" i="12" s="1"/>
  <c r="AH49" i="14" s="1"/>
  <c r="AI49" i="12" a="1"/>
  <c r="AI49" i="12" s="1"/>
  <c r="AI49" i="14" s="1"/>
  <c r="AJ49" i="12" a="1"/>
  <c r="AJ49" i="12" s="1"/>
  <c r="AJ49" i="14" s="1"/>
  <c r="AK49" i="12" a="1"/>
  <c r="AK49" i="12" s="1"/>
  <c r="AK49" i="14" s="1"/>
  <c r="AL49" i="12" a="1"/>
  <c r="AL49" i="12" s="1"/>
  <c r="AL49" i="14" s="1"/>
  <c r="AM49" i="12" a="1"/>
  <c r="AM49" i="12" s="1"/>
  <c r="AM49" i="14" s="1"/>
  <c r="AE49" i="12" a="1"/>
  <c r="AE49" i="12" s="1"/>
  <c r="AE49" i="14" s="1"/>
  <c r="AF49" i="12" a="1"/>
  <c r="AF49" i="12" s="1"/>
  <c r="AF49" i="14" s="1"/>
  <c r="Z49" i="12" a="1"/>
  <c r="Z49" i="12" s="1"/>
  <c r="Z49" i="14" s="1"/>
  <c r="AA49" i="12" a="1"/>
  <c r="AA49" i="12" s="1"/>
  <c r="AA49" i="14" s="1"/>
  <c r="AB49" i="12" a="1"/>
  <c r="AB49" i="12" s="1"/>
  <c r="AB49" i="14" s="1"/>
  <c r="AC49" i="12" a="1"/>
  <c r="AC49" i="12" s="1"/>
  <c r="AC49" i="14" s="1"/>
  <c r="X49" i="12" a="1"/>
  <c r="X49" i="12" s="1"/>
  <c r="X49" i="14" s="1"/>
  <c r="Y49" i="12" a="1"/>
  <c r="Y49" i="12" s="1"/>
  <c r="Y49" i="14" s="1"/>
  <c r="R49" i="12" a="1"/>
  <c r="R49" i="12" s="1"/>
  <c r="R49" i="14" s="1"/>
  <c r="T49" i="12" a="1"/>
  <c r="T49" i="12" s="1"/>
  <c r="T49" i="14" s="1"/>
  <c r="U49" i="12" a="1"/>
  <c r="U49" i="12" s="1"/>
  <c r="U49" i="14" s="1"/>
  <c r="V49" i="12" a="1"/>
  <c r="V49" i="12" s="1"/>
  <c r="V49" i="14" s="1"/>
  <c r="O49" i="12" a="1"/>
  <c r="O49" i="12" s="1"/>
  <c r="O49" i="14" s="1"/>
  <c r="P49" i="12" a="1"/>
  <c r="P49" i="12" s="1"/>
  <c r="P49" i="14" s="1"/>
  <c r="J49" i="12" a="1"/>
  <c r="J49" i="12" s="1"/>
  <c r="J49" i="14" s="1"/>
  <c r="L49" i="12" a="1"/>
  <c r="L49" i="12" s="1"/>
  <c r="L49" i="14" s="1"/>
  <c r="M49" i="12" a="1"/>
  <c r="M49" i="12" s="1"/>
  <c r="M49" i="14" s="1"/>
  <c r="AN49" i="12" a="1"/>
  <c r="AN49" i="12" s="1"/>
  <c r="AN49" i="14" s="1"/>
  <c r="Q49" i="12" a="1"/>
  <c r="Q49" i="12" s="1"/>
  <c r="Q49" i="14" s="1"/>
  <c r="W49" i="12" a="1"/>
  <c r="W49" i="12" s="1"/>
  <c r="W49" i="14" s="1"/>
  <c r="AO49" i="12" a="1"/>
  <c r="AO49" i="12" s="1"/>
  <c r="AO49" i="14" s="1"/>
  <c r="D49" i="12" a="1"/>
  <c r="D49" i="12" s="1"/>
  <c r="D49" i="14" s="1"/>
  <c r="B49" i="12" a="1"/>
  <c r="B49" i="12" s="1"/>
  <c r="B49" i="14" s="1"/>
  <c r="C49" i="12" a="1"/>
  <c r="C49" i="12" s="1"/>
  <c r="C49" i="14" s="1"/>
  <c r="AT13" i="13" a="1"/>
  <c r="AT13" i="13" s="1"/>
  <c r="AT47" i="13"/>
  <c r="AC22" i="1" a="1"/>
  <c r="AC22" i="1" s="1"/>
  <c r="AC11" i="10" s="1"/>
  <c r="AC11" i="2" s="1"/>
  <c r="AC15" i="3" s="1"/>
  <c r="AC13" i="13" s="1"/>
  <c r="AC12" i="4" s="1"/>
  <c r="AC12" i="12" s="1" a="1"/>
  <c r="AC12" i="12" s="1"/>
  <c r="AC12" i="14" s="1"/>
  <c r="AH22" i="1" a="1"/>
  <c r="AH22" i="1" s="1"/>
  <c r="AH11" i="10" s="1"/>
  <c r="AH11" i="2" s="1"/>
  <c r="AI15" i="3" s="1"/>
  <c r="AI13" i="13" s="1"/>
  <c r="AI12" i="4" s="1"/>
  <c r="AI12" i="12" s="1" a="1"/>
  <c r="AI12" i="12" s="1"/>
  <c r="AI12" i="14" s="1"/>
  <c r="F26" i="1" a="1"/>
  <c r="F26" i="1" s="1"/>
  <c r="F15" i="10" s="1"/>
  <c r="F15" i="2" s="1"/>
  <c r="C27" i="1" a="1"/>
  <c r="C27" i="1" s="1"/>
  <c r="C16" i="10" s="1"/>
  <c r="C16" i="2" s="1"/>
  <c r="D27" i="1" a="1"/>
  <c r="D27" i="1" s="1"/>
  <c r="D16" i="10" s="1"/>
  <c r="D16" i="2" s="1"/>
  <c r="P31" i="1" a="1"/>
  <c r="P31" i="1" s="1"/>
  <c r="P20" i="10" s="1"/>
  <c r="P20" i="2" s="1"/>
  <c r="O30" i="1" a="1"/>
  <c r="O30" i="1" s="1"/>
  <c r="O19" i="10" s="1"/>
  <c r="O19" i="2" s="1"/>
  <c r="R31" i="1" a="1"/>
  <c r="R31" i="1" s="1"/>
  <c r="R20" i="10" s="1"/>
  <c r="R20" i="2" s="1"/>
  <c r="R32" i="1" a="1"/>
  <c r="R32" i="1" s="1"/>
  <c r="R21" i="10" s="1"/>
  <c r="R21" i="2" s="1"/>
  <c r="N30" i="1" a="1"/>
  <c r="N30" i="1" s="1"/>
  <c r="N19" i="10" s="1"/>
  <c r="N19" i="2" s="1"/>
  <c r="O23" i="3" s="1"/>
  <c r="O21" i="13" s="1"/>
  <c r="O20" i="4" s="1"/>
  <c r="O20" i="12" s="1" a="1"/>
  <c r="O20" i="12" s="1"/>
  <c r="O20" i="14" s="1"/>
  <c r="J35" i="1" a="1"/>
  <c r="J35" i="1" s="1"/>
  <c r="J24" i="10" s="1"/>
  <c r="J24" i="2" s="1"/>
  <c r="I31" i="1" a="1"/>
  <c r="I31" i="1" s="1"/>
  <c r="I20" i="10" s="1"/>
  <c r="I20" i="2" s="1"/>
  <c r="L37" i="1" a="1"/>
  <c r="L37" i="1" s="1"/>
  <c r="L26" i="10" s="1"/>
  <c r="L26" i="2" s="1"/>
  <c r="K36" i="1" a="1"/>
  <c r="K36" i="1" s="1"/>
  <c r="K25" i="10" s="1"/>
  <c r="K25" i="2" s="1"/>
  <c r="K30" i="3" s="1"/>
  <c r="K28" i="13" s="1"/>
  <c r="AH39" i="1" a="1"/>
  <c r="AH39" i="1" s="1"/>
  <c r="AH28" i="10" s="1"/>
  <c r="AH28" i="2" s="1"/>
  <c r="AK37" i="1" a="1"/>
  <c r="AK37" i="1" s="1"/>
  <c r="AK26" i="10" s="1"/>
  <c r="AK26" i="2" s="1"/>
  <c r="Z37" i="1" a="1"/>
  <c r="Z37" i="1" s="1"/>
  <c r="Z26" i="10" s="1"/>
  <c r="Z26" i="2" s="1"/>
  <c r="Z33" i="1" a="1"/>
  <c r="Z33" i="1" s="1"/>
  <c r="Z22" i="10" s="1"/>
  <c r="Z22" i="2" s="1"/>
  <c r="AA33" i="1" a="1"/>
  <c r="AA33" i="1" s="1"/>
  <c r="AA22" i="10" s="1"/>
  <c r="AA22" i="2" s="1"/>
  <c r="AC33" i="1" a="1"/>
  <c r="AC33" i="1" s="1"/>
  <c r="AC22" i="10" s="1"/>
  <c r="AC22" i="2" s="1"/>
  <c r="AD33" i="1" a="1"/>
  <c r="AD33" i="1" s="1"/>
  <c r="AD22" i="10" s="1"/>
  <c r="AD22" i="2" s="1"/>
  <c r="AE26" i="3" s="1"/>
  <c r="AE24" i="13" s="1"/>
  <c r="AN38" i="1" a="1"/>
  <c r="AN38" i="1" s="1"/>
  <c r="AN27" i="10" s="1"/>
  <c r="AN27" i="2" s="1"/>
  <c r="AN31" i="3" s="1"/>
  <c r="AN29" i="13" s="1"/>
  <c r="AN28" i="4" s="1"/>
  <c r="AN28" i="12" s="1" a="1"/>
  <c r="AN28" i="12" s="1"/>
  <c r="AN28" i="14" s="1"/>
  <c r="AO40" i="1" a="1"/>
  <c r="AO40" i="1" s="1"/>
  <c r="AO29" i="10" s="1"/>
  <c r="AO29" i="2" s="1"/>
  <c r="AK43" i="1" a="1"/>
  <c r="AK43" i="1" s="1"/>
  <c r="AK32" i="10" s="1"/>
  <c r="AK32" i="2" s="1"/>
  <c r="AK19" i="3"/>
  <c r="AK17" i="13" s="1"/>
  <c r="AK18" i="3"/>
  <c r="AK16" i="13" s="1"/>
  <c r="D24" i="3"/>
  <c r="D22" i="13" s="1"/>
  <c r="D23" i="3"/>
  <c r="D21" i="13" s="1"/>
  <c r="M43" i="1" a="1"/>
  <c r="M43" i="1" s="1"/>
  <c r="M32" i="10" s="1"/>
  <c r="M32" i="2" s="1"/>
  <c r="K44" i="1" a="1"/>
  <c r="K44" i="1" s="1"/>
  <c r="K33" i="10" s="1"/>
  <c r="K33" i="2" s="1"/>
  <c r="M44" i="1" a="1"/>
  <c r="M44" i="1" s="1"/>
  <c r="M33" i="10" s="1"/>
  <c r="M33" i="2" s="1"/>
  <c r="O44" i="1" a="1"/>
  <c r="O44" i="1" s="1"/>
  <c r="O33" i="10" s="1"/>
  <c r="O33" i="2" s="1"/>
  <c r="P44" i="1" a="1"/>
  <c r="P44" i="1" s="1"/>
  <c r="P33" i="10" s="1"/>
  <c r="P33" i="2" s="1"/>
  <c r="Q44" i="1" a="1"/>
  <c r="Q44" i="1" s="1"/>
  <c r="Q33" i="10" s="1"/>
  <c r="Q33" i="2" s="1"/>
  <c r="R38" i="3" s="1"/>
  <c r="R36" i="13" s="1"/>
  <c r="M45" i="1" a="1"/>
  <c r="M45" i="1" s="1"/>
  <c r="M34" i="10" s="1"/>
  <c r="M34" i="2" s="1"/>
  <c r="N45" i="1" a="1"/>
  <c r="N45" i="1" s="1"/>
  <c r="N34" i="10" s="1"/>
  <c r="N34" i="2" s="1"/>
  <c r="O45" i="1" a="1"/>
  <c r="O45" i="1" s="1"/>
  <c r="O34" i="10" s="1"/>
  <c r="O34" i="2" s="1"/>
  <c r="P45" i="1" a="1"/>
  <c r="P45" i="1" s="1"/>
  <c r="P34" i="10" s="1"/>
  <c r="P34" i="2" s="1"/>
  <c r="M46" i="1" a="1"/>
  <c r="M46" i="1" s="1"/>
  <c r="M35" i="10" s="1"/>
  <c r="M35" i="2" s="1"/>
  <c r="N46" i="1" a="1"/>
  <c r="N46" i="1" s="1"/>
  <c r="N35" i="10" s="1"/>
  <c r="N35" i="2" s="1"/>
  <c r="L47" i="1" a="1"/>
  <c r="L47" i="1" s="1"/>
  <c r="L36" i="10" s="1"/>
  <c r="L36" i="2" s="1"/>
  <c r="L41" i="3" s="1"/>
  <c r="L39" i="13" s="1"/>
  <c r="M47" i="1" a="1"/>
  <c r="M47" i="1" s="1"/>
  <c r="M36" i="10" s="1"/>
  <c r="M36" i="2" s="1"/>
  <c r="N47" i="1" a="1"/>
  <c r="N47" i="1" s="1"/>
  <c r="N36" i="10" s="1"/>
  <c r="N36" i="2" s="1"/>
  <c r="O47" i="1" a="1"/>
  <c r="O47" i="1" s="1"/>
  <c r="O36" i="10" s="1"/>
  <c r="O36" i="2" s="1"/>
  <c r="M48" i="1" a="1"/>
  <c r="M48" i="1" s="1"/>
  <c r="M37" i="10" s="1"/>
  <c r="M37" i="2" s="1"/>
  <c r="N48" i="1" a="1"/>
  <c r="N48" i="1" s="1"/>
  <c r="N37" i="10" s="1"/>
  <c r="N37" i="2" s="1"/>
  <c r="O48" i="1" a="1"/>
  <c r="O48" i="1" s="1"/>
  <c r="O37" i="10" s="1"/>
  <c r="O37" i="2" s="1"/>
  <c r="P48" i="1" a="1"/>
  <c r="P48" i="1" s="1"/>
  <c r="P37" i="10" s="1"/>
  <c r="P37" i="2" s="1"/>
  <c r="M49" i="1" a="1"/>
  <c r="M49" i="1" s="1"/>
  <c r="M38" i="10" s="1"/>
  <c r="M38" i="2" s="1"/>
  <c r="N43" i="3" s="1"/>
  <c r="N41" i="13" s="1"/>
  <c r="P49" i="1" a="1"/>
  <c r="P49" i="1" s="1"/>
  <c r="P38" i="10" s="1"/>
  <c r="P38" i="2" s="1"/>
  <c r="G43" i="1" a="1"/>
  <c r="G43" i="1" s="1"/>
  <c r="G32" i="10" s="1"/>
  <c r="G32" i="2" s="1"/>
  <c r="K43" i="1" a="1"/>
  <c r="K43" i="1" s="1"/>
  <c r="K32" i="10" s="1"/>
  <c r="K32" i="2" s="1"/>
  <c r="K36" i="3" s="1"/>
  <c r="K34" i="13" s="1"/>
  <c r="J48" i="1" a="1"/>
  <c r="J48" i="1" s="1"/>
  <c r="J37" i="10" s="1"/>
  <c r="J37" i="2" s="1"/>
  <c r="K42" i="3" s="1"/>
  <c r="K40" i="13" s="1"/>
  <c r="K41" i="4" s="1"/>
  <c r="K41" i="12" s="1" a="1"/>
  <c r="K41" i="12" s="1"/>
  <c r="K41" i="14" s="1"/>
  <c r="F49" i="1" a="1"/>
  <c r="F49" i="1" s="1"/>
  <c r="F38" i="10" s="1"/>
  <c r="F38" i="2" s="1"/>
  <c r="H49" i="1" a="1"/>
  <c r="H49" i="1" s="1"/>
  <c r="H38" i="10" s="1"/>
  <c r="H38" i="2" s="1"/>
  <c r="I49" i="1" a="1"/>
  <c r="I49" i="1" s="1"/>
  <c r="I38" i="10" s="1"/>
  <c r="I38" i="2" s="1"/>
  <c r="L49" i="1" a="1"/>
  <c r="L49" i="1" s="1"/>
  <c r="L38" i="10" s="1"/>
  <c r="L38" i="2" s="1"/>
  <c r="E48" i="3"/>
  <c r="E46" i="13" s="1"/>
  <c r="E45" i="4" s="1"/>
  <c r="E45" i="12" s="1" a="1"/>
  <c r="E45" i="12" s="1"/>
  <c r="E45" i="14" s="1"/>
  <c r="F49" i="3"/>
  <c r="F47" i="13" s="1"/>
  <c r="F48" i="4" s="1"/>
  <c r="F48" i="12" s="1" a="1"/>
  <c r="F48" i="12" s="1"/>
  <c r="F48" i="14" s="1"/>
  <c r="E49" i="3"/>
  <c r="E47" i="13" s="1"/>
  <c r="H48" i="3"/>
  <c r="H46" i="13" s="1"/>
  <c r="H47" i="3"/>
  <c r="H45" i="13" s="1"/>
  <c r="H44" i="4" s="1"/>
  <c r="H44" i="12" s="1" a="1"/>
  <c r="H44" i="12" s="1"/>
  <c r="H44" i="14" s="1"/>
  <c r="AE22" i="1" a="1"/>
  <c r="AE22" i="1" s="1"/>
  <c r="AE11" i="10" s="1"/>
  <c r="AE11" i="2" s="1"/>
  <c r="AG27" i="1" a="1"/>
  <c r="AG27" i="1" s="1"/>
  <c r="AG16" i="10" s="1"/>
  <c r="AG16" i="2" s="1"/>
  <c r="AD23" i="1" a="1"/>
  <c r="AD23" i="1" s="1"/>
  <c r="AD12" i="10" s="1"/>
  <c r="AD12" i="2" s="1"/>
  <c r="F23" i="1" a="1"/>
  <c r="F23" i="1" s="1"/>
  <c r="F12" i="10" s="1"/>
  <c r="F12" i="2" s="1"/>
  <c r="AO24" i="1" a="1"/>
  <c r="AO24" i="1" s="1"/>
  <c r="AO13" i="10" s="1"/>
  <c r="AO13" i="2" s="1"/>
  <c r="B26" i="1" a="1"/>
  <c r="B26" i="1" s="1"/>
  <c r="B15" i="10" s="1"/>
  <c r="B15" i="2" s="1"/>
  <c r="F27" i="1" a="1"/>
  <c r="F27" i="1" s="1"/>
  <c r="F16" i="10" s="1"/>
  <c r="F16" i="2" s="1"/>
  <c r="F22" i="1" a="1"/>
  <c r="F22" i="1" s="1"/>
  <c r="F11" i="10" s="1"/>
  <c r="F11" i="2" s="1"/>
  <c r="J30" i="1" a="1"/>
  <c r="J30" i="1" s="1"/>
  <c r="J19" i="10" s="1"/>
  <c r="J19" i="2" s="1"/>
  <c r="K23" i="3" s="1"/>
  <c r="K21" i="13" s="1"/>
  <c r="K20" i="4" s="1"/>
  <c r="K20" i="12" s="1" a="1"/>
  <c r="K20" i="12" s="1"/>
  <c r="K20" i="14" s="1"/>
  <c r="L30" i="1" a="1"/>
  <c r="L30" i="1" s="1"/>
  <c r="L19" i="10" s="1"/>
  <c r="L19" i="2" s="1"/>
  <c r="L23" i="3" s="1"/>
  <c r="L21" i="13" s="1"/>
  <c r="L20" i="4" s="1"/>
  <c r="L20" i="12" s="1" a="1"/>
  <c r="L20" i="12" s="1"/>
  <c r="L20" i="14" s="1"/>
  <c r="I35" i="1" a="1"/>
  <c r="I35" i="1" s="1"/>
  <c r="I24" i="10" s="1"/>
  <c r="I24" i="2" s="1"/>
  <c r="I32" i="1" a="1"/>
  <c r="I32" i="1" s="1"/>
  <c r="I21" i="10" s="1"/>
  <c r="I21" i="2" s="1"/>
  <c r="AG39" i="1" a="1"/>
  <c r="AG39" i="1" s="1"/>
  <c r="AG28" i="10" s="1"/>
  <c r="AG28" i="2" s="1"/>
  <c r="AD43" i="1" a="1"/>
  <c r="AD43" i="1" s="1"/>
  <c r="AD32" i="10" s="1"/>
  <c r="AD32" i="2" s="1"/>
  <c r="S33" i="1" a="1"/>
  <c r="S33" i="1" s="1"/>
  <c r="S22" i="10" s="1"/>
  <c r="S22" i="2" s="1"/>
  <c r="T33" i="1" a="1"/>
  <c r="T33" i="1" s="1"/>
  <c r="T22" i="10" s="1"/>
  <c r="T22" i="2" s="1"/>
  <c r="V35" i="1" a="1"/>
  <c r="V35" i="1" s="1"/>
  <c r="V24" i="10" s="1"/>
  <c r="V24" i="2" s="1"/>
  <c r="P39" i="1" a="1"/>
  <c r="P39" i="1" s="1"/>
  <c r="P28" i="10" s="1"/>
  <c r="P28" i="2" s="1"/>
  <c r="P33" i="3" s="1"/>
  <c r="P31" i="13" s="1"/>
  <c r="P32" i="4" s="1"/>
  <c r="P32" i="12" s="1" a="1"/>
  <c r="P32" i="12" s="1"/>
  <c r="P32" i="14" s="1"/>
  <c r="AJ35" i="3"/>
  <c r="AJ33" i="13" s="1"/>
  <c r="G27" i="3"/>
  <c r="G25" i="13" s="1"/>
  <c r="B41" i="1" a="1"/>
  <c r="B41" i="1" s="1"/>
  <c r="B30" i="10" s="1"/>
  <c r="B30" i="2" s="1"/>
  <c r="AK42" i="1" a="1"/>
  <c r="AK42" i="1" s="1"/>
  <c r="AK31" i="10" s="1"/>
  <c r="AK31" i="2" s="1"/>
  <c r="AM42" i="1" a="1"/>
  <c r="AM42" i="1" s="1"/>
  <c r="AM31" i="10" s="1"/>
  <c r="AM31" i="2" s="1"/>
  <c r="AN43" i="1" a="1"/>
  <c r="AN43" i="1" s="1"/>
  <c r="AN32" i="10" s="1"/>
  <c r="AN32" i="2" s="1"/>
  <c r="AO37" i="3" s="1"/>
  <c r="AO35" i="13" s="1"/>
  <c r="AL39" i="1" a="1"/>
  <c r="AL39" i="1" s="1"/>
  <c r="AL28" i="10" s="1"/>
  <c r="AL28" i="2" s="1"/>
  <c r="AL41" i="1" a="1"/>
  <c r="AL41" i="1" s="1"/>
  <c r="AL30" i="10" s="1"/>
  <c r="AL30" i="2" s="1"/>
  <c r="V15" i="3"/>
  <c r="V13" i="13" s="1"/>
  <c r="V12" i="4" s="1"/>
  <c r="V12" i="12" s="1" a="1"/>
  <c r="V12" i="12" s="1"/>
  <c r="V12" i="14" s="1"/>
  <c r="U15" i="3"/>
  <c r="U13" i="13" s="1"/>
  <c r="U12" i="4" s="1"/>
  <c r="U12" i="12" s="1" a="1"/>
  <c r="U12" i="12" s="1"/>
  <c r="U12" i="14" s="1"/>
  <c r="I17" i="3"/>
  <c r="I15" i="13" s="1"/>
  <c r="I16" i="4" s="1"/>
  <c r="I16" i="12" s="1" a="1"/>
  <c r="I16" i="12" s="1"/>
  <c r="I16" i="14" s="1"/>
  <c r="H16" i="3"/>
  <c r="H14" i="13" s="1"/>
  <c r="AB17" i="3"/>
  <c r="AB15" i="13" s="1"/>
  <c r="AA16" i="3"/>
  <c r="AA14" i="13" s="1"/>
  <c r="AO17" i="3"/>
  <c r="AO15" i="13" s="1"/>
  <c r="AO14" i="4" s="1"/>
  <c r="AO14" i="12" s="1" a="1"/>
  <c r="AO14" i="12" s="1"/>
  <c r="AO14" i="14" s="1"/>
  <c r="AN18" i="3"/>
  <c r="AN16" i="13" s="1"/>
  <c r="AM18" i="3"/>
  <c r="AM16" i="13" s="1"/>
  <c r="AL17" i="3"/>
  <c r="AL15" i="13" s="1"/>
  <c r="AN17" i="3"/>
  <c r="AN15" i="13" s="1"/>
  <c r="AN16" i="3"/>
  <c r="AN14" i="13" s="1"/>
  <c r="AN13" i="4" s="1"/>
  <c r="AN13" i="12" s="1" a="1"/>
  <c r="AN13" i="12" s="1"/>
  <c r="AN13" i="14" s="1"/>
  <c r="AM17" i="3"/>
  <c r="AM15" i="13" s="1"/>
  <c r="AM16" i="3"/>
  <c r="AM14" i="13" s="1"/>
  <c r="AM13" i="4" s="1"/>
  <c r="AM13" i="12" s="1" a="1"/>
  <c r="AM13" i="12" s="1"/>
  <c r="AM13" i="14" s="1"/>
  <c r="AL16" i="3"/>
  <c r="AL14" i="13" s="1"/>
  <c r="AK16" i="3"/>
  <c r="AK14" i="13" s="1"/>
  <c r="AL15" i="3"/>
  <c r="AL13" i="13" s="1"/>
  <c r="AL12" i="4" s="1"/>
  <c r="AL12" i="12" s="1" a="1"/>
  <c r="AL12" i="12" s="1"/>
  <c r="AL12" i="14" s="1"/>
  <c r="AK15" i="3"/>
  <c r="AK13" i="13" s="1"/>
  <c r="AK12" i="4" s="1"/>
  <c r="AK12" i="12" s="1" a="1"/>
  <c r="AK12" i="12" s="1"/>
  <c r="AK12" i="14" s="1"/>
  <c r="AL24" i="3"/>
  <c r="AL22" i="13" s="1"/>
  <c r="AL23" i="3"/>
  <c r="AL21" i="13" s="1"/>
  <c r="AL20" i="4" s="1"/>
  <c r="AL20" i="12" s="1" a="1"/>
  <c r="AL20" i="12" s="1"/>
  <c r="AL20" i="14" s="1"/>
  <c r="AK24" i="3"/>
  <c r="AK22" i="13" s="1"/>
  <c r="AK23" i="3"/>
  <c r="AK21" i="13" s="1"/>
  <c r="AK20" i="4" s="1"/>
  <c r="AK20" i="12" s="1" a="1"/>
  <c r="AK20" i="12" s="1"/>
  <c r="AK20" i="14" s="1"/>
  <c r="C24" i="3"/>
  <c r="C22" i="13" s="1"/>
  <c r="C23" i="3"/>
  <c r="C21" i="13" s="1"/>
  <c r="B24" i="3"/>
  <c r="B22" i="13" s="1"/>
  <c r="B23" i="3"/>
  <c r="B21" i="13" s="1"/>
  <c r="AB40" i="3"/>
  <c r="AB38" i="13" s="1"/>
  <c r="AB39" i="3"/>
  <c r="AB37" i="13" s="1"/>
  <c r="AA39" i="3"/>
  <c r="AA37" i="13" s="1"/>
  <c r="AC39" i="3"/>
  <c r="AC37" i="13" s="1"/>
  <c r="AC40" i="3"/>
  <c r="AC38" i="13" s="1"/>
  <c r="E40" i="3"/>
  <c r="E38" i="13" s="1"/>
  <c r="D40" i="3"/>
  <c r="D38" i="13" s="1"/>
  <c r="E39" i="3"/>
  <c r="E37" i="13" s="1"/>
  <c r="D39" i="3"/>
  <c r="D37" i="13" s="1"/>
  <c r="M42" i="3"/>
  <c r="M40" i="13" s="1"/>
  <c r="M41" i="3"/>
  <c r="M39" i="13" s="1"/>
  <c r="L42" i="3"/>
  <c r="L40" i="13" s="1"/>
  <c r="AG22" i="1" a="1"/>
  <c r="AG22" i="1" s="1"/>
  <c r="AG11" i="10" s="1"/>
  <c r="AG11" i="2" s="1"/>
  <c r="AH15" i="3" s="1"/>
  <c r="AH13" i="13" s="1"/>
  <c r="AH12" i="4" s="1"/>
  <c r="AH12" i="12" s="1" a="1"/>
  <c r="AH12" i="12" s="1"/>
  <c r="AH12" i="14" s="1"/>
  <c r="AG25" i="1" a="1"/>
  <c r="AG25" i="1" s="1"/>
  <c r="AG14" i="10" s="1"/>
  <c r="AG14" i="2" s="1"/>
  <c r="AD27" i="1" a="1"/>
  <c r="AD27" i="1" s="1"/>
  <c r="AD16" i="10" s="1"/>
  <c r="AD16" i="2" s="1"/>
  <c r="B22" i="1" a="1"/>
  <c r="B22" i="1" s="1"/>
  <c r="B11" i="10" s="1"/>
  <c r="B11" i="2" s="1"/>
  <c r="B15" i="3" s="1"/>
  <c r="B13" i="13" s="1"/>
  <c r="B12" i="4" s="1"/>
  <c r="B12" i="12" s="1" a="1"/>
  <c r="B12" i="12" s="1"/>
  <c r="B12" i="14" s="1"/>
  <c r="C26" i="1" a="1"/>
  <c r="C26" i="1" s="1"/>
  <c r="C15" i="10" s="1"/>
  <c r="C15" i="2" s="1"/>
  <c r="E26" i="1" a="1"/>
  <c r="E26" i="1" s="1"/>
  <c r="E15" i="10" s="1"/>
  <c r="E15" i="2" s="1"/>
  <c r="L31" i="1" a="1"/>
  <c r="L31" i="1" s="1"/>
  <c r="L20" i="10" s="1"/>
  <c r="L20" i="2" s="1"/>
  <c r="I34" i="1" a="1"/>
  <c r="I34" i="1" s="1"/>
  <c r="I23" i="10" s="1"/>
  <c r="I23" i="2" s="1"/>
  <c r="K34" i="1" a="1"/>
  <c r="K34" i="1" s="1"/>
  <c r="K23" i="10" s="1"/>
  <c r="K23" i="2" s="1"/>
  <c r="AA38" i="1" a="1"/>
  <c r="AA38" i="1" s="1"/>
  <c r="AA27" i="10" s="1"/>
  <c r="AA27" i="2" s="1"/>
  <c r="Z40" i="1" a="1"/>
  <c r="Z40" i="1" s="1"/>
  <c r="Z29" i="10" s="1"/>
  <c r="Z29" i="2" s="1"/>
  <c r="Z42" i="1" a="1"/>
  <c r="Z42" i="1" s="1"/>
  <c r="Z31" i="10" s="1"/>
  <c r="Z31" i="2" s="1"/>
  <c r="Z43" i="1" a="1"/>
  <c r="Z43" i="1" s="1"/>
  <c r="Z32" i="10" s="1"/>
  <c r="Z32" i="2" s="1"/>
  <c r="Z37" i="3" s="1"/>
  <c r="Z35" i="13" s="1"/>
  <c r="AB43" i="1" a="1"/>
  <c r="AB43" i="1" s="1"/>
  <c r="AB32" i="10" s="1"/>
  <c r="AB32" i="2" s="1"/>
  <c r="AB37" i="3" s="1"/>
  <c r="AB35" i="13" s="1"/>
  <c r="T34" i="1" a="1"/>
  <c r="T34" i="1" s="1"/>
  <c r="T23" i="10" s="1"/>
  <c r="T23" i="2" s="1"/>
  <c r="S38" i="1" a="1"/>
  <c r="S38" i="1" s="1"/>
  <c r="S27" i="10" s="1"/>
  <c r="S27" i="2" s="1"/>
  <c r="R39" i="1" a="1"/>
  <c r="R39" i="1" s="1"/>
  <c r="R28" i="10" s="1"/>
  <c r="R28" i="2" s="1"/>
  <c r="V39" i="1" a="1"/>
  <c r="V39" i="1" s="1"/>
  <c r="V28" i="10" s="1"/>
  <c r="V28" i="2" s="1"/>
  <c r="U38" i="1" a="1"/>
  <c r="U38" i="1" s="1"/>
  <c r="U27" i="10" s="1"/>
  <c r="U27" i="2" s="1"/>
  <c r="V33" i="1" a="1"/>
  <c r="V33" i="1" s="1"/>
  <c r="V22" i="10" s="1"/>
  <c r="V22" i="2" s="1"/>
  <c r="AI33" i="1" a="1"/>
  <c r="AI33" i="1" s="1"/>
  <c r="AI22" i="10" s="1"/>
  <c r="AI22" i="2" s="1"/>
  <c r="AJ33" i="1" a="1"/>
  <c r="AJ33" i="1" s="1"/>
  <c r="AJ22" i="10" s="1"/>
  <c r="AJ22" i="2" s="1"/>
  <c r="AK33" i="1" a="1"/>
  <c r="AK33" i="1" s="1"/>
  <c r="AK22" i="10" s="1"/>
  <c r="AK22" i="2" s="1"/>
  <c r="AL26" i="3" s="1"/>
  <c r="AL24" i="13" s="1"/>
  <c r="AL23" i="4" s="1"/>
  <c r="AL23" i="12" s="1" a="1"/>
  <c r="AL23" i="12" s="1"/>
  <c r="AL23" i="14" s="1"/>
  <c r="AG34" i="1" a="1"/>
  <c r="AG34" i="1" s="1"/>
  <c r="AG23" i="10" s="1"/>
  <c r="AG23" i="2" s="1"/>
  <c r="AH34" i="1" a="1"/>
  <c r="AH34" i="1" s="1"/>
  <c r="AH23" i="10" s="1"/>
  <c r="AH23" i="2" s="1"/>
  <c r="AJ34" i="1" a="1"/>
  <c r="AJ34" i="1" s="1"/>
  <c r="AJ23" i="10" s="1"/>
  <c r="AJ23" i="2" s="1"/>
  <c r="AI39" i="1" a="1"/>
  <c r="AI39" i="1" s="1"/>
  <c r="AI28" i="10" s="1"/>
  <c r="AI28" i="2" s="1"/>
  <c r="Z34" i="1" a="1"/>
  <c r="Z34" i="1" s="1"/>
  <c r="Z23" i="10" s="1"/>
  <c r="Z23" i="2" s="1"/>
  <c r="Z27" i="3" s="1"/>
  <c r="Z25" i="13" s="1"/>
  <c r="Z35" i="1" a="1"/>
  <c r="Z35" i="1" s="1"/>
  <c r="Z24" i="10" s="1"/>
  <c r="Z24" i="2" s="1"/>
  <c r="Z28" i="3" s="1"/>
  <c r="Z26" i="13" s="1"/>
  <c r="K41" i="3"/>
  <c r="K39" i="13" s="1"/>
  <c r="J41" i="3"/>
  <c r="J39" i="13" s="1"/>
  <c r="I16" i="3"/>
  <c r="I14" i="13" s="1"/>
  <c r="J15" i="3"/>
  <c r="J13" i="13" s="1"/>
  <c r="J12" i="4" s="1"/>
  <c r="J12" i="12" s="1" a="1"/>
  <c r="J12" i="12" s="1"/>
  <c r="J12" i="14" s="1"/>
  <c r="I15" i="3"/>
  <c r="I13" i="13" s="1"/>
  <c r="S17" i="3"/>
  <c r="S15" i="13" s="1"/>
  <c r="S16" i="3"/>
  <c r="S14" i="13" s="1"/>
  <c r="S13" i="4" s="1"/>
  <c r="S13" i="12" s="1" a="1"/>
  <c r="S13" i="12" s="1"/>
  <c r="S13" i="14" s="1"/>
  <c r="Q17" i="3"/>
  <c r="Q15" i="13" s="1"/>
  <c r="Q16" i="4" s="1"/>
  <c r="Q16" i="12" s="1" a="1"/>
  <c r="Q16" i="12" s="1"/>
  <c r="Q16" i="14" s="1"/>
  <c r="P17" i="3"/>
  <c r="P15" i="13" s="1"/>
  <c r="AO38" i="1" a="1"/>
  <c r="AO38" i="1" s="1"/>
  <c r="AO27" i="10" s="1"/>
  <c r="AO27" i="2" s="1"/>
  <c r="AO31" i="3" s="1"/>
  <c r="AO29" i="13" s="1"/>
  <c r="AO28" i="4" s="1"/>
  <c r="AO28" i="12" s="1" a="1"/>
  <c r="AO28" i="12" s="1"/>
  <c r="AO28" i="14" s="1"/>
  <c r="AM39" i="1" a="1"/>
  <c r="AM39" i="1" s="1"/>
  <c r="AM28" i="10" s="1"/>
  <c r="AM28" i="2" s="1"/>
  <c r="AN39" i="1" a="1"/>
  <c r="AN39" i="1" s="1"/>
  <c r="AN28" i="10" s="1"/>
  <c r="AN28" i="2" s="1"/>
  <c r="B40" i="1" a="1"/>
  <c r="B40" i="1" s="1"/>
  <c r="B29" i="10" s="1"/>
  <c r="B29" i="2" s="1"/>
  <c r="AM40" i="1" a="1"/>
  <c r="AM40" i="1" s="1"/>
  <c r="AM29" i="10" s="1"/>
  <c r="AM29" i="2" s="1"/>
  <c r="AN40" i="1" a="1"/>
  <c r="AN40" i="1" s="1"/>
  <c r="AN29" i="10" s="1"/>
  <c r="AN29" i="2" s="1"/>
  <c r="AK41" i="1" a="1"/>
  <c r="AK41" i="1" s="1"/>
  <c r="AK30" i="10" s="1"/>
  <c r="AK30" i="2" s="1"/>
  <c r="AM41" i="1" a="1"/>
  <c r="AM41" i="1" s="1"/>
  <c r="AM30" i="10" s="1"/>
  <c r="AM30" i="2" s="1"/>
  <c r="AN41" i="1" a="1"/>
  <c r="AN41" i="1" s="1"/>
  <c r="AN30" i="10" s="1"/>
  <c r="AN30" i="2" s="1"/>
  <c r="AO41" i="1" a="1"/>
  <c r="AO41" i="1" s="1"/>
  <c r="AO30" i="10" s="1"/>
  <c r="AO30" i="2" s="1"/>
  <c r="AL42" i="1" a="1"/>
  <c r="AL42" i="1" s="1"/>
  <c r="AL31" i="10" s="1"/>
  <c r="AL31" i="2" s="1"/>
  <c r="AN42" i="1" a="1"/>
  <c r="AN42" i="1" s="1"/>
  <c r="AN31" i="10" s="1"/>
  <c r="AN31" i="2" s="1"/>
  <c r="AO42" i="1" a="1"/>
  <c r="AO42" i="1" s="1"/>
  <c r="AO31" i="10" s="1"/>
  <c r="AO31" i="2" s="1"/>
  <c r="AM43" i="1" a="1"/>
  <c r="AM43" i="1" s="1"/>
  <c r="AM32" i="10" s="1"/>
  <c r="AM32" i="2" s="1"/>
  <c r="AM35" i="3"/>
  <c r="AM33" i="13" s="1"/>
  <c r="M36" i="3"/>
  <c r="M34" i="13" s="1"/>
  <c r="L36" i="3"/>
  <c r="L34" i="13" s="1"/>
  <c r="AB42" i="3"/>
  <c r="AB40" i="13" s="1"/>
  <c r="AB41" i="3"/>
  <c r="AB39" i="13" s="1"/>
  <c r="AB38" i="4" s="1"/>
  <c r="AB38" i="12" s="1" a="1"/>
  <c r="AB38" i="12" s="1"/>
  <c r="AB38" i="14" s="1"/>
  <c r="AA41" i="3"/>
  <c r="AA39" i="13" s="1"/>
  <c r="AC41" i="3"/>
  <c r="AC39" i="13" s="1"/>
  <c r="AC38" i="4" s="1"/>
  <c r="AC38" i="12" s="1" a="1"/>
  <c r="AC38" i="12" s="1"/>
  <c r="AC38" i="14" s="1"/>
  <c r="AC42" i="3"/>
  <c r="AC40" i="13" s="1"/>
  <c r="AB47" i="3"/>
  <c r="AB45" i="13" s="1"/>
  <c r="AB46" i="3"/>
  <c r="AB44" i="13" s="1"/>
  <c r="AB43" i="4" s="1"/>
  <c r="AB43" i="12" s="1" a="1"/>
  <c r="AB43" i="12" s="1"/>
  <c r="AB43" i="14" s="1"/>
  <c r="AA47" i="3"/>
  <c r="AA45" i="13" s="1"/>
  <c r="Z46" i="3"/>
  <c r="Z44" i="13" s="1"/>
  <c r="AA46" i="3"/>
  <c r="AA44" i="13" s="1"/>
  <c r="AA43" i="4" s="1"/>
  <c r="AA43" i="12" s="1" a="1"/>
  <c r="AA43" i="12" s="1"/>
  <c r="AA43" i="14" s="1"/>
  <c r="G47" i="3"/>
  <c r="G45" i="13" s="1"/>
  <c r="G44" i="4" s="1"/>
  <c r="G44" i="12" s="1" a="1"/>
  <c r="G44" i="12" s="1"/>
  <c r="G44" i="14" s="1"/>
  <c r="F47" i="3"/>
  <c r="F45" i="13" s="1"/>
  <c r="F44" i="4" s="1"/>
  <c r="F44" i="12" s="1" a="1"/>
  <c r="F44" i="12" s="1"/>
  <c r="F44" i="14" s="1"/>
  <c r="F48" i="3"/>
  <c r="F46" i="13" s="1"/>
  <c r="G48" i="3"/>
  <c r="G46" i="13" s="1"/>
  <c r="J47" i="3"/>
  <c r="J45" i="13" s="1"/>
  <c r="J44" i="4" s="1"/>
  <c r="J44" i="12" s="1" a="1"/>
  <c r="J44" i="12" s="1"/>
  <c r="J44" i="14" s="1"/>
  <c r="I48" i="3"/>
  <c r="I46" i="13" s="1"/>
  <c r="I47" i="3"/>
  <c r="I45" i="13" s="1"/>
  <c r="I44" i="4" s="1"/>
  <c r="I44" i="12" s="1" a="1"/>
  <c r="I44" i="12" s="1"/>
  <c r="I44" i="14" s="1"/>
  <c r="J48" i="3"/>
  <c r="J46" i="13" s="1"/>
  <c r="AD22" i="1" a="1"/>
  <c r="AD22" i="1" s="1"/>
  <c r="AD11" i="10" s="1"/>
  <c r="AD11" i="2" s="1"/>
  <c r="AD16" i="3" s="1"/>
  <c r="AD14" i="13" s="1"/>
  <c r="AF22" i="1" a="1"/>
  <c r="AF22" i="1" s="1"/>
  <c r="AF11" i="10" s="1"/>
  <c r="AF11" i="2" s="1"/>
  <c r="AE23" i="1" a="1"/>
  <c r="AE23" i="1" s="1"/>
  <c r="AE12" i="10" s="1"/>
  <c r="AE12" i="2" s="1"/>
  <c r="AD25" i="1" a="1"/>
  <c r="AD25" i="1" s="1"/>
  <c r="AD14" i="10" s="1"/>
  <c r="AD14" i="2" s="1"/>
  <c r="AD26" i="1" a="1"/>
  <c r="AD26" i="1" s="1"/>
  <c r="AD15" i="10" s="1"/>
  <c r="AD15" i="2" s="1"/>
  <c r="AE26" i="1" a="1"/>
  <c r="AE26" i="1" s="1"/>
  <c r="AE15" i="10" s="1"/>
  <c r="AE15" i="2" s="1"/>
  <c r="C22" i="1" a="1"/>
  <c r="C22" i="1" s="1"/>
  <c r="C11" i="10" s="1"/>
  <c r="C11" i="2" s="1"/>
  <c r="B24" i="1" a="1"/>
  <c r="B24" i="1" s="1"/>
  <c r="B13" i="10" s="1"/>
  <c r="B13" i="2" s="1"/>
  <c r="E25" i="1" a="1"/>
  <c r="E25" i="1" s="1"/>
  <c r="E14" i="10" s="1"/>
  <c r="E14" i="2" s="1"/>
  <c r="E27" i="1" a="1"/>
  <c r="E27" i="1" s="1"/>
  <c r="E16" i="10" s="1"/>
  <c r="E16" i="2" s="1"/>
  <c r="P30" i="1" a="1"/>
  <c r="P30" i="1" s="1"/>
  <c r="P19" i="10" s="1"/>
  <c r="P19" i="2" s="1"/>
  <c r="P23" i="3" s="1"/>
  <c r="P21" i="13" s="1"/>
  <c r="P20" i="4" s="1"/>
  <c r="P20" i="12" s="1" a="1"/>
  <c r="P20" i="12" s="1"/>
  <c r="P20" i="14" s="1"/>
  <c r="Q32" i="1" a="1"/>
  <c r="Q32" i="1" s="1"/>
  <c r="Q21" i="10" s="1"/>
  <c r="Q21" i="2" s="1"/>
  <c r="R33" i="1" a="1"/>
  <c r="R33" i="1" s="1"/>
  <c r="R22" i="10" s="1"/>
  <c r="R22" i="2" s="1"/>
  <c r="S26" i="3" s="1"/>
  <c r="S24" i="13" s="1"/>
  <c r="Q34" i="1" a="1"/>
  <c r="Q34" i="1" s="1"/>
  <c r="Q23" i="10" s="1"/>
  <c r="Q23" i="2" s="1"/>
  <c r="I30" i="1" a="1"/>
  <c r="I30" i="1" s="1"/>
  <c r="I19" i="10" s="1"/>
  <c r="I19" i="2" s="1"/>
  <c r="K31" i="1" a="1"/>
  <c r="K31" i="1" s="1"/>
  <c r="K20" i="10" s="1"/>
  <c r="K20" i="2" s="1"/>
  <c r="L24" i="3" s="1"/>
  <c r="L22" i="13" s="1"/>
  <c r="L21" i="4" s="1"/>
  <c r="L21" i="12" s="1" a="1"/>
  <c r="L21" i="12" s="1"/>
  <c r="L21" i="14" s="1"/>
  <c r="J32" i="1" a="1"/>
  <c r="J32" i="1" s="1"/>
  <c r="J21" i="10" s="1"/>
  <c r="J21" i="2" s="1"/>
  <c r="L34" i="1" a="1"/>
  <c r="L34" i="1" s="1"/>
  <c r="L23" i="10" s="1"/>
  <c r="L23" i="2" s="1"/>
  <c r="AG38" i="1" a="1"/>
  <c r="AG38" i="1" s="1"/>
  <c r="AG27" i="10" s="1"/>
  <c r="AG27" i="2" s="1"/>
  <c r="AH38" i="1" a="1"/>
  <c r="AH38" i="1" s="1"/>
  <c r="AH27" i="10" s="1"/>
  <c r="AH27" i="2" s="1"/>
  <c r="AG42" i="1" a="1"/>
  <c r="AG42" i="1" s="1"/>
  <c r="AG31" i="10" s="1"/>
  <c r="AG31" i="2" s="1"/>
  <c r="AB38" i="1" a="1"/>
  <c r="AB38" i="1" s="1"/>
  <c r="AB27" i="10" s="1"/>
  <c r="AB27" i="2" s="1"/>
  <c r="AA39" i="1" a="1"/>
  <c r="AA39" i="1" s="1"/>
  <c r="AA28" i="10" s="1"/>
  <c r="AA28" i="2" s="1"/>
  <c r="AD39" i="1" a="1"/>
  <c r="AD39" i="1" s="1"/>
  <c r="AD28" i="10" s="1"/>
  <c r="AD28" i="2" s="1"/>
  <c r="L17" i="3"/>
  <c r="L15" i="13" s="1"/>
  <c r="L16" i="3"/>
  <c r="L14" i="13" s="1"/>
  <c r="L13" i="4" s="1"/>
  <c r="L13" i="12" s="1" a="1"/>
  <c r="L13" i="12" s="1"/>
  <c r="L13" i="14" s="1"/>
  <c r="K17" i="3"/>
  <c r="K15" i="13" s="1"/>
  <c r="J17" i="3"/>
  <c r="J15" i="13" s="1"/>
  <c r="K16" i="3"/>
  <c r="K14" i="13" s="1"/>
  <c r="K13" i="4" s="1"/>
  <c r="K13" i="12" s="1" a="1"/>
  <c r="K13" i="12" s="1"/>
  <c r="K13" i="14" s="1"/>
  <c r="J16" i="3"/>
  <c r="J14" i="13" s="1"/>
  <c r="J13" i="4" s="1"/>
  <c r="J13" i="12" s="1" a="1"/>
  <c r="J13" i="12" s="1"/>
  <c r="J13" i="14" s="1"/>
  <c r="V17" i="3"/>
  <c r="V15" i="13" s="1"/>
  <c r="U17" i="3"/>
  <c r="U15" i="13" s="1"/>
  <c r="V16" i="3"/>
  <c r="V14" i="13" s="1"/>
  <c r="V13" i="4" s="1"/>
  <c r="V13" i="12" s="1" a="1"/>
  <c r="V13" i="12" s="1"/>
  <c r="V13" i="14" s="1"/>
  <c r="U16" i="3"/>
  <c r="U14" i="13" s="1"/>
  <c r="U13" i="4" s="1"/>
  <c r="U13" i="12" s="1" a="1"/>
  <c r="U13" i="12" s="1"/>
  <c r="U13" i="14" s="1"/>
  <c r="W17" i="3"/>
  <c r="W15" i="13" s="1"/>
  <c r="W16" i="3"/>
  <c r="W14" i="13" s="1"/>
  <c r="W13" i="4" s="1"/>
  <c r="W13" i="12" s="1" a="1"/>
  <c r="W13" i="12" s="1"/>
  <c r="W13" i="14" s="1"/>
  <c r="AC16" i="3"/>
  <c r="AC14" i="13" s="1"/>
  <c r="AC13" i="4" s="1"/>
  <c r="AC13" i="12" s="1" a="1"/>
  <c r="AC13" i="12" s="1"/>
  <c r="AC13" i="14" s="1"/>
  <c r="AB16" i="3"/>
  <c r="AB14" i="13" s="1"/>
  <c r="AH22" i="3"/>
  <c r="AH20" i="13" s="1"/>
  <c r="AH21" i="3"/>
  <c r="AH19" i="13" s="1"/>
  <c r="AG22" i="3"/>
  <c r="AG20" i="13" s="1"/>
  <c r="U33" i="1" a="1"/>
  <c r="U33" i="1" s="1"/>
  <c r="U22" i="10" s="1"/>
  <c r="U22" i="2" s="1"/>
  <c r="S34" i="1" a="1"/>
  <c r="S34" i="1" s="1"/>
  <c r="S23" i="10" s="1"/>
  <c r="S23" i="2" s="1"/>
  <c r="U34" i="1" a="1"/>
  <c r="U34" i="1" s="1"/>
  <c r="U23" i="10" s="1"/>
  <c r="U23" i="2" s="1"/>
  <c r="P35" i="1" a="1"/>
  <c r="P35" i="1" s="1"/>
  <c r="P24" i="10" s="1"/>
  <c r="P24" i="2" s="1"/>
  <c r="R35" i="1" a="1"/>
  <c r="R35" i="1" s="1"/>
  <c r="R24" i="10" s="1"/>
  <c r="R24" i="2" s="1"/>
  <c r="S35" i="1" a="1"/>
  <c r="S35" i="1" s="1"/>
  <c r="S24" i="10" s="1"/>
  <c r="S24" i="2" s="1"/>
  <c r="T35" i="1" a="1"/>
  <c r="T35" i="1" s="1"/>
  <c r="T24" i="10" s="1"/>
  <c r="T24" i="2" s="1"/>
  <c r="U35" i="1" a="1"/>
  <c r="U35" i="1" s="1"/>
  <c r="U24" i="10" s="1"/>
  <c r="U24" i="2" s="1"/>
  <c r="Q36" i="1" a="1"/>
  <c r="Q36" i="1" s="1"/>
  <c r="Q25" i="10" s="1"/>
  <c r="Q25" i="2" s="1"/>
  <c r="R36" i="1" a="1"/>
  <c r="R36" i="1" s="1"/>
  <c r="R25" i="10" s="1"/>
  <c r="R25" i="2" s="1"/>
  <c r="S36" i="1" a="1"/>
  <c r="S36" i="1" s="1"/>
  <c r="S25" i="10" s="1"/>
  <c r="S25" i="2" s="1"/>
  <c r="T36" i="1" a="1"/>
  <c r="T36" i="1" s="1"/>
  <c r="T25" i="10" s="1"/>
  <c r="T25" i="2" s="1"/>
  <c r="U36" i="1" a="1"/>
  <c r="U36" i="1" s="1"/>
  <c r="U25" i="10" s="1"/>
  <c r="U25" i="2" s="1"/>
  <c r="Q37" i="1" a="1"/>
  <c r="Q37" i="1" s="1"/>
  <c r="Q26" i="10" s="1"/>
  <c r="Q26" i="2" s="1"/>
  <c r="R37" i="1" a="1"/>
  <c r="R37" i="1" s="1"/>
  <c r="R26" i="10" s="1"/>
  <c r="R26" i="2" s="1"/>
  <c r="S37" i="1" a="1"/>
  <c r="S37" i="1" s="1"/>
  <c r="S26" i="10" s="1"/>
  <c r="S26" i="2" s="1"/>
  <c r="T37" i="1" a="1"/>
  <c r="T37" i="1" s="1"/>
  <c r="T26" i="10" s="1"/>
  <c r="T26" i="2" s="1"/>
  <c r="U37" i="1" a="1"/>
  <c r="U37" i="1" s="1"/>
  <c r="U26" i="10" s="1"/>
  <c r="U26" i="2" s="1"/>
  <c r="V37" i="1" a="1"/>
  <c r="V37" i="1" s="1"/>
  <c r="V26" i="10" s="1"/>
  <c r="V26" i="2" s="1"/>
  <c r="T38" i="1" a="1"/>
  <c r="T38" i="1" s="1"/>
  <c r="T27" i="10" s="1"/>
  <c r="T27" i="2" s="1"/>
  <c r="Q39" i="1" a="1"/>
  <c r="Q39" i="1" s="1"/>
  <c r="Q28" i="10" s="1"/>
  <c r="Q28" i="2" s="1"/>
  <c r="S39" i="1" a="1"/>
  <c r="S39" i="1" s="1"/>
  <c r="S28" i="10" s="1"/>
  <c r="S28" i="2" s="1"/>
  <c r="U39" i="1" a="1"/>
  <c r="U39" i="1" s="1"/>
  <c r="U28" i="10" s="1"/>
  <c r="U28" i="2" s="1"/>
  <c r="K35" i="1" a="1"/>
  <c r="K35" i="1" s="1"/>
  <c r="K24" i="10" s="1"/>
  <c r="K24" i="2" s="1"/>
  <c r="L35" i="1" a="1"/>
  <c r="L35" i="1" s="1"/>
  <c r="L24" i="10" s="1"/>
  <c r="L24" i="2" s="1"/>
  <c r="M35" i="1" a="1"/>
  <c r="M35" i="1" s="1"/>
  <c r="M24" i="10" s="1"/>
  <c r="M24" i="2" s="1"/>
  <c r="N35" i="1" a="1"/>
  <c r="N35" i="1" s="1"/>
  <c r="N24" i="10" s="1"/>
  <c r="N24" i="2" s="1"/>
  <c r="Q35" i="1" a="1"/>
  <c r="Q35" i="1" s="1"/>
  <c r="Q24" i="10" s="1"/>
  <c r="Q24" i="2" s="1"/>
  <c r="R29" i="3" s="1"/>
  <c r="R27" i="13" s="1"/>
  <c r="L36" i="1" a="1"/>
  <c r="L36" i="1" s="1"/>
  <c r="L25" i="10" s="1"/>
  <c r="L25" i="2" s="1"/>
  <c r="M36" i="1" a="1"/>
  <c r="M36" i="1" s="1"/>
  <c r="M25" i="10" s="1"/>
  <c r="M25" i="2" s="1"/>
  <c r="N36" i="1" a="1"/>
  <c r="N36" i="1" s="1"/>
  <c r="N25" i="10" s="1"/>
  <c r="N25" i="2" s="1"/>
  <c r="O36" i="1" a="1"/>
  <c r="O36" i="1" s="1"/>
  <c r="O25" i="10" s="1"/>
  <c r="O25" i="2" s="1"/>
  <c r="P36" i="1" a="1"/>
  <c r="P36" i="1" s="1"/>
  <c r="P25" i="10" s="1"/>
  <c r="P25" i="2" s="1"/>
  <c r="M37" i="1" a="1"/>
  <c r="M37" i="1" s="1"/>
  <c r="M26" i="10" s="1"/>
  <c r="M26" i="2" s="1"/>
  <c r="N37" i="1" a="1"/>
  <c r="N37" i="1" s="1"/>
  <c r="N26" i="10" s="1"/>
  <c r="N26" i="2" s="1"/>
  <c r="O37" i="1" a="1"/>
  <c r="O37" i="1" s="1"/>
  <c r="O26" i="10" s="1"/>
  <c r="O26" i="2" s="1"/>
  <c r="P37" i="1" a="1"/>
  <c r="P37" i="1" s="1"/>
  <c r="P26" i="10" s="1"/>
  <c r="P26" i="2" s="1"/>
  <c r="L38" i="1" a="1"/>
  <c r="L38" i="1" s="1"/>
  <c r="L27" i="10" s="1"/>
  <c r="L27" i="2" s="1"/>
  <c r="N38" i="1" a="1"/>
  <c r="N38" i="1" s="1"/>
  <c r="N27" i="10" s="1"/>
  <c r="N27" i="2" s="1"/>
  <c r="O38" i="1" a="1"/>
  <c r="O38" i="1" s="1"/>
  <c r="O27" i="10" s="1"/>
  <c r="O27" i="2" s="1"/>
  <c r="P38" i="1" a="1"/>
  <c r="P38" i="1" s="1"/>
  <c r="P27" i="10" s="1"/>
  <c r="P27" i="2" s="1"/>
  <c r="K39" i="1" a="1"/>
  <c r="K39" i="1" s="1"/>
  <c r="K28" i="10" s="1"/>
  <c r="K28" i="2" s="1"/>
  <c r="M38" i="1" a="1"/>
  <c r="M38" i="1" s="1"/>
  <c r="M27" i="10" s="1"/>
  <c r="M27" i="2" s="1"/>
  <c r="N32" i="3" s="1"/>
  <c r="N30" i="13" s="1"/>
  <c r="I27" i="3"/>
  <c r="I25" i="13" s="1"/>
  <c r="H27" i="3"/>
  <c r="H25" i="13" s="1"/>
  <c r="G26" i="3"/>
  <c r="G24" i="13" s="1"/>
  <c r="F27" i="3"/>
  <c r="F25" i="13" s="1"/>
  <c r="E26" i="3"/>
  <c r="E24" i="13" s="1"/>
  <c r="I26" i="3"/>
  <c r="I24" i="13" s="1"/>
  <c r="I25" i="3"/>
  <c r="I23" i="13" s="1"/>
  <c r="H26" i="3"/>
  <c r="H24" i="13" s="1"/>
  <c r="F26" i="3"/>
  <c r="F24" i="13" s="1"/>
  <c r="E25" i="3"/>
  <c r="E23" i="13" s="1"/>
  <c r="I24" i="3"/>
  <c r="I22" i="13" s="1"/>
  <c r="H24" i="3"/>
  <c r="H22" i="13" s="1"/>
  <c r="H25" i="3"/>
  <c r="H23" i="13" s="1"/>
  <c r="H22" i="4" s="1"/>
  <c r="H22" i="12" s="1" a="1"/>
  <c r="H22" i="12" s="1"/>
  <c r="H22" i="14" s="1"/>
  <c r="G25" i="3"/>
  <c r="G23" i="13" s="1"/>
  <c r="F24" i="3"/>
  <c r="F22" i="13" s="1"/>
  <c r="E24" i="3"/>
  <c r="E22" i="13" s="1"/>
  <c r="E21" i="4" s="1"/>
  <c r="E21" i="12" s="1" a="1"/>
  <c r="E21" i="12" s="1"/>
  <c r="E21" i="14" s="1"/>
  <c r="F25" i="3"/>
  <c r="F23" i="13" s="1"/>
  <c r="G24" i="3"/>
  <c r="G22" i="13" s="1"/>
  <c r="G23" i="3"/>
  <c r="G21" i="13" s="1"/>
  <c r="F23" i="3"/>
  <c r="F21" i="13" s="1"/>
  <c r="AM27" i="3"/>
  <c r="AM25" i="13" s="1"/>
  <c r="AM24" i="4" s="1"/>
  <c r="AM24" i="12" s="1" a="1"/>
  <c r="AM24" i="12" s="1"/>
  <c r="AM24" i="14" s="1"/>
  <c r="AM28" i="3"/>
  <c r="AM26" i="13" s="1"/>
  <c r="C28" i="3"/>
  <c r="C26" i="13" s="1"/>
  <c r="C27" i="3"/>
  <c r="C25" i="13" s="1"/>
  <c r="B28" i="3"/>
  <c r="B26" i="13" s="1"/>
  <c r="B27" i="3"/>
  <c r="B25" i="13" s="1"/>
  <c r="AK27" i="3"/>
  <c r="AK25" i="13" s="1"/>
  <c r="AL27" i="3"/>
  <c r="AL25" i="13" s="1"/>
  <c r="AL24" i="4" s="1"/>
  <c r="AL24" i="12" s="1" a="1"/>
  <c r="AL24" i="12" s="1"/>
  <c r="AL24" i="14" s="1"/>
  <c r="D32" i="3"/>
  <c r="D30" i="13" s="1"/>
  <c r="D31" i="3"/>
  <c r="D29" i="13" s="1"/>
  <c r="B32" i="3"/>
  <c r="B30" i="13" s="1"/>
  <c r="C32" i="3"/>
  <c r="C30" i="13" s="1"/>
  <c r="C31" i="3"/>
  <c r="C29" i="13" s="1"/>
  <c r="B31" i="3"/>
  <c r="B29" i="13" s="1"/>
  <c r="E32" i="3"/>
  <c r="E30" i="13" s="1"/>
  <c r="E31" i="3"/>
  <c r="E29" i="13" s="1"/>
  <c r="AF33" i="1" a="1"/>
  <c r="AF33" i="1" s="1"/>
  <c r="AF22" i="10" s="1"/>
  <c r="AF22" i="2" s="1"/>
  <c r="AH33" i="1" a="1"/>
  <c r="AH33" i="1" s="1"/>
  <c r="AH22" i="10" s="1"/>
  <c r="AH22" i="2" s="1"/>
  <c r="AE34" i="1" a="1"/>
  <c r="AE34" i="1" s="1"/>
  <c r="AE23" i="10" s="1"/>
  <c r="AE23" i="2" s="1"/>
  <c r="AF27" i="3" s="1"/>
  <c r="AF25" i="13" s="1"/>
  <c r="AI34" i="1" a="1"/>
  <c r="AI34" i="1" s="1"/>
  <c r="AI23" i="10" s="1"/>
  <c r="AI23" i="2" s="1"/>
  <c r="AG35" i="1" a="1"/>
  <c r="AG35" i="1" s="1"/>
  <c r="AG24" i="10" s="1"/>
  <c r="AG24" i="2" s="1"/>
  <c r="AH35" i="1" a="1"/>
  <c r="AH35" i="1" s="1"/>
  <c r="AH24" i="10" s="1"/>
  <c r="AH24" i="2" s="1"/>
  <c r="AI35" i="1" a="1"/>
  <c r="AI35" i="1" s="1"/>
  <c r="AI24" i="10" s="1"/>
  <c r="AI24" i="2" s="1"/>
  <c r="AJ35" i="1" a="1"/>
  <c r="AJ35" i="1" s="1"/>
  <c r="AJ24" i="10" s="1"/>
  <c r="AJ24" i="2" s="1"/>
  <c r="AK35" i="1" a="1"/>
  <c r="AK35" i="1" s="1"/>
  <c r="AK24" i="10" s="1"/>
  <c r="AK24" i="2" s="1"/>
  <c r="AE36" i="1" a="1"/>
  <c r="AE36" i="1" s="1"/>
  <c r="AE25" i="10" s="1"/>
  <c r="AE25" i="2" s="1"/>
  <c r="AG36" i="1" a="1"/>
  <c r="AG36" i="1" s="1"/>
  <c r="AG25" i="10" s="1"/>
  <c r="AG25" i="2" s="1"/>
  <c r="AH36" i="1" a="1"/>
  <c r="AH36" i="1" s="1"/>
  <c r="AH25" i="10" s="1"/>
  <c r="AH25" i="2" s="1"/>
  <c r="AI36" i="1" a="1"/>
  <c r="AI36" i="1" s="1"/>
  <c r="AI25" i="10" s="1"/>
  <c r="AI25" i="2" s="1"/>
  <c r="AJ36" i="1" a="1"/>
  <c r="AJ36" i="1" s="1"/>
  <c r="AJ25" i="10" s="1"/>
  <c r="AJ25" i="2" s="1"/>
  <c r="AK36" i="1" a="1"/>
  <c r="AK36" i="1" s="1"/>
  <c r="AK25" i="10" s="1"/>
  <c r="AK25" i="2" s="1"/>
  <c r="AL30" i="3" s="1"/>
  <c r="AL28" i="13" s="1"/>
  <c r="AG37" i="1" a="1"/>
  <c r="AG37" i="1" s="1"/>
  <c r="AG26" i="10" s="1"/>
  <c r="AG26" i="2" s="1"/>
  <c r="AH37" i="1" a="1"/>
  <c r="AH37" i="1" s="1"/>
  <c r="AH26" i="10" s="1"/>
  <c r="AH26" i="2" s="1"/>
  <c r="AI37" i="1" a="1"/>
  <c r="AI37" i="1" s="1"/>
  <c r="AI26" i="10" s="1"/>
  <c r="AI26" i="2" s="1"/>
  <c r="AJ37" i="1" a="1"/>
  <c r="AJ37" i="1" s="1"/>
  <c r="AJ26" i="10" s="1"/>
  <c r="AJ26" i="2" s="1"/>
  <c r="AF38" i="1" a="1"/>
  <c r="AF38" i="1" s="1"/>
  <c r="AF27" i="10" s="1"/>
  <c r="AF27" i="2" s="1"/>
  <c r="AI38" i="1" a="1"/>
  <c r="AI38" i="1" s="1"/>
  <c r="AI27" i="10" s="1"/>
  <c r="AI27" i="2" s="1"/>
  <c r="AF39" i="1" a="1"/>
  <c r="AF39" i="1" s="1"/>
  <c r="AF28" i="10" s="1"/>
  <c r="AF28" i="2" s="1"/>
  <c r="AJ38" i="1" a="1"/>
  <c r="AJ38" i="1" s="1"/>
  <c r="AJ27" i="10" s="1"/>
  <c r="AJ27" i="2" s="1"/>
  <c r="AK38" i="1" a="1"/>
  <c r="AK38" i="1" s="1"/>
  <c r="AK27" i="10" s="1"/>
  <c r="AK27" i="2" s="1"/>
  <c r="AA34" i="1" a="1"/>
  <c r="AA34" i="1" s="1"/>
  <c r="AA23" i="10" s="1"/>
  <c r="AA23" i="2" s="1"/>
  <c r="AA27" i="3" s="1"/>
  <c r="AA25" i="13" s="1"/>
  <c r="AB34" i="1" a="1"/>
  <c r="AB34" i="1" s="1"/>
  <c r="AB23" i="10" s="1"/>
  <c r="AB23" i="2" s="1"/>
  <c r="AC34" i="1" a="1"/>
  <c r="AC34" i="1" s="1"/>
  <c r="AC23" i="10" s="1"/>
  <c r="AC23" i="2" s="1"/>
  <c r="AE35" i="1" a="1"/>
  <c r="AE35" i="1" s="1"/>
  <c r="AE24" i="10" s="1"/>
  <c r="AE24" i="2" s="1"/>
  <c r="Z36" i="1" a="1"/>
  <c r="Z36" i="1" s="1"/>
  <c r="Z25" i="10" s="1"/>
  <c r="Z25" i="2" s="1"/>
  <c r="AF37" i="1" a="1"/>
  <c r="AF37" i="1" s="1"/>
  <c r="AF26" i="10" s="1"/>
  <c r="AF26" i="2" s="1"/>
  <c r="AG31" i="3" s="1"/>
  <c r="AG29" i="13" s="1"/>
  <c r="Z38" i="1" a="1"/>
  <c r="Z38" i="1" s="1"/>
  <c r="Z27" i="10" s="1"/>
  <c r="Z27" i="2" s="1"/>
  <c r="AC38" i="1" a="1"/>
  <c r="AC38" i="1" s="1"/>
  <c r="AC27" i="10" s="1"/>
  <c r="AC27" i="2" s="1"/>
  <c r="AJ34" i="4"/>
  <c r="AJ34" i="12" s="1" a="1"/>
  <c r="AJ34" i="12" s="1"/>
  <c r="AJ34" i="14" s="1"/>
  <c r="AM33" i="3"/>
  <c r="AM31" i="13" s="1"/>
  <c r="AM34" i="3"/>
  <c r="AM32" i="13" s="1"/>
  <c r="AL34" i="3"/>
  <c r="AL32" i="13" s="1"/>
  <c r="AK34" i="3"/>
  <c r="AK32" i="13" s="1"/>
  <c r="AJ34" i="3"/>
  <c r="AJ32" i="13" s="1"/>
  <c r="AL33" i="3"/>
  <c r="AL31" i="13" s="1"/>
  <c r="AK33" i="3"/>
  <c r="AK31" i="13" s="1"/>
  <c r="AJ33" i="3"/>
  <c r="AJ31" i="13" s="1"/>
  <c r="AM32" i="3"/>
  <c r="AM30" i="13" s="1"/>
  <c r="AM31" i="3"/>
  <c r="AM29" i="13" s="1"/>
  <c r="AM28" i="4" s="1"/>
  <c r="AM28" i="12" s="1" a="1"/>
  <c r="AM28" i="12" s="1"/>
  <c r="AM28" i="14" s="1"/>
  <c r="R37" i="3"/>
  <c r="R35" i="13" s="1"/>
  <c r="R36" i="3"/>
  <c r="R34" i="13" s="1"/>
  <c r="R33" i="4" s="1"/>
  <c r="R33" i="12" s="1" a="1"/>
  <c r="R33" i="12" s="1"/>
  <c r="R33" i="14" s="1"/>
  <c r="P37" i="3"/>
  <c r="P35" i="13" s="1"/>
  <c r="Q37" i="3"/>
  <c r="Q35" i="13" s="1"/>
  <c r="Q36" i="3"/>
  <c r="Q34" i="13" s="1"/>
  <c r="Q33" i="4" s="1"/>
  <c r="Q33" i="12" s="1" a="1"/>
  <c r="Q33" i="12" s="1"/>
  <c r="Q33" i="14" s="1"/>
  <c r="P36" i="3"/>
  <c r="P34" i="13" s="1"/>
  <c r="P33" i="4" s="1"/>
  <c r="P33" i="12" s="1" a="1"/>
  <c r="P33" i="12" s="1"/>
  <c r="P33" i="14" s="1"/>
  <c r="R40" i="3"/>
  <c r="R38" i="13" s="1"/>
  <c r="R39" i="3"/>
  <c r="R37" i="13" s="1"/>
  <c r="R36" i="4" s="1"/>
  <c r="R36" i="12" s="1" a="1"/>
  <c r="R36" i="12" s="1"/>
  <c r="R36" i="14" s="1"/>
  <c r="Q40" i="3"/>
  <c r="Q38" i="13" s="1"/>
  <c r="Q39" i="3"/>
  <c r="Q37" i="13" s="1"/>
  <c r="P40" i="3"/>
  <c r="P38" i="13" s="1"/>
  <c r="O40" i="3"/>
  <c r="O38" i="13" s="1"/>
  <c r="P39" i="3"/>
  <c r="P37" i="13" s="1"/>
  <c r="O39" i="3"/>
  <c r="O37" i="13" s="1"/>
  <c r="AL40" i="3"/>
  <c r="AL38" i="13" s="1"/>
  <c r="AL39" i="3"/>
  <c r="AL37" i="13" s="1"/>
  <c r="AK39" i="3"/>
  <c r="AK37" i="13" s="1"/>
  <c r="B39" i="3"/>
  <c r="B37" i="13" s="1"/>
  <c r="C39" i="3"/>
  <c r="C37" i="13" s="1"/>
  <c r="B40" i="3"/>
  <c r="B38" i="13" s="1"/>
  <c r="C40" i="3"/>
  <c r="C38" i="13" s="1"/>
  <c r="K40" i="4"/>
  <c r="K40" i="12" s="1" a="1"/>
  <c r="K40" i="12" s="1"/>
  <c r="K40" i="14" s="1"/>
  <c r="I41" i="3"/>
  <c r="I39" i="13" s="1"/>
  <c r="H41" i="3"/>
  <c r="H39" i="13" s="1"/>
  <c r="G41" i="3"/>
  <c r="G39" i="13" s="1"/>
  <c r="F40" i="3"/>
  <c r="F38" i="13" s="1"/>
  <c r="L40" i="3"/>
  <c r="L38" i="13" s="1"/>
  <c r="L39" i="3"/>
  <c r="L37" i="13" s="1"/>
  <c r="K40" i="3"/>
  <c r="K38" i="13" s="1"/>
  <c r="J40" i="3"/>
  <c r="J38" i="13" s="1"/>
  <c r="I40" i="3"/>
  <c r="I38" i="13" s="1"/>
  <c r="H40" i="3"/>
  <c r="H38" i="13" s="1"/>
  <c r="G40" i="3"/>
  <c r="G38" i="13" s="1"/>
  <c r="G39" i="3"/>
  <c r="G37" i="13" s="1"/>
  <c r="F39" i="3"/>
  <c r="F37" i="13" s="1"/>
  <c r="M39" i="3"/>
  <c r="M37" i="13" s="1"/>
  <c r="L38" i="3"/>
  <c r="L36" i="13" s="1"/>
  <c r="K39" i="3"/>
  <c r="K37" i="13" s="1"/>
  <c r="J39" i="3"/>
  <c r="J37" i="13" s="1"/>
  <c r="J38" i="3"/>
  <c r="J36" i="13" s="1"/>
  <c r="I39" i="3"/>
  <c r="I37" i="13" s="1"/>
  <c r="H39" i="3"/>
  <c r="H37" i="13" s="1"/>
  <c r="H38" i="3"/>
  <c r="H36" i="13" s="1"/>
  <c r="G38" i="3"/>
  <c r="G36" i="13" s="1"/>
  <c r="M37" i="3"/>
  <c r="M35" i="13" s="1"/>
  <c r="L37" i="3"/>
  <c r="L35" i="13" s="1"/>
  <c r="M38" i="3"/>
  <c r="M36" i="13" s="1"/>
  <c r="M35" i="4" s="1"/>
  <c r="M35" i="12" s="1" a="1"/>
  <c r="M35" i="12" s="1"/>
  <c r="M35" i="14" s="1"/>
  <c r="K37" i="3"/>
  <c r="K35" i="13" s="1"/>
  <c r="K38" i="3"/>
  <c r="K36" i="13" s="1"/>
  <c r="K35" i="4" s="1"/>
  <c r="K35" i="12" s="1" a="1"/>
  <c r="K35" i="12" s="1"/>
  <c r="K35" i="14" s="1"/>
  <c r="H37" i="3"/>
  <c r="H35" i="13" s="1"/>
  <c r="I38" i="3"/>
  <c r="I36" i="13" s="1"/>
  <c r="J37" i="3"/>
  <c r="J35" i="13" s="1"/>
  <c r="J36" i="3"/>
  <c r="J34" i="13" s="1"/>
  <c r="I37" i="3"/>
  <c r="I35" i="13" s="1"/>
  <c r="I36" i="3"/>
  <c r="I34" i="13" s="1"/>
  <c r="H36" i="3"/>
  <c r="H34" i="13" s="1"/>
  <c r="F36" i="3"/>
  <c r="F34" i="13" s="1"/>
  <c r="G36" i="3"/>
  <c r="G34" i="13" s="1"/>
  <c r="F37" i="3"/>
  <c r="F35" i="13" s="1"/>
  <c r="G37" i="3"/>
  <c r="G35" i="13" s="1"/>
  <c r="G34" i="4" s="1"/>
  <c r="G34" i="12" s="1" a="1"/>
  <c r="G34" i="12" s="1"/>
  <c r="G34" i="14" s="1"/>
  <c r="I13" i="3"/>
  <c r="I11" i="13" s="1"/>
  <c r="I12" i="3"/>
  <c r="I10" i="13" s="1"/>
  <c r="H12" i="3"/>
  <c r="H10" i="13" s="1"/>
  <c r="H13" i="3"/>
  <c r="H11" i="13" s="1"/>
  <c r="G12" i="3"/>
  <c r="G10" i="13" s="1"/>
  <c r="G13" i="3"/>
  <c r="G11" i="13" s="1"/>
  <c r="E8" i="10"/>
  <c r="E8" i="2" s="1"/>
  <c r="R16" i="3"/>
  <c r="R14" i="13" s="1"/>
  <c r="R15" i="3"/>
  <c r="R13" i="13" s="1"/>
  <c r="R12" i="4" s="1"/>
  <c r="R12" i="12" s="1" a="1"/>
  <c r="R12" i="12" s="1"/>
  <c r="R12" i="14" s="1"/>
  <c r="Q16" i="3"/>
  <c r="Q14" i="13" s="1"/>
  <c r="Q15" i="3"/>
  <c r="Q13" i="13" s="1"/>
  <c r="Q12" i="4" s="1"/>
  <c r="Q12" i="12" s="1" a="1"/>
  <c r="Q12" i="12" s="1"/>
  <c r="Q12" i="14" s="1"/>
  <c r="P15" i="3"/>
  <c r="P13" i="13" s="1"/>
  <c r="AF23" i="1" a="1"/>
  <c r="AF23" i="1" s="1"/>
  <c r="AF12" i="10" s="1"/>
  <c r="AF12" i="2" s="1"/>
  <c r="AG23" i="1" a="1"/>
  <c r="AG23" i="1" s="1"/>
  <c r="AG12" i="10" s="1"/>
  <c r="AG12" i="2" s="1"/>
  <c r="AH23" i="1" a="1"/>
  <c r="AH23" i="1" s="1"/>
  <c r="AH12" i="10" s="1"/>
  <c r="AH12" i="2" s="1"/>
  <c r="AC24" i="1" a="1"/>
  <c r="AC24" i="1" s="1"/>
  <c r="AC13" i="10" s="1"/>
  <c r="AC13" i="2" s="1"/>
  <c r="AD24" i="1" a="1"/>
  <c r="AD24" i="1" s="1"/>
  <c r="AD13" i="10" s="1"/>
  <c r="AD13" i="2" s="1"/>
  <c r="AE24" i="1" a="1"/>
  <c r="AE24" i="1" s="1"/>
  <c r="AE13" i="10" s="1"/>
  <c r="AE13" i="2" s="1"/>
  <c r="AF24" i="1" a="1"/>
  <c r="AF24" i="1" s="1"/>
  <c r="AF13" i="10" s="1"/>
  <c r="AF13" i="2" s="1"/>
  <c r="AG24" i="1" a="1"/>
  <c r="AG24" i="1" s="1"/>
  <c r="AG13" i="10" s="1"/>
  <c r="AG13" i="2" s="1"/>
  <c r="AH24" i="1" a="1"/>
  <c r="AH24" i="1" s="1"/>
  <c r="AH13" i="10" s="1"/>
  <c r="AH13" i="2" s="1"/>
  <c r="AI18" i="3" s="1"/>
  <c r="AI16" i="13" s="1"/>
  <c r="AC25" i="1" a="1"/>
  <c r="AC25" i="1" s="1"/>
  <c r="AC14" i="10" s="1"/>
  <c r="AC14" i="2" s="1"/>
  <c r="AE25" i="1" a="1"/>
  <c r="AE25" i="1" s="1"/>
  <c r="AE14" i="10" s="1"/>
  <c r="AE14" i="2" s="1"/>
  <c r="AF25" i="1" a="1"/>
  <c r="AF25" i="1" s="1"/>
  <c r="AF14" i="10" s="1"/>
  <c r="AF14" i="2" s="1"/>
  <c r="AC26" i="1" a="1"/>
  <c r="AC26" i="1" s="1"/>
  <c r="AC15" i="10" s="1"/>
  <c r="AC15" i="2" s="1"/>
  <c r="AF26" i="1" a="1"/>
  <c r="AF26" i="1" s="1"/>
  <c r="AF15" i="10" s="1"/>
  <c r="AF15" i="2" s="1"/>
  <c r="AG26" i="1" a="1"/>
  <c r="AG26" i="1" s="1"/>
  <c r="AG15" i="10" s="1"/>
  <c r="AG15" i="2" s="1"/>
  <c r="AH26" i="1" a="1"/>
  <c r="AH26" i="1" s="1"/>
  <c r="AH15" i="10" s="1"/>
  <c r="AH15" i="2" s="1"/>
  <c r="AC27" i="1" a="1"/>
  <c r="AC27" i="1" s="1"/>
  <c r="AC16" i="10" s="1"/>
  <c r="AC16" i="2" s="1"/>
  <c r="AE27" i="1" a="1"/>
  <c r="AE27" i="1" s="1"/>
  <c r="AE16" i="10" s="1"/>
  <c r="AE16" i="2" s="1"/>
  <c r="AF27" i="1" a="1"/>
  <c r="AF27" i="1" s="1"/>
  <c r="AF16" i="10" s="1"/>
  <c r="AF16" i="2" s="1"/>
  <c r="AG21" i="3" s="1"/>
  <c r="AG19" i="13" s="1"/>
  <c r="B23" i="1" a="1"/>
  <c r="B23" i="1" s="1"/>
  <c r="C23" i="1" a="1"/>
  <c r="C23" i="1" s="1"/>
  <c r="C12" i="10" s="1"/>
  <c r="C12" i="2" s="1"/>
  <c r="D23" i="1" a="1"/>
  <c r="D23" i="1" s="1"/>
  <c r="D12" i="10" s="1"/>
  <c r="D12" i="2" s="1"/>
  <c r="C24" i="1" a="1"/>
  <c r="C24" i="1" s="1"/>
  <c r="C13" i="10" s="1"/>
  <c r="C13" i="2" s="1"/>
  <c r="D24" i="1" a="1"/>
  <c r="D24" i="1" s="1"/>
  <c r="D13" i="10" s="1"/>
  <c r="D13" i="2" s="1"/>
  <c r="E24" i="1" a="1"/>
  <c r="E24" i="1" s="1"/>
  <c r="E13" i="10" s="1"/>
  <c r="E13" i="2" s="1"/>
  <c r="F24" i="1" a="1"/>
  <c r="F24" i="1" s="1"/>
  <c r="F13" i="10" s="1"/>
  <c r="F13" i="2" s="1"/>
  <c r="B25" i="1" a="1"/>
  <c r="B25" i="1" s="1"/>
  <c r="B14" i="10" s="1"/>
  <c r="B14" i="2" s="1"/>
  <c r="C25" i="1" a="1"/>
  <c r="C25" i="1" s="1"/>
  <c r="C14" i="10" s="1"/>
  <c r="C14" i="2" s="1"/>
  <c r="D25" i="1" a="1"/>
  <c r="D25" i="1" s="1"/>
  <c r="D14" i="10" s="1"/>
  <c r="D14" i="2" s="1"/>
  <c r="F25" i="1" a="1"/>
  <c r="F25" i="1" s="1"/>
  <c r="F14" i="10" s="1"/>
  <c r="F14" i="2" s="1"/>
  <c r="G19" i="3" s="1"/>
  <c r="G17" i="13" s="1"/>
  <c r="AO25" i="1" a="1"/>
  <c r="AO25" i="1" s="1"/>
  <c r="AO14" i="10" s="1"/>
  <c r="AO14" i="2" s="1"/>
  <c r="D26" i="1" a="1"/>
  <c r="D26" i="1" s="1"/>
  <c r="D15" i="10" s="1"/>
  <c r="D15" i="2" s="1"/>
  <c r="B27" i="1" a="1"/>
  <c r="B27" i="1" s="1"/>
  <c r="B16" i="10" s="1"/>
  <c r="B16" i="2" s="1"/>
  <c r="AN20" i="3"/>
  <c r="AN18" i="13" s="1"/>
  <c r="AN19" i="3"/>
  <c r="AN17" i="13" s="1"/>
  <c r="AN16" i="4" s="1"/>
  <c r="AN16" i="12" s="1" a="1"/>
  <c r="AN16" i="12" s="1"/>
  <c r="AN16" i="14" s="1"/>
  <c r="AM20" i="3"/>
  <c r="AM18" i="13" s="1"/>
  <c r="AL20" i="3"/>
  <c r="AL18" i="13" s="1"/>
  <c r="AM19" i="3"/>
  <c r="AM17" i="13" s="1"/>
  <c r="AM16" i="4" s="1"/>
  <c r="AM16" i="12" s="1" a="1"/>
  <c r="AM16" i="12" s="1"/>
  <c r="AM16" i="14" s="1"/>
  <c r="AL19" i="3"/>
  <c r="AL17" i="13" s="1"/>
  <c r="AL16" i="4" s="1"/>
  <c r="AL16" i="12" s="1" a="1"/>
  <c r="AL16" i="12" s="1"/>
  <c r="AL16" i="14" s="1"/>
  <c r="AI24" i="3"/>
  <c r="AI22" i="13" s="1"/>
  <c r="AI23" i="3"/>
  <c r="AI21" i="13" s="1"/>
  <c r="AI20" i="4" s="1"/>
  <c r="AI20" i="12" s="1" a="1"/>
  <c r="AI20" i="12" s="1"/>
  <c r="AI20" i="14" s="1"/>
  <c r="AH24" i="3"/>
  <c r="AH22" i="13" s="1"/>
  <c r="AH23" i="3"/>
  <c r="AH21" i="13" s="1"/>
  <c r="AH20" i="4" s="1"/>
  <c r="AH20" i="12" s="1" a="1"/>
  <c r="AH20" i="12" s="1"/>
  <c r="AH20" i="14" s="1"/>
  <c r="AG23" i="3"/>
  <c r="AG21" i="13" s="1"/>
  <c r="M30" i="1" a="1"/>
  <c r="M30" i="1" s="1"/>
  <c r="M19" i="10" s="1"/>
  <c r="M19" i="2" s="1"/>
  <c r="Q30" i="1" a="1"/>
  <c r="Q30" i="1" s="1"/>
  <c r="Q19" i="10" s="1"/>
  <c r="Q19" i="2" s="1"/>
  <c r="O31" i="1" a="1"/>
  <c r="O31" i="1" s="1"/>
  <c r="O20" i="10" s="1"/>
  <c r="O20" i="2" s="1"/>
  <c r="Q31" i="1" a="1"/>
  <c r="Q31" i="1" s="1"/>
  <c r="Q20" i="10" s="1"/>
  <c r="Q20" i="2" s="1"/>
  <c r="O32" i="1" a="1"/>
  <c r="O32" i="1" s="1"/>
  <c r="O21" i="10" s="1"/>
  <c r="O21" i="2" s="1"/>
  <c r="P32" i="1" a="1"/>
  <c r="P32" i="1" s="1"/>
  <c r="P21" i="10" s="1"/>
  <c r="P21" i="2" s="1"/>
  <c r="M33" i="1" a="1"/>
  <c r="M33" i="1" s="1"/>
  <c r="M22" i="10" s="1"/>
  <c r="M22" i="2" s="1"/>
  <c r="N33" i="1" a="1"/>
  <c r="N33" i="1" s="1"/>
  <c r="N22" i="10" s="1"/>
  <c r="N22" i="2" s="1"/>
  <c r="O33" i="1" a="1"/>
  <c r="O33" i="1" s="1"/>
  <c r="O22" i="10" s="1"/>
  <c r="O22" i="2" s="1"/>
  <c r="P33" i="1" a="1"/>
  <c r="P33" i="1" s="1"/>
  <c r="P22" i="10" s="1"/>
  <c r="P22" i="2" s="1"/>
  <c r="Q33" i="1" a="1"/>
  <c r="Q33" i="1" s="1"/>
  <c r="Q22" i="10" s="1"/>
  <c r="Q22" i="2" s="1"/>
  <c r="N34" i="1" a="1"/>
  <c r="N34" i="1" s="1"/>
  <c r="N23" i="10" s="1"/>
  <c r="N23" i="2" s="1"/>
  <c r="O34" i="1" a="1"/>
  <c r="O34" i="1" s="1"/>
  <c r="O23" i="10" s="1"/>
  <c r="O23" i="2" s="1"/>
  <c r="P34" i="1" a="1"/>
  <c r="P34" i="1" s="1"/>
  <c r="P23" i="10" s="1"/>
  <c r="P23" i="2" s="1"/>
  <c r="Q28" i="3" s="1"/>
  <c r="Q26" i="13" s="1"/>
  <c r="O35" i="1" a="1"/>
  <c r="O35" i="1" s="1"/>
  <c r="O24" i="10" s="1"/>
  <c r="O24" i="2" s="1"/>
  <c r="J31" i="1" a="1"/>
  <c r="J31" i="1" s="1"/>
  <c r="J20" i="10" s="1"/>
  <c r="J20" i="2" s="1"/>
  <c r="M31" i="1" a="1"/>
  <c r="M31" i="1" s="1"/>
  <c r="M20" i="10" s="1"/>
  <c r="M20" i="2" s="1"/>
  <c r="N31" i="1" a="1"/>
  <c r="N31" i="1" s="1"/>
  <c r="N20" i="10" s="1"/>
  <c r="N20" i="2" s="1"/>
  <c r="K32" i="1" a="1"/>
  <c r="K32" i="1" s="1"/>
  <c r="K21" i="10" s="1"/>
  <c r="K21" i="2" s="1"/>
  <c r="L32" i="1" a="1"/>
  <c r="L32" i="1" s="1"/>
  <c r="L21" i="10" s="1"/>
  <c r="L21" i="2" s="1"/>
  <c r="M32" i="1" a="1"/>
  <c r="M32" i="1" s="1"/>
  <c r="M21" i="10" s="1"/>
  <c r="M21" i="2" s="1"/>
  <c r="N32" i="1" a="1"/>
  <c r="N32" i="1" s="1"/>
  <c r="N21" i="10" s="1"/>
  <c r="N21" i="2" s="1"/>
  <c r="O26" i="3" s="1"/>
  <c r="O24" i="13" s="1"/>
  <c r="J33" i="1" a="1"/>
  <c r="J33" i="1" s="1"/>
  <c r="J22" i="10" s="1"/>
  <c r="J22" i="2" s="1"/>
  <c r="K33" i="1" a="1"/>
  <c r="K33" i="1" s="1"/>
  <c r="K22" i="10" s="1"/>
  <c r="K22" i="2" s="1"/>
  <c r="L33" i="1" a="1"/>
  <c r="L33" i="1" s="1"/>
  <c r="L22" i="10" s="1"/>
  <c r="L22" i="2" s="1"/>
  <c r="J34" i="1" a="1"/>
  <c r="J34" i="1" s="1"/>
  <c r="J23" i="10" s="1"/>
  <c r="J23" i="2" s="1"/>
  <c r="J28" i="3" s="1"/>
  <c r="J26" i="13" s="1"/>
  <c r="M34" i="1" a="1"/>
  <c r="M34" i="1" s="1"/>
  <c r="M23" i="10" s="1"/>
  <c r="M23" i="2" s="1"/>
  <c r="N28" i="3" s="1"/>
  <c r="N26" i="13" s="1"/>
  <c r="S28" i="3"/>
  <c r="S26" i="13" s="1"/>
  <c r="S27" i="3"/>
  <c r="S25" i="13" s="1"/>
  <c r="AF30" i="3"/>
  <c r="AF28" i="13" s="1"/>
  <c r="AC31" i="3"/>
  <c r="AC29" i="13" s="1"/>
  <c r="AB31" i="3"/>
  <c r="AB29" i="13" s="1"/>
  <c r="AA30" i="3"/>
  <c r="AA28" i="13" s="1"/>
  <c r="AG30" i="3"/>
  <c r="AG28" i="13" s="1"/>
  <c r="AF29" i="3"/>
  <c r="AF27" i="13" s="1"/>
  <c r="AE30" i="3"/>
  <c r="AE28" i="13" s="1"/>
  <c r="AD30" i="3"/>
  <c r="AD28" i="13" s="1"/>
  <c r="AC30" i="3"/>
  <c r="AC28" i="13" s="1"/>
  <c r="AB30" i="3"/>
  <c r="AB28" i="13" s="1"/>
  <c r="AA29" i="3"/>
  <c r="AA27" i="13" s="1"/>
  <c r="AG29" i="3"/>
  <c r="AG27" i="13" s="1"/>
  <c r="AG28" i="3"/>
  <c r="AG26" i="13" s="1"/>
  <c r="AF28" i="3"/>
  <c r="AF26" i="13" s="1"/>
  <c r="AE29" i="3"/>
  <c r="AE27" i="13" s="1"/>
  <c r="AD29" i="3"/>
  <c r="AD27" i="13" s="1"/>
  <c r="AD28" i="3"/>
  <c r="AD26" i="13" s="1"/>
  <c r="AC29" i="3"/>
  <c r="AC27" i="13" s="1"/>
  <c r="AC28" i="3"/>
  <c r="AC26" i="13" s="1"/>
  <c r="AA28" i="3"/>
  <c r="AA26" i="13" s="1"/>
  <c r="AB29" i="3"/>
  <c r="AB27" i="13" s="1"/>
  <c r="AB28" i="3"/>
  <c r="AB26" i="13" s="1"/>
  <c r="AE28" i="3"/>
  <c r="AE26" i="13" s="1"/>
  <c r="AE27" i="3"/>
  <c r="AE25" i="13" s="1"/>
  <c r="AE24" i="4" s="1"/>
  <c r="AE24" i="12" s="1" a="1"/>
  <c r="AE24" i="12" s="1"/>
  <c r="AE24" i="14" s="1"/>
  <c r="AD27" i="3"/>
  <c r="AD25" i="13" s="1"/>
  <c r="AC27" i="3"/>
  <c r="AC25" i="13" s="1"/>
  <c r="AB27" i="3"/>
  <c r="AB25" i="13" s="1"/>
  <c r="AC26" i="3"/>
  <c r="AC24" i="13" s="1"/>
  <c r="AB26" i="3"/>
  <c r="AB24" i="13" s="1"/>
  <c r="S32" i="3"/>
  <c r="S30" i="13" s="1"/>
  <c r="S31" i="3"/>
  <c r="S29" i="13" s="1"/>
  <c r="Q31" i="3"/>
  <c r="Q29" i="13" s="1"/>
  <c r="R31" i="3"/>
  <c r="R29" i="13" s="1"/>
  <c r="Q32" i="3"/>
  <c r="Q30" i="13" s="1"/>
  <c r="R32" i="3"/>
  <c r="R30" i="13" s="1"/>
  <c r="AD38" i="1" a="1"/>
  <c r="AD38" i="1" s="1"/>
  <c r="AD27" i="10" s="1"/>
  <c r="AD27" i="2" s="1"/>
  <c r="AE38" i="1" a="1"/>
  <c r="AE38" i="1" s="1"/>
  <c r="AE27" i="10" s="1"/>
  <c r="AE27" i="2" s="1"/>
  <c r="AC39" i="1" a="1"/>
  <c r="AC39" i="1" s="1"/>
  <c r="AC28" i="10" s="1"/>
  <c r="AC28" i="2" s="1"/>
  <c r="AE39" i="1" a="1"/>
  <c r="AE39" i="1" s="1"/>
  <c r="AE28" i="10" s="1"/>
  <c r="AE28" i="2" s="1"/>
  <c r="AC40" i="1" a="1"/>
  <c r="AC40" i="1" s="1"/>
  <c r="AC29" i="10" s="1"/>
  <c r="AC29" i="2" s="1"/>
  <c r="AD40" i="1" a="1"/>
  <c r="AD40" i="1" s="1"/>
  <c r="AD29" i="10" s="1"/>
  <c r="AD29" i="2" s="1"/>
  <c r="AE40" i="1" a="1"/>
  <c r="AE40" i="1" s="1"/>
  <c r="AE29" i="10" s="1"/>
  <c r="AE29" i="2" s="1"/>
  <c r="AF40" i="1" a="1"/>
  <c r="AF40" i="1" s="1"/>
  <c r="AF29" i="10" s="1"/>
  <c r="AF29" i="2" s="1"/>
  <c r="AG40" i="1" a="1"/>
  <c r="AG40" i="1" s="1"/>
  <c r="AG29" i="10" s="1"/>
  <c r="AG29" i="2" s="1"/>
  <c r="AH40" i="1" a="1"/>
  <c r="AH40" i="1" s="1"/>
  <c r="AH29" i="10" s="1"/>
  <c r="AH29" i="2" s="1"/>
  <c r="AC41" i="1" a="1"/>
  <c r="AC41" i="1" s="1"/>
  <c r="AC30" i="10" s="1"/>
  <c r="AC30" i="2" s="1"/>
  <c r="AD41" i="1" a="1"/>
  <c r="AD41" i="1" s="1"/>
  <c r="AD30" i="10" s="1"/>
  <c r="AD30" i="2" s="1"/>
  <c r="AE41" i="1" a="1"/>
  <c r="AE41" i="1" s="1"/>
  <c r="AE30" i="10" s="1"/>
  <c r="AE30" i="2" s="1"/>
  <c r="AF41" i="1" a="1"/>
  <c r="AF41" i="1" s="1"/>
  <c r="AF30" i="10" s="1"/>
  <c r="AF30" i="2" s="1"/>
  <c r="AG41" i="1" a="1"/>
  <c r="AG41" i="1" s="1"/>
  <c r="AG30" i="10" s="1"/>
  <c r="AG30" i="2" s="1"/>
  <c r="AD42" i="1" a="1"/>
  <c r="AD42" i="1" s="1"/>
  <c r="AD31" i="10" s="1"/>
  <c r="AD31" i="2" s="1"/>
  <c r="AE42" i="1" a="1"/>
  <c r="AE42" i="1" s="1"/>
  <c r="AE31" i="10" s="1"/>
  <c r="AE31" i="2" s="1"/>
  <c r="AF42" i="1" a="1"/>
  <c r="AF42" i="1" s="1"/>
  <c r="AF31" i="10" s="1"/>
  <c r="AF31" i="2" s="1"/>
  <c r="AH42" i="1" a="1"/>
  <c r="AH42" i="1" s="1"/>
  <c r="AH31" i="10" s="1"/>
  <c r="AH31" i="2" s="1"/>
  <c r="AC43" i="1" a="1"/>
  <c r="AC43" i="1" s="1"/>
  <c r="AC32" i="10" s="1"/>
  <c r="AC32" i="2" s="1"/>
  <c r="AE43" i="1" a="1"/>
  <c r="AE43" i="1" s="1"/>
  <c r="AE32" i="10" s="1"/>
  <c r="AE32" i="2" s="1"/>
  <c r="AF43" i="1" a="1"/>
  <c r="AF43" i="1" s="1"/>
  <c r="AF32" i="10" s="1"/>
  <c r="AF32" i="2" s="1"/>
  <c r="AG37" i="3" s="1"/>
  <c r="AG35" i="13" s="1"/>
  <c r="Y39" i="1" a="1"/>
  <c r="Y39" i="1" s="1"/>
  <c r="Y28" i="10" s="1"/>
  <c r="Y28" i="2" s="1"/>
  <c r="Z39" i="1" a="1"/>
  <c r="Z39" i="1" s="1"/>
  <c r="Z28" i="10" s="1"/>
  <c r="Z28" i="2" s="1"/>
  <c r="AB39" i="1" a="1"/>
  <c r="AB39" i="1" s="1"/>
  <c r="AB28" i="10" s="1"/>
  <c r="AB28" i="2" s="1"/>
  <c r="Y40" i="1" a="1"/>
  <c r="Y40" i="1" s="1"/>
  <c r="Y29" i="10" s="1"/>
  <c r="Y29" i="2" s="1"/>
  <c r="AA40" i="1" a="1"/>
  <c r="AA40" i="1" s="1"/>
  <c r="AA29" i="10" s="1"/>
  <c r="AA29" i="2" s="1"/>
  <c r="AB40" i="1" a="1"/>
  <c r="AB40" i="1" s="1"/>
  <c r="AB29" i="10" s="1"/>
  <c r="AB29" i="2" s="1"/>
  <c r="Y41" i="1" a="1"/>
  <c r="Y41" i="1" s="1"/>
  <c r="Y30" i="10" s="1"/>
  <c r="Y30" i="2" s="1"/>
  <c r="Z41" i="1" a="1"/>
  <c r="Z41" i="1" s="1"/>
  <c r="Z30" i="10" s="1"/>
  <c r="Z30" i="2" s="1"/>
  <c r="AA41" i="1" a="1"/>
  <c r="AA41" i="1" s="1"/>
  <c r="AA30" i="10" s="1"/>
  <c r="AA30" i="2" s="1"/>
  <c r="AB41" i="1" a="1"/>
  <c r="AB41" i="1" s="1"/>
  <c r="AB30" i="10" s="1"/>
  <c r="AB30" i="2" s="1"/>
  <c r="AA42" i="1" a="1"/>
  <c r="AA42" i="1" s="1"/>
  <c r="AA31" i="10" s="1"/>
  <c r="AA31" i="2" s="1"/>
  <c r="AB42" i="1" a="1"/>
  <c r="AB42" i="1" s="1"/>
  <c r="AB31" i="10" s="1"/>
  <c r="AB31" i="2" s="1"/>
  <c r="AC36" i="3" s="1"/>
  <c r="AC34" i="13" s="1"/>
  <c r="AI40" i="3"/>
  <c r="AI38" i="13" s="1"/>
  <c r="AI39" i="3"/>
  <c r="AI37" i="13" s="1"/>
  <c r="AI36" i="4" s="1"/>
  <c r="AI36" i="12" s="1" a="1"/>
  <c r="AI36" i="12" s="1"/>
  <c r="AI36" i="14" s="1"/>
  <c r="AH40" i="3"/>
  <c r="AH38" i="13" s="1"/>
  <c r="AH39" i="3"/>
  <c r="AH37" i="13" s="1"/>
  <c r="AH36" i="4" s="1"/>
  <c r="AH36" i="12" s="1" a="1"/>
  <c r="AH36" i="12" s="1"/>
  <c r="AH36" i="14" s="1"/>
  <c r="AG39" i="3"/>
  <c r="AG37" i="13" s="1"/>
  <c r="Y47" i="3"/>
  <c r="Y45" i="13" s="1"/>
  <c r="Y44" i="4" s="1"/>
  <c r="Y44" i="12" s="1" a="1"/>
  <c r="Y44" i="12" s="1"/>
  <c r="Y44" i="14" s="1"/>
  <c r="Y48" i="3"/>
  <c r="Y46" i="13" s="1"/>
  <c r="W48" i="3"/>
  <c r="W46" i="13" s="1"/>
  <c r="W47" i="3"/>
  <c r="W45" i="13" s="1"/>
  <c r="W44" i="4" s="1"/>
  <c r="W44" i="12" s="1" a="1"/>
  <c r="W44" i="12" s="1"/>
  <c r="W44" i="14" s="1"/>
  <c r="X48" i="3"/>
  <c r="X46" i="13" s="1"/>
  <c r="X47" i="3"/>
  <c r="X45" i="13" s="1"/>
  <c r="X44" i="4" s="1"/>
  <c r="X44" i="12" s="1" a="1"/>
  <c r="X44" i="12" s="1"/>
  <c r="X44" i="14" s="1"/>
  <c r="K47" i="4" l="1"/>
  <c r="K47" i="12" s="1" a="1"/>
  <c r="K47" i="12" s="1"/>
  <c r="K47" i="14" s="1"/>
  <c r="K46" i="4"/>
  <c r="K46" i="12" s="1" a="1"/>
  <c r="K46" i="12" s="1"/>
  <c r="K46" i="14" s="1"/>
  <c r="K45" i="4"/>
  <c r="K45" i="12" s="1" a="1"/>
  <c r="K45" i="12" s="1"/>
  <c r="K45" i="14" s="1"/>
  <c r="V43" i="3"/>
  <c r="V41" i="13" s="1"/>
  <c r="V42" i="3"/>
  <c r="V40" i="13" s="1"/>
  <c r="U43" i="3"/>
  <c r="U41" i="13" s="1"/>
  <c r="U42" i="3"/>
  <c r="U40" i="13" s="1"/>
  <c r="U41" i="3"/>
  <c r="U39" i="13" s="1"/>
  <c r="Y42" i="4"/>
  <c r="Y42" i="12" s="1" a="1"/>
  <c r="Y42" i="12" s="1"/>
  <c r="Y42" i="14" s="1"/>
  <c r="Y42" i="3"/>
  <c r="Y40" i="13" s="1"/>
  <c r="X42" i="3"/>
  <c r="X40" i="13" s="1"/>
  <c r="Y41" i="3"/>
  <c r="Y39" i="13" s="1"/>
  <c r="Y40" i="3"/>
  <c r="Y38" i="13" s="1"/>
  <c r="X41" i="3"/>
  <c r="X39" i="13" s="1"/>
  <c r="X40" i="3"/>
  <c r="X38" i="13" s="1"/>
  <c r="Y39" i="3"/>
  <c r="Y37" i="13" s="1"/>
  <c r="X38" i="3"/>
  <c r="X36" i="13" s="1"/>
  <c r="X39" i="3"/>
  <c r="X37" i="13" s="1"/>
  <c r="X37" i="3"/>
  <c r="X35" i="13" s="1"/>
  <c r="X34" i="4" s="1"/>
  <c r="X34" i="12" s="1" a="1"/>
  <c r="X34" i="12" s="1"/>
  <c r="X34" i="14" s="1"/>
  <c r="Y37" i="3"/>
  <c r="Y35" i="13" s="1"/>
  <c r="Y38" i="3"/>
  <c r="Y36" i="13" s="1"/>
  <c r="Y35" i="4" s="1"/>
  <c r="Y35" i="12" s="1" a="1"/>
  <c r="Y35" i="12" s="1"/>
  <c r="Y35" i="14" s="1"/>
  <c r="W36" i="3"/>
  <c r="W34" i="13" s="1"/>
  <c r="V36" i="3"/>
  <c r="V34" i="13" s="1"/>
  <c r="AM37" i="4"/>
  <c r="AM37" i="12" s="1" a="1"/>
  <c r="AM37" i="12" s="1"/>
  <c r="AM37" i="14" s="1"/>
  <c r="AM38" i="4"/>
  <c r="AM38" i="12" s="1" a="1"/>
  <c r="AM38" i="12" s="1"/>
  <c r="AM38" i="14" s="1"/>
  <c r="AM39" i="4"/>
  <c r="AM39" i="12" s="1" a="1"/>
  <c r="AM39" i="12" s="1"/>
  <c r="AM39" i="14" s="1"/>
  <c r="AN37" i="4"/>
  <c r="AN37" i="12" s="1" a="1"/>
  <c r="AN37" i="12" s="1"/>
  <c r="AN37" i="14" s="1"/>
  <c r="AN38" i="4"/>
  <c r="AN38" i="12" s="1" a="1"/>
  <c r="AN38" i="12" s="1"/>
  <c r="AN38" i="14" s="1"/>
  <c r="AN39" i="4"/>
  <c r="AN39" i="12" s="1" a="1"/>
  <c r="AN39" i="12" s="1"/>
  <c r="AN39" i="14" s="1"/>
  <c r="T25" i="3"/>
  <c r="T23" i="13" s="1"/>
  <c r="T22" i="4" s="1"/>
  <c r="T22" i="12" s="1" a="1"/>
  <c r="T22" i="12" s="1"/>
  <c r="T22" i="14" s="1"/>
  <c r="AF23" i="3"/>
  <c r="AF21" i="13" s="1"/>
  <c r="AF22" i="4" s="1"/>
  <c r="AF22" i="12" s="1" a="1"/>
  <c r="AF22" i="12" s="1"/>
  <c r="AF22" i="14" s="1"/>
  <c r="AE22" i="3"/>
  <c r="AE20" i="13" s="1"/>
  <c r="AF22" i="3"/>
  <c r="AF20" i="13" s="1"/>
  <c r="AF21" i="4" s="1"/>
  <c r="AF21" i="12" s="1" a="1"/>
  <c r="AF21" i="12" s="1"/>
  <c r="AF21" i="14" s="1"/>
  <c r="AB22" i="3"/>
  <c r="AB20" i="13" s="1"/>
  <c r="AA22" i="3"/>
  <c r="AA20" i="13" s="1"/>
  <c r="AC22" i="3"/>
  <c r="AC20" i="13" s="1"/>
  <c r="AB21" i="3"/>
  <c r="AB19" i="13" s="1"/>
  <c r="AA21" i="3"/>
  <c r="AA19" i="13" s="1"/>
  <c r="AA20" i="3"/>
  <c r="AA18" i="13" s="1"/>
  <c r="AB20" i="3"/>
  <c r="AB18" i="13" s="1"/>
  <c r="AA19" i="3"/>
  <c r="AA17" i="13" s="1"/>
  <c r="AB19" i="3"/>
  <c r="AB17" i="13" s="1"/>
  <c r="AB18" i="3"/>
  <c r="AB16" i="13" s="1"/>
  <c r="AA18" i="3"/>
  <c r="AA16" i="13" s="1"/>
  <c r="Z17" i="3"/>
  <c r="Z15" i="13" s="1"/>
  <c r="Z16" i="3"/>
  <c r="Z14" i="13" s="1"/>
  <c r="Z13" i="4" s="1"/>
  <c r="Z13" i="12" s="1" a="1"/>
  <c r="Z13" i="12" s="1"/>
  <c r="Z13" i="14" s="1"/>
  <c r="AA17" i="3"/>
  <c r="AA15" i="13" s="1"/>
  <c r="AA16" i="4" s="1"/>
  <c r="AA16" i="12" s="1" a="1"/>
  <c r="AA16" i="12" s="1"/>
  <c r="AA16" i="14" s="1"/>
  <c r="H22" i="3"/>
  <c r="H20" i="13" s="1"/>
  <c r="H21" i="3"/>
  <c r="H19" i="13" s="1"/>
  <c r="H18" i="4" s="1"/>
  <c r="H18" i="12" s="1" a="1"/>
  <c r="H18" i="12" s="1"/>
  <c r="H18" i="14" s="1"/>
  <c r="F22" i="3"/>
  <c r="F20" i="13" s="1"/>
  <c r="D22" i="3"/>
  <c r="D20" i="13" s="1"/>
  <c r="O35" i="3"/>
  <c r="O33" i="13" s="1"/>
  <c r="O34" i="3"/>
  <c r="O32" i="13" s="1"/>
  <c r="H32" i="3"/>
  <c r="H30" i="13" s="1"/>
  <c r="H29" i="4" s="1"/>
  <c r="H29" i="12" s="1" a="1"/>
  <c r="H29" i="12" s="1"/>
  <c r="H29" i="14" s="1"/>
  <c r="G28" i="3"/>
  <c r="G26" i="13" s="1"/>
  <c r="G29" i="3"/>
  <c r="G27" i="13" s="1"/>
  <c r="AO25" i="3"/>
  <c r="AO23" i="13" s="1"/>
  <c r="AO26" i="3"/>
  <c r="AO24" i="13" s="1"/>
  <c r="AO42" i="3"/>
  <c r="AO40" i="13" s="1"/>
  <c r="AO43" i="3"/>
  <c r="AO41" i="13" s="1"/>
  <c r="U45" i="4"/>
  <c r="U45" i="12" s="1" a="1"/>
  <c r="U45" i="12" s="1"/>
  <c r="U45" i="14" s="1"/>
  <c r="U46" i="4"/>
  <c r="U46" i="12" s="1" a="1"/>
  <c r="U46" i="12" s="1"/>
  <c r="U46" i="14" s="1"/>
  <c r="U47" i="4"/>
  <c r="U47" i="12" s="1" a="1"/>
  <c r="U47" i="12" s="1"/>
  <c r="U47" i="14" s="1"/>
  <c r="V45" i="4"/>
  <c r="V45" i="12" s="1" a="1"/>
  <c r="V45" i="12" s="1"/>
  <c r="V45" i="14" s="1"/>
  <c r="V46" i="4"/>
  <c r="V46" i="12" s="1" a="1"/>
  <c r="V46" i="12" s="1"/>
  <c r="V46" i="14" s="1"/>
  <c r="V47" i="4"/>
  <c r="V47" i="12" s="1" a="1"/>
  <c r="V47" i="12" s="1"/>
  <c r="V47" i="14" s="1"/>
  <c r="N35" i="3"/>
  <c r="N33" i="13" s="1"/>
  <c r="N34" i="3"/>
  <c r="N32" i="13" s="1"/>
  <c r="M35" i="3"/>
  <c r="M33" i="13" s="1"/>
  <c r="L35" i="3"/>
  <c r="L33" i="13" s="1"/>
  <c r="M34" i="3"/>
  <c r="M32" i="13" s="1"/>
  <c r="L34" i="3"/>
  <c r="L32" i="13" s="1"/>
  <c r="K34" i="3"/>
  <c r="K32" i="13" s="1"/>
  <c r="K35" i="3"/>
  <c r="K33" i="13" s="1"/>
  <c r="J35" i="3"/>
  <c r="J33" i="13" s="1"/>
  <c r="I35" i="3"/>
  <c r="I33" i="13" s="1"/>
  <c r="H35" i="3"/>
  <c r="H33" i="13" s="1"/>
  <c r="J34" i="3"/>
  <c r="J32" i="13" s="1"/>
  <c r="I33" i="3"/>
  <c r="I31" i="13" s="1"/>
  <c r="I34" i="3"/>
  <c r="I32" i="13" s="1"/>
  <c r="H34" i="3"/>
  <c r="H32" i="13" s="1"/>
  <c r="H33" i="3"/>
  <c r="H31" i="13" s="1"/>
  <c r="H30" i="4" s="1"/>
  <c r="H30" i="12" s="1" a="1"/>
  <c r="H30" i="12" s="1"/>
  <c r="H30" i="14" s="1"/>
  <c r="I32" i="3"/>
  <c r="I30" i="13" s="1"/>
  <c r="I29" i="4" s="1"/>
  <c r="I29" i="12" s="1" a="1"/>
  <c r="I29" i="12" s="1"/>
  <c r="I29" i="14" s="1"/>
  <c r="J33" i="3"/>
  <c r="J31" i="13" s="1"/>
  <c r="C29" i="3"/>
  <c r="C27" i="13" s="1"/>
  <c r="C28" i="4" s="1"/>
  <c r="C28" i="12" s="1" a="1"/>
  <c r="C28" i="12" s="1"/>
  <c r="C28" i="14" s="1"/>
  <c r="B29" i="3"/>
  <c r="B27" i="13" s="1"/>
  <c r="B28" i="4" s="1"/>
  <c r="B28" i="12" s="1" a="1"/>
  <c r="B28" i="12" s="1"/>
  <c r="B28" i="14" s="1"/>
  <c r="AD24" i="3"/>
  <c r="AD22" i="13" s="1"/>
  <c r="AD23" i="3"/>
  <c r="AD21" i="13" s="1"/>
  <c r="AE24" i="3"/>
  <c r="AE22" i="13" s="1"/>
  <c r="AE23" i="3"/>
  <c r="AE21" i="13" s="1"/>
  <c r="R42" i="3"/>
  <c r="R40" i="13" s="1"/>
  <c r="R40" i="4" s="1"/>
  <c r="R40" i="12" s="1" a="1"/>
  <c r="R40" i="12" s="1"/>
  <c r="R40" i="14" s="1"/>
  <c r="Z38" i="3"/>
  <c r="Z36" i="13" s="1"/>
  <c r="R43" i="4"/>
  <c r="R43" i="12" s="1" a="1"/>
  <c r="R43" i="12" s="1"/>
  <c r="R43" i="14" s="1"/>
  <c r="R42" i="4"/>
  <c r="R42" i="12" s="1" a="1"/>
  <c r="R42" i="12" s="1"/>
  <c r="R42" i="14" s="1"/>
  <c r="R41" i="4"/>
  <c r="R41" i="12" s="1" a="1"/>
  <c r="R41" i="12" s="1"/>
  <c r="R41" i="14" s="1"/>
  <c r="S41" i="4"/>
  <c r="S41" i="12" s="1" a="1"/>
  <c r="S41" i="12" s="1"/>
  <c r="S41" i="14" s="1"/>
  <c r="S42" i="4"/>
  <c r="S42" i="12" s="1" a="1"/>
  <c r="S42" i="12" s="1"/>
  <c r="S42" i="14" s="1"/>
  <c r="S43" i="4"/>
  <c r="S43" i="12" s="1" a="1"/>
  <c r="S43" i="12" s="1"/>
  <c r="S43" i="14" s="1"/>
  <c r="AO13" i="4"/>
  <c r="AO13" i="12" s="1" a="1"/>
  <c r="AO13" i="12" s="1"/>
  <c r="AO13" i="14" s="1"/>
  <c r="E43" i="3"/>
  <c r="E41" i="13" s="1"/>
  <c r="E42" i="4" s="1"/>
  <c r="E42" i="12" s="1" a="1"/>
  <c r="E42" i="12" s="1"/>
  <c r="E42" i="14" s="1"/>
  <c r="AO27" i="3"/>
  <c r="AO25" i="13" s="1"/>
  <c r="AO28" i="3"/>
  <c r="AO26" i="13" s="1"/>
  <c r="AO27" i="4" s="1"/>
  <c r="AO27" i="12" s="1" a="1"/>
  <c r="AO27" i="12" s="1"/>
  <c r="AO27" i="14" s="1"/>
  <c r="AJ20" i="4"/>
  <c r="AJ20" i="12" s="1" a="1"/>
  <c r="AJ20" i="12" s="1"/>
  <c r="AJ20" i="14" s="1"/>
  <c r="AJ19" i="4"/>
  <c r="AJ19" i="12" s="1" a="1"/>
  <c r="AJ19" i="12" s="1"/>
  <c r="AJ19" i="14" s="1"/>
  <c r="AJ18" i="4"/>
  <c r="AJ18" i="12" s="1" a="1"/>
  <c r="AJ18" i="12" s="1"/>
  <c r="AJ18" i="14" s="1"/>
  <c r="AK19" i="4"/>
  <c r="AK19" i="12" s="1" a="1"/>
  <c r="AK19" i="12" s="1"/>
  <c r="AK19" i="14" s="1"/>
  <c r="N14" i="4"/>
  <c r="N14" i="12" s="1" a="1"/>
  <c r="N14" i="12" s="1"/>
  <c r="N14" i="14" s="1"/>
  <c r="N13" i="4"/>
  <c r="N13" i="12" s="1" a="1"/>
  <c r="N13" i="12" s="1"/>
  <c r="N13" i="14" s="1"/>
  <c r="N12" i="4"/>
  <c r="N12" i="12" s="1" a="1"/>
  <c r="N12" i="12" s="1"/>
  <c r="N12" i="14" s="1"/>
  <c r="O15" i="4"/>
  <c r="O15" i="12" s="1" a="1"/>
  <c r="O15" i="12" s="1"/>
  <c r="O15" i="14" s="1"/>
  <c r="O14" i="4"/>
  <c r="O14" i="12" s="1" a="1"/>
  <c r="O14" i="12" s="1"/>
  <c r="O14" i="14" s="1"/>
  <c r="O13" i="4"/>
  <c r="O13" i="12" s="1" a="1"/>
  <c r="O13" i="12" s="1"/>
  <c r="O13" i="14" s="1"/>
  <c r="E29" i="3"/>
  <c r="E27" i="13" s="1"/>
  <c r="E28" i="4" s="1"/>
  <c r="E28" i="12" s="1" a="1"/>
  <c r="E28" i="12" s="1"/>
  <c r="E28" i="14" s="1"/>
  <c r="D29" i="3"/>
  <c r="D27" i="13" s="1"/>
  <c r="D28" i="4" s="1"/>
  <c r="D28" i="12" s="1" a="1"/>
  <c r="D28" i="12" s="1"/>
  <c r="D28" i="14" s="1"/>
  <c r="O43" i="3"/>
  <c r="O41" i="13" s="1"/>
  <c r="O42" i="4" s="1"/>
  <c r="O42" i="12" s="1" a="1"/>
  <c r="O42" i="12" s="1"/>
  <c r="O42" i="14" s="1"/>
  <c r="X28" i="3"/>
  <c r="X26" i="13" s="1"/>
  <c r="M33" i="3"/>
  <c r="M31" i="13" s="1"/>
  <c r="M32" i="4" s="1"/>
  <c r="M32" i="12" s="1" a="1"/>
  <c r="M32" i="12" s="1"/>
  <c r="M32" i="14" s="1"/>
  <c r="AJ44" i="4"/>
  <c r="AJ44" i="12" s="1" a="1"/>
  <c r="AJ44" i="12" s="1"/>
  <c r="AJ44" i="14" s="1"/>
  <c r="AJ45" i="4"/>
  <c r="AJ45" i="12" s="1" a="1"/>
  <c r="AJ45" i="12" s="1"/>
  <c r="AJ45" i="14" s="1"/>
  <c r="AJ43" i="4"/>
  <c r="AJ43" i="12" s="1" a="1"/>
  <c r="AJ43" i="12" s="1"/>
  <c r="AJ43" i="14" s="1"/>
  <c r="AK46" i="4"/>
  <c r="AK46" i="12" s="1" a="1"/>
  <c r="AK46" i="12" s="1"/>
  <c r="AK46" i="14" s="1"/>
  <c r="AK44" i="4"/>
  <c r="AK44" i="12" s="1" a="1"/>
  <c r="AK44" i="12" s="1"/>
  <c r="AK44" i="14" s="1"/>
  <c r="AK45" i="4"/>
  <c r="AK45" i="12" s="1" a="1"/>
  <c r="AK45" i="12" s="1"/>
  <c r="AK45" i="14" s="1"/>
  <c r="B44" i="4"/>
  <c r="B44" i="12" s="1" a="1"/>
  <c r="B44" i="12" s="1"/>
  <c r="B44" i="14" s="1"/>
  <c r="B45" i="4"/>
  <c r="B45" i="12" s="1" a="1"/>
  <c r="B45" i="12" s="1"/>
  <c r="B45" i="14" s="1"/>
  <c r="B46" i="4"/>
  <c r="B46" i="12" s="1" a="1"/>
  <c r="B46" i="12" s="1"/>
  <c r="B46" i="14" s="1"/>
  <c r="C45" i="4"/>
  <c r="C45" i="12" s="1" a="1"/>
  <c r="C45" i="12" s="1"/>
  <c r="C45" i="14" s="1"/>
  <c r="C44" i="4"/>
  <c r="C44" i="12" s="1" a="1"/>
  <c r="C44" i="12" s="1"/>
  <c r="C44" i="14" s="1"/>
  <c r="C46" i="4"/>
  <c r="C46" i="12" s="1" a="1"/>
  <c r="C46" i="12" s="1"/>
  <c r="C46" i="14" s="1"/>
  <c r="AF45" i="4"/>
  <c r="AF45" i="12" s="1" a="1"/>
  <c r="AF45" i="12" s="1"/>
  <c r="AF45" i="14" s="1"/>
  <c r="AF44" i="4"/>
  <c r="AF44" i="12" s="1" a="1"/>
  <c r="AF44" i="12" s="1"/>
  <c r="AF44" i="14" s="1"/>
  <c r="AF46" i="4"/>
  <c r="AF46" i="12" s="1" a="1"/>
  <c r="AF46" i="12" s="1"/>
  <c r="AF46" i="14" s="1"/>
  <c r="AE46" i="4"/>
  <c r="AE46" i="12" s="1" a="1"/>
  <c r="AE46" i="12" s="1"/>
  <c r="AE46" i="14" s="1"/>
  <c r="AE45" i="4"/>
  <c r="AE45" i="12" s="1" a="1"/>
  <c r="AE45" i="12" s="1"/>
  <c r="AE45" i="14" s="1"/>
  <c r="AE44" i="4"/>
  <c r="AE44" i="12" s="1" a="1"/>
  <c r="AE44" i="12" s="1"/>
  <c r="AE44" i="14" s="1"/>
  <c r="AO24" i="4"/>
  <c r="AO24" i="12" s="1" a="1"/>
  <c r="AO24" i="12" s="1"/>
  <c r="AO24" i="14" s="1"/>
  <c r="AO26" i="4"/>
  <c r="AO26" i="12" s="1" a="1"/>
  <c r="AO26" i="12" s="1"/>
  <c r="AO26" i="14" s="1"/>
  <c r="AO25" i="4"/>
  <c r="AO25" i="12" s="1" a="1"/>
  <c r="AO25" i="12" s="1"/>
  <c r="AO25" i="14" s="1"/>
  <c r="E28" i="3"/>
  <c r="E26" i="13" s="1"/>
  <c r="E27" i="4" s="1"/>
  <c r="E27" i="12" s="1" a="1"/>
  <c r="E27" i="12" s="1"/>
  <c r="E27" i="14" s="1"/>
  <c r="D28" i="3"/>
  <c r="D26" i="13" s="1"/>
  <c r="E27" i="3"/>
  <c r="E25" i="13" s="1"/>
  <c r="E26" i="4" s="1"/>
  <c r="E26" i="12" s="1" a="1"/>
  <c r="E26" i="12" s="1"/>
  <c r="E26" i="14" s="1"/>
  <c r="D27" i="3"/>
  <c r="D25" i="13" s="1"/>
  <c r="AO22" i="4"/>
  <c r="AO22" i="12" s="1" a="1"/>
  <c r="AO22" i="12" s="1"/>
  <c r="AO22" i="14" s="1"/>
  <c r="AO23" i="4"/>
  <c r="AO23" i="12" s="1" a="1"/>
  <c r="AO23" i="12" s="1"/>
  <c r="AO23" i="14" s="1"/>
  <c r="D26" i="3"/>
  <c r="D24" i="13" s="1"/>
  <c r="D25" i="3"/>
  <c r="D23" i="13" s="1"/>
  <c r="B25" i="3"/>
  <c r="B23" i="13" s="1"/>
  <c r="C25" i="3"/>
  <c r="C23" i="13" s="1"/>
  <c r="B26" i="3"/>
  <c r="B24" i="13" s="1"/>
  <c r="B24" i="4" s="1"/>
  <c r="B24" i="12" s="1" a="1"/>
  <c r="B24" i="12" s="1"/>
  <c r="B24" i="14" s="1"/>
  <c r="C26" i="3"/>
  <c r="C24" i="13" s="1"/>
  <c r="C24" i="4" s="1"/>
  <c r="C24" i="12" s="1" a="1"/>
  <c r="C24" i="12" s="1"/>
  <c r="C24" i="14" s="1"/>
  <c r="D43" i="3"/>
  <c r="D41" i="13" s="1"/>
  <c r="C43" i="3"/>
  <c r="C41" i="13" s="1"/>
  <c r="C42" i="4" s="1"/>
  <c r="C42" i="12" s="1" a="1"/>
  <c r="C42" i="12" s="1"/>
  <c r="C42" i="14" s="1"/>
  <c r="AO39" i="3"/>
  <c r="AO37" i="13" s="1"/>
  <c r="AO36" i="4" s="1"/>
  <c r="AO36" i="12" s="1" a="1"/>
  <c r="AO36" i="12" s="1"/>
  <c r="AO36" i="14" s="1"/>
  <c r="AO40" i="3"/>
  <c r="AO38" i="13" s="1"/>
  <c r="AO39" i="4" s="1"/>
  <c r="AO39" i="12" s="1" a="1"/>
  <c r="AO39" i="12" s="1"/>
  <c r="AO39" i="14" s="1"/>
  <c r="AD25" i="3"/>
  <c r="AD23" i="13" s="1"/>
  <c r="AD22" i="4" s="1"/>
  <c r="AD22" i="12" s="1" a="1"/>
  <c r="AD22" i="12" s="1"/>
  <c r="AD22" i="14" s="1"/>
  <c r="AC25" i="3"/>
  <c r="AC23" i="13" s="1"/>
  <c r="AB25" i="3"/>
  <c r="AB23" i="13" s="1"/>
  <c r="AA24" i="3"/>
  <c r="AA22" i="13" s="1"/>
  <c r="Z24" i="3"/>
  <c r="Z22" i="13" s="1"/>
  <c r="Z21" i="4" s="1"/>
  <c r="Z21" i="12" s="1" a="1"/>
  <c r="Z21" i="12" s="1"/>
  <c r="Z21" i="14" s="1"/>
  <c r="AA25" i="3"/>
  <c r="AA23" i="13" s="1"/>
  <c r="AC24" i="3"/>
  <c r="AC22" i="13" s="1"/>
  <c r="AC23" i="3"/>
  <c r="AC21" i="13" s="1"/>
  <c r="AB24" i="3"/>
  <c r="AB22" i="13" s="1"/>
  <c r="AB23" i="3"/>
  <c r="AB21" i="13" s="1"/>
  <c r="AB20" i="4" s="1"/>
  <c r="AB20" i="12" s="1" a="1"/>
  <c r="AB20" i="12" s="1"/>
  <c r="AB20" i="14" s="1"/>
  <c r="AA23" i="3"/>
  <c r="AA21" i="13" s="1"/>
  <c r="AA20" i="4" s="1"/>
  <c r="AA20" i="12" s="1" a="1"/>
  <c r="AA20" i="12" s="1"/>
  <c r="AA20" i="14" s="1"/>
  <c r="Y28" i="3"/>
  <c r="Y26" i="13" s="1"/>
  <c r="X26" i="4"/>
  <c r="X26" i="12" s="1" a="1"/>
  <c r="X26" i="12" s="1"/>
  <c r="X26" i="14" s="1"/>
  <c r="X27" i="4"/>
  <c r="X27" i="12" s="1" a="1"/>
  <c r="X27" i="12" s="1"/>
  <c r="X27" i="14" s="1"/>
  <c r="Y27" i="3"/>
  <c r="Y25" i="13" s="1"/>
  <c r="Z25" i="3"/>
  <c r="Z23" i="13" s="1"/>
  <c r="Z22" i="4" s="1"/>
  <c r="Z22" i="12" s="1" a="1"/>
  <c r="Z22" i="12" s="1"/>
  <c r="Z22" i="14" s="1"/>
  <c r="Y26" i="3"/>
  <c r="Y24" i="13" s="1"/>
  <c r="X26" i="3"/>
  <c r="X24" i="13" s="1"/>
  <c r="W25" i="3"/>
  <c r="W23" i="13" s="1"/>
  <c r="Y25" i="3"/>
  <c r="Y23" i="13" s="1"/>
  <c r="X24" i="3"/>
  <c r="X22" i="13" s="1"/>
  <c r="X25" i="3"/>
  <c r="X23" i="13" s="1"/>
  <c r="U24" i="3"/>
  <c r="U22" i="13" s="1"/>
  <c r="V25" i="3"/>
  <c r="V23" i="13" s="1"/>
  <c r="U25" i="3"/>
  <c r="U23" i="13" s="1"/>
  <c r="Y24" i="3"/>
  <c r="Y22" i="13" s="1"/>
  <c r="Y23" i="3"/>
  <c r="Y21" i="13" s="1"/>
  <c r="Y20" i="4" s="1"/>
  <c r="Y20" i="12" s="1" a="1"/>
  <c r="Y20" i="12" s="1"/>
  <c r="Y20" i="14" s="1"/>
  <c r="X23" i="3"/>
  <c r="X21" i="13" s="1"/>
  <c r="X20" i="4" s="1"/>
  <c r="X20" i="12" s="1" a="1"/>
  <c r="X20" i="12" s="1"/>
  <c r="X20" i="14" s="1"/>
  <c r="V24" i="3"/>
  <c r="V22" i="13" s="1"/>
  <c r="V23" i="3"/>
  <c r="V21" i="13" s="1"/>
  <c r="V20" i="4" s="1"/>
  <c r="V20" i="12" s="1" a="1"/>
  <c r="V20" i="12" s="1"/>
  <c r="V20" i="14" s="1"/>
  <c r="U23" i="3"/>
  <c r="U21" i="13" s="1"/>
  <c r="U20" i="4" s="1"/>
  <c r="U20" i="12" s="1" a="1"/>
  <c r="U20" i="12" s="1"/>
  <c r="U20" i="14" s="1"/>
  <c r="W24" i="3"/>
  <c r="W22" i="13" s="1"/>
  <c r="W23" i="3"/>
  <c r="W21" i="13" s="1"/>
  <c r="W20" i="4" s="1"/>
  <c r="W20" i="12" s="1" a="1"/>
  <c r="W20" i="12" s="1"/>
  <c r="W20" i="14" s="1"/>
  <c r="AA43" i="3"/>
  <c r="AA41" i="13" s="1"/>
  <c r="AA42" i="4" s="1"/>
  <c r="AA42" i="12" s="1" a="1"/>
  <c r="AA42" i="12" s="1"/>
  <c r="AA42" i="14" s="1"/>
  <c r="Z43" i="3"/>
  <c r="Z41" i="13" s="1"/>
  <c r="Z42" i="4" s="1"/>
  <c r="Z42" i="12" s="1" a="1"/>
  <c r="Z42" i="12" s="1"/>
  <c r="Z42" i="14" s="1"/>
  <c r="G32" i="3"/>
  <c r="G30" i="13" s="1"/>
  <c r="G31" i="3"/>
  <c r="G29" i="13" s="1"/>
  <c r="G28" i="4" s="1"/>
  <c r="G28" i="12" s="1" a="1"/>
  <c r="G28" i="12" s="1"/>
  <c r="G28" i="14" s="1"/>
  <c r="AI47" i="4"/>
  <c r="AI47" i="12" s="1" a="1"/>
  <c r="AI47" i="12" s="1"/>
  <c r="AI47" i="14" s="1"/>
  <c r="AI46" i="4"/>
  <c r="AI46" i="12" s="1" a="1"/>
  <c r="AI46" i="12" s="1"/>
  <c r="AI46" i="14" s="1"/>
  <c r="AI45" i="4"/>
  <c r="AI45" i="12" s="1" a="1"/>
  <c r="AI45" i="12" s="1"/>
  <c r="AI45" i="14" s="1"/>
  <c r="AG44" i="4"/>
  <c r="AG44" i="12" s="1" a="1"/>
  <c r="AG44" i="12" s="1"/>
  <c r="AG44" i="14" s="1"/>
  <c r="AG45" i="4"/>
  <c r="AG45" i="12" s="1" a="1"/>
  <c r="AG45" i="12" s="1"/>
  <c r="AG45" i="14" s="1"/>
  <c r="AG46" i="4"/>
  <c r="AG46" i="12" s="1" a="1"/>
  <c r="AG46" i="12" s="1"/>
  <c r="AG46" i="14" s="1"/>
  <c r="AH46" i="4"/>
  <c r="AH46" i="12" s="1" a="1"/>
  <c r="AH46" i="12" s="1"/>
  <c r="AH46" i="14" s="1"/>
  <c r="AH45" i="4"/>
  <c r="AH45" i="12" s="1" a="1"/>
  <c r="AH45" i="12" s="1"/>
  <c r="AH45" i="14" s="1"/>
  <c r="AH47" i="4"/>
  <c r="AH47" i="12" s="1" a="1"/>
  <c r="AH47" i="12" s="1"/>
  <c r="AH47" i="14" s="1"/>
  <c r="W35" i="4"/>
  <c r="W35" i="12" s="1" a="1"/>
  <c r="W35" i="12" s="1"/>
  <c r="W35" i="14" s="1"/>
  <c r="B42" i="3"/>
  <c r="B40" i="13" s="1"/>
  <c r="C42" i="3"/>
  <c r="C40" i="13" s="1"/>
  <c r="D42" i="4"/>
  <c r="D42" i="12" s="1" a="1"/>
  <c r="D42" i="12" s="1"/>
  <c r="D42" i="14" s="1"/>
  <c r="E41" i="4"/>
  <c r="E41" i="12" s="1" a="1"/>
  <c r="E41" i="12" s="1"/>
  <c r="E41" i="14" s="1"/>
  <c r="D42" i="3"/>
  <c r="D40" i="13" s="1"/>
  <c r="F41" i="3"/>
  <c r="F39" i="13" s="1"/>
  <c r="E41" i="3"/>
  <c r="E39" i="13" s="1"/>
  <c r="E40" i="4" s="1"/>
  <c r="E40" i="12" s="1" a="1"/>
  <c r="E40" i="12" s="1"/>
  <c r="E40" i="14" s="1"/>
  <c r="D41" i="3"/>
  <c r="D39" i="13" s="1"/>
  <c r="B41" i="3"/>
  <c r="B39" i="13" s="1"/>
  <c r="C41" i="3"/>
  <c r="C39" i="13" s="1"/>
  <c r="AO37" i="4"/>
  <c r="AO37" i="12" s="1" a="1"/>
  <c r="AO37" i="12" s="1"/>
  <c r="AO37" i="14" s="1"/>
  <c r="AO38" i="4"/>
  <c r="AO38" i="12" s="1" a="1"/>
  <c r="AO38" i="12" s="1"/>
  <c r="AO38" i="14" s="1"/>
  <c r="F38" i="3"/>
  <c r="F36" i="13" s="1"/>
  <c r="E38" i="3"/>
  <c r="E36" i="13" s="1"/>
  <c r="E36" i="4" s="1"/>
  <c r="E36" i="12" s="1" a="1"/>
  <c r="E36" i="12" s="1"/>
  <c r="E36" i="14" s="1"/>
  <c r="D38" i="3"/>
  <c r="D36" i="13" s="1"/>
  <c r="D36" i="4" s="1"/>
  <c r="D36" i="12" s="1" a="1"/>
  <c r="D36" i="12" s="1"/>
  <c r="D36" i="14" s="1"/>
  <c r="B38" i="3"/>
  <c r="B36" i="13" s="1"/>
  <c r="C38" i="3"/>
  <c r="C36" i="13" s="1"/>
  <c r="Z40" i="3"/>
  <c r="Z38" i="13" s="1"/>
  <c r="Z39" i="3"/>
  <c r="Z37" i="13" s="1"/>
  <c r="Z36" i="4" s="1"/>
  <c r="Z36" i="12" s="1" a="1"/>
  <c r="Z36" i="12" s="1"/>
  <c r="Z36" i="14" s="1"/>
  <c r="AA40" i="3"/>
  <c r="AA38" i="13" s="1"/>
  <c r="AF41" i="4"/>
  <c r="AF41" i="12" s="1" a="1"/>
  <c r="AF41" i="12" s="1"/>
  <c r="AF41" i="14" s="1"/>
  <c r="AE43" i="3"/>
  <c r="AE41" i="13" s="1"/>
  <c r="AD43" i="3"/>
  <c r="AD41" i="13" s="1"/>
  <c r="AE42" i="3"/>
  <c r="AE40" i="13" s="1"/>
  <c r="AD42" i="3"/>
  <c r="AD40" i="13" s="1"/>
  <c r="Z42" i="3"/>
  <c r="Z40" i="13" s="1"/>
  <c r="Z41" i="3"/>
  <c r="Z39" i="13" s="1"/>
  <c r="Z38" i="4" s="1"/>
  <c r="Z38" i="12" s="1" a="1"/>
  <c r="Z38" i="12" s="1"/>
  <c r="Z38" i="14" s="1"/>
  <c r="AA42" i="3"/>
  <c r="AA40" i="13" s="1"/>
  <c r="AA41" i="4" s="1"/>
  <c r="AA41" i="12" s="1" a="1"/>
  <c r="AA41" i="12" s="1"/>
  <c r="AA41" i="14" s="1"/>
  <c r="AF41" i="3"/>
  <c r="AF39" i="13" s="1"/>
  <c r="AE41" i="3"/>
  <c r="AE39" i="13" s="1"/>
  <c r="AD41" i="3"/>
  <c r="AD39" i="13" s="1"/>
  <c r="AF40" i="3"/>
  <c r="AF38" i="13" s="1"/>
  <c r="AE40" i="3"/>
  <c r="AE38" i="13" s="1"/>
  <c r="AD40" i="3"/>
  <c r="AD38" i="13" s="1"/>
  <c r="AF39" i="3"/>
  <c r="AF37" i="13" s="1"/>
  <c r="AF38" i="3"/>
  <c r="AF36" i="13" s="1"/>
  <c r="AE39" i="3"/>
  <c r="AE37" i="13" s="1"/>
  <c r="AD38" i="3"/>
  <c r="AD36" i="13" s="1"/>
  <c r="AD39" i="3"/>
  <c r="AD37" i="13" s="1"/>
  <c r="AC38" i="3"/>
  <c r="AC36" i="13" s="1"/>
  <c r="AC37" i="4" s="1"/>
  <c r="AC37" i="12" s="1" a="1"/>
  <c r="AC37" i="12" s="1"/>
  <c r="AC37" i="14" s="1"/>
  <c r="AB38" i="3"/>
  <c r="AB36" i="13" s="1"/>
  <c r="AA38" i="3"/>
  <c r="AA36" i="13" s="1"/>
  <c r="AE38" i="3"/>
  <c r="AE36" i="13" s="1"/>
  <c r="E35" i="3"/>
  <c r="E33" i="13" s="1"/>
  <c r="D35" i="3"/>
  <c r="D33" i="13" s="1"/>
  <c r="G34" i="3"/>
  <c r="G32" i="13" s="1"/>
  <c r="G33" i="3"/>
  <c r="G31" i="13" s="1"/>
  <c r="G30" i="4" s="1"/>
  <c r="G30" i="12" s="1" a="1"/>
  <c r="G30" i="12" s="1"/>
  <c r="G30" i="14" s="1"/>
  <c r="F34" i="3"/>
  <c r="F32" i="13" s="1"/>
  <c r="F33" i="3"/>
  <c r="F31" i="13" s="1"/>
  <c r="E34" i="3"/>
  <c r="E32" i="13" s="1"/>
  <c r="E33" i="3"/>
  <c r="E31" i="13" s="1"/>
  <c r="D34" i="3"/>
  <c r="D32" i="13" s="1"/>
  <c r="D33" i="3"/>
  <c r="D31" i="13" s="1"/>
  <c r="F32" i="3"/>
  <c r="F30" i="13" s="1"/>
  <c r="F31" i="3"/>
  <c r="F29" i="13" s="1"/>
  <c r="F28" i="4" s="1"/>
  <c r="F28" i="12" s="1" a="1"/>
  <c r="F28" i="12" s="1"/>
  <c r="F28" i="14" s="1"/>
  <c r="AO21" i="3"/>
  <c r="AO19" i="13" s="1"/>
  <c r="AO20" i="3"/>
  <c r="AO18" i="13" s="1"/>
  <c r="AH32" i="3"/>
  <c r="AH30" i="13" s="1"/>
  <c r="AT14" i="13" a="1"/>
  <c r="AT14" i="13" s="1"/>
  <c r="AT46" i="13"/>
  <c r="K42" i="4"/>
  <c r="K42" i="12" s="1" a="1"/>
  <c r="K42" i="12" s="1"/>
  <c r="K42" i="14" s="1"/>
  <c r="K43" i="4"/>
  <c r="K43" i="12" s="1" a="1"/>
  <c r="K43" i="12" s="1"/>
  <c r="K43" i="14" s="1"/>
  <c r="U34" i="4"/>
  <c r="U34" i="12" s="1" a="1"/>
  <c r="U34" i="12" s="1"/>
  <c r="U34" i="14" s="1"/>
  <c r="S35" i="4"/>
  <c r="S35" i="12" s="1" a="1"/>
  <c r="S35" i="12" s="1"/>
  <c r="S35" i="14" s="1"/>
  <c r="T34" i="4"/>
  <c r="T34" i="12" s="1" a="1"/>
  <c r="T34" i="12" s="1"/>
  <c r="T34" i="14" s="1"/>
  <c r="T35" i="4"/>
  <c r="T35" i="12" s="1" a="1"/>
  <c r="T35" i="12" s="1"/>
  <c r="T35" i="14" s="1"/>
  <c r="S36" i="4"/>
  <c r="S36" i="12" s="1" a="1"/>
  <c r="S36" i="12" s="1"/>
  <c r="S36" i="14" s="1"/>
  <c r="T36" i="4"/>
  <c r="T36" i="12" s="1" a="1"/>
  <c r="T36" i="12" s="1"/>
  <c r="T36" i="14" s="1"/>
  <c r="U35" i="4"/>
  <c r="U35" i="12" s="1" a="1"/>
  <c r="U35" i="12" s="1"/>
  <c r="U35" i="14" s="1"/>
  <c r="U36" i="4"/>
  <c r="U36" i="12" s="1" a="1"/>
  <c r="U36" i="12" s="1"/>
  <c r="U36" i="14" s="1"/>
  <c r="V36" i="4"/>
  <c r="V36" i="12" s="1" a="1"/>
  <c r="V36" i="12" s="1"/>
  <c r="V36" i="14" s="1"/>
  <c r="S37" i="4"/>
  <c r="S37" i="12" s="1" a="1"/>
  <c r="S37" i="12" s="1"/>
  <c r="S37" i="14" s="1"/>
  <c r="T37" i="4"/>
  <c r="T37" i="12" s="1" a="1"/>
  <c r="T37" i="12" s="1"/>
  <c r="T37" i="14" s="1"/>
  <c r="U37" i="4"/>
  <c r="U37" i="12" s="1" a="1"/>
  <c r="U37" i="12" s="1"/>
  <c r="U37" i="14" s="1"/>
  <c r="U39" i="4"/>
  <c r="U39" i="12" s="1" a="1"/>
  <c r="U39" i="12" s="1"/>
  <c r="U39" i="14" s="1"/>
  <c r="U38" i="4"/>
  <c r="U38" i="12" s="1" a="1"/>
  <c r="U38" i="12" s="1"/>
  <c r="U38" i="14" s="1"/>
  <c r="V37" i="4"/>
  <c r="V37" i="12" s="1" a="1"/>
  <c r="V37" i="12" s="1"/>
  <c r="V37" i="14" s="1"/>
  <c r="W37" i="4"/>
  <c r="W37" i="12" s="1" a="1"/>
  <c r="W37" i="12" s="1"/>
  <c r="W37" i="14" s="1"/>
  <c r="S38" i="4"/>
  <c r="S38" i="12" s="1" a="1"/>
  <c r="S38" i="12" s="1"/>
  <c r="S38" i="14" s="1"/>
  <c r="S40" i="4"/>
  <c r="S40" i="12" s="1" a="1"/>
  <c r="S40" i="12" s="1"/>
  <c r="S40" i="14" s="1"/>
  <c r="S39" i="4"/>
  <c r="S39" i="12" s="1" a="1"/>
  <c r="S39" i="12" s="1"/>
  <c r="S39" i="14" s="1"/>
  <c r="T39" i="4"/>
  <c r="T39" i="12" s="1" a="1"/>
  <c r="T39" i="12" s="1"/>
  <c r="T39" i="14" s="1"/>
  <c r="T38" i="4"/>
  <c r="T38" i="12" s="1" a="1"/>
  <c r="T38" i="12" s="1"/>
  <c r="T38" i="14" s="1"/>
  <c r="T40" i="4"/>
  <c r="T40" i="12" s="1" a="1"/>
  <c r="T40" i="12" s="1"/>
  <c r="T40" i="14" s="1"/>
  <c r="W39" i="4"/>
  <c r="W39" i="12" s="1" a="1"/>
  <c r="W39" i="12" s="1"/>
  <c r="W39" i="14" s="1"/>
  <c r="W38" i="4"/>
  <c r="W38" i="12" s="1" a="1"/>
  <c r="W38" i="12" s="1"/>
  <c r="W38" i="14" s="1"/>
  <c r="W40" i="4"/>
  <c r="W40" i="12" s="1" a="1"/>
  <c r="W40" i="12" s="1"/>
  <c r="W40" i="14" s="1"/>
  <c r="V38" i="4"/>
  <c r="V38" i="12" s="1" a="1"/>
  <c r="V38" i="12" s="1"/>
  <c r="V38" i="14" s="1"/>
  <c r="V39" i="4"/>
  <c r="V39" i="12" s="1" a="1"/>
  <c r="V39" i="12" s="1"/>
  <c r="V39" i="14" s="1"/>
  <c r="V40" i="4"/>
  <c r="V40" i="12" s="1" a="1"/>
  <c r="V40" i="12" s="1"/>
  <c r="V40" i="14" s="1"/>
  <c r="D34" i="4"/>
  <c r="D34" i="12" s="1" a="1"/>
  <c r="D34" i="12" s="1"/>
  <c r="D34" i="14" s="1"/>
  <c r="D35" i="4"/>
  <c r="D35" i="12" s="1" a="1"/>
  <c r="D35" i="12" s="1"/>
  <c r="D35" i="14" s="1"/>
  <c r="E34" i="4"/>
  <c r="E34" i="12" s="1" a="1"/>
  <c r="E34" i="12" s="1"/>
  <c r="E34" i="14" s="1"/>
  <c r="E35" i="4"/>
  <c r="E35" i="12" s="1" a="1"/>
  <c r="E35" i="12" s="1"/>
  <c r="E35" i="14" s="1"/>
  <c r="J30" i="4"/>
  <c r="J30" i="12" s="1" a="1"/>
  <c r="J30" i="12" s="1"/>
  <c r="J30" i="14" s="1"/>
  <c r="J31" i="4"/>
  <c r="J31" i="12" s="1" a="1"/>
  <c r="J31" i="12" s="1"/>
  <c r="J31" i="14" s="1"/>
  <c r="J29" i="4"/>
  <c r="J29" i="12" s="1" a="1"/>
  <c r="J29" i="12" s="1"/>
  <c r="J29" i="14" s="1"/>
  <c r="B36" i="3"/>
  <c r="B34" i="13" s="1"/>
  <c r="C36" i="3"/>
  <c r="C34" i="13" s="1"/>
  <c r="B37" i="3"/>
  <c r="B35" i="13" s="1"/>
  <c r="C37" i="3"/>
  <c r="C35" i="13" s="1"/>
  <c r="F16" i="3"/>
  <c r="F14" i="13" s="1"/>
  <c r="H45" i="4"/>
  <c r="H45" i="12" s="1" a="1"/>
  <c r="H45" i="12" s="1"/>
  <c r="H45" i="14" s="1"/>
  <c r="H47" i="4"/>
  <c r="H47" i="12" s="1" a="1"/>
  <c r="H47" i="12" s="1"/>
  <c r="H47" i="14" s="1"/>
  <c r="H46" i="4"/>
  <c r="H46" i="12" s="1" a="1"/>
  <c r="H46" i="12" s="1"/>
  <c r="H46" i="14" s="1"/>
  <c r="E48" i="4"/>
  <c r="E48" i="12" s="1" a="1"/>
  <c r="E48" i="12" s="1"/>
  <c r="E48" i="14" s="1"/>
  <c r="E47" i="4"/>
  <c r="E47" i="12" s="1" a="1"/>
  <c r="E47" i="12" s="1"/>
  <c r="E47" i="14" s="1"/>
  <c r="E46" i="4"/>
  <c r="E46" i="12" s="1" a="1"/>
  <c r="E46" i="12" s="1"/>
  <c r="E46" i="14" s="1"/>
  <c r="L43" i="3"/>
  <c r="L41" i="13" s="1"/>
  <c r="M43" i="3"/>
  <c r="M41" i="13" s="1"/>
  <c r="M42" i="4" s="1"/>
  <c r="M42" i="12" s="1" a="1"/>
  <c r="M42" i="12" s="1"/>
  <c r="M42" i="14" s="1"/>
  <c r="J42" i="3"/>
  <c r="J40" i="13" s="1"/>
  <c r="J43" i="3"/>
  <c r="J41" i="13" s="1"/>
  <c r="I42" i="3"/>
  <c r="I40" i="13" s="1"/>
  <c r="H42" i="3"/>
  <c r="H40" i="13" s="1"/>
  <c r="I43" i="3"/>
  <c r="I41" i="13" s="1"/>
  <c r="H43" i="3"/>
  <c r="H41" i="13" s="1"/>
  <c r="G43" i="3"/>
  <c r="G41" i="13" s="1"/>
  <c r="F42" i="3"/>
  <c r="F40" i="13" s="1"/>
  <c r="G42" i="3"/>
  <c r="G40" i="13" s="1"/>
  <c r="F43" i="3"/>
  <c r="F41" i="13" s="1"/>
  <c r="Q43" i="3"/>
  <c r="Q41" i="13" s="1"/>
  <c r="P43" i="3"/>
  <c r="P41" i="13" s="1"/>
  <c r="N42" i="4"/>
  <c r="N42" i="12" s="1" a="1"/>
  <c r="N42" i="12" s="1"/>
  <c r="N42" i="14" s="1"/>
  <c r="Q42" i="3"/>
  <c r="Q40" i="13" s="1"/>
  <c r="Q41" i="3"/>
  <c r="Q39" i="13" s="1"/>
  <c r="P42" i="3"/>
  <c r="P40" i="13" s="1"/>
  <c r="O42" i="3"/>
  <c r="O40" i="13" s="1"/>
  <c r="N42" i="3"/>
  <c r="N40" i="13" s="1"/>
  <c r="P41" i="3"/>
  <c r="P39" i="13" s="1"/>
  <c r="O41" i="3"/>
  <c r="O39" i="13" s="1"/>
  <c r="N41" i="3"/>
  <c r="N39" i="13" s="1"/>
  <c r="M40" i="3"/>
  <c r="M38" i="13" s="1"/>
  <c r="M39" i="4" s="1"/>
  <c r="M39" i="12" s="1" a="1"/>
  <c r="M39" i="12" s="1"/>
  <c r="M39" i="14" s="1"/>
  <c r="N40" i="3"/>
  <c r="N38" i="13" s="1"/>
  <c r="O38" i="3"/>
  <c r="O36" i="13" s="1"/>
  <c r="N39" i="3"/>
  <c r="N37" i="13" s="1"/>
  <c r="Q38" i="3"/>
  <c r="Q36" i="13" s="1"/>
  <c r="Q36" i="4" s="1"/>
  <c r="Q36" i="12" s="1" a="1"/>
  <c r="Q36" i="12" s="1"/>
  <c r="Q36" i="14" s="1"/>
  <c r="P38" i="3"/>
  <c r="P36" i="13" s="1"/>
  <c r="P36" i="4" s="1"/>
  <c r="P36" i="12" s="1" a="1"/>
  <c r="P36" i="12" s="1"/>
  <c r="P36" i="14" s="1"/>
  <c r="O37" i="3"/>
  <c r="O35" i="13" s="1"/>
  <c r="O34" i="4" s="1"/>
  <c r="O34" i="12" s="1" a="1"/>
  <c r="O34" i="12" s="1"/>
  <c r="O34" i="14" s="1"/>
  <c r="N38" i="3"/>
  <c r="N36" i="13" s="1"/>
  <c r="N37" i="3"/>
  <c r="N35" i="13" s="1"/>
  <c r="N36" i="3"/>
  <c r="N34" i="13" s="1"/>
  <c r="N33" i="4" s="1"/>
  <c r="N33" i="12" s="1" a="1"/>
  <c r="N33" i="12" s="1"/>
  <c r="N33" i="14" s="1"/>
  <c r="D21" i="4"/>
  <c r="D21" i="12" s="1" a="1"/>
  <c r="D21" i="12" s="1"/>
  <c r="D21" i="14" s="1"/>
  <c r="D22" i="4"/>
  <c r="D22" i="12" s="1" a="1"/>
  <c r="D22" i="12" s="1"/>
  <c r="D22" i="14" s="1"/>
  <c r="D23" i="4"/>
  <c r="D23" i="12" s="1" a="1"/>
  <c r="D23" i="12" s="1"/>
  <c r="D23" i="14" s="1"/>
  <c r="AK18" i="4"/>
  <c r="AK18" i="12" s="1" a="1"/>
  <c r="AK18" i="12" s="1"/>
  <c r="AK18" i="14" s="1"/>
  <c r="AK17" i="4"/>
  <c r="AK17" i="12" s="1" a="1"/>
  <c r="AK17" i="12" s="1"/>
  <c r="AK17" i="14" s="1"/>
  <c r="AK16" i="4"/>
  <c r="AK16" i="12" s="1" a="1"/>
  <c r="AK16" i="12" s="1"/>
  <c r="AK16" i="14" s="1"/>
  <c r="AK37" i="3"/>
  <c r="AK35" i="13" s="1"/>
  <c r="AL37" i="3"/>
  <c r="AL35" i="13" s="1"/>
  <c r="AL36" i="4" s="1"/>
  <c r="AL36" i="12" s="1" a="1"/>
  <c r="AL36" i="12" s="1"/>
  <c r="AL36" i="14" s="1"/>
  <c r="AK36" i="3"/>
  <c r="AK34" i="13" s="1"/>
  <c r="AD26" i="3"/>
  <c r="AD24" i="13" s="1"/>
  <c r="AA26" i="3"/>
  <c r="AA24" i="13" s="1"/>
  <c r="Z26" i="3"/>
  <c r="Z24" i="13" s="1"/>
  <c r="S24" i="3"/>
  <c r="S22" i="13" s="1"/>
  <c r="S21" i="4" s="1"/>
  <c r="S21" i="12" s="1" a="1"/>
  <c r="S21" i="12" s="1"/>
  <c r="S21" i="14" s="1"/>
  <c r="S25" i="3"/>
  <c r="S23" i="13" s="1"/>
  <c r="D21" i="3"/>
  <c r="D19" i="13" s="1"/>
  <c r="D20" i="4" s="1"/>
  <c r="D20" i="12" s="1" a="1"/>
  <c r="D20" i="12" s="1"/>
  <c r="D20" i="14" s="1"/>
  <c r="AH31" i="3"/>
  <c r="AH29" i="13" s="1"/>
  <c r="AI32" i="3"/>
  <c r="AI30" i="13" s="1"/>
  <c r="M41" i="4"/>
  <c r="M41" i="12" s="1" a="1"/>
  <c r="M41" i="12" s="1"/>
  <c r="M41" i="14" s="1"/>
  <c r="M40" i="4"/>
  <c r="M40" i="12" s="1" a="1"/>
  <c r="M40" i="12" s="1"/>
  <c r="M40" i="14" s="1"/>
  <c r="D37" i="4"/>
  <c r="D37" i="12" s="1" a="1"/>
  <c r="D37" i="12" s="1"/>
  <c r="D37" i="14" s="1"/>
  <c r="D38" i="4"/>
  <c r="D38" i="12" s="1" a="1"/>
  <c r="D38" i="12" s="1"/>
  <c r="D38" i="14" s="1"/>
  <c r="D39" i="4"/>
  <c r="D39" i="12" s="1" a="1"/>
  <c r="D39" i="12" s="1"/>
  <c r="D39" i="14" s="1"/>
  <c r="E38" i="4"/>
  <c r="E38" i="12" s="1" a="1"/>
  <c r="E38" i="12" s="1"/>
  <c r="E38" i="14" s="1"/>
  <c r="E39" i="4"/>
  <c r="E39" i="12" s="1" a="1"/>
  <c r="E39" i="12" s="1"/>
  <c r="E39" i="14" s="1"/>
  <c r="E37" i="4"/>
  <c r="E37" i="12" s="1" a="1"/>
  <c r="E37" i="12" s="1"/>
  <c r="E37" i="14" s="1"/>
  <c r="AB36" i="4"/>
  <c r="AB36" i="12" s="1" a="1"/>
  <c r="AB36" i="12" s="1"/>
  <c r="AB36" i="14" s="1"/>
  <c r="AB37" i="4"/>
  <c r="AB37" i="12" s="1" a="1"/>
  <c r="AB37" i="12" s="1"/>
  <c r="AB37" i="14" s="1"/>
  <c r="B21" i="4"/>
  <c r="B21" i="12" s="1" a="1"/>
  <c r="B21" i="12" s="1"/>
  <c r="B21" i="14" s="1"/>
  <c r="B23" i="4"/>
  <c r="B23" i="12" s="1" a="1"/>
  <c r="B23" i="12" s="1"/>
  <c r="B23" i="14" s="1"/>
  <c r="B22" i="4"/>
  <c r="B22" i="12" s="1" a="1"/>
  <c r="B22" i="12" s="1"/>
  <c r="B22" i="14" s="1"/>
  <c r="C21" i="4"/>
  <c r="C21" i="12" s="1" a="1"/>
  <c r="C21" i="12" s="1"/>
  <c r="C21" i="14" s="1"/>
  <c r="C23" i="4"/>
  <c r="C23" i="12" s="1" a="1"/>
  <c r="C23" i="12" s="1"/>
  <c r="C23" i="14" s="1"/>
  <c r="C22" i="4"/>
  <c r="C22" i="12" s="1" a="1"/>
  <c r="C22" i="12" s="1"/>
  <c r="C22" i="14" s="1"/>
  <c r="AK21" i="4"/>
  <c r="AK21" i="12" s="1" a="1"/>
  <c r="AK21" i="12" s="1"/>
  <c r="AK21" i="14" s="1"/>
  <c r="AK22" i="4"/>
  <c r="AK22" i="12" s="1" a="1"/>
  <c r="AK22" i="12" s="1"/>
  <c r="AK22" i="14" s="1"/>
  <c r="AL21" i="4"/>
  <c r="AL21" i="12" s="1" a="1"/>
  <c r="AL21" i="12" s="1"/>
  <c r="AL21" i="14" s="1"/>
  <c r="AL22" i="4"/>
  <c r="AL22" i="12" s="1" a="1"/>
  <c r="AL22" i="12" s="1"/>
  <c r="AL22" i="14" s="1"/>
  <c r="AK15" i="4"/>
  <c r="AK15" i="12" s="1" a="1"/>
  <c r="AK15" i="12" s="1"/>
  <c r="AK15" i="14" s="1"/>
  <c r="AK14" i="4"/>
  <c r="AK14" i="12" s="1" a="1"/>
  <c r="AK14" i="12" s="1"/>
  <c r="AK14" i="14" s="1"/>
  <c r="AK13" i="4"/>
  <c r="AK13" i="12" s="1" a="1"/>
  <c r="AK13" i="12" s="1"/>
  <c r="AK13" i="14" s="1"/>
  <c r="AL13" i="4"/>
  <c r="AL13" i="12" s="1" a="1"/>
  <c r="AL13" i="12" s="1"/>
  <c r="AL13" i="14" s="1"/>
  <c r="AM14" i="4"/>
  <c r="AM14" i="12" s="1" a="1"/>
  <c r="AM14" i="12" s="1"/>
  <c r="AM14" i="14" s="1"/>
  <c r="AN14" i="4"/>
  <c r="AN14" i="12" s="1" a="1"/>
  <c r="AN14" i="12" s="1"/>
  <c r="AN14" i="14" s="1"/>
  <c r="AL14" i="4"/>
  <c r="AL14" i="12" s="1" a="1"/>
  <c r="AL14" i="12" s="1"/>
  <c r="AL14" i="14" s="1"/>
  <c r="AL15" i="4"/>
  <c r="AL15" i="12" s="1" a="1"/>
  <c r="AL15" i="12" s="1"/>
  <c r="AL15" i="14" s="1"/>
  <c r="AM15" i="4"/>
  <c r="AM15" i="12" s="1" a="1"/>
  <c r="AM15" i="12" s="1"/>
  <c r="AM15" i="14" s="1"/>
  <c r="AN15" i="4"/>
  <c r="AN15" i="12" s="1" a="1"/>
  <c r="AN15" i="12" s="1"/>
  <c r="AN15" i="14" s="1"/>
  <c r="AA15" i="4"/>
  <c r="AA15" i="12" s="1" a="1"/>
  <c r="AA15" i="12" s="1"/>
  <c r="AA15" i="14" s="1"/>
  <c r="AA14" i="4"/>
  <c r="AA14" i="12" s="1" a="1"/>
  <c r="AA14" i="12" s="1"/>
  <c r="AA14" i="14" s="1"/>
  <c r="AA13" i="4"/>
  <c r="AA13" i="12" s="1" a="1"/>
  <c r="AA13" i="12" s="1"/>
  <c r="AA13" i="14" s="1"/>
  <c r="H15" i="4"/>
  <c r="H15" i="12" s="1" a="1"/>
  <c r="H15" i="12" s="1"/>
  <c r="H15" i="14" s="1"/>
  <c r="H14" i="4"/>
  <c r="H14" i="12" s="1" a="1"/>
  <c r="H14" i="12" s="1"/>
  <c r="H14" i="14" s="1"/>
  <c r="H13" i="4"/>
  <c r="H13" i="12" s="1" a="1"/>
  <c r="H13" i="12" s="1"/>
  <c r="H13" i="14" s="1"/>
  <c r="AL36" i="3"/>
  <c r="AL34" i="13" s="1"/>
  <c r="AL35" i="4" s="1"/>
  <c r="AL35" i="12" s="1" a="1"/>
  <c r="AL35" i="12" s="1"/>
  <c r="AL35" i="14" s="1"/>
  <c r="AK35" i="3"/>
  <c r="AK33" i="13" s="1"/>
  <c r="AK34" i="4" s="1"/>
  <c r="AK34" i="12" s="1" a="1"/>
  <c r="AK34" i="12" s="1"/>
  <c r="AK34" i="14" s="1"/>
  <c r="B35" i="3"/>
  <c r="B33" i="13" s="1"/>
  <c r="B34" i="4" s="1"/>
  <c r="B34" i="12" s="1" a="1"/>
  <c r="B34" i="12" s="1"/>
  <c r="B34" i="14" s="1"/>
  <c r="C35" i="3"/>
  <c r="C33" i="13" s="1"/>
  <c r="C34" i="4" s="1"/>
  <c r="C34" i="12" s="1" a="1"/>
  <c r="C34" i="12" s="1"/>
  <c r="C34" i="14" s="1"/>
  <c r="W29" i="3"/>
  <c r="W27" i="13" s="1"/>
  <c r="W28" i="3"/>
  <c r="W26" i="13" s="1"/>
  <c r="T26" i="3"/>
  <c r="T24" i="13" s="1"/>
  <c r="T23" i="4" s="1"/>
  <c r="T23" i="12" s="1" a="1"/>
  <c r="T23" i="12" s="1"/>
  <c r="T23" i="14" s="1"/>
  <c r="I28" i="3"/>
  <c r="I26" i="13" s="1"/>
  <c r="I29" i="3"/>
  <c r="I27" i="13" s="1"/>
  <c r="J29" i="3"/>
  <c r="J27" i="13" s="1"/>
  <c r="G16" i="3"/>
  <c r="G14" i="13" s="1"/>
  <c r="G15" i="3"/>
  <c r="G13" i="13" s="1"/>
  <c r="F15" i="3"/>
  <c r="F13" i="13" s="1"/>
  <c r="G21" i="3"/>
  <c r="G19" i="13" s="1"/>
  <c r="G20" i="3"/>
  <c r="G18" i="13" s="1"/>
  <c r="F13" i="4"/>
  <c r="F13" i="12" s="1" a="1"/>
  <c r="F13" i="12" s="1"/>
  <c r="F13" i="14" s="1"/>
  <c r="R33" i="3"/>
  <c r="R31" i="13" s="1"/>
  <c r="R32" i="4" s="1"/>
  <c r="R32" i="12" s="1" a="1"/>
  <c r="R32" i="12" s="1"/>
  <c r="R32" i="14" s="1"/>
  <c r="Q33" i="3"/>
  <c r="Q31" i="13" s="1"/>
  <c r="Q32" i="4" s="1"/>
  <c r="Q32" i="12" s="1" a="1"/>
  <c r="Q32" i="12" s="1"/>
  <c r="Q32" i="14" s="1"/>
  <c r="V31" i="3"/>
  <c r="V29" i="13" s="1"/>
  <c r="F19" i="3"/>
  <c r="F17" i="13" s="1"/>
  <c r="J47" i="4"/>
  <c r="J47" i="12" s="1" a="1"/>
  <c r="J47" i="12" s="1"/>
  <c r="J47" i="14" s="1"/>
  <c r="J46" i="4"/>
  <c r="J46" i="12" s="1" a="1"/>
  <c r="J46" i="12" s="1"/>
  <c r="J46" i="14" s="1"/>
  <c r="J45" i="4"/>
  <c r="J45" i="12" s="1" a="1"/>
  <c r="J45" i="12" s="1"/>
  <c r="J45" i="14" s="1"/>
  <c r="I45" i="4"/>
  <c r="I45" i="12" s="1" a="1"/>
  <c r="I45" i="12" s="1"/>
  <c r="I45" i="14" s="1"/>
  <c r="I46" i="4"/>
  <c r="I46" i="12" s="1" a="1"/>
  <c r="I46" i="12" s="1"/>
  <c r="I46" i="14" s="1"/>
  <c r="I47" i="4"/>
  <c r="I47" i="12" s="1" a="1"/>
  <c r="I47" i="12" s="1"/>
  <c r="I47" i="14" s="1"/>
  <c r="G46" i="4"/>
  <c r="G46" i="12" s="1" a="1"/>
  <c r="G46" i="12" s="1"/>
  <c r="G46" i="14" s="1"/>
  <c r="G45" i="4"/>
  <c r="G45" i="12" s="1" a="1"/>
  <c r="G45" i="12" s="1"/>
  <c r="G45" i="14" s="1"/>
  <c r="G47" i="4"/>
  <c r="G47" i="12" s="1" a="1"/>
  <c r="G47" i="12" s="1"/>
  <c r="G47" i="14" s="1"/>
  <c r="F46" i="4"/>
  <c r="F46" i="12" s="1" a="1"/>
  <c r="F46" i="12" s="1"/>
  <c r="F46" i="14" s="1"/>
  <c r="F45" i="4"/>
  <c r="F45" i="12" s="1" a="1"/>
  <c r="F45" i="12" s="1"/>
  <c r="F45" i="14" s="1"/>
  <c r="F47" i="4"/>
  <c r="F47" i="12" s="1" a="1"/>
  <c r="F47" i="12" s="1"/>
  <c r="F47" i="14" s="1"/>
  <c r="Z45" i="4"/>
  <c r="Z45" i="12" s="1" a="1"/>
  <c r="Z45" i="12" s="1"/>
  <c r="Z45" i="14" s="1"/>
  <c r="Z44" i="4"/>
  <c r="Z44" i="12" s="1" a="1"/>
  <c r="Z44" i="12" s="1"/>
  <c r="Z44" i="14" s="1"/>
  <c r="Z43" i="4"/>
  <c r="Z43" i="12" s="1" a="1"/>
  <c r="Z43" i="12" s="1"/>
  <c r="Z43" i="14" s="1"/>
  <c r="AA45" i="4"/>
  <c r="AA45" i="12" s="1" a="1"/>
  <c r="AA45" i="12" s="1"/>
  <c r="AA45" i="14" s="1"/>
  <c r="AA46" i="4"/>
  <c r="AA46" i="12" s="1" a="1"/>
  <c r="AA46" i="12" s="1"/>
  <c r="AA46" i="14" s="1"/>
  <c r="AA44" i="4"/>
  <c r="AA44" i="12" s="1" a="1"/>
  <c r="AA44" i="12" s="1"/>
  <c r="AA44" i="14" s="1"/>
  <c r="AB45" i="4"/>
  <c r="AB45" i="12" s="1" a="1"/>
  <c r="AB45" i="12" s="1"/>
  <c r="AB45" i="14" s="1"/>
  <c r="AB46" i="4"/>
  <c r="AB46" i="12" s="1" a="1"/>
  <c r="AB46" i="12" s="1"/>
  <c r="AB46" i="14" s="1"/>
  <c r="AB44" i="4"/>
  <c r="AB44" i="12" s="1" a="1"/>
  <c r="AB44" i="12" s="1"/>
  <c r="AB44" i="14" s="1"/>
  <c r="AC41" i="4"/>
  <c r="AC41" i="12" s="1" a="1"/>
  <c r="AC41" i="12" s="1"/>
  <c r="AC41" i="14" s="1"/>
  <c r="AC40" i="4"/>
  <c r="AC40" i="12" s="1" a="1"/>
  <c r="AC40" i="12" s="1"/>
  <c r="AC40" i="14" s="1"/>
  <c r="AC39" i="4"/>
  <c r="AC39" i="12" s="1" a="1"/>
  <c r="AC39" i="12" s="1"/>
  <c r="AC39" i="14" s="1"/>
  <c r="AA38" i="4"/>
  <c r="AA38" i="12" s="1" a="1"/>
  <c r="AA38" i="12" s="1"/>
  <c r="AA38" i="14" s="1"/>
  <c r="AA39" i="4"/>
  <c r="AA39" i="12" s="1" a="1"/>
  <c r="AA39" i="12" s="1"/>
  <c r="AA39" i="14" s="1"/>
  <c r="AA40" i="4"/>
  <c r="AA40" i="12" s="1" a="1"/>
  <c r="AA40" i="12" s="1"/>
  <c r="AA40" i="14" s="1"/>
  <c r="AB39" i="4"/>
  <c r="AB39" i="12" s="1" a="1"/>
  <c r="AB39" i="12" s="1"/>
  <c r="AB39" i="14" s="1"/>
  <c r="AB40" i="4"/>
  <c r="AB40" i="12" s="1" a="1"/>
  <c r="AB40" i="12" s="1"/>
  <c r="AB40" i="14" s="1"/>
  <c r="AB41" i="4"/>
  <c r="AB41" i="12" s="1" a="1"/>
  <c r="AB41" i="12" s="1"/>
  <c r="AB41" i="14" s="1"/>
  <c r="AN37" i="3"/>
  <c r="AN35" i="13" s="1"/>
  <c r="AN36" i="3"/>
  <c r="AN34" i="13" s="1"/>
  <c r="AM37" i="3"/>
  <c r="AM35" i="13" s="1"/>
  <c r="AO36" i="3"/>
  <c r="AO34" i="13" s="1"/>
  <c r="AM36" i="3"/>
  <c r="AM34" i="13" s="1"/>
  <c r="AO35" i="3"/>
  <c r="AO33" i="13" s="1"/>
  <c r="AN35" i="3"/>
  <c r="AN33" i="13" s="1"/>
  <c r="AL35" i="3"/>
  <c r="AL33" i="13" s="1"/>
  <c r="AL34" i="4" s="1"/>
  <c r="AL34" i="12" s="1" a="1"/>
  <c r="AL34" i="12" s="1"/>
  <c r="AL34" i="14" s="1"/>
  <c r="AO34" i="3"/>
  <c r="AO32" i="13" s="1"/>
  <c r="AN34" i="3"/>
  <c r="AN32" i="13" s="1"/>
  <c r="B33" i="3"/>
  <c r="B31" i="13" s="1"/>
  <c r="C33" i="3"/>
  <c r="C31" i="13" s="1"/>
  <c r="C34" i="3"/>
  <c r="C32" i="13" s="1"/>
  <c r="B34" i="3"/>
  <c r="B32" i="13" s="1"/>
  <c r="AO32" i="3"/>
  <c r="AO30" i="13" s="1"/>
  <c r="AO29" i="4" s="1"/>
  <c r="AO29" i="12" s="1" a="1"/>
  <c r="AO29" i="12" s="1"/>
  <c r="AO29" i="14" s="1"/>
  <c r="AO33" i="3"/>
  <c r="AO31" i="13" s="1"/>
  <c r="AO30" i="4" s="1"/>
  <c r="AO30" i="12" s="1" a="1"/>
  <c r="AO30" i="12" s="1"/>
  <c r="AO30" i="14" s="1"/>
  <c r="AN33" i="3"/>
  <c r="AN31" i="13" s="1"/>
  <c r="AN32" i="3"/>
  <c r="AN30" i="13" s="1"/>
  <c r="AN29" i="4" s="1"/>
  <c r="AN29" i="12" s="1" a="1"/>
  <c r="AN29" i="12" s="1"/>
  <c r="AN29" i="14" s="1"/>
  <c r="P16" i="4"/>
  <c r="P16" i="12" s="1" a="1"/>
  <c r="P16" i="12" s="1"/>
  <c r="P16" i="14" s="1"/>
  <c r="P15" i="4"/>
  <c r="P15" i="12" s="1" a="1"/>
  <c r="P15" i="12" s="1"/>
  <c r="P15" i="14" s="1"/>
  <c r="S16" i="4"/>
  <c r="S16" i="12" s="1" a="1"/>
  <c r="S16" i="12" s="1"/>
  <c r="S16" i="14" s="1"/>
  <c r="S15" i="4"/>
  <c r="S15" i="12" s="1" a="1"/>
  <c r="S15" i="12" s="1"/>
  <c r="S15" i="14" s="1"/>
  <c r="S14" i="4"/>
  <c r="S14" i="12" s="1" a="1"/>
  <c r="S14" i="12" s="1"/>
  <c r="S14" i="14" s="1"/>
  <c r="I15" i="4"/>
  <c r="I15" i="12" s="1" a="1"/>
  <c r="I15" i="12" s="1"/>
  <c r="I15" i="14" s="1"/>
  <c r="I14" i="4"/>
  <c r="I14" i="12" s="1" a="1"/>
  <c r="I14" i="12" s="1"/>
  <c r="I14" i="14" s="1"/>
  <c r="I13" i="4"/>
  <c r="I13" i="12" s="1" a="1"/>
  <c r="I13" i="12" s="1"/>
  <c r="I13" i="14" s="1"/>
  <c r="AK26" i="3"/>
  <c r="AK24" i="13" s="1"/>
  <c r="AJ26" i="3"/>
  <c r="AJ24" i="13" s="1"/>
  <c r="AJ23" i="4" s="1"/>
  <c r="AJ23" i="12" s="1" a="1"/>
  <c r="AJ23" i="12" s="1"/>
  <c r="AJ23" i="14" s="1"/>
  <c r="W27" i="3"/>
  <c r="W25" i="13" s="1"/>
  <c r="W26" i="3"/>
  <c r="W24" i="13" s="1"/>
  <c r="W23" i="4" s="1"/>
  <c r="W23" i="12" s="1" a="1"/>
  <c r="W23" i="12" s="1"/>
  <c r="W23" i="14" s="1"/>
  <c r="W33" i="3"/>
  <c r="W31" i="13" s="1"/>
  <c r="W32" i="3"/>
  <c r="W30" i="13" s="1"/>
  <c r="AA37" i="3"/>
  <c r="AA35" i="13" s="1"/>
  <c r="Z36" i="3"/>
  <c r="Z34" i="13" s="1"/>
  <c r="Z35" i="4" s="1"/>
  <c r="Z35" i="12" s="1" a="1"/>
  <c r="Z35" i="12" s="1"/>
  <c r="Z35" i="14" s="1"/>
  <c r="AA36" i="3"/>
  <c r="AA34" i="13" s="1"/>
  <c r="AF37" i="3"/>
  <c r="AF35" i="13" s="1"/>
  <c r="AE37" i="3"/>
  <c r="AE35" i="13" s="1"/>
  <c r="AE36" i="4" s="1"/>
  <c r="AE36" i="12" s="1" a="1"/>
  <c r="AE36" i="12" s="1"/>
  <c r="AE36" i="14" s="1"/>
  <c r="L27" i="3"/>
  <c r="L25" i="13" s="1"/>
  <c r="N26" i="3"/>
  <c r="N24" i="13" s="1"/>
  <c r="F35" i="4"/>
  <c r="F35" i="12" s="1" a="1"/>
  <c r="F35" i="12" s="1"/>
  <c r="F35" i="14" s="1"/>
  <c r="F34" i="4"/>
  <c r="F34" i="12" s="1" a="1"/>
  <c r="F34" i="12" s="1"/>
  <c r="F34" i="14" s="1"/>
  <c r="I34" i="4"/>
  <c r="I34" i="12" s="1" a="1"/>
  <c r="I34" i="12" s="1"/>
  <c r="I34" i="14" s="1"/>
  <c r="J34" i="4"/>
  <c r="J34" i="12" s="1" a="1"/>
  <c r="J34" i="12" s="1"/>
  <c r="J34" i="14" s="1"/>
  <c r="I35" i="4"/>
  <c r="I35" i="12" s="1" a="1"/>
  <c r="I35" i="12" s="1"/>
  <c r="I35" i="14" s="1"/>
  <c r="H34" i="4"/>
  <c r="H34" i="12" s="1" a="1"/>
  <c r="H34" i="12" s="1"/>
  <c r="H34" i="14" s="1"/>
  <c r="G35" i="4"/>
  <c r="G35" i="12" s="1" a="1"/>
  <c r="G35" i="12" s="1"/>
  <c r="G35" i="14" s="1"/>
  <c r="H35" i="4"/>
  <c r="H35" i="12" s="1" a="1"/>
  <c r="H35" i="12" s="1"/>
  <c r="H35" i="14" s="1"/>
  <c r="H36" i="4"/>
  <c r="H36" i="12" s="1" a="1"/>
  <c r="H36" i="12" s="1"/>
  <c r="H36" i="14" s="1"/>
  <c r="I36" i="4"/>
  <c r="I36" i="12" s="1" a="1"/>
  <c r="I36" i="12" s="1"/>
  <c r="I36" i="14" s="1"/>
  <c r="J35" i="4"/>
  <c r="J35" i="12" s="1" a="1"/>
  <c r="J35" i="12" s="1"/>
  <c r="J35" i="14" s="1"/>
  <c r="J36" i="4"/>
  <c r="J36" i="12" s="1" a="1"/>
  <c r="J36" i="12" s="1"/>
  <c r="J36" i="14" s="1"/>
  <c r="K36" i="4"/>
  <c r="K36" i="12" s="1" a="1"/>
  <c r="K36" i="12" s="1"/>
  <c r="K36" i="14" s="1"/>
  <c r="L35" i="4"/>
  <c r="L35" i="12" s="1" a="1"/>
  <c r="L35" i="12" s="1"/>
  <c r="L35" i="14" s="1"/>
  <c r="M36" i="4"/>
  <c r="M36" i="12" s="1" a="1"/>
  <c r="M36" i="12" s="1"/>
  <c r="M36" i="14" s="1"/>
  <c r="M37" i="4"/>
  <c r="M37" i="12" s="1" a="1"/>
  <c r="M37" i="12" s="1"/>
  <c r="M37" i="14" s="1"/>
  <c r="M38" i="4"/>
  <c r="M38" i="12" s="1" a="1"/>
  <c r="M38" i="12" s="1"/>
  <c r="M38" i="14" s="1"/>
  <c r="F36" i="4"/>
  <c r="F36" i="12" s="1" a="1"/>
  <c r="F36" i="12" s="1"/>
  <c r="F36" i="14" s="1"/>
  <c r="G36" i="4"/>
  <c r="G36" i="12" s="1" a="1"/>
  <c r="G36" i="12" s="1"/>
  <c r="G36" i="14" s="1"/>
  <c r="G37" i="4"/>
  <c r="G37" i="12" s="1" a="1"/>
  <c r="G37" i="12" s="1"/>
  <c r="G37" i="14" s="1"/>
  <c r="H37" i="4"/>
  <c r="H37" i="12" s="1" a="1"/>
  <c r="H37" i="12" s="1"/>
  <c r="H37" i="14" s="1"/>
  <c r="I37" i="4"/>
  <c r="I37" i="12" s="1" a="1"/>
  <c r="I37" i="12" s="1"/>
  <c r="I37" i="14" s="1"/>
  <c r="J37" i="4"/>
  <c r="J37" i="12" s="1" a="1"/>
  <c r="J37" i="12" s="1"/>
  <c r="J37" i="14" s="1"/>
  <c r="J38" i="4"/>
  <c r="J38" i="12" s="1" a="1"/>
  <c r="J38" i="12" s="1"/>
  <c r="J38" i="14" s="1"/>
  <c r="J39" i="4"/>
  <c r="J39" i="12" s="1" a="1"/>
  <c r="J39" i="12" s="1"/>
  <c r="J39" i="14" s="1"/>
  <c r="K37" i="4"/>
  <c r="K37" i="12" s="1" a="1"/>
  <c r="K37" i="12" s="1"/>
  <c r="K37" i="14" s="1"/>
  <c r="K38" i="4"/>
  <c r="K38" i="12" s="1" a="1"/>
  <c r="K38" i="12" s="1"/>
  <c r="K38" i="14" s="1"/>
  <c r="K39" i="4"/>
  <c r="K39" i="12" s="1" a="1"/>
  <c r="K39" i="12" s="1"/>
  <c r="K39" i="14" s="1"/>
  <c r="L36" i="4"/>
  <c r="L36" i="12" s="1" a="1"/>
  <c r="L36" i="12" s="1"/>
  <c r="L36" i="14" s="1"/>
  <c r="L37" i="4"/>
  <c r="L37" i="12" s="1" a="1"/>
  <c r="L37" i="12" s="1"/>
  <c r="L37" i="14" s="1"/>
  <c r="L38" i="4"/>
  <c r="L38" i="12" s="1" a="1"/>
  <c r="L38" i="12" s="1"/>
  <c r="L38" i="14" s="1"/>
  <c r="L39" i="4"/>
  <c r="L39" i="12" s="1" a="1"/>
  <c r="L39" i="12" s="1"/>
  <c r="L39" i="14" s="1"/>
  <c r="F37" i="4"/>
  <c r="F37" i="12" s="1" a="1"/>
  <c r="F37" i="12" s="1"/>
  <c r="F37" i="14" s="1"/>
  <c r="F38" i="4"/>
  <c r="F38" i="12" s="1" a="1"/>
  <c r="F38" i="12" s="1"/>
  <c r="F38" i="14" s="1"/>
  <c r="F39" i="4"/>
  <c r="F39" i="12" s="1" a="1"/>
  <c r="F39" i="12" s="1"/>
  <c r="F39" i="14" s="1"/>
  <c r="G40" i="4"/>
  <c r="G40" i="12" s="1" a="1"/>
  <c r="G40" i="12" s="1"/>
  <c r="G40" i="14" s="1"/>
  <c r="G38" i="4"/>
  <c r="G38" i="12" s="1" a="1"/>
  <c r="G38" i="12" s="1"/>
  <c r="G38" i="14" s="1"/>
  <c r="G39" i="4"/>
  <c r="G39" i="12" s="1" a="1"/>
  <c r="G39" i="12" s="1"/>
  <c r="G39" i="14" s="1"/>
  <c r="H40" i="4"/>
  <c r="H40" i="12" s="1" a="1"/>
  <c r="H40" i="12" s="1"/>
  <c r="H40" i="14" s="1"/>
  <c r="H38" i="4"/>
  <c r="H38" i="12" s="1" a="1"/>
  <c r="H38" i="12" s="1"/>
  <c r="H38" i="14" s="1"/>
  <c r="H39" i="4"/>
  <c r="H39" i="12" s="1" a="1"/>
  <c r="H39" i="12" s="1"/>
  <c r="H39" i="14" s="1"/>
  <c r="I38" i="4"/>
  <c r="I38" i="12" s="1" a="1"/>
  <c r="I38" i="12" s="1"/>
  <c r="I38" i="14" s="1"/>
  <c r="I40" i="4"/>
  <c r="I40" i="12" s="1" a="1"/>
  <c r="I40" i="12" s="1"/>
  <c r="I40" i="14" s="1"/>
  <c r="I39" i="4"/>
  <c r="I39" i="12" s="1" a="1"/>
  <c r="I39" i="12" s="1"/>
  <c r="I39" i="14" s="1"/>
  <c r="C37" i="4"/>
  <c r="C37" i="12" s="1" a="1"/>
  <c r="C37" i="12" s="1"/>
  <c r="C37" i="14" s="1"/>
  <c r="C38" i="4"/>
  <c r="C38" i="12" s="1" a="1"/>
  <c r="C38" i="12" s="1"/>
  <c r="C38" i="14" s="1"/>
  <c r="C39" i="4"/>
  <c r="C39" i="12" s="1" a="1"/>
  <c r="C39" i="12" s="1"/>
  <c r="C39" i="14" s="1"/>
  <c r="B37" i="4"/>
  <c r="B37" i="12" s="1" a="1"/>
  <c r="B37" i="12" s="1"/>
  <c r="B37" i="14" s="1"/>
  <c r="B38" i="4"/>
  <c r="B38" i="12" s="1" a="1"/>
  <c r="B38" i="12" s="1"/>
  <c r="B38" i="14" s="1"/>
  <c r="B39" i="4"/>
  <c r="B39" i="12" s="1" a="1"/>
  <c r="B39" i="12" s="1"/>
  <c r="B39" i="14" s="1"/>
  <c r="AK37" i="4"/>
  <c r="AK37" i="12" s="1" a="1"/>
  <c r="AK37" i="12" s="1"/>
  <c r="AK37" i="14" s="1"/>
  <c r="AK36" i="4"/>
  <c r="AK36" i="12" s="1" a="1"/>
  <c r="AK36" i="12" s="1"/>
  <c r="AK36" i="14" s="1"/>
  <c r="AK38" i="4"/>
  <c r="AK38" i="12" s="1" a="1"/>
  <c r="AK38" i="12" s="1"/>
  <c r="AK38" i="14" s="1"/>
  <c r="AL39" i="4"/>
  <c r="AL39" i="12" s="1" a="1"/>
  <c r="AL39" i="12" s="1"/>
  <c r="AL39" i="14" s="1"/>
  <c r="AL37" i="4"/>
  <c r="AL37" i="12" s="1" a="1"/>
  <c r="AL37" i="12" s="1"/>
  <c r="AL37" i="14" s="1"/>
  <c r="AL38" i="4"/>
  <c r="AL38" i="12" s="1" a="1"/>
  <c r="AL38" i="12" s="1"/>
  <c r="AL38" i="14" s="1"/>
  <c r="O37" i="4"/>
  <c r="O37" i="12" s="1" a="1"/>
  <c r="O37" i="12" s="1"/>
  <c r="O37" i="14" s="1"/>
  <c r="O38" i="4"/>
  <c r="O38" i="12" s="1" a="1"/>
  <c r="O38" i="12" s="1"/>
  <c r="O38" i="14" s="1"/>
  <c r="O39" i="4"/>
  <c r="O39" i="12" s="1" a="1"/>
  <c r="O39" i="12" s="1"/>
  <c r="O39" i="14" s="1"/>
  <c r="P37" i="4"/>
  <c r="P37" i="12" s="1" a="1"/>
  <c r="P37" i="12" s="1"/>
  <c r="P37" i="14" s="1"/>
  <c r="P38" i="4"/>
  <c r="P38" i="12" s="1" a="1"/>
  <c r="P38" i="12" s="1"/>
  <c r="P38" i="14" s="1"/>
  <c r="P39" i="4"/>
  <c r="P39" i="12" s="1" a="1"/>
  <c r="P39" i="12" s="1"/>
  <c r="P39" i="14" s="1"/>
  <c r="Q37" i="4"/>
  <c r="Q37" i="12" s="1" a="1"/>
  <c r="Q37" i="12" s="1"/>
  <c r="Q37" i="14" s="1"/>
  <c r="Q38" i="4"/>
  <c r="Q38" i="12" s="1" a="1"/>
  <c r="Q38" i="12" s="1"/>
  <c r="Q38" i="14" s="1"/>
  <c r="Q39" i="4"/>
  <c r="Q39" i="12" s="1" a="1"/>
  <c r="Q39" i="12" s="1"/>
  <c r="Q39" i="14" s="1"/>
  <c r="R37" i="4"/>
  <c r="R37" i="12" s="1" a="1"/>
  <c r="R37" i="12" s="1"/>
  <c r="R37" i="14" s="1"/>
  <c r="R38" i="4"/>
  <c r="R38" i="12" s="1" a="1"/>
  <c r="R38" i="12" s="1"/>
  <c r="R38" i="14" s="1"/>
  <c r="R39" i="4"/>
  <c r="R39" i="12" s="1" a="1"/>
  <c r="R39" i="12" s="1"/>
  <c r="R39" i="14" s="1"/>
  <c r="Q34" i="4"/>
  <c r="Q34" i="12" s="1" a="1"/>
  <c r="Q34" i="12" s="1"/>
  <c r="Q34" i="14" s="1"/>
  <c r="Q35" i="4"/>
  <c r="Q35" i="12" s="1" a="1"/>
  <c r="Q35" i="12" s="1"/>
  <c r="Q35" i="14" s="1"/>
  <c r="P35" i="4"/>
  <c r="P35" i="12" s="1" a="1"/>
  <c r="P35" i="12" s="1"/>
  <c r="P35" i="14" s="1"/>
  <c r="P34" i="4"/>
  <c r="P34" i="12" s="1" a="1"/>
  <c r="P34" i="12" s="1"/>
  <c r="P34" i="14" s="1"/>
  <c r="R34" i="4"/>
  <c r="R34" i="12" s="1" a="1"/>
  <c r="R34" i="12" s="1"/>
  <c r="R34" i="14" s="1"/>
  <c r="R35" i="4"/>
  <c r="R35" i="12" s="1" a="1"/>
  <c r="R35" i="12" s="1"/>
  <c r="R35" i="14" s="1"/>
  <c r="AM29" i="4"/>
  <c r="AM29" i="12" s="1" a="1"/>
  <c r="AM29" i="12" s="1"/>
  <c r="AM29" i="14" s="1"/>
  <c r="AJ32" i="4"/>
  <c r="AJ32" i="12" s="1" a="1"/>
  <c r="AJ32" i="12" s="1"/>
  <c r="AJ32" i="14" s="1"/>
  <c r="AJ33" i="4"/>
  <c r="AJ33" i="12" s="1" a="1"/>
  <c r="AJ33" i="12" s="1"/>
  <c r="AJ33" i="14" s="1"/>
  <c r="AK32" i="4"/>
  <c r="AK32" i="12" s="1" a="1"/>
  <c r="AK32" i="12" s="1"/>
  <c r="AK32" i="14" s="1"/>
  <c r="AK33" i="4"/>
  <c r="AK33" i="12" s="1" a="1"/>
  <c r="AK33" i="12" s="1"/>
  <c r="AK33" i="14" s="1"/>
  <c r="AL33" i="4"/>
  <c r="AL33" i="12" s="1" a="1"/>
  <c r="AL33" i="12" s="1"/>
  <c r="AL33" i="14" s="1"/>
  <c r="AL32" i="4"/>
  <c r="AL32" i="12" s="1" a="1"/>
  <c r="AL32" i="12" s="1"/>
  <c r="AL32" i="14" s="1"/>
  <c r="AM32" i="4"/>
  <c r="AM32" i="12" s="1" a="1"/>
  <c r="AM32" i="12" s="1"/>
  <c r="AM32" i="14" s="1"/>
  <c r="AM33" i="4"/>
  <c r="AM33" i="12" s="1" a="1"/>
  <c r="AM33" i="12" s="1"/>
  <c r="AM33" i="14" s="1"/>
  <c r="AM31" i="4"/>
  <c r="AM31" i="12" s="1" a="1"/>
  <c r="AM31" i="12" s="1"/>
  <c r="AM31" i="14" s="1"/>
  <c r="AM30" i="4"/>
  <c r="AM30" i="12" s="1" a="1"/>
  <c r="AM30" i="12" s="1"/>
  <c r="AM30" i="14" s="1"/>
  <c r="Z31" i="3"/>
  <c r="Z29" i="13" s="1"/>
  <c r="AA31" i="3"/>
  <c r="AA29" i="13" s="1"/>
  <c r="Z29" i="3"/>
  <c r="Z27" i="13" s="1"/>
  <c r="Z26" i="4" s="1"/>
  <c r="Z26" i="12" s="1" a="1"/>
  <c r="Z26" i="12" s="1"/>
  <c r="Z26" i="14" s="1"/>
  <c r="Z30" i="3"/>
  <c r="Z28" i="13" s="1"/>
  <c r="Z27" i="4" s="1"/>
  <c r="Z27" i="12" s="1" a="1"/>
  <c r="Z27" i="12" s="1"/>
  <c r="Z27" i="14" s="1"/>
  <c r="AL32" i="3"/>
  <c r="AL30" i="13" s="1"/>
  <c r="AL31" i="3"/>
  <c r="AL29" i="13" s="1"/>
  <c r="AK32" i="3"/>
  <c r="AK30" i="13" s="1"/>
  <c r="AJ32" i="3"/>
  <c r="AJ30" i="13" s="1"/>
  <c r="AG32" i="3"/>
  <c r="AG30" i="13" s="1"/>
  <c r="AK31" i="3"/>
  <c r="AK29" i="13" s="1"/>
  <c r="AJ31" i="3"/>
  <c r="AJ29" i="13" s="1"/>
  <c r="AI31" i="3"/>
  <c r="AI29" i="13" s="1"/>
  <c r="AK30" i="3"/>
  <c r="AK28" i="13" s="1"/>
  <c r="AJ30" i="3"/>
  <c r="AJ28" i="13" s="1"/>
  <c r="AI30" i="3"/>
  <c r="AI28" i="13" s="1"/>
  <c r="AH30" i="3"/>
  <c r="AH28" i="13" s="1"/>
  <c r="AL29" i="3"/>
  <c r="AL27" i="13" s="1"/>
  <c r="AL28" i="3"/>
  <c r="AL26" i="13" s="1"/>
  <c r="AL25" i="4" s="1"/>
  <c r="AL25" i="12" s="1" a="1"/>
  <c r="AL25" i="12" s="1"/>
  <c r="AL25" i="14" s="1"/>
  <c r="AK28" i="3"/>
  <c r="AK26" i="13" s="1"/>
  <c r="AK25" i="4" s="1"/>
  <c r="AK25" i="12" s="1" a="1"/>
  <c r="AK25" i="12" s="1"/>
  <c r="AK25" i="14" s="1"/>
  <c r="AK29" i="3"/>
  <c r="AK27" i="13" s="1"/>
  <c r="AK26" i="4" s="1"/>
  <c r="AK26" i="12" s="1" a="1"/>
  <c r="AK26" i="12" s="1"/>
  <c r="AK26" i="14" s="1"/>
  <c r="AJ29" i="3"/>
  <c r="AJ27" i="13" s="1"/>
  <c r="AI29" i="3"/>
  <c r="AI27" i="13" s="1"/>
  <c r="AI28" i="3"/>
  <c r="AI26" i="13" s="1"/>
  <c r="AH29" i="3"/>
  <c r="AH27" i="13" s="1"/>
  <c r="AH28" i="3"/>
  <c r="AH26" i="13" s="1"/>
  <c r="AJ28" i="3"/>
  <c r="AJ26" i="13" s="1"/>
  <c r="AJ27" i="3"/>
  <c r="AJ25" i="13" s="1"/>
  <c r="AJ24" i="4" s="1"/>
  <c r="AJ24" i="12" s="1" a="1"/>
  <c r="AJ24" i="12" s="1"/>
  <c r="AJ24" i="14" s="1"/>
  <c r="AI27" i="3"/>
  <c r="AI25" i="13" s="1"/>
  <c r="AH27" i="3"/>
  <c r="AH25" i="13" s="1"/>
  <c r="AI26" i="3"/>
  <c r="AI24" i="13" s="1"/>
  <c r="AH26" i="3"/>
  <c r="AH24" i="13" s="1"/>
  <c r="AG27" i="3"/>
  <c r="AG25" i="13" s="1"/>
  <c r="AG26" i="3"/>
  <c r="AG24" i="13" s="1"/>
  <c r="AG23" i="4" s="1"/>
  <c r="AG23" i="12" s="1" a="1"/>
  <c r="AG23" i="12" s="1"/>
  <c r="AG23" i="14" s="1"/>
  <c r="AF26" i="3"/>
  <c r="AF24" i="13" s="1"/>
  <c r="E29" i="4"/>
  <c r="E29" i="12" s="1" a="1"/>
  <c r="E29" i="12" s="1"/>
  <c r="E29" i="14" s="1"/>
  <c r="E30" i="4"/>
  <c r="E30" i="12" s="1" a="1"/>
  <c r="E30" i="12" s="1"/>
  <c r="E30" i="14" s="1"/>
  <c r="E31" i="4"/>
  <c r="E31" i="12" s="1" a="1"/>
  <c r="E31" i="12" s="1"/>
  <c r="E31" i="14" s="1"/>
  <c r="C31" i="4"/>
  <c r="C31" i="12" s="1" a="1"/>
  <c r="C31" i="12" s="1"/>
  <c r="C31" i="14" s="1"/>
  <c r="C30" i="4"/>
  <c r="C30" i="12" s="1" a="1"/>
  <c r="C30" i="12" s="1"/>
  <c r="C30" i="14" s="1"/>
  <c r="C29" i="4"/>
  <c r="C29" i="12" s="1" a="1"/>
  <c r="C29" i="12" s="1"/>
  <c r="C29" i="14" s="1"/>
  <c r="B30" i="4"/>
  <c r="B30" i="12" s="1" a="1"/>
  <c r="B30" i="12" s="1"/>
  <c r="B30" i="14" s="1"/>
  <c r="B29" i="4"/>
  <c r="B29" i="12" s="1" a="1"/>
  <c r="B29" i="12" s="1"/>
  <c r="B29" i="14" s="1"/>
  <c r="B31" i="4"/>
  <c r="B31" i="12" s="1" a="1"/>
  <c r="B31" i="12" s="1"/>
  <c r="B31" i="14" s="1"/>
  <c r="D29" i="4"/>
  <c r="D29" i="12" s="1" a="1"/>
  <c r="D29" i="12" s="1"/>
  <c r="D29" i="14" s="1"/>
  <c r="D30" i="4"/>
  <c r="D30" i="12" s="1" a="1"/>
  <c r="D30" i="12" s="1"/>
  <c r="D30" i="14" s="1"/>
  <c r="D31" i="4"/>
  <c r="D31" i="12" s="1" a="1"/>
  <c r="D31" i="12" s="1"/>
  <c r="D31" i="14" s="1"/>
  <c r="B26" i="4"/>
  <c r="B26" i="12" s="1" a="1"/>
  <c r="B26" i="12" s="1"/>
  <c r="B26" i="14" s="1"/>
  <c r="B27" i="4"/>
  <c r="B27" i="12" s="1" a="1"/>
  <c r="B27" i="12" s="1"/>
  <c r="B27" i="14" s="1"/>
  <c r="B25" i="4"/>
  <c r="B25" i="12" s="1" a="1"/>
  <c r="B25" i="12" s="1"/>
  <c r="B25" i="14" s="1"/>
  <c r="C26" i="4"/>
  <c r="C26" i="12" s="1" a="1"/>
  <c r="C26" i="12" s="1"/>
  <c r="C26" i="14" s="1"/>
  <c r="C27" i="4"/>
  <c r="C27" i="12" s="1" a="1"/>
  <c r="C27" i="12" s="1"/>
  <c r="C27" i="14" s="1"/>
  <c r="C25" i="4"/>
  <c r="C25" i="12" s="1" a="1"/>
  <c r="C25" i="12" s="1"/>
  <c r="C25" i="14" s="1"/>
  <c r="AM25" i="4"/>
  <c r="AM25" i="12" s="1" a="1"/>
  <c r="AM25" i="12" s="1"/>
  <c r="AM25" i="14" s="1"/>
  <c r="AM26" i="4"/>
  <c r="AM26" i="12" s="1" a="1"/>
  <c r="AM26" i="12" s="1"/>
  <c r="AM26" i="14" s="1"/>
  <c r="AM27" i="4"/>
  <c r="AM27" i="12" s="1" a="1"/>
  <c r="AM27" i="12" s="1"/>
  <c r="AM27" i="14" s="1"/>
  <c r="G21" i="4"/>
  <c r="G21" i="12" s="1" a="1"/>
  <c r="G21" i="12" s="1"/>
  <c r="G21" i="14" s="1"/>
  <c r="F22" i="4"/>
  <c r="F22" i="12" s="1" a="1"/>
  <c r="F22" i="12" s="1"/>
  <c r="F22" i="14" s="1"/>
  <c r="F21" i="4"/>
  <c r="F21" i="12" s="1" a="1"/>
  <c r="F21" i="12" s="1"/>
  <c r="F21" i="14" s="1"/>
  <c r="G22" i="4"/>
  <c r="G22" i="12" s="1" a="1"/>
  <c r="G22" i="12" s="1"/>
  <c r="G22" i="14" s="1"/>
  <c r="E22" i="4"/>
  <c r="E22" i="12" s="1" a="1"/>
  <c r="E22" i="12" s="1"/>
  <c r="E22" i="14" s="1"/>
  <c r="F23" i="4"/>
  <c r="F23" i="12" s="1" a="1"/>
  <c r="F23" i="12" s="1"/>
  <c r="F23" i="14" s="1"/>
  <c r="H23" i="4"/>
  <c r="H23" i="12" s="1" a="1"/>
  <c r="H23" i="12" s="1"/>
  <c r="H23" i="14" s="1"/>
  <c r="I23" i="4"/>
  <c r="I23" i="12" s="1" a="1"/>
  <c r="I23" i="12" s="1"/>
  <c r="I23" i="14" s="1"/>
  <c r="E23" i="4"/>
  <c r="E23" i="12" s="1" a="1"/>
  <c r="E23" i="12" s="1"/>
  <c r="E23" i="14" s="1"/>
  <c r="E24" i="4"/>
  <c r="E24" i="12" s="1" a="1"/>
  <c r="E24" i="12" s="1"/>
  <c r="E24" i="14" s="1"/>
  <c r="E25" i="4"/>
  <c r="E25" i="12" s="1" a="1"/>
  <c r="E25" i="12" s="1"/>
  <c r="E25" i="14" s="1"/>
  <c r="F26" i="4"/>
  <c r="F26" i="12" s="1" a="1"/>
  <c r="F26" i="12" s="1"/>
  <c r="F26" i="14" s="1"/>
  <c r="F25" i="4"/>
  <c r="F25" i="12" s="1" a="1"/>
  <c r="F25" i="12" s="1"/>
  <c r="F25" i="14" s="1"/>
  <c r="F24" i="4"/>
  <c r="F24" i="12" s="1" a="1"/>
  <c r="F24" i="12" s="1"/>
  <c r="F24" i="14" s="1"/>
  <c r="G25" i="4"/>
  <c r="G25" i="12" s="1" a="1"/>
  <c r="G25" i="12" s="1"/>
  <c r="G25" i="14" s="1"/>
  <c r="G23" i="4"/>
  <c r="G23" i="12" s="1" a="1"/>
  <c r="G23" i="12" s="1"/>
  <c r="G23" i="14" s="1"/>
  <c r="G24" i="4"/>
  <c r="G24" i="12" s="1" a="1"/>
  <c r="G24" i="12" s="1"/>
  <c r="G24" i="14" s="1"/>
  <c r="H26" i="4"/>
  <c r="H26" i="12" s="1" a="1"/>
  <c r="H26" i="12" s="1"/>
  <c r="H26" i="14" s="1"/>
  <c r="H25" i="4"/>
  <c r="H25" i="12" s="1" a="1"/>
  <c r="H25" i="12" s="1"/>
  <c r="H25" i="14" s="1"/>
  <c r="H24" i="4"/>
  <c r="H24" i="12" s="1" a="1"/>
  <c r="H24" i="12" s="1"/>
  <c r="H24" i="14" s="1"/>
  <c r="I26" i="4"/>
  <c r="I26" i="12" s="1" a="1"/>
  <c r="I26" i="12" s="1"/>
  <c r="I26" i="14" s="1"/>
  <c r="I25" i="4"/>
  <c r="I25" i="12" s="1" a="1"/>
  <c r="I25" i="12" s="1"/>
  <c r="I25" i="14" s="1"/>
  <c r="I24" i="4"/>
  <c r="I24" i="12" s="1" a="1"/>
  <c r="I24" i="12" s="1"/>
  <c r="I24" i="14" s="1"/>
  <c r="N31" i="4"/>
  <c r="N31" i="12" s="1" a="1"/>
  <c r="N31" i="12" s="1"/>
  <c r="N31" i="14" s="1"/>
  <c r="L33" i="3"/>
  <c r="L31" i="13" s="1"/>
  <c r="L32" i="3"/>
  <c r="L30" i="13" s="1"/>
  <c r="K33" i="3"/>
  <c r="K31" i="13" s="1"/>
  <c r="K32" i="3"/>
  <c r="K30" i="13" s="1"/>
  <c r="K29" i="4" s="1"/>
  <c r="K29" i="12" s="1" a="1"/>
  <c r="K29" i="12" s="1"/>
  <c r="K29" i="14" s="1"/>
  <c r="P32" i="3"/>
  <c r="P30" i="13" s="1"/>
  <c r="O32" i="3"/>
  <c r="O30" i="13" s="1"/>
  <c r="M32" i="3"/>
  <c r="M30" i="13" s="1"/>
  <c r="M31" i="3"/>
  <c r="M29" i="13" s="1"/>
  <c r="L31" i="3"/>
  <c r="L29" i="13" s="1"/>
  <c r="P31" i="3"/>
  <c r="P29" i="13" s="1"/>
  <c r="O31" i="3"/>
  <c r="O29" i="13" s="1"/>
  <c r="N31" i="3"/>
  <c r="N29" i="13" s="1"/>
  <c r="Q30" i="3"/>
  <c r="Q28" i="13" s="1"/>
  <c r="P30" i="3"/>
  <c r="P28" i="13" s="1"/>
  <c r="O30" i="3"/>
  <c r="O28" i="13" s="1"/>
  <c r="N30" i="3"/>
  <c r="N28" i="13" s="1"/>
  <c r="M30" i="3"/>
  <c r="M28" i="13" s="1"/>
  <c r="L30" i="3"/>
  <c r="L28" i="13" s="1"/>
  <c r="N29" i="3"/>
  <c r="N27" i="13" s="1"/>
  <c r="M29" i="3"/>
  <c r="M27" i="13" s="1"/>
  <c r="L29" i="3"/>
  <c r="L27" i="13" s="1"/>
  <c r="L28" i="3"/>
  <c r="L26" i="13" s="1"/>
  <c r="K29" i="3"/>
  <c r="K27" i="13" s="1"/>
  <c r="K28" i="4" s="1"/>
  <c r="K28" i="12" s="1" a="1"/>
  <c r="K28" i="12" s="1"/>
  <c r="K28" i="14" s="1"/>
  <c r="V33" i="3"/>
  <c r="V31" i="13" s="1"/>
  <c r="U33" i="3"/>
  <c r="U31" i="13" s="1"/>
  <c r="V32" i="3"/>
  <c r="V30" i="13" s="1"/>
  <c r="T33" i="3"/>
  <c r="T31" i="13" s="1"/>
  <c r="T32" i="3"/>
  <c r="T30" i="13" s="1"/>
  <c r="S33" i="3"/>
  <c r="S31" i="13" s="1"/>
  <c r="S32" i="4" s="1"/>
  <c r="S32" i="12" s="1" a="1"/>
  <c r="S32" i="12" s="1"/>
  <c r="S32" i="14" s="1"/>
  <c r="U32" i="3"/>
  <c r="U30" i="13" s="1"/>
  <c r="W31" i="3"/>
  <c r="W29" i="13" s="1"/>
  <c r="W30" i="3"/>
  <c r="W28" i="13" s="1"/>
  <c r="W27" i="4" s="1"/>
  <c r="W27" i="12" s="1" a="1"/>
  <c r="W27" i="12" s="1"/>
  <c r="W27" i="14" s="1"/>
  <c r="U31" i="3"/>
  <c r="U29" i="13" s="1"/>
  <c r="T31" i="3"/>
  <c r="T29" i="13" s="1"/>
  <c r="V30" i="3"/>
  <c r="V28" i="13" s="1"/>
  <c r="U30" i="3"/>
  <c r="U28" i="13" s="1"/>
  <c r="T30" i="3"/>
  <c r="T28" i="13" s="1"/>
  <c r="S30" i="3"/>
  <c r="S28" i="13" s="1"/>
  <c r="R30" i="3"/>
  <c r="R28" i="13" s="1"/>
  <c r="V29" i="3"/>
  <c r="V27" i="13" s="1"/>
  <c r="U29" i="3"/>
  <c r="U27" i="13" s="1"/>
  <c r="U28" i="3"/>
  <c r="U26" i="13" s="1"/>
  <c r="T29" i="3"/>
  <c r="T27" i="13" s="1"/>
  <c r="S29" i="3"/>
  <c r="S27" i="13" s="1"/>
  <c r="Q29" i="3"/>
  <c r="Q27" i="13" s="1"/>
  <c r="V28" i="3"/>
  <c r="V26" i="13" s="1"/>
  <c r="U27" i="3"/>
  <c r="U25" i="13" s="1"/>
  <c r="T28" i="3"/>
  <c r="T26" i="13" s="1"/>
  <c r="T27" i="3"/>
  <c r="T25" i="13" s="1"/>
  <c r="T24" i="4" s="1"/>
  <c r="T24" i="12" s="1" a="1"/>
  <c r="T24" i="12" s="1"/>
  <c r="T24" i="14" s="1"/>
  <c r="V27" i="3"/>
  <c r="V25" i="13" s="1"/>
  <c r="V26" i="3"/>
  <c r="V24" i="13" s="1"/>
  <c r="V23" i="4" s="1"/>
  <c r="V23" i="12" s="1" a="1"/>
  <c r="V23" i="12" s="1"/>
  <c r="V23" i="14" s="1"/>
  <c r="U26" i="3"/>
  <c r="U24" i="13" s="1"/>
  <c r="U23" i="4" s="1"/>
  <c r="U23" i="12" s="1" a="1"/>
  <c r="U23" i="12" s="1"/>
  <c r="U23" i="14" s="1"/>
  <c r="AB15" i="4"/>
  <c r="AB15" i="12" s="1" a="1"/>
  <c r="AB15" i="12" s="1"/>
  <c r="AB15" i="14" s="1"/>
  <c r="AB14" i="4"/>
  <c r="AB14" i="12" s="1" a="1"/>
  <c r="AB14" i="12" s="1"/>
  <c r="AB14" i="14" s="1"/>
  <c r="AB13" i="4"/>
  <c r="AB13" i="12" s="1" a="1"/>
  <c r="AB13" i="12" s="1"/>
  <c r="AB13" i="14" s="1"/>
  <c r="W16" i="4"/>
  <c r="W16" i="12" s="1" a="1"/>
  <c r="W16" i="12" s="1"/>
  <c r="W16" i="14" s="1"/>
  <c r="W15" i="4"/>
  <c r="W15" i="12" s="1" a="1"/>
  <c r="W15" i="12" s="1"/>
  <c r="W15" i="14" s="1"/>
  <c r="W14" i="4"/>
  <c r="W14" i="12" s="1" a="1"/>
  <c r="W14" i="12" s="1"/>
  <c r="W14" i="14" s="1"/>
  <c r="U16" i="4"/>
  <c r="U16" i="12" s="1" a="1"/>
  <c r="U16" i="12" s="1"/>
  <c r="U16" i="14" s="1"/>
  <c r="U15" i="4"/>
  <c r="U15" i="12" s="1" a="1"/>
  <c r="U15" i="12" s="1"/>
  <c r="U15" i="14" s="1"/>
  <c r="U14" i="4"/>
  <c r="U14" i="12" s="1" a="1"/>
  <c r="U14" i="12" s="1"/>
  <c r="U14" i="14" s="1"/>
  <c r="V16" i="4"/>
  <c r="V16" i="12" s="1" a="1"/>
  <c r="V16" i="12" s="1"/>
  <c r="V16" i="14" s="1"/>
  <c r="V15" i="4"/>
  <c r="V15" i="12" s="1" a="1"/>
  <c r="V15" i="12" s="1"/>
  <c r="V15" i="14" s="1"/>
  <c r="V14" i="4"/>
  <c r="V14" i="12" s="1" a="1"/>
  <c r="V14" i="12" s="1"/>
  <c r="V14" i="14" s="1"/>
  <c r="J16" i="4"/>
  <c r="J16" i="12" s="1" a="1"/>
  <c r="J16" i="12" s="1"/>
  <c r="J16" i="14" s="1"/>
  <c r="J15" i="4"/>
  <c r="J15" i="12" s="1" a="1"/>
  <c r="J15" i="12" s="1"/>
  <c r="J15" i="14" s="1"/>
  <c r="J14" i="4"/>
  <c r="J14" i="12" s="1" a="1"/>
  <c r="J14" i="12" s="1"/>
  <c r="J14" i="14" s="1"/>
  <c r="K16" i="4"/>
  <c r="K16" i="12" s="1" a="1"/>
  <c r="K16" i="12" s="1"/>
  <c r="K16" i="14" s="1"/>
  <c r="K15" i="4"/>
  <c r="K15" i="12" s="1" a="1"/>
  <c r="K15" i="12" s="1"/>
  <c r="K15" i="14" s="1"/>
  <c r="K14" i="4"/>
  <c r="K14" i="12" s="1" a="1"/>
  <c r="K14" i="12" s="1"/>
  <c r="K14" i="14" s="1"/>
  <c r="L16" i="4"/>
  <c r="L16" i="12" s="1" a="1"/>
  <c r="L16" i="12" s="1"/>
  <c r="L16" i="14" s="1"/>
  <c r="L15" i="4"/>
  <c r="L15" i="12" s="1" a="1"/>
  <c r="L15" i="12" s="1"/>
  <c r="L15" i="14" s="1"/>
  <c r="L14" i="4"/>
  <c r="L14" i="12" s="1" a="1"/>
  <c r="L14" i="12" s="1"/>
  <c r="L14" i="14" s="1"/>
  <c r="AH36" i="3"/>
  <c r="AH34" i="13" s="1"/>
  <c r="AH35" i="4" s="1"/>
  <c r="AH35" i="12" s="1" a="1"/>
  <c r="AH35" i="12" s="1"/>
  <c r="AH35" i="14" s="1"/>
  <c r="AI29" i="4"/>
  <c r="AI29" i="12" s="1" a="1"/>
  <c r="AI29" i="12" s="1"/>
  <c r="AI29" i="14" s="1"/>
  <c r="AH29" i="4"/>
  <c r="AH29" i="12" s="1" a="1"/>
  <c r="AH29" i="12" s="1"/>
  <c r="AH29" i="14" s="1"/>
  <c r="M28" i="3"/>
  <c r="M26" i="13" s="1"/>
  <c r="J23" i="3"/>
  <c r="J21" i="13" s="1"/>
  <c r="J20" i="4" s="1"/>
  <c r="J20" i="12" s="1" a="1"/>
  <c r="J20" i="12" s="1"/>
  <c r="J20" i="14" s="1"/>
  <c r="I23" i="3"/>
  <c r="I21" i="13" s="1"/>
  <c r="R28" i="3"/>
  <c r="R26" i="13" s="1"/>
  <c r="F21" i="3"/>
  <c r="F19" i="13" s="1"/>
  <c r="E21" i="3"/>
  <c r="E19" i="13" s="1"/>
  <c r="E20" i="4" s="1"/>
  <c r="E20" i="12" s="1" a="1"/>
  <c r="E20" i="12" s="1"/>
  <c r="E20" i="14" s="1"/>
  <c r="F20" i="3"/>
  <c r="F18" i="13" s="1"/>
  <c r="D15" i="3"/>
  <c r="D13" i="13" s="1"/>
  <c r="D12" i="4" s="1"/>
  <c r="D12" i="12" s="1" a="1"/>
  <c r="D12" i="12" s="1"/>
  <c r="D12" i="14" s="1"/>
  <c r="C15" i="3"/>
  <c r="C13" i="13" s="1"/>
  <c r="C12" i="4" s="1"/>
  <c r="C12" i="12" s="1" a="1"/>
  <c r="C12" i="12" s="1"/>
  <c r="C12" i="14" s="1"/>
  <c r="AG15" i="3"/>
  <c r="AG13" i="13" s="1"/>
  <c r="AG12" i="4" s="1"/>
  <c r="AG12" i="12" s="1" a="1"/>
  <c r="AG12" i="12" s="1"/>
  <c r="AG12" i="14" s="1"/>
  <c r="AF15" i="3"/>
  <c r="AF13" i="13" s="1"/>
  <c r="AF12" i="4" s="1"/>
  <c r="AF12" i="12" s="1" a="1"/>
  <c r="AF12" i="12" s="1"/>
  <c r="AF12" i="14" s="1"/>
  <c r="AE16" i="3"/>
  <c r="AE14" i="13" s="1"/>
  <c r="AE15" i="3"/>
  <c r="AE13" i="13" s="1"/>
  <c r="AE12" i="4" s="1"/>
  <c r="AE12" i="12" s="1" a="1"/>
  <c r="AE12" i="12" s="1"/>
  <c r="AE12" i="14" s="1"/>
  <c r="AD15" i="3"/>
  <c r="AD13" i="13" s="1"/>
  <c r="X45" i="4"/>
  <c r="X45" i="12" s="1" a="1"/>
  <c r="X45" i="12" s="1"/>
  <c r="X45" i="14" s="1"/>
  <c r="X47" i="4"/>
  <c r="X47" i="12" s="1" a="1"/>
  <c r="X47" i="12" s="1"/>
  <c r="X47" i="14" s="1"/>
  <c r="X46" i="4"/>
  <c r="X46" i="12" s="1" a="1"/>
  <c r="X46" i="12" s="1"/>
  <c r="X46" i="14" s="1"/>
  <c r="W46" i="4"/>
  <c r="W46" i="12" s="1" a="1"/>
  <c r="W46" i="12" s="1"/>
  <c r="W46" i="14" s="1"/>
  <c r="W45" i="4"/>
  <c r="W45" i="12" s="1" a="1"/>
  <c r="W45" i="12" s="1"/>
  <c r="W45" i="14" s="1"/>
  <c r="W47" i="4"/>
  <c r="W47" i="12" s="1" a="1"/>
  <c r="W47" i="12" s="1"/>
  <c r="W47" i="14" s="1"/>
  <c r="Y45" i="4"/>
  <c r="Y45" i="12" s="1" a="1"/>
  <c r="Y45" i="12" s="1"/>
  <c r="Y45" i="14" s="1"/>
  <c r="Y46" i="4"/>
  <c r="Y46" i="12" s="1" a="1"/>
  <c r="Y46" i="12" s="1"/>
  <c r="Y46" i="14" s="1"/>
  <c r="Y47" i="4"/>
  <c r="Y47" i="12" s="1" a="1"/>
  <c r="Y47" i="12" s="1"/>
  <c r="Y47" i="14" s="1"/>
  <c r="AG37" i="4"/>
  <c r="AG37" i="12" s="1" a="1"/>
  <c r="AG37" i="12" s="1"/>
  <c r="AG37" i="14" s="1"/>
  <c r="AG36" i="4"/>
  <c r="AG36" i="12" s="1" a="1"/>
  <c r="AG36" i="12" s="1"/>
  <c r="AG36" i="14" s="1"/>
  <c r="AG38" i="4"/>
  <c r="AG38" i="12" s="1" a="1"/>
  <c r="AG38" i="12" s="1"/>
  <c r="AG38" i="14" s="1"/>
  <c r="AH39" i="4"/>
  <c r="AH39" i="12" s="1" a="1"/>
  <c r="AH39" i="12" s="1"/>
  <c r="AH39" i="14" s="1"/>
  <c r="AH38" i="4"/>
  <c r="AH38" i="12" s="1" a="1"/>
  <c r="AH38" i="12" s="1"/>
  <c r="AH38" i="14" s="1"/>
  <c r="AH37" i="4"/>
  <c r="AH37" i="12" s="1" a="1"/>
  <c r="AH37" i="12" s="1"/>
  <c r="AH37" i="14" s="1"/>
  <c r="AI38" i="4"/>
  <c r="AI38" i="12" s="1" a="1"/>
  <c r="AI38" i="12" s="1"/>
  <c r="AI38" i="14" s="1"/>
  <c r="AI39" i="4"/>
  <c r="AI39" i="12" s="1" a="1"/>
  <c r="AI39" i="12" s="1"/>
  <c r="AI39" i="14" s="1"/>
  <c r="AI37" i="4"/>
  <c r="AI37" i="12" s="1" a="1"/>
  <c r="AI37" i="12" s="1"/>
  <c r="AI37" i="14" s="1"/>
  <c r="AB36" i="3"/>
  <c r="AB34" i="13" s="1"/>
  <c r="AC35" i="3"/>
  <c r="AC33" i="13" s="1"/>
  <c r="AB35" i="3"/>
  <c r="AB33" i="13" s="1"/>
  <c r="AA34" i="3"/>
  <c r="AA32" i="13" s="1"/>
  <c r="AA35" i="3"/>
  <c r="AA33" i="13" s="1"/>
  <c r="Z35" i="3"/>
  <c r="Z33" i="13" s="1"/>
  <c r="Y35" i="3"/>
  <c r="Y33" i="13" s="1"/>
  <c r="Y34" i="3"/>
  <c r="Y32" i="13" s="1"/>
  <c r="AC34" i="3"/>
  <c r="AC32" i="13" s="1"/>
  <c r="AB34" i="3"/>
  <c r="AB32" i="13" s="1"/>
  <c r="AB33" i="3"/>
  <c r="AB31" i="13" s="1"/>
  <c r="Z34" i="3"/>
  <c r="Z32" i="13" s="1"/>
  <c r="Y33" i="3"/>
  <c r="Y31" i="13" s="1"/>
  <c r="AB32" i="3"/>
  <c r="AB30" i="13" s="1"/>
  <c r="AB29" i="4" s="1"/>
  <c r="AB29" i="12" s="1" a="1"/>
  <c r="AB29" i="12" s="1"/>
  <c r="AB29" i="14" s="1"/>
  <c r="AC33" i="3"/>
  <c r="AC31" i="13" s="1"/>
  <c r="AC32" i="3"/>
  <c r="AC30" i="13" s="1"/>
  <c r="AC29" i="4" s="1"/>
  <c r="AC29" i="12" s="1" a="1"/>
  <c r="AC29" i="12" s="1"/>
  <c r="AC29" i="14" s="1"/>
  <c r="AA32" i="3"/>
  <c r="AA30" i="13" s="1"/>
  <c r="AA29" i="4" s="1"/>
  <c r="AA29" i="12" s="1" a="1"/>
  <c r="AA29" i="12" s="1"/>
  <c r="AA29" i="14" s="1"/>
  <c r="AA33" i="3"/>
  <c r="AA31" i="13" s="1"/>
  <c r="AA30" i="4" s="1"/>
  <c r="AA30" i="12" s="1" a="1"/>
  <c r="AA30" i="12" s="1"/>
  <c r="AA30" i="14" s="1"/>
  <c r="Y32" i="3"/>
  <c r="Y30" i="13" s="1"/>
  <c r="Y29" i="4" s="1"/>
  <c r="Y29" i="12" s="1" a="1"/>
  <c r="Y29" i="12" s="1"/>
  <c r="Y29" i="14" s="1"/>
  <c r="Z32" i="3"/>
  <c r="Z30" i="13" s="1"/>
  <c r="Z29" i="4" s="1"/>
  <c r="Z29" i="12" s="1" a="1"/>
  <c r="Z29" i="12" s="1"/>
  <c r="Z29" i="14" s="1"/>
  <c r="Z33" i="3"/>
  <c r="Z31" i="13" s="1"/>
  <c r="Z30" i="4" s="1"/>
  <c r="Z30" i="12" s="1" a="1"/>
  <c r="Z30" i="12" s="1"/>
  <c r="Z30" i="14" s="1"/>
  <c r="AF36" i="4"/>
  <c r="AF36" i="12" s="1" a="1"/>
  <c r="AF36" i="12" s="1"/>
  <c r="AF36" i="14" s="1"/>
  <c r="AD37" i="3"/>
  <c r="AD35" i="13" s="1"/>
  <c r="AD36" i="3"/>
  <c r="AD34" i="13" s="1"/>
  <c r="AC37" i="3"/>
  <c r="AC35" i="13" s="1"/>
  <c r="AI36" i="3"/>
  <c r="AI34" i="13" s="1"/>
  <c r="AI35" i="3"/>
  <c r="AI33" i="13" s="1"/>
  <c r="AG36" i="3"/>
  <c r="AG34" i="13" s="1"/>
  <c r="AF36" i="3"/>
  <c r="AF34" i="13" s="1"/>
  <c r="AE36" i="3"/>
  <c r="AE34" i="13" s="1"/>
  <c r="AH35" i="3"/>
  <c r="AH33" i="13" s="1"/>
  <c r="AG35" i="3"/>
  <c r="AG33" i="13" s="1"/>
  <c r="AF35" i="3"/>
  <c r="AF33" i="13" s="1"/>
  <c r="AE35" i="3"/>
  <c r="AE33" i="13" s="1"/>
  <c r="AD35" i="3"/>
  <c r="AD33" i="13" s="1"/>
  <c r="AI33" i="3"/>
  <c r="AI31" i="13" s="1"/>
  <c r="AI30" i="4" s="1"/>
  <c r="AI30" i="12" s="1" a="1"/>
  <c r="AI30" i="12" s="1"/>
  <c r="AI30" i="14" s="1"/>
  <c r="AI34" i="3"/>
  <c r="AI32" i="13" s="1"/>
  <c r="AI31" i="4" s="1"/>
  <c r="AI31" i="12" s="1" a="1"/>
  <c r="AI31" i="12" s="1"/>
  <c r="AI31" i="14" s="1"/>
  <c r="AH34" i="3"/>
  <c r="AH32" i="13" s="1"/>
  <c r="AH33" i="3"/>
  <c r="AH31" i="13" s="1"/>
  <c r="AH30" i="4" s="1"/>
  <c r="AH30" i="12" s="1" a="1"/>
  <c r="AH30" i="12" s="1"/>
  <c r="AH30" i="14" s="1"/>
  <c r="AG34" i="3"/>
  <c r="AG32" i="13" s="1"/>
  <c r="AG33" i="3"/>
  <c r="AG31" i="13" s="1"/>
  <c r="AG30" i="4" s="1"/>
  <c r="AG30" i="12" s="1" a="1"/>
  <c r="AG30" i="12" s="1"/>
  <c r="AG30" i="14" s="1"/>
  <c r="AF34" i="3"/>
  <c r="AF32" i="13" s="1"/>
  <c r="AE34" i="3"/>
  <c r="AE32" i="13" s="1"/>
  <c r="AE33" i="3"/>
  <c r="AE31" i="13" s="1"/>
  <c r="AD34" i="3"/>
  <c r="AD32" i="13" s="1"/>
  <c r="AF33" i="3"/>
  <c r="AF31" i="13" s="1"/>
  <c r="AD32" i="3"/>
  <c r="AD30" i="13" s="1"/>
  <c r="AD33" i="3"/>
  <c r="AD31" i="13" s="1"/>
  <c r="AF32" i="3"/>
  <c r="AF30" i="13" s="1"/>
  <c r="AF31" i="3"/>
  <c r="AF29" i="13" s="1"/>
  <c r="AF28" i="4" s="1"/>
  <c r="AF28" i="12" s="1" a="1"/>
  <c r="AF28" i="12" s="1"/>
  <c r="AF28" i="14" s="1"/>
  <c r="AE32" i="3"/>
  <c r="AE30" i="13" s="1"/>
  <c r="AE31" i="3"/>
  <c r="AE29" i="13" s="1"/>
  <c r="AE28" i="4" s="1"/>
  <c r="AE28" i="12" s="1" a="1"/>
  <c r="AE28" i="12" s="1"/>
  <c r="AE28" i="14" s="1"/>
  <c r="AD31" i="3"/>
  <c r="AD29" i="13" s="1"/>
  <c r="AD28" i="4" s="1"/>
  <c r="AD28" i="12" s="1" a="1"/>
  <c r="AD28" i="12" s="1"/>
  <c r="AD28" i="14" s="1"/>
  <c r="R30" i="4"/>
  <c r="R30" i="12" s="1" a="1"/>
  <c r="R30" i="12" s="1"/>
  <c r="R30" i="14" s="1"/>
  <c r="R31" i="4"/>
  <c r="R31" i="12" s="1" a="1"/>
  <c r="R31" i="12" s="1"/>
  <c r="R31" i="14" s="1"/>
  <c r="R29" i="4"/>
  <c r="R29" i="12" s="1" a="1"/>
  <c r="R29" i="12" s="1"/>
  <c r="R29" i="14" s="1"/>
  <c r="Q30" i="4"/>
  <c r="Q30" i="12" s="1" a="1"/>
  <c r="Q30" i="12" s="1"/>
  <c r="Q30" i="14" s="1"/>
  <c r="Q29" i="4"/>
  <c r="Q29" i="12" s="1" a="1"/>
  <c r="Q29" i="12" s="1"/>
  <c r="Q29" i="14" s="1"/>
  <c r="Q31" i="4"/>
  <c r="Q31" i="12" s="1" a="1"/>
  <c r="Q31" i="12" s="1"/>
  <c r="Q31" i="14" s="1"/>
  <c r="S31" i="4"/>
  <c r="S31" i="12" s="1" a="1"/>
  <c r="S31" i="12" s="1"/>
  <c r="S31" i="14" s="1"/>
  <c r="S30" i="4"/>
  <c r="S30" i="12" s="1" a="1"/>
  <c r="S30" i="12" s="1"/>
  <c r="S30" i="14" s="1"/>
  <c r="S29" i="4"/>
  <c r="S29" i="12" s="1" a="1"/>
  <c r="S29" i="12" s="1"/>
  <c r="S29" i="14" s="1"/>
  <c r="AB24" i="4"/>
  <c r="AB24" i="12" s="1" a="1"/>
  <c r="AB24" i="12" s="1"/>
  <c r="AB24" i="14" s="1"/>
  <c r="AC24" i="4"/>
  <c r="AC24" i="12" s="1" a="1"/>
  <c r="AC24" i="12" s="1"/>
  <c r="AC24" i="14" s="1"/>
  <c r="AE25" i="4"/>
  <c r="AE25" i="12" s="1" a="1"/>
  <c r="AE25" i="12" s="1"/>
  <c r="AE25" i="14" s="1"/>
  <c r="AB25" i="4"/>
  <c r="AB25" i="12" s="1" a="1"/>
  <c r="AB25" i="12" s="1"/>
  <c r="AB25" i="14" s="1"/>
  <c r="AB26" i="4"/>
  <c r="AB26" i="12" s="1" a="1"/>
  <c r="AB26" i="12" s="1"/>
  <c r="AB26" i="14" s="1"/>
  <c r="AC25" i="4"/>
  <c r="AC25" i="12" s="1" a="1"/>
  <c r="AC25" i="12" s="1"/>
  <c r="AC25" i="14" s="1"/>
  <c r="AC26" i="4"/>
  <c r="AC26" i="12" s="1" a="1"/>
  <c r="AC26" i="12" s="1"/>
  <c r="AC26" i="14" s="1"/>
  <c r="AD25" i="4"/>
  <c r="AD25" i="12" s="1" a="1"/>
  <c r="AD25" i="12" s="1"/>
  <c r="AD25" i="14" s="1"/>
  <c r="AD26" i="4"/>
  <c r="AD26" i="12" s="1" a="1"/>
  <c r="AD26" i="12" s="1"/>
  <c r="AD26" i="14" s="1"/>
  <c r="AE26" i="4"/>
  <c r="AE26" i="12" s="1" a="1"/>
  <c r="AE26" i="12" s="1"/>
  <c r="AE26" i="14" s="1"/>
  <c r="AG26" i="4"/>
  <c r="AG26" i="12" s="1" a="1"/>
  <c r="AG26" i="12" s="1"/>
  <c r="AG26" i="14" s="1"/>
  <c r="AA26" i="4"/>
  <c r="AA26" i="12" s="1" a="1"/>
  <c r="AA26" i="12" s="1"/>
  <c r="AA26" i="14" s="1"/>
  <c r="AB27" i="4"/>
  <c r="AB27" i="12" s="1" a="1"/>
  <c r="AB27" i="12" s="1"/>
  <c r="AB27" i="14" s="1"/>
  <c r="AC27" i="4"/>
  <c r="AC27" i="12" s="1" a="1"/>
  <c r="AC27" i="12" s="1"/>
  <c r="AC27" i="14" s="1"/>
  <c r="AD27" i="4"/>
  <c r="AD27" i="12" s="1" a="1"/>
  <c r="AD27" i="12" s="1"/>
  <c r="AD27" i="14" s="1"/>
  <c r="AE27" i="4"/>
  <c r="AE27" i="12" s="1" a="1"/>
  <c r="AE27" i="12" s="1"/>
  <c r="AE27" i="14" s="1"/>
  <c r="AF26" i="4"/>
  <c r="AF26" i="12" s="1" a="1"/>
  <c r="AF26" i="12" s="1"/>
  <c r="AF26" i="14" s="1"/>
  <c r="AG27" i="4"/>
  <c r="AG27" i="12" s="1" a="1"/>
  <c r="AG27" i="12" s="1"/>
  <c r="AG27" i="14" s="1"/>
  <c r="AG28" i="4"/>
  <c r="AG28" i="12" s="1" a="1"/>
  <c r="AG28" i="12" s="1"/>
  <c r="AG28" i="14" s="1"/>
  <c r="AG29" i="4"/>
  <c r="AG29" i="12" s="1" a="1"/>
  <c r="AG29" i="12" s="1"/>
  <c r="AG29" i="14" s="1"/>
  <c r="AA27" i="4"/>
  <c r="AA27" i="12" s="1" a="1"/>
  <c r="AA27" i="12" s="1"/>
  <c r="AA27" i="14" s="1"/>
  <c r="AA28" i="4"/>
  <c r="AA28" i="12" s="1" a="1"/>
  <c r="AA28" i="12" s="1"/>
  <c r="AA28" i="14" s="1"/>
  <c r="AB28" i="4"/>
  <c r="AB28" i="12" s="1" a="1"/>
  <c r="AB28" i="12" s="1"/>
  <c r="AB28" i="14" s="1"/>
  <c r="AC28" i="4"/>
  <c r="AC28" i="12" s="1" a="1"/>
  <c r="AC28" i="12" s="1"/>
  <c r="AC28" i="14" s="1"/>
  <c r="AF27" i="4"/>
  <c r="AF27" i="12" s="1" a="1"/>
  <c r="AF27" i="12" s="1"/>
  <c r="AF27" i="14" s="1"/>
  <c r="S27" i="4"/>
  <c r="S27" i="12" s="1" a="1"/>
  <c r="S27" i="12" s="1"/>
  <c r="S27" i="14" s="1"/>
  <c r="S26" i="4"/>
  <c r="S26" i="12" s="1" a="1"/>
  <c r="S26" i="12" s="1"/>
  <c r="S26" i="14" s="1"/>
  <c r="S25" i="4"/>
  <c r="S25" i="12" s="1" a="1"/>
  <c r="S25" i="12" s="1"/>
  <c r="S25" i="14" s="1"/>
  <c r="N27" i="4"/>
  <c r="N27" i="12" s="1" a="1"/>
  <c r="N27" i="12" s="1"/>
  <c r="N27" i="14" s="1"/>
  <c r="J27" i="3"/>
  <c r="J25" i="13" s="1"/>
  <c r="K28" i="3"/>
  <c r="K26" i="13" s="1"/>
  <c r="M27" i="3"/>
  <c r="M25" i="13" s="1"/>
  <c r="L26" i="4"/>
  <c r="L26" i="12" s="1" a="1"/>
  <c r="L26" i="12" s="1"/>
  <c r="L26" i="14" s="1"/>
  <c r="K27" i="3"/>
  <c r="K25" i="13" s="1"/>
  <c r="K26" i="3"/>
  <c r="K24" i="13" s="1"/>
  <c r="J26" i="3"/>
  <c r="J24" i="13" s="1"/>
  <c r="M26" i="3"/>
  <c r="M24" i="13" s="1"/>
  <c r="M25" i="3"/>
  <c r="M23" i="13" s="1"/>
  <c r="L26" i="3"/>
  <c r="L24" i="13" s="1"/>
  <c r="L25" i="3"/>
  <c r="L23" i="13" s="1"/>
  <c r="L22" i="4" s="1"/>
  <c r="L22" i="12" s="1" a="1"/>
  <c r="L22" i="12" s="1"/>
  <c r="L22" i="14" s="1"/>
  <c r="O24" i="3"/>
  <c r="O22" i="13" s="1"/>
  <c r="O21" i="4" s="1"/>
  <c r="O21" i="12" s="1" a="1"/>
  <c r="O21" i="12" s="1"/>
  <c r="O21" i="14" s="1"/>
  <c r="O25" i="3"/>
  <c r="O23" i="13" s="1"/>
  <c r="M24" i="3"/>
  <c r="M22" i="13" s="1"/>
  <c r="N25" i="3"/>
  <c r="N23" i="13" s="1"/>
  <c r="K24" i="3"/>
  <c r="K22" i="13" s="1"/>
  <c r="K21" i="4" s="1"/>
  <c r="K21" i="12" s="1" a="1"/>
  <c r="K21" i="12" s="1"/>
  <c r="K21" i="14" s="1"/>
  <c r="J24" i="3"/>
  <c r="J22" i="13" s="1"/>
  <c r="J21" i="4" s="1"/>
  <c r="J21" i="12" s="1" a="1"/>
  <c r="J21" i="12" s="1"/>
  <c r="J21" i="14" s="1"/>
  <c r="K25" i="3"/>
  <c r="K23" i="13" s="1"/>
  <c r="K22" i="4" s="1"/>
  <c r="K22" i="12" s="1" a="1"/>
  <c r="K22" i="12" s="1"/>
  <c r="K22" i="14" s="1"/>
  <c r="J25" i="3"/>
  <c r="J23" i="13" s="1"/>
  <c r="J22" i="4" s="1"/>
  <c r="J22" i="12" s="1" a="1"/>
  <c r="J22" i="12" s="1"/>
  <c r="J22" i="14" s="1"/>
  <c r="O29" i="3"/>
  <c r="O27" i="13" s="1"/>
  <c r="P29" i="3"/>
  <c r="P27" i="13" s="1"/>
  <c r="Q27" i="4"/>
  <c r="Q27" i="12" s="1" a="1"/>
  <c r="Q27" i="12" s="1"/>
  <c r="Q27" i="14" s="1"/>
  <c r="P28" i="3"/>
  <c r="P26" i="13" s="1"/>
  <c r="O28" i="3"/>
  <c r="O26" i="13" s="1"/>
  <c r="R27" i="3"/>
  <c r="R25" i="13" s="1"/>
  <c r="R26" i="3"/>
  <c r="R24" i="13" s="1"/>
  <c r="Q27" i="3"/>
  <c r="Q25" i="13" s="1"/>
  <c r="P27" i="3"/>
  <c r="P25" i="13" s="1"/>
  <c r="O27" i="3"/>
  <c r="O25" i="13" s="1"/>
  <c r="O24" i="4" s="1"/>
  <c r="O24" i="12" s="1" a="1"/>
  <c r="O24" i="12" s="1"/>
  <c r="O24" i="14" s="1"/>
  <c r="N27" i="3"/>
  <c r="N25" i="13" s="1"/>
  <c r="Q26" i="3"/>
  <c r="Q24" i="13" s="1"/>
  <c r="Q25" i="3"/>
  <c r="Q23" i="13" s="1"/>
  <c r="P26" i="3"/>
  <c r="P24" i="13" s="1"/>
  <c r="Q24" i="3"/>
  <c r="Q22" i="13" s="1"/>
  <c r="R25" i="3"/>
  <c r="R23" i="13" s="1"/>
  <c r="P24" i="3"/>
  <c r="P22" i="13" s="1"/>
  <c r="P21" i="4" s="1"/>
  <c r="P21" i="12" s="1" a="1"/>
  <c r="P21" i="12" s="1"/>
  <c r="P21" i="14" s="1"/>
  <c r="P25" i="3"/>
  <c r="P23" i="13" s="1"/>
  <c r="P22" i="4" s="1"/>
  <c r="P22" i="12" s="1" a="1"/>
  <c r="P22" i="12" s="1"/>
  <c r="P22" i="14" s="1"/>
  <c r="R24" i="3"/>
  <c r="R22" i="13" s="1"/>
  <c r="R23" i="3"/>
  <c r="R21" i="13" s="1"/>
  <c r="R20" i="4" s="1"/>
  <c r="R20" i="12" s="1" a="1"/>
  <c r="R20" i="12" s="1"/>
  <c r="R20" i="14" s="1"/>
  <c r="Q23" i="3"/>
  <c r="Q21" i="13" s="1"/>
  <c r="Q20" i="4" s="1"/>
  <c r="Q20" i="12" s="1" a="1"/>
  <c r="Q20" i="12" s="1"/>
  <c r="Q20" i="14" s="1"/>
  <c r="N24" i="3"/>
  <c r="N22" i="13" s="1"/>
  <c r="N23" i="3"/>
  <c r="N21" i="13" s="1"/>
  <c r="N20" i="4" s="1"/>
  <c r="N20" i="12" s="1" a="1"/>
  <c r="N20" i="12" s="1"/>
  <c r="N20" i="14" s="1"/>
  <c r="M23" i="3"/>
  <c r="M21" i="13" s="1"/>
  <c r="M20" i="4" s="1"/>
  <c r="M20" i="12" s="1" a="1"/>
  <c r="M20" i="12" s="1"/>
  <c r="M20" i="14" s="1"/>
  <c r="AG21" i="4"/>
  <c r="AG21" i="12" s="1" a="1"/>
  <c r="AG21" i="12" s="1"/>
  <c r="AG21" i="14" s="1"/>
  <c r="AG20" i="4"/>
  <c r="AG20" i="12" s="1" a="1"/>
  <c r="AG20" i="12" s="1"/>
  <c r="AG20" i="14" s="1"/>
  <c r="AG22" i="4"/>
  <c r="AG22" i="12" s="1" a="1"/>
  <c r="AG22" i="12" s="1"/>
  <c r="AG22" i="14" s="1"/>
  <c r="AH21" i="4"/>
  <c r="AH21" i="12" s="1" a="1"/>
  <c r="AH21" i="12" s="1"/>
  <c r="AH21" i="14" s="1"/>
  <c r="AH22" i="4"/>
  <c r="AH22" i="12" s="1" a="1"/>
  <c r="AH22" i="12" s="1"/>
  <c r="AH22" i="14" s="1"/>
  <c r="AH23" i="4"/>
  <c r="AH23" i="12" s="1" a="1"/>
  <c r="AH23" i="12" s="1"/>
  <c r="AH23" i="14" s="1"/>
  <c r="AI21" i="4"/>
  <c r="AI21" i="12" s="1" a="1"/>
  <c r="AI21" i="12" s="1"/>
  <c r="AI21" i="14" s="1"/>
  <c r="AI22" i="4"/>
  <c r="AI22" i="12" s="1" a="1"/>
  <c r="AI22" i="12" s="1"/>
  <c r="AI22" i="14" s="1"/>
  <c r="AI23" i="4"/>
  <c r="AI23" i="12" s="1" a="1"/>
  <c r="AI23" i="12" s="1"/>
  <c r="AI23" i="14" s="1"/>
  <c r="AL19" i="4"/>
  <c r="AL19" i="12" s="1" a="1"/>
  <c r="AL19" i="12" s="1"/>
  <c r="AL19" i="14" s="1"/>
  <c r="AL18" i="4"/>
  <c r="AL18" i="12" s="1" a="1"/>
  <c r="AL18" i="12" s="1"/>
  <c r="AL18" i="14" s="1"/>
  <c r="AL17" i="4"/>
  <c r="AL17" i="12" s="1" a="1"/>
  <c r="AL17" i="12" s="1"/>
  <c r="AL17" i="14" s="1"/>
  <c r="AM19" i="4"/>
  <c r="AM19" i="12" s="1" a="1"/>
  <c r="AM19" i="12" s="1"/>
  <c r="AM19" i="14" s="1"/>
  <c r="AM18" i="4"/>
  <c r="AM18" i="12" s="1" a="1"/>
  <c r="AM18" i="12" s="1"/>
  <c r="AM18" i="14" s="1"/>
  <c r="AM17" i="4"/>
  <c r="AM17" i="12" s="1" a="1"/>
  <c r="AM17" i="12" s="1"/>
  <c r="AM17" i="14" s="1"/>
  <c r="AN19" i="4"/>
  <c r="AN19" i="12" s="1" a="1"/>
  <c r="AN19" i="12" s="1"/>
  <c r="AN19" i="14" s="1"/>
  <c r="AN18" i="4"/>
  <c r="AN18" i="12" s="1" a="1"/>
  <c r="AN18" i="12" s="1"/>
  <c r="AN18" i="14" s="1"/>
  <c r="AN17" i="4"/>
  <c r="AN17" i="12" s="1" a="1"/>
  <c r="AN17" i="12" s="1"/>
  <c r="AN17" i="14" s="1"/>
  <c r="C21" i="3"/>
  <c r="C19" i="13" s="1"/>
  <c r="B21" i="3"/>
  <c r="B19" i="13" s="1"/>
  <c r="C20" i="3"/>
  <c r="C18" i="13" s="1"/>
  <c r="B20" i="3"/>
  <c r="B18" i="13" s="1"/>
  <c r="E20" i="3"/>
  <c r="E18" i="13" s="1"/>
  <c r="D20" i="3"/>
  <c r="D18" i="13" s="1"/>
  <c r="AO19" i="3"/>
  <c r="AO17" i="13" s="1"/>
  <c r="AO18" i="3"/>
  <c r="AO16" i="13" s="1"/>
  <c r="AO15" i="4" s="1"/>
  <c r="AO15" i="12" s="1" a="1"/>
  <c r="AO15" i="12" s="1"/>
  <c r="AO15" i="14" s="1"/>
  <c r="G18" i="4"/>
  <c r="G18" i="12" s="1" a="1"/>
  <c r="G18" i="12" s="1"/>
  <c r="G18" i="14" s="1"/>
  <c r="E19" i="3"/>
  <c r="E17" i="13" s="1"/>
  <c r="D19" i="3"/>
  <c r="D17" i="13" s="1"/>
  <c r="C19" i="3"/>
  <c r="C17" i="13" s="1"/>
  <c r="B19" i="3"/>
  <c r="B17" i="13" s="1"/>
  <c r="C18" i="3"/>
  <c r="C16" i="13" s="1"/>
  <c r="B18" i="3"/>
  <c r="B16" i="13" s="1"/>
  <c r="G18" i="3"/>
  <c r="G16" i="13" s="1"/>
  <c r="G17" i="3"/>
  <c r="G15" i="13" s="1"/>
  <c r="G14" i="4" s="1"/>
  <c r="G14" i="12" s="1" a="1"/>
  <c r="G14" i="12" s="1"/>
  <c r="G14" i="14" s="1"/>
  <c r="F18" i="3"/>
  <c r="F16" i="13" s="1"/>
  <c r="F17" i="3"/>
  <c r="F15" i="13" s="1"/>
  <c r="F14" i="4" s="1"/>
  <c r="F14" i="12" s="1" a="1"/>
  <c r="F14" i="12" s="1"/>
  <c r="F14" i="14" s="1"/>
  <c r="E18" i="3"/>
  <c r="E16" i="13" s="1"/>
  <c r="D18" i="3"/>
  <c r="D16" i="13" s="1"/>
  <c r="E17" i="3"/>
  <c r="E15" i="13" s="1"/>
  <c r="E16" i="3"/>
  <c r="E14" i="13" s="1"/>
  <c r="E13" i="4" s="1"/>
  <c r="E13" i="12" s="1" a="1"/>
  <c r="E13" i="12" s="1"/>
  <c r="E13" i="14" s="1"/>
  <c r="D17" i="3"/>
  <c r="D15" i="13" s="1"/>
  <c r="D16" i="3"/>
  <c r="D14" i="13" s="1"/>
  <c r="D13" i="4" s="1"/>
  <c r="D13" i="12" s="1" a="1"/>
  <c r="D13" i="12" s="1"/>
  <c r="D13" i="14" s="1"/>
  <c r="B12" i="10"/>
  <c r="B12" i="2" s="1"/>
  <c r="D8" i="1"/>
  <c r="E8" i="1" s="1"/>
  <c r="AF21" i="3"/>
  <c r="AF19" i="13" s="1"/>
  <c r="AE21" i="3"/>
  <c r="AE19" i="13" s="1"/>
  <c r="AF20" i="3"/>
  <c r="AF18" i="13" s="1"/>
  <c r="AE20" i="3"/>
  <c r="AE18" i="13" s="1"/>
  <c r="AD21" i="3"/>
  <c r="AD19" i="13" s="1"/>
  <c r="AC21" i="3"/>
  <c r="AC19" i="13" s="1"/>
  <c r="AC20" i="3"/>
  <c r="AC18" i="13" s="1"/>
  <c r="AI20" i="3"/>
  <c r="AI18" i="13" s="1"/>
  <c r="AI19" i="3"/>
  <c r="AI17" i="13" s="1"/>
  <c r="AH20" i="3"/>
  <c r="AH18" i="13" s="1"/>
  <c r="AH19" i="3"/>
  <c r="AH17" i="13" s="1"/>
  <c r="AG20" i="3"/>
  <c r="AG18" i="13" s="1"/>
  <c r="AD20" i="3"/>
  <c r="AD18" i="13" s="1"/>
  <c r="AC19" i="3"/>
  <c r="AC17" i="13" s="1"/>
  <c r="AG19" i="3"/>
  <c r="AG17" i="13" s="1"/>
  <c r="AF19" i="3"/>
  <c r="AF17" i="13" s="1"/>
  <c r="AE19" i="3"/>
  <c r="AE17" i="13" s="1"/>
  <c r="AD19" i="3"/>
  <c r="AD17" i="13" s="1"/>
  <c r="AC18" i="3"/>
  <c r="AC16" i="13" s="1"/>
  <c r="AH18" i="3"/>
  <c r="AH16" i="13" s="1"/>
  <c r="AG18" i="3"/>
  <c r="AG16" i="13" s="1"/>
  <c r="AF18" i="3"/>
  <c r="AF16" i="13" s="1"/>
  <c r="AF17" i="3"/>
  <c r="AF15" i="13" s="1"/>
  <c r="AE18" i="3"/>
  <c r="AE16" i="13" s="1"/>
  <c r="AE17" i="3"/>
  <c r="AE15" i="13" s="1"/>
  <c r="AE14" i="4" s="1"/>
  <c r="AE14" i="12" s="1" a="1"/>
  <c r="AE14" i="12" s="1"/>
  <c r="AE14" i="14" s="1"/>
  <c r="AD18" i="3"/>
  <c r="AD16" i="13" s="1"/>
  <c r="AD17" i="3"/>
  <c r="AD15" i="13" s="1"/>
  <c r="AD14" i="4" s="1"/>
  <c r="AD14" i="12" s="1" a="1"/>
  <c r="AD14" i="12" s="1"/>
  <c r="AD14" i="14" s="1"/>
  <c r="AC17" i="3"/>
  <c r="AC15" i="13" s="1"/>
  <c r="AC14" i="4" s="1"/>
  <c r="AC14" i="12" s="1" a="1"/>
  <c r="AC14" i="12" s="1"/>
  <c r="AC14" i="14" s="1"/>
  <c r="AI17" i="3"/>
  <c r="AI15" i="13" s="1"/>
  <c r="AI16" i="3"/>
  <c r="AI14" i="13" s="1"/>
  <c r="AI13" i="4" s="1"/>
  <c r="AI13" i="12" s="1" a="1"/>
  <c r="AI13" i="12" s="1"/>
  <c r="AI13" i="14" s="1"/>
  <c r="AH17" i="3"/>
  <c r="AH15" i="13" s="1"/>
  <c r="AH16" i="3"/>
  <c r="AH14" i="13" s="1"/>
  <c r="AH13" i="4" s="1"/>
  <c r="AH13" i="12" s="1" a="1"/>
  <c r="AH13" i="12" s="1"/>
  <c r="AH13" i="14" s="1"/>
  <c r="AG17" i="3"/>
  <c r="AG15" i="13" s="1"/>
  <c r="AG16" i="3"/>
  <c r="AG14" i="13" s="1"/>
  <c r="AG13" i="4" s="1"/>
  <c r="AG13" i="12" s="1" a="1"/>
  <c r="AG13" i="12" s="1"/>
  <c r="AG13" i="14" s="1"/>
  <c r="AF16" i="3"/>
  <c r="AF14" i="13" s="1"/>
  <c r="AF13" i="4" s="1"/>
  <c r="AF13" i="12" s="1" a="1"/>
  <c r="AF13" i="12" s="1"/>
  <c r="AF13" i="14" s="1"/>
  <c r="P14" i="4"/>
  <c r="P14" i="12" s="1" a="1"/>
  <c r="P14" i="12" s="1"/>
  <c r="P14" i="14" s="1"/>
  <c r="P13" i="4"/>
  <c r="P13" i="12" s="1" a="1"/>
  <c r="P13" i="12" s="1"/>
  <c r="P13" i="14" s="1"/>
  <c r="P12" i="4"/>
  <c r="P12" i="12" s="1" a="1"/>
  <c r="P12" i="12" s="1"/>
  <c r="P12" i="14" s="1"/>
  <c r="Q15" i="4"/>
  <c r="Q15" i="12" s="1" a="1"/>
  <c r="Q15" i="12" s="1"/>
  <c r="Q15" i="14" s="1"/>
  <c r="Q14" i="4"/>
  <c r="Q14" i="12" s="1" a="1"/>
  <c r="Q14" i="12" s="1"/>
  <c r="Q14" i="14" s="1"/>
  <c r="Q13" i="4"/>
  <c r="Q13" i="12" s="1" a="1"/>
  <c r="Q13" i="12" s="1"/>
  <c r="Q13" i="14" s="1"/>
  <c r="R15" i="4"/>
  <c r="R15" i="12" s="1" a="1"/>
  <c r="R15" i="12" s="1"/>
  <c r="R15" i="14" s="1"/>
  <c r="R14" i="4"/>
  <c r="R14" i="12" s="1" a="1"/>
  <c r="R14" i="12" s="1"/>
  <c r="R14" i="14" s="1"/>
  <c r="R13" i="4"/>
  <c r="R13" i="12" s="1" a="1"/>
  <c r="R13" i="12" s="1"/>
  <c r="R13" i="14" s="1"/>
  <c r="F13" i="3"/>
  <c r="F11" i="13" s="1"/>
  <c r="E13" i="3"/>
  <c r="E11" i="13" s="1"/>
  <c r="E12" i="3"/>
  <c r="E10" i="13" s="1"/>
  <c r="F12" i="3"/>
  <c r="F10" i="13" s="1"/>
  <c r="G12" i="4"/>
  <c r="G12" i="12" s="1" a="1"/>
  <c r="G12" i="12" s="1"/>
  <c r="G12" i="14" s="1"/>
  <c r="G11" i="4"/>
  <c r="G11" i="12" s="1" a="1"/>
  <c r="G11" i="12" s="1"/>
  <c r="G11" i="14" s="1"/>
  <c r="G10" i="4"/>
  <c r="G10" i="12" s="1" a="1"/>
  <c r="G10" i="12" s="1"/>
  <c r="G10" i="14" s="1"/>
  <c r="G49" i="4"/>
  <c r="G49" i="12" s="1" a="1"/>
  <c r="G49" i="12" s="1"/>
  <c r="G49" i="14" s="1"/>
  <c r="H12" i="4"/>
  <c r="H12" i="12" s="1" a="1"/>
  <c r="H12" i="12" s="1"/>
  <c r="H12" i="14" s="1"/>
  <c r="H11" i="4"/>
  <c r="H11" i="12" s="1" a="1"/>
  <c r="H11" i="12" s="1"/>
  <c r="H11" i="14" s="1"/>
  <c r="H10" i="4"/>
  <c r="H10" i="12" s="1" a="1"/>
  <c r="H10" i="12" s="1"/>
  <c r="H10" i="14" s="1"/>
  <c r="H49" i="4"/>
  <c r="H49" i="12" s="1" a="1"/>
  <c r="H49" i="12" s="1"/>
  <c r="H49" i="14" s="1"/>
  <c r="I12" i="4"/>
  <c r="I12" i="12" s="1" a="1"/>
  <c r="I12" i="12" s="1"/>
  <c r="I12" i="14" s="1"/>
  <c r="I11" i="4"/>
  <c r="I11" i="12" s="1" a="1"/>
  <c r="I11" i="12" s="1"/>
  <c r="I11" i="14" s="1"/>
  <c r="I10" i="4"/>
  <c r="I10" i="12" s="1" a="1"/>
  <c r="I10" i="12" s="1"/>
  <c r="I10" i="14" s="1"/>
  <c r="I49" i="4"/>
  <c r="I49" i="12" s="1" a="1"/>
  <c r="I49" i="12" s="1"/>
  <c r="I49" i="14" s="1"/>
  <c r="H19" i="4" l="1"/>
  <c r="H19" i="12" s="1" a="1"/>
  <c r="H19" i="12" s="1"/>
  <c r="H19" i="14" s="1"/>
  <c r="H21" i="4"/>
  <c r="H21" i="12" s="1" a="1"/>
  <c r="H21" i="12" s="1"/>
  <c r="H21" i="14" s="1"/>
  <c r="H20" i="4"/>
  <c r="H20" i="12" s="1" a="1"/>
  <c r="H20" i="12" s="1"/>
  <c r="H20" i="14" s="1"/>
  <c r="Z16" i="4"/>
  <c r="Z16" i="12" s="1" a="1"/>
  <c r="Z16" i="12" s="1"/>
  <c r="Z16" i="14" s="1"/>
  <c r="Z15" i="4"/>
  <c r="Z15" i="12" s="1" a="1"/>
  <c r="Z15" i="12" s="1"/>
  <c r="Z15" i="14" s="1"/>
  <c r="Z14" i="4"/>
  <c r="Z14" i="12" s="1" a="1"/>
  <c r="Z14" i="12" s="1"/>
  <c r="Z14" i="14" s="1"/>
  <c r="AB16" i="4"/>
  <c r="AB16" i="12" s="1" a="1"/>
  <c r="AB16" i="12" s="1"/>
  <c r="AB16" i="14" s="1"/>
  <c r="AB17" i="4"/>
  <c r="AB17" i="12" s="1" a="1"/>
  <c r="AB17" i="12" s="1"/>
  <c r="AB17" i="14" s="1"/>
  <c r="AA17" i="4"/>
  <c r="AA17" i="12" s="1" a="1"/>
  <c r="AA17" i="12" s="1"/>
  <c r="AA17" i="14" s="1"/>
  <c r="AA18" i="4"/>
  <c r="AA18" i="12" s="1" a="1"/>
  <c r="AA18" i="12" s="1"/>
  <c r="AA18" i="14" s="1"/>
  <c r="AB18" i="4"/>
  <c r="AB18" i="12" s="1" a="1"/>
  <c r="AB18" i="12" s="1"/>
  <c r="AB18" i="14" s="1"/>
  <c r="AA19" i="4"/>
  <c r="AA19" i="12" s="1" a="1"/>
  <c r="AA19" i="12" s="1"/>
  <c r="AA19" i="14" s="1"/>
  <c r="AB19" i="4"/>
  <c r="AB19" i="12" s="1" a="1"/>
  <c r="AB19" i="12" s="1"/>
  <c r="AB19" i="14" s="1"/>
  <c r="V33" i="4"/>
  <c r="V33" i="12" s="1" a="1"/>
  <c r="V33" i="12" s="1"/>
  <c r="V33" i="14" s="1"/>
  <c r="V35" i="4"/>
  <c r="V35" i="12" s="1" a="1"/>
  <c r="V35" i="12" s="1"/>
  <c r="V35" i="14" s="1"/>
  <c r="V34" i="4"/>
  <c r="V34" i="12" s="1" a="1"/>
  <c r="V34" i="12" s="1"/>
  <c r="V34" i="14" s="1"/>
  <c r="W33" i="4"/>
  <c r="W33" i="12" s="1" a="1"/>
  <c r="W33" i="12" s="1"/>
  <c r="W33" i="14" s="1"/>
  <c r="W34" i="4"/>
  <c r="W34" i="12" s="1" a="1"/>
  <c r="W34" i="12" s="1"/>
  <c r="W34" i="14" s="1"/>
  <c r="X36" i="4"/>
  <c r="X36" i="12" s="1" a="1"/>
  <c r="X36" i="12" s="1"/>
  <c r="X36" i="14" s="1"/>
  <c r="X35" i="4"/>
  <c r="X35" i="12" s="1" a="1"/>
  <c r="X35" i="12" s="1"/>
  <c r="X35" i="14" s="1"/>
  <c r="Y36" i="4"/>
  <c r="Y36" i="12" s="1" a="1"/>
  <c r="Y36" i="12" s="1"/>
  <c r="Y36" i="14" s="1"/>
  <c r="X37" i="4"/>
  <c r="X37" i="12" s="1" a="1"/>
  <c r="X37" i="12" s="1"/>
  <c r="X37" i="14" s="1"/>
  <c r="X38" i="4"/>
  <c r="X38" i="12" s="1" a="1"/>
  <c r="X38" i="12" s="1"/>
  <c r="X38" i="14" s="1"/>
  <c r="Y37" i="4"/>
  <c r="Y37" i="12" s="1" a="1"/>
  <c r="Y37" i="12" s="1"/>
  <c r="Y37" i="14" s="1"/>
  <c r="Y38" i="4"/>
  <c r="Y38" i="12" s="1" a="1"/>
  <c r="Y38" i="12" s="1"/>
  <c r="Y38" i="14" s="1"/>
  <c r="X39" i="4"/>
  <c r="X39" i="12" s="1" a="1"/>
  <c r="X39" i="12" s="1"/>
  <c r="X39" i="14" s="1"/>
  <c r="X40" i="4"/>
  <c r="X40" i="12" s="1" a="1"/>
  <c r="X40" i="12" s="1"/>
  <c r="X40" i="14" s="1"/>
  <c r="X41" i="4"/>
  <c r="X41" i="12" s="1" a="1"/>
  <c r="X41" i="12" s="1"/>
  <c r="X41" i="14" s="1"/>
  <c r="Y39" i="4"/>
  <c r="Y39" i="12" s="1" a="1"/>
  <c r="Y39" i="12" s="1"/>
  <c r="Y39" i="14" s="1"/>
  <c r="Y40" i="4"/>
  <c r="Y40" i="12" s="1" a="1"/>
  <c r="Y40" i="12" s="1"/>
  <c r="Y40" i="14" s="1"/>
  <c r="Y41" i="4"/>
  <c r="Y41" i="12" s="1" a="1"/>
  <c r="Y41" i="12" s="1"/>
  <c r="Y41" i="14" s="1"/>
  <c r="U42" i="4"/>
  <c r="U42" i="12" s="1" a="1"/>
  <c r="U42" i="12" s="1"/>
  <c r="U42" i="14" s="1"/>
  <c r="U41" i="4"/>
  <c r="U41" i="12" s="1" a="1"/>
  <c r="U41" i="12" s="1"/>
  <c r="U41" i="14" s="1"/>
  <c r="U40" i="4"/>
  <c r="U40" i="12" s="1" a="1"/>
  <c r="U40" i="12" s="1"/>
  <c r="U40" i="14" s="1"/>
  <c r="V42" i="4"/>
  <c r="V42" i="12" s="1" a="1"/>
  <c r="V42" i="12" s="1"/>
  <c r="V42" i="14" s="1"/>
  <c r="V41" i="4"/>
  <c r="V41" i="12" s="1" a="1"/>
  <c r="V41" i="12" s="1"/>
  <c r="V41" i="14" s="1"/>
  <c r="G27" i="4"/>
  <c r="G27" i="12" s="1" a="1"/>
  <c r="G27" i="12" s="1"/>
  <c r="G27" i="14" s="1"/>
  <c r="G26" i="4"/>
  <c r="G26" i="12" s="1" a="1"/>
  <c r="G26" i="12" s="1"/>
  <c r="G26" i="14" s="1"/>
  <c r="O32" i="4"/>
  <c r="O32" i="12" s="1" a="1"/>
  <c r="O32" i="12" s="1"/>
  <c r="O32" i="14" s="1"/>
  <c r="O33" i="4"/>
  <c r="O33" i="12" s="1" a="1"/>
  <c r="O33" i="12" s="1"/>
  <c r="O33" i="14" s="1"/>
  <c r="AE21" i="4"/>
  <c r="AE21" i="12" s="1" a="1"/>
  <c r="AE21" i="12" s="1"/>
  <c r="AE21" i="14" s="1"/>
  <c r="AE23" i="4"/>
  <c r="AE23" i="12" s="1" a="1"/>
  <c r="AE23" i="12" s="1"/>
  <c r="AE23" i="14" s="1"/>
  <c r="AE22" i="4"/>
  <c r="AE22" i="12" s="1" a="1"/>
  <c r="AE22" i="12" s="1"/>
  <c r="AE22" i="14" s="1"/>
  <c r="AD21" i="4"/>
  <c r="AD21" i="12" s="1" a="1"/>
  <c r="AD21" i="12" s="1"/>
  <c r="AD21" i="14" s="1"/>
  <c r="H31" i="4"/>
  <c r="H31" i="12" s="1" a="1"/>
  <c r="H31" i="12" s="1"/>
  <c r="H31" i="14" s="1"/>
  <c r="I31" i="4"/>
  <c r="I31" i="12" s="1" a="1"/>
  <c r="I31" i="12" s="1"/>
  <c r="I31" i="14" s="1"/>
  <c r="I30" i="4"/>
  <c r="I30" i="12" s="1" a="1"/>
  <c r="I30" i="12" s="1"/>
  <c r="I30" i="14" s="1"/>
  <c r="H32" i="4"/>
  <c r="H32" i="12" s="1" a="1"/>
  <c r="H32" i="12" s="1"/>
  <c r="H32" i="14" s="1"/>
  <c r="H33" i="4"/>
  <c r="H33" i="12" s="1" a="1"/>
  <c r="H33" i="12" s="1"/>
  <c r="H33" i="14" s="1"/>
  <c r="I32" i="4"/>
  <c r="I32" i="12" s="1" a="1"/>
  <c r="I32" i="12" s="1"/>
  <c r="I32" i="14" s="1"/>
  <c r="I33" i="4"/>
  <c r="I33" i="12" s="1" a="1"/>
  <c r="I33" i="12" s="1"/>
  <c r="I33" i="14" s="1"/>
  <c r="J32" i="4"/>
  <c r="J32" i="12" s="1" a="1"/>
  <c r="J32" i="12" s="1"/>
  <c r="J32" i="14" s="1"/>
  <c r="J33" i="4"/>
  <c r="J33" i="12" s="1" a="1"/>
  <c r="J33" i="12" s="1"/>
  <c r="J33" i="14" s="1"/>
  <c r="K34" i="4"/>
  <c r="K34" i="12" s="1" a="1"/>
  <c r="K34" i="12" s="1"/>
  <c r="K34" i="14" s="1"/>
  <c r="K33" i="4"/>
  <c r="K33" i="12" s="1" a="1"/>
  <c r="K33" i="12" s="1"/>
  <c r="K33" i="14" s="1"/>
  <c r="L34" i="4"/>
  <c r="L34" i="12" s="1" a="1"/>
  <c r="L34" i="12" s="1"/>
  <c r="L34" i="14" s="1"/>
  <c r="L33" i="4"/>
  <c r="L33" i="12" s="1" a="1"/>
  <c r="L33" i="12" s="1"/>
  <c r="L33" i="14" s="1"/>
  <c r="M34" i="4"/>
  <c r="M34" i="12" s="1" a="1"/>
  <c r="M34" i="12" s="1"/>
  <c r="M34" i="14" s="1"/>
  <c r="M33" i="4"/>
  <c r="M33" i="12" s="1" a="1"/>
  <c r="M33" i="12" s="1"/>
  <c r="M33" i="14" s="1"/>
  <c r="N32" i="4"/>
  <c r="N32" i="12" s="1" a="1"/>
  <c r="N32" i="12" s="1"/>
  <c r="N32" i="14" s="1"/>
  <c r="AO42" i="4"/>
  <c r="AO42" i="12" s="1" a="1"/>
  <c r="AO42" i="12" s="1"/>
  <c r="AO42" i="14" s="1"/>
  <c r="AO40" i="4"/>
  <c r="AO40" i="12" s="1" a="1"/>
  <c r="AO40" i="12" s="1"/>
  <c r="AO40" i="14" s="1"/>
  <c r="AO41" i="4"/>
  <c r="AO41" i="12" s="1" a="1"/>
  <c r="AO41" i="12" s="1"/>
  <c r="AO41" i="14" s="1"/>
  <c r="D24" i="4"/>
  <c r="D24" i="12" s="1" a="1"/>
  <c r="D24" i="12" s="1"/>
  <c r="D24" i="14" s="1"/>
  <c r="D25" i="4"/>
  <c r="D25" i="12" s="1" a="1"/>
  <c r="D25" i="12" s="1"/>
  <c r="D25" i="14" s="1"/>
  <c r="D26" i="4"/>
  <c r="D26" i="12" s="1" a="1"/>
  <c r="D26" i="12" s="1"/>
  <c r="D26" i="14" s="1"/>
  <c r="D27" i="4"/>
  <c r="D27" i="12" s="1" a="1"/>
  <c r="D27" i="12" s="1"/>
  <c r="D27" i="14" s="1"/>
  <c r="G29" i="4"/>
  <c r="G29" i="12" s="1" a="1"/>
  <c r="G29" i="12" s="1"/>
  <c r="G29" i="14" s="1"/>
  <c r="W21" i="4"/>
  <c r="W21" i="12" s="1" a="1"/>
  <c r="W21" i="12" s="1"/>
  <c r="W21" i="14" s="1"/>
  <c r="V21" i="4"/>
  <c r="V21" i="12" s="1" a="1"/>
  <c r="V21" i="12" s="1"/>
  <c r="V21" i="14" s="1"/>
  <c r="Y21" i="4"/>
  <c r="Y21" i="12" s="1" a="1"/>
  <c r="Y21" i="12" s="1"/>
  <c r="Y21" i="14" s="1"/>
  <c r="U22" i="4"/>
  <c r="U22" i="12" s="1" a="1"/>
  <c r="U22" i="12" s="1"/>
  <c r="U22" i="14" s="1"/>
  <c r="V22" i="4"/>
  <c r="V22" i="12" s="1" a="1"/>
  <c r="V22" i="12" s="1"/>
  <c r="V22" i="14" s="1"/>
  <c r="U21" i="4"/>
  <c r="U21" i="12" s="1" a="1"/>
  <c r="U21" i="12" s="1"/>
  <c r="U21" i="14" s="1"/>
  <c r="X22" i="4"/>
  <c r="X22" i="12" s="1" a="1"/>
  <c r="X22" i="12" s="1"/>
  <c r="X22" i="14" s="1"/>
  <c r="X21" i="4"/>
  <c r="X21" i="12" s="1" a="1"/>
  <c r="X21" i="12" s="1"/>
  <c r="X21" i="14" s="1"/>
  <c r="Y22" i="4"/>
  <c r="Y22" i="12" s="1" a="1"/>
  <c r="Y22" i="12" s="1"/>
  <c r="Y22" i="14" s="1"/>
  <c r="W22" i="4"/>
  <c r="W22" i="12" s="1" a="1"/>
  <c r="W22" i="12" s="1"/>
  <c r="W22" i="14" s="1"/>
  <c r="X23" i="4"/>
  <c r="X23" i="12" s="1" a="1"/>
  <c r="X23" i="12" s="1"/>
  <c r="X23" i="14" s="1"/>
  <c r="X24" i="4"/>
  <c r="X24" i="12" s="1" a="1"/>
  <c r="X24" i="12" s="1"/>
  <c r="X24" i="14" s="1"/>
  <c r="X25" i="4"/>
  <c r="X25" i="12" s="1" a="1"/>
  <c r="X25" i="12" s="1"/>
  <c r="X25" i="14" s="1"/>
  <c r="Y23" i="4"/>
  <c r="Y23" i="12" s="1" a="1"/>
  <c r="Y23" i="12" s="1"/>
  <c r="Y23" i="14" s="1"/>
  <c r="Y24" i="4"/>
  <c r="Y24" i="12" s="1" a="1"/>
  <c r="Y24" i="12" s="1"/>
  <c r="Y24" i="14" s="1"/>
  <c r="Y26" i="4"/>
  <c r="Y26" i="12" s="1" a="1"/>
  <c r="Y26" i="12" s="1"/>
  <c r="Y26" i="14" s="1"/>
  <c r="Y27" i="4"/>
  <c r="Y27" i="12" s="1" a="1"/>
  <c r="Y27" i="12" s="1"/>
  <c r="Y27" i="14" s="1"/>
  <c r="Y25" i="4"/>
  <c r="Y25" i="12" s="1" a="1"/>
  <c r="Y25" i="12" s="1"/>
  <c r="Y25" i="14" s="1"/>
  <c r="AB21" i="4"/>
  <c r="AB21" i="12" s="1" a="1"/>
  <c r="AB21" i="12" s="1"/>
  <c r="AB21" i="14" s="1"/>
  <c r="AC21" i="4"/>
  <c r="AC21" i="12" s="1" a="1"/>
  <c r="AC21" i="12" s="1"/>
  <c r="AC21" i="14" s="1"/>
  <c r="AA22" i="4"/>
  <c r="AA22" i="12" s="1" a="1"/>
  <c r="AA22" i="12" s="1"/>
  <c r="AA22" i="14" s="1"/>
  <c r="AA21" i="4"/>
  <c r="AA21" i="12" s="1" a="1"/>
  <c r="AA21" i="12" s="1"/>
  <c r="AA21" i="14" s="1"/>
  <c r="AB22" i="4"/>
  <c r="AB22" i="12" s="1" a="1"/>
  <c r="AB22" i="12" s="1"/>
  <c r="AB22" i="14" s="1"/>
  <c r="AB23" i="4"/>
  <c r="AB23" i="12" s="1" a="1"/>
  <c r="AB23" i="12" s="1"/>
  <c r="AB23" i="14" s="1"/>
  <c r="AC22" i="4"/>
  <c r="AC22" i="12" s="1" a="1"/>
  <c r="AC22" i="12" s="1"/>
  <c r="AC22" i="14" s="1"/>
  <c r="AC23" i="4"/>
  <c r="AC23" i="12" s="1" a="1"/>
  <c r="AC23" i="12" s="1"/>
  <c r="AC23" i="14" s="1"/>
  <c r="AO20" i="4"/>
  <c r="AO20" i="12" s="1" a="1"/>
  <c r="AO20" i="12" s="1"/>
  <c r="AO20" i="14" s="1"/>
  <c r="AO19" i="4"/>
  <c r="AO19" i="12" s="1" a="1"/>
  <c r="AO19" i="12" s="1"/>
  <c r="AO19" i="14" s="1"/>
  <c r="F29" i="4"/>
  <c r="F29" i="12" s="1" a="1"/>
  <c r="F29" i="12" s="1"/>
  <c r="F29" i="14" s="1"/>
  <c r="F30" i="4"/>
  <c r="F30" i="12" s="1" a="1"/>
  <c r="F30" i="12" s="1"/>
  <c r="F30" i="14" s="1"/>
  <c r="F31" i="4"/>
  <c r="F31" i="12" s="1" a="1"/>
  <c r="F31" i="12" s="1"/>
  <c r="F31" i="14" s="1"/>
  <c r="F33" i="4"/>
  <c r="F33" i="12" s="1" a="1"/>
  <c r="F33" i="12" s="1"/>
  <c r="F33" i="14" s="1"/>
  <c r="F32" i="4"/>
  <c r="F32" i="12" s="1" a="1"/>
  <c r="F32" i="12" s="1"/>
  <c r="F32" i="14" s="1"/>
  <c r="G31" i="4"/>
  <c r="G31" i="12" s="1" a="1"/>
  <c r="G31" i="12" s="1"/>
  <c r="G31" i="14" s="1"/>
  <c r="G32" i="4"/>
  <c r="G32" i="12" s="1" a="1"/>
  <c r="G32" i="12" s="1"/>
  <c r="G32" i="14" s="1"/>
  <c r="G33" i="4"/>
  <c r="G33" i="12" s="1" a="1"/>
  <c r="G33" i="12" s="1"/>
  <c r="G33" i="14" s="1"/>
  <c r="D32" i="4"/>
  <c r="D32" i="12" s="1" a="1"/>
  <c r="D32" i="12" s="1"/>
  <c r="D32" i="14" s="1"/>
  <c r="D33" i="4"/>
  <c r="D33" i="12" s="1" a="1"/>
  <c r="D33" i="12" s="1"/>
  <c r="D33" i="14" s="1"/>
  <c r="E32" i="4"/>
  <c r="E32" i="12" s="1" a="1"/>
  <c r="E32" i="12" s="1"/>
  <c r="E32" i="14" s="1"/>
  <c r="E33" i="4"/>
  <c r="E33" i="12" s="1" a="1"/>
  <c r="E33" i="12" s="1"/>
  <c r="E33" i="14" s="1"/>
  <c r="AD37" i="4"/>
  <c r="AD37" i="12" s="1" a="1"/>
  <c r="AD37" i="12" s="1"/>
  <c r="AD37" i="14" s="1"/>
  <c r="AE37" i="4"/>
  <c r="AE37" i="12" s="1" a="1"/>
  <c r="AE37" i="12" s="1"/>
  <c r="AE37" i="14" s="1"/>
  <c r="AF37" i="4"/>
  <c r="AF37" i="12" s="1" a="1"/>
  <c r="AF37" i="12" s="1"/>
  <c r="AF37" i="14" s="1"/>
  <c r="AD38" i="4"/>
  <c r="AD38" i="12" s="1" a="1"/>
  <c r="AD38" i="12" s="1"/>
  <c r="AD38" i="14" s="1"/>
  <c r="AE38" i="4"/>
  <c r="AE38" i="12" s="1" a="1"/>
  <c r="AE38" i="12" s="1"/>
  <c r="AE38" i="14" s="1"/>
  <c r="AF38" i="4"/>
  <c r="AF38" i="12" s="1" a="1"/>
  <c r="AF38" i="12" s="1"/>
  <c r="AF38" i="14" s="1"/>
  <c r="AF40" i="4"/>
  <c r="AF40" i="12" s="1" a="1"/>
  <c r="AF40" i="12" s="1"/>
  <c r="AF40" i="14" s="1"/>
  <c r="AF39" i="4"/>
  <c r="AF39" i="12" s="1" a="1"/>
  <c r="AF39" i="12" s="1"/>
  <c r="AF39" i="14" s="1"/>
  <c r="Z39" i="4"/>
  <c r="Z39" i="12" s="1" a="1"/>
  <c r="Z39" i="12" s="1"/>
  <c r="Z39" i="14" s="1"/>
  <c r="Z40" i="4"/>
  <c r="Z40" i="12" s="1" a="1"/>
  <c r="Z40" i="12" s="1"/>
  <c r="Z40" i="14" s="1"/>
  <c r="Z41" i="4"/>
  <c r="Z41" i="12" s="1" a="1"/>
  <c r="Z41" i="12" s="1"/>
  <c r="Z41" i="14" s="1"/>
  <c r="AD39" i="4"/>
  <c r="AD39" i="12" s="1" a="1"/>
  <c r="AD39" i="12" s="1"/>
  <c r="AD39" i="14" s="1"/>
  <c r="AE39" i="4"/>
  <c r="AE39" i="12" s="1" a="1"/>
  <c r="AE39" i="12" s="1"/>
  <c r="AE39" i="14" s="1"/>
  <c r="AD42" i="4"/>
  <c r="AD42" i="12" s="1" a="1"/>
  <c r="AD42" i="12" s="1"/>
  <c r="AD42" i="14" s="1"/>
  <c r="AD41" i="4"/>
  <c r="AD41" i="12" s="1" a="1"/>
  <c r="AD41" i="12" s="1"/>
  <c r="AD41" i="14" s="1"/>
  <c r="AD40" i="4"/>
  <c r="AD40" i="12" s="1" a="1"/>
  <c r="AD40" i="12" s="1"/>
  <c r="AD40" i="14" s="1"/>
  <c r="AE42" i="4"/>
  <c r="AE42" i="12" s="1" a="1"/>
  <c r="AE42" i="12" s="1"/>
  <c r="AE42" i="14" s="1"/>
  <c r="AE40" i="4"/>
  <c r="AE40" i="12" s="1" a="1"/>
  <c r="AE40" i="12" s="1"/>
  <c r="AE40" i="14" s="1"/>
  <c r="AE41" i="4"/>
  <c r="AE41" i="12" s="1" a="1"/>
  <c r="AE41" i="12" s="1"/>
  <c r="AE41" i="14" s="1"/>
  <c r="AA37" i="4"/>
  <c r="AA37" i="12" s="1" a="1"/>
  <c r="AA37" i="12" s="1"/>
  <c r="AA37" i="14" s="1"/>
  <c r="Z37" i="4"/>
  <c r="Z37" i="12" s="1" a="1"/>
  <c r="Z37" i="12" s="1"/>
  <c r="Z37" i="14" s="1"/>
  <c r="D41" i="4"/>
  <c r="D41" i="12" s="1" a="1"/>
  <c r="D41" i="12" s="1"/>
  <c r="D41" i="14" s="1"/>
  <c r="D40" i="4"/>
  <c r="D40" i="12" s="1" a="1"/>
  <c r="D40" i="12" s="1"/>
  <c r="D40" i="14" s="1"/>
  <c r="C41" i="4"/>
  <c r="C41" i="12" s="1" a="1"/>
  <c r="C41" i="12" s="1"/>
  <c r="C41" i="14" s="1"/>
  <c r="C40" i="4"/>
  <c r="C40" i="12" s="1" a="1"/>
  <c r="C40" i="12" s="1"/>
  <c r="C40" i="14" s="1"/>
  <c r="B40" i="4"/>
  <c r="B40" i="12" s="1" a="1"/>
  <c r="B40" i="12" s="1"/>
  <c r="B40" i="14" s="1"/>
  <c r="B41" i="4"/>
  <c r="B41" i="12" s="1" a="1"/>
  <c r="B41" i="12" s="1"/>
  <c r="B41" i="14" s="1"/>
  <c r="C35" i="4"/>
  <c r="C35" i="12" s="1" a="1"/>
  <c r="C35" i="12" s="1"/>
  <c r="C35" i="14" s="1"/>
  <c r="C36" i="4"/>
  <c r="C36" i="12" s="1" a="1"/>
  <c r="C36" i="12" s="1"/>
  <c r="C36" i="14" s="1"/>
  <c r="B35" i="4"/>
  <c r="B35" i="12" s="1" a="1"/>
  <c r="B35" i="12" s="1"/>
  <c r="B35" i="14" s="1"/>
  <c r="B36" i="4"/>
  <c r="B36" i="12" s="1" a="1"/>
  <c r="B36" i="12" s="1"/>
  <c r="B36" i="14" s="1"/>
  <c r="AT15" i="13" a="1"/>
  <c r="AT15" i="13" s="1"/>
  <c r="AT45" i="13"/>
  <c r="S22" i="4"/>
  <c r="S22" i="12" s="1" a="1"/>
  <c r="S22" i="12" s="1"/>
  <c r="S22" i="14" s="1"/>
  <c r="S24" i="4"/>
  <c r="S24" i="12" s="1" a="1"/>
  <c r="S24" i="12" s="1"/>
  <c r="S24" i="14" s="1"/>
  <c r="S23" i="4"/>
  <c r="S23" i="12" s="1" a="1"/>
  <c r="S23" i="12" s="1"/>
  <c r="S23" i="14" s="1"/>
  <c r="Z23" i="4"/>
  <c r="Z23" i="12" s="1" a="1"/>
  <c r="Z23" i="12" s="1"/>
  <c r="Z23" i="14" s="1"/>
  <c r="Z25" i="4"/>
  <c r="Z25" i="12" s="1" a="1"/>
  <c r="Z25" i="12" s="1"/>
  <c r="Z25" i="14" s="1"/>
  <c r="Z24" i="4"/>
  <c r="Z24" i="12" s="1" a="1"/>
  <c r="Z24" i="12" s="1"/>
  <c r="Z24" i="14" s="1"/>
  <c r="AA23" i="4"/>
  <c r="AA23" i="12" s="1" a="1"/>
  <c r="AA23" i="12" s="1"/>
  <c r="AA23" i="14" s="1"/>
  <c r="AA25" i="4"/>
  <c r="AA25" i="12" s="1" a="1"/>
  <c r="AA25" i="12" s="1"/>
  <c r="AA25" i="14" s="1"/>
  <c r="AA24" i="4"/>
  <c r="AA24" i="12" s="1" a="1"/>
  <c r="AA24" i="12" s="1"/>
  <c r="AA24" i="14" s="1"/>
  <c r="AD23" i="4"/>
  <c r="AD23" i="12" s="1" a="1"/>
  <c r="AD23" i="12" s="1"/>
  <c r="AD23" i="14" s="1"/>
  <c r="AD24" i="4"/>
  <c r="AD24" i="12" s="1" a="1"/>
  <c r="AD24" i="12" s="1"/>
  <c r="AD24" i="14" s="1"/>
  <c r="AK35" i="4"/>
  <c r="AK35" i="12" s="1" a="1"/>
  <c r="AK35" i="12" s="1"/>
  <c r="AK35" i="14" s="1"/>
  <c r="N34" i="4"/>
  <c r="N34" i="12" s="1" a="1"/>
  <c r="N34" i="12" s="1"/>
  <c r="N34" i="14" s="1"/>
  <c r="N35" i="4"/>
  <c r="N35" i="12" s="1" a="1"/>
  <c r="N35" i="12" s="1"/>
  <c r="N35" i="14" s="1"/>
  <c r="N36" i="4"/>
  <c r="N36" i="12" s="1" a="1"/>
  <c r="N36" i="12" s="1"/>
  <c r="N36" i="14" s="1"/>
  <c r="O35" i="4"/>
  <c r="O35" i="12" s="1" a="1"/>
  <c r="O35" i="12" s="1"/>
  <c r="O35" i="14" s="1"/>
  <c r="O36" i="4"/>
  <c r="O36" i="12" s="1" a="1"/>
  <c r="O36" i="12" s="1"/>
  <c r="O36" i="14" s="1"/>
  <c r="N37" i="4"/>
  <c r="N37" i="12" s="1" a="1"/>
  <c r="N37" i="12" s="1"/>
  <c r="N37" i="14" s="1"/>
  <c r="N38" i="4"/>
  <c r="N38" i="12" s="1" a="1"/>
  <c r="N38" i="12" s="1"/>
  <c r="N38" i="14" s="1"/>
  <c r="N39" i="4"/>
  <c r="N39" i="12" s="1" a="1"/>
  <c r="N39" i="12" s="1"/>
  <c r="N39" i="14" s="1"/>
  <c r="N41" i="4"/>
  <c r="N41" i="12" s="1" a="1"/>
  <c r="N41" i="12" s="1"/>
  <c r="N41" i="14" s="1"/>
  <c r="N40" i="4"/>
  <c r="N40" i="12" s="1" a="1"/>
  <c r="N40" i="12" s="1"/>
  <c r="N40" i="14" s="1"/>
  <c r="O41" i="4"/>
  <c r="O41" i="12" s="1" a="1"/>
  <c r="O41" i="12" s="1"/>
  <c r="O41" i="14" s="1"/>
  <c r="O40" i="4"/>
  <c r="O40" i="12" s="1" a="1"/>
  <c r="O40" i="12" s="1"/>
  <c r="O40" i="14" s="1"/>
  <c r="P40" i="4"/>
  <c r="P40" i="12" s="1" a="1"/>
  <c r="P40" i="12" s="1"/>
  <c r="P40" i="14" s="1"/>
  <c r="P41" i="4"/>
  <c r="P41" i="12" s="1" a="1"/>
  <c r="P41" i="12" s="1"/>
  <c r="P41" i="14" s="1"/>
  <c r="P42" i="4"/>
  <c r="P42" i="12" s="1" a="1"/>
  <c r="P42" i="12" s="1"/>
  <c r="P42" i="14" s="1"/>
  <c r="Q40" i="4"/>
  <c r="Q40" i="12" s="1" a="1"/>
  <c r="Q40" i="12" s="1"/>
  <c r="Q40" i="14" s="1"/>
  <c r="Q41" i="4"/>
  <c r="Q41" i="12" s="1" a="1"/>
  <c r="Q41" i="12" s="1"/>
  <c r="Q41" i="14" s="1"/>
  <c r="Q42" i="4"/>
  <c r="Q42" i="12" s="1" a="1"/>
  <c r="Q42" i="12" s="1"/>
  <c r="Q42" i="14" s="1"/>
  <c r="F41" i="4"/>
  <c r="F41" i="12" s="1" a="1"/>
  <c r="F41" i="12" s="1"/>
  <c r="F41" i="14" s="1"/>
  <c r="F42" i="4"/>
  <c r="F42" i="12" s="1" a="1"/>
  <c r="F42" i="12" s="1"/>
  <c r="F42" i="14" s="1"/>
  <c r="F40" i="4"/>
  <c r="F40" i="12" s="1" a="1"/>
  <c r="F40" i="12" s="1"/>
  <c r="F40" i="14" s="1"/>
  <c r="G42" i="4"/>
  <c r="G42" i="12" s="1" a="1"/>
  <c r="G42" i="12" s="1"/>
  <c r="G42" i="14" s="1"/>
  <c r="G41" i="4"/>
  <c r="G41" i="12" s="1" a="1"/>
  <c r="G41" i="12" s="1"/>
  <c r="G41" i="14" s="1"/>
  <c r="H41" i="4"/>
  <c r="H41" i="12" s="1" a="1"/>
  <c r="H41" i="12" s="1"/>
  <c r="H41" i="14" s="1"/>
  <c r="H42" i="4"/>
  <c r="H42" i="12" s="1" a="1"/>
  <c r="H42" i="12" s="1"/>
  <c r="H42" i="14" s="1"/>
  <c r="I41" i="4"/>
  <c r="I41" i="12" s="1" a="1"/>
  <c r="I41" i="12" s="1"/>
  <c r="I41" i="14" s="1"/>
  <c r="I42" i="4"/>
  <c r="I42" i="12" s="1" a="1"/>
  <c r="I42" i="12" s="1"/>
  <c r="I42" i="14" s="1"/>
  <c r="J41" i="4"/>
  <c r="J41" i="12" s="1" a="1"/>
  <c r="J41" i="12" s="1"/>
  <c r="J41" i="14" s="1"/>
  <c r="J42" i="4"/>
  <c r="J42" i="12" s="1" a="1"/>
  <c r="J42" i="12" s="1"/>
  <c r="J42" i="14" s="1"/>
  <c r="J40" i="4"/>
  <c r="J40" i="12" s="1" a="1"/>
  <c r="J40" i="12" s="1"/>
  <c r="J40" i="14" s="1"/>
  <c r="L42" i="4"/>
  <c r="L42" i="12" s="1" a="1"/>
  <c r="L42" i="12" s="1"/>
  <c r="L42" i="14" s="1"/>
  <c r="L40" i="4"/>
  <c r="L40" i="12" s="1" a="1"/>
  <c r="L40" i="12" s="1"/>
  <c r="L40" i="14" s="1"/>
  <c r="L41" i="4"/>
  <c r="L41" i="12" s="1" a="1"/>
  <c r="L41" i="12" s="1"/>
  <c r="L41" i="14" s="1"/>
  <c r="G19" i="4"/>
  <c r="G19" i="12" s="1" a="1"/>
  <c r="G19" i="12" s="1"/>
  <c r="G19" i="14" s="1"/>
  <c r="G20" i="4"/>
  <c r="G20" i="12" s="1" a="1"/>
  <c r="G20" i="12" s="1"/>
  <c r="G20" i="14" s="1"/>
  <c r="G13" i="4"/>
  <c r="G13" i="12" s="1" a="1"/>
  <c r="G13" i="12" s="1"/>
  <c r="G13" i="14" s="1"/>
  <c r="J28" i="4"/>
  <c r="J28" i="12" s="1" a="1"/>
  <c r="J28" i="12" s="1"/>
  <c r="J28" i="14" s="1"/>
  <c r="J27" i="4"/>
  <c r="J27" i="12" s="1" a="1"/>
  <c r="J27" i="12" s="1"/>
  <c r="J27" i="14" s="1"/>
  <c r="I27" i="4"/>
  <c r="I27" i="12" s="1" a="1"/>
  <c r="I27" i="12" s="1"/>
  <c r="I27" i="14" s="1"/>
  <c r="I28" i="4"/>
  <c r="I28" i="12" s="1" a="1"/>
  <c r="I28" i="12" s="1"/>
  <c r="I28" i="14" s="1"/>
  <c r="AA36" i="4"/>
  <c r="AA36" i="12" s="1" a="1"/>
  <c r="AA36" i="12" s="1"/>
  <c r="AA36" i="14" s="1"/>
  <c r="AA35" i="4"/>
  <c r="AA35" i="12" s="1" a="1"/>
  <c r="AA35" i="12" s="1"/>
  <c r="AA35" i="14" s="1"/>
  <c r="W31" i="4"/>
  <c r="W31" i="12" s="1" a="1"/>
  <c r="W31" i="12" s="1"/>
  <c r="W31" i="14" s="1"/>
  <c r="W32" i="4"/>
  <c r="W32" i="12" s="1" a="1"/>
  <c r="W32" i="12" s="1"/>
  <c r="W32" i="14" s="1"/>
  <c r="W24" i="4"/>
  <c r="W24" i="12" s="1" a="1"/>
  <c r="W24" i="12" s="1"/>
  <c r="W24" i="14" s="1"/>
  <c r="W25" i="4"/>
  <c r="W25" i="12" s="1" a="1"/>
  <c r="W25" i="12" s="1"/>
  <c r="W25" i="14" s="1"/>
  <c r="W26" i="4"/>
  <c r="W26" i="12" s="1" a="1"/>
  <c r="W26" i="12" s="1"/>
  <c r="W26" i="14" s="1"/>
  <c r="AK23" i="4"/>
  <c r="AK23" i="12" s="1" a="1"/>
  <c r="AK23" i="12" s="1"/>
  <c r="AK23" i="14" s="1"/>
  <c r="AK24" i="4"/>
  <c r="AK24" i="12" s="1" a="1"/>
  <c r="AK24" i="12" s="1"/>
  <c r="AK24" i="14" s="1"/>
  <c r="AN30" i="4"/>
  <c r="AN30" i="12" s="1" a="1"/>
  <c r="AN30" i="12" s="1"/>
  <c r="AN30" i="14" s="1"/>
  <c r="B33" i="4"/>
  <c r="B33" i="12" s="1" a="1"/>
  <c r="B33" i="12" s="1"/>
  <c r="B33" i="14" s="1"/>
  <c r="B32" i="4"/>
  <c r="B32" i="12" s="1" a="1"/>
  <c r="B32" i="12" s="1"/>
  <c r="B32" i="14" s="1"/>
  <c r="C33" i="4"/>
  <c r="C33" i="12" s="1" a="1"/>
  <c r="C33" i="12" s="1"/>
  <c r="C33" i="14" s="1"/>
  <c r="C32" i="4"/>
  <c r="C32" i="12" s="1" a="1"/>
  <c r="C32" i="12" s="1"/>
  <c r="C32" i="14" s="1"/>
  <c r="AN31" i="4"/>
  <c r="AN31" i="12" s="1" a="1"/>
  <c r="AN31" i="12" s="1"/>
  <c r="AN31" i="14" s="1"/>
  <c r="AO31" i="4"/>
  <c r="AO31" i="12" s="1" a="1"/>
  <c r="AO31" i="12" s="1"/>
  <c r="AO31" i="14" s="1"/>
  <c r="AN32" i="4"/>
  <c r="AN32" i="12" s="1" a="1"/>
  <c r="AN32" i="12" s="1"/>
  <c r="AN32" i="14" s="1"/>
  <c r="AO32" i="4"/>
  <c r="AO32" i="12" s="1" a="1"/>
  <c r="AO32" i="12" s="1"/>
  <c r="AO32" i="14" s="1"/>
  <c r="AO33" i="4"/>
  <c r="AO33" i="12" s="1" a="1"/>
  <c r="AO33" i="12" s="1"/>
  <c r="AO33" i="14" s="1"/>
  <c r="AO34" i="4"/>
  <c r="AO34" i="12" s="1" a="1"/>
  <c r="AO34" i="12" s="1"/>
  <c r="AO34" i="14" s="1"/>
  <c r="AO35" i="4"/>
  <c r="AO35" i="12" s="1" a="1"/>
  <c r="AO35" i="12" s="1"/>
  <c r="AO35" i="14" s="1"/>
  <c r="AM35" i="4"/>
  <c r="AM35" i="12" s="1" a="1"/>
  <c r="AM35" i="12" s="1"/>
  <c r="AM35" i="14" s="1"/>
  <c r="AM34" i="4"/>
  <c r="AM34" i="12" s="1" a="1"/>
  <c r="AM34" i="12" s="1"/>
  <c r="AM34" i="14" s="1"/>
  <c r="AM36" i="4"/>
  <c r="AM36" i="12" s="1" a="1"/>
  <c r="AM36" i="12" s="1"/>
  <c r="AM36" i="14" s="1"/>
  <c r="AN33" i="4"/>
  <c r="AN33" i="12" s="1" a="1"/>
  <c r="AN33" i="12" s="1"/>
  <c r="AN33" i="14" s="1"/>
  <c r="AN36" i="4"/>
  <c r="AN36" i="12" s="1" a="1"/>
  <c r="AN36" i="12" s="1"/>
  <c r="AN36" i="14" s="1"/>
  <c r="AN35" i="4"/>
  <c r="AN35" i="12" s="1" a="1"/>
  <c r="AN35" i="12" s="1"/>
  <c r="AN35" i="14" s="1"/>
  <c r="AN34" i="4"/>
  <c r="AN34" i="12" s="1" a="1"/>
  <c r="AN34" i="12" s="1"/>
  <c r="AN34" i="14" s="1"/>
  <c r="AD12" i="4"/>
  <c r="AD12" i="12" s="1" a="1"/>
  <c r="AD12" i="12" s="1"/>
  <c r="AD12" i="14" s="1"/>
  <c r="AD13" i="4"/>
  <c r="AD13" i="12" s="1" a="1"/>
  <c r="AD13" i="12" s="1"/>
  <c r="AD13" i="14" s="1"/>
  <c r="AE13" i="4"/>
  <c r="AE13" i="12" s="1" a="1"/>
  <c r="AE13" i="12" s="1"/>
  <c r="AE13" i="14" s="1"/>
  <c r="F19" i="4"/>
  <c r="F19" i="12" s="1" a="1"/>
  <c r="F19" i="12" s="1"/>
  <c r="F19" i="14" s="1"/>
  <c r="F18" i="4"/>
  <c r="F18" i="12" s="1" a="1"/>
  <c r="F18" i="12" s="1"/>
  <c r="F18" i="14" s="1"/>
  <c r="F20" i="4"/>
  <c r="F20" i="12" s="1" a="1"/>
  <c r="F20" i="12" s="1"/>
  <c r="F20" i="14" s="1"/>
  <c r="I20" i="4"/>
  <c r="I20" i="12" s="1" a="1"/>
  <c r="I20" i="12" s="1"/>
  <c r="I20" i="14" s="1"/>
  <c r="I21" i="4"/>
  <c r="I21" i="12" s="1" a="1"/>
  <c r="I21" i="12" s="1"/>
  <c r="I21" i="14" s="1"/>
  <c r="I22" i="4"/>
  <c r="I22" i="12" s="1" a="1"/>
  <c r="I22" i="12" s="1"/>
  <c r="I22" i="14" s="1"/>
  <c r="V24" i="4"/>
  <c r="V24" i="12" s="1" a="1"/>
  <c r="V24" i="12" s="1"/>
  <c r="V24" i="14" s="1"/>
  <c r="T25" i="4"/>
  <c r="T25" i="12" s="1" a="1"/>
  <c r="T25" i="12" s="1"/>
  <c r="T25" i="14" s="1"/>
  <c r="U24" i="4"/>
  <c r="U24" i="12" s="1" a="1"/>
  <c r="U24" i="12" s="1"/>
  <c r="U24" i="14" s="1"/>
  <c r="V25" i="4"/>
  <c r="V25" i="12" s="1" a="1"/>
  <c r="V25" i="12" s="1"/>
  <c r="V25" i="14" s="1"/>
  <c r="T26" i="4"/>
  <c r="T26" i="12" s="1" a="1"/>
  <c r="T26" i="12" s="1"/>
  <c r="T26" i="14" s="1"/>
  <c r="U25" i="4"/>
  <c r="U25" i="12" s="1" a="1"/>
  <c r="U25" i="12" s="1"/>
  <c r="U25" i="14" s="1"/>
  <c r="U26" i="4"/>
  <c r="U26" i="12" s="1" a="1"/>
  <c r="U26" i="12" s="1"/>
  <c r="U26" i="14" s="1"/>
  <c r="V26" i="4"/>
  <c r="V26" i="12" s="1" a="1"/>
  <c r="V26" i="12" s="1"/>
  <c r="V26" i="14" s="1"/>
  <c r="R27" i="4"/>
  <c r="R27" i="12" s="1" a="1"/>
  <c r="R27" i="12" s="1"/>
  <c r="R27" i="14" s="1"/>
  <c r="R28" i="4"/>
  <c r="R28" i="12" s="1" a="1"/>
  <c r="R28" i="12" s="1"/>
  <c r="R28" i="14" s="1"/>
  <c r="S28" i="4"/>
  <c r="S28" i="12" s="1" a="1"/>
  <c r="S28" i="12" s="1"/>
  <c r="S28" i="14" s="1"/>
  <c r="T27" i="4"/>
  <c r="T27" i="12" s="1" a="1"/>
  <c r="T27" i="12" s="1"/>
  <c r="T27" i="14" s="1"/>
  <c r="U27" i="4"/>
  <c r="U27" i="12" s="1" a="1"/>
  <c r="U27" i="12" s="1"/>
  <c r="U27" i="14" s="1"/>
  <c r="V27" i="4"/>
  <c r="V27" i="12" s="1" a="1"/>
  <c r="V27" i="12" s="1"/>
  <c r="V27" i="14" s="1"/>
  <c r="V28" i="4"/>
  <c r="V28" i="12" s="1" a="1"/>
  <c r="V28" i="12" s="1"/>
  <c r="V28" i="14" s="1"/>
  <c r="T28" i="4"/>
  <c r="T28" i="12" s="1" a="1"/>
  <c r="T28" i="12" s="1"/>
  <c r="T28" i="14" s="1"/>
  <c r="U28" i="4"/>
  <c r="U28" i="12" s="1" a="1"/>
  <c r="U28" i="12" s="1"/>
  <c r="U28" i="14" s="1"/>
  <c r="W28" i="4"/>
  <c r="W28" i="12" s="1" a="1"/>
  <c r="W28" i="12" s="1"/>
  <c r="W28" i="14" s="1"/>
  <c r="W29" i="4"/>
  <c r="W29" i="12" s="1" a="1"/>
  <c r="W29" i="12" s="1"/>
  <c r="W29" i="14" s="1"/>
  <c r="W30" i="4"/>
  <c r="W30" i="12" s="1" a="1"/>
  <c r="W30" i="12" s="1"/>
  <c r="W30" i="14" s="1"/>
  <c r="U29" i="4"/>
  <c r="U29" i="12" s="1" a="1"/>
  <c r="U29" i="12" s="1"/>
  <c r="U29" i="14" s="1"/>
  <c r="T29" i="4"/>
  <c r="T29" i="12" s="1" a="1"/>
  <c r="T29" i="12" s="1"/>
  <c r="T29" i="14" s="1"/>
  <c r="T30" i="4"/>
  <c r="T30" i="12" s="1" a="1"/>
  <c r="T30" i="12" s="1"/>
  <c r="T30" i="14" s="1"/>
  <c r="T31" i="4"/>
  <c r="T31" i="12" s="1" a="1"/>
  <c r="T31" i="12" s="1"/>
  <c r="T31" i="14" s="1"/>
  <c r="T32" i="4"/>
  <c r="T32" i="12" s="1" a="1"/>
  <c r="T32" i="12" s="1"/>
  <c r="T32" i="14" s="1"/>
  <c r="V29" i="4"/>
  <c r="V29" i="12" s="1" a="1"/>
  <c r="V29" i="12" s="1"/>
  <c r="V29" i="14" s="1"/>
  <c r="U30" i="4"/>
  <c r="U30" i="12" s="1" a="1"/>
  <c r="U30" i="12" s="1"/>
  <c r="U30" i="14" s="1"/>
  <c r="U31" i="4"/>
  <c r="U31" i="12" s="1" a="1"/>
  <c r="U31" i="12" s="1"/>
  <c r="U31" i="14" s="1"/>
  <c r="U32" i="4"/>
  <c r="U32" i="12" s="1" a="1"/>
  <c r="U32" i="12" s="1"/>
  <c r="U32" i="14" s="1"/>
  <c r="V30" i="4"/>
  <c r="V30" i="12" s="1" a="1"/>
  <c r="V30" i="12" s="1"/>
  <c r="V30" i="14" s="1"/>
  <c r="V31" i="4"/>
  <c r="V31" i="12" s="1" a="1"/>
  <c r="V31" i="12" s="1"/>
  <c r="V31" i="14" s="1"/>
  <c r="V32" i="4"/>
  <c r="V32" i="12" s="1" a="1"/>
  <c r="V32" i="12" s="1"/>
  <c r="V32" i="14" s="1"/>
  <c r="L27" i="4"/>
  <c r="L27" i="12" s="1" a="1"/>
  <c r="L27" i="12" s="1"/>
  <c r="L27" i="14" s="1"/>
  <c r="M27" i="4"/>
  <c r="M27" i="12" s="1" a="1"/>
  <c r="M27" i="12" s="1"/>
  <c r="M27" i="14" s="1"/>
  <c r="Q28" i="4"/>
  <c r="Q28" i="12" s="1" a="1"/>
  <c r="Q28" i="12" s="1"/>
  <c r="Q28" i="14" s="1"/>
  <c r="N28" i="4"/>
  <c r="N28" i="12" s="1" a="1"/>
  <c r="N28" i="12" s="1"/>
  <c r="N28" i="14" s="1"/>
  <c r="N29" i="4"/>
  <c r="N29" i="12" s="1" a="1"/>
  <c r="N29" i="12" s="1"/>
  <c r="N29" i="14" s="1"/>
  <c r="N30" i="4"/>
  <c r="N30" i="12" s="1" a="1"/>
  <c r="N30" i="12" s="1"/>
  <c r="N30" i="14" s="1"/>
  <c r="L28" i="4"/>
  <c r="L28" i="12" s="1" a="1"/>
  <c r="L28" i="12" s="1"/>
  <c r="L28" i="14" s="1"/>
  <c r="M28" i="4"/>
  <c r="M28" i="12" s="1" a="1"/>
  <c r="M28" i="12" s="1"/>
  <c r="M28" i="14" s="1"/>
  <c r="M31" i="4"/>
  <c r="M31" i="12" s="1" a="1"/>
  <c r="M31" i="12" s="1"/>
  <c r="M31" i="14" s="1"/>
  <c r="M29" i="4"/>
  <c r="M29" i="12" s="1" a="1"/>
  <c r="M29" i="12" s="1"/>
  <c r="M29" i="14" s="1"/>
  <c r="M30" i="4"/>
  <c r="M30" i="12" s="1" a="1"/>
  <c r="M30" i="12" s="1"/>
  <c r="M30" i="14" s="1"/>
  <c r="O31" i="4"/>
  <c r="O31" i="12" s="1" a="1"/>
  <c r="O31" i="12" s="1"/>
  <c r="O31" i="14" s="1"/>
  <c r="O30" i="4"/>
  <c r="O30" i="12" s="1" a="1"/>
  <c r="O30" i="12" s="1"/>
  <c r="O30" i="14" s="1"/>
  <c r="O29" i="4"/>
  <c r="O29" i="12" s="1" a="1"/>
  <c r="O29" i="12" s="1"/>
  <c r="O29" i="14" s="1"/>
  <c r="P29" i="4"/>
  <c r="P29" i="12" s="1" a="1"/>
  <c r="P29" i="12" s="1"/>
  <c r="P29" i="14" s="1"/>
  <c r="P31" i="4"/>
  <c r="P31" i="12" s="1" a="1"/>
  <c r="P31" i="12" s="1"/>
  <c r="P31" i="14" s="1"/>
  <c r="P30" i="4"/>
  <c r="P30" i="12" s="1" a="1"/>
  <c r="P30" i="12" s="1"/>
  <c r="P30" i="14" s="1"/>
  <c r="K32" i="4"/>
  <c r="K32" i="12" s="1" a="1"/>
  <c r="K32" i="12" s="1"/>
  <c r="K32" i="14" s="1"/>
  <c r="K31" i="4"/>
  <c r="K31" i="12" s="1" a="1"/>
  <c r="K31" i="12" s="1"/>
  <c r="K31" i="14" s="1"/>
  <c r="K30" i="4"/>
  <c r="K30" i="12" s="1" a="1"/>
  <c r="K30" i="12" s="1"/>
  <c r="K30" i="14" s="1"/>
  <c r="L29" i="4"/>
  <c r="L29" i="12" s="1" a="1"/>
  <c r="L29" i="12" s="1"/>
  <c r="L29" i="14" s="1"/>
  <c r="L31" i="4"/>
  <c r="L31" i="12" s="1" a="1"/>
  <c r="L31" i="12" s="1"/>
  <c r="L31" i="14" s="1"/>
  <c r="L32" i="4"/>
  <c r="L32" i="12" s="1" a="1"/>
  <c r="L32" i="12" s="1"/>
  <c r="L32" i="14" s="1"/>
  <c r="L30" i="4"/>
  <c r="L30" i="12" s="1" a="1"/>
  <c r="L30" i="12" s="1"/>
  <c r="L30" i="14" s="1"/>
  <c r="AF23" i="4"/>
  <c r="AF23" i="12" s="1" a="1"/>
  <c r="AF23" i="12" s="1"/>
  <c r="AF23" i="14" s="1"/>
  <c r="AF25" i="4"/>
  <c r="AF25" i="12" s="1" a="1"/>
  <c r="AF25" i="12" s="1"/>
  <c r="AF25" i="14" s="1"/>
  <c r="AF24" i="4"/>
  <c r="AF24" i="12" s="1" a="1"/>
  <c r="AF24" i="12" s="1"/>
  <c r="AF24" i="14" s="1"/>
  <c r="AG24" i="4"/>
  <c r="AG24" i="12" s="1" a="1"/>
  <c r="AG24" i="12" s="1"/>
  <c r="AG24" i="14" s="1"/>
  <c r="AG25" i="4"/>
  <c r="AG25" i="12" s="1" a="1"/>
  <c r="AG25" i="12" s="1"/>
  <c r="AG25" i="14" s="1"/>
  <c r="AH24" i="4"/>
  <c r="AH24" i="12" s="1" a="1"/>
  <c r="AH24" i="12" s="1"/>
  <c r="AH24" i="14" s="1"/>
  <c r="AI24" i="4"/>
  <c r="AI24" i="12" s="1" a="1"/>
  <c r="AI24" i="12" s="1"/>
  <c r="AI24" i="14" s="1"/>
  <c r="AJ25" i="4"/>
  <c r="AJ25" i="12" s="1" a="1"/>
  <c r="AJ25" i="12" s="1"/>
  <c r="AJ25" i="14" s="1"/>
  <c r="AH25" i="4"/>
  <c r="AH25" i="12" s="1" a="1"/>
  <c r="AH25" i="12" s="1"/>
  <c r="AH25" i="14" s="1"/>
  <c r="AH26" i="4"/>
  <c r="AH26" i="12" s="1" a="1"/>
  <c r="AH26" i="12" s="1"/>
  <c r="AH26" i="14" s="1"/>
  <c r="AI25" i="4"/>
  <c r="AI25" i="12" s="1" a="1"/>
  <c r="AI25" i="12" s="1"/>
  <c r="AI25" i="14" s="1"/>
  <c r="AI26" i="4"/>
  <c r="AI26" i="12" s="1" a="1"/>
  <c r="AI26" i="12" s="1"/>
  <c r="AI26" i="14" s="1"/>
  <c r="AJ26" i="4"/>
  <c r="AJ26" i="12" s="1" a="1"/>
  <c r="AJ26" i="12" s="1"/>
  <c r="AJ26" i="14" s="1"/>
  <c r="AL26" i="4"/>
  <c r="AL26" i="12" s="1" a="1"/>
  <c r="AL26" i="12" s="1"/>
  <c r="AL26" i="14" s="1"/>
  <c r="AL27" i="4"/>
  <c r="AL27" i="12" s="1" a="1"/>
  <c r="AL27" i="12" s="1"/>
  <c r="AL27" i="14" s="1"/>
  <c r="AH27" i="4"/>
  <c r="AH27" i="12" s="1" a="1"/>
  <c r="AH27" i="12" s="1"/>
  <c r="AH27" i="14" s="1"/>
  <c r="AH28" i="4"/>
  <c r="AH28" i="12" s="1" a="1"/>
  <c r="AH28" i="12" s="1"/>
  <c r="AH28" i="14" s="1"/>
  <c r="AI27" i="4"/>
  <c r="AI27" i="12" s="1" a="1"/>
  <c r="AI27" i="12" s="1"/>
  <c r="AI27" i="14" s="1"/>
  <c r="AJ27" i="4"/>
  <c r="AJ27" i="12" s="1" a="1"/>
  <c r="AJ27" i="12" s="1"/>
  <c r="AJ27" i="14" s="1"/>
  <c r="AK27" i="4"/>
  <c r="AK27" i="12" s="1" a="1"/>
  <c r="AK27" i="12" s="1"/>
  <c r="AK27" i="14" s="1"/>
  <c r="AI28" i="4"/>
  <c r="AI28" i="12" s="1" a="1"/>
  <c r="AI28" i="12" s="1"/>
  <c r="AI28" i="14" s="1"/>
  <c r="AJ28" i="4"/>
  <c r="AJ28" i="12" s="1" a="1"/>
  <c r="AJ28" i="12" s="1"/>
  <c r="AJ28" i="14" s="1"/>
  <c r="AK28" i="4"/>
  <c r="AK28" i="12" s="1" a="1"/>
  <c r="AK28" i="12" s="1"/>
  <c r="AK28" i="14" s="1"/>
  <c r="AJ29" i="4"/>
  <c r="AJ29" i="12" s="1" a="1"/>
  <c r="AJ29" i="12" s="1"/>
  <c r="AJ29" i="14" s="1"/>
  <c r="AJ30" i="4"/>
  <c r="AJ30" i="12" s="1" a="1"/>
  <c r="AJ30" i="12" s="1"/>
  <c r="AJ30" i="14" s="1"/>
  <c r="AJ31" i="4"/>
  <c r="AJ31" i="12" s="1" a="1"/>
  <c r="AJ31" i="12" s="1"/>
  <c r="AJ31" i="14" s="1"/>
  <c r="AK29" i="4"/>
  <c r="AK29" i="12" s="1" a="1"/>
  <c r="AK29" i="12" s="1"/>
  <c r="AK29" i="14" s="1"/>
  <c r="AK30" i="4"/>
  <c r="AK30" i="12" s="1" a="1"/>
  <c r="AK30" i="12" s="1"/>
  <c r="AK30" i="14" s="1"/>
  <c r="AK31" i="4"/>
  <c r="AK31" i="12" s="1" a="1"/>
  <c r="AK31" i="12" s="1"/>
  <c r="AK31" i="14" s="1"/>
  <c r="AL28" i="4"/>
  <c r="AL28" i="12" s="1" a="1"/>
  <c r="AL28" i="12" s="1"/>
  <c r="AL28" i="14" s="1"/>
  <c r="AL29" i="4"/>
  <c r="AL29" i="12" s="1" a="1"/>
  <c r="AL29" i="12" s="1"/>
  <c r="AL29" i="14" s="1"/>
  <c r="AL30" i="4"/>
  <c r="AL30" i="12" s="1" a="1"/>
  <c r="AL30" i="12" s="1"/>
  <c r="AL30" i="14" s="1"/>
  <c r="AL31" i="4"/>
  <c r="AL31" i="12" s="1" a="1"/>
  <c r="AL31" i="12" s="1"/>
  <c r="AL31" i="14" s="1"/>
  <c r="Z28" i="4"/>
  <c r="Z28" i="12" s="1" a="1"/>
  <c r="Z28" i="12" s="1"/>
  <c r="Z28" i="14" s="1"/>
  <c r="E12" i="4"/>
  <c r="E12" i="12" s="1" a="1"/>
  <c r="E12" i="12" s="1"/>
  <c r="E12" i="14" s="1"/>
  <c r="E11" i="4"/>
  <c r="E11" i="12" s="1" a="1"/>
  <c r="E11" i="12" s="1"/>
  <c r="E11" i="14" s="1"/>
  <c r="E10" i="4"/>
  <c r="E10" i="12" s="1" a="1"/>
  <c r="E10" i="12" s="1"/>
  <c r="E10" i="14" s="1"/>
  <c r="E49" i="4"/>
  <c r="E49" i="12" s="1" a="1"/>
  <c r="E49" i="12" s="1"/>
  <c r="E49" i="14" s="1"/>
  <c r="F12" i="4"/>
  <c r="F12" i="12" s="1" a="1"/>
  <c r="F12" i="12" s="1"/>
  <c r="F12" i="14" s="1"/>
  <c r="F11" i="4"/>
  <c r="F11" i="12" s="1" a="1"/>
  <c r="F11" i="12" s="1"/>
  <c r="F11" i="14" s="1"/>
  <c r="F10" i="4"/>
  <c r="F10" i="12" s="1" a="1"/>
  <c r="F10" i="12" s="1"/>
  <c r="F10" i="14" s="1"/>
  <c r="F49" i="4"/>
  <c r="F49" i="12" s="1" a="1"/>
  <c r="F49" i="12" s="1"/>
  <c r="F49" i="14" s="1"/>
  <c r="AG14" i="4"/>
  <c r="AG14" i="12" s="1" a="1"/>
  <c r="AG14" i="12" s="1"/>
  <c r="AG14" i="14" s="1"/>
  <c r="AH14" i="4"/>
  <c r="AH14" i="12" s="1" a="1"/>
  <c r="AH14" i="12" s="1"/>
  <c r="AH14" i="14" s="1"/>
  <c r="AI14" i="4"/>
  <c r="AI14" i="12" s="1" a="1"/>
  <c r="AI14" i="12" s="1"/>
  <c r="AI14" i="14" s="1"/>
  <c r="AI15" i="4"/>
  <c r="AI15" i="12" s="1" a="1"/>
  <c r="AI15" i="12" s="1"/>
  <c r="AI15" i="14" s="1"/>
  <c r="AD15" i="4"/>
  <c r="AD15" i="12" s="1" a="1"/>
  <c r="AD15" i="12" s="1"/>
  <c r="AD15" i="14" s="1"/>
  <c r="AE15" i="4"/>
  <c r="AE15" i="12" s="1" a="1"/>
  <c r="AE15" i="12" s="1"/>
  <c r="AE15" i="14" s="1"/>
  <c r="AF14" i="4"/>
  <c r="AF14" i="12" s="1" a="1"/>
  <c r="AF14" i="12" s="1"/>
  <c r="AF14" i="14" s="1"/>
  <c r="AF15" i="4"/>
  <c r="AF15" i="12" s="1" a="1"/>
  <c r="AF15" i="12" s="1"/>
  <c r="AF15" i="14" s="1"/>
  <c r="AG15" i="4"/>
  <c r="AG15" i="12" s="1" a="1"/>
  <c r="AG15" i="12" s="1"/>
  <c r="AG15" i="14" s="1"/>
  <c r="AH15" i="4"/>
  <c r="AH15" i="12" s="1" a="1"/>
  <c r="AH15" i="12" s="1"/>
  <c r="AH15" i="14" s="1"/>
  <c r="AC15" i="4"/>
  <c r="AC15" i="12" s="1" a="1"/>
  <c r="AC15" i="12" s="1"/>
  <c r="AC15" i="14" s="1"/>
  <c r="AD16" i="4"/>
  <c r="AD16" i="12" s="1" a="1"/>
  <c r="AD16" i="12" s="1"/>
  <c r="AD16" i="14" s="1"/>
  <c r="AE16" i="4"/>
  <c r="AE16" i="12" s="1" a="1"/>
  <c r="AE16" i="12" s="1"/>
  <c r="AE16" i="14" s="1"/>
  <c r="AF16" i="4"/>
  <c r="AF16" i="12" s="1" a="1"/>
  <c r="AF16" i="12" s="1"/>
  <c r="AF16" i="14" s="1"/>
  <c r="AG16" i="4"/>
  <c r="AG16" i="12" s="1" a="1"/>
  <c r="AG16" i="12" s="1"/>
  <c r="AG16" i="14" s="1"/>
  <c r="AC16" i="4"/>
  <c r="AC16" i="12" s="1" a="1"/>
  <c r="AC16" i="12" s="1"/>
  <c r="AC16" i="14" s="1"/>
  <c r="AD17" i="4"/>
  <c r="AD17" i="12" s="1" a="1"/>
  <c r="AD17" i="12" s="1"/>
  <c r="AD17" i="14" s="1"/>
  <c r="AG17" i="4"/>
  <c r="AG17" i="12" s="1" a="1"/>
  <c r="AG17" i="12" s="1"/>
  <c r="AG17" i="14" s="1"/>
  <c r="AG19" i="4"/>
  <c r="AG19" i="12" s="1" a="1"/>
  <c r="AG19" i="12" s="1"/>
  <c r="AG19" i="14" s="1"/>
  <c r="AG18" i="4"/>
  <c r="AG18" i="12" s="1" a="1"/>
  <c r="AG18" i="12" s="1"/>
  <c r="AG18" i="14" s="1"/>
  <c r="AH16" i="4"/>
  <c r="AH16" i="12" s="1" a="1"/>
  <c r="AH16" i="12" s="1"/>
  <c r="AH16" i="14" s="1"/>
  <c r="AH19" i="4"/>
  <c r="AH19" i="12" s="1" a="1"/>
  <c r="AH19" i="12" s="1"/>
  <c r="AH19" i="14" s="1"/>
  <c r="AH18" i="4"/>
  <c r="AH18" i="12" s="1" a="1"/>
  <c r="AH18" i="12" s="1"/>
  <c r="AH18" i="14" s="1"/>
  <c r="AH17" i="4"/>
  <c r="AH17" i="12" s="1" a="1"/>
  <c r="AH17" i="12" s="1"/>
  <c r="AH17" i="14" s="1"/>
  <c r="AI16" i="4"/>
  <c r="AI16" i="12" s="1" a="1"/>
  <c r="AI16" i="12" s="1"/>
  <c r="AI16" i="14" s="1"/>
  <c r="AI19" i="4"/>
  <c r="AI19" i="12" s="1" a="1"/>
  <c r="AI19" i="12" s="1"/>
  <c r="AI19" i="14" s="1"/>
  <c r="AI18" i="4"/>
  <c r="AI18" i="12" s="1" a="1"/>
  <c r="AI18" i="12" s="1"/>
  <c r="AI18" i="14" s="1"/>
  <c r="AI17" i="4"/>
  <c r="AI17" i="12" s="1" a="1"/>
  <c r="AI17" i="12" s="1"/>
  <c r="AI17" i="14" s="1"/>
  <c r="AC17" i="4"/>
  <c r="AC17" i="12" s="1" a="1"/>
  <c r="AC17" i="12" s="1"/>
  <c r="AC17" i="14" s="1"/>
  <c r="AC20" i="4"/>
  <c r="AC20" i="12" s="1" a="1"/>
  <c r="AC20" i="12" s="1"/>
  <c r="AC20" i="14" s="1"/>
  <c r="AC19" i="4"/>
  <c r="AC19" i="12" s="1" a="1"/>
  <c r="AC19" i="12" s="1"/>
  <c r="AC19" i="14" s="1"/>
  <c r="AC18" i="4"/>
  <c r="AC18" i="12" s="1" a="1"/>
  <c r="AC18" i="12" s="1"/>
  <c r="AC18" i="14" s="1"/>
  <c r="AD20" i="4"/>
  <c r="AD20" i="12" s="1" a="1"/>
  <c r="AD20" i="12" s="1"/>
  <c r="AD20" i="14" s="1"/>
  <c r="AD19" i="4"/>
  <c r="AD19" i="12" s="1" a="1"/>
  <c r="AD19" i="12" s="1"/>
  <c r="AD19" i="14" s="1"/>
  <c r="AD18" i="4"/>
  <c r="AD18" i="12" s="1" a="1"/>
  <c r="AD18" i="12" s="1"/>
  <c r="AD18" i="14" s="1"/>
  <c r="AE17" i="4"/>
  <c r="AE17" i="12" s="1" a="1"/>
  <c r="AE17" i="12" s="1"/>
  <c r="AE17" i="14" s="1"/>
  <c r="AF17" i="4"/>
  <c r="AF17" i="12" s="1" a="1"/>
  <c r="AF17" i="12" s="1"/>
  <c r="AF17" i="14" s="1"/>
  <c r="AE20" i="4"/>
  <c r="AE20" i="12" s="1" a="1"/>
  <c r="AE20" i="12" s="1"/>
  <c r="AE20" i="14" s="1"/>
  <c r="AE19" i="4"/>
  <c r="AE19" i="12" s="1" a="1"/>
  <c r="AE19" i="12" s="1"/>
  <c r="AE19" i="14" s="1"/>
  <c r="AE18" i="4"/>
  <c r="AE18" i="12" s="1" a="1"/>
  <c r="AE18" i="12" s="1"/>
  <c r="AE18" i="14" s="1"/>
  <c r="AF20" i="4"/>
  <c r="AF20" i="12" s="1" a="1"/>
  <c r="AF20" i="12" s="1"/>
  <c r="AF20" i="14" s="1"/>
  <c r="AF19" i="4"/>
  <c r="AF19" i="12" s="1" a="1"/>
  <c r="AF19" i="12" s="1"/>
  <c r="AF19" i="14" s="1"/>
  <c r="AF18" i="4"/>
  <c r="AF18" i="12" s="1" a="1"/>
  <c r="AF18" i="12" s="1"/>
  <c r="AF18" i="14" s="1"/>
  <c r="E9" i="1"/>
  <c r="A7" i="1"/>
  <c r="C17" i="3"/>
  <c r="C15" i="13" s="1"/>
  <c r="B17" i="3"/>
  <c r="B15" i="13" s="1"/>
  <c r="C16" i="3"/>
  <c r="C14" i="13" s="1"/>
  <c r="C13" i="4" s="1"/>
  <c r="C13" i="12" s="1" a="1"/>
  <c r="C13" i="12" s="1"/>
  <c r="C13" i="14" s="1"/>
  <c r="B16" i="3"/>
  <c r="B14" i="13" s="1"/>
  <c r="B13" i="4" s="1"/>
  <c r="B13" i="12" s="1" a="1"/>
  <c r="B13" i="12" s="1"/>
  <c r="B13" i="14" s="1"/>
  <c r="D14" i="4"/>
  <c r="D14" i="12" s="1" a="1"/>
  <c r="D14" i="12" s="1"/>
  <c r="D14" i="14" s="1"/>
  <c r="E14" i="4"/>
  <c r="E14" i="12" s="1" a="1"/>
  <c r="E14" i="12" s="1"/>
  <c r="E14" i="14" s="1"/>
  <c r="D15" i="4"/>
  <c r="D15" i="12" s="1" a="1"/>
  <c r="D15" i="12" s="1"/>
  <c r="D15" i="14" s="1"/>
  <c r="E15" i="4"/>
  <c r="E15" i="12" s="1" a="1"/>
  <c r="E15" i="12" s="1"/>
  <c r="E15" i="14" s="1"/>
  <c r="F17" i="4"/>
  <c r="F17" i="12" s="1" a="1"/>
  <c r="F17" i="12" s="1"/>
  <c r="F17" i="14" s="1"/>
  <c r="F16" i="4"/>
  <c r="F16" i="12" s="1" a="1"/>
  <c r="F16" i="12" s="1"/>
  <c r="F16" i="14" s="1"/>
  <c r="F15" i="4"/>
  <c r="F15" i="12" s="1" a="1"/>
  <c r="F15" i="12" s="1"/>
  <c r="F15" i="14" s="1"/>
  <c r="G15" i="4"/>
  <c r="G15" i="12" s="1" a="1"/>
  <c r="G15" i="12" s="1"/>
  <c r="G15" i="14" s="1"/>
  <c r="G17" i="4"/>
  <c r="G17" i="12" s="1" a="1"/>
  <c r="G17" i="12" s="1"/>
  <c r="G17" i="14" s="1"/>
  <c r="G16" i="4"/>
  <c r="G16" i="12" s="1" a="1"/>
  <c r="G16" i="12" s="1"/>
  <c r="G16" i="14" s="1"/>
  <c r="B15" i="4"/>
  <c r="B15" i="12" s="1" a="1"/>
  <c r="B15" i="12" s="1"/>
  <c r="B15" i="14" s="1"/>
  <c r="C15" i="4"/>
  <c r="C15" i="12" s="1" a="1"/>
  <c r="C15" i="12" s="1"/>
  <c r="C15" i="14" s="1"/>
  <c r="B16" i="4"/>
  <c r="B16" i="12" s="1" a="1"/>
  <c r="B16" i="12" s="1"/>
  <c r="B16" i="14" s="1"/>
  <c r="C16" i="4"/>
  <c r="C16" i="12" s="1" a="1"/>
  <c r="C16" i="12" s="1"/>
  <c r="C16" i="14" s="1"/>
  <c r="D16" i="4"/>
  <c r="D16" i="12" s="1" a="1"/>
  <c r="D16" i="12" s="1"/>
  <c r="D16" i="14" s="1"/>
  <c r="E16" i="4"/>
  <c r="E16" i="12" s="1" a="1"/>
  <c r="E16" i="12" s="1"/>
  <c r="E16" i="14" s="1"/>
  <c r="AO18" i="4"/>
  <c r="AO18" i="12" s="1" a="1"/>
  <c r="AO18" i="12" s="1"/>
  <c r="AO18" i="14" s="1"/>
  <c r="AO17" i="4"/>
  <c r="AO17" i="12" s="1" a="1"/>
  <c r="AO17" i="12" s="1"/>
  <c r="AO17" i="14" s="1"/>
  <c r="AO16" i="4"/>
  <c r="AO16" i="12" s="1" a="1"/>
  <c r="AO16" i="12" s="1"/>
  <c r="AO16" i="14" s="1"/>
  <c r="D19" i="4"/>
  <c r="D19" i="12" s="1" a="1"/>
  <c r="D19" i="12" s="1"/>
  <c r="D19" i="14" s="1"/>
  <c r="D18" i="4"/>
  <c r="D18" i="12" s="1" a="1"/>
  <c r="D18" i="12" s="1"/>
  <c r="D18" i="14" s="1"/>
  <c r="D17" i="4"/>
  <c r="D17" i="12" s="1" a="1"/>
  <c r="D17" i="12" s="1"/>
  <c r="D17" i="14" s="1"/>
  <c r="E19" i="4"/>
  <c r="E19" i="12" s="1" a="1"/>
  <c r="E19" i="12" s="1"/>
  <c r="E19" i="14" s="1"/>
  <c r="E18" i="4"/>
  <c r="E18" i="12" s="1" a="1"/>
  <c r="E18" i="12" s="1"/>
  <c r="E18" i="14" s="1"/>
  <c r="E17" i="4"/>
  <c r="E17" i="12" s="1" a="1"/>
  <c r="E17" i="12" s="1"/>
  <c r="E17" i="14" s="1"/>
  <c r="B17" i="4"/>
  <c r="B17" i="12" s="1" a="1"/>
  <c r="B17" i="12" s="1"/>
  <c r="B17" i="14" s="1"/>
  <c r="C17" i="4"/>
  <c r="C17" i="12" s="1" a="1"/>
  <c r="C17" i="12" s="1"/>
  <c r="C17" i="14" s="1"/>
  <c r="B20" i="4"/>
  <c r="B20" i="12" s="1" a="1"/>
  <c r="B20" i="12" s="1"/>
  <c r="B20" i="14" s="1"/>
  <c r="B19" i="4"/>
  <c r="B19" i="12" s="1" a="1"/>
  <c r="B19" i="12" s="1"/>
  <c r="B19" i="14" s="1"/>
  <c r="B18" i="4"/>
  <c r="B18" i="12" s="1" a="1"/>
  <c r="B18" i="12" s="1"/>
  <c r="B18" i="14" s="1"/>
  <c r="C20" i="4"/>
  <c r="C20" i="12" s="1" a="1"/>
  <c r="C20" i="12" s="1"/>
  <c r="C20" i="14" s="1"/>
  <c r="C19" i="4"/>
  <c r="C19" i="12" s="1" a="1"/>
  <c r="C19" i="12" s="1"/>
  <c r="C19" i="14" s="1"/>
  <c r="C18" i="4"/>
  <c r="C18" i="12" s="1" a="1"/>
  <c r="C18" i="12" s="1"/>
  <c r="C18" i="14" s="1"/>
  <c r="N21" i="4"/>
  <c r="N21" i="12" s="1" a="1"/>
  <c r="N21" i="12" s="1"/>
  <c r="N21" i="14" s="1"/>
  <c r="R21" i="4"/>
  <c r="R21" i="12" s="1" a="1"/>
  <c r="R21" i="12" s="1"/>
  <c r="R21" i="14" s="1"/>
  <c r="R22" i="4"/>
  <c r="R22" i="12" s="1" a="1"/>
  <c r="R22" i="12" s="1"/>
  <c r="R22" i="14" s="1"/>
  <c r="Q21" i="4"/>
  <c r="Q21" i="12" s="1" a="1"/>
  <c r="Q21" i="12" s="1"/>
  <c r="Q21" i="14" s="1"/>
  <c r="P23" i="4"/>
  <c r="P23" i="12" s="1" a="1"/>
  <c r="P23" i="12" s="1"/>
  <c r="P23" i="14" s="1"/>
  <c r="Q22" i="4"/>
  <c r="Q22" i="12" s="1" a="1"/>
  <c r="Q22" i="12" s="1"/>
  <c r="Q22" i="14" s="1"/>
  <c r="Q23" i="4"/>
  <c r="Q23" i="12" s="1" a="1"/>
  <c r="Q23" i="12" s="1"/>
  <c r="Q23" i="14" s="1"/>
  <c r="N24" i="4"/>
  <c r="N24" i="12" s="1" a="1"/>
  <c r="N24" i="12" s="1"/>
  <c r="N24" i="14" s="1"/>
  <c r="N25" i="4"/>
  <c r="N25" i="12" s="1" a="1"/>
  <c r="N25" i="12" s="1"/>
  <c r="N25" i="14" s="1"/>
  <c r="N26" i="4"/>
  <c r="N26" i="12" s="1" a="1"/>
  <c r="N26" i="12" s="1"/>
  <c r="N26" i="14" s="1"/>
  <c r="P24" i="4"/>
  <c r="P24" i="12" s="1" a="1"/>
  <c r="P24" i="12" s="1"/>
  <c r="P24" i="14" s="1"/>
  <c r="Q24" i="4"/>
  <c r="Q24" i="12" s="1" a="1"/>
  <c r="Q24" i="12" s="1"/>
  <c r="Q24" i="14" s="1"/>
  <c r="Q26" i="4"/>
  <c r="Q26" i="12" s="1" a="1"/>
  <c r="Q26" i="12" s="1"/>
  <c r="Q26" i="14" s="1"/>
  <c r="Q25" i="4"/>
  <c r="Q25" i="12" s="1" a="1"/>
  <c r="Q25" i="12" s="1"/>
  <c r="Q25" i="14" s="1"/>
  <c r="R23" i="4"/>
  <c r="R23" i="12" s="1" a="1"/>
  <c r="R23" i="12" s="1"/>
  <c r="R23" i="14" s="1"/>
  <c r="R24" i="4"/>
  <c r="R24" i="12" s="1" a="1"/>
  <c r="R24" i="12" s="1"/>
  <c r="R24" i="14" s="1"/>
  <c r="R26" i="4"/>
  <c r="R26" i="12" s="1" a="1"/>
  <c r="R26" i="12" s="1"/>
  <c r="R26" i="14" s="1"/>
  <c r="R25" i="4"/>
  <c r="R25" i="12" s="1" a="1"/>
  <c r="R25" i="12" s="1"/>
  <c r="R25" i="14" s="1"/>
  <c r="O25" i="4"/>
  <c r="O25" i="12" s="1" a="1"/>
  <c r="O25" i="12" s="1"/>
  <c r="O25" i="14" s="1"/>
  <c r="P25" i="4"/>
  <c r="P25" i="12" s="1" a="1"/>
  <c r="P25" i="12" s="1"/>
  <c r="P25" i="14" s="1"/>
  <c r="P26" i="4"/>
  <c r="P26" i="12" s="1" a="1"/>
  <c r="P26" i="12" s="1"/>
  <c r="P26" i="14" s="1"/>
  <c r="P27" i="4"/>
  <c r="P27" i="12" s="1" a="1"/>
  <c r="P27" i="12" s="1"/>
  <c r="P27" i="14" s="1"/>
  <c r="P28" i="4"/>
  <c r="P28" i="12" s="1" a="1"/>
  <c r="P28" i="12" s="1"/>
  <c r="P28" i="14" s="1"/>
  <c r="O26" i="4"/>
  <c r="O26" i="12" s="1" a="1"/>
  <c r="O26" i="12" s="1"/>
  <c r="O26" i="14" s="1"/>
  <c r="O27" i="4"/>
  <c r="O27" i="12" s="1" a="1"/>
  <c r="O27" i="12" s="1"/>
  <c r="O27" i="14" s="1"/>
  <c r="O28" i="4"/>
  <c r="O28" i="12" s="1" a="1"/>
  <c r="O28" i="12" s="1"/>
  <c r="O28" i="14" s="1"/>
  <c r="N22" i="4"/>
  <c r="N22" i="12" s="1" a="1"/>
  <c r="N22" i="12" s="1"/>
  <c r="N22" i="14" s="1"/>
  <c r="N23" i="4"/>
  <c r="N23" i="12" s="1" a="1"/>
  <c r="N23" i="12" s="1"/>
  <c r="N23" i="14" s="1"/>
  <c r="M21" i="4"/>
  <c r="M21" i="12" s="1" a="1"/>
  <c r="M21" i="12" s="1"/>
  <c r="M21" i="14" s="1"/>
  <c r="O22" i="4"/>
  <c r="O22" i="12" s="1" a="1"/>
  <c r="O22" i="12" s="1"/>
  <c r="O22" i="14" s="1"/>
  <c r="O23" i="4"/>
  <c r="O23" i="12" s="1" a="1"/>
  <c r="O23" i="12" s="1"/>
  <c r="O23" i="14" s="1"/>
  <c r="L23" i="4"/>
  <c r="L23" i="12" s="1" a="1"/>
  <c r="L23" i="12" s="1"/>
  <c r="L23" i="14" s="1"/>
  <c r="L24" i="4"/>
  <c r="L24" i="12" s="1" a="1"/>
  <c r="L24" i="12" s="1"/>
  <c r="L24" i="14" s="1"/>
  <c r="L25" i="4"/>
  <c r="L25" i="12" s="1" a="1"/>
  <c r="L25" i="12" s="1"/>
  <c r="L25" i="14" s="1"/>
  <c r="M22" i="4"/>
  <c r="M22" i="12" s="1" a="1"/>
  <c r="M22" i="12" s="1"/>
  <c r="M22" i="14" s="1"/>
  <c r="M23" i="4"/>
  <c r="M23" i="12" s="1" a="1"/>
  <c r="M23" i="12" s="1"/>
  <c r="M23" i="14" s="1"/>
  <c r="J23" i="4"/>
  <c r="J23" i="12" s="1" a="1"/>
  <c r="J23" i="12" s="1"/>
  <c r="J23" i="14" s="1"/>
  <c r="K23" i="4"/>
  <c r="K23" i="12" s="1" a="1"/>
  <c r="K23" i="12" s="1"/>
  <c r="K23" i="14" s="1"/>
  <c r="K24" i="4"/>
  <c r="K24" i="12" s="1" a="1"/>
  <c r="K24" i="12" s="1"/>
  <c r="K24" i="14" s="1"/>
  <c r="M24" i="4"/>
  <c r="M24" i="12" s="1" a="1"/>
  <c r="M24" i="12" s="1"/>
  <c r="M24" i="14" s="1"/>
  <c r="M26" i="4"/>
  <c r="M26" i="12" s="1" a="1"/>
  <c r="M26" i="12" s="1"/>
  <c r="M26" i="14" s="1"/>
  <c r="M25" i="4"/>
  <c r="M25" i="12" s="1" a="1"/>
  <c r="M25" i="12" s="1"/>
  <c r="M25" i="14" s="1"/>
  <c r="K25" i="4"/>
  <c r="K25" i="12" s="1" a="1"/>
  <c r="K25" i="12" s="1"/>
  <c r="K25" i="14" s="1"/>
  <c r="K26" i="4"/>
  <c r="K26" i="12" s="1" a="1"/>
  <c r="K26" i="12" s="1"/>
  <c r="K26" i="14" s="1"/>
  <c r="K27" i="4"/>
  <c r="K27" i="12" s="1" a="1"/>
  <c r="K27" i="12" s="1"/>
  <c r="K27" i="14" s="1"/>
  <c r="J24" i="4"/>
  <c r="J24" i="12" s="1" a="1"/>
  <c r="J24" i="12" s="1"/>
  <c r="J24" i="14" s="1"/>
  <c r="J25" i="4"/>
  <c r="J25" i="12" s="1" a="1"/>
  <c r="J25" i="12" s="1"/>
  <c r="J25" i="14" s="1"/>
  <c r="J26" i="4"/>
  <c r="J26" i="12" s="1" a="1"/>
  <c r="J26" i="12" s="1"/>
  <c r="J26" i="14" s="1"/>
  <c r="AE29" i="4"/>
  <c r="AE29" i="12" s="1" a="1"/>
  <c r="AE29" i="12" s="1"/>
  <c r="AE29" i="14" s="1"/>
  <c r="AF29" i="4"/>
  <c r="AF29" i="12" s="1" a="1"/>
  <c r="AF29" i="12" s="1"/>
  <c r="AF29" i="14" s="1"/>
  <c r="AD30" i="4"/>
  <c r="AD30" i="12" s="1" a="1"/>
  <c r="AD30" i="12" s="1"/>
  <c r="AD30" i="14" s="1"/>
  <c r="AD29" i="4"/>
  <c r="AD29" i="12" s="1" a="1"/>
  <c r="AD29" i="12" s="1"/>
  <c r="AD29" i="14" s="1"/>
  <c r="AF30" i="4"/>
  <c r="AF30" i="12" s="1" a="1"/>
  <c r="AF30" i="12" s="1"/>
  <c r="AF30" i="14" s="1"/>
  <c r="AD31" i="4"/>
  <c r="AD31" i="12" s="1" a="1"/>
  <c r="AD31" i="12" s="1"/>
  <c r="AD31" i="14" s="1"/>
  <c r="AE30" i="4"/>
  <c r="AE30" i="12" s="1" a="1"/>
  <c r="AE30" i="12" s="1"/>
  <c r="AE30" i="14" s="1"/>
  <c r="AE31" i="4"/>
  <c r="AE31" i="12" s="1" a="1"/>
  <c r="AE31" i="12" s="1"/>
  <c r="AE31" i="14" s="1"/>
  <c r="AF31" i="4"/>
  <c r="AF31" i="12" s="1" a="1"/>
  <c r="AF31" i="12" s="1"/>
  <c r="AF31" i="14" s="1"/>
  <c r="AG31" i="4"/>
  <c r="AG31" i="12" s="1" a="1"/>
  <c r="AG31" i="12" s="1"/>
  <c r="AG31" i="14" s="1"/>
  <c r="AH31" i="4"/>
  <c r="AH31" i="12" s="1" a="1"/>
  <c r="AH31" i="12" s="1"/>
  <c r="AH31" i="14" s="1"/>
  <c r="AD32" i="4"/>
  <c r="AD32" i="12" s="1" a="1"/>
  <c r="AD32" i="12" s="1"/>
  <c r="AD32" i="14" s="1"/>
  <c r="AE32" i="4"/>
  <c r="AE32" i="12" s="1" a="1"/>
  <c r="AE32" i="12" s="1"/>
  <c r="AE32" i="14" s="1"/>
  <c r="AF32" i="4"/>
  <c r="AF32" i="12" s="1" a="1"/>
  <c r="AF32" i="12" s="1"/>
  <c r="AF32" i="14" s="1"/>
  <c r="AG32" i="4"/>
  <c r="AG32" i="12" s="1" a="1"/>
  <c r="AG32" i="12" s="1"/>
  <c r="AG32" i="14" s="1"/>
  <c r="AH33" i="4"/>
  <c r="AH33" i="12" s="1" a="1"/>
  <c r="AH33" i="12" s="1"/>
  <c r="AH33" i="14" s="1"/>
  <c r="AH34" i="4"/>
  <c r="AH34" i="12" s="1" a="1"/>
  <c r="AH34" i="12" s="1"/>
  <c r="AH34" i="14" s="1"/>
  <c r="AH32" i="4"/>
  <c r="AH32" i="12" s="1" a="1"/>
  <c r="AH32" i="12" s="1"/>
  <c r="AH32" i="14" s="1"/>
  <c r="AE33" i="4"/>
  <c r="AE33" i="12" s="1" a="1"/>
  <c r="AE33" i="12" s="1"/>
  <c r="AE33" i="14" s="1"/>
  <c r="AE34" i="4"/>
  <c r="AE34" i="12" s="1" a="1"/>
  <c r="AE34" i="12" s="1"/>
  <c r="AE34" i="14" s="1"/>
  <c r="AE35" i="4"/>
  <c r="AE35" i="12" s="1" a="1"/>
  <c r="AE35" i="12" s="1"/>
  <c r="AE35" i="14" s="1"/>
  <c r="AF33" i="4"/>
  <c r="AF33" i="12" s="1" a="1"/>
  <c r="AF33" i="12" s="1"/>
  <c r="AF33" i="14" s="1"/>
  <c r="AF35" i="4"/>
  <c r="AF35" i="12" s="1" a="1"/>
  <c r="AF35" i="12" s="1"/>
  <c r="AF35" i="14" s="1"/>
  <c r="AF34" i="4"/>
  <c r="AF34" i="12" s="1" a="1"/>
  <c r="AF34" i="12" s="1"/>
  <c r="AF34" i="14" s="1"/>
  <c r="AG33" i="4"/>
  <c r="AG33" i="12" s="1" a="1"/>
  <c r="AG33" i="12" s="1"/>
  <c r="AG33" i="14" s="1"/>
  <c r="AG35" i="4"/>
  <c r="AG35" i="12" s="1" a="1"/>
  <c r="AG35" i="12" s="1"/>
  <c r="AG35" i="14" s="1"/>
  <c r="AG34" i="4"/>
  <c r="AG34" i="12" s="1" a="1"/>
  <c r="AG34" i="12" s="1"/>
  <c r="AG34" i="14" s="1"/>
  <c r="AI32" i="4"/>
  <c r="AI32" i="12" s="1" a="1"/>
  <c r="AI32" i="12" s="1"/>
  <c r="AI32" i="14" s="1"/>
  <c r="AI33" i="4"/>
  <c r="AI33" i="12" s="1" a="1"/>
  <c r="AI33" i="12" s="1"/>
  <c r="AI33" i="14" s="1"/>
  <c r="AI35" i="4"/>
  <c r="AI35" i="12" s="1" a="1"/>
  <c r="AI35" i="12" s="1"/>
  <c r="AI35" i="14" s="1"/>
  <c r="AI34" i="4"/>
  <c r="AI34" i="12" s="1" a="1"/>
  <c r="AI34" i="12" s="1"/>
  <c r="AI34" i="14" s="1"/>
  <c r="AC34" i="4"/>
  <c r="AC34" i="12" s="1" a="1"/>
  <c r="AC34" i="12" s="1"/>
  <c r="AC34" i="14" s="1"/>
  <c r="AC36" i="4"/>
  <c r="AC36" i="12" s="1" a="1"/>
  <c r="AC36" i="12" s="1"/>
  <c r="AC36" i="14" s="1"/>
  <c r="AC35" i="4"/>
  <c r="AC35" i="12" s="1" a="1"/>
  <c r="AC35" i="12" s="1"/>
  <c r="AC35" i="14" s="1"/>
  <c r="AD33" i="4"/>
  <c r="AD33" i="12" s="1" a="1"/>
  <c r="AD33" i="12" s="1"/>
  <c r="AD33" i="14" s="1"/>
  <c r="AD34" i="4"/>
  <c r="AD34" i="12" s="1" a="1"/>
  <c r="AD34" i="12" s="1"/>
  <c r="AD34" i="14" s="1"/>
  <c r="AD36" i="4"/>
  <c r="AD36" i="12" s="1" a="1"/>
  <c r="AD36" i="12" s="1"/>
  <c r="AD36" i="14" s="1"/>
  <c r="AD35" i="4"/>
  <c r="AD35" i="12" s="1" a="1"/>
  <c r="AD35" i="12" s="1"/>
  <c r="AD35" i="14" s="1"/>
  <c r="AC30" i="4"/>
  <c r="AC30" i="12" s="1" a="1"/>
  <c r="AC30" i="12" s="1"/>
  <c r="AC30" i="14" s="1"/>
  <c r="Y30" i="4"/>
  <c r="Y30" i="12" s="1" a="1"/>
  <c r="Y30" i="12" s="1"/>
  <c r="Y30" i="14" s="1"/>
  <c r="Z31" i="4"/>
  <c r="Z31" i="12" s="1" a="1"/>
  <c r="Z31" i="12" s="1"/>
  <c r="Z31" i="14" s="1"/>
  <c r="AB30" i="4"/>
  <c r="AB30" i="12" s="1" a="1"/>
  <c r="AB30" i="12" s="1"/>
  <c r="AB30" i="14" s="1"/>
  <c r="AB31" i="4"/>
  <c r="AB31" i="12" s="1" a="1"/>
  <c r="AB31" i="12" s="1"/>
  <c r="AB31" i="14" s="1"/>
  <c r="AC31" i="4"/>
  <c r="AC31" i="12" s="1" a="1"/>
  <c r="AC31" i="12" s="1"/>
  <c r="AC31" i="14" s="1"/>
  <c r="Y31" i="4"/>
  <c r="Y31" i="12" s="1" a="1"/>
  <c r="Y31" i="12" s="1"/>
  <c r="Y31" i="14" s="1"/>
  <c r="Y32" i="4"/>
  <c r="Y32" i="12" s="1" a="1"/>
  <c r="Y32" i="12" s="1"/>
  <c r="Y32" i="14" s="1"/>
  <c r="Y34" i="4"/>
  <c r="Y34" i="12" s="1" a="1"/>
  <c r="Y34" i="12" s="1"/>
  <c r="Y34" i="14" s="1"/>
  <c r="Y33" i="4"/>
  <c r="Y33" i="12" s="1" a="1"/>
  <c r="Y33" i="12" s="1"/>
  <c r="Y33" i="14" s="1"/>
  <c r="Z32" i="4"/>
  <c r="Z32" i="12" s="1" a="1"/>
  <c r="Z32" i="12" s="1"/>
  <c r="Z32" i="14" s="1"/>
  <c r="Z33" i="4"/>
  <c r="Z33" i="12" s="1" a="1"/>
  <c r="Z33" i="12" s="1"/>
  <c r="Z33" i="14" s="1"/>
  <c r="Z34" i="4"/>
  <c r="Z34" i="12" s="1" a="1"/>
  <c r="Z34" i="12" s="1"/>
  <c r="Z34" i="14" s="1"/>
  <c r="AA34" i="4"/>
  <c r="AA34" i="12" s="1" a="1"/>
  <c r="AA34" i="12" s="1"/>
  <c r="AA34" i="14" s="1"/>
  <c r="AA32" i="4"/>
  <c r="AA32" i="12" s="1" a="1"/>
  <c r="AA32" i="12" s="1"/>
  <c r="AA32" i="14" s="1"/>
  <c r="AA33" i="4"/>
  <c r="AA33" i="12" s="1" a="1"/>
  <c r="AA33" i="12" s="1"/>
  <c r="AA33" i="14" s="1"/>
  <c r="AA31" i="4"/>
  <c r="AA31" i="12" s="1" a="1"/>
  <c r="AA31" i="12" s="1"/>
  <c r="AA31" i="14" s="1"/>
  <c r="AB32" i="4"/>
  <c r="AB32" i="12" s="1" a="1"/>
  <c r="AB32" i="12" s="1"/>
  <c r="AB32" i="14" s="1"/>
  <c r="AC32" i="4"/>
  <c r="AC32" i="12" s="1" a="1"/>
  <c r="AC32" i="12" s="1"/>
  <c r="AC32" i="14" s="1"/>
  <c r="AC33" i="4"/>
  <c r="AC33" i="12" s="1" a="1"/>
  <c r="AC33" i="12" s="1"/>
  <c r="AC33" i="14" s="1"/>
  <c r="AB35" i="4"/>
  <c r="AB35" i="12" s="1" a="1"/>
  <c r="AB35" i="12" s="1"/>
  <c r="AB35" i="14" s="1"/>
  <c r="AB33" i="4"/>
  <c r="AB33" i="12" s="1" a="1"/>
  <c r="AB33" i="12" s="1"/>
  <c r="AB33" i="14" s="1"/>
  <c r="AB34" i="4"/>
  <c r="AB34" i="12" s="1" a="1"/>
  <c r="AB34" i="12" s="1"/>
  <c r="AB34" i="14" s="1"/>
  <c r="AT16" i="13" l="1" a="1"/>
  <c r="AT16" i="13" s="1"/>
  <c r="AT44" i="13"/>
  <c r="B14" i="4"/>
  <c r="B14" i="12" s="1" a="1"/>
  <c r="B14" i="12" s="1"/>
  <c r="B14" i="14" s="1"/>
  <c r="C14" i="4"/>
  <c r="C14" i="12" s="1" a="1"/>
  <c r="C14" i="12" s="1"/>
  <c r="C14" i="14" s="1"/>
  <c r="F9" i="1"/>
  <c r="A16" i="1"/>
  <c r="A15" i="1" s="1"/>
  <c r="AT17" i="13" l="1" a="1"/>
  <c r="AT17" i="13" s="1"/>
  <c r="AT43" i="13"/>
  <c r="AT18" i="13" l="1" a="1"/>
  <c r="AT18" i="13" s="1"/>
  <c r="AT42" i="13"/>
  <c r="AT19" i="13" l="1" a="1"/>
  <c r="AT19" i="13" s="1"/>
  <c r="AT41" i="13"/>
  <c r="AT20" i="13" l="1" a="1"/>
  <c r="AT20" i="13" s="1"/>
  <c r="AT40" i="13"/>
  <c r="AT21" i="13" l="1" a="1"/>
  <c r="AT21" i="13" s="1"/>
  <c r="AT39" i="13"/>
  <c r="AT22" i="13" l="1" a="1"/>
  <c r="AT22" i="13" s="1"/>
  <c r="AT38" i="13"/>
  <c r="AT23" i="13" l="1" a="1"/>
  <c r="AT23" i="13" s="1"/>
  <c r="AT24" i="13" s="1" a="1"/>
  <c r="AT24" i="13" s="1"/>
  <c r="AT37" i="13"/>
  <c r="AT25" i="13" l="1" a="1"/>
  <c r="AT25" i="13" s="1"/>
  <c r="AT36" i="13"/>
  <c r="AT35" i="13"/>
  <c r="AT26" i="13" l="1" a="1"/>
  <c r="AT26" i="13" s="1"/>
  <c r="AT34" i="13"/>
  <c r="AT27" i="13" l="1" a="1"/>
  <c r="AT27" i="13" s="1"/>
  <c r="AT33" i="13"/>
  <c r="AT28" i="13" l="1" a="1"/>
  <c r="AT28" i="13" s="1"/>
  <c r="AT3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<sst xmlns="http://schemas.openxmlformats.org/spreadsheetml/2006/main" count="280" uniqueCount="50">
  <si>
    <t>Land</t>
  </si>
  <si>
    <t>Water</t>
  </si>
  <si>
    <t>How Many</t>
  </si>
  <si>
    <t>Percent</t>
  </si>
  <si>
    <t>Land Percent</t>
  </si>
  <si>
    <t>⤴</t>
  </si>
  <si>
    <t>Ft^2</t>
  </si>
  <si>
    <t>↪</t>
  </si>
  <si>
    <t>⤵</t>
  </si>
  <si>
    <t>↩</t>
  </si>
  <si>
    <t>Left</t>
  </si>
  <si>
    <t>Up</t>
  </si>
  <si>
    <t>&gt;4</t>
  </si>
  <si>
    <t>Else</t>
  </si>
  <si>
    <t>Same</t>
  </si>
  <si>
    <t>Away</t>
  </si>
  <si>
    <t>Towards</t>
  </si>
  <si>
    <t>Cliff</t>
  </si>
  <si>
    <t>Island</t>
  </si>
  <si>
    <t>Mountain</t>
  </si>
  <si>
    <t>Drop Off</t>
  </si>
  <si>
    <t>Trench</t>
  </si>
  <si>
    <t>Valley</t>
  </si>
  <si>
    <t>Coast</t>
  </si>
  <si>
    <t>Ocean</t>
  </si>
  <si>
    <t>Flatland</t>
  </si>
  <si>
    <t>jhj</t>
  </si>
  <si>
    <t>Lowest</t>
  </si>
  <si>
    <t>Dry/Cold</t>
  </si>
  <si>
    <t>Tundra</t>
  </si>
  <si>
    <t>Highest</t>
  </si>
  <si>
    <t>Wet/Cold</t>
  </si>
  <si>
    <t>Forest</t>
  </si>
  <si>
    <t>Winter Wet, Summer Dry</t>
  </si>
  <si>
    <t>Mediterranean</t>
  </si>
  <si>
    <t>Dry/Hot</t>
  </si>
  <si>
    <t>Desert</t>
  </si>
  <si>
    <t>Summer Wet, Winter Dry</t>
  </si>
  <si>
    <t>Grasslands</t>
  </si>
  <si>
    <t>C</t>
  </si>
  <si>
    <t>-100&gt;</t>
  </si>
  <si>
    <t>100&lt;</t>
  </si>
  <si>
    <t>Wet/Hot</t>
  </si>
  <si>
    <t>Rainforest</t>
  </si>
  <si>
    <t>F</t>
  </si>
  <si>
    <t>-148&gt;</t>
  </si>
  <si>
    <t>212&lt;</t>
  </si>
  <si>
    <t>Low Pressure</t>
  </si>
  <si>
    <t>High Pressure</t>
  </si>
  <si>
    <t>Rainshadow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</si>
</sst>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0"/>
      <name val="Arial"/>
      <scheme val="minor"/>
    </font>
    <font>
      <sz val="11"/>
      <color rgb="FF242424"/>
      <name val="Consolas"/>
      <charset val="1"/>
    </font>
  </fonts>
  <fills count="3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BF9000"/>
        <bgColor rgb="FFBF9000"/>
      </patternFill>
    </fill>
    <fill>
      <patternFill patternType="solid">
        <fgColor rgb="FFB45F06"/>
        <bgColor rgb="FFB45F06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7F6000"/>
        <bgColor rgb="FF7F6000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0C343D"/>
        <bgColor rgb="FF0C343D"/>
      </patternFill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783F04"/>
        <bgColor rgb="FF783F04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  <fill>
      <patternFill patternType="solid">
        <fgColor rgb="FF660000"/>
        <bgColor rgb="FF660000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22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1" fillId="25" borderId="0" xfId="0" applyFont="1" applyFill="1" applyAlignment="1">
      <alignment horizontal="center" vertical="center" wrapText="1"/>
    </xf>
    <xf numFmtId="0" fontId="1" fillId="26" borderId="0" xfId="0" applyFont="1" applyFill="1" applyAlignment="1">
      <alignment horizontal="center" vertical="center" wrapText="1"/>
    </xf>
    <xf numFmtId="0" fontId="1" fillId="27" borderId="0" xfId="0" applyFont="1" applyFill="1" applyAlignment="1">
      <alignment horizontal="center" vertical="center" wrapText="1"/>
    </xf>
    <xf numFmtId="0" fontId="1" fillId="28" borderId="0" xfId="0" applyFont="1" applyFill="1" applyAlignment="1">
      <alignment horizontal="center" vertical="center" wrapText="1"/>
    </xf>
    <xf numFmtId="0" fontId="1" fillId="29" borderId="0" xfId="0" applyFont="1" applyFill="1" applyAlignment="1">
      <alignment horizontal="center" vertical="center" wrapText="1"/>
    </xf>
    <xf numFmtId="0" fontId="1" fillId="30" borderId="0" xfId="0" applyFont="1" applyFill="1" applyAlignment="1">
      <alignment horizontal="center" vertical="center" wrapText="1"/>
    </xf>
    <xf numFmtId="0" fontId="1" fillId="31" borderId="0" xfId="0" applyFont="1" applyFill="1" applyAlignment="1">
      <alignment horizontal="center" vertical="center" wrapText="1"/>
    </xf>
    <xf numFmtId="0" fontId="1" fillId="32" borderId="0" xfId="0" applyFont="1" applyFill="1" applyAlignment="1">
      <alignment horizontal="center" vertical="center" wrapText="1"/>
    </xf>
    <xf numFmtId="0" fontId="1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1" fillId="29" borderId="1" xfId="0" applyFont="1" applyFill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413"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134F5C"/>
          <bgColor rgb="FF134F5C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660000"/>
          <bgColor rgb="FF66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5394"/>
      </font>
      <fill>
        <patternFill patternType="none"/>
      </fill>
    </dxf>
    <dxf>
      <font>
        <color rgb="FF0B5394"/>
      </font>
      <fill>
        <patternFill patternType="none"/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134F5C"/>
          <bgColor rgb="FF134F5C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660000"/>
          <bgColor rgb="FF660000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45818E"/>
          <bgColor rgb="FF45818E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bgColor theme="6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1"/>
      </font>
      <fill>
        <patternFill patternType="solid">
          <bgColor rgb="FF00B05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134F5C"/>
          <bgColor rgb="FF134F5C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660000"/>
          <bgColor rgb="FF660000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theme="7" tint="-0.499984740745262"/>
        </patternFill>
      </fill>
    </dxf>
    <dxf>
      <font>
        <color theme="1"/>
      </font>
      <fill>
        <patternFill patternType="solid">
          <bgColor theme="6"/>
        </patternFill>
      </fill>
    </dxf>
    <dxf>
      <font>
        <color theme="1"/>
      </font>
      <fill>
        <patternFill patternType="solid">
          <bgColor rgb="FF92D050"/>
        </patternFill>
      </fill>
    </dxf>
    <dxf>
      <fill>
        <patternFill patternType="solid">
          <fgColor rgb="FF134F5C"/>
          <bgColor rgb="FF134F5C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69138"/>
          <bgColor rgb="FFE6913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660000"/>
          <bgColor rgb="FF660000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0C343D"/>
          <bgColor rgb="FF0C343D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0B5394"/>
      </font>
      <fill>
        <patternFill patternType="none"/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7F6000"/>
          <bgColor rgb="FF7F600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783F04"/>
          <bgColor rgb="FF783F0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45F06"/>
          <bgColor rgb="FFB45F06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45818E"/>
          <bgColor rgb="FF45818E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90000"/>
          <bgColor rgb="FF99000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56"/>
  <sheetViews>
    <sheetView workbookViewId="0">
      <selection activeCell="B19" sqref="B19"/>
    </sheetView>
  </sheetViews>
  <sheetFormatPr defaultColWidth="12.5703125" defaultRowHeight="15.75" customHeight="1"/>
  <cols>
    <col min="1" max="1" width="10.7109375" customWidth="1"/>
    <col min="2" max="2" width="11.85546875" customWidth="1"/>
    <col min="3" max="3" width="6.5703125" customWidth="1"/>
    <col min="4" max="4" width="14.140625" customWidth="1"/>
    <col min="5" max="5" width="11.140625" customWidth="1"/>
    <col min="6" max="6" width="9.28515625" customWidth="1"/>
    <col min="7" max="7" width="8.7109375" customWidth="1"/>
    <col min="8" max="8" width="7.42578125" customWidth="1"/>
    <col min="9" max="9" width="6.5703125" customWidth="1"/>
    <col min="10" max="10" width="6.85546875" customWidth="1"/>
    <col min="11" max="11" width="6.28515625" customWidth="1"/>
    <col min="12" max="12" width="4.28515625" customWidth="1"/>
    <col min="13" max="13" width="3.42578125" customWidth="1"/>
    <col min="14" max="14" width="7.42578125" customWidth="1"/>
    <col min="15" max="15" width="3.85546875" customWidth="1"/>
    <col min="16" max="17" width="4.42578125" customWidth="1"/>
    <col min="18" max="18" width="3.85546875" customWidth="1"/>
    <col min="19" max="19" width="3.7109375" customWidth="1"/>
    <col min="20" max="20" width="3.42578125" customWidth="1"/>
    <col min="21" max="21" width="3.5703125" customWidth="1"/>
    <col min="22" max="24" width="3.7109375" customWidth="1"/>
    <col min="25" max="25" width="3.42578125" customWidth="1"/>
    <col min="26" max="29" width="5.140625" customWidth="1"/>
    <col min="30" max="30" width="8.85546875" customWidth="1"/>
    <col min="31" max="41" width="5.140625" customWidth="1"/>
  </cols>
  <sheetData>
    <row r="1" spans="1:41" ht="15.75" customHeight="1">
      <c r="A1" s="1" t="s">
        <v>0</v>
      </c>
      <c r="B1" s="1">
        <v>0.3</v>
      </c>
      <c r="C1" s="1">
        <v>5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/>
      <c r="J1" s="42">
        <v>10</v>
      </c>
      <c r="K1" s="42">
        <v>1</v>
      </c>
      <c r="L1" s="42">
        <v>2</v>
      </c>
      <c r="M1" s="42">
        <v>3</v>
      </c>
      <c r="N1" s="42">
        <v>4</v>
      </c>
      <c r="O1" s="42">
        <v>5</v>
      </c>
      <c r="P1" s="42">
        <v>6</v>
      </c>
      <c r="Q1" s="42">
        <v>7</v>
      </c>
      <c r="R1" s="42">
        <v>8</v>
      </c>
      <c r="S1" s="42">
        <v>9</v>
      </c>
      <c r="T1" s="42">
        <v>10</v>
      </c>
      <c r="U1" s="1"/>
      <c r="W1" s="1">
        <v>4</v>
      </c>
      <c r="X1" s="1">
        <v>1</v>
      </c>
      <c r="Y1" s="1">
        <v>2</v>
      </c>
      <c r="Z1" s="1">
        <v>3</v>
      </c>
      <c r="AA1" s="1">
        <v>4</v>
      </c>
      <c r="AB1" s="1"/>
      <c r="AC1" s="42">
        <v>8</v>
      </c>
      <c r="AD1" s="42">
        <v>1</v>
      </c>
      <c r="AE1" s="42">
        <v>2</v>
      </c>
      <c r="AF1" s="42">
        <v>3</v>
      </c>
      <c r="AG1" s="42">
        <v>4</v>
      </c>
      <c r="AH1" s="42">
        <v>5</v>
      </c>
      <c r="AI1" s="42">
        <v>6</v>
      </c>
      <c r="AJ1" s="42">
        <v>7</v>
      </c>
      <c r="AK1" s="42">
        <v>8</v>
      </c>
    </row>
    <row r="2" spans="1:41" ht="18" customHeight="1">
      <c r="A2" s="1" t="s">
        <v>1</v>
      </c>
      <c r="B2" s="1">
        <f>1-B1</f>
        <v>0.7</v>
      </c>
      <c r="C2" s="1">
        <v>1</v>
      </c>
      <c r="D2" s="1">
        <f ca="1">IF(RAND()&lt;=$B$1,4,8)</f>
        <v>8</v>
      </c>
      <c r="E2" s="1">
        <f t="shared" ref="E2:H6" ca="1" si="0">IF(RAND()&lt;=$B$1,4,8)</f>
        <v>8</v>
      </c>
      <c r="F2" s="1">
        <f t="shared" ca="1" si="0"/>
        <v>8</v>
      </c>
      <c r="G2" s="1">
        <f t="shared" ca="1" si="0"/>
        <v>8</v>
      </c>
      <c r="H2" s="1">
        <f t="shared" ca="1" si="0"/>
        <v>4</v>
      </c>
      <c r="I2" s="1"/>
      <c r="J2" s="42">
        <v>1</v>
      </c>
      <c r="K2" s="3" cm="1">
        <f t="array" aca="1" ref="K2" ca="1">INDEX($D$2:$H$6,ROUNDUP($J2/2,0),ROUNDUP(IF(MOD(K$1+INDEX(_xlfn.TEXTSPLIT(B61,",",),0,2)+$J$1,$J$1)=0,$J$1,MOD(K$1+INDEX(_xlfn.TEXTSPLIT(B61,",",),0,2)+$J$1,$J$1))/2,0))</f>
        <v>4</v>
      </c>
      <c r="L2" s="3" cm="1">
        <f t="array" aca="1" ref="L2" ca="1">INDEX($D$2:$H$6,ROUNDUP($J2/2,0),ROUNDUP(IF(MOD(L$1+INDEX(_xlfn.TEXTSPLIT(C61,",",),0,2)+$J$1,$J$1)=0,$J$1,MOD(L$1+INDEX(_xlfn.TEXTSPLIT(C61,",",),0,2)+$J$1,$J$1))/2,0))</f>
        <v>8</v>
      </c>
      <c r="M2" s="3" cm="1">
        <f t="array" aca="1" ref="M2" ca="1">INDEX($D$2:$H$6,ROUNDUP($J2/2,0),ROUNDUP(IF(MOD(M$1+INDEX(_xlfn.TEXTSPLIT(D61,",",),0,2)+$J$1,$J$1)=0,$J$1,MOD(M$1+INDEX(_xlfn.TEXTSPLIT(D61,",",),0,2)+$J$1,$J$1))/2,0))</f>
        <v>8</v>
      </c>
      <c r="N2" s="3" cm="1">
        <f t="array" aca="1" ref="N2" ca="1">INDEX($D$2:$H$6,ROUNDUP($J2/2,0),ROUNDUP(IF(MOD(N$1+INDEX(_xlfn.TEXTSPLIT(E61,",",),0,2)+$J$1,$J$1)=0,$J$1,MOD(N$1+INDEX(_xlfn.TEXTSPLIT(E61,",",),0,2)+$J$1,$J$1))/2,0))</f>
        <v>8</v>
      </c>
      <c r="O2" s="3" cm="1">
        <f t="array" aca="1" ref="O2" ca="1">INDEX($D$2:$H$6,ROUNDUP($J2/2,0),ROUNDUP(IF(MOD(O$1+INDEX(_xlfn.TEXTSPLIT(F61,",",),0,2)+$J$1,$J$1)=0,$J$1,MOD(O$1+INDEX(_xlfn.TEXTSPLIT(F61,",",),0,2)+$J$1,$J$1))/2,0))</f>
        <v>8</v>
      </c>
      <c r="P2" s="3" cm="1">
        <f t="array" aca="1" ref="P2" ca="1">INDEX($D$2:$H$6,ROUNDUP($J2/2,0),ROUNDUP(IF(MOD(P$1+INDEX(_xlfn.TEXTSPLIT(G61,",",),0,2)+$J$1,$J$1)=0,$J$1,MOD(P$1+INDEX(_xlfn.TEXTSPLIT(G61,",",),0,2)+$J$1,$J$1))/2,0))</f>
        <v>8</v>
      </c>
      <c r="Q2" s="3" cm="1">
        <f t="array" aca="1" ref="Q2" ca="1">INDEX($D$2:$H$6,ROUNDUP($J2/2,0),ROUNDUP(IF(MOD(Q$1+INDEX(_xlfn.TEXTSPLIT(H61,",",),0,2)+$J$1,$J$1)=0,$J$1,MOD(Q$1+INDEX(_xlfn.TEXTSPLIT(H61,",",),0,2)+$J$1,$J$1))/2,0))</f>
        <v>8</v>
      </c>
      <c r="R2" s="3" cm="1">
        <f t="array" aca="1" ref="R2" ca="1">INDEX($D$2:$H$6,ROUNDUP($J2/2,0),ROUNDUP(IF(MOD(R$1+INDEX(_xlfn.TEXTSPLIT(I61,",",),0,2)+$J$1,$J$1)=0,$J$1,MOD(R$1+INDEX(_xlfn.TEXTSPLIT(I61,",",),0,2)+$J$1,$J$1))/2,0))</f>
        <v>4</v>
      </c>
      <c r="S2" s="3" cm="1">
        <f t="array" aca="1" ref="S2" ca="1">INDEX($D$2:$H$6,ROUNDUP($J2/2,0),ROUNDUP(IF(MOD(S$1+INDEX(_xlfn.TEXTSPLIT(J61,",",),0,2)+$J$1,$J$1)=0,$J$1,MOD(S$1+INDEX(_xlfn.TEXTSPLIT(J61,",",),0,2)+$J$1,$J$1))/2,0))</f>
        <v>4</v>
      </c>
      <c r="T2" s="3" cm="1">
        <f t="array" aca="1" ref="T2" ca="1">INDEX($D$2:$H$6,ROUNDUP($J2/2,0),ROUNDUP(IF(MOD(T$1+INDEX(_xlfn.TEXTSPLIT(K61,",",),0,2)+$J$1,$J$1)=0,$J$1,MOD(T$1+INDEX(_xlfn.TEXTSPLIT(K61,",",),0,2)+$J$1,$J$1))/2,0))</f>
        <v>8</v>
      </c>
      <c r="U2" s="1"/>
      <c r="V2" s="1"/>
      <c r="W2" s="1">
        <v>1</v>
      </c>
      <c r="X2" s="2">
        <f ca="1">RANDBETWEEN(-3,0)</f>
        <v>0</v>
      </c>
      <c r="Y2" s="2">
        <f t="shared" ref="X2:AA2" ca="1" si="1">RANDBETWEEN(-3,0)</f>
        <v>-3</v>
      </c>
      <c r="Z2" s="2">
        <f t="shared" ca="1" si="1"/>
        <v>0</v>
      </c>
      <c r="AA2" s="2">
        <f t="shared" ca="1" si="1"/>
        <v>-2</v>
      </c>
      <c r="AB2" s="1"/>
      <c r="AC2" s="42">
        <v>1</v>
      </c>
      <c r="AD2" s="2" cm="1">
        <f t="array" aca="1" ref="AD2" ca="1">INDEX($X$2:$AA$5,ROUNDUP($AC2/2,0),ROUNDUP(IF(MOD(AD$1+INDEX(_xlfn.TEXTSPLIT(N61,",",),0,2)+$AC$1,$AC$1)=0,$AC$1,MOD(AD$1+INDEX(_xlfn.TEXTSPLIT(N61,",",),0,2)+$AC$1,$AC$1))/2,0))</f>
        <v>-2</v>
      </c>
      <c r="AE2" s="2" cm="1">
        <f t="array" aca="1" ref="AE2" ca="1">INDEX($X$2:$AA$5,ROUNDUP($AC2/2,0),ROUNDUP(IF(MOD(AE$1+INDEX(_xlfn.TEXTSPLIT(O61,",",),0,2)+$AC$1,$AC$1)=0,$AC$1,MOD(AE$1+INDEX(_xlfn.TEXTSPLIT(O61,",",),0,2)+$AC$1,$AC$1))/2,0))</f>
        <v>-3</v>
      </c>
      <c r="AF2" s="2" cm="1">
        <f t="array" aca="1" ref="AF2" ca="1">INDEX($X$2:$AA$5,ROUNDUP($AC2/2,0),ROUNDUP(IF(MOD(AF$1+INDEX(_xlfn.TEXTSPLIT(P61,",",),0,2)+$AC$1,$AC$1)=0,$AC$1,MOD(AF$1+INDEX(_xlfn.TEXTSPLIT(P61,",",),0,2)+$AC$1,$AC$1))/2,0))</f>
        <v>0</v>
      </c>
      <c r="AG2" s="2" cm="1">
        <f t="array" aca="1" ref="AG2" ca="1">INDEX($X$2:$AA$5,ROUNDUP($AC2/2,0),ROUNDUP(IF(MOD(AG$1+INDEX(_xlfn.TEXTSPLIT(Q61,",",),0,2)+$AC$1,$AC$1)=0,$AC$1,MOD(AG$1+INDEX(_xlfn.TEXTSPLIT(Q61,",",),0,2)+$AC$1,$AC$1))/2,0))</f>
        <v>-3</v>
      </c>
      <c r="AH2" s="2" cm="1">
        <f t="array" aca="1" ref="AH2" ca="1">INDEX($X$2:$AA$5,ROUNDUP($AC2/2,0),ROUNDUP(IF(MOD(AH$1+INDEX(_xlfn.TEXTSPLIT(R61,",",),0,2)+$AC$1,$AC$1)=0,$AC$1,MOD(AH$1+INDEX(_xlfn.TEXTSPLIT(R61,",",),0,2)+$AC$1,$AC$1))/2,0))</f>
        <v>0</v>
      </c>
      <c r="AI2" s="2" cm="1">
        <f t="array" aca="1" ref="AI2" ca="1">INDEX($X$2:$AA$5,ROUNDUP($AC2/2,0),ROUNDUP(IF(MOD(AI$1+INDEX(_xlfn.TEXTSPLIT(S61,",",),0,2)+$AC$1,$AC$1)=0,$AC$1,MOD(AI$1+INDEX(_xlfn.TEXTSPLIT(S61,",",),0,2)+$AC$1,$AC$1))/2,0))</f>
        <v>-2</v>
      </c>
      <c r="AJ2" s="2" cm="1">
        <f t="array" aca="1" ref="AJ2" ca="1">INDEX($X$2:$AA$5,ROUNDUP($AC2/2,0),ROUNDUP(IF(MOD(AJ$1+INDEX(_xlfn.TEXTSPLIT(T61,",",),0,2)+$AC$1,$AC$1)=0,$AC$1,MOD(AJ$1+INDEX(_xlfn.TEXTSPLIT(T61,",",),0,2)+$AC$1,$AC$1))/2,0))</f>
        <v>0</v>
      </c>
      <c r="AK2" s="2" cm="1">
        <f t="array" aca="1" ref="AK2" ca="1">INDEX($X$2:$AA$5,ROUNDUP($AC2/2,0),ROUNDUP(IF(MOD(AK$1+INDEX(_xlfn.TEXTSPLIT(U61,",",),0,2)+$AC$1,$AC$1)=0,$AC$1,MOD(AK$1+INDEX(_xlfn.TEXTSPLIT(U61,",",),0,2)+$AC$1,$AC$1))/2,0))</f>
        <v>-2</v>
      </c>
    </row>
    <row r="3" spans="1:41" ht="12.75">
      <c r="A3" s="1"/>
      <c r="B3" s="1"/>
      <c r="C3" s="1">
        <v>2</v>
      </c>
      <c r="D3" s="1">
        <f t="shared" ref="D3:H6" ca="1" si="2">IF(RAND()&lt;=$B$1,4,8)</f>
        <v>8</v>
      </c>
      <c r="E3" s="1">
        <f t="shared" ca="1" si="0"/>
        <v>8</v>
      </c>
      <c r="F3" s="1">
        <f t="shared" ca="1" si="0"/>
        <v>4</v>
      </c>
      <c r="G3" s="1">
        <f t="shared" ca="1" si="0"/>
        <v>8</v>
      </c>
      <c r="H3" s="1">
        <f t="shared" ca="1" si="0"/>
        <v>8</v>
      </c>
      <c r="I3" s="1"/>
      <c r="J3" s="42">
        <v>2</v>
      </c>
      <c r="K3" s="1" cm="1">
        <f t="array" aca="1" ref="K3" ca="1">INDEX($D$2:$H$6,ROUNDUP(IF(MOD($J3+INDEX(_xlfn.TEXTSPLIT(B62,",",),0,1)+$J$1,$J$1)=0,$J$1,MOD($J3+INDEX(_xlfn.TEXTSPLIT(B62,",",),0,1)+$J$1,$J$1))/2,0),ROUNDUP(IF(MOD(K$1+INDEX(_xlfn.TEXTSPLIT(B62,",",),0,2)+$J$1,$J$1)=0,$J$1,MOD(K$1+INDEX(_xlfn.TEXTSPLIT(B62,",",),0,2)+$J$1,$J$1))/2,0))</f>
        <v>8</v>
      </c>
      <c r="L3" s="1" cm="1">
        <f t="array" aca="1" ref="L3" ca="1">INDEX($D$2:$H$6,ROUNDUP(IF(MOD($J3+INDEX(_xlfn.TEXTSPLIT(C62,",",),0,1)+$J$1,$J$1)=0,$J$1,MOD($J3+INDEX(_xlfn.TEXTSPLIT(C62,",",),0,1)+$J$1,$J$1))/2,0),ROUNDUP(IF(MOD(L$1+INDEX(_xlfn.TEXTSPLIT(C62,",",),0,2)+$J$1,$J$1)=0,$J$1,MOD(L$1+INDEX(_xlfn.TEXTSPLIT(C62,",",),0,2)+$J$1,$J$1))/2,0))</f>
        <v>8</v>
      </c>
      <c r="M3" s="1" cm="1">
        <f t="array" aca="1" ref="M3" ca="1">INDEX($D$2:$H$6,ROUNDUP(IF(MOD($J3+INDEX(_xlfn.TEXTSPLIT(D62,",",),0,1)+$J$1,$J$1)=0,$J$1,MOD($J3+INDEX(_xlfn.TEXTSPLIT(D62,",",),0,1)+$J$1,$J$1))/2,0),ROUNDUP(IF(MOD(M$1+INDEX(_xlfn.TEXTSPLIT(D62,",",),0,2)+$J$1,$J$1)=0,$J$1,MOD(M$1+INDEX(_xlfn.TEXTSPLIT(D62,",",),0,2)+$J$1,$J$1))/2,0))</f>
        <v>8</v>
      </c>
      <c r="N3" s="1" cm="1">
        <f t="array" aca="1" ref="N3" ca="1">INDEX($D$2:$H$6,ROUNDUP(IF(MOD($J3+INDEX(_xlfn.TEXTSPLIT(E62,",",),0,1)+$J$1,$J$1)=0,$J$1,MOD($J3+INDEX(_xlfn.TEXTSPLIT(E62,",",),0,1)+$J$1,$J$1))/2,0),ROUNDUP(IF(MOD(N$1+INDEX(_xlfn.TEXTSPLIT(E62,",",),0,2)+$J$1,$J$1)=0,$J$1,MOD(N$1+INDEX(_xlfn.TEXTSPLIT(E62,",",),0,2)+$J$1,$J$1))/2,0))</f>
        <v>8</v>
      </c>
      <c r="O3" s="1" cm="1">
        <f t="array" aca="1" ref="O3" ca="1">INDEX($D$2:$H$6,ROUNDUP(IF(MOD($J3+INDEX(_xlfn.TEXTSPLIT(F62,",",),0,1)+$J$1,$J$1)=0,$J$1,MOD($J3+INDEX(_xlfn.TEXTSPLIT(F62,",",),0,1)+$J$1,$J$1))/2,0),ROUNDUP(IF(MOD(O$1+INDEX(_xlfn.TEXTSPLIT(F62,",",),0,2)+$J$1,$J$1)=0,$J$1,MOD(O$1+INDEX(_xlfn.TEXTSPLIT(F62,",",),0,2)+$J$1,$J$1))/2,0))</f>
        <v>8</v>
      </c>
      <c r="P3" s="1" cm="1">
        <f t="array" aca="1" ref="P3" ca="1">INDEX($D$2:$H$6,ROUNDUP(IF(MOD($J3+INDEX(_xlfn.TEXTSPLIT(G62,",",),0,1)+$J$1,$J$1)=0,$J$1,MOD($J3+INDEX(_xlfn.TEXTSPLIT(G62,",",),0,1)+$J$1,$J$1))/2,0),ROUNDUP(IF(MOD(P$1+INDEX(_xlfn.TEXTSPLIT(G62,",",),0,2)+$J$1,$J$1)=0,$J$1,MOD(P$1+INDEX(_xlfn.TEXTSPLIT(G62,",",),0,2)+$J$1,$J$1))/2,0))</f>
        <v>8</v>
      </c>
      <c r="Q3" s="1" cm="1">
        <f t="array" aca="1" ref="Q3" ca="1">INDEX($D$2:$H$6,ROUNDUP(IF(MOD($J3+INDEX(_xlfn.TEXTSPLIT(H62,",",),0,1)+$J$1,$J$1)=0,$J$1,MOD($J3+INDEX(_xlfn.TEXTSPLIT(H62,",",),0,1)+$J$1,$J$1))/2,0),ROUNDUP(IF(MOD(Q$1+INDEX(_xlfn.TEXTSPLIT(H62,",",),0,2)+$J$1,$J$1)=0,$J$1,MOD(Q$1+INDEX(_xlfn.TEXTSPLIT(H62,",",),0,2)+$J$1,$J$1))/2,0))</f>
        <v>8</v>
      </c>
      <c r="R3" s="1" cm="1">
        <f t="array" aca="1" ref="R3" ca="1">INDEX($D$2:$H$6,ROUNDUP(IF(MOD($J3+INDEX(_xlfn.TEXTSPLIT(I62,",",),0,1)+$J$1,$J$1)=0,$J$1,MOD($J3+INDEX(_xlfn.TEXTSPLIT(I62,",",),0,1)+$J$1,$J$1))/2,0),ROUNDUP(IF(MOD(R$1+INDEX(_xlfn.TEXTSPLIT(I62,",",),0,2)+$J$1,$J$1)=0,$J$1,MOD(R$1+INDEX(_xlfn.TEXTSPLIT(I62,",",),0,2)+$J$1,$J$1))/2,0))</f>
        <v>8</v>
      </c>
      <c r="S3" s="1" cm="1">
        <f t="array" aca="1" ref="S3" ca="1">INDEX($D$2:$H$6,ROUNDUP(IF(MOD($J3+INDEX(_xlfn.TEXTSPLIT(J62,",",),0,1)+$J$1,$J$1)=0,$J$1,MOD($J3+INDEX(_xlfn.TEXTSPLIT(J62,",",),0,1)+$J$1,$J$1))/2,0),ROUNDUP(IF(MOD(S$1+INDEX(_xlfn.TEXTSPLIT(J62,",",),0,2)+$J$1,$J$1)=0,$J$1,MOD(S$1+INDEX(_xlfn.TEXTSPLIT(J62,",",),0,2)+$J$1,$J$1))/2,0))</f>
        <v>8</v>
      </c>
      <c r="T3" s="1" cm="1">
        <f t="array" aca="1" ref="T3" ca="1">INDEX($D$2:$H$6,ROUNDUP(IF(MOD($J3+INDEX(_xlfn.TEXTSPLIT(K62,",",),0,1)+$J$1,$J$1)=0,$J$1,MOD($J3+INDEX(_xlfn.TEXTSPLIT(K62,",",),0,1)+$J$1,$J$1))/2,0),ROUNDUP(IF(MOD(T$1+INDEX(_xlfn.TEXTSPLIT(K62,",",),0,2)+$J$1,$J$1)=0,$J$1,MOD(T$1+INDEX(_xlfn.TEXTSPLIT(K62,",",),0,2)+$J$1,$J$1))/2,0))</f>
        <v>4</v>
      </c>
      <c r="U3" s="1"/>
      <c r="V3" s="1"/>
      <c r="W3" s="1">
        <v>2</v>
      </c>
      <c r="X3" s="2">
        <f t="shared" ref="X3:AA3" ca="1" si="3">RANDBETWEEN(-3,0)</f>
        <v>-2</v>
      </c>
      <c r="Y3" s="2">
        <f t="shared" ca="1" si="3"/>
        <v>-1</v>
      </c>
      <c r="Z3" s="2">
        <f t="shared" ca="1" si="3"/>
        <v>-1</v>
      </c>
      <c r="AA3" s="2">
        <f t="shared" ca="1" si="3"/>
        <v>-3</v>
      </c>
      <c r="AB3" s="1"/>
      <c r="AC3" s="42">
        <v>2</v>
      </c>
      <c r="AD3" s="2" cm="1">
        <f t="array" aca="1" ref="AD3" ca="1">INDEX($X$2:$AA$5,ROUNDUP(IF(MOD($AC3+INDEX(_xlfn.TEXTSPLIT(N62,",",),0,1)+$AC$1,$AC$1)=0,$AC$1,MOD($AC3+INDEX(_xlfn.TEXTSPLIT(N62,",",),0,1)+$AC$1,$AC$1))/2,0),ROUNDUP(IF(MOD(AD$1+INDEX(_xlfn.TEXTSPLIT(N62,",",),0,2)+$AC$1,$AC$1)=0,$AC$1,MOD(AD$1+INDEX(_xlfn.TEXTSPLIT(N62,",",),0,2)+$AC$1,$AC$1))/2,0))</f>
        <v>-3</v>
      </c>
      <c r="AE3" s="2" cm="1">
        <f t="array" aca="1" ref="AE3" ca="1">INDEX($X$2:$AA$5,ROUNDUP(IF(MOD($AC3+INDEX(_xlfn.TEXTSPLIT(O62,",",),0,1)+$AC$1,$AC$1)=0,$AC$1,MOD($AC3+INDEX(_xlfn.TEXTSPLIT(O62,",",),0,1)+$AC$1,$AC$1))/2,0),ROUNDUP(IF(MOD(AE$1+INDEX(_xlfn.TEXTSPLIT(O62,",",),0,2)+$AC$1,$AC$1)=0,$AC$1,MOD(AE$1+INDEX(_xlfn.TEXTSPLIT(O62,",",),0,2)+$AC$1,$AC$1))/2,0))</f>
        <v>0</v>
      </c>
      <c r="AF3" s="2" cm="1">
        <f t="array" aca="1" ref="AF3" ca="1">INDEX($X$2:$AA$5,ROUNDUP(IF(MOD($AC3+INDEX(_xlfn.TEXTSPLIT(P62,",",),0,1)+$AC$1,$AC$1)=0,$AC$1,MOD($AC3+INDEX(_xlfn.TEXTSPLIT(P62,",",),0,1)+$AC$1,$AC$1))/2,0),ROUNDUP(IF(MOD(AF$1+INDEX(_xlfn.TEXTSPLIT(P62,",",),0,2)+$AC$1,$AC$1)=0,$AC$1,MOD(AF$1+INDEX(_xlfn.TEXTSPLIT(P62,",",),0,2)+$AC$1,$AC$1))/2,0))</f>
        <v>-3</v>
      </c>
      <c r="AG3" s="2" cm="1">
        <f t="array" aca="1" ref="AG3" ca="1">INDEX($X$2:$AA$5,ROUNDUP(IF(MOD($AC3+INDEX(_xlfn.TEXTSPLIT(Q62,",",),0,1)+$AC$1,$AC$1)=0,$AC$1,MOD($AC3+INDEX(_xlfn.TEXTSPLIT(Q62,",",),0,1)+$AC$1,$AC$1))/2,0),ROUNDUP(IF(MOD(AG$1+INDEX(_xlfn.TEXTSPLIT(Q62,",",),0,2)+$AC$1,$AC$1)=0,$AC$1,MOD(AG$1+INDEX(_xlfn.TEXTSPLIT(Q62,",",),0,2)+$AC$1,$AC$1))/2,0))</f>
        <v>-3</v>
      </c>
      <c r="AH3" s="2" cm="1">
        <f t="array" aca="1" ref="AH3" ca="1">INDEX($X$2:$AA$5,ROUNDUP(IF(MOD($AC3+INDEX(_xlfn.TEXTSPLIT(R62,",",),0,1)+$AC$1,$AC$1)=0,$AC$1,MOD($AC3+INDEX(_xlfn.TEXTSPLIT(R62,",",),0,1)+$AC$1,$AC$1))/2,0),ROUNDUP(IF(MOD(AH$1+INDEX(_xlfn.TEXTSPLIT(R62,",",),0,2)+$AC$1,$AC$1)=0,$AC$1,MOD(AH$1+INDEX(_xlfn.TEXTSPLIT(R62,",",),0,2)+$AC$1,$AC$1))/2,0))</f>
        <v>-3</v>
      </c>
      <c r="AI3" s="2" cm="1">
        <f t="array" aca="1" ref="AI3" ca="1">INDEX($X$2:$AA$5,ROUNDUP(IF(MOD($AC3+INDEX(_xlfn.TEXTSPLIT(S62,",",),0,1)+$AC$1,$AC$1)=0,$AC$1,MOD($AC3+INDEX(_xlfn.TEXTSPLIT(S62,",",),0,1)+$AC$1,$AC$1))/2,0),ROUNDUP(IF(MOD(AI$1+INDEX(_xlfn.TEXTSPLIT(S62,",",),0,2)+$AC$1,$AC$1)=0,$AC$1,MOD(AI$1+INDEX(_xlfn.TEXTSPLIT(S62,",",),0,2)+$AC$1,$AC$1))/2,0))</f>
        <v>0</v>
      </c>
      <c r="AJ3" s="2" cm="1">
        <f t="array" aca="1" ref="AJ3" ca="1">INDEX($X$2:$AA$5,ROUNDUP(IF(MOD($AC3+INDEX(_xlfn.TEXTSPLIT(T62,",",),0,1)+$AC$1,$AC$1)=0,$AC$1,MOD($AC3+INDEX(_xlfn.TEXTSPLIT(T62,",",),0,1)+$AC$1,$AC$1))/2,0),ROUNDUP(IF(MOD(AJ$1+INDEX(_xlfn.TEXTSPLIT(T62,",",),0,2)+$AC$1,$AC$1)=0,$AC$1,MOD(AJ$1+INDEX(_xlfn.TEXTSPLIT(T62,",",),0,2)+$AC$1,$AC$1))/2,0))</f>
        <v>-2</v>
      </c>
      <c r="AK3" s="2" cm="1">
        <f t="array" aca="1" ref="AK3" ca="1">INDEX($X$2:$AA$5,ROUNDUP(IF(MOD($AC3+INDEX(_xlfn.TEXTSPLIT(U62,",",),0,1)+$AC$1,$AC$1)=0,$AC$1,MOD($AC3+INDEX(_xlfn.TEXTSPLIT(U62,",",),0,1)+$AC$1,$AC$1))/2,0),ROUNDUP(IF(MOD(AK$1+INDEX(_xlfn.TEXTSPLIT(U62,",",),0,2)+$AC$1,$AC$1)=0,$AC$1,MOD(AK$1+INDEX(_xlfn.TEXTSPLIT(U62,",",),0,2)+$AC$1,$AC$1))/2,0))</f>
        <v>-3</v>
      </c>
    </row>
    <row r="4" spans="1:41" ht="12.75">
      <c r="A4" s="1"/>
      <c r="B4" s="1"/>
      <c r="C4" s="1">
        <v>3</v>
      </c>
      <c r="D4" s="1">
        <f t="shared" ca="1" si="2"/>
        <v>4</v>
      </c>
      <c r="E4" s="1">
        <f t="shared" ca="1" si="0"/>
        <v>8</v>
      </c>
      <c r="F4" s="1">
        <f t="shared" ca="1" si="0"/>
        <v>8</v>
      </c>
      <c r="G4" s="1">
        <f t="shared" ca="1" si="0"/>
        <v>8</v>
      </c>
      <c r="H4" s="1">
        <f t="shared" ca="1" si="0"/>
        <v>8</v>
      </c>
      <c r="I4" s="1"/>
      <c r="J4" s="42">
        <v>3</v>
      </c>
      <c r="K4" s="1" cm="1">
        <f t="array" aca="1" ref="K4" ca="1">INDEX($D$2:$H$6,ROUNDUP(IF(MOD($J4+INDEX(_xlfn.TEXTSPLIT(B63,",",),0,1)+$J$1,$J$1)=0,$J$1,MOD($J4+INDEX(_xlfn.TEXTSPLIT(B63,",",),0,1)+$J$1,$J$1))/2,0),ROUNDUP(IF(MOD(K$1+INDEX(_xlfn.TEXTSPLIT(B63,",",),0,2)+$J$1,$J$1)=0,$J$1,MOD(K$1+INDEX(_xlfn.TEXTSPLIT(B63,",",),0,2)+$J$1,$J$1))/2,0))</f>
        <v>8</v>
      </c>
      <c r="L4" s="1" cm="1">
        <f t="array" aca="1" ref="L4" ca="1">INDEX($D$2:$H$6,ROUNDUP(IF(MOD($J4+INDEX(_xlfn.TEXTSPLIT(C63,",",),0,1)+$J$1,$J$1)=0,$J$1,MOD($J4+INDEX(_xlfn.TEXTSPLIT(C63,",",),0,1)+$J$1,$J$1))/2,0),ROUNDUP(IF(MOD(L$1+INDEX(_xlfn.TEXTSPLIT(C63,",",),0,2)+$J$1,$J$1)=0,$J$1,MOD(L$1+INDEX(_xlfn.TEXTSPLIT(C63,",",),0,2)+$J$1,$J$1))/2,0))</f>
        <v>8</v>
      </c>
      <c r="M4" s="1" cm="1">
        <f t="array" aca="1" ref="M4" ca="1">INDEX($D$2:$H$6,ROUNDUP(IF(MOD($J4+INDEX(_xlfn.TEXTSPLIT(D63,",",),0,1)+$J$1,$J$1)=0,$J$1,MOD($J4+INDEX(_xlfn.TEXTSPLIT(D63,",",),0,1)+$J$1,$J$1))/2,0),ROUNDUP(IF(MOD(M$1+INDEX(_xlfn.TEXTSPLIT(D63,",",),0,2)+$J$1,$J$1)=0,$J$1,MOD(M$1+INDEX(_xlfn.TEXTSPLIT(D63,",",),0,2)+$J$1,$J$1))/2,0))</f>
        <v>8</v>
      </c>
      <c r="N4" s="1" cm="1">
        <f t="array" aca="1" ref="N4" ca="1">INDEX($D$2:$H$6,ROUNDUP(IF(MOD($J4+INDEX(_xlfn.TEXTSPLIT(E63,",",),0,1)+$J$1,$J$1)=0,$J$1,MOD($J4+INDEX(_xlfn.TEXTSPLIT(E63,",",),0,1)+$J$1,$J$1))/2,0),ROUNDUP(IF(MOD(N$1+INDEX(_xlfn.TEXTSPLIT(E63,",",),0,2)+$J$1,$J$1)=0,$J$1,MOD(N$1+INDEX(_xlfn.TEXTSPLIT(E63,",",),0,2)+$J$1,$J$1))/2,0))</f>
        <v>4</v>
      </c>
      <c r="O4" s="1" cm="1">
        <f t="array" aca="1" ref="O4" ca="1">INDEX($D$2:$H$6,ROUNDUP(IF(MOD($J4+INDEX(_xlfn.TEXTSPLIT(F63,",",),0,1)+$J$1,$J$1)=0,$J$1,MOD($J4+INDEX(_xlfn.TEXTSPLIT(F63,",",),0,1)+$J$1,$J$1))/2,0),ROUNDUP(IF(MOD(O$1+INDEX(_xlfn.TEXTSPLIT(F63,",",),0,2)+$J$1,$J$1)=0,$J$1,MOD(O$1+INDEX(_xlfn.TEXTSPLIT(F63,",",),0,2)+$J$1,$J$1))/2,0))</f>
        <v>8</v>
      </c>
      <c r="P4" s="1" cm="1">
        <f t="array" aca="1" ref="P4" ca="1">INDEX($D$2:$H$6,ROUNDUP(IF(MOD($J4+INDEX(_xlfn.TEXTSPLIT(G63,",",),0,1)+$J$1,$J$1)=0,$J$1,MOD($J4+INDEX(_xlfn.TEXTSPLIT(G63,",",),0,1)+$J$1,$J$1))/2,0),ROUNDUP(IF(MOD(P$1+INDEX(_xlfn.TEXTSPLIT(G63,",",),0,2)+$J$1,$J$1)=0,$J$1,MOD(P$1+INDEX(_xlfn.TEXTSPLIT(G63,",",),0,2)+$J$1,$J$1))/2,0))</f>
        <v>8</v>
      </c>
      <c r="Q4" s="1" cm="1">
        <f t="array" aca="1" ref="Q4" ca="1">INDEX($D$2:$H$6,ROUNDUP(IF(MOD($J4+INDEX(_xlfn.TEXTSPLIT(H63,",",),0,1)+$J$1,$J$1)=0,$J$1,MOD($J4+INDEX(_xlfn.TEXTSPLIT(H63,",",),0,1)+$J$1,$J$1))/2,0),ROUNDUP(IF(MOD(Q$1+INDEX(_xlfn.TEXTSPLIT(H63,",",),0,2)+$J$1,$J$1)=0,$J$1,MOD(Q$1+INDEX(_xlfn.TEXTSPLIT(H63,",",),0,2)+$J$1,$J$1))/2,0))</f>
        <v>4</v>
      </c>
      <c r="R4" s="1" cm="1">
        <f t="array" aca="1" ref="R4" ca="1">INDEX($D$2:$H$6,ROUNDUP(IF(MOD($J4+INDEX(_xlfn.TEXTSPLIT(I63,",",),0,1)+$J$1,$J$1)=0,$J$1,MOD($J4+INDEX(_xlfn.TEXTSPLIT(I63,",",),0,1)+$J$1,$J$1))/2,0),ROUNDUP(IF(MOD(R$1+INDEX(_xlfn.TEXTSPLIT(I63,",",),0,2)+$J$1,$J$1)=0,$J$1,MOD(R$1+INDEX(_xlfn.TEXTSPLIT(I63,",",),0,2)+$J$1,$J$1))/2,0))</f>
        <v>8</v>
      </c>
      <c r="S4" s="1" cm="1">
        <f t="array" aca="1" ref="S4" ca="1">INDEX($D$2:$H$6,ROUNDUP(IF(MOD($J4+INDEX(_xlfn.TEXTSPLIT(J63,",",),0,1)+$J$1,$J$1)=0,$J$1,MOD($J4+INDEX(_xlfn.TEXTSPLIT(J63,",",),0,1)+$J$1,$J$1))/2,0),ROUNDUP(IF(MOD(S$1+INDEX(_xlfn.TEXTSPLIT(J63,",",),0,2)+$J$1,$J$1)=0,$J$1,MOD(S$1+INDEX(_xlfn.TEXTSPLIT(J63,",",),0,2)+$J$1,$J$1))/2,0))</f>
        <v>8</v>
      </c>
      <c r="T4" s="1" cm="1">
        <f t="array" aca="1" ref="T4" ca="1">INDEX($D$2:$H$6,ROUNDUP(IF(MOD($J4+INDEX(_xlfn.TEXTSPLIT(K63,",",),0,1)+$J$1,$J$1)=0,$J$1,MOD($J4+INDEX(_xlfn.TEXTSPLIT(K63,",",),0,1)+$J$1,$J$1))/2,0),ROUNDUP(IF(MOD(T$1+INDEX(_xlfn.TEXTSPLIT(K63,",",),0,2)+$J$1,$J$1)=0,$J$1,MOD(T$1+INDEX(_xlfn.TEXTSPLIT(K63,",",),0,2)+$J$1,$J$1))/2,0))</f>
        <v>8</v>
      </c>
      <c r="U4" s="1"/>
      <c r="V4" s="1"/>
      <c r="W4" s="1">
        <v>3</v>
      </c>
      <c r="X4" s="2">
        <f t="shared" ref="X4:AA4" ca="1" si="4">RANDBETWEEN(-3,0)</f>
        <v>-2</v>
      </c>
      <c r="Y4" s="2">
        <f t="shared" ca="1" si="4"/>
        <v>-1</v>
      </c>
      <c r="Z4" s="2">
        <f t="shared" ca="1" si="4"/>
        <v>-1</v>
      </c>
      <c r="AA4" s="2">
        <f t="shared" ca="1" si="4"/>
        <v>0</v>
      </c>
      <c r="AB4" s="1"/>
      <c r="AC4" s="42">
        <v>3</v>
      </c>
      <c r="AD4" s="2" cm="1">
        <f t="array" aca="1" ref="AD4" ca="1">INDEX($X$2:$AA$5,ROUNDUP(IF(MOD($AC4+INDEX(_xlfn.TEXTSPLIT(N63,",",),0,1)+$AC$1,$AC$1)=0,$AC$1,MOD($AC4+INDEX(_xlfn.TEXTSPLIT(N63,",",),0,1)+$AC$1,$AC$1))/2,0),ROUNDUP(IF(MOD(AD$1+INDEX(_xlfn.TEXTSPLIT(N63,",",),0,2)+$AC$1,$AC$1)=0,$AC$1,MOD(AD$1+INDEX(_xlfn.TEXTSPLIT(N63,",",),0,2)+$AC$1,$AC$1))/2,0))</f>
        <v>-2</v>
      </c>
      <c r="AE4" s="2" cm="1">
        <f t="array" aca="1" ref="AE4" ca="1">INDEX($X$2:$AA$5,ROUNDUP(IF(MOD($AC4+INDEX(_xlfn.TEXTSPLIT(O63,",",),0,1)+$AC$1,$AC$1)=0,$AC$1,MOD($AC4+INDEX(_xlfn.TEXTSPLIT(O63,",",),0,1)+$AC$1,$AC$1))/2,0),ROUNDUP(IF(MOD(AE$1+INDEX(_xlfn.TEXTSPLIT(O63,",",),0,2)+$AC$1,$AC$1)=0,$AC$1,MOD(AE$1+INDEX(_xlfn.TEXTSPLIT(O63,",",),0,2)+$AC$1,$AC$1))/2,0))</f>
        <v>-1</v>
      </c>
      <c r="AF4" s="2" cm="1">
        <f t="array" aca="1" ref="AF4" ca="1">INDEX($X$2:$AA$5,ROUNDUP(IF(MOD($AC4+INDEX(_xlfn.TEXTSPLIT(P63,",",),0,1)+$AC$1,$AC$1)=0,$AC$1,MOD($AC4+INDEX(_xlfn.TEXTSPLIT(P63,",",),0,1)+$AC$1,$AC$1))/2,0),ROUNDUP(IF(MOD(AF$1+INDEX(_xlfn.TEXTSPLIT(P63,",",),0,2)+$AC$1,$AC$1)=0,$AC$1,MOD(AF$1+INDEX(_xlfn.TEXTSPLIT(P63,",",),0,2)+$AC$1,$AC$1))/2,0))</f>
        <v>-1</v>
      </c>
      <c r="AG4" s="2" cm="1">
        <f t="array" aca="1" ref="AG4" ca="1">INDEX($X$2:$AA$5,ROUNDUP(IF(MOD($AC4+INDEX(_xlfn.TEXTSPLIT(Q63,",",),0,1)+$AC$1,$AC$1)=0,$AC$1,MOD($AC4+INDEX(_xlfn.TEXTSPLIT(Q63,",",),0,1)+$AC$1,$AC$1))/2,0),ROUNDUP(IF(MOD(AG$1+INDEX(_xlfn.TEXTSPLIT(Q63,",",),0,2)+$AC$1,$AC$1)=0,$AC$1,MOD(AG$1+INDEX(_xlfn.TEXTSPLIT(Q63,",",),0,2)+$AC$1,$AC$1))/2,0))</f>
        <v>-3</v>
      </c>
      <c r="AH4" s="2" cm="1">
        <f t="array" aca="1" ref="AH4" ca="1">INDEX($X$2:$AA$5,ROUNDUP(IF(MOD($AC4+INDEX(_xlfn.TEXTSPLIT(R63,",",),0,1)+$AC$1,$AC$1)=0,$AC$1,MOD($AC4+INDEX(_xlfn.TEXTSPLIT(R63,",",),0,1)+$AC$1,$AC$1))/2,0),ROUNDUP(IF(MOD(AH$1+INDEX(_xlfn.TEXTSPLIT(R63,",",),0,2)+$AC$1,$AC$1)=0,$AC$1,MOD(AH$1+INDEX(_xlfn.TEXTSPLIT(R63,",",),0,2)+$AC$1,$AC$1))/2,0))</f>
        <v>-1</v>
      </c>
      <c r="AI4" s="2" cm="1">
        <f t="array" aca="1" ref="AI4" ca="1">INDEX($X$2:$AA$5,ROUNDUP(IF(MOD($AC4+INDEX(_xlfn.TEXTSPLIT(S63,",",),0,1)+$AC$1,$AC$1)=0,$AC$1,MOD($AC4+INDEX(_xlfn.TEXTSPLIT(S63,",",),0,1)+$AC$1,$AC$1))/2,0),ROUNDUP(IF(MOD(AI$1+INDEX(_xlfn.TEXTSPLIT(S63,",",),0,2)+$AC$1,$AC$1)=0,$AC$1,MOD(AI$1+INDEX(_xlfn.TEXTSPLIT(S63,",",),0,2)+$AC$1,$AC$1))/2,0))</f>
        <v>-3</v>
      </c>
      <c r="AJ4" s="2" cm="1">
        <f t="array" aca="1" ref="AJ4" ca="1">INDEX($X$2:$AA$5,ROUNDUP(IF(MOD($AC4+INDEX(_xlfn.TEXTSPLIT(T63,",",),0,1)+$AC$1,$AC$1)=0,$AC$1,MOD($AC4+INDEX(_xlfn.TEXTSPLIT(T63,",",),0,1)+$AC$1,$AC$1))/2,0),ROUNDUP(IF(MOD(AJ$1+INDEX(_xlfn.TEXTSPLIT(T63,",",),0,2)+$AC$1,$AC$1)=0,$AC$1,MOD(AJ$1+INDEX(_xlfn.TEXTSPLIT(T63,",",),0,2)+$AC$1,$AC$1))/2,0))</f>
        <v>-3</v>
      </c>
      <c r="AK4" s="2" cm="1">
        <f t="array" aca="1" ref="AK4" ca="1">INDEX($X$2:$AA$5,ROUNDUP(IF(MOD($AC4+INDEX(_xlfn.TEXTSPLIT(U63,",",),0,1)+$AC$1,$AC$1)=0,$AC$1,MOD($AC4+INDEX(_xlfn.TEXTSPLIT(U63,",",),0,1)+$AC$1,$AC$1))/2,0),ROUNDUP(IF(MOD(AK$1+INDEX(_xlfn.TEXTSPLIT(U63,",",),0,2)+$AC$1,$AC$1)=0,$AC$1,MOD(AK$1+INDEX(_xlfn.TEXTSPLIT(U63,",",),0,2)+$AC$1,$AC$1))/2,0))</f>
        <v>-3</v>
      </c>
    </row>
    <row r="5" spans="1:41" ht="12.75">
      <c r="A5" s="1"/>
      <c r="B5" s="1"/>
      <c r="C5" s="1">
        <v>4</v>
      </c>
      <c r="D5" s="1">
        <f t="shared" ca="1" si="2"/>
        <v>4</v>
      </c>
      <c r="E5" s="1">
        <f t="shared" ca="1" si="0"/>
        <v>8</v>
      </c>
      <c r="F5" s="1">
        <f t="shared" ca="1" si="0"/>
        <v>8</v>
      </c>
      <c r="G5" s="1">
        <f t="shared" ca="1" si="0"/>
        <v>8</v>
      </c>
      <c r="H5" s="1">
        <f t="shared" ca="1" si="0"/>
        <v>8</v>
      </c>
      <c r="I5" s="1"/>
      <c r="J5" s="42">
        <v>4</v>
      </c>
      <c r="K5" s="1" cm="1">
        <f t="array" aca="1" ref="K5" ca="1">INDEX($D$2:$H$6,ROUNDUP(IF(MOD($J5+INDEX(_xlfn.TEXTSPLIT(B64,",",),0,1)+$J$1,$J$1)=0,$J$1,MOD($J5+INDEX(_xlfn.TEXTSPLIT(B64,",",),0,1)+$J$1,$J$1))/2,0),ROUNDUP(IF(MOD(K$1+INDEX(_xlfn.TEXTSPLIT(B64,",",),0,2)+$J$1,$J$1)=0,$J$1,MOD(K$1+INDEX(_xlfn.TEXTSPLIT(B64,",",),0,2)+$J$1,$J$1))/2,0))</f>
        <v>8</v>
      </c>
      <c r="L5" s="1" cm="1">
        <f t="array" aca="1" ref="L5" ca="1">INDEX($D$2:$H$6,ROUNDUP(IF(MOD($J5+INDEX(_xlfn.TEXTSPLIT(C64,",",),0,1)+$J$1,$J$1)=0,$J$1,MOD($J5+INDEX(_xlfn.TEXTSPLIT(C64,",",),0,1)+$J$1,$J$1))/2,0),ROUNDUP(IF(MOD(L$1+INDEX(_xlfn.TEXTSPLIT(C64,",",),0,2)+$J$1,$J$1)=0,$J$1,MOD(L$1+INDEX(_xlfn.TEXTSPLIT(C64,",",),0,2)+$J$1,$J$1))/2,0))</f>
        <v>8</v>
      </c>
      <c r="M5" s="1" cm="1">
        <f t="array" aca="1" ref="M5" ca="1">INDEX($D$2:$H$6,ROUNDUP(IF(MOD($J5+INDEX(_xlfn.TEXTSPLIT(D64,",",),0,1)+$J$1,$J$1)=0,$J$1,MOD($J5+INDEX(_xlfn.TEXTSPLIT(D64,",",),0,1)+$J$1,$J$1))/2,0),ROUNDUP(IF(MOD(M$1+INDEX(_xlfn.TEXTSPLIT(D64,",",),0,2)+$J$1,$J$1)=0,$J$1,MOD(M$1+INDEX(_xlfn.TEXTSPLIT(D64,",",),0,2)+$J$1,$J$1))/2,0))</f>
        <v>8</v>
      </c>
      <c r="N5" s="1" cm="1">
        <f t="array" aca="1" ref="N5" ca="1">INDEX($D$2:$H$6,ROUNDUP(IF(MOD($J5+INDEX(_xlfn.TEXTSPLIT(E64,",",),0,1)+$J$1,$J$1)=0,$J$1,MOD($J5+INDEX(_xlfn.TEXTSPLIT(E64,",",),0,1)+$J$1,$J$1))/2,0),ROUNDUP(IF(MOD(N$1+INDEX(_xlfn.TEXTSPLIT(E64,",",),0,2)+$J$1,$J$1)=0,$J$1,MOD(N$1+INDEX(_xlfn.TEXTSPLIT(E64,",",),0,2)+$J$1,$J$1))/2,0))</f>
        <v>8</v>
      </c>
      <c r="O5" s="1" cm="1">
        <f t="array" aca="1" ref="O5" ca="1">INDEX($D$2:$H$6,ROUNDUP(IF(MOD($J5+INDEX(_xlfn.TEXTSPLIT(F64,",",),0,1)+$J$1,$J$1)=0,$J$1,MOD($J5+INDEX(_xlfn.TEXTSPLIT(F64,",",),0,1)+$J$1,$J$1))/2,0),ROUNDUP(IF(MOD(O$1+INDEX(_xlfn.TEXTSPLIT(F64,",",),0,2)+$J$1,$J$1)=0,$J$1,MOD(O$1+INDEX(_xlfn.TEXTSPLIT(F64,",",),0,2)+$J$1,$J$1))/2,0))</f>
        <v>8</v>
      </c>
      <c r="P5" s="1" cm="1">
        <f t="array" aca="1" ref="P5" ca="1">INDEX($D$2:$H$6,ROUNDUP(IF(MOD($J5+INDEX(_xlfn.TEXTSPLIT(G64,",",),0,1)+$J$1,$J$1)=0,$J$1,MOD($J5+INDEX(_xlfn.TEXTSPLIT(G64,",",),0,1)+$J$1,$J$1))/2,0),ROUNDUP(IF(MOD(P$1+INDEX(_xlfn.TEXTSPLIT(G64,",",),0,2)+$J$1,$J$1)=0,$J$1,MOD(P$1+INDEX(_xlfn.TEXTSPLIT(G64,",",),0,2)+$J$1,$J$1))/2,0))</f>
        <v>4</v>
      </c>
      <c r="Q5" s="1" cm="1">
        <f t="array" aca="1" ref="Q5" ca="1">INDEX($D$2:$H$6,ROUNDUP(IF(MOD($J5+INDEX(_xlfn.TEXTSPLIT(H64,",",),0,1)+$J$1,$J$1)=0,$J$1,MOD($J5+INDEX(_xlfn.TEXTSPLIT(H64,",",),0,1)+$J$1,$J$1))/2,0),ROUNDUP(IF(MOD(Q$1+INDEX(_xlfn.TEXTSPLIT(H64,",",),0,2)+$J$1,$J$1)=0,$J$1,MOD(Q$1+INDEX(_xlfn.TEXTSPLIT(H64,",",),0,2)+$J$1,$J$1))/2,0))</f>
        <v>8</v>
      </c>
      <c r="R5" s="1" cm="1">
        <f t="array" aca="1" ref="R5" ca="1">INDEX($D$2:$H$6,ROUNDUP(IF(MOD($J5+INDEX(_xlfn.TEXTSPLIT(I64,",",),0,1)+$J$1,$J$1)=0,$J$1,MOD($J5+INDEX(_xlfn.TEXTSPLIT(I64,",",),0,1)+$J$1,$J$1))/2,0),ROUNDUP(IF(MOD(R$1+INDEX(_xlfn.TEXTSPLIT(I64,",",),0,2)+$J$1,$J$1)=0,$J$1,MOD(R$1+INDEX(_xlfn.TEXTSPLIT(I64,",",),0,2)+$J$1,$J$1))/2,0))</f>
        <v>8</v>
      </c>
      <c r="S5" s="1" cm="1">
        <f t="array" aca="1" ref="S5" ca="1">INDEX($D$2:$H$6,ROUNDUP(IF(MOD($J5+INDEX(_xlfn.TEXTSPLIT(J64,",",),0,1)+$J$1,$J$1)=0,$J$1,MOD($J5+INDEX(_xlfn.TEXTSPLIT(J64,",",),0,1)+$J$1,$J$1))/2,0),ROUNDUP(IF(MOD(S$1+INDEX(_xlfn.TEXTSPLIT(J64,",",),0,2)+$J$1,$J$1)=0,$J$1,MOD(S$1+INDEX(_xlfn.TEXTSPLIT(J64,",",),0,2)+$J$1,$J$1))/2,0))</f>
        <v>8</v>
      </c>
      <c r="T5" s="1" cm="1">
        <f t="array" aca="1" ref="T5" ca="1">INDEX($D$2:$H$6,ROUNDUP(IF(MOD($J5+INDEX(_xlfn.TEXTSPLIT(K64,",",),0,1)+$J$1,$J$1)=0,$J$1,MOD($J5+INDEX(_xlfn.TEXTSPLIT(K64,",",),0,1)+$J$1,$J$1))/2,0),ROUNDUP(IF(MOD(T$1+INDEX(_xlfn.TEXTSPLIT(K64,",",),0,2)+$J$1,$J$1)=0,$J$1,MOD(T$1+INDEX(_xlfn.TEXTSPLIT(K64,",",),0,2)+$J$1,$J$1))/2,0))</f>
        <v>8</v>
      </c>
      <c r="U5" s="1"/>
      <c r="V5" s="1"/>
      <c r="W5" s="1">
        <v>4</v>
      </c>
      <c r="X5" s="2">
        <f t="shared" ref="X5:AA5" ca="1" si="5">RANDBETWEEN(-3,0)</f>
        <v>-1</v>
      </c>
      <c r="Y5" s="2">
        <f t="shared" ca="1" si="5"/>
        <v>-1</v>
      </c>
      <c r="Z5" s="2">
        <f t="shared" ca="1" si="5"/>
        <v>0</v>
      </c>
      <c r="AA5" s="2">
        <f t="shared" ca="1" si="5"/>
        <v>-3</v>
      </c>
      <c r="AB5" s="1"/>
      <c r="AC5" s="42">
        <v>4</v>
      </c>
      <c r="AD5" s="2" cm="1">
        <f t="array" aca="1" ref="AD5" ca="1">INDEX($X$2:$AA$5,ROUNDUP(IF(MOD($AC5+INDEX(_xlfn.TEXTSPLIT(N64,",",),0,1)+$AC$1,$AC$1)=0,$AC$1,MOD($AC5+INDEX(_xlfn.TEXTSPLIT(N64,",",),0,1)+$AC$1,$AC$1))/2,0),ROUNDUP(IF(MOD(AD$1+INDEX(_xlfn.TEXTSPLIT(N64,",",),0,2)+$AC$1,$AC$1)=0,$AC$1,MOD(AD$1+INDEX(_xlfn.TEXTSPLIT(N64,",",),0,2)+$AC$1,$AC$1))/2,0))</f>
        <v>-2</v>
      </c>
      <c r="AE5" s="2" cm="1">
        <f t="array" aca="1" ref="AE5" ca="1">INDEX($X$2:$AA$5,ROUNDUP(IF(MOD($AC5+INDEX(_xlfn.TEXTSPLIT(O64,",",),0,1)+$AC$1,$AC$1)=0,$AC$1,MOD($AC5+INDEX(_xlfn.TEXTSPLIT(O64,",",),0,1)+$AC$1,$AC$1))/2,0),ROUNDUP(IF(MOD(AE$1+INDEX(_xlfn.TEXTSPLIT(O64,",",),0,2)+$AC$1,$AC$1)=0,$AC$1,MOD(AE$1+INDEX(_xlfn.TEXTSPLIT(O64,",",),0,2)+$AC$1,$AC$1))/2,0))</f>
        <v>-2</v>
      </c>
      <c r="AF5" s="2" cm="1">
        <f t="array" aca="1" ref="AF5" ca="1">INDEX($X$2:$AA$5,ROUNDUP(IF(MOD($AC5+INDEX(_xlfn.TEXTSPLIT(P64,",",),0,1)+$AC$1,$AC$1)=0,$AC$1,MOD($AC5+INDEX(_xlfn.TEXTSPLIT(P64,",",),0,1)+$AC$1,$AC$1))/2,0),ROUNDUP(IF(MOD(AF$1+INDEX(_xlfn.TEXTSPLIT(P64,",",),0,2)+$AC$1,$AC$1)=0,$AC$1,MOD(AF$1+INDEX(_xlfn.TEXTSPLIT(P64,",",),0,2)+$AC$1,$AC$1))/2,0))</f>
        <v>-1</v>
      </c>
      <c r="AG5" s="2" cm="1">
        <f t="array" aca="1" ref="AG5" ca="1">INDEX($X$2:$AA$5,ROUNDUP(IF(MOD($AC5+INDEX(_xlfn.TEXTSPLIT(Q64,",",),0,1)+$AC$1,$AC$1)=0,$AC$1,MOD($AC5+INDEX(_xlfn.TEXTSPLIT(Q64,",",),0,1)+$AC$1,$AC$1))/2,0),ROUNDUP(IF(MOD(AG$1+INDEX(_xlfn.TEXTSPLIT(Q64,",",),0,2)+$AC$1,$AC$1)=0,$AC$1,MOD(AG$1+INDEX(_xlfn.TEXTSPLIT(Q64,",",),0,2)+$AC$1,$AC$1))/2,0))</f>
        <v>-1</v>
      </c>
      <c r="AH5" s="2" cm="1">
        <f t="array" aca="1" ref="AH5" ca="1">INDEX($X$2:$AA$5,ROUNDUP(IF(MOD($AC5+INDEX(_xlfn.TEXTSPLIT(R64,",",),0,1)+$AC$1,$AC$1)=0,$AC$1,MOD($AC5+INDEX(_xlfn.TEXTSPLIT(R64,",",),0,1)+$AC$1,$AC$1))/2,0),ROUNDUP(IF(MOD(AH$1+INDEX(_xlfn.TEXTSPLIT(R64,",",),0,2)+$AC$1,$AC$1)=0,$AC$1,MOD(AH$1+INDEX(_xlfn.TEXTSPLIT(R64,",",),0,2)+$AC$1,$AC$1))/2,0))</f>
        <v>-1</v>
      </c>
      <c r="AI5" s="2" cm="1">
        <f t="array" aca="1" ref="AI5" ca="1">INDEX($X$2:$AA$5,ROUNDUP(IF(MOD($AC5+INDEX(_xlfn.TEXTSPLIT(S64,",",),0,1)+$AC$1,$AC$1)=0,$AC$1,MOD($AC5+INDEX(_xlfn.TEXTSPLIT(S64,",",),0,1)+$AC$1,$AC$1))/2,0),ROUNDUP(IF(MOD(AI$1+INDEX(_xlfn.TEXTSPLIT(S64,",",),0,2)+$AC$1,$AC$1)=0,$AC$1,MOD(AI$1+INDEX(_xlfn.TEXTSPLIT(S64,",",),0,2)+$AC$1,$AC$1))/2,0))</f>
        <v>0</v>
      </c>
      <c r="AJ5" s="2" cm="1">
        <f t="array" aca="1" ref="AJ5" ca="1">INDEX($X$2:$AA$5,ROUNDUP(IF(MOD($AC5+INDEX(_xlfn.TEXTSPLIT(T64,",",),0,1)+$AC$1,$AC$1)=0,$AC$1,MOD($AC5+INDEX(_xlfn.TEXTSPLIT(T64,",",),0,1)+$AC$1,$AC$1))/2,0),ROUNDUP(IF(MOD(AJ$1+INDEX(_xlfn.TEXTSPLIT(T64,",",),0,2)+$AC$1,$AC$1)=0,$AC$1,MOD(AJ$1+INDEX(_xlfn.TEXTSPLIT(T64,",",),0,2)+$AC$1,$AC$1))/2,0))</f>
        <v>-1</v>
      </c>
      <c r="AK5" s="2" cm="1">
        <f t="array" aca="1" ref="AK5" ca="1">INDEX($X$2:$AA$5,ROUNDUP(IF(MOD($AC5+INDEX(_xlfn.TEXTSPLIT(U64,",",),0,1)+$AC$1,$AC$1)=0,$AC$1,MOD($AC5+INDEX(_xlfn.TEXTSPLIT(U64,",",),0,1)+$AC$1,$AC$1))/2,0),ROUNDUP(IF(MOD(AK$1+INDEX(_xlfn.TEXTSPLIT(U64,",",),0,2)+$AC$1,$AC$1)=0,$AC$1,MOD(AK$1+INDEX(_xlfn.TEXTSPLIT(U64,",",),0,2)+$AC$1,$AC$1))/2,0))</f>
        <v>-3</v>
      </c>
    </row>
    <row r="6" spans="1:41" ht="12.75">
      <c r="A6" s="1"/>
      <c r="B6" s="1"/>
      <c r="C6" s="1">
        <v>5</v>
      </c>
      <c r="D6" s="1">
        <f t="shared" ca="1" si="2"/>
        <v>8</v>
      </c>
      <c r="E6" s="1">
        <f t="shared" ca="1" si="0"/>
        <v>4</v>
      </c>
      <c r="F6" s="1">
        <f t="shared" ca="1" si="0"/>
        <v>8</v>
      </c>
      <c r="G6" s="1">
        <f t="shared" ca="1" si="0"/>
        <v>8</v>
      </c>
      <c r="H6" s="1">
        <f t="shared" ca="1" si="0"/>
        <v>8</v>
      </c>
      <c r="I6" s="1"/>
      <c r="J6" s="42">
        <v>5</v>
      </c>
      <c r="K6" s="1" cm="1">
        <f t="array" aca="1" ref="K6" ca="1">INDEX($D$2:$H$6,ROUNDUP(IF(MOD($J6+INDEX(_xlfn.TEXTSPLIT(B65,",",),0,1)+$J$1,$J$1)=0,$J$1,MOD($J6+INDEX(_xlfn.TEXTSPLIT(B65,",",),0,1)+$J$1,$J$1))/2,0),ROUNDUP(IF(MOD(K$1+INDEX(_xlfn.TEXTSPLIT(B65,",",),0,2)+$J$1,$J$1)=0,$J$1,MOD(K$1+INDEX(_xlfn.TEXTSPLIT(B65,",",),0,2)+$J$1,$J$1))/2,0))</f>
        <v>4</v>
      </c>
      <c r="L6" s="1" cm="1">
        <f t="array" aca="1" ref="L6" ca="1">INDEX($D$2:$H$6,ROUNDUP(IF(MOD($J6+INDEX(_xlfn.TEXTSPLIT(C65,",",),0,1)+$J$1,$J$1)=0,$J$1,MOD($J6+INDEX(_xlfn.TEXTSPLIT(C65,",",),0,1)+$J$1,$J$1))/2,0),ROUNDUP(IF(MOD(L$1+INDEX(_xlfn.TEXTSPLIT(C65,",",),0,2)+$J$1,$J$1)=0,$J$1,MOD(L$1+INDEX(_xlfn.TEXTSPLIT(C65,",",),0,2)+$J$1,$J$1))/2,0))</f>
        <v>4</v>
      </c>
      <c r="M6" s="1" cm="1">
        <f t="array" aca="1" ref="M6" ca="1">INDEX($D$2:$H$6,ROUNDUP(IF(MOD($J6+INDEX(_xlfn.TEXTSPLIT(D65,",",),0,1)+$J$1,$J$1)=0,$J$1,MOD($J6+INDEX(_xlfn.TEXTSPLIT(D65,",",),0,1)+$J$1,$J$1))/2,0),ROUNDUP(IF(MOD(M$1+INDEX(_xlfn.TEXTSPLIT(D65,",",),0,2)+$J$1,$J$1)=0,$J$1,MOD(M$1+INDEX(_xlfn.TEXTSPLIT(D65,",",),0,2)+$J$1,$J$1))/2,0))</f>
        <v>8</v>
      </c>
      <c r="N6" s="1" cm="1">
        <f t="array" aca="1" ref="N6" ca="1">INDEX($D$2:$H$6,ROUNDUP(IF(MOD($J6+INDEX(_xlfn.TEXTSPLIT(E65,",",),0,1)+$J$1,$J$1)=0,$J$1,MOD($J6+INDEX(_xlfn.TEXTSPLIT(E65,",",),0,1)+$J$1,$J$1))/2,0),ROUNDUP(IF(MOD(N$1+INDEX(_xlfn.TEXTSPLIT(E65,",",),0,2)+$J$1,$J$1)=0,$J$1,MOD(N$1+INDEX(_xlfn.TEXTSPLIT(E65,",",),0,2)+$J$1,$J$1))/2,0))</f>
        <v>8</v>
      </c>
      <c r="O6" s="1" cm="1">
        <f t="array" aca="1" ref="O6" ca="1">INDEX($D$2:$H$6,ROUNDUP(IF(MOD($J6+INDEX(_xlfn.TEXTSPLIT(F65,",",),0,1)+$J$1,$J$1)=0,$J$1,MOD($J6+INDEX(_xlfn.TEXTSPLIT(F65,",",),0,1)+$J$1,$J$1))/2,0),ROUNDUP(IF(MOD(O$1+INDEX(_xlfn.TEXTSPLIT(F65,",",),0,2)+$J$1,$J$1)=0,$J$1,MOD(O$1+INDEX(_xlfn.TEXTSPLIT(F65,",",),0,2)+$J$1,$J$1))/2,0))</f>
        <v>4</v>
      </c>
      <c r="P6" s="1" cm="1">
        <f t="array" aca="1" ref="P6" ca="1">INDEX($D$2:$H$6,ROUNDUP(IF(MOD($J6+INDEX(_xlfn.TEXTSPLIT(G65,",",),0,1)+$J$1,$J$1)=0,$J$1,MOD($J6+INDEX(_xlfn.TEXTSPLIT(G65,",",),0,1)+$J$1,$J$1))/2,0),ROUNDUP(IF(MOD(P$1+INDEX(_xlfn.TEXTSPLIT(G65,",",),0,2)+$J$1,$J$1)=0,$J$1,MOD(P$1+INDEX(_xlfn.TEXTSPLIT(G65,",",),0,2)+$J$1,$J$1))/2,0))</f>
        <v>8</v>
      </c>
      <c r="Q6" s="1" cm="1">
        <f t="array" aca="1" ref="Q6" ca="1">INDEX($D$2:$H$6,ROUNDUP(IF(MOD($J6+INDEX(_xlfn.TEXTSPLIT(H65,",",),0,1)+$J$1,$J$1)=0,$J$1,MOD($J6+INDEX(_xlfn.TEXTSPLIT(H65,",",),0,1)+$J$1,$J$1))/2,0),ROUNDUP(IF(MOD(Q$1+INDEX(_xlfn.TEXTSPLIT(H65,",",),0,2)+$J$1,$J$1)=0,$J$1,MOD(Q$1+INDEX(_xlfn.TEXTSPLIT(H65,",",),0,2)+$J$1,$J$1))/2,0))</f>
        <v>8</v>
      </c>
      <c r="R6" s="1" cm="1">
        <f t="array" aca="1" ref="R6" ca="1">INDEX($D$2:$H$6,ROUNDUP(IF(MOD($J6+INDEX(_xlfn.TEXTSPLIT(I65,",",),0,1)+$J$1,$J$1)=0,$J$1,MOD($J6+INDEX(_xlfn.TEXTSPLIT(I65,",",),0,1)+$J$1,$J$1))/2,0),ROUNDUP(IF(MOD(R$1+INDEX(_xlfn.TEXTSPLIT(I65,",",),0,2)+$J$1,$J$1)=0,$J$1,MOD(R$1+INDEX(_xlfn.TEXTSPLIT(I65,",",),0,2)+$J$1,$J$1))/2,0))</f>
        <v>8</v>
      </c>
      <c r="S6" s="1" cm="1">
        <f t="array" aca="1" ref="S6" ca="1">INDEX($D$2:$H$6,ROUNDUP(IF(MOD($J6+INDEX(_xlfn.TEXTSPLIT(J65,",",),0,1)+$J$1,$J$1)=0,$J$1,MOD($J6+INDEX(_xlfn.TEXTSPLIT(J65,",",),0,1)+$J$1,$J$1))/2,0),ROUNDUP(IF(MOD(S$1+INDEX(_xlfn.TEXTSPLIT(J65,",",),0,2)+$J$1,$J$1)=0,$J$1,MOD(S$1+INDEX(_xlfn.TEXTSPLIT(J65,",",),0,2)+$J$1,$J$1))/2,0))</f>
        <v>8</v>
      </c>
      <c r="T6" s="1" cm="1">
        <f t="array" aca="1" ref="T6" ca="1">INDEX($D$2:$H$6,ROUNDUP(IF(MOD($J6+INDEX(_xlfn.TEXTSPLIT(K65,",",),0,1)+$J$1,$J$1)=0,$J$1,MOD($J6+INDEX(_xlfn.TEXTSPLIT(K65,",",),0,1)+$J$1,$J$1))/2,0),ROUNDUP(IF(MOD(T$1+INDEX(_xlfn.TEXTSPLIT(K65,",",),0,2)+$J$1,$J$1)=0,$J$1,MOD(T$1+INDEX(_xlfn.TEXTSPLIT(K65,",",),0,2)+$J$1,$J$1))/2,0))</f>
        <v>8</v>
      </c>
      <c r="U6" s="1"/>
      <c r="V6" s="1"/>
      <c r="W6" s="1"/>
      <c r="X6" s="1"/>
      <c r="Y6" s="1"/>
      <c r="Z6" s="1"/>
      <c r="AA6" s="1"/>
      <c r="AB6" s="1"/>
      <c r="AC6" s="42">
        <v>5</v>
      </c>
      <c r="AD6" s="2" cm="1">
        <f t="array" aca="1" ref="AD6" ca="1">INDEX($X$2:$AA$5,ROUNDUP(IF(MOD($AC6+INDEX(_xlfn.TEXTSPLIT(N65,",",),0,1)+$AC$1,$AC$1)=0,$AC$1,MOD($AC6+INDEX(_xlfn.TEXTSPLIT(N65,",",),0,1)+$AC$1,$AC$1))/2,0),ROUNDUP(IF(MOD(AD$1+INDEX(_xlfn.TEXTSPLIT(N65,",",),0,2)+$AC$1,$AC$1)=0,$AC$1,MOD(AD$1+INDEX(_xlfn.TEXTSPLIT(N65,",",),0,2)+$AC$1,$AC$1))/2,0))</f>
        <v>-3</v>
      </c>
      <c r="AE6" s="2" cm="1">
        <f t="array" aca="1" ref="AE6" ca="1">INDEX($X$2:$AA$5,ROUNDUP(IF(MOD($AC6+INDEX(_xlfn.TEXTSPLIT(O65,",",),0,1)+$AC$1,$AC$1)=0,$AC$1,MOD($AC6+INDEX(_xlfn.TEXTSPLIT(O65,",",),0,1)+$AC$1,$AC$1))/2,0),ROUNDUP(IF(MOD(AE$1+INDEX(_xlfn.TEXTSPLIT(O65,",",),0,2)+$AC$1,$AC$1)=0,$AC$1,MOD(AE$1+INDEX(_xlfn.TEXTSPLIT(O65,",",),0,2)+$AC$1,$AC$1))/2,0))</f>
        <v>-1</v>
      </c>
      <c r="AF6" s="2" cm="1">
        <f t="array" aca="1" ref="AF6" ca="1">INDEX($X$2:$AA$5,ROUNDUP(IF(MOD($AC6+INDEX(_xlfn.TEXTSPLIT(P65,",",),0,1)+$AC$1,$AC$1)=0,$AC$1,MOD($AC6+INDEX(_xlfn.TEXTSPLIT(P65,",",),0,1)+$AC$1,$AC$1))/2,0),ROUNDUP(IF(MOD(AF$1+INDEX(_xlfn.TEXTSPLIT(P65,",",),0,2)+$AC$1,$AC$1)=0,$AC$1,MOD(AF$1+INDEX(_xlfn.TEXTSPLIT(P65,",",),0,2)+$AC$1,$AC$1))/2,0))</f>
        <v>-1</v>
      </c>
      <c r="AG6" s="2" cm="1">
        <f t="array" aca="1" ref="AG6" ca="1">INDEX($X$2:$AA$5,ROUNDUP(IF(MOD($AC6+INDEX(_xlfn.TEXTSPLIT(Q65,",",),0,1)+$AC$1,$AC$1)=0,$AC$1,MOD($AC6+INDEX(_xlfn.TEXTSPLIT(Q65,",",),0,1)+$AC$1,$AC$1))/2,0),ROUNDUP(IF(MOD(AG$1+INDEX(_xlfn.TEXTSPLIT(Q65,",",),0,2)+$AC$1,$AC$1)=0,$AC$1,MOD(AG$1+INDEX(_xlfn.TEXTSPLIT(Q65,",",),0,2)+$AC$1,$AC$1))/2,0))</f>
        <v>-1</v>
      </c>
      <c r="AH6" s="2" cm="1">
        <f t="array" aca="1" ref="AH6" ca="1">INDEX($X$2:$AA$5,ROUNDUP(IF(MOD($AC6+INDEX(_xlfn.TEXTSPLIT(R65,",",),0,1)+$AC$1,$AC$1)=0,$AC$1,MOD($AC6+INDEX(_xlfn.TEXTSPLIT(R65,",",),0,1)+$AC$1,$AC$1))/2,0),ROUNDUP(IF(MOD(AH$1+INDEX(_xlfn.TEXTSPLIT(R65,",",),0,2)+$AC$1,$AC$1)=0,$AC$1,MOD(AH$1+INDEX(_xlfn.TEXTSPLIT(R65,",",),0,2)+$AC$1,$AC$1))/2,0))</f>
        <v>-1</v>
      </c>
      <c r="AI6" s="2" cm="1">
        <f t="array" aca="1" ref="AI6" ca="1">INDEX($X$2:$AA$5,ROUNDUP(IF(MOD($AC6+INDEX(_xlfn.TEXTSPLIT(S65,",",),0,1)+$AC$1,$AC$1)=0,$AC$1,MOD($AC6+INDEX(_xlfn.TEXTSPLIT(S65,",",),0,1)+$AC$1,$AC$1))/2,0),ROUNDUP(IF(MOD(AI$1+INDEX(_xlfn.TEXTSPLIT(S65,",",),0,2)+$AC$1,$AC$1)=0,$AC$1,MOD(AI$1+INDEX(_xlfn.TEXTSPLIT(S65,",",),0,2)+$AC$1,$AC$1))/2,0))</f>
        <v>0</v>
      </c>
      <c r="AJ6" s="2" cm="1">
        <f t="array" aca="1" ref="AJ6" ca="1">INDEX($X$2:$AA$5,ROUNDUP(IF(MOD($AC6+INDEX(_xlfn.TEXTSPLIT(T65,",",),0,1)+$AC$1,$AC$1)=0,$AC$1,MOD($AC6+INDEX(_xlfn.TEXTSPLIT(T65,",",),0,1)+$AC$1,$AC$1))/2,0),ROUNDUP(IF(MOD(AJ$1+INDEX(_xlfn.TEXTSPLIT(T65,",",),0,2)+$AC$1,$AC$1)=0,$AC$1,MOD(AJ$1+INDEX(_xlfn.TEXTSPLIT(T65,",",),0,2)+$AC$1,$AC$1))/2,0))</f>
        <v>-1</v>
      </c>
      <c r="AK6" s="2" cm="1">
        <f t="array" aca="1" ref="AK6" ca="1">INDEX($X$2:$AA$5,ROUNDUP(IF(MOD($AC6+INDEX(_xlfn.TEXTSPLIT(U65,",",),0,1)+$AC$1,$AC$1)=0,$AC$1,MOD($AC6+INDEX(_xlfn.TEXTSPLIT(U65,",",),0,1)+$AC$1,$AC$1))/2,0),ROUNDUP(IF(MOD(AK$1+INDEX(_xlfn.TEXTSPLIT(U65,",",),0,2)+$AC$1,$AC$1)=0,$AC$1,MOD(AK$1+INDEX(_xlfn.TEXTSPLIT(U65,",",),0,2)+$AC$1,$AC$1))/2,0))</f>
        <v>0</v>
      </c>
    </row>
    <row r="7" spans="1:41" ht="12.75">
      <c r="A7" s="1">
        <f ca="1">ROUND(25*E8,0)</f>
        <v>5</v>
      </c>
      <c r="B7" s="1"/>
      <c r="C7" s="1"/>
      <c r="D7" s="3" t="s">
        <v>2</v>
      </c>
      <c r="E7" s="1" t="s">
        <v>3</v>
      </c>
      <c r="F7" s="1"/>
      <c r="G7" s="1"/>
      <c r="H7" s="1"/>
      <c r="I7" s="1"/>
      <c r="J7" s="42">
        <v>6</v>
      </c>
      <c r="K7" s="1" cm="1">
        <f t="array" aca="1" ref="K7" ca="1">INDEX($D$2:$H$6,ROUNDUP(IF(MOD($J7+INDEX(_xlfn.TEXTSPLIT(B66,",",),0,1)+$J$1,$J$1)=0,$J$1,MOD($J7+INDEX(_xlfn.TEXTSPLIT(B66,",",),0,1)+$J$1,$J$1))/2,0),ROUNDUP(IF(MOD(K$1+INDEX(_xlfn.TEXTSPLIT(B66,",",),0,2)+$J$1,$J$1)=0,$J$1,MOD(K$1+INDEX(_xlfn.TEXTSPLIT(B66,",",),0,2)+$J$1,$J$1))/2,0))</f>
        <v>4</v>
      </c>
      <c r="L7" s="1" cm="1">
        <f t="array" aca="1" ref="L7" ca="1">INDEX($D$2:$H$6,ROUNDUP(IF(MOD($J7+INDEX(_xlfn.TEXTSPLIT(C66,",",),0,1)+$J$1,$J$1)=0,$J$1,MOD($J7+INDEX(_xlfn.TEXTSPLIT(C66,",",),0,1)+$J$1,$J$1))/2,0),ROUNDUP(IF(MOD(L$1+INDEX(_xlfn.TEXTSPLIT(C66,",",),0,2)+$J$1,$J$1)=0,$J$1,MOD(L$1+INDEX(_xlfn.TEXTSPLIT(C66,",",),0,2)+$J$1,$J$1))/2,0))</f>
        <v>4</v>
      </c>
      <c r="M7" s="1" cm="1">
        <f t="array" aca="1" ref="M7" ca="1">INDEX($D$2:$H$6,ROUNDUP(IF(MOD($J7+INDEX(_xlfn.TEXTSPLIT(D66,",",),0,1)+$J$1,$J$1)=0,$J$1,MOD($J7+INDEX(_xlfn.TEXTSPLIT(D66,",",),0,1)+$J$1,$J$1))/2,0),ROUNDUP(IF(MOD(M$1+INDEX(_xlfn.TEXTSPLIT(D66,",",),0,2)+$J$1,$J$1)=0,$J$1,MOD(M$1+INDEX(_xlfn.TEXTSPLIT(D66,",",),0,2)+$J$1,$J$1))/2,0))</f>
        <v>8</v>
      </c>
      <c r="N7" s="1" cm="1">
        <f t="array" aca="1" ref="N7" ca="1">INDEX($D$2:$H$6,ROUNDUP(IF(MOD($J7+INDEX(_xlfn.TEXTSPLIT(E66,",",),0,1)+$J$1,$J$1)=0,$J$1,MOD($J7+INDEX(_xlfn.TEXTSPLIT(E66,",",),0,1)+$J$1,$J$1))/2,0),ROUNDUP(IF(MOD(N$1+INDEX(_xlfn.TEXTSPLIT(E66,",",),0,2)+$J$1,$J$1)=0,$J$1,MOD(N$1+INDEX(_xlfn.TEXTSPLIT(E66,",",),0,2)+$J$1,$J$1))/2,0))</f>
        <v>8</v>
      </c>
      <c r="O7" s="1" cm="1">
        <f t="array" aca="1" ref="O7" ca="1">INDEX($D$2:$H$6,ROUNDUP(IF(MOD($J7+INDEX(_xlfn.TEXTSPLIT(F66,",",),0,1)+$J$1,$J$1)=0,$J$1,MOD($J7+INDEX(_xlfn.TEXTSPLIT(F66,",",),0,1)+$J$1,$J$1))/2,0),ROUNDUP(IF(MOD(O$1+INDEX(_xlfn.TEXTSPLIT(F66,",",),0,2)+$J$1,$J$1)=0,$J$1,MOD(O$1+INDEX(_xlfn.TEXTSPLIT(F66,",",),0,2)+$J$1,$J$1))/2,0))</f>
        <v>8</v>
      </c>
      <c r="P7" s="1" cm="1">
        <f t="array" aca="1" ref="P7" ca="1">INDEX($D$2:$H$6,ROUNDUP(IF(MOD($J7+INDEX(_xlfn.TEXTSPLIT(G66,",",),0,1)+$J$1,$J$1)=0,$J$1,MOD($J7+INDEX(_xlfn.TEXTSPLIT(G66,",",),0,1)+$J$1,$J$1))/2,0),ROUNDUP(IF(MOD(P$1+INDEX(_xlfn.TEXTSPLIT(G66,",",),0,2)+$J$1,$J$1)=0,$J$1,MOD(P$1+INDEX(_xlfn.TEXTSPLIT(G66,",",),0,2)+$J$1,$J$1))/2,0))</f>
        <v>8</v>
      </c>
      <c r="Q7" s="1" cm="1">
        <f t="array" aca="1" ref="Q7" ca="1">INDEX($D$2:$H$6,ROUNDUP(IF(MOD($J7+INDEX(_xlfn.TEXTSPLIT(H66,",",),0,1)+$J$1,$J$1)=0,$J$1,MOD($J7+INDEX(_xlfn.TEXTSPLIT(H66,",",),0,1)+$J$1,$J$1))/2,0),ROUNDUP(IF(MOD(Q$1+INDEX(_xlfn.TEXTSPLIT(H66,",",),0,2)+$J$1,$J$1)=0,$J$1,MOD(Q$1+INDEX(_xlfn.TEXTSPLIT(H66,",",),0,2)+$J$1,$J$1))/2,0))</f>
        <v>8</v>
      </c>
      <c r="R7" s="1" cm="1">
        <f t="array" aca="1" ref="R7" ca="1">INDEX($D$2:$H$6,ROUNDUP(IF(MOD($J7+INDEX(_xlfn.TEXTSPLIT(I66,",",),0,1)+$J$1,$J$1)=0,$J$1,MOD($J7+INDEX(_xlfn.TEXTSPLIT(I66,",",),0,1)+$J$1,$J$1))/2,0),ROUNDUP(IF(MOD(R$1+INDEX(_xlfn.TEXTSPLIT(I66,",",),0,2)+$J$1,$J$1)=0,$J$1,MOD(R$1+INDEX(_xlfn.TEXTSPLIT(I66,",",),0,2)+$J$1,$J$1))/2,0))</f>
        <v>8</v>
      </c>
      <c r="S7" s="1" cm="1">
        <f t="array" aca="1" ref="S7" ca="1">INDEX($D$2:$H$6,ROUNDUP(IF(MOD($J7+INDEX(_xlfn.TEXTSPLIT(J66,",",),0,1)+$J$1,$J$1)=0,$J$1,MOD($J7+INDEX(_xlfn.TEXTSPLIT(J66,",",),0,1)+$J$1,$J$1))/2,0),ROUNDUP(IF(MOD(S$1+INDEX(_xlfn.TEXTSPLIT(J66,",",),0,2)+$J$1,$J$1)=0,$J$1,MOD(S$1+INDEX(_xlfn.TEXTSPLIT(J66,",",),0,2)+$J$1,$J$1))/2,0))</f>
        <v>8</v>
      </c>
      <c r="T7" s="1" cm="1">
        <f t="array" aca="1" ref="T7" ca="1">INDEX($D$2:$H$6,ROUNDUP(IF(MOD($J7+INDEX(_xlfn.TEXTSPLIT(K66,",",),0,1)+$J$1,$J$1)=0,$J$1,MOD($J7+INDEX(_xlfn.TEXTSPLIT(K66,",",),0,1)+$J$1,$J$1))/2,0),ROUNDUP(IF(MOD(T$1+INDEX(_xlfn.TEXTSPLIT(K66,",",),0,2)+$J$1,$J$1)=0,$J$1,MOD(T$1+INDEX(_xlfn.TEXTSPLIT(K66,",",),0,2)+$J$1,$J$1))/2,0))</f>
        <v>8</v>
      </c>
      <c r="U7" s="1"/>
      <c r="V7" s="1"/>
      <c r="W7" s="1"/>
      <c r="X7" s="1"/>
      <c r="Y7" s="1"/>
      <c r="Z7" s="1"/>
      <c r="AA7" s="1"/>
      <c r="AB7" s="1"/>
      <c r="AC7" s="42">
        <v>6</v>
      </c>
      <c r="AD7" s="2" cm="1">
        <f t="array" aca="1" ref="AD7" ca="1">INDEX($X$2:$AA$5,ROUNDUP(IF(MOD($AC7+INDEX(_xlfn.TEXTSPLIT(N66,",",),0,1)+$AC$1,$AC$1)=0,$AC$1,MOD($AC7+INDEX(_xlfn.TEXTSPLIT(N66,",",),0,1)+$AC$1,$AC$1))/2,0),ROUNDUP(IF(MOD(AD$1+INDEX(_xlfn.TEXTSPLIT(N66,",",),0,2)+$AC$1,$AC$1)=0,$AC$1,MOD(AD$1+INDEX(_xlfn.TEXTSPLIT(N66,",",),0,2)+$AC$1,$AC$1))/2,0))</f>
        <v>-2</v>
      </c>
      <c r="AE7" s="2" cm="1">
        <f t="array" aca="1" ref="AE7" ca="1">INDEX($X$2:$AA$5,ROUNDUP(IF(MOD($AC7+INDEX(_xlfn.TEXTSPLIT(O66,",",),0,1)+$AC$1,$AC$1)=0,$AC$1,MOD($AC7+INDEX(_xlfn.TEXTSPLIT(O66,",",),0,1)+$AC$1,$AC$1))/2,0),ROUNDUP(IF(MOD(AE$1+INDEX(_xlfn.TEXTSPLIT(O66,",",),0,2)+$AC$1,$AC$1)=0,$AC$1,MOD(AE$1+INDEX(_xlfn.TEXTSPLIT(O66,",",),0,2)+$AC$1,$AC$1))/2,0))</f>
        <v>-1</v>
      </c>
      <c r="AF7" s="2" cm="1">
        <f t="array" aca="1" ref="AF7" ca="1">INDEX($X$2:$AA$5,ROUNDUP(IF(MOD($AC7+INDEX(_xlfn.TEXTSPLIT(P66,",",),0,1)+$AC$1,$AC$1)=0,$AC$1,MOD($AC7+INDEX(_xlfn.TEXTSPLIT(P66,",",),0,1)+$AC$1,$AC$1))/2,0),ROUNDUP(IF(MOD(AF$1+INDEX(_xlfn.TEXTSPLIT(P66,",",),0,2)+$AC$1,$AC$1)=0,$AC$1,MOD(AF$1+INDEX(_xlfn.TEXTSPLIT(P66,",",),0,2)+$AC$1,$AC$1))/2,0))</f>
        <v>-2</v>
      </c>
      <c r="AG7" s="2" cm="1">
        <f t="array" aca="1" ref="AG7" ca="1">INDEX($X$2:$AA$5,ROUNDUP(IF(MOD($AC7+INDEX(_xlfn.TEXTSPLIT(Q66,",",),0,1)+$AC$1,$AC$1)=0,$AC$1,MOD($AC7+INDEX(_xlfn.TEXTSPLIT(Q66,",",),0,1)+$AC$1,$AC$1))/2,0),ROUNDUP(IF(MOD(AG$1+INDEX(_xlfn.TEXTSPLIT(Q66,",",),0,2)+$AC$1,$AC$1)=0,$AC$1,MOD(AG$1+INDEX(_xlfn.TEXTSPLIT(Q66,",",),0,2)+$AC$1,$AC$1))/2,0))</f>
        <v>0</v>
      </c>
      <c r="AH7" s="2" cm="1">
        <f t="array" aca="1" ref="AH7" ca="1">INDEX($X$2:$AA$5,ROUNDUP(IF(MOD($AC7+INDEX(_xlfn.TEXTSPLIT(R66,",",),0,1)+$AC$1,$AC$1)=0,$AC$1,MOD($AC7+INDEX(_xlfn.TEXTSPLIT(R66,",",),0,1)+$AC$1,$AC$1))/2,0),ROUNDUP(IF(MOD(AH$1+INDEX(_xlfn.TEXTSPLIT(R66,",",),0,2)+$AC$1,$AC$1)=0,$AC$1,MOD(AH$1+INDEX(_xlfn.TEXTSPLIT(R66,",",),0,2)+$AC$1,$AC$1))/2,0))</f>
        <v>-1</v>
      </c>
      <c r="AI7" s="2" cm="1">
        <f t="array" aca="1" ref="AI7" ca="1">INDEX($X$2:$AA$5,ROUNDUP(IF(MOD($AC7+INDEX(_xlfn.TEXTSPLIT(S66,",",),0,1)+$AC$1,$AC$1)=0,$AC$1,MOD($AC7+INDEX(_xlfn.TEXTSPLIT(S66,",",),0,1)+$AC$1,$AC$1))/2,0),ROUNDUP(IF(MOD(AI$1+INDEX(_xlfn.TEXTSPLIT(S66,",",),0,2)+$AC$1,$AC$1)=0,$AC$1,MOD(AI$1+INDEX(_xlfn.TEXTSPLIT(S66,",",),0,2)+$AC$1,$AC$1))/2,0))</f>
        <v>-1</v>
      </c>
      <c r="AJ7" s="2" cm="1">
        <f t="array" aca="1" ref="AJ7" ca="1">INDEX($X$2:$AA$5,ROUNDUP(IF(MOD($AC7+INDEX(_xlfn.TEXTSPLIT(T66,",",),0,1)+$AC$1,$AC$1)=0,$AC$1,MOD($AC7+INDEX(_xlfn.TEXTSPLIT(T66,",",),0,1)+$AC$1,$AC$1))/2,0),ROUNDUP(IF(MOD(AJ$1+INDEX(_xlfn.TEXTSPLIT(T66,",",),0,2)+$AC$1,$AC$1)=0,$AC$1,MOD(AJ$1+INDEX(_xlfn.TEXTSPLIT(T66,",",),0,2)+$AC$1,$AC$1))/2,0))</f>
        <v>0</v>
      </c>
      <c r="AK7" s="2" cm="1">
        <f t="array" aca="1" ref="AK7" ca="1">INDEX($X$2:$AA$5,ROUNDUP(IF(MOD($AC7+INDEX(_xlfn.TEXTSPLIT(U66,",",),0,1)+$AC$1,$AC$1)=0,$AC$1,MOD($AC7+INDEX(_xlfn.TEXTSPLIT(U66,",",),0,1)+$AC$1,$AC$1))/2,0),ROUNDUP(IF(MOD(AK$1+INDEX(_xlfn.TEXTSPLIT(U66,",",),0,2)+$AC$1,$AC$1)=0,$AC$1,MOD(AK$1+INDEX(_xlfn.TEXTSPLIT(U66,",",),0,2)+$AC$1,$AC$1))/2,0))</f>
        <v>-1</v>
      </c>
    </row>
    <row r="8" spans="1:41" ht="35.25">
      <c r="A8" s="1"/>
      <c r="B8" s="1"/>
      <c r="C8" s="3" t="s">
        <v>4</v>
      </c>
      <c r="D8" s="1">
        <f ca="1">COUNTIF(B19:AO58,"&lt;5")</f>
        <v>326</v>
      </c>
      <c r="E8" s="1">
        <f ca="1">D8/(40*40)</f>
        <v>0.20374999999999999</v>
      </c>
      <c r="F8" s="1"/>
      <c r="G8" s="1"/>
      <c r="H8" s="1"/>
      <c r="I8" s="1"/>
      <c r="J8" s="42">
        <v>7</v>
      </c>
      <c r="K8" s="1" cm="1">
        <f t="array" aca="1" ref="K8" ca="1">INDEX($D$2:$H$6,ROUNDUP(IF(MOD($J8+INDEX(_xlfn.TEXTSPLIT(B67,",",),0,1)+$J$1,$J$1)=0,$J$1,MOD($J8+INDEX(_xlfn.TEXTSPLIT(B67,",",),0,1)+$J$1,$J$1))/2,0),ROUNDUP(IF(MOD(K$1+INDEX(_xlfn.TEXTSPLIT(B67,",",),0,2)+$J$1,$J$1)=0,$J$1,MOD(K$1+INDEX(_xlfn.TEXTSPLIT(B67,",",),0,2)+$J$1,$J$1))/2,0))</f>
        <v>8</v>
      </c>
      <c r="L8" s="1" cm="1">
        <f t="array" aca="1" ref="L8" ca="1">INDEX($D$2:$H$6,ROUNDUP(IF(MOD($J8+INDEX(_xlfn.TEXTSPLIT(C67,",",),0,1)+$J$1,$J$1)=0,$J$1,MOD($J8+INDEX(_xlfn.TEXTSPLIT(C67,",",),0,1)+$J$1,$J$1))/2,0),ROUNDUP(IF(MOD(L$1+INDEX(_xlfn.TEXTSPLIT(C67,",",),0,2)+$J$1,$J$1)=0,$J$1,MOD(L$1+INDEX(_xlfn.TEXTSPLIT(C67,",",),0,2)+$J$1,$J$1))/2,0))</f>
        <v>4</v>
      </c>
      <c r="M8" s="1" cm="1">
        <f t="array" aca="1" ref="M8" ca="1">INDEX($D$2:$H$6,ROUNDUP(IF(MOD($J8+INDEX(_xlfn.TEXTSPLIT(D67,",",),0,1)+$J$1,$J$1)=0,$J$1,MOD($J8+INDEX(_xlfn.TEXTSPLIT(D67,",",),0,1)+$J$1,$J$1))/2,0),ROUNDUP(IF(MOD(M$1+INDEX(_xlfn.TEXTSPLIT(D67,",",),0,2)+$J$1,$J$1)=0,$J$1,MOD(M$1+INDEX(_xlfn.TEXTSPLIT(D67,",",),0,2)+$J$1,$J$1))/2,0))</f>
        <v>8</v>
      </c>
      <c r="N8" s="1" cm="1">
        <f t="array" aca="1" ref="N8" ca="1">INDEX($D$2:$H$6,ROUNDUP(IF(MOD($J8+INDEX(_xlfn.TEXTSPLIT(E67,",",),0,1)+$J$1,$J$1)=0,$J$1,MOD($J8+INDEX(_xlfn.TEXTSPLIT(E67,",",),0,1)+$J$1,$J$1))/2,0),ROUNDUP(IF(MOD(N$1+INDEX(_xlfn.TEXTSPLIT(E67,",",),0,2)+$J$1,$J$1)=0,$J$1,MOD(N$1+INDEX(_xlfn.TEXTSPLIT(E67,",",),0,2)+$J$1,$J$1))/2,0))</f>
        <v>8</v>
      </c>
      <c r="O8" s="1" cm="1">
        <f t="array" aca="1" ref="O8" ca="1">INDEX($D$2:$H$6,ROUNDUP(IF(MOD($J8+INDEX(_xlfn.TEXTSPLIT(F67,",",),0,1)+$J$1,$J$1)=0,$J$1,MOD($J8+INDEX(_xlfn.TEXTSPLIT(F67,",",),0,1)+$J$1,$J$1))/2,0),ROUNDUP(IF(MOD(O$1+INDEX(_xlfn.TEXTSPLIT(F67,",",),0,2)+$J$1,$J$1)=0,$J$1,MOD(O$1+INDEX(_xlfn.TEXTSPLIT(F67,",",),0,2)+$J$1,$J$1))/2,0))</f>
        <v>8</v>
      </c>
      <c r="P8" s="1" cm="1">
        <f t="array" aca="1" ref="P8" ca="1">INDEX($D$2:$H$6,ROUNDUP(IF(MOD($J8+INDEX(_xlfn.TEXTSPLIT(G67,",",),0,1)+$J$1,$J$1)=0,$J$1,MOD($J8+INDEX(_xlfn.TEXTSPLIT(G67,",",),0,1)+$J$1,$J$1))/2,0),ROUNDUP(IF(MOD(P$1+INDEX(_xlfn.TEXTSPLIT(G67,",",),0,2)+$J$1,$J$1)=0,$J$1,MOD(P$1+INDEX(_xlfn.TEXTSPLIT(G67,",",),0,2)+$J$1,$J$1))/2,0))</f>
        <v>8</v>
      </c>
      <c r="Q8" s="1" cm="1">
        <f t="array" aca="1" ref="Q8" ca="1">INDEX($D$2:$H$6,ROUNDUP(IF(MOD($J8+INDEX(_xlfn.TEXTSPLIT(H67,",",),0,1)+$J$1,$J$1)=0,$J$1,MOD($J8+INDEX(_xlfn.TEXTSPLIT(H67,",",),0,1)+$J$1,$J$1))/2,0),ROUNDUP(IF(MOD(Q$1+INDEX(_xlfn.TEXTSPLIT(H67,",",),0,2)+$J$1,$J$1)=0,$J$1,MOD(Q$1+INDEX(_xlfn.TEXTSPLIT(H67,",",),0,2)+$J$1,$J$1))/2,0))</f>
        <v>8</v>
      </c>
      <c r="R8" s="1" cm="1">
        <f t="array" aca="1" ref="R8" ca="1">INDEX($D$2:$H$6,ROUNDUP(IF(MOD($J8+INDEX(_xlfn.TEXTSPLIT(I67,",",),0,1)+$J$1,$J$1)=0,$J$1,MOD($J8+INDEX(_xlfn.TEXTSPLIT(I67,",",),0,1)+$J$1,$J$1))/2,0),ROUNDUP(IF(MOD(R$1+INDEX(_xlfn.TEXTSPLIT(I67,",",),0,2)+$J$1,$J$1)=0,$J$1,MOD(R$1+INDEX(_xlfn.TEXTSPLIT(I67,",",),0,2)+$J$1,$J$1))/2,0))</f>
        <v>8</v>
      </c>
      <c r="S8" s="1" cm="1">
        <f t="array" aca="1" ref="S8" ca="1">INDEX($D$2:$H$6,ROUNDUP(IF(MOD($J8+INDEX(_xlfn.TEXTSPLIT(J67,",",),0,1)+$J$1,$J$1)=0,$J$1,MOD($J8+INDEX(_xlfn.TEXTSPLIT(J67,",",),0,1)+$J$1,$J$1))/2,0),ROUNDUP(IF(MOD(S$1+INDEX(_xlfn.TEXTSPLIT(J67,",",),0,2)+$J$1,$J$1)=0,$J$1,MOD(S$1+INDEX(_xlfn.TEXTSPLIT(J67,",",),0,2)+$J$1,$J$1))/2,0))</f>
        <v>8</v>
      </c>
      <c r="T8" s="1" cm="1">
        <f t="array" aca="1" ref="T8" ca="1">INDEX($D$2:$H$6,ROUNDUP(IF(MOD($J8+INDEX(_xlfn.TEXTSPLIT(K67,",",),0,1)+$J$1,$J$1)=0,$J$1,MOD($J8+INDEX(_xlfn.TEXTSPLIT(K67,",",),0,1)+$J$1,$J$1))/2,0),ROUNDUP(IF(MOD(T$1+INDEX(_xlfn.TEXTSPLIT(K67,",",),0,2)+$J$1,$J$1)=0,$J$1,MOD(T$1+INDEX(_xlfn.TEXTSPLIT(K67,",",),0,2)+$J$1,$J$1))/2,0))</f>
        <v>8</v>
      </c>
      <c r="U8" s="1">
        <v>1</v>
      </c>
      <c r="V8" s="2" t="s">
        <v>5</v>
      </c>
      <c r="W8" s="1"/>
      <c r="X8" s="1"/>
      <c r="Y8" s="1"/>
      <c r="Z8" s="1"/>
      <c r="AA8" s="1"/>
      <c r="AB8" s="1"/>
      <c r="AC8" s="42">
        <v>7</v>
      </c>
      <c r="AD8" s="2" cm="1">
        <f t="array" aca="1" ref="AD8" ca="1">INDEX($X$2:$AA$5,ROUNDUP(IF(MOD($AC8+INDEX(_xlfn.TEXTSPLIT(N67,",",),0,1)+$AC$1,$AC$1)=0,$AC$1,MOD($AC8+INDEX(_xlfn.TEXTSPLIT(N67,",",),0,1)+$AC$1,$AC$1))/2,0),ROUNDUP(IF(MOD(AD$1+INDEX(_xlfn.TEXTSPLIT(N67,",",),0,2)+$AC$1,$AC$1)=0,$AC$1,MOD(AD$1+INDEX(_xlfn.TEXTSPLIT(N67,",",),0,2)+$AC$1,$AC$1))/2,0))</f>
        <v>-1</v>
      </c>
      <c r="AE8" s="2" cm="1">
        <f t="array" aca="1" ref="AE8" ca="1">INDEX($X$2:$AA$5,ROUNDUP(IF(MOD($AC8+INDEX(_xlfn.TEXTSPLIT(O67,",",),0,1)+$AC$1,$AC$1)=0,$AC$1,MOD($AC8+INDEX(_xlfn.TEXTSPLIT(O67,",",),0,1)+$AC$1,$AC$1))/2,0),ROUNDUP(IF(MOD(AE$1+INDEX(_xlfn.TEXTSPLIT(O67,",",),0,2)+$AC$1,$AC$1)=0,$AC$1,MOD(AE$1+INDEX(_xlfn.TEXTSPLIT(O67,",",),0,2)+$AC$1,$AC$1))/2,0))</f>
        <v>-1</v>
      </c>
      <c r="AF8" s="2" cm="1">
        <f t="array" aca="1" ref="AF8" ca="1">INDEX($X$2:$AA$5,ROUNDUP(IF(MOD($AC8+INDEX(_xlfn.TEXTSPLIT(P67,",",),0,1)+$AC$1,$AC$1)=0,$AC$1,MOD($AC8+INDEX(_xlfn.TEXTSPLIT(P67,",",),0,1)+$AC$1,$AC$1))/2,0),ROUNDUP(IF(MOD(AF$1+INDEX(_xlfn.TEXTSPLIT(P67,",",),0,2)+$AC$1,$AC$1)=0,$AC$1,MOD(AF$1+INDEX(_xlfn.TEXTSPLIT(P67,",",),0,2)+$AC$1,$AC$1))/2,0))</f>
        <v>-1</v>
      </c>
      <c r="AG8" s="2" cm="1">
        <f t="array" aca="1" ref="AG8" ca="1">INDEX($X$2:$AA$5,ROUNDUP(IF(MOD($AC8+INDEX(_xlfn.TEXTSPLIT(Q67,",",),0,1)+$AC$1,$AC$1)=0,$AC$1,MOD($AC8+INDEX(_xlfn.TEXTSPLIT(Q67,",",),0,1)+$AC$1,$AC$1))/2,0),ROUNDUP(IF(MOD(AG$1+INDEX(_xlfn.TEXTSPLIT(Q67,",",),0,2)+$AC$1,$AC$1)=0,$AC$1,MOD(AG$1+INDEX(_xlfn.TEXTSPLIT(Q67,",",),0,2)+$AC$1,$AC$1))/2,0))</f>
        <v>-1</v>
      </c>
      <c r="AH8" s="2" cm="1">
        <f t="array" aca="1" ref="AH8" ca="1">INDEX($X$2:$AA$5,ROUNDUP(IF(MOD($AC8+INDEX(_xlfn.TEXTSPLIT(R67,",",),0,1)+$AC$1,$AC$1)=0,$AC$1,MOD($AC8+INDEX(_xlfn.TEXTSPLIT(R67,",",),0,1)+$AC$1,$AC$1))/2,0),ROUNDUP(IF(MOD(AH$1+INDEX(_xlfn.TEXTSPLIT(R67,",",),0,2)+$AC$1,$AC$1)=0,$AC$1,MOD(AH$1+INDEX(_xlfn.TEXTSPLIT(R67,",",),0,2)+$AC$1,$AC$1))/2,0))</f>
        <v>-1</v>
      </c>
      <c r="AI8" s="2" cm="1">
        <f t="array" aca="1" ref="AI8" ca="1">INDEX($X$2:$AA$5,ROUNDUP(IF(MOD($AC8+INDEX(_xlfn.TEXTSPLIT(S67,",",),0,1)+$AC$1,$AC$1)=0,$AC$1,MOD($AC8+INDEX(_xlfn.TEXTSPLIT(S67,",",),0,1)+$AC$1,$AC$1))/2,0),ROUNDUP(IF(MOD(AI$1+INDEX(_xlfn.TEXTSPLIT(S67,",",),0,2)+$AC$1,$AC$1)=0,$AC$1,MOD(AI$1+INDEX(_xlfn.TEXTSPLIT(S67,",",),0,2)+$AC$1,$AC$1))/2,0))</f>
        <v>0</v>
      </c>
      <c r="AJ8" s="2" cm="1">
        <f t="array" aca="1" ref="AJ8" ca="1">INDEX($X$2:$AA$5,ROUNDUP(IF(MOD($AC8+INDEX(_xlfn.TEXTSPLIT(T67,",",),0,1)+$AC$1,$AC$1)=0,$AC$1,MOD($AC8+INDEX(_xlfn.TEXTSPLIT(T67,",",),0,1)+$AC$1,$AC$1))/2,0),ROUNDUP(IF(MOD(AJ$1+INDEX(_xlfn.TEXTSPLIT(T67,",",),0,2)+$AC$1,$AC$1)=0,$AC$1,MOD(AJ$1+INDEX(_xlfn.TEXTSPLIT(T67,",",),0,2)+$AC$1,$AC$1))/2,0))</f>
        <v>-3</v>
      </c>
      <c r="AK8" s="2" cm="1">
        <f t="array" aca="1" ref="AK8" ca="1">INDEX($X$2:$AA$5,ROUNDUP(IF(MOD($AC8+INDEX(_xlfn.TEXTSPLIT(U67,",",),0,1)+$AC$1,$AC$1)=0,$AC$1,MOD($AC8+INDEX(_xlfn.TEXTSPLIT(U67,",",),0,1)+$AC$1,$AC$1))/2,0),ROUNDUP(IF(MOD(AK$1+INDEX(_xlfn.TEXTSPLIT(U67,",",),0,2)+$AC$1,$AC$1)=0,$AC$1,MOD(AK$1+INDEX(_xlfn.TEXTSPLIT(U67,",",),0,2)+$AC$1,$AC$1))/2,0))</f>
        <v>-3</v>
      </c>
    </row>
    <row r="9" spans="1:41" ht="12.75">
      <c r="A9" s="1"/>
      <c r="B9" s="1"/>
      <c r="C9" s="1" t="s">
        <v>6</v>
      </c>
      <c r="D9" s="1" t="e">
        <f>#REF!</f>
        <v>#REF!</v>
      </c>
      <c r="E9" s="1" t="e">
        <f ca="1">E8*D9</f>
        <v>#REF!</v>
      </c>
      <c r="F9" s="1" t="e">
        <f ca="1">E9/D8</f>
        <v>#REF!</v>
      </c>
      <c r="G9" s="1"/>
      <c r="H9" s="1"/>
      <c r="I9" s="1"/>
      <c r="J9" s="42">
        <v>8</v>
      </c>
      <c r="K9" s="1" cm="1">
        <f t="array" aca="1" ref="K9" ca="1">INDEX($D$2:$H$6,ROUNDUP(IF(MOD($J9+INDEX(_xlfn.TEXTSPLIT(B68,",",),0,1)+$J$1,$J$1)=0,$J$1,MOD($J9+INDEX(_xlfn.TEXTSPLIT(B68,",",),0,1)+$J$1,$J$1))/2,0),ROUNDUP(IF(MOD(K$1+INDEX(_xlfn.TEXTSPLIT(B68,",",),0,2)+$J$1,$J$1)=0,$J$1,MOD(K$1+INDEX(_xlfn.TEXTSPLIT(B68,",",),0,2)+$J$1,$J$1))/2,0))</f>
        <v>4</v>
      </c>
      <c r="L9" s="1" cm="1">
        <f t="array" aca="1" ref="L9" ca="1">INDEX($D$2:$H$6,ROUNDUP(IF(MOD($J9+INDEX(_xlfn.TEXTSPLIT(C68,",",),0,1)+$J$1,$J$1)=0,$J$1,MOD($J9+INDEX(_xlfn.TEXTSPLIT(C68,",",),0,1)+$J$1,$J$1))/2,0),ROUNDUP(IF(MOD(L$1+INDEX(_xlfn.TEXTSPLIT(C68,",",),0,2)+$J$1,$J$1)=0,$J$1,MOD(L$1+INDEX(_xlfn.TEXTSPLIT(C68,",",),0,2)+$J$1,$J$1))/2,0))</f>
        <v>4</v>
      </c>
      <c r="M9" s="1" cm="1">
        <f t="array" aca="1" ref="M9" ca="1">INDEX($D$2:$H$6,ROUNDUP(IF(MOD($J9+INDEX(_xlfn.TEXTSPLIT(D68,",",),0,1)+$J$1,$J$1)=0,$J$1,MOD($J9+INDEX(_xlfn.TEXTSPLIT(D68,",",),0,1)+$J$1,$J$1))/2,0),ROUNDUP(IF(MOD(M$1+INDEX(_xlfn.TEXTSPLIT(D68,",",),0,2)+$J$1,$J$1)=0,$J$1,MOD(M$1+INDEX(_xlfn.TEXTSPLIT(D68,",",),0,2)+$J$1,$J$1))/2,0))</f>
        <v>8</v>
      </c>
      <c r="N9" s="1" cm="1">
        <f t="array" aca="1" ref="N9" ca="1">INDEX($D$2:$H$6,ROUNDUP(IF(MOD($J9+INDEX(_xlfn.TEXTSPLIT(E68,",",),0,1)+$J$1,$J$1)=0,$J$1,MOD($J9+INDEX(_xlfn.TEXTSPLIT(E68,",",),0,1)+$J$1,$J$1))/2,0),ROUNDUP(IF(MOD(N$1+INDEX(_xlfn.TEXTSPLIT(E68,",",),0,2)+$J$1,$J$1)=0,$J$1,MOD(N$1+INDEX(_xlfn.TEXTSPLIT(E68,",",),0,2)+$J$1,$J$1))/2,0))</f>
        <v>8</v>
      </c>
      <c r="O9" s="1" cm="1">
        <f t="array" aca="1" ref="O9" ca="1">INDEX($D$2:$H$6,ROUNDUP(IF(MOD($J9+INDEX(_xlfn.TEXTSPLIT(F68,",",),0,1)+$J$1,$J$1)=0,$J$1,MOD($J9+INDEX(_xlfn.TEXTSPLIT(F68,",",),0,1)+$J$1,$J$1))/2,0),ROUNDUP(IF(MOD(O$1+INDEX(_xlfn.TEXTSPLIT(F68,",",),0,2)+$J$1,$J$1)=0,$J$1,MOD(O$1+INDEX(_xlfn.TEXTSPLIT(F68,",",),0,2)+$J$1,$J$1))/2,0))</f>
        <v>8</v>
      </c>
      <c r="P9" s="1" cm="1">
        <f t="array" aca="1" ref="P9" ca="1">INDEX($D$2:$H$6,ROUNDUP(IF(MOD($J9+INDEX(_xlfn.TEXTSPLIT(G68,",",),0,1)+$J$1,$J$1)=0,$J$1,MOD($J9+INDEX(_xlfn.TEXTSPLIT(G68,",",),0,1)+$J$1,$J$1))/2,0),ROUNDUP(IF(MOD(P$1+INDEX(_xlfn.TEXTSPLIT(G68,",",),0,2)+$J$1,$J$1)=0,$J$1,MOD(P$1+INDEX(_xlfn.TEXTSPLIT(G68,",",),0,2)+$J$1,$J$1))/2,0))</f>
        <v>8</v>
      </c>
      <c r="Q9" s="1" cm="1">
        <f t="array" aca="1" ref="Q9" ca="1">INDEX($D$2:$H$6,ROUNDUP(IF(MOD($J9+INDEX(_xlfn.TEXTSPLIT(H68,",",),0,1)+$J$1,$J$1)=0,$J$1,MOD($J9+INDEX(_xlfn.TEXTSPLIT(H68,",",),0,1)+$J$1,$J$1))/2,0),ROUNDUP(IF(MOD(Q$1+INDEX(_xlfn.TEXTSPLIT(H68,",",),0,2)+$J$1,$J$1)=0,$J$1,MOD(Q$1+INDEX(_xlfn.TEXTSPLIT(H68,",",),0,2)+$J$1,$J$1))/2,0))</f>
        <v>8</v>
      </c>
      <c r="R9" s="1" cm="1">
        <f t="array" aca="1" ref="R9" ca="1">INDEX($D$2:$H$6,ROUNDUP(IF(MOD($J9+INDEX(_xlfn.TEXTSPLIT(I68,",",),0,1)+$J$1,$J$1)=0,$J$1,MOD($J9+INDEX(_xlfn.TEXTSPLIT(I68,",",),0,1)+$J$1,$J$1))/2,0),ROUNDUP(IF(MOD(R$1+INDEX(_xlfn.TEXTSPLIT(I68,",",),0,2)+$J$1,$J$1)=0,$J$1,MOD(R$1+INDEX(_xlfn.TEXTSPLIT(I68,",",),0,2)+$J$1,$J$1))/2,0))</f>
        <v>8</v>
      </c>
      <c r="S9" s="1" cm="1">
        <f t="array" aca="1" ref="S9" ca="1">INDEX($D$2:$H$6,ROUNDUP(IF(MOD($J9+INDEX(_xlfn.TEXTSPLIT(J68,",",),0,1)+$J$1,$J$1)=0,$J$1,MOD($J9+INDEX(_xlfn.TEXTSPLIT(J68,",",),0,1)+$J$1,$J$1))/2,0),ROUNDUP(IF(MOD(S$1+INDEX(_xlfn.TEXTSPLIT(J68,",",),0,2)+$J$1,$J$1)=0,$J$1,MOD(S$1+INDEX(_xlfn.TEXTSPLIT(J68,",",),0,2)+$J$1,$J$1))/2,0))</f>
        <v>8</v>
      </c>
      <c r="T9" s="1" cm="1">
        <f t="array" aca="1" ref="T9" ca="1">INDEX($D$2:$H$6,ROUNDUP(IF(MOD($J9+INDEX(_xlfn.TEXTSPLIT(K68,",",),0,1)+$J$1,$J$1)=0,$J$1,MOD($J9+INDEX(_xlfn.TEXTSPLIT(K68,",",),0,1)+$J$1,$J$1))/2,0),ROUNDUP(IF(MOD(T$1+INDEX(_xlfn.TEXTSPLIT(K68,",",),0,2)+$J$1,$J$1)=0,$J$1,MOD(T$1+INDEX(_xlfn.TEXTSPLIT(K68,",",),0,2)+$J$1,$J$1))/2,0))</f>
        <v>8</v>
      </c>
      <c r="U9" s="1">
        <v>2</v>
      </c>
      <c r="V9" s="4" t="s">
        <v>7</v>
      </c>
      <c r="W9" s="1"/>
      <c r="X9" s="1"/>
      <c r="Y9" s="1"/>
      <c r="Z9" s="1"/>
      <c r="AA9" s="1"/>
      <c r="AB9" s="1"/>
      <c r="AC9" s="42">
        <v>8</v>
      </c>
      <c r="AD9" s="2" cm="1">
        <f t="array" aca="1" ref="AD9" ca="1">INDEX($X$2:$AA$5,ROUNDUP($AC9/2,0),ROUNDUP(IF(MOD(AD$1+INDEX(_xlfn.TEXTSPLIT(N68,",",),0,2)+$AC$1,$AC$1)=0,$AC$1,MOD(AD$1+INDEX(_xlfn.TEXTSPLIT(N68,",",),0,2)+$AC$1,$AC$1))/2,0))</f>
        <v>-3</v>
      </c>
      <c r="AE9" s="2" cm="1">
        <f t="array" aca="1" ref="AE9" ca="1">INDEX($X$2:$AA$5,ROUNDUP($AC9/2,0),ROUNDUP(IF(MOD(AE$1+INDEX(_xlfn.TEXTSPLIT(O68,",",),0,2)+$AC$1,$AC$1)=0,$AC$1,MOD(AE$1+INDEX(_xlfn.TEXTSPLIT(O68,",",),0,2)+$AC$1,$AC$1))/2,0))</f>
        <v>-1</v>
      </c>
      <c r="AF9" s="2" cm="1">
        <f t="array" aca="1" ref="AF9" ca="1">INDEX($X$2:$AA$5,ROUNDUP($AC9/2,0),ROUNDUP(IF(MOD(AF$1+INDEX(_xlfn.TEXTSPLIT(P68,",",),0,2)+$AC$1,$AC$1)=0,$AC$1,MOD(AF$1+INDEX(_xlfn.TEXTSPLIT(P68,",",),0,2)+$AC$1,$AC$1))/2,0))</f>
        <v>-1</v>
      </c>
      <c r="AG9" s="2" cm="1">
        <f t="array" aca="1" ref="AG9" ca="1">INDEX($X$2:$AA$5,ROUNDUP($AC9/2,0),ROUNDUP(IF(MOD(AG$1+INDEX(_xlfn.TEXTSPLIT(Q68,",",),0,2)+$AC$1,$AC$1)=0,$AC$1,MOD(AG$1+INDEX(_xlfn.TEXTSPLIT(Q68,",",),0,2)+$AC$1,$AC$1))/2,0))</f>
        <v>0</v>
      </c>
      <c r="AH9" s="2" cm="1">
        <f t="array" aca="1" ref="AH9" ca="1">INDEX($X$2:$AA$5,ROUNDUP($AC9/2,0),ROUNDUP(IF(MOD(AH$1+INDEX(_xlfn.TEXTSPLIT(R68,",",),0,2)+$AC$1,$AC$1)=0,$AC$1,MOD(AH$1+INDEX(_xlfn.TEXTSPLIT(R68,",",),0,2)+$AC$1,$AC$1))/2,0))</f>
        <v>-1</v>
      </c>
      <c r="AI9" s="2" cm="1">
        <f t="array" aca="1" ref="AI9" ca="1">INDEX($X$2:$AA$5,ROUNDUP($AC9/2,0),ROUNDUP(IF(MOD(AI$1+INDEX(_xlfn.TEXTSPLIT(S68,",",),0,2)+$AC$1,$AC$1)=0,$AC$1,MOD(AI$1+INDEX(_xlfn.TEXTSPLIT(S68,",",),0,2)+$AC$1,$AC$1))/2,0))</f>
        <v>0</v>
      </c>
      <c r="AJ9" s="2" cm="1">
        <f t="array" aca="1" ref="AJ9" ca="1">INDEX($X$2:$AA$5,ROUNDUP($AC9/2,0),ROUNDUP(IF(MOD(AJ$1+INDEX(_xlfn.TEXTSPLIT(T68,",",),0,2)+$AC$1,$AC$1)=0,$AC$1,MOD(AJ$1+INDEX(_xlfn.TEXTSPLIT(T68,",",),0,2)+$AC$1,$AC$1))/2,0))</f>
        <v>0</v>
      </c>
      <c r="AK9" s="2" cm="1">
        <f t="array" aca="1" ref="AK9" ca="1">INDEX($X$2:$AA$5,ROUNDUP($AC9/2,0),ROUNDUP(IF(MOD(AK$1+INDEX(_xlfn.TEXTSPLIT(U68,",",),0,2)+$AC$1,$AC$1)=0,$AC$1,MOD(AK$1+INDEX(_xlfn.TEXTSPLIT(U68,",",),0,2)+$AC$1,$AC$1))/2,0))</f>
        <v>-1</v>
      </c>
    </row>
    <row r="10" spans="1:41" ht="12.75">
      <c r="A10" s="1"/>
      <c r="B10" s="1"/>
      <c r="C10" s="1"/>
      <c r="D10" s="1"/>
      <c r="E10" s="1"/>
      <c r="F10" s="1"/>
      <c r="G10" s="1"/>
      <c r="H10" s="1"/>
      <c r="I10" s="1"/>
      <c r="J10" s="42">
        <v>9</v>
      </c>
      <c r="K10" s="1" cm="1">
        <f t="array" aca="1" ref="K10" ca="1">INDEX($D$2:$H$6,ROUNDUP(IF(MOD($J10+INDEX(_xlfn.TEXTSPLIT(B69,",",),0,1)+$J$1,$J$1)=0,$J$1,MOD($J10+INDEX(_xlfn.TEXTSPLIT(B69,",",),0,1)+$J$1,$J$1))/2,0),ROUNDUP(IF(MOD(K$1+INDEX(_xlfn.TEXTSPLIT(B69,",",),0,2)+$J$1,$J$1)=0,$J$1,MOD(K$1+INDEX(_xlfn.TEXTSPLIT(B69,",",),0,2)+$J$1,$J$1))/2,0))</f>
        <v>8</v>
      </c>
      <c r="L10" s="1" cm="1">
        <f t="array" aca="1" ref="L10" ca="1">INDEX($D$2:$H$6,ROUNDUP(IF(MOD($J10+INDEX(_xlfn.TEXTSPLIT(C69,",",),0,1)+$J$1,$J$1)=0,$J$1,MOD($J10+INDEX(_xlfn.TEXTSPLIT(C69,",",),0,1)+$J$1,$J$1))/2,0),ROUNDUP(IF(MOD(L$1+INDEX(_xlfn.TEXTSPLIT(C69,",",),0,2)+$J$1,$J$1)=0,$J$1,MOD(L$1+INDEX(_xlfn.TEXTSPLIT(C69,",",),0,2)+$J$1,$J$1))/2,0))</f>
        <v>8</v>
      </c>
      <c r="M10" s="1" cm="1">
        <f t="array" aca="1" ref="M10" ca="1">INDEX($D$2:$H$6,ROUNDUP(IF(MOD($J10+INDEX(_xlfn.TEXTSPLIT(D69,",",),0,1)+$J$1,$J$1)=0,$J$1,MOD($J10+INDEX(_xlfn.TEXTSPLIT(D69,",",),0,1)+$J$1,$J$1))/2,0),ROUNDUP(IF(MOD(M$1+INDEX(_xlfn.TEXTSPLIT(D69,",",),0,2)+$J$1,$J$1)=0,$J$1,MOD(M$1+INDEX(_xlfn.TEXTSPLIT(D69,",",),0,2)+$J$1,$J$1))/2,0))</f>
        <v>4</v>
      </c>
      <c r="N10" s="1" cm="1">
        <f t="array" aca="1" ref="N10" ca="1">INDEX($D$2:$H$6,ROUNDUP(IF(MOD($J10+INDEX(_xlfn.TEXTSPLIT(E69,",",),0,1)+$J$1,$J$1)=0,$J$1,MOD($J10+INDEX(_xlfn.TEXTSPLIT(E69,",",),0,1)+$J$1,$J$1))/2,0),ROUNDUP(IF(MOD(N$1+INDEX(_xlfn.TEXTSPLIT(E69,",",),0,2)+$J$1,$J$1)=0,$J$1,MOD(N$1+INDEX(_xlfn.TEXTSPLIT(E69,",",),0,2)+$J$1,$J$1))/2,0))</f>
        <v>4</v>
      </c>
      <c r="O10" s="1" cm="1">
        <f t="array" aca="1" ref="O10" ca="1">INDEX($D$2:$H$6,ROUNDUP(IF(MOD($J10+INDEX(_xlfn.TEXTSPLIT(F69,",",),0,1)+$J$1,$J$1)=0,$J$1,MOD($J10+INDEX(_xlfn.TEXTSPLIT(F69,",",),0,1)+$J$1,$J$1))/2,0),ROUNDUP(IF(MOD(O$1+INDEX(_xlfn.TEXTSPLIT(F69,",",),0,2)+$J$1,$J$1)=0,$J$1,MOD(O$1+INDEX(_xlfn.TEXTSPLIT(F69,",",),0,2)+$J$1,$J$1))/2,0))</f>
        <v>8</v>
      </c>
      <c r="P10" s="1" cm="1">
        <f t="array" aca="1" ref="P10" ca="1">INDEX($D$2:$H$6,ROUNDUP(IF(MOD($J10+INDEX(_xlfn.TEXTSPLIT(G69,",",),0,1)+$J$1,$J$1)=0,$J$1,MOD($J10+INDEX(_xlfn.TEXTSPLIT(G69,",",),0,1)+$J$1,$J$1))/2,0),ROUNDUP(IF(MOD(P$1+INDEX(_xlfn.TEXTSPLIT(G69,",",),0,2)+$J$1,$J$1)=0,$J$1,MOD(P$1+INDEX(_xlfn.TEXTSPLIT(G69,",",),0,2)+$J$1,$J$1))/2,0))</f>
        <v>8</v>
      </c>
      <c r="Q10" s="1" cm="1">
        <f t="array" aca="1" ref="Q10" ca="1">INDEX($D$2:$H$6,ROUNDUP(IF(MOD($J10+INDEX(_xlfn.TEXTSPLIT(H69,",",),0,1)+$J$1,$J$1)=0,$J$1,MOD($J10+INDEX(_xlfn.TEXTSPLIT(H69,",",),0,1)+$J$1,$J$1))/2,0),ROUNDUP(IF(MOD(Q$1+INDEX(_xlfn.TEXTSPLIT(H69,",",),0,2)+$J$1,$J$1)=0,$J$1,MOD(Q$1+INDEX(_xlfn.TEXTSPLIT(H69,",",),0,2)+$J$1,$J$1))/2,0))</f>
        <v>8</v>
      </c>
      <c r="R10" s="1" cm="1">
        <f t="array" aca="1" ref="R10" ca="1">INDEX($D$2:$H$6,ROUNDUP(IF(MOD($J10+INDEX(_xlfn.TEXTSPLIT(I69,",",),0,1)+$J$1,$J$1)=0,$J$1,MOD($J10+INDEX(_xlfn.TEXTSPLIT(I69,",",),0,1)+$J$1,$J$1))/2,0),ROUNDUP(IF(MOD(R$1+INDEX(_xlfn.TEXTSPLIT(I69,",",),0,2)+$J$1,$J$1)=0,$J$1,MOD(R$1+INDEX(_xlfn.TEXTSPLIT(I69,",",),0,2)+$J$1,$J$1))/2,0))</f>
        <v>8</v>
      </c>
      <c r="S10" s="1" cm="1">
        <f t="array" aca="1" ref="S10" ca="1">INDEX($D$2:$H$6,ROUNDUP(IF(MOD($J10+INDEX(_xlfn.TEXTSPLIT(J69,",",),0,1)+$J$1,$J$1)=0,$J$1,MOD($J10+INDEX(_xlfn.TEXTSPLIT(J69,",",),0,1)+$J$1,$J$1))/2,0),ROUNDUP(IF(MOD(S$1+INDEX(_xlfn.TEXTSPLIT(J69,",",),0,2)+$J$1,$J$1)=0,$J$1,MOD(S$1+INDEX(_xlfn.TEXTSPLIT(J69,",",),0,2)+$J$1,$J$1))/2,0))</f>
        <v>8</v>
      </c>
      <c r="T10" s="1" cm="1">
        <f t="array" aca="1" ref="T10" ca="1">INDEX($D$2:$H$6,ROUNDUP(IF(MOD($J10+INDEX(_xlfn.TEXTSPLIT(K69,",",),0,1)+$J$1,$J$1)=0,$J$1,MOD($J10+INDEX(_xlfn.TEXTSPLIT(K69,",",),0,1)+$J$1,$J$1))/2,0),ROUNDUP(IF(MOD(T$1+INDEX(_xlfn.TEXTSPLIT(K69,",",),0,2)+$J$1,$J$1)=0,$J$1,MOD(T$1+INDEX(_xlfn.TEXTSPLIT(K69,",",),0,2)+$J$1,$J$1))/2,0))</f>
        <v>8</v>
      </c>
      <c r="U10" s="1">
        <v>3</v>
      </c>
      <c r="V10" s="5" t="s">
        <v>8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N10" s="1"/>
      <c r="AO10" s="1"/>
    </row>
    <row r="11" spans="1:41" ht="12.75">
      <c r="A11" s="1"/>
      <c r="B11" s="1"/>
      <c r="C11" s="1"/>
      <c r="D11" s="1"/>
      <c r="E11" s="1"/>
      <c r="F11" s="1"/>
      <c r="G11" s="1"/>
      <c r="H11" s="1"/>
      <c r="I11" s="1"/>
      <c r="J11" s="42">
        <v>10</v>
      </c>
      <c r="K11" s="3" cm="1">
        <f t="array" aca="1" ref="K11" ca="1">INDEX($D$2:$H$6,ROUNDUP($J11/2,0),ROUNDUP(IF(MOD(K$1+INDEX(_xlfn.TEXTSPLIT(B70,",",),0,2)+$J$1,$J$1)=0,$J$1,MOD(K$1+INDEX(_xlfn.TEXTSPLIT(B70,",",),0,2)+$J$1,$J$1))/2,0))</f>
        <v>8</v>
      </c>
      <c r="L11" s="3" cm="1">
        <f t="array" aca="1" ref="L11" ca="1">INDEX($D$2:$H$6,ROUNDUP($J11/2,0),ROUNDUP(IF(MOD(L$1+INDEX(_xlfn.TEXTSPLIT(C70,",",),0,2)+$J$1,$J$1)=0,$J$1,MOD(L$1+INDEX(_xlfn.TEXTSPLIT(C70,",",),0,2)+$J$1,$J$1))/2,0))</f>
        <v>4</v>
      </c>
      <c r="M11" s="3" cm="1">
        <f t="array" aca="1" ref="M11" ca="1">INDEX($D$2:$H$6,ROUNDUP($J11/2,0),ROUNDUP(IF(MOD(M$1+INDEX(_xlfn.TEXTSPLIT(D70,",",),0,2)+$J$1,$J$1)=0,$J$1,MOD(M$1+INDEX(_xlfn.TEXTSPLIT(D70,",",),0,2)+$J$1,$J$1))/2,0))</f>
        <v>8</v>
      </c>
      <c r="N11" s="3" cm="1">
        <f t="array" aca="1" ref="N11" ca="1">INDEX($D$2:$H$6,ROUNDUP($J11/2,0),ROUNDUP(IF(MOD(N$1+INDEX(_xlfn.TEXTSPLIT(E70,",",),0,2)+$J$1,$J$1)=0,$J$1,MOD(N$1+INDEX(_xlfn.TEXTSPLIT(E70,",",),0,2)+$J$1,$J$1))/2,0))</f>
        <v>4</v>
      </c>
      <c r="O11" s="3" cm="1">
        <f t="array" aca="1" ref="O11" ca="1">INDEX($D$2:$H$6,ROUNDUP($J11/2,0),ROUNDUP(IF(MOD(O$1+INDEX(_xlfn.TEXTSPLIT(F70,",",),0,2)+$J$1,$J$1)=0,$J$1,MOD(O$1+INDEX(_xlfn.TEXTSPLIT(F70,",",),0,2)+$J$1,$J$1))/2,0))</f>
        <v>4</v>
      </c>
      <c r="P11" s="3" cm="1">
        <f t="array" aca="1" ref="P11" ca="1">INDEX($D$2:$H$6,ROUNDUP($J11/2,0),ROUNDUP(IF(MOD(P$1+INDEX(_xlfn.TEXTSPLIT(G70,",",),0,2)+$J$1,$J$1)=0,$J$1,MOD(P$1+INDEX(_xlfn.TEXTSPLIT(G70,",",),0,2)+$J$1,$J$1))/2,0))</f>
        <v>8</v>
      </c>
      <c r="Q11" s="3" cm="1">
        <f t="array" aca="1" ref="Q11" ca="1">INDEX($D$2:$H$6,ROUNDUP($J11/2,0),ROUNDUP(IF(MOD(Q$1+INDEX(_xlfn.TEXTSPLIT(H70,",",),0,2)+$J$1,$J$1)=0,$J$1,MOD(Q$1+INDEX(_xlfn.TEXTSPLIT(H70,",",),0,2)+$J$1,$J$1))/2,0))</f>
        <v>8</v>
      </c>
      <c r="R11" s="3" cm="1">
        <f t="array" aca="1" ref="R11" ca="1">INDEX($D$2:$H$6,ROUNDUP($J11/2,0),ROUNDUP(IF(MOD(R$1+INDEX(_xlfn.TEXTSPLIT(I70,",",),0,2)+$J$1,$J$1)=0,$J$1,MOD(R$1+INDEX(_xlfn.TEXTSPLIT(I70,",",),0,2)+$J$1,$J$1))/2,0))</f>
        <v>8</v>
      </c>
      <c r="S11" s="3" cm="1">
        <f t="array" aca="1" ref="S11" ca="1">INDEX($D$2:$H$6,ROUNDUP($J11/2,0),ROUNDUP(IF(MOD(S$1+INDEX(_xlfn.TEXTSPLIT(J70,",",),0,2)+$J$1,$J$1)=0,$J$1,MOD(S$1+INDEX(_xlfn.TEXTSPLIT(J70,",",),0,2)+$J$1,$J$1))/2,0))</f>
        <v>8</v>
      </c>
      <c r="T11" s="3" cm="1">
        <f t="array" aca="1" ref="T11" ca="1">INDEX($D$2:$H$6,ROUNDUP($J11/2,0),ROUNDUP(IF(MOD(T$1+INDEX(_xlfn.TEXTSPLIT(K70,",",),0,2)+$J$1,$J$1)=0,$J$1,MOD(T$1+INDEX(_xlfn.TEXTSPLIT(K70,",",),0,2)+$J$1,$J$1))/2,0))</f>
        <v>8</v>
      </c>
      <c r="U11" s="1">
        <v>0</v>
      </c>
      <c r="V11" s="6" t="s">
        <v>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N11" s="1"/>
      <c r="AO11" s="1"/>
    </row>
    <row r="12" spans="1:4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2.75">
      <c r="A13" s="1"/>
      <c r="B13" s="1" t="str">
        <f ca="1">IF(B14="","",_xlfn.TEXTJOIN(", ",RANDBETWEEN(1,40),RANDBETWEEN(1,40)))</f>
        <v>18</v>
      </c>
      <c r="C13" s="1" t="str">
        <f t="shared" ref="C13:M13" ca="1" si="6">IF(C14="","",_xlfn.TEXTJOIN(", ",RANDBETWEEN(1,40),RANDBETWEEN(1,40)))</f>
        <v>9</v>
      </c>
      <c r="D13" s="1" t="str">
        <f t="shared" ca="1" si="6"/>
        <v>31</v>
      </c>
      <c r="E13" s="1" t="str">
        <f t="shared" ca="1" si="6"/>
        <v>21</v>
      </c>
      <c r="F13" s="1" t="str">
        <f t="shared" ca="1" si="6"/>
        <v>31</v>
      </c>
      <c r="G13" s="1" t="str">
        <f t="shared" ca="1" si="6"/>
        <v>32</v>
      </c>
      <c r="H13" s="1" t="str">
        <f t="shared" ca="1" si="6"/>
        <v>20</v>
      </c>
      <c r="I13" s="1" t="str">
        <f t="shared" ca="1" si="6"/>
        <v>37</v>
      </c>
      <c r="J13" s="1" t="str">
        <f t="shared" ca="1" si="6"/>
        <v>26</v>
      </c>
      <c r="K13" s="1" t="str">
        <f t="shared" ca="1" si="6"/>
        <v>20</v>
      </c>
      <c r="L13" s="1" t="str">
        <f t="shared" ca="1" si="6"/>
        <v>6</v>
      </c>
      <c r="M13" s="1" t="str">
        <f t="shared" ca="1" si="6"/>
        <v>7</v>
      </c>
      <c r="N13" s="1" t="str">
        <f t="shared" ref="B13:X13" ca="1" si="7">IF(N14="","",JOIN(", ",RANDBETWEEN(1,40),RANDBETWEEN(1,40)))</f>
        <v/>
      </c>
      <c r="O13" s="1" t="str">
        <f t="shared" ca="1" si="7"/>
        <v/>
      </c>
      <c r="P13" s="1" t="str">
        <f t="shared" ca="1" si="7"/>
        <v/>
      </c>
      <c r="Q13" s="1" t="str">
        <f t="shared" ca="1" si="7"/>
        <v/>
      </c>
      <c r="R13" s="1" t="str">
        <f t="shared" ca="1" si="7"/>
        <v/>
      </c>
      <c r="S13" s="1" t="str">
        <f t="shared" ca="1" si="7"/>
        <v/>
      </c>
      <c r="T13" s="1" t="str">
        <f t="shared" ca="1" si="7"/>
        <v/>
      </c>
      <c r="U13" s="1" t="str">
        <f t="shared" ca="1" si="7"/>
        <v/>
      </c>
      <c r="V13" s="1" t="str">
        <f t="shared" ca="1" si="7"/>
        <v/>
      </c>
      <c r="W13" s="1" t="str">
        <f t="shared" ca="1" si="7"/>
        <v/>
      </c>
      <c r="X13" s="1" t="str">
        <f t="shared" ca="1" si="7"/>
        <v/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2.75">
      <c r="A14" s="1">
        <v>12</v>
      </c>
      <c r="B14" s="1">
        <f t="shared" ref="B14:X14" si="8">IF(B15&gt;$A$14,"",B15)</f>
        <v>1</v>
      </c>
      <c r="C14" s="1">
        <f t="shared" si="8"/>
        <v>2</v>
      </c>
      <c r="D14" s="1">
        <f t="shared" si="8"/>
        <v>3</v>
      </c>
      <c r="E14" s="1">
        <f t="shared" si="8"/>
        <v>4</v>
      </c>
      <c r="F14" s="1">
        <f t="shared" si="8"/>
        <v>5</v>
      </c>
      <c r="G14" s="1">
        <f t="shared" si="8"/>
        <v>6</v>
      </c>
      <c r="H14" s="1">
        <f t="shared" si="8"/>
        <v>7</v>
      </c>
      <c r="I14" s="1">
        <f t="shared" si="8"/>
        <v>8</v>
      </c>
      <c r="J14" s="1">
        <f t="shared" si="8"/>
        <v>9</v>
      </c>
      <c r="K14" s="1">
        <f t="shared" si="8"/>
        <v>10</v>
      </c>
      <c r="L14" s="1">
        <f t="shared" si="8"/>
        <v>11</v>
      </c>
      <c r="M14" s="1">
        <f t="shared" si="8"/>
        <v>12</v>
      </c>
      <c r="N14" s="1" t="str">
        <f t="shared" si="8"/>
        <v/>
      </c>
      <c r="O14" s="1" t="str">
        <f t="shared" si="8"/>
        <v/>
      </c>
      <c r="P14" s="1" t="str">
        <f t="shared" si="8"/>
        <v/>
      </c>
      <c r="Q14" s="1" t="str">
        <f t="shared" si="8"/>
        <v/>
      </c>
      <c r="R14" s="1" t="str">
        <f t="shared" si="8"/>
        <v/>
      </c>
      <c r="S14" s="1" t="str">
        <f t="shared" si="8"/>
        <v/>
      </c>
      <c r="T14" s="1" t="str">
        <f t="shared" si="8"/>
        <v/>
      </c>
      <c r="U14" s="1" t="str">
        <f t="shared" si="8"/>
        <v/>
      </c>
      <c r="V14" s="1" t="str">
        <f t="shared" si="8"/>
        <v/>
      </c>
      <c r="W14" s="1" t="str">
        <f t="shared" si="8"/>
        <v/>
      </c>
      <c r="X14" s="1" t="str">
        <f t="shared" si="8"/>
        <v/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12.75">
      <c r="A15" s="1" t="e">
        <f ca="1">23*A16</f>
        <v>#REF!</v>
      </c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N15" s="1">
        <v>13</v>
      </c>
      <c r="O15" s="1">
        <v>14</v>
      </c>
      <c r="P15" s="1">
        <v>15</v>
      </c>
      <c r="Q15" s="1">
        <v>16</v>
      </c>
      <c r="R15" s="1">
        <v>17</v>
      </c>
      <c r="S15" s="1">
        <v>18</v>
      </c>
      <c r="T15" s="1">
        <v>19</v>
      </c>
      <c r="U15" s="1">
        <v>20</v>
      </c>
      <c r="V15" s="1">
        <v>21</v>
      </c>
      <c r="W15" s="1">
        <v>22</v>
      </c>
      <c r="X15" s="1">
        <v>23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2.75">
      <c r="A16" s="1" t="e">
        <f ca="1">E9/#REF!</f>
        <v>#REF!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2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12.75">
      <c r="A18" s="1">
        <v>40</v>
      </c>
      <c r="B18" s="1">
        <v>1</v>
      </c>
      <c r="C18" s="1">
        <v>2</v>
      </c>
      <c r="D18" s="1">
        <v>3</v>
      </c>
      <c r="E18" s="1">
        <v>4</v>
      </c>
      <c r="F18" s="1">
        <v>5</v>
      </c>
      <c r="G18" s="1">
        <v>6</v>
      </c>
      <c r="H18" s="1">
        <v>7</v>
      </c>
      <c r="I18" s="1">
        <v>8</v>
      </c>
      <c r="J18" s="1">
        <v>9</v>
      </c>
      <c r="K18" s="1">
        <v>10</v>
      </c>
      <c r="L18" s="1">
        <v>11</v>
      </c>
      <c r="M18" s="1">
        <v>12</v>
      </c>
      <c r="N18" s="1">
        <v>13</v>
      </c>
      <c r="O18" s="1">
        <v>14</v>
      </c>
      <c r="P18" s="1">
        <v>15</v>
      </c>
      <c r="Q18" s="1">
        <v>16</v>
      </c>
      <c r="R18" s="1">
        <v>17</v>
      </c>
      <c r="S18" s="1">
        <v>18</v>
      </c>
      <c r="T18" s="1">
        <v>19</v>
      </c>
      <c r="U18" s="1">
        <v>20</v>
      </c>
      <c r="V18" s="1">
        <v>21</v>
      </c>
      <c r="W18" s="1">
        <v>22</v>
      </c>
      <c r="X18" s="1">
        <v>23</v>
      </c>
      <c r="Y18" s="1">
        <v>24</v>
      </c>
      <c r="Z18" s="1">
        <v>25</v>
      </c>
      <c r="AA18" s="1">
        <v>26</v>
      </c>
      <c r="AB18" s="1">
        <v>27</v>
      </c>
      <c r="AC18" s="1">
        <v>28</v>
      </c>
      <c r="AD18" s="1">
        <v>29</v>
      </c>
      <c r="AE18" s="1">
        <v>30</v>
      </c>
      <c r="AF18" s="1">
        <v>31</v>
      </c>
      <c r="AG18" s="1">
        <v>32</v>
      </c>
      <c r="AH18" s="1">
        <v>33</v>
      </c>
      <c r="AI18" s="1">
        <v>34</v>
      </c>
      <c r="AJ18" s="1">
        <v>35</v>
      </c>
      <c r="AK18" s="1">
        <v>36</v>
      </c>
      <c r="AL18" s="1">
        <v>37</v>
      </c>
      <c r="AM18" s="1">
        <v>38</v>
      </c>
      <c r="AN18" s="1">
        <v>39</v>
      </c>
      <c r="AO18" s="1">
        <v>40</v>
      </c>
    </row>
    <row r="19" spans="1:41" ht="12.75">
      <c r="A19" s="1">
        <v>1</v>
      </c>
      <c r="B19" s="1" cm="1">
        <f t="array" aca="1" ref="B19" ca="1">(INDEX($K$2:$T$11,ROUNDUP($A19/4,0),ROUNDUP(IF(MOD(B$18+INDEX(_xlfn.TEXTSPLIT(B74,",",),0,2)+$A$18,$A$18)=0,$A$18,MOD(B$18+INDEX(_xlfn.TEXTSPLIT(B74,",",),0,2)+$A$18,$A$18))/4,0)))+(INDEX($AD$2:$AK$9,ROUNDUP($A19/5,0),ROUNDUP(IF(MOD(B$18+INDEX(_xlfn.TEXTSPLIT(B117,",",),0,2)+$A$18,$A$18)=0,$A$18,MOD(B$18+INDEX(_xlfn.TEXTSPLIT(B117,",",),0,2)+$A$18,$A$18))/5,0)))</f>
        <v>6</v>
      </c>
      <c r="C19" s="1" cm="1">
        <f t="array" aca="1" ref="C19" ca="1">(INDEX($K$2:$T$11,ROUNDUP($A19/4,0),ROUNDUP(IF(MOD(C$18+INDEX(_xlfn.TEXTSPLIT(C74,",",),0,2)+$A$18,$A$18)=0,$A$18,MOD(C$18+INDEX(_xlfn.TEXTSPLIT(C74,",",),0,2)+$A$18,$A$18))/4,0)))+(INDEX($AD$2:$AK$9,ROUNDUP($A19/5,0),ROUNDUP(IF(MOD(C$18+INDEX(_xlfn.TEXTSPLIT(C117,",",),0,2)+$A$18,$A$18)=0,$A$18,MOD(C$18+INDEX(_xlfn.TEXTSPLIT(C117,",",),0,2)+$A$18,$A$18))/5,0)))</f>
        <v>2</v>
      </c>
      <c r="D19" s="1" cm="1">
        <f t="array" aca="1" ref="D19" ca="1">(INDEX($K$2:$T$11,ROUNDUP($A19/4,0),ROUNDUP(IF(MOD(D$18+INDEX(_xlfn.TEXTSPLIT(D74,",",),0,2)+$A$18,$A$18)=0,$A$18,MOD(D$18+INDEX(_xlfn.TEXTSPLIT(D74,",",),0,2)+$A$18,$A$18))/4,0)))+(INDEX($AD$2:$AK$9,ROUNDUP($A19/5,0),ROUNDUP(IF(MOD(D$18+INDEX(_xlfn.TEXTSPLIT(D117,",",),0,2)+$A$18,$A$18)=0,$A$18,MOD(D$18+INDEX(_xlfn.TEXTSPLIT(D117,",",),0,2)+$A$18,$A$18))/5,0)))</f>
        <v>2</v>
      </c>
      <c r="E19" s="1" cm="1">
        <f t="array" aca="1" ref="E19" ca="1">(INDEX($K$2:$T$11,ROUNDUP($A19/4,0),ROUNDUP(IF(MOD(E$18+INDEX(_xlfn.TEXTSPLIT(E74,",",),0,2)+$A$18,$A$18)=0,$A$18,MOD(E$18+INDEX(_xlfn.TEXTSPLIT(E74,",",),0,2)+$A$18,$A$18))/4,0)))+(INDEX($AD$2:$AK$9,ROUNDUP($A19/5,0),ROUNDUP(IF(MOD(E$18+INDEX(_xlfn.TEXTSPLIT(E117,",",),0,2)+$A$18,$A$18)=0,$A$18,MOD(E$18+INDEX(_xlfn.TEXTSPLIT(E117,",",),0,2)+$A$18,$A$18))/5,0)))</f>
        <v>2</v>
      </c>
      <c r="F19" s="1" cm="1">
        <f t="array" aca="1" ref="F19" ca="1">(INDEX($K$2:$T$11,ROUNDUP($A19/4,0),ROUNDUP(IF(MOD(F$18+INDEX(_xlfn.TEXTSPLIT(F74,",",),0,2)+$A$18,$A$18)=0,$A$18,MOD(F$18+INDEX(_xlfn.TEXTSPLIT(F74,",",),0,2)+$A$18,$A$18))/4,0)))+(INDEX($AD$2:$AK$9,ROUNDUP($A19/5,0),ROUNDUP(IF(MOD(F$18+INDEX(_xlfn.TEXTSPLIT(F117,",",),0,2)+$A$18,$A$18)=0,$A$18,MOD(F$18+INDEX(_xlfn.TEXTSPLIT(F117,",",),0,2)+$A$18,$A$18))/5,0)))</f>
        <v>6</v>
      </c>
      <c r="G19" s="1" cm="1">
        <f t="array" aca="1" ref="G19" ca="1">(INDEX($K$2:$T$11,ROUNDUP($A19/4,0),ROUNDUP(IF(MOD(G$18+INDEX(_xlfn.TEXTSPLIT(G74,",",),0,2)+$A$18,$A$18)=0,$A$18,MOD(G$18+INDEX(_xlfn.TEXTSPLIT(G74,",",),0,2)+$A$18,$A$18))/4,0)))+(INDEX($AD$2:$AK$9,ROUNDUP($A19/5,0),ROUNDUP(IF(MOD(G$18+INDEX(_xlfn.TEXTSPLIT(G117,",",),0,2)+$A$18,$A$18)=0,$A$18,MOD(G$18+INDEX(_xlfn.TEXTSPLIT(G117,",",),0,2)+$A$18,$A$18))/5,0)))</f>
        <v>5</v>
      </c>
      <c r="H19" s="1" cm="1">
        <f t="array" aca="1" ref="H19" ca="1">(INDEX($K$2:$T$11,ROUNDUP($A19/4,0),ROUNDUP(IF(MOD(H$18+INDEX(_xlfn.TEXTSPLIT(H74,",",),0,2)+$A$18,$A$18)=0,$A$18,MOD(H$18+INDEX(_xlfn.TEXTSPLIT(H74,",",),0,2)+$A$18,$A$18))/4,0)))+(INDEX($AD$2:$AK$9,ROUNDUP($A19/5,0),ROUNDUP(IF(MOD(H$18+INDEX(_xlfn.TEXTSPLIT(H117,",",),0,2)+$A$18,$A$18)=0,$A$18,MOD(H$18+INDEX(_xlfn.TEXTSPLIT(H117,",",),0,2)+$A$18,$A$18))/5,0)))</f>
        <v>5</v>
      </c>
      <c r="I19" s="1" cm="1">
        <f t="array" aca="1" ref="I19" ca="1">(INDEX($K$2:$T$11,ROUNDUP($A19/4,0),ROUNDUP(IF(MOD(I$18+INDEX(_xlfn.TEXTSPLIT(I74,",",),0,2)+$A$18,$A$18)=0,$A$18,MOD(I$18+INDEX(_xlfn.TEXTSPLIT(I74,",",),0,2)+$A$18,$A$18))/4,0)))+(INDEX($AD$2:$AK$9,ROUNDUP($A19/5,0),ROUNDUP(IF(MOD(I$18+INDEX(_xlfn.TEXTSPLIT(I117,",",),0,2)+$A$18,$A$18)=0,$A$18,MOD(I$18+INDEX(_xlfn.TEXTSPLIT(I117,",",),0,2)+$A$18,$A$18))/5,0)))</f>
        <v>5</v>
      </c>
      <c r="J19" s="1" cm="1">
        <f t="array" aca="1" ref="J19" ca="1">(INDEX($K$2:$T$11,ROUNDUP($A19/4,0),ROUNDUP(IF(MOD(J$18+INDEX(_xlfn.TEXTSPLIT(J74,",",),0,2)+$A$18,$A$18)=0,$A$18,MOD(J$18+INDEX(_xlfn.TEXTSPLIT(J74,",",),0,2)+$A$18,$A$18))/4,0)))+(INDEX($AD$2:$AK$9,ROUNDUP($A19/5,0),ROUNDUP(IF(MOD(J$18+INDEX(_xlfn.TEXTSPLIT(J117,",",),0,2)+$A$18,$A$18)=0,$A$18,MOD(J$18+INDEX(_xlfn.TEXTSPLIT(J117,",",),0,2)+$A$18,$A$18))/5,0)))</f>
        <v>5</v>
      </c>
      <c r="K19" s="1" cm="1">
        <f t="array" aca="1" ref="K19" ca="1">(INDEX($K$2:$T$11,ROUNDUP($A19/4,0),ROUNDUP(IF(MOD(K$18+INDEX(_xlfn.TEXTSPLIT(K74,",",),0,2)+$A$18,$A$18)=0,$A$18,MOD(K$18+INDEX(_xlfn.TEXTSPLIT(K74,",",),0,2)+$A$18,$A$18))/4,0)))+(INDEX($AD$2:$AK$9,ROUNDUP($A19/5,0),ROUNDUP(IF(MOD(K$18+INDEX(_xlfn.TEXTSPLIT(K117,",",),0,2)+$A$18,$A$18)=0,$A$18,MOD(K$18+INDEX(_xlfn.TEXTSPLIT(K117,",",),0,2)+$A$18,$A$18))/5,0)))</f>
        <v>5</v>
      </c>
      <c r="L19" s="1" cm="1">
        <f t="array" aca="1" ref="L19" ca="1">(INDEX($K$2:$T$11,ROUNDUP($A19/4,0),ROUNDUP(IF(MOD(L$18+INDEX(_xlfn.TEXTSPLIT(L74,",",),0,2)+$A$18,$A$18)=0,$A$18,MOD(L$18+INDEX(_xlfn.TEXTSPLIT(L74,",",),0,2)+$A$18,$A$18))/4,0)))+(INDEX($AD$2:$AK$9,ROUNDUP($A19/5,0),ROUNDUP(IF(MOD(L$18+INDEX(_xlfn.TEXTSPLIT(L117,",",),0,2)+$A$18,$A$18)=0,$A$18,MOD(L$18+INDEX(_xlfn.TEXTSPLIT(L117,",",),0,2)+$A$18,$A$18))/5,0)))</f>
        <v>8</v>
      </c>
      <c r="M19" s="1" cm="1">
        <f t="array" aca="1" ref="M19" ca="1">(INDEX($K$2:$T$11,ROUNDUP($A19/4,0),ROUNDUP(IF(MOD(M$18+INDEX(_xlfn.TEXTSPLIT(M74,",",),0,2)+$A$18,$A$18)=0,$A$18,MOD(M$18+INDEX(_xlfn.TEXTSPLIT(M74,",",),0,2)+$A$18,$A$18))/4,0)))+(INDEX($AD$2:$AK$9,ROUNDUP($A19/5,0),ROUNDUP(IF(MOD(M$18+INDEX(_xlfn.TEXTSPLIT(M117,",",),0,2)+$A$18,$A$18)=0,$A$18,MOD(M$18+INDEX(_xlfn.TEXTSPLIT(M117,",",),0,2)+$A$18,$A$18))/5,0)))</f>
        <v>8</v>
      </c>
      <c r="N19" s="1" cm="1">
        <f t="array" aca="1" ref="N19" ca="1">(INDEX($K$2:$T$11,ROUNDUP($A19/4,0),ROUNDUP(IF(MOD(N$18+INDEX(_xlfn.TEXTSPLIT(N74,",",),0,2)+$A$18,$A$18)=0,$A$18,MOD(N$18+INDEX(_xlfn.TEXTSPLIT(N74,",",),0,2)+$A$18,$A$18))/4,0)))+(INDEX($AD$2:$AK$9,ROUNDUP($A19/5,0),ROUNDUP(IF(MOD(N$18+INDEX(_xlfn.TEXTSPLIT(N117,",",),0,2)+$A$18,$A$18)=0,$A$18,MOD(N$18+INDEX(_xlfn.TEXTSPLIT(N117,",",),0,2)+$A$18,$A$18))/5,0)))</f>
        <v>8</v>
      </c>
      <c r="O19" s="1" cm="1">
        <f t="array" aca="1" ref="O19" ca="1">(INDEX($K$2:$T$11,ROUNDUP($A19/4,0),ROUNDUP(IF(MOD(O$18+INDEX(_xlfn.TEXTSPLIT(O74,",",),0,2)+$A$18,$A$18)=0,$A$18,MOD(O$18+INDEX(_xlfn.TEXTSPLIT(O74,",",),0,2)+$A$18,$A$18))/4,0)))+(INDEX($AD$2:$AK$9,ROUNDUP($A19/5,0),ROUNDUP(IF(MOD(O$18+INDEX(_xlfn.TEXTSPLIT(O117,",",),0,2)+$A$18,$A$18)=0,$A$18,MOD(O$18+INDEX(_xlfn.TEXTSPLIT(O117,",",),0,2)+$A$18,$A$18))/5,0)))</f>
        <v>8</v>
      </c>
      <c r="P19" s="1" cm="1">
        <f t="array" aca="1" ref="P19" ca="1">(INDEX($K$2:$T$11,ROUNDUP($A19/4,0),ROUNDUP(IF(MOD(P$18+INDEX(_xlfn.TEXTSPLIT(P74,",",),0,2)+$A$18,$A$18)=0,$A$18,MOD(P$18+INDEX(_xlfn.TEXTSPLIT(P74,",",),0,2)+$A$18,$A$18))/4,0)))+(INDEX($AD$2:$AK$9,ROUNDUP($A19/5,0),ROUNDUP(IF(MOD(P$18+INDEX(_xlfn.TEXTSPLIT(P117,",",),0,2)+$A$18,$A$18)=0,$A$18,MOD(P$18+INDEX(_xlfn.TEXTSPLIT(P117,",",),0,2)+$A$18,$A$18))/5,0)))</f>
        <v>8</v>
      </c>
      <c r="Q19" s="1" cm="1">
        <f t="array" aca="1" ref="Q19" ca="1">(INDEX($K$2:$T$11,ROUNDUP($A19/4,0),ROUNDUP(IF(MOD(Q$18+INDEX(_xlfn.TEXTSPLIT(Q74,",",),0,2)+$A$18,$A$18)=0,$A$18,MOD(Q$18+INDEX(_xlfn.TEXTSPLIT(Q74,",",),0,2)+$A$18,$A$18))/4,0)))+(INDEX($AD$2:$AK$9,ROUNDUP($A19/5,0),ROUNDUP(IF(MOD(Q$18+INDEX(_xlfn.TEXTSPLIT(Q117,",",),0,2)+$A$18,$A$18)=0,$A$18,MOD(Q$18+INDEX(_xlfn.TEXTSPLIT(Q117,",",),0,2)+$A$18,$A$18))/5,0)))</f>
        <v>5</v>
      </c>
      <c r="R19" s="1" cm="1">
        <f t="array" aca="1" ref="R19" ca="1">(INDEX($K$2:$T$11,ROUNDUP($A19/4,0),ROUNDUP(IF(MOD(R$18+INDEX(_xlfn.TEXTSPLIT(R74,",",),0,2)+$A$18,$A$18)=0,$A$18,MOD(R$18+INDEX(_xlfn.TEXTSPLIT(R74,",",),0,2)+$A$18,$A$18))/4,0)))+(INDEX($AD$2:$AK$9,ROUNDUP($A19/5,0),ROUNDUP(IF(MOD(R$18+INDEX(_xlfn.TEXTSPLIT(R117,",",),0,2)+$A$18,$A$18)=0,$A$18,MOD(R$18+INDEX(_xlfn.TEXTSPLIT(R117,",",),0,2)+$A$18,$A$18))/5,0)))</f>
        <v>5</v>
      </c>
      <c r="S19" s="1" cm="1">
        <f t="array" aca="1" ref="S19" ca="1">(INDEX($K$2:$T$11,ROUNDUP($A19/4,0),ROUNDUP(IF(MOD(S$18+INDEX(_xlfn.TEXTSPLIT(S74,",",),0,2)+$A$18,$A$18)=0,$A$18,MOD(S$18+INDEX(_xlfn.TEXTSPLIT(S74,",",),0,2)+$A$18,$A$18))/4,0)))+(INDEX($AD$2:$AK$9,ROUNDUP($A19/5,0),ROUNDUP(IF(MOD(S$18+INDEX(_xlfn.TEXTSPLIT(S117,",",),0,2)+$A$18,$A$18)=0,$A$18,MOD(S$18+INDEX(_xlfn.TEXTSPLIT(S117,",",),0,2)+$A$18,$A$18))/5,0)))</f>
        <v>5</v>
      </c>
      <c r="T19" s="1" cm="1">
        <f t="array" aca="1" ref="T19" ca="1">(INDEX($K$2:$T$11,ROUNDUP($A19/4,0),ROUNDUP(IF(MOD(T$18+INDEX(_xlfn.TEXTSPLIT(T74,",",),0,2)+$A$18,$A$18)=0,$A$18,MOD(T$18+INDEX(_xlfn.TEXTSPLIT(T74,",",),0,2)+$A$18,$A$18))/4,0)))+(INDEX($AD$2:$AK$9,ROUNDUP($A19/5,0),ROUNDUP(IF(MOD(T$18+INDEX(_xlfn.TEXTSPLIT(T117,",",),0,2)+$A$18,$A$18)=0,$A$18,MOD(T$18+INDEX(_xlfn.TEXTSPLIT(T117,",",),0,2)+$A$18,$A$18))/5,0)))</f>
        <v>5</v>
      </c>
      <c r="U19" s="1" cm="1">
        <f t="array" aca="1" ref="U19" ca="1">(INDEX($K$2:$T$11,ROUNDUP($A19/4,0),ROUNDUP(IF(MOD(U$18+INDEX(_xlfn.TEXTSPLIT(U74,",",),0,2)+$A$18,$A$18)=0,$A$18,MOD(U$18+INDEX(_xlfn.TEXTSPLIT(U74,",",),0,2)+$A$18,$A$18))/4,0)))+(INDEX($AD$2:$AK$9,ROUNDUP($A19/5,0),ROUNDUP(IF(MOD(U$18+INDEX(_xlfn.TEXTSPLIT(U117,",",),0,2)+$A$18,$A$18)=0,$A$18,MOD(U$18+INDEX(_xlfn.TEXTSPLIT(U117,",",),0,2)+$A$18,$A$18))/5,0)))</f>
        <v>8</v>
      </c>
      <c r="V19" s="1" cm="1">
        <f t="array" aca="1" ref="V19" ca="1">(INDEX($K$2:$T$11,ROUNDUP($A19/4,0),ROUNDUP(IF(MOD(V$18+INDEX(_xlfn.TEXTSPLIT(V74,",",),0,2)+$A$18,$A$18)=0,$A$18,MOD(V$18+INDEX(_xlfn.TEXTSPLIT(V74,",",),0,2)+$A$18,$A$18))/4,0)))+(INDEX($AD$2:$AK$9,ROUNDUP($A19/5,0),ROUNDUP(IF(MOD(V$18+INDEX(_xlfn.TEXTSPLIT(V117,",",),0,2)+$A$18,$A$18)=0,$A$18,MOD(V$18+INDEX(_xlfn.TEXTSPLIT(V117,",",),0,2)+$A$18,$A$18))/5,0)))</f>
        <v>8</v>
      </c>
      <c r="W19" s="1" cm="1">
        <f t="array" aca="1" ref="W19" ca="1">(INDEX($K$2:$T$11,ROUNDUP($A19/4,0),ROUNDUP(IF(MOD(W$18+INDEX(_xlfn.TEXTSPLIT(W74,",",),0,2)+$A$18,$A$18)=0,$A$18,MOD(W$18+INDEX(_xlfn.TEXTSPLIT(W74,",",),0,2)+$A$18,$A$18))/4,0)))+(INDEX($AD$2:$AK$9,ROUNDUP($A19/5,0),ROUNDUP(IF(MOD(W$18+INDEX(_xlfn.TEXTSPLIT(W117,",",),0,2)+$A$18,$A$18)=0,$A$18,MOD(W$18+INDEX(_xlfn.TEXTSPLIT(W117,",",),0,2)+$A$18,$A$18))/5,0)))</f>
        <v>8</v>
      </c>
      <c r="X19" s="1" cm="1">
        <f t="array" aca="1" ref="X19" ca="1">(INDEX($K$2:$T$11,ROUNDUP($A19/4,0),ROUNDUP(IF(MOD(X$18+INDEX(_xlfn.TEXTSPLIT(X74,",",),0,2)+$A$18,$A$18)=0,$A$18,MOD(X$18+INDEX(_xlfn.TEXTSPLIT(X74,",",),0,2)+$A$18,$A$18))/4,0)))+(INDEX($AD$2:$AK$9,ROUNDUP($A19/5,0),ROUNDUP(IF(MOD(X$18+INDEX(_xlfn.TEXTSPLIT(X117,",",),0,2)+$A$18,$A$18)=0,$A$18,MOD(X$18+INDEX(_xlfn.TEXTSPLIT(X117,",",),0,2)+$A$18,$A$18))/5,0)))</f>
        <v>8</v>
      </c>
      <c r="Y19" s="1" cm="1">
        <f t="array" aca="1" ref="Y19" ca="1">(INDEX($K$2:$T$11,ROUNDUP($A19/4,0),ROUNDUP(IF(MOD(Y$18+INDEX(_xlfn.TEXTSPLIT(Y74,",",),0,2)+$A$18,$A$18)=0,$A$18,MOD(Y$18+INDEX(_xlfn.TEXTSPLIT(Y74,",",),0,2)+$A$18,$A$18))/4,0)))+(INDEX($AD$2:$AK$9,ROUNDUP($A19/5,0),ROUNDUP(IF(MOD(Y$18+INDEX(_xlfn.TEXTSPLIT(Y117,",",),0,2)+$A$18,$A$18)=0,$A$18,MOD(Y$18+INDEX(_xlfn.TEXTSPLIT(Y117,",",),0,2)+$A$18,$A$18))/5,0)))</f>
        <v>8</v>
      </c>
      <c r="Z19" s="1" cm="1">
        <f t="array" aca="1" ref="Z19" ca="1">(INDEX($K$2:$T$11,ROUNDUP($A19/4,0),ROUNDUP(IF(MOD(Z$18+INDEX(_xlfn.TEXTSPLIT(Z74,",",),0,2)+$A$18,$A$18)=0,$A$18,MOD(Z$18+INDEX(_xlfn.TEXTSPLIT(Z74,",",),0,2)+$A$18,$A$18))/4,0)))+(INDEX($AD$2:$AK$9,ROUNDUP($A19/5,0),ROUNDUP(IF(MOD(Z$18+INDEX(_xlfn.TEXTSPLIT(Z117,",",),0,2)+$A$18,$A$18)=0,$A$18,MOD(Z$18+INDEX(_xlfn.TEXTSPLIT(Z117,",",),0,2)+$A$18,$A$18))/5,0)))</f>
        <v>6</v>
      </c>
      <c r="AA19" s="1" cm="1">
        <f t="array" aca="1" ref="AA19" ca="1">(INDEX($K$2:$T$11,ROUNDUP($A19/4,0),ROUNDUP(IF(MOD(AA$18+INDEX(_xlfn.TEXTSPLIT(AA74,",",),0,2)+$A$18,$A$18)=0,$A$18,MOD(AA$18+INDEX(_xlfn.TEXTSPLIT(AA74,",",),0,2)+$A$18,$A$18))/4,0)))+(INDEX($AD$2:$AK$9,ROUNDUP($A19/5,0),ROUNDUP(IF(MOD(AA$18+INDEX(_xlfn.TEXTSPLIT(AA117,",",),0,2)+$A$18,$A$18)=0,$A$18,MOD(AA$18+INDEX(_xlfn.TEXTSPLIT(AA117,",",),0,2)+$A$18,$A$18))/5,0)))</f>
        <v>6</v>
      </c>
      <c r="AB19" s="1" cm="1">
        <f t="array" aca="1" ref="AB19" ca="1">(INDEX($K$2:$T$11,ROUNDUP($A19/4,0),ROUNDUP(IF(MOD(AB$18+INDEX(_xlfn.TEXTSPLIT(AB74,",",),0,2)+$A$18,$A$18)=0,$A$18,MOD(AB$18+INDEX(_xlfn.TEXTSPLIT(AB74,",",),0,2)+$A$18,$A$18))/4,0)))+(INDEX($AD$2:$AK$9,ROUNDUP($A19/5,0),ROUNDUP(IF(MOD(AB$18+INDEX(_xlfn.TEXTSPLIT(AB117,",",),0,2)+$A$18,$A$18)=0,$A$18,MOD(AB$18+INDEX(_xlfn.TEXTSPLIT(AB117,",",),0,2)+$A$18,$A$18))/5,0)))</f>
        <v>6</v>
      </c>
      <c r="AC19" s="1" cm="1">
        <f t="array" aca="1" ref="AC19" ca="1">(INDEX($K$2:$T$11,ROUNDUP($A19/4,0),ROUNDUP(IF(MOD(AC$18+INDEX(_xlfn.TEXTSPLIT(AC74,",",),0,2)+$A$18,$A$18)=0,$A$18,MOD(AC$18+INDEX(_xlfn.TEXTSPLIT(AC74,",",),0,2)+$A$18,$A$18))/4,0)))+(INDEX($AD$2:$AK$9,ROUNDUP($A19/5,0),ROUNDUP(IF(MOD(AC$18+INDEX(_xlfn.TEXTSPLIT(AC117,",",),0,2)+$A$18,$A$18)=0,$A$18,MOD(AC$18+INDEX(_xlfn.TEXTSPLIT(AC117,",",),0,2)+$A$18,$A$18))/5,0)))</f>
        <v>2</v>
      </c>
      <c r="AD19" s="1" cm="1">
        <f t="array" aca="1" ref="AD19" ca="1">(INDEX($K$2:$T$11,ROUNDUP($A19/4,0),ROUNDUP(IF(MOD(AD$18+INDEX(_xlfn.TEXTSPLIT(AD74,",",),0,2)+$A$18,$A$18)=0,$A$18,MOD(AD$18+INDEX(_xlfn.TEXTSPLIT(AD74,",",),0,2)+$A$18,$A$18))/4,0)))+(INDEX($AD$2:$AK$9,ROUNDUP($A19/5,0),ROUNDUP(IF(MOD(AD$18+INDEX(_xlfn.TEXTSPLIT(AD117,",",),0,2)+$A$18,$A$18)=0,$A$18,MOD(AD$18+INDEX(_xlfn.TEXTSPLIT(AD117,",",),0,2)+$A$18,$A$18))/5,0)))</f>
        <v>6</v>
      </c>
      <c r="AE19" s="1" cm="1">
        <f t="array" aca="1" ref="AE19" ca="1">(INDEX($K$2:$T$11,ROUNDUP($A19/4,0),ROUNDUP(IF(MOD(AE$18+INDEX(_xlfn.TEXTSPLIT(AE74,",",),0,2)+$A$18,$A$18)=0,$A$18,MOD(AE$18+INDEX(_xlfn.TEXTSPLIT(AE74,",",),0,2)+$A$18,$A$18))/4,0)))+(INDEX($AD$2:$AK$9,ROUNDUP($A19/5,0),ROUNDUP(IF(MOD(AE$18+INDEX(_xlfn.TEXTSPLIT(AE117,",",),0,2)+$A$18,$A$18)=0,$A$18,MOD(AE$18+INDEX(_xlfn.TEXTSPLIT(AE117,",",),0,2)+$A$18,$A$18))/5,0)))</f>
        <v>2</v>
      </c>
      <c r="AF19" s="1" cm="1">
        <f t="array" aca="1" ref="AF19" ca="1">(INDEX($K$2:$T$11,ROUNDUP($A19/4,0),ROUNDUP(IF(MOD(AF$18+INDEX(_xlfn.TEXTSPLIT(AF74,",",),0,2)+$A$18,$A$18)=0,$A$18,MOD(AF$18+INDEX(_xlfn.TEXTSPLIT(AF74,",",),0,2)+$A$18,$A$18))/4,0)))+(INDEX($AD$2:$AK$9,ROUNDUP($A19/5,0),ROUNDUP(IF(MOD(AF$18+INDEX(_xlfn.TEXTSPLIT(AF117,",",),0,2)+$A$18,$A$18)=0,$A$18,MOD(AF$18+INDEX(_xlfn.TEXTSPLIT(AF117,",",),0,2)+$A$18,$A$18))/5,0)))</f>
        <v>4</v>
      </c>
      <c r="AG19" s="1" cm="1">
        <f t="array" aca="1" ref="AG19" ca="1">(INDEX($K$2:$T$11,ROUNDUP($A19/4,0),ROUNDUP(IF(MOD(AG$18+INDEX(_xlfn.TEXTSPLIT(AG74,",",),0,2)+$A$18,$A$18)=0,$A$18,MOD(AG$18+INDEX(_xlfn.TEXTSPLIT(AG74,",",),0,2)+$A$18,$A$18))/4,0)))+(INDEX($AD$2:$AK$9,ROUNDUP($A19/5,0),ROUNDUP(IF(MOD(AG$18+INDEX(_xlfn.TEXTSPLIT(AG117,",",),0,2)+$A$18,$A$18)=0,$A$18,MOD(AG$18+INDEX(_xlfn.TEXTSPLIT(AG117,",",),0,2)+$A$18,$A$18))/5,0)))</f>
        <v>4</v>
      </c>
      <c r="AH19" s="1" cm="1">
        <f t="array" aca="1" ref="AH19" ca="1">(INDEX($K$2:$T$11,ROUNDUP($A19/4,0),ROUNDUP(IF(MOD(AH$18+INDEX(_xlfn.TEXTSPLIT(AH74,",",),0,2)+$A$18,$A$18)=0,$A$18,MOD(AH$18+INDEX(_xlfn.TEXTSPLIT(AH74,",",),0,2)+$A$18,$A$18))/4,0)))+(INDEX($AD$2:$AK$9,ROUNDUP($A19/5,0),ROUNDUP(IF(MOD(AH$18+INDEX(_xlfn.TEXTSPLIT(AH117,",",),0,2)+$A$18,$A$18)=0,$A$18,MOD(AH$18+INDEX(_xlfn.TEXTSPLIT(AH117,",",),0,2)+$A$18,$A$18))/5,0)))</f>
        <v>4</v>
      </c>
      <c r="AI19" s="1" cm="1">
        <f t="array" aca="1" ref="AI19" ca="1">(INDEX($K$2:$T$11,ROUNDUP($A19/4,0),ROUNDUP(IF(MOD(AI$18+INDEX(_xlfn.TEXTSPLIT(AI74,",",),0,2)+$A$18,$A$18)=0,$A$18,MOD(AI$18+INDEX(_xlfn.TEXTSPLIT(AI74,",",),0,2)+$A$18,$A$18))/4,0)))+(INDEX($AD$2:$AK$9,ROUNDUP($A19/5,0),ROUNDUP(IF(MOD(AI$18+INDEX(_xlfn.TEXTSPLIT(AI117,",",),0,2)+$A$18,$A$18)=0,$A$18,MOD(AI$18+INDEX(_xlfn.TEXTSPLIT(AI117,",",),0,2)+$A$18,$A$18))/5,0)))</f>
        <v>4</v>
      </c>
      <c r="AJ19" s="1" cm="1">
        <f t="array" aca="1" ref="AJ19" ca="1">(INDEX($K$2:$T$11,ROUNDUP($A19/4,0),ROUNDUP(IF(MOD(AJ$18+INDEX(_xlfn.TEXTSPLIT(AJ74,",",),0,2)+$A$18,$A$18)=0,$A$18,MOD(AJ$18+INDEX(_xlfn.TEXTSPLIT(AJ74,",",),0,2)+$A$18,$A$18))/4,0)))+(INDEX($AD$2:$AK$9,ROUNDUP($A19/5,0),ROUNDUP(IF(MOD(AJ$18+INDEX(_xlfn.TEXTSPLIT(AJ117,",",),0,2)+$A$18,$A$18)=0,$A$18,MOD(AJ$18+INDEX(_xlfn.TEXTSPLIT(AJ117,",",),0,2)+$A$18,$A$18))/5,0)))</f>
        <v>2</v>
      </c>
      <c r="AK19" s="1" cm="1">
        <f t="array" aca="1" ref="AK19" ca="1">(INDEX($K$2:$T$11,ROUNDUP($A19/4,0),ROUNDUP(IF(MOD(AK$18+INDEX(_xlfn.TEXTSPLIT(AK74,",",),0,2)+$A$18,$A$18)=0,$A$18,MOD(AK$18+INDEX(_xlfn.TEXTSPLIT(AK74,",",),0,2)+$A$18,$A$18))/4,0)))+(INDEX($AD$2:$AK$9,ROUNDUP($A19/5,0),ROUNDUP(IF(MOD(AK$18+INDEX(_xlfn.TEXTSPLIT(AK117,",",),0,2)+$A$18,$A$18)=0,$A$18,MOD(AK$18+INDEX(_xlfn.TEXTSPLIT(AK117,",",),0,2)+$A$18,$A$18))/5,0)))</f>
        <v>4</v>
      </c>
      <c r="AL19" s="1" cm="1">
        <f t="array" aca="1" ref="AL19" ca="1">(INDEX($K$2:$T$11,ROUNDUP($A19/4,0),ROUNDUP(IF(MOD(AL$18+INDEX(_xlfn.TEXTSPLIT(AL74,",",),0,2)+$A$18,$A$18)=0,$A$18,MOD(AL$18+INDEX(_xlfn.TEXTSPLIT(AL74,",",),0,2)+$A$18,$A$18))/4,0)))+(INDEX($AD$2:$AK$9,ROUNDUP($A19/5,0),ROUNDUP(IF(MOD(AL$18+INDEX(_xlfn.TEXTSPLIT(AL117,",",),0,2)+$A$18,$A$18)=0,$A$18,MOD(AL$18+INDEX(_xlfn.TEXTSPLIT(AL117,",",),0,2)+$A$18,$A$18))/5,0)))</f>
        <v>6</v>
      </c>
      <c r="AM19" s="1" cm="1">
        <f t="array" aca="1" ref="AM19" ca="1">(INDEX($K$2:$T$11,ROUNDUP($A19/4,0),ROUNDUP(IF(MOD(AM$18+INDEX(_xlfn.TEXTSPLIT(AM74,",",),0,2)+$A$18,$A$18)=0,$A$18,MOD(AM$18+INDEX(_xlfn.TEXTSPLIT(AM74,",",),0,2)+$A$18,$A$18))/4,0)))+(INDEX($AD$2:$AK$9,ROUNDUP($A19/5,0),ROUNDUP(IF(MOD(AM$18+INDEX(_xlfn.TEXTSPLIT(AM117,",",),0,2)+$A$18,$A$18)=0,$A$18,MOD(AM$18+INDEX(_xlfn.TEXTSPLIT(AM117,",",),0,2)+$A$18,$A$18))/5,0)))</f>
        <v>6</v>
      </c>
      <c r="AN19" s="1" cm="1">
        <f t="array" aca="1" ref="AN19" ca="1">(INDEX($K$2:$T$11,ROUNDUP($A19/4,0),ROUNDUP(IF(MOD(AN$18+INDEX(_xlfn.TEXTSPLIT(AN74,",",),0,2)+$A$18,$A$18)=0,$A$18,MOD(AN$18+INDEX(_xlfn.TEXTSPLIT(AN74,",",),0,2)+$A$18,$A$18))/4,0)))+(INDEX($AD$2:$AK$9,ROUNDUP($A19/5,0),ROUNDUP(IF(MOD(AN$18+INDEX(_xlfn.TEXTSPLIT(AN117,",",),0,2)+$A$18,$A$18)=0,$A$18,MOD(AN$18+INDEX(_xlfn.TEXTSPLIT(AN117,",",),0,2)+$A$18,$A$18))/5,0)))</f>
        <v>6</v>
      </c>
      <c r="AO19" s="1" cm="1">
        <f t="array" aca="1" ref="AO19" ca="1">(INDEX($K$2:$T$11,ROUNDUP($A19/4,0),ROUNDUP(IF(MOD(AO$18+INDEX(_xlfn.TEXTSPLIT(AO74,",",),0,2)+$A$18,$A$18)=0,$A$18,MOD(AO$18+INDEX(_xlfn.TEXTSPLIT(AO74,",",),0,2)+$A$18,$A$18))/4,0)))+(INDEX($AD$2:$AK$9,ROUNDUP($A19/5,0),ROUNDUP(IF(MOD(AO$18+INDEX(_xlfn.TEXTSPLIT(AO117,",",),0,2)+$A$18,$A$18)=0,$A$18,MOD(AO$18+INDEX(_xlfn.TEXTSPLIT(AO117,",",),0,2)+$A$18,$A$18))/5,0)))</f>
        <v>2</v>
      </c>
    </row>
    <row r="20" spans="1:41" ht="12.75">
      <c r="A20" s="1">
        <v>2</v>
      </c>
      <c r="B20" s="1" cm="1">
        <f t="array" aca="1" ref="B20" ca="1">(INDEX($K$2:$T$11,ROUNDUP(IF(MOD($A20+INDEX(_xlfn.TEXTSPLIT(B75,",",),0,1)+$A$18,$A$18)=0,$A$18,MOD($A20+INDEX(_xlfn.TEXTSPLIT(B75,",",),0,1)+$A$18,$A$18))/4,0),ROUNDUP(IF(MOD(B$18+INDEX(_xlfn.TEXTSPLIT(B75,",",),0,2)+$A$18,$A$18)=0,$A$18,MOD(B$18+INDEX(_xlfn.TEXTSPLIT(B75,",",),0,2)+$A$18,$A$18))/4,0)))+(INDEX($AD$2:$AK$9,ROUNDUP(IF(MOD($A20+INDEX(_xlfn.TEXTSPLIT(B118,",",),0,1)+$A$18,$A$18)=0,$A$18,MOD($A20+INDEX(_xlfn.TEXTSPLIT(B118,",",),0,1)+$A$18,$A$18))/5,0),ROUNDUP(IF(MOD(B$18+INDEX(_xlfn.TEXTSPLIT(B118,",",),0,2)+$A$18,$A$18)=0,$A$18,MOD(B$18+INDEX(_xlfn.TEXTSPLIT(B118,",",),0,2)+$A$18,$A$18))/5,0)))</f>
        <v>2</v>
      </c>
      <c r="C20" s="1" cm="1">
        <f t="array" aca="1" ref="C20" ca="1">(INDEX($K$2:$T$11,ROUNDUP(IF(MOD($A20+INDEX(_xlfn.TEXTSPLIT(C75,",",),0,1)+$A$18,$A$18)=0,$A$18,MOD($A20+INDEX(_xlfn.TEXTSPLIT(C75,",",),0,1)+$A$18,$A$18))/4,0),ROUNDUP(IF(MOD(C$18+INDEX(_xlfn.TEXTSPLIT(C75,",",),0,2)+$A$18,$A$18)=0,$A$18,MOD(C$18+INDEX(_xlfn.TEXTSPLIT(C75,",",),0,2)+$A$18,$A$18))/4,0)))+(INDEX($AD$2:$AK$9,ROUNDUP(IF(MOD($A20+INDEX(_xlfn.TEXTSPLIT(C118,",",),0,1)+$A$18,$A$18)=0,$A$18,MOD($A20+INDEX(_xlfn.TEXTSPLIT(C118,",",),0,1)+$A$18,$A$18))/5,0),ROUNDUP(IF(MOD(C$18+INDEX(_xlfn.TEXTSPLIT(C118,",",),0,2)+$A$18,$A$18)=0,$A$18,MOD(C$18+INDEX(_xlfn.TEXTSPLIT(C118,",",),0,2)+$A$18,$A$18))/5,0)))</f>
        <v>2</v>
      </c>
      <c r="D20" s="1" cm="1">
        <f t="array" aca="1" ref="D20" ca="1">(INDEX($K$2:$T$11,ROUNDUP(IF(MOD($A20+INDEX(_xlfn.TEXTSPLIT(D75,",",),0,1)+$A$18,$A$18)=0,$A$18,MOD($A20+INDEX(_xlfn.TEXTSPLIT(D75,",",),0,1)+$A$18,$A$18))/4,0),ROUNDUP(IF(MOD(D$18+INDEX(_xlfn.TEXTSPLIT(D75,",",),0,2)+$A$18,$A$18)=0,$A$18,MOD(D$18+INDEX(_xlfn.TEXTSPLIT(D75,",",),0,2)+$A$18,$A$18))/4,0)))+(INDEX($AD$2:$AK$9,ROUNDUP(IF(MOD($A20+INDEX(_xlfn.TEXTSPLIT(D118,",",),0,1)+$A$18,$A$18)=0,$A$18,MOD($A20+INDEX(_xlfn.TEXTSPLIT(D118,",",),0,1)+$A$18,$A$18))/5,0),ROUNDUP(IF(MOD(D$18+INDEX(_xlfn.TEXTSPLIT(D118,",",),0,2)+$A$18,$A$18)=0,$A$18,MOD(D$18+INDEX(_xlfn.TEXTSPLIT(D118,",",),0,2)+$A$18,$A$18))/5,0)))</f>
        <v>2</v>
      </c>
      <c r="E20" s="1" cm="1">
        <f t="array" aca="1" ref="E20" ca="1">(INDEX($K$2:$T$11,ROUNDUP(IF(MOD($A20+INDEX(_xlfn.TEXTSPLIT(E75,",",),0,1)+$A$18,$A$18)=0,$A$18,MOD($A20+INDEX(_xlfn.TEXTSPLIT(E75,",",),0,1)+$A$18,$A$18))/4,0),ROUNDUP(IF(MOD(E$18+INDEX(_xlfn.TEXTSPLIT(E75,",",),0,2)+$A$18,$A$18)=0,$A$18,MOD(E$18+INDEX(_xlfn.TEXTSPLIT(E75,",",),0,2)+$A$18,$A$18))/4,0)))+(INDEX($AD$2:$AK$9,ROUNDUP(IF(MOD($A20+INDEX(_xlfn.TEXTSPLIT(E118,",",),0,1)+$A$18,$A$18)=0,$A$18,MOD($A20+INDEX(_xlfn.TEXTSPLIT(E118,",",),0,1)+$A$18,$A$18))/5,0),ROUNDUP(IF(MOD(E$18+INDEX(_xlfn.TEXTSPLIT(E118,",",),0,2)+$A$18,$A$18)=0,$A$18,MOD(E$18+INDEX(_xlfn.TEXTSPLIT(E118,",",),0,2)+$A$18,$A$18))/5,0)))</f>
        <v>2</v>
      </c>
      <c r="F20" s="1" cm="1">
        <f t="array" aca="1" ref="F20" ca="1">(INDEX($K$2:$T$11,ROUNDUP(IF(MOD($A20+INDEX(_xlfn.TEXTSPLIT(F75,",",),0,1)+$A$18,$A$18)=0,$A$18,MOD($A20+INDEX(_xlfn.TEXTSPLIT(F75,",",),0,1)+$A$18,$A$18))/4,0),ROUNDUP(IF(MOD(F$18+INDEX(_xlfn.TEXTSPLIT(F75,",",),0,2)+$A$18,$A$18)=0,$A$18,MOD(F$18+INDEX(_xlfn.TEXTSPLIT(F75,",",),0,2)+$A$18,$A$18))/4,0)))+(INDEX($AD$2:$AK$9,ROUNDUP(IF(MOD($A20+INDEX(_xlfn.TEXTSPLIT(F118,",",),0,1)+$A$18,$A$18)=0,$A$18,MOD($A20+INDEX(_xlfn.TEXTSPLIT(F118,",",),0,1)+$A$18,$A$18))/5,0),ROUNDUP(IF(MOD(F$18+INDEX(_xlfn.TEXTSPLIT(F118,",",),0,2)+$A$18,$A$18)=0,$A$18,MOD(F$18+INDEX(_xlfn.TEXTSPLIT(F118,",",),0,2)+$A$18,$A$18))/5,0)))</f>
        <v>2</v>
      </c>
      <c r="G20" s="1" cm="1">
        <f t="array" aca="1" ref="G20" ca="1">(INDEX($K$2:$T$11,ROUNDUP(IF(MOD($A20+INDEX(_xlfn.TEXTSPLIT(G75,",",),0,1)+$A$18,$A$18)=0,$A$18,MOD($A20+INDEX(_xlfn.TEXTSPLIT(G75,",",),0,1)+$A$18,$A$18))/4,0),ROUNDUP(IF(MOD(G$18+INDEX(_xlfn.TEXTSPLIT(G75,",",),0,2)+$A$18,$A$18)=0,$A$18,MOD(G$18+INDEX(_xlfn.TEXTSPLIT(G75,",",),0,2)+$A$18,$A$18))/4,0)))+(INDEX($AD$2:$AK$9,ROUNDUP(IF(MOD($A20+INDEX(_xlfn.TEXTSPLIT(G118,",",),0,1)+$A$18,$A$18)=0,$A$18,MOD($A20+INDEX(_xlfn.TEXTSPLIT(G118,",",),0,1)+$A$18,$A$18))/5,0),ROUNDUP(IF(MOD(G$18+INDEX(_xlfn.TEXTSPLIT(G118,",",),0,2)+$A$18,$A$18)=0,$A$18,MOD(G$18+INDEX(_xlfn.TEXTSPLIT(G118,",",),0,2)+$A$18,$A$18))/5,0)))</f>
        <v>5</v>
      </c>
      <c r="H20" s="1" cm="1">
        <f t="array" aca="1" ref="H20" ca="1">(INDEX($K$2:$T$11,ROUNDUP(IF(MOD($A20+INDEX(_xlfn.TEXTSPLIT(H75,",",),0,1)+$A$18,$A$18)=0,$A$18,MOD($A20+INDEX(_xlfn.TEXTSPLIT(H75,",",),0,1)+$A$18,$A$18))/4,0),ROUNDUP(IF(MOD(H$18+INDEX(_xlfn.TEXTSPLIT(H75,",",),0,2)+$A$18,$A$18)=0,$A$18,MOD(H$18+INDEX(_xlfn.TEXTSPLIT(H75,",",),0,2)+$A$18,$A$18))/4,0)))+(INDEX($AD$2:$AK$9,ROUNDUP(IF(MOD($A20+INDEX(_xlfn.TEXTSPLIT(H118,",",),0,1)+$A$18,$A$18)=0,$A$18,MOD($A20+INDEX(_xlfn.TEXTSPLIT(H118,",",),0,1)+$A$18,$A$18))/5,0),ROUNDUP(IF(MOD(H$18+INDEX(_xlfn.TEXTSPLIT(H118,",",),0,2)+$A$18,$A$18)=0,$A$18,MOD(H$18+INDEX(_xlfn.TEXTSPLIT(H118,",",),0,2)+$A$18,$A$18))/5,0)))</f>
        <v>5</v>
      </c>
      <c r="I20" s="1" cm="1">
        <f t="array" aca="1" ref="I20" ca="1">(INDEX($K$2:$T$11,ROUNDUP(IF(MOD($A20+INDEX(_xlfn.TEXTSPLIT(I75,",",),0,1)+$A$18,$A$18)=0,$A$18,MOD($A20+INDEX(_xlfn.TEXTSPLIT(I75,",",),0,1)+$A$18,$A$18))/4,0),ROUNDUP(IF(MOD(I$18+INDEX(_xlfn.TEXTSPLIT(I75,",",),0,2)+$A$18,$A$18)=0,$A$18,MOD(I$18+INDEX(_xlfn.TEXTSPLIT(I75,",",),0,2)+$A$18,$A$18))/4,0)))+(INDEX($AD$2:$AK$9,ROUNDUP(IF(MOD($A20+INDEX(_xlfn.TEXTSPLIT(I118,",",),0,1)+$A$18,$A$18)=0,$A$18,MOD($A20+INDEX(_xlfn.TEXTSPLIT(I118,",",),0,1)+$A$18,$A$18))/5,0),ROUNDUP(IF(MOD(I$18+INDEX(_xlfn.TEXTSPLIT(I118,",",),0,2)+$A$18,$A$18)=0,$A$18,MOD(I$18+INDEX(_xlfn.TEXTSPLIT(I118,",",),0,2)+$A$18,$A$18))/5,0)))</f>
        <v>5</v>
      </c>
      <c r="J20" s="1" cm="1">
        <f t="array" aca="1" ref="J20" ca="1">(INDEX($K$2:$T$11,ROUNDUP(IF(MOD($A20+INDEX(_xlfn.TEXTSPLIT(J75,",",),0,1)+$A$18,$A$18)=0,$A$18,MOD($A20+INDEX(_xlfn.TEXTSPLIT(J75,",",),0,1)+$A$18,$A$18))/4,0),ROUNDUP(IF(MOD(J$18+INDEX(_xlfn.TEXTSPLIT(J75,",",),0,2)+$A$18,$A$18)=0,$A$18,MOD(J$18+INDEX(_xlfn.TEXTSPLIT(J75,",",),0,2)+$A$18,$A$18))/4,0)))+(INDEX($AD$2:$AK$9,ROUNDUP(IF(MOD($A20+INDEX(_xlfn.TEXTSPLIT(J118,",",),0,1)+$A$18,$A$18)=0,$A$18,MOD($A20+INDEX(_xlfn.TEXTSPLIT(J118,",",),0,1)+$A$18,$A$18))/5,0),ROUNDUP(IF(MOD(J$18+INDEX(_xlfn.TEXTSPLIT(J118,",",),0,2)+$A$18,$A$18)=0,$A$18,MOD(J$18+INDEX(_xlfn.TEXTSPLIT(J118,",",),0,2)+$A$18,$A$18))/5,0)))</f>
        <v>5</v>
      </c>
      <c r="K20" s="1" cm="1">
        <f t="array" aca="1" ref="K20" ca="1">(INDEX($K$2:$T$11,ROUNDUP(IF(MOD($A20+INDEX(_xlfn.TEXTSPLIT(K75,",",),0,1)+$A$18,$A$18)=0,$A$18,MOD($A20+INDEX(_xlfn.TEXTSPLIT(K75,",",),0,1)+$A$18,$A$18))/4,0),ROUNDUP(IF(MOD(K$18+INDEX(_xlfn.TEXTSPLIT(K75,",",),0,2)+$A$18,$A$18)=0,$A$18,MOD(K$18+INDEX(_xlfn.TEXTSPLIT(K75,",",),0,2)+$A$18,$A$18))/4,0)))+(INDEX($AD$2:$AK$9,ROUNDUP(IF(MOD($A20+INDEX(_xlfn.TEXTSPLIT(K118,",",),0,1)+$A$18,$A$18)=0,$A$18,MOD($A20+INDEX(_xlfn.TEXTSPLIT(K118,",",),0,1)+$A$18,$A$18))/5,0),ROUNDUP(IF(MOD(K$18+INDEX(_xlfn.TEXTSPLIT(K118,",",),0,2)+$A$18,$A$18)=0,$A$18,MOD(K$18+INDEX(_xlfn.TEXTSPLIT(K118,",",),0,2)+$A$18,$A$18))/5,0)))</f>
        <v>5</v>
      </c>
      <c r="L20" s="1" cm="1">
        <f t="array" aca="1" ref="L20" ca="1">(INDEX($K$2:$T$11,ROUNDUP(IF(MOD($A20+INDEX(_xlfn.TEXTSPLIT(L75,",",),0,1)+$A$18,$A$18)=0,$A$18,MOD($A20+INDEX(_xlfn.TEXTSPLIT(L75,",",),0,1)+$A$18,$A$18))/4,0),ROUNDUP(IF(MOD(L$18+INDEX(_xlfn.TEXTSPLIT(L75,",",),0,2)+$A$18,$A$18)=0,$A$18,MOD(L$18+INDEX(_xlfn.TEXTSPLIT(L75,",",),0,2)+$A$18,$A$18))/4,0)))+(INDEX($AD$2:$AK$9,ROUNDUP(IF(MOD($A20+INDEX(_xlfn.TEXTSPLIT(L118,",",),0,1)+$A$18,$A$18)=0,$A$18,MOD($A20+INDEX(_xlfn.TEXTSPLIT(L118,",",),0,1)+$A$18,$A$18))/5,0),ROUNDUP(IF(MOD(L$18+INDEX(_xlfn.TEXTSPLIT(L118,",",),0,2)+$A$18,$A$18)=0,$A$18,MOD(L$18+INDEX(_xlfn.TEXTSPLIT(L118,",",),0,2)+$A$18,$A$18))/5,0)))</f>
        <v>5</v>
      </c>
      <c r="M20" s="1" cm="1">
        <f t="array" aca="1" ref="M20" ca="1">(INDEX($K$2:$T$11,ROUNDUP(IF(MOD($A20+INDEX(_xlfn.TEXTSPLIT(M75,",",),0,1)+$A$18,$A$18)=0,$A$18,MOD($A20+INDEX(_xlfn.TEXTSPLIT(M75,",",),0,1)+$A$18,$A$18))/4,0),ROUNDUP(IF(MOD(M$18+INDEX(_xlfn.TEXTSPLIT(M75,",",),0,2)+$A$18,$A$18)=0,$A$18,MOD(M$18+INDEX(_xlfn.TEXTSPLIT(M75,",",),0,2)+$A$18,$A$18))/4,0)))+(INDEX($AD$2:$AK$9,ROUNDUP(IF(MOD($A20+INDEX(_xlfn.TEXTSPLIT(M118,",",),0,1)+$A$18,$A$18)=0,$A$18,MOD($A20+INDEX(_xlfn.TEXTSPLIT(M118,",",),0,1)+$A$18,$A$18))/5,0),ROUNDUP(IF(MOD(M$18+INDEX(_xlfn.TEXTSPLIT(M118,",",),0,2)+$A$18,$A$18)=0,$A$18,MOD(M$18+INDEX(_xlfn.TEXTSPLIT(M118,",",),0,2)+$A$18,$A$18))/5,0)))</f>
        <v>8</v>
      </c>
      <c r="N20" s="1" cm="1">
        <f t="array" aca="1" ref="N20" ca="1">(INDEX($K$2:$T$11,ROUNDUP(IF(MOD($A20+INDEX(_xlfn.TEXTSPLIT(N75,",",),0,1)+$A$18,$A$18)=0,$A$18,MOD($A20+INDEX(_xlfn.TEXTSPLIT(N75,",",),0,1)+$A$18,$A$18))/4,0),ROUNDUP(IF(MOD(N$18+INDEX(_xlfn.TEXTSPLIT(N75,",",),0,2)+$A$18,$A$18)=0,$A$18,MOD(N$18+INDEX(_xlfn.TEXTSPLIT(N75,",",),0,2)+$A$18,$A$18))/4,0)))+(INDEX($AD$2:$AK$9,ROUNDUP(IF(MOD($A20+INDEX(_xlfn.TEXTSPLIT(N118,",",),0,1)+$A$18,$A$18)=0,$A$18,MOD($A20+INDEX(_xlfn.TEXTSPLIT(N118,",",),0,1)+$A$18,$A$18))/5,0),ROUNDUP(IF(MOD(N$18+INDEX(_xlfn.TEXTSPLIT(N118,",",),0,2)+$A$18,$A$18)=0,$A$18,MOD(N$18+INDEX(_xlfn.TEXTSPLIT(N118,",",),0,2)+$A$18,$A$18))/5,0)))</f>
        <v>8</v>
      </c>
      <c r="O20" s="1" cm="1">
        <f t="array" aca="1" ref="O20" ca="1">(INDEX($K$2:$T$11,ROUNDUP(IF(MOD($A20+INDEX(_xlfn.TEXTSPLIT(O75,",",),0,1)+$A$18,$A$18)=0,$A$18,MOD($A20+INDEX(_xlfn.TEXTSPLIT(O75,",",),0,1)+$A$18,$A$18))/4,0),ROUNDUP(IF(MOD(O$18+INDEX(_xlfn.TEXTSPLIT(O75,",",),0,2)+$A$18,$A$18)=0,$A$18,MOD(O$18+INDEX(_xlfn.TEXTSPLIT(O75,",",),0,2)+$A$18,$A$18))/4,0)))+(INDEX($AD$2:$AK$9,ROUNDUP(IF(MOD($A20+INDEX(_xlfn.TEXTSPLIT(O118,",",),0,1)+$A$18,$A$18)=0,$A$18,MOD($A20+INDEX(_xlfn.TEXTSPLIT(O118,",",),0,1)+$A$18,$A$18))/5,0),ROUNDUP(IF(MOD(O$18+INDEX(_xlfn.TEXTSPLIT(O118,",",),0,2)+$A$18,$A$18)=0,$A$18,MOD(O$18+INDEX(_xlfn.TEXTSPLIT(O118,",",),0,2)+$A$18,$A$18))/5,0)))</f>
        <v>8</v>
      </c>
      <c r="P20" s="1" cm="1">
        <f t="array" aca="1" ref="P20" ca="1">(INDEX($K$2:$T$11,ROUNDUP(IF(MOD($A20+INDEX(_xlfn.TEXTSPLIT(P75,",",),0,1)+$A$18,$A$18)=0,$A$18,MOD($A20+INDEX(_xlfn.TEXTSPLIT(P75,",",),0,1)+$A$18,$A$18))/4,0),ROUNDUP(IF(MOD(P$18+INDEX(_xlfn.TEXTSPLIT(P75,",",),0,2)+$A$18,$A$18)=0,$A$18,MOD(P$18+INDEX(_xlfn.TEXTSPLIT(P75,",",),0,2)+$A$18,$A$18))/4,0)))+(INDEX($AD$2:$AK$9,ROUNDUP(IF(MOD($A20+INDEX(_xlfn.TEXTSPLIT(P118,",",),0,1)+$A$18,$A$18)=0,$A$18,MOD($A20+INDEX(_xlfn.TEXTSPLIT(P118,",",),0,1)+$A$18,$A$18))/5,0),ROUNDUP(IF(MOD(P$18+INDEX(_xlfn.TEXTSPLIT(P118,",",),0,2)+$A$18,$A$18)=0,$A$18,MOD(P$18+INDEX(_xlfn.TEXTSPLIT(P118,",",),0,2)+$A$18,$A$18))/5,0)))</f>
        <v>5</v>
      </c>
      <c r="Q20" s="1" cm="1">
        <f t="array" aca="1" ref="Q20" ca="1">(INDEX($K$2:$T$11,ROUNDUP(IF(MOD($A20+INDEX(_xlfn.TEXTSPLIT(Q75,",",),0,1)+$A$18,$A$18)=0,$A$18,MOD($A20+INDEX(_xlfn.TEXTSPLIT(Q75,",",),0,1)+$A$18,$A$18))/4,0),ROUNDUP(IF(MOD(Q$18+INDEX(_xlfn.TEXTSPLIT(Q75,",",),0,2)+$A$18,$A$18)=0,$A$18,MOD(Q$18+INDEX(_xlfn.TEXTSPLIT(Q75,",",),0,2)+$A$18,$A$18))/4,0)))+(INDEX($AD$2:$AK$9,ROUNDUP(IF(MOD($A20+INDEX(_xlfn.TEXTSPLIT(Q118,",",),0,1)+$A$18,$A$18)=0,$A$18,MOD($A20+INDEX(_xlfn.TEXTSPLIT(Q118,",",),0,1)+$A$18,$A$18))/5,0),ROUNDUP(IF(MOD(Q$18+INDEX(_xlfn.TEXTSPLIT(Q118,",",),0,2)+$A$18,$A$18)=0,$A$18,MOD(Q$18+INDEX(_xlfn.TEXTSPLIT(Q118,",",),0,2)+$A$18,$A$18))/5,0)))</f>
        <v>5</v>
      </c>
      <c r="R20" s="1" cm="1">
        <f t="array" aca="1" ref="R20" ca="1">(INDEX($K$2:$T$11,ROUNDUP(IF(MOD($A20+INDEX(_xlfn.TEXTSPLIT(R75,",",),0,1)+$A$18,$A$18)=0,$A$18,MOD($A20+INDEX(_xlfn.TEXTSPLIT(R75,",",),0,1)+$A$18,$A$18))/4,0),ROUNDUP(IF(MOD(R$18+INDEX(_xlfn.TEXTSPLIT(R75,",",),0,2)+$A$18,$A$18)=0,$A$18,MOD(R$18+INDEX(_xlfn.TEXTSPLIT(R75,",",),0,2)+$A$18,$A$18))/4,0)))+(INDEX($AD$2:$AK$9,ROUNDUP(IF(MOD($A20+INDEX(_xlfn.TEXTSPLIT(R118,",",),0,1)+$A$18,$A$18)=0,$A$18,MOD($A20+INDEX(_xlfn.TEXTSPLIT(R118,",",),0,1)+$A$18,$A$18))/5,0),ROUNDUP(IF(MOD(R$18+INDEX(_xlfn.TEXTSPLIT(R118,",",),0,2)+$A$18,$A$18)=0,$A$18,MOD(R$18+INDEX(_xlfn.TEXTSPLIT(R118,",",),0,2)+$A$18,$A$18))/5,0)))</f>
        <v>5</v>
      </c>
      <c r="S20" s="1" cm="1">
        <f t="array" aca="1" ref="S20" ca="1">(INDEX($K$2:$T$11,ROUNDUP(IF(MOD($A20+INDEX(_xlfn.TEXTSPLIT(S75,",",),0,1)+$A$18,$A$18)=0,$A$18,MOD($A20+INDEX(_xlfn.TEXTSPLIT(S75,",",),0,1)+$A$18,$A$18))/4,0),ROUNDUP(IF(MOD(S$18+INDEX(_xlfn.TEXTSPLIT(S75,",",),0,2)+$A$18,$A$18)=0,$A$18,MOD(S$18+INDEX(_xlfn.TEXTSPLIT(S75,",",),0,2)+$A$18,$A$18))/4,0)))+(INDEX($AD$2:$AK$9,ROUNDUP(IF(MOD($A20+INDEX(_xlfn.TEXTSPLIT(S118,",",),0,1)+$A$18,$A$18)=0,$A$18,MOD($A20+INDEX(_xlfn.TEXTSPLIT(S118,",",),0,1)+$A$18,$A$18))/5,0),ROUNDUP(IF(MOD(S$18+INDEX(_xlfn.TEXTSPLIT(S118,",",),0,2)+$A$18,$A$18)=0,$A$18,MOD(S$18+INDEX(_xlfn.TEXTSPLIT(S118,",",),0,2)+$A$18,$A$18))/5,0)))</f>
        <v>5</v>
      </c>
      <c r="T20" s="1" cm="1">
        <f t="array" aca="1" ref="T20" ca="1">(INDEX($K$2:$T$11,ROUNDUP(IF(MOD($A20+INDEX(_xlfn.TEXTSPLIT(T75,",",),0,1)+$A$18,$A$18)=0,$A$18,MOD($A20+INDEX(_xlfn.TEXTSPLIT(T75,",",),0,1)+$A$18,$A$18))/4,0),ROUNDUP(IF(MOD(T$18+INDEX(_xlfn.TEXTSPLIT(T75,",",),0,2)+$A$18,$A$18)=0,$A$18,MOD(T$18+INDEX(_xlfn.TEXTSPLIT(T75,",",),0,2)+$A$18,$A$18))/4,0)))+(INDEX($AD$2:$AK$9,ROUNDUP(IF(MOD($A20+INDEX(_xlfn.TEXTSPLIT(T118,",",),0,1)+$A$18,$A$18)=0,$A$18,MOD($A20+INDEX(_xlfn.TEXTSPLIT(T118,",",),0,1)+$A$18,$A$18))/5,0),ROUNDUP(IF(MOD(T$18+INDEX(_xlfn.TEXTSPLIT(T118,",",),0,2)+$A$18,$A$18)=0,$A$18,MOD(T$18+INDEX(_xlfn.TEXTSPLIT(T118,",",),0,2)+$A$18,$A$18))/5,0)))</f>
        <v>5</v>
      </c>
      <c r="U20" s="1" cm="1">
        <f t="array" aca="1" ref="U20" ca="1">(INDEX($K$2:$T$11,ROUNDUP(IF(MOD($A20+INDEX(_xlfn.TEXTSPLIT(U75,",",),0,1)+$A$18,$A$18)=0,$A$18,MOD($A20+INDEX(_xlfn.TEXTSPLIT(U75,",",),0,1)+$A$18,$A$18))/4,0),ROUNDUP(IF(MOD(U$18+INDEX(_xlfn.TEXTSPLIT(U75,",",),0,2)+$A$18,$A$18)=0,$A$18,MOD(U$18+INDEX(_xlfn.TEXTSPLIT(U75,",",),0,2)+$A$18,$A$18))/4,0)))+(INDEX($AD$2:$AK$9,ROUNDUP(IF(MOD($A20+INDEX(_xlfn.TEXTSPLIT(U118,",",),0,1)+$A$18,$A$18)=0,$A$18,MOD($A20+INDEX(_xlfn.TEXTSPLIT(U118,",",),0,1)+$A$18,$A$18))/5,0),ROUNDUP(IF(MOD(U$18+INDEX(_xlfn.TEXTSPLIT(U118,",",),0,2)+$A$18,$A$18)=0,$A$18,MOD(U$18+INDEX(_xlfn.TEXTSPLIT(U118,",",),0,2)+$A$18,$A$18))/5,0)))</f>
        <v>5</v>
      </c>
      <c r="V20" s="1" cm="1">
        <f t="array" aca="1" ref="V20" ca="1">(INDEX($K$2:$T$11,ROUNDUP(IF(MOD($A20+INDEX(_xlfn.TEXTSPLIT(V75,",",),0,1)+$A$18,$A$18)=0,$A$18,MOD($A20+INDEX(_xlfn.TEXTSPLIT(V75,",",),0,1)+$A$18,$A$18))/4,0),ROUNDUP(IF(MOD(V$18+INDEX(_xlfn.TEXTSPLIT(V75,",",),0,2)+$A$18,$A$18)=0,$A$18,MOD(V$18+INDEX(_xlfn.TEXTSPLIT(V75,",",),0,2)+$A$18,$A$18))/4,0)))+(INDEX($AD$2:$AK$9,ROUNDUP(IF(MOD($A20+INDEX(_xlfn.TEXTSPLIT(V118,",",),0,1)+$A$18,$A$18)=0,$A$18,MOD($A20+INDEX(_xlfn.TEXTSPLIT(V118,",",),0,1)+$A$18,$A$18))/5,0),ROUNDUP(IF(MOD(V$18+INDEX(_xlfn.TEXTSPLIT(V118,",",),0,2)+$A$18,$A$18)=0,$A$18,MOD(V$18+INDEX(_xlfn.TEXTSPLIT(V118,",",),0,2)+$A$18,$A$18))/5,0)))</f>
        <v>5</v>
      </c>
      <c r="W20" s="1" cm="1">
        <f t="array" aca="1" ref="W20" ca="1">(INDEX($K$2:$T$11,ROUNDUP(IF(MOD($A20+INDEX(_xlfn.TEXTSPLIT(W75,",",),0,1)+$A$18,$A$18)=0,$A$18,MOD($A20+INDEX(_xlfn.TEXTSPLIT(W75,",",),0,1)+$A$18,$A$18))/4,0),ROUNDUP(IF(MOD(W$18+INDEX(_xlfn.TEXTSPLIT(W75,",",),0,2)+$A$18,$A$18)=0,$A$18,MOD(W$18+INDEX(_xlfn.TEXTSPLIT(W75,",",),0,2)+$A$18,$A$18))/4,0)))+(INDEX($AD$2:$AK$9,ROUNDUP(IF(MOD($A20+INDEX(_xlfn.TEXTSPLIT(W118,",",),0,1)+$A$18,$A$18)=0,$A$18,MOD($A20+INDEX(_xlfn.TEXTSPLIT(W118,",",),0,1)+$A$18,$A$18))/5,0),ROUNDUP(IF(MOD(W$18+INDEX(_xlfn.TEXTSPLIT(W118,",",),0,2)+$A$18,$A$18)=0,$A$18,MOD(W$18+INDEX(_xlfn.TEXTSPLIT(W118,",",),0,2)+$A$18,$A$18))/5,0)))</f>
        <v>8</v>
      </c>
      <c r="X20" s="1" cm="1">
        <f t="array" aca="1" ref="X20" ca="1">(INDEX($K$2:$T$11,ROUNDUP(IF(MOD($A20+INDEX(_xlfn.TEXTSPLIT(X75,",",),0,1)+$A$18,$A$18)=0,$A$18,MOD($A20+INDEX(_xlfn.TEXTSPLIT(X75,",",),0,1)+$A$18,$A$18))/4,0),ROUNDUP(IF(MOD(X$18+INDEX(_xlfn.TEXTSPLIT(X75,",",),0,2)+$A$18,$A$18)=0,$A$18,MOD(X$18+INDEX(_xlfn.TEXTSPLIT(X75,",",),0,2)+$A$18,$A$18))/4,0)))+(INDEX($AD$2:$AK$9,ROUNDUP(IF(MOD($A20+INDEX(_xlfn.TEXTSPLIT(X118,",",),0,1)+$A$18,$A$18)=0,$A$18,MOD($A20+INDEX(_xlfn.TEXTSPLIT(X118,",",),0,1)+$A$18,$A$18))/5,0),ROUNDUP(IF(MOD(X$18+INDEX(_xlfn.TEXTSPLIT(X118,",",),0,2)+$A$18,$A$18)=0,$A$18,MOD(X$18+INDEX(_xlfn.TEXTSPLIT(X118,",",),0,2)+$A$18,$A$18))/5,0)))</f>
        <v>8</v>
      </c>
      <c r="Y20" s="1" cm="1">
        <f t="array" aca="1" ref="Y20" ca="1">(INDEX($K$2:$T$11,ROUNDUP(IF(MOD($A20+INDEX(_xlfn.TEXTSPLIT(Y75,",",),0,1)+$A$18,$A$18)=0,$A$18,MOD($A20+INDEX(_xlfn.TEXTSPLIT(Y75,",",),0,1)+$A$18,$A$18))/4,0),ROUNDUP(IF(MOD(Y$18+INDEX(_xlfn.TEXTSPLIT(Y75,",",),0,2)+$A$18,$A$18)=0,$A$18,MOD(Y$18+INDEX(_xlfn.TEXTSPLIT(Y75,",",),0,2)+$A$18,$A$18))/4,0)))+(INDEX($AD$2:$AK$9,ROUNDUP(IF(MOD($A20+INDEX(_xlfn.TEXTSPLIT(Y118,",",),0,1)+$A$18,$A$18)=0,$A$18,MOD($A20+INDEX(_xlfn.TEXTSPLIT(Y118,",",),0,1)+$A$18,$A$18))/5,0),ROUNDUP(IF(MOD(Y$18+INDEX(_xlfn.TEXTSPLIT(Y118,",",),0,2)+$A$18,$A$18)=0,$A$18,MOD(Y$18+INDEX(_xlfn.TEXTSPLIT(Y118,",",),0,2)+$A$18,$A$18))/5,0)))</f>
        <v>8</v>
      </c>
      <c r="Z20" s="1" cm="1">
        <f t="array" aca="1" ref="Z20" ca="1">(INDEX($K$2:$T$11,ROUNDUP(IF(MOD($A20+INDEX(_xlfn.TEXTSPLIT(Z75,",",),0,1)+$A$18,$A$18)=0,$A$18,MOD($A20+INDEX(_xlfn.TEXTSPLIT(Z75,",",),0,1)+$A$18,$A$18))/4,0),ROUNDUP(IF(MOD(Z$18+INDEX(_xlfn.TEXTSPLIT(Z75,",",),0,2)+$A$18,$A$18)=0,$A$18,MOD(Z$18+INDEX(_xlfn.TEXTSPLIT(Z75,",",),0,2)+$A$18,$A$18))/4,0)))+(INDEX($AD$2:$AK$9,ROUNDUP(IF(MOD($A20+INDEX(_xlfn.TEXTSPLIT(Z118,",",),0,1)+$A$18,$A$18)=0,$A$18,MOD($A20+INDEX(_xlfn.TEXTSPLIT(Z118,",",),0,1)+$A$18,$A$18))/5,0),ROUNDUP(IF(MOD(Z$18+INDEX(_xlfn.TEXTSPLIT(Z118,",",),0,2)+$A$18,$A$18)=0,$A$18,MOD(Z$18+INDEX(_xlfn.TEXTSPLIT(Z118,",",),0,2)+$A$18,$A$18))/5,0)))</f>
        <v>8</v>
      </c>
      <c r="AA20" s="1" cm="1">
        <f t="array" aca="1" ref="AA20" ca="1">(INDEX($K$2:$T$11,ROUNDUP(IF(MOD($A20+INDEX(_xlfn.TEXTSPLIT(AA75,",",),0,1)+$A$18,$A$18)=0,$A$18,MOD($A20+INDEX(_xlfn.TEXTSPLIT(AA75,",",),0,1)+$A$18,$A$18))/4,0),ROUNDUP(IF(MOD(AA$18+INDEX(_xlfn.TEXTSPLIT(AA75,",",),0,2)+$A$18,$A$18)=0,$A$18,MOD(AA$18+INDEX(_xlfn.TEXTSPLIT(AA75,",",),0,2)+$A$18,$A$18))/4,0)))+(INDEX($AD$2:$AK$9,ROUNDUP(IF(MOD($A20+INDEX(_xlfn.TEXTSPLIT(AA118,",",),0,1)+$A$18,$A$18)=0,$A$18,MOD($A20+INDEX(_xlfn.TEXTSPLIT(AA118,",",),0,1)+$A$18,$A$18))/5,0),ROUNDUP(IF(MOD(AA$18+INDEX(_xlfn.TEXTSPLIT(AA118,",",),0,2)+$A$18,$A$18)=0,$A$18,MOD(AA$18+INDEX(_xlfn.TEXTSPLIT(AA118,",",),0,2)+$A$18,$A$18))/5,0)))</f>
        <v>6</v>
      </c>
      <c r="AB20" s="1" cm="1">
        <f t="array" aca="1" ref="AB20" ca="1">(INDEX($K$2:$T$11,ROUNDUP(IF(MOD($A20+INDEX(_xlfn.TEXTSPLIT(AB75,",",),0,1)+$A$18,$A$18)=0,$A$18,MOD($A20+INDEX(_xlfn.TEXTSPLIT(AB75,",",),0,1)+$A$18,$A$18))/4,0),ROUNDUP(IF(MOD(AB$18+INDEX(_xlfn.TEXTSPLIT(AB75,",",),0,2)+$A$18,$A$18)=0,$A$18,MOD(AB$18+INDEX(_xlfn.TEXTSPLIT(AB75,",",),0,2)+$A$18,$A$18))/4,0)))+(INDEX($AD$2:$AK$9,ROUNDUP(IF(MOD($A20+INDEX(_xlfn.TEXTSPLIT(AB118,",",),0,1)+$A$18,$A$18)=0,$A$18,MOD($A20+INDEX(_xlfn.TEXTSPLIT(AB118,",",),0,1)+$A$18,$A$18))/5,0),ROUNDUP(IF(MOD(AB$18+INDEX(_xlfn.TEXTSPLIT(AB118,",",),0,2)+$A$18,$A$18)=0,$A$18,MOD(AB$18+INDEX(_xlfn.TEXTSPLIT(AB118,",",),0,2)+$A$18,$A$18))/5,0)))</f>
        <v>6</v>
      </c>
      <c r="AC20" s="1" cm="1">
        <f t="array" aca="1" ref="AC20" ca="1">(INDEX($K$2:$T$11,ROUNDUP(IF(MOD($A20+INDEX(_xlfn.TEXTSPLIT(AC75,",",),0,1)+$A$18,$A$18)=0,$A$18,MOD($A20+INDEX(_xlfn.TEXTSPLIT(AC75,",",),0,1)+$A$18,$A$18))/4,0),ROUNDUP(IF(MOD(AC$18+INDEX(_xlfn.TEXTSPLIT(AC75,",",),0,2)+$A$18,$A$18)=0,$A$18,MOD(AC$18+INDEX(_xlfn.TEXTSPLIT(AC75,",",),0,2)+$A$18,$A$18))/4,0)))+(INDEX($AD$2:$AK$9,ROUNDUP(IF(MOD($A20+INDEX(_xlfn.TEXTSPLIT(AC118,",",),0,1)+$A$18,$A$18)=0,$A$18,MOD($A20+INDEX(_xlfn.TEXTSPLIT(AC118,",",),0,1)+$A$18,$A$18))/5,0),ROUNDUP(IF(MOD(AC$18+INDEX(_xlfn.TEXTSPLIT(AC118,",",),0,2)+$A$18,$A$18)=0,$A$18,MOD(AC$18+INDEX(_xlfn.TEXTSPLIT(AC118,",",),0,2)+$A$18,$A$18))/5,0)))</f>
        <v>6</v>
      </c>
      <c r="AD20" s="1" cm="1">
        <f t="array" aca="1" ref="AD20" ca="1">(INDEX($K$2:$T$11,ROUNDUP(IF(MOD($A20+INDEX(_xlfn.TEXTSPLIT(AD75,",",),0,1)+$A$18,$A$18)=0,$A$18,MOD($A20+INDEX(_xlfn.TEXTSPLIT(AD75,",",),0,1)+$A$18,$A$18))/4,0),ROUNDUP(IF(MOD(AD$18+INDEX(_xlfn.TEXTSPLIT(AD75,",",),0,2)+$A$18,$A$18)=0,$A$18,MOD(AD$18+INDEX(_xlfn.TEXTSPLIT(AD75,",",),0,2)+$A$18,$A$18))/4,0)))+(INDEX($AD$2:$AK$9,ROUNDUP(IF(MOD($A20+INDEX(_xlfn.TEXTSPLIT(AD118,",",),0,1)+$A$18,$A$18)=0,$A$18,MOD($A20+INDEX(_xlfn.TEXTSPLIT(AD118,",",),0,1)+$A$18,$A$18))/5,0),ROUNDUP(IF(MOD(AD$18+INDEX(_xlfn.TEXTSPLIT(AD118,",",),0,2)+$A$18,$A$18)=0,$A$18,MOD(AD$18+INDEX(_xlfn.TEXTSPLIT(AD118,",",),0,2)+$A$18,$A$18))/5,0)))</f>
        <v>2</v>
      </c>
      <c r="AE20" s="1" cm="1">
        <f t="array" aca="1" ref="AE20" ca="1">(INDEX($K$2:$T$11,ROUNDUP(IF(MOD($A20+INDEX(_xlfn.TEXTSPLIT(AE75,",",),0,1)+$A$18,$A$18)=0,$A$18,MOD($A20+INDEX(_xlfn.TEXTSPLIT(AE75,",",),0,1)+$A$18,$A$18))/4,0),ROUNDUP(IF(MOD(AE$18+INDEX(_xlfn.TEXTSPLIT(AE75,",",),0,2)+$A$18,$A$18)=0,$A$18,MOD(AE$18+INDEX(_xlfn.TEXTSPLIT(AE75,",",),0,2)+$A$18,$A$18))/4,0)))+(INDEX($AD$2:$AK$9,ROUNDUP(IF(MOD($A20+INDEX(_xlfn.TEXTSPLIT(AE118,",",),0,1)+$A$18,$A$18)=0,$A$18,MOD($A20+INDEX(_xlfn.TEXTSPLIT(AE118,",",),0,1)+$A$18,$A$18))/5,0),ROUNDUP(IF(MOD(AE$18+INDEX(_xlfn.TEXTSPLIT(AE118,",",),0,2)+$A$18,$A$18)=0,$A$18,MOD(AE$18+INDEX(_xlfn.TEXTSPLIT(AE118,",",),0,2)+$A$18,$A$18))/5,0)))</f>
        <v>2</v>
      </c>
      <c r="AF20" s="1" cm="1">
        <f t="array" aca="1" ref="AF20" ca="1">(INDEX($K$2:$T$11,ROUNDUP(IF(MOD($A20+INDEX(_xlfn.TEXTSPLIT(AF75,",",),0,1)+$A$18,$A$18)=0,$A$18,MOD($A20+INDEX(_xlfn.TEXTSPLIT(AF75,",",),0,1)+$A$18,$A$18))/4,0),ROUNDUP(IF(MOD(AF$18+INDEX(_xlfn.TEXTSPLIT(AF75,",",),0,2)+$A$18,$A$18)=0,$A$18,MOD(AF$18+INDEX(_xlfn.TEXTSPLIT(AF75,",",),0,2)+$A$18,$A$18))/4,0)))+(INDEX($AD$2:$AK$9,ROUNDUP(IF(MOD($A20+INDEX(_xlfn.TEXTSPLIT(AF118,",",),0,1)+$A$18,$A$18)=0,$A$18,MOD($A20+INDEX(_xlfn.TEXTSPLIT(AF118,",",),0,1)+$A$18,$A$18))/5,0),ROUNDUP(IF(MOD(AF$18+INDEX(_xlfn.TEXTSPLIT(AF118,",",),0,2)+$A$18,$A$18)=0,$A$18,MOD(AF$18+INDEX(_xlfn.TEXTSPLIT(AF118,",",),0,2)+$A$18,$A$18))/5,0)))</f>
        <v>2</v>
      </c>
      <c r="AG20" s="1" cm="1">
        <f t="array" aca="1" ref="AG20" ca="1">(INDEX($K$2:$T$11,ROUNDUP(IF(MOD($A20+INDEX(_xlfn.TEXTSPLIT(AG75,",",),0,1)+$A$18,$A$18)=0,$A$18,MOD($A20+INDEX(_xlfn.TEXTSPLIT(AG75,",",),0,1)+$A$18,$A$18))/4,0),ROUNDUP(IF(MOD(AG$18+INDEX(_xlfn.TEXTSPLIT(AG75,",",),0,2)+$A$18,$A$18)=0,$A$18,MOD(AG$18+INDEX(_xlfn.TEXTSPLIT(AG75,",",),0,2)+$A$18,$A$18))/4,0)))+(INDEX($AD$2:$AK$9,ROUNDUP(IF(MOD($A20+INDEX(_xlfn.TEXTSPLIT(AG118,",",),0,1)+$A$18,$A$18)=0,$A$18,MOD($A20+INDEX(_xlfn.TEXTSPLIT(AG118,",",),0,1)+$A$18,$A$18))/5,0),ROUNDUP(IF(MOD(AG$18+INDEX(_xlfn.TEXTSPLIT(AG118,",",),0,2)+$A$18,$A$18)=0,$A$18,MOD(AG$18+INDEX(_xlfn.TEXTSPLIT(AG118,",",),0,2)+$A$18,$A$18))/5,0)))</f>
        <v>4</v>
      </c>
      <c r="AH20" s="1" cm="1">
        <f t="array" aca="1" ref="AH20" ca="1">(INDEX($K$2:$T$11,ROUNDUP(IF(MOD($A20+INDEX(_xlfn.TEXTSPLIT(AH75,",",),0,1)+$A$18,$A$18)=0,$A$18,MOD($A20+INDEX(_xlfn.TEXTSPLIT(AH75,",",),0,1)+$A$18,$A$18))/4,0),ROUNDUP(IF(MOD(AH$18+INDEX(_xlfn.TEXTSPLIT(AH75,",",),0,2)+$A$18,$A$18)=0,$A$18,MOD(AH$18+INDEX(_xlfn.TEXTSPLIT(AH75,",",),0,2)+$A$18,$A$18))/4,0)))+(INDEX($AD$2:$AK$9,ROUNDUP(IF(MOD($A20+INDEX(_xlfn.TEXTSPLIT(AH118,",",),0,1)+$A$18,$A$18)=0,$A$18,MOD($A20+INDEX(_xlfn.TEXTSPLIT(AH118,",",),0,1)+$A$18,$A$18))/5,0),ROUNDUP(IF(MOD(AH$18+INDEX(_xlfn.TEXTSPLIT(AH118,",",),0,2)+$A$18,$A$18)=0,$A$18,MOD(AH$18+INDEX(_xlfn.TEXTSPLIT(AH118,",",),0,2)+$A$18,$A$18))/5,0)))</f>
        <v>4</v>
      </c>
      <c r="AI20" s="1" cm="1">
        <f t="array" aca="1" ref="AI20" ca="1">(INDEX($K$2:$T$11,ROUNDUP(IF(MOD($A20+INDEX(_xlfn.TEXTSPLIT(AI75,",",),0,1)+$A$18,$A$18)=0,$A$18,MOD($A20+INDEX(_xlfn.TEXTSPLIT(AI75,",",),0,1)+$A$18,$A$18))/4,0),ROUNDUP(IF(MOD(AI$18+INDEX(_xlfn.TEXTSPLIT(AI75,",",),0,2)+$A$18,$A$18)=0,$A$18,MOD(AI$18+INDEX(_xlfn.TEXTSPLIT(AI75,",",),0,2)+$A$18,$A$18))/4,0)))+(INDEX($AD$2:$AK$9,ROUNDUP(IF(MOD($A20+INDEX(_xlfn.TEXTSPLIT(AI118,",",),0,1)+$A$18,$A$18)=0,$A$18,MOD($A20+INDEX(_xlfn.TEXTSPLIT(AI118,",",),0,1)+$A$18,$A$18))/5,0),ROUNDUP(IF(MOD(AI$18+INDEX(_xlfn.TEXTSPLIT(AI118,",",),0,2)+$A$18,$A$18)=0,$A$18,MOD(AI$18+INDEX(_xlfn.TEXTSPLIT(AI118,",",),0,2)+$A$18,$A$18))/5,0)))</f>
        <v>4</v>
      </c>
      <c r="AJ20" s="1" cm="1">
        <f t="array" aca="1" ref="AJ20" ca="1">(INDEX($K$2:$T$11,ROUNDUP(IF(MOD($A20+INDEX(_xlfn.TEXTSPLIT(AJ75,",",),0,1)+$A$18,$A$18)=0,$A$18,MOD($A20+INDEX(_xlfn.TEXTSPLIT(AJ75,",",),0,1)+$A$18,$A$18))/4,0),ROUNDUP(IF(MOD(AJ$18+INDEX(_xlfn.TEXTSPLIT(AJ75,",",),0,2)+$A$18,$A$18)=0,$A$18,MOD(AJ$18+INDEX(_xlfn.TEXTSPLIT(AJ75,",",),0,2)+$A$18,$A$18))/4,0)))+(INDEX($AD$2:$AK$9,ROUNDUP(IF(MOD($A20+INDEX(_xlfn.TEXTSPLIT(AJ118,",",),0,1)+$A$18,$A$18)=0,$A$18,MOD($A20+INDEX(_xlfn.TEXTSPLIT(AJ118,",",),0,1)+$A$18,$A$18))/5,0),ROUNDUP(IF(MOD(AJ$18+INDEX(_xlfn.TEXTSPLIT(AJ118,",",),0,2)+$A$18,$A$18)=0,$A$18,MOD(AJ$18+INDEX(_xlfn.TEXTSPLIT(AJ118,",",),0,2)+$A$18,$A$18))/5,0)))</f>
        <v>4</v>
      </c>
      <c r="AK20" s="1" cm="1">
        <f t="array" aca="1" ref="AK20" ca="1">(INDEX($K$2:$T$11,ROUNDUP(IF(MOD($A20+INDEX(_xlfn.TEXTSPLIT(AK75,",",),0,1)+$A$18,$A$18)=0,$A$18,MOD($A20+INDEX(_xlfn.TEXTSPLIT(AK75,",",),0,1)+$A$18,$A$18))/4,0),ROUNDUP(IF(MOD(AK$18+INDEX(_xlfn.TEXTSPLIT(AK75,",",),0,2)+$A$18,$A$18)=0,$A$18,MOD(AK$18+INDEX(_xlfn.TEXTSPLIT(AK75,",",),0,2)+$A$18,$A$18))/4,0)))+(INDEX($AD$2:$AK$9,ROUNDUP(IF(MOD($A20+INDEX(_xlfn.TEXTSPLIT(AK118,",",),0,1)+$A$18,$A$18)=0,$A$18,MOD($A20+INDEX(_xlfn.TEXTSPLIT(AK118,",",),0,1)+$A$18,$A$18))/5,0),ROUNDUP(IF(MOD(AK$18+INDEX(_xlfn.TEXTSPLIT(AK118,",",),0,2)+$A$18,$A$18)=0,$A$18,MOD(AK$18+INDEX(_xlfn.TEXTSPLIT(AK118,",",),0,2)+$A$18,$A$18))/5,0)))</f>
        <v>2</v>
      </c>
      <c r="AL20" s="1" cm="1">
        <f t="array" aca="1" ref="AL20" ca="1">(INDEX($K$2:$T$11,ROUNDUP(IF(MOD($A20+INDEX(_xlfn.TEXTSPLIT(AL75,",",),0,1)+$A$18,$A$18)=0,$A$18,MOD($A20+INDEX(_xlfn.TEXTSPLIT(AL75,",",),0,1)+$A$18,$A$18))/4,0),ROUNDUP(IF(MOD(AL$18+INDEX(_xlfn.TEXTSPLIT(AL75,",",),0,2)+$A$18,$A$18)=0,$A$18,MOD(AL$18+INDEX(_xlfn.TEXTSPLIT(AL75,",",),0,2)+$A$18,$A$18))/4,0)))+(INDEX($AD$2:$AK$9,ROUNDUP(IF(MOD($A20+INDEX(_xlfn.TEXTSPLIT(AL118,",",),0,1)+$A$18,$A$18)=0,$A$18,MOD($A20+INDEX(_xlfn.TEXTSPLIT(AL118,",",),0,1)+$A$18,$A$18))/5,0),ROUNDUP(IF(MOD(AL$18+INDEX(_xlfn.TEXTSPLIT(AL118,",",),0,2)+$A$18,$A$18)=0,$A$18,MOD(AL$18+INDEX(_xlfn.TEXTSPLIT(AL118,",",),0,2)+$A$18,$A$18))/5,0)))</f>
        <v>2</v>
      </c>
      <c r="AM20" s="1" cm="1">
        <f t="array" aca="1" ref="AM20" ca="1">(INDEX($K$2:$T$11,ROUNDUP(IF(MOD($A20+INDEX(_xlfn.TEXTSPLIT(AM75,",",),0,1)+$A$18,$A$18)=0,$A$18,MOD($A20+INDEX(_xlfn.TEXTSPLIT(AM75,",",),0,1)+$A$18,$A$18))/4,0),ROUNDUP(IF(MOD(AM$18+INDEX(_xlfn.TEXTSPLIT(AM75,",",),0,2)+$A$18,$A$18)=0,$A$18,MOD(AM$18+INDEX(_xlfn.TEXTSPLIT(AM75,",",),0,2)+$A$18,$A$18))/4,0)))+(INDEX($AD$2:$AK$9,ROUNDUP(IF(MOD($A20+INDEX(_xlfn.TEXTSPLIT(AM118,",",),0,1)+$A$18,$A$18)=0,$A$18,MOD($A20+INDEX(_xlfn.TEXTSPLIT(AM118,",",),0,1)+$A$18,$A$18))/5,0),ROUNDUP(IF(MOD(AM$18+INDEX(_xlfn.TEXTSPLIT(AM118,",",),0,2)+$A$18,$A$18)=0,$A$18,MOD(AM$18+INDEX(_xlfn.TEXTSPLIT(AM118,",",),0,2)+$A$18,$A$18))/5,0)))</f>
        <v>6</v>
      </c>
      <c r="AN20" s="1" cm="1">
        <f t="array" aca="1" ref="AN20" ca="1">(INDEX($K$2:$T$11,ROUNDUP(IF(MOD($A20+INDEX(_xlfn.TEXTSPLIT(AN75,",",),0,1)+$A$18,$A$18)=0,$A$18,MOD($A20+INDEX(_xlfn.TEXTSPLIT(AN75,",",),0,1)+$A$18,$A$18))/4,0),ROUNDUP(IF(MOD(AN$18+INDEX(_xlfn.TEXTSPLIT(AN75,",",),0,2)+$A$18,$A$18)=0,$A$18,MOD(AN$18+INDEX(_xlfn.TEXTSPLIT(AN75,",",),0,2)+$A$18,$A$18))/4,0)))+(INDEX($AD$2:$AK$9,ROUNDUP(IF(MOD($A20+INDEX(_xlfn.TEXTSPLIT(AN118,",",),0,1)+$A$18,$A$18)=0,$A$18,MOD($A20+INDEX(_xlfn.TEXTSPLIT(AN118,",",),0,1)+$A$18,$A$18))/5,0),ROUNDUP(IF(MOD(AN$18+INDEX(_xlfn.TEXTSPLIT(AN118,",",),0,2)+$A$18,$A$18)=0,$A$18,MOD(AN$18+INDEX(_xlfn.TEXTSPLIT(AN118,",",),0,2)+$A$18,$A$18))/5,0)))</f>
        <v>6</v>
      </c>
      <c r="AO20" s="1" cm="1">
        <f t="array" aca="1" ref="AO20" ca="1">(INDEX($K$2:$T$11,ROUNDUP(IF(MOD($A20+INDEX(_xlfn.TEXTSPLIT(AO75,",",),0,1)+$A$18,$A$18)=0,$A$18,MOD($A20+INDEX(_xlfn.TEXTSPLIT(AO75,",",),0,1)+$A$18,$A$18))/4,0),ROUNDUP(IF(MOD(AO$18+INDEX(_xlfn.TEXTSPLIT(AO75,",",),0,2)+$A$18,$A$18)=0,$A$18,MOD(AO$18+INDEX(_xlfn.TEXTSPLIT(AO75,",",),0,2)+$A$18,$A$18))/4,0)))+(INDEX($AD$2:$AK$9,ROUNDUP(IF(MOD($A20+INDEX(_xlfn.TEXTSPLIT(AO118,",",),0,1)+$A$18,$A$18)=0,$A$18,MOD($A20+INDEX(_xlfn.TEXTSPLIT(AO118,",",),0,1)+$A$18,$A$18))/5,0),ROUNDUP(IF(MOD(AO$18+INDEX(_xlfn.TEXTSPLIT(AO118,",",),0,2)+$A$18,$A$18)=0,$A$18,MOD(AO$18+INDEX(_xlfn.TEXTSPLIT(AO118,",",),0,2)+$A$18,$A$18))/5,0)))</f>
        <v>2</v>
      </c>
    </row>
    <row r="21" spans="1:41" ht="12.75">
      <c r="A21" s="1">
        <v>3</v>
      </c>
      <c r="B21" s="1" cm="1">
        <f t="array" aca="1" ref="B21" ca="1">(INDEX($K$2:$T$11,ROUNDUP(IF(MOD($A21+INDEX(_xlfn.TEXTSPLIT(B76,",",),0,1)+$A$18,$A$18)=0,$A$18,MOD($A21+INDEX(_xlfn.TEXTSPLIT(B76,",",),0,1)+$A$18,$A$18))/4,0),ROUNDUP(IF(MOD(B$18+INDEX(_xlfn.TEXTSPLIT(B76,",",),0,2)+$A$18,$A$18)=0,$A$18,MOD(B$18+INDEX(_xlfn.TEXTSPLIT(B76,",",),0,2)+$A$18,$A$18))/4,0)))+(INDEX($AD$2:$AK$9,ROUNDUP(IF(MOD($A21+INDEX(_xlfn.TEXTSPLIT(B119,",",),0,1)+$A$18,$A$18)=0,$A$18,MOD($A21+INDEX(_xlfn.TEXTSPLIT(B119,",",),0,1)+$A$18,$A$18))/5,0),ROUNDUP(IF(MOD(B$18+INDEX(_xlfn.TEXTSPLIT(B119,",",),0,2)+$A$18,$A$18)=0,$A$18,MOD(B$18+INDEX(_xlfn.TEXTSPLIT(B119,",",),0,2)+$A$18,$A$18))/5,0)))</f>
        <v>6</v>
      </c>
      <c r="C21" s="1" cm="1">
        <f t="array" aca="1" ref="C21" ca="1">(INDEX($K$2:$T$11,ROUNDUP(IF(MOD($A21+INDEX(_xlfn.TEXTSPLIT(C76,",",),0,1)+$A$18,$A$18)=0,$A$18,MOD($A21+INDEX(_xlfn.TEXTSPLIT(C76,",",),0,1)+$A$18,$A$18))/4,0),ROUNDUP(IF(MOD(C$18+INDEX(_xlfn.TEXTSPLIT(C76,",",),0,2)+$A$18,$A$18)=0,$A$18,MOD(C$18+INDEX(_xlfn.TEXTSPLIT(C76,",",),0,2)+$A$18,$A$18))/4,0)))+(INDEX($AD$2:$AK$9,ROUNDUP(IF(MOD($A21+INDEX(_xlfn.TEXTSPLIT(C119,",",),0,1)+$A$18,$A$18)=0,$A$18,MOD($A21+INDEX(_xlfn.TEXTSPLIT(C119,",",),0,1)+$A$18,$A$18))/5,0),ROUNDUP(IF(MOD(C$18+INDEX(_xlfn.TEXTSPLIT(C119,",",),0,2)+$A$18,$A$18)=0,$A$18,MOD(C$18+INDEX(_xlfn.TEXTSPLIT(C119,",",),0,2)+$A$18,$A$18))/5,0)))</f>
        <v>2</v>
      </c>
      <c r="D21" s="1" cm="1">
        <f t="array" aca="1" ref="D21" ca="1">(INDEX($K$2:$T$11,ROUNDUP(IF(MOD($A21+INDEX(_xlfn.TEXTSPLIT(D76,",",),0,1)+$A$18,$A$18)=0,$A$18,MOD($A21+INDEX(_xlfn.TEXTSPLIT(D76,",",),0,1)+$A$18,$A$18))/4,0),ROUNDUP(IF(MOD(D$18+INDEX(_xlfn.TEXTSPLIT(D76,",",),0,2)+$A$18,$A$18)=0,$A$18,MOD(D$18+INDEX(_xlfn.TEXTSPLIT(D76,",",),0,2)+$A$18,$A$18))/4,0)))+(INDEX($AD$2:$AK$9,ROUNDUP(IF(MOD($A21+INDEX(_xlfn.TEXTSPLIT(D119,",",),0,1)+$A$18,$A$18)=0,$A$18,MOD($A21+INDEX(_xlfn.TEXTSPLIT(D119,",",),0,1)+$A$18,$A$18))/5,0),ROUNDUP(IF(MOD(D$18+INDEX(_xlfn.TEXTSPLIT(D119,",",),0,2)+$A$18,$A$18)=0,$A$18,MOD(D$18+INDEX(_xlfn.TEXTSPLIT(D119,",",),0,2)+$A$18,$A$18))/5,0)))</f>
        <v>2</v>
      </c>
      <c r="E21" s="1" cm="1">
        <f t="array" aca="1" ref="E21" ca="1">(INDEX($K$2:$T$11,ROUNDUP(IF(MOD($A21+INDEX(_xlfn.TEXTSPLIT(E76,",",),0,1)+$A$18,$A$18)=0,$A$18,MOD($A21+INDEX(_xlfn.TEXTSPLIT(E76,",",),0,1)+$A$18,$A$18))/4,0),ROUNDUP(IF(MOD(E$18+INDEX(_xlfn.TEXTSPLIT(E76,",",),0,2)+$A$18,$A$18)=0,$A$18,MOD(E$18+INDEX(_xlfn.TEXTSPLIT(E76,",",),0,2)+$A$18,$A$18))/4,0)))+(INDEX($AD$2:$AK$9,ROUNDUP(IF(MOD($A21+INDEX(_xlfn.TEXTSPLIT(E119,",",),0,1)+$A$18,$A$18)=0,$A$18,MOD($A21+INDEX(_xlfn.TEXTSPLIT(E119,",",),0,1)+$A$18,$A$18))/5,0),ROUNDUP(IF(MOD(E$18+INDEX(_xlfn.TEXTSPLIT(E119,",",),0,2)+$A$18,$A$18)=0,$A$18,MOD(E$18+INDEX(_xlfn.TEXTSPLIT(E119,",",),0,2)+$A$18,$A$18))/5,0)))</f>
        <v>2</v>
      </c>
      <c r="F21" s="1" cm="1">
        <f t="array" aca="1" ref="F21" ca="1">(INDEX($K$2:$T$11,ROUNDUP(IF(MOD($A21+INDEX(_xlfn.TEXTSPLIT(F76,",",),0,1)+$A$18,$A$18)=0,$A$18,MOD($A21+INDEX(_xlfn.TEXTSPLIT(F76,",",),0,1)+$A$18,$A$18))/4,0),ROUNDUP(IF(MOD(F$18+INDEX(_xlfn.TEXTSPLIT(F76,",",),0,2)+$A$18,$A$18)=0,$A$18,MOD(F$18+INDEX(_xlfn.TEXTSPLIT(F76,",",),0,2)+$A$18,$A$18))/4,0)))+(INDEX($AD$2:$AK$9,ROUNDUP(IF(MOD($A21+INDEX(_xlfn.TEXTSPLIT(F119,",",),0,1)+$A$18,$A$18)=0,$A$18,MOD($A21+INDEX(_xlfn.TEXTSPLIT(F119,",",),0,1)+$A$18,$A$18))/5,0),ROUNDUP(IF(MOD(F$18+INDEX(_xlfn.TEXTSPLIT(F119,",",),0,2)+$A$18,$A$18)=0,$A$18,MOD(F$18+INDEX(_xlfn.TEXTSPLIT(F119,",",),0,2)+$A$18,$A$18))/5,0)))</f>
        <v>6</v>
      </c>
      <c r="G21" s="1" cm="1">
        <f t="array" aca="1" ref="G21" ca="1">(INDEX($K$2:$T$11,ROUNDUP(IF(MOD($A21+INDEX(_xlfn.TEXTSPLIT(G76,",",),0,1)+$A$18,$A$18)=0,$A$18,MOD($A21+INDEX(_xlfn.TEXTSPLIT(G76,",",),0,1)+$A$18,$A$18))/4,0),ROUNDUP(IF(MOD(G$18+INDEX(_xlfn.TEXTSPLIT(G76,",",),0,2)+$A$18,$A$18)=0,$A$18,MOD(G$18+INDEX(_xlfn.TEXTSPLIT(G76,",",),0,2)+$A$18,$A$18))/4,0)))+(INDEX($AD$2:$AK$9,ROUNDUP(IF(MOD($A21+INDEX(_xlfn.TEXTSPLIT(G119,",",),0,1)+$A$18,$A$18)=0,$A$18,MOD($A21+INDEX(_xlfn.TEXTSPLIT(G119,",",),0,1)+$A$18,$A$18))/5,0),ROUNDUP(IF(MOD(G$18+INDEX(_xlfn.TEXTSPLIT(G119,",",),0,2)+$A$18,$A$18)=0,$A$18,MOD(G$18+INDEX(_xlfn.TEXTSPLIT(G119,",",),0,2)+$A$18,$A$18))/5,0)))</f>
        <v>5</v>
      </c>
      <c r="H21" s="1" cm="1">
        <f t="array" aca="1" ref="H21" ca="1">(INDEX($K$2:$T$11,ROUNDUP(IF(MOD($A21+INDEX(_xlfn.TEXTSPLIT(H76,",",),0,1)+$A$18,$A$18)=0,$A$18,MOD($A21+INDEX(_xlfn.TEXTSPLIT(H76,",",),0,1)+$A$18,$A$18))/4,0),ROUNDUP(IF(MOD(H$18+INDEX(_xlfn.TEXTSPLIT(H76,",",),0,2)+$A$18,$A$18)=0,$A$18,MOD(H$18+INDEX(_xlfn.TEXTSPLIT(H76,",",),0,2)+$A$18,$A$18))/4,0)))+(INDEX($AD$2:$AK$9,ROUNDUP(IF(MOD($A21+INDEX(_xlfn.TEXTSPLIT(H119,",",),0,1)+$A$18,$A$18)=0,$A$18,MOD($A21+INDEX(_xlfn.TEXTSPLIT(H119,",",),0,1)+$A$18,$A$18))/5,0),ROUNDUP(IF(MOD(H$18+INDEX(_xlfn.TEXTSPLIT(H119,",",),0,2)+$A$18,$A$18)=0,$A$18,MOD(H$18+INDEX(_xlfn.TEXTSPLIT(H119,",",),0,2)+$A$18,$A$18))/5,0)))</f>
        <v>5</v>
      </c>
      <c r="I21" s="1" cm="1">
        <f t="array" aca="1" ref="I21" ca="1">(INDEX($K$2:$T$11,ROUNDUP(IF(MOD($A21+INDEX(_xlfn.TEXTSPLIT(I76,",",),0,1)+$A$18,$A$18)=0,$A$18,MOD($A21+INDEX(_xlfn.TEXTSPLIT(I76,",",),0,1)+$A$18,$A$18))/4,0),ROUNDUP(IF(MOD(I$18+INDEX(_xlfn.TEXTSPLIT(I76,",",),0,2)+$A$18,$A$18)=0,$A$18,MOD(I$18+INDEX(_xlfn.TEXTSPLIT(I76,",",),0,2)+$A$18,$A$18))/4,0)))+(INDEX($AD$2:$AK$9,ROUNDUP(IF(MOD($A21+INDEX(_xlfn.TEXTSPLIT(I119,",",),0,1)+$A$18,$A$18)=0,$A$18,MOD($A21+INDEX(_xlfn.TEXTSPLIT(I119,",",),0,1)+$A$18,$A$18))/5,0),ROUNDUP(IF(MOD(I$18+INDEX(_xlfn.TEXTSPLIT(I119,",",),0,2)+$A$18,$A$18)=0,$A$18,MOD(I$18+INDEX(_xlfn.TEXTSPLIT(I119,",",),0,2)+$A$18,$A$18))/5,0)))</f>
        <v>5</v>
      </c>
      <c r="J21" s="1" cm="1">
        <f t="array" aca="1" ref="J21" ca="1">(INDEX($K$2:$T$11,ROUNDUP(IF(MOD($A21+INDEX(_xlfn.TEXTSPLIT(J76,",",),0,1)+$A$18,$A$18)=0,$A$18,MOD($A21+INDEX(_xlfn.TEXTSPLIT(J76,",",),0,1)+$A$18,$A$18))/4,0),ROUNDUP(IF(MOD(J$18+INDEX(_xlfn.TEXTSPLIT(J76,",",),0,2)+$A$18,$A$18)=0,$A$18,MOD(J$18+INDEX(_xlfn.TEXTSPLIT(J76,",",),0,2)+$A$18,$A$18))/4,0)))+(INDEX($AD$2:$AK$9,ROUNDUP(IF(MOD($A21+INDEX(_xlfn.TEXTSPLIT(J119,",",),0,1)+$A$18,$A$18)=0,$A$18,MOD($A21+INDEX(_xlfn.TEXTSPLIT(J119,",",),0,1)+$A$18,$A$18))/5,0),ROUNDUP(IF(MOD(J$18+INDEX(_xlfn.TEXTSPLIT(J119,",",),0,2)+$A$18,$A$18)=0,$A$18,MOD(J$18+INDEX(_xlfn.TEXTSPLIT(J119,",",),0,2)+$A$18,$A$18))/5,0)))</f>
        <v>5</v>
      </c>
      <c r="K21" s="1" cm="1">
        <f t="array" aca="1" ref="K21" ca="1">(INDEX($K$2:$T$11,ROUNDUP(IF(MOD($A21+INDEX(_xlfn.TEXTSPLIT(K76,",",),0,1)+$A$18,$A$18)=0,$A$18,MOD($A21+INDEX(_xlfn.TEXTSPLIT(K76,",",),0,1)+$A$18,$A$18))/4,0),ROUNDUP(IF(MOD(K$18+INDEX(_xlfn.TEXTSPLIT(K76,",",),0,2)+$A$18,$A$18)=0,$A$18,MOD(K$18+INDEX(_xlfn.TEXTSPLIT(K76,",",),0,2)+$A$18,$A$18))/4,0)))+(INDEX($AD$2:$AK$9,ROUNDUP(IF(MOD($A21+INDEX(_xlfn.TEXTSPLIT(K119,",",),0,1)+$A$18,$A$18)=0,$A$18,MOD($A21+INDEX(_xlfn.TEXTSPLIT(K119,",",),0,1)+$A$18,$A$18))/5,0),ROUNDUP(IF(MOD(K$18+INDEX(_xlfn.TEXTSPLIT(K119,",",),0,2)+$A$18,$A$18)=0,$A$18,MOD(K$18+INDEX(_xlfn.TEXTSPLIT(K119,",",),0,2)+$A$18,$A$18))/5,0)))</f>
        <v>8</v>
      </c>
      <c r="L21" s="1" cm="1">
        <f t="array" aca="1" ref="L21" ca="1">(INDEX($K$2:$T$11,ROUNDUP(IF(MOD($A21+INDEX(_xlfn.TEXTSPLIT(L76,",",),0,1)+$A$18,$A$18)=0,$A$18,MOD($A21+INDEX(_xlfn.TEXTSPLIT(L76,",",),0,1)+$A$18,$A$18))/4,0),ROUNDUP(IF(MOD(L$18+INDEX(_xlfn.TEXTSPLIT(L76,",",),0,2)+$A$18,$A$18)=0,$A$18,MOD(L$18+INDEX(_xlfn.TEXTSPLIT(L76,",",),0,2)+$A$18,$A$18))/4,0)))+(INDEX($AD$2:$AK$9,ROUNDUP(IF(MOD($A21+INDEX(_xlfn.TEXTSPLIT(L119,",",),0,1)+$A$18,$A$18)=0,$A$18,MOD($A21+INDEX(_xlfn.TEXTSPLIT(L119,",",),0,1)+$A$18,$A$18))/5,0),ROUNDUP(IF(MOD(L$18+INDEX(_xlfn.TEXTSPLIT(L119,",",),0,2)+$A$18,$A$18)=0,$A$18,MOD(L$18+INDEX(_xlfn.TEXTSPLIT(L119,",",),0,2)+$A$18,$A$18))/5,0)))</f>
        <v>5</v>
      </c>
      <c r="M21" s="1" cm="1">
        <f t="array" aca="1" ref="M21" ca="1">(INDEX($K$2:$T$11,ROUNDUP(IF(MOD($A21+INDEX(_xlfn.TEXTSPLIT(M76,",",),0,1)+$A$18,$A$18)=0,$A$18,MOD($A21+INDEX(_xlfn.TEXTSPLIT(M76,",",),0,1)+$A$18,$A$18))/4,0),ROUNDUP(IF(MOD(M$18+INDEX(_xlfn.TEXTSPLIT(M76,",",),0,2)+$A$18,$A$18)=0,$A$18,MOD(M$18+INDEX(_xlfn.TEXTSPLIT(M76,",",),0,2)+$A$18,$A$18))/4,0)))+(INDEX($AD$2:$AK$9,ROUNDUP(IF(MOD($A21+INDEX(_xlfn.TEXTSPLIT(M119,",",),0,1)+$A$18,$A$18)=0,$A$18,MOD($A21+INDEX(_xlfn.TEXTSPLIT(M119,",",),0,1)+$A$18,$A$18))/5,0),ROUNDUP(IF(MOD(M$18+INDEX(_xlfn.TEXTSPLIT(M119,",",),0,2)+$A$18,$A$18)=0,$A$18,MOD(M$18+INDEX(_xlfn.TEXTSPLIT(M119,",",),0,2)+$A$18,$A$18))/5,0)))</f>
        <v>8</v>
      </c>
      <c r="N21" s="1" cm="1">
        <f t="array" aca="1" ref="N21" ca="1">(INDEX($K$2:$T$11,ROUNDUP(IF(MOD($A21+INDEX(_xlfn.TEXTSPLIT(N76,",",),0,1)+$A$18,$A$18)=0,$A$18,MOD($A21+INDEX(_xlfn.TEXTSPLIT(N76,",",),0,1)+$A$18,$A$18))/4,0),ROUNDUP(IF(MOD(N$18+INDEX(_xlfn.TEXTSPLIT(N76,",",),0,2)+$A$18,$A$18)=0,$A$18,MOD(N$18+INDEX(_xlfn.TEXTSPLIT(N76,",",),0,2)+$A$18,$A$18))/4,0)))+(INDEX($AD$2:$AK$9,ROUNDUP(IF(MOD($A21+INDEX(_xlfn.TEXTSPLIT(N119,",",),0,1)+$A$18,$A$18)=0,$A$18,MOD($A21+INDEX(_xlfn.TEXTSPLIT(N119,",",),0,1)+$A$18,$A$18))/5,0),ROUNDUP(IF(MOD(N$18+INDEX(_xlfn.TEXTSPLIT(N119,",",),0,2)+$A$18,$A$18)=0,$A$18,MOD(N$18+INDEX(_xlfn.TEXTSPLIT(N119,",",),0,2)+$A$18,$A$18))/5,0)))</f>
        <v>8</v>
      </c>
      <c r="O21" s="1" cm="1">
        <f t="array" aca="1" ref="O21" ca="1">(INDEX($K$2:$T$11,ROUNDUP(IF(MOD($A21+INDEX(_xlfn.TEXTSPLIT(O76,",",),0,1)+$A$18,$A$18)=0,$A$18,MOD($A21+INDEX(_xlfn.TEXTSPLIT(O76,",",),0,1)+$A$18,$A$18))/4,0),ROUNDUP(IF(MOD(O$18+INDEX(_xlfn.TEXTSPLIT(O76,",",),0,2)+$A$18,$A$18)=0,$A$18,MOD(O$18+INDEX(_xlfn.TEXTSPLIT(O76,",",),0,2)+$A$18,$A$18))/4,0)))+(INDEX($AD$2:$AK$9,ROUNDUP(IF(MOD($A21+INDEX(_xlfn.TEXTSPLIT(O119,",",),0,1)+$A$18,$A$18)=0,$A$18,MOD($A21+INDEX(_xlfn.TEXTSPLIT(O119,",",),0,1)+$A$18,$A$18))/5,0),ROUNDUP(IF(MOD(O$18+INDEX(_xlfn.TEXTSPLIT(O119,",",),0,2)+$A$18,$A$18)=0,$A$18,MOD(O$18+INDEX(_xlfn.TEXTSPLIT(O119,",",),0,2)+$A$18,$A$18))/5,0)))</f>
        <v>8</v>
      </c>
      <c r="P21" s="1" cm="1">
        <f t="array" aca="1" ref="P21" ca="1">(INDEX($K$2:$T$11,ROUNDUP(IF(MOD($A21+INDEX(_xlfn.TEXTSPLIT(P76,",",),0,1)+$A$18,$A$18)=0,$A$18,MOD($A21+INDEX(_xlfn.TEXTSPLIT(P76,",",),0,1)+$A$18,$A$18))/4,0),ROUNDUP(IF(MOD(P$18+INDEX(_xlfn.TEXTSPLIT(P76,",",),0,2)+$A$18,$A$18)=0,$A$18,MOD(P$18+INDEX(_xlfn.TEXTSPLIT(P76,",",),0,2)+$A$18,$A$18))/4,0)))+(INDEX($AD$2:$AK$9,ROUNDUP(IF(MOD($A21+INDEX(_xlfn.TEXTSPLIT(P119,",",),0,1)+$A$18,$A$18)=0,$A$18,MOD($A21+INDEX(_xlfn.TEXTSPLIT(P119,",",),0,1)+$A$18,$A$18))/5,0),ROUNDUP(IF(MOD(P$18+INDEX(_xlfn.TEXTSPLIT(P119,",",),0,2)+$A$18,$A$18)=0,$A$18,MOD(P$18+INDEX(_xlfn.TEXTSPLIT(P119,",",),0,2)+$A$18,$A$18))/5,0)))</f>
        <v>5</v>
      </c>
      <c r="Q21" s="1" cm="1">
        <f t="array" aca="1" ref="Q21" ca="1">(INDEX($K$2:$T$11,ROUNDUP(IF(MOD($A21+INDEX(_xlfn.TEXTSPLIT(Q76,",",),0,1)+$A$18,$A$18)=0,$A$18,MOD($A21+INDEX(_xlfn.TEXTSPLIT(Q76,",",),0,1)+$A$18,$A$18))/4,0),ROUNDUP(IF(MOD(Q$18+INDEX(_xlfn.TEXTSPLIT(Q76,",",),0,2)+$A$18,$A$18)=0,$A$18,MOD(Q$18+INDEX(_xlfn.TEXTSPLIT(Q76,",",),0,2)+$A$18,$A$18))/4,0)))+(INDEX($AD$2:$AK$9,ROUNDUP(IF(MOD($A21+INDEX(_xlfn.TEXTSPLIT(Q119,",",),0,1)+$A$18,$A$18)=0,$A$18,MOD($A21+INDEX(_xlfn.TEXTSPLIT(Q119,",",),0,1)+$A$18,$A$18))/5,0),ROUNDUP(IF(MOD(Q$18+INDEX(_xlfn.TEXTSPLIT(Q119,",",),0,2)+$A$18,$A$18)=0,$A$18,MOD(Q$18+INDEX(_xlfn.TEXTSPLIT(Q119,",",),0,2)+$A$18,$A$18))/5,0)))</f>
        <v>5</v>
      </c>
      <c r="R21" s="1" cm="1">
        <f t="array" aca="1" ref="R21" ca="1">(INDEX($K$2:$T$11,ROUNDUP(IF(MOD($A21+INDEX(_xlfn.TEXTSPLIT(R76,",",),0,1)+$A$18,$A$18)=0,$A$18,MOD($A21+INDEX(_xlfn.TEXTSPLIT(R76,",",),0,1)+$A$18,$A$18))/4,0),ROUNDUP(IF(MOD(R$18+INDEX(_xlfn.TEXTSPLIT(R76,",",),0,2)+$A$18,$A$18)=0,$A$18,MOD(R$18+INDEX(_xlfn.TEXTSPLIT(R76,",",),0,2)+$A$18,$A$18))/4,0)))+(INDEX($AD$2:$AK$9,ROUNDUP(IF(MOD($A21+INDEX(_xlfn.TEXTSPLIT(R119,",",),0,1)+$A$18,$A$18)=0,$A$18,MOD($A21+INDEX(_xlfn.TEXTSPLIT(R119,",",),0,1)+$A$18,$A$18))/5,0),ROUNDUP(IF(MOD(R$18+INDEX(_xlfn.TEXTSPLIT(R119,",",),0,2)+$A$18,$A$18)=0,$A$18,MOD(R$18+INDEX(_xlfn.TEXTSPLIT(R119,",",),0,2)+$A$18,$A$18))/5,0)))</f>
        <v>5</v>
      </c>
      <c r="S21" s="1" cm="1">
        <f t="array" aca="1" ref="S21" ca="1">(INDEX($K$2:$T$11,ROUNDUP(IF(MOD($A21+INDEX(_xlfn.TEXTSPLIT(S76,",",),0,1)+$A$18,$A$18)=0,$A$18,MOD($A21+INDEX(_xlfn.TEXTSPLIT(S76,",",),0,1)+$A$18,$A$18))/4,0),ROUNDUP(IF(MOD(S$18+INDEX(_xlfn.TEXTSPLIT(S76,",",),0,2)+$A$18,$A$18)=0,$A$18,MOD(S$18+INDEX(_xlfn.TEXTSPLIT(S76,",",),0,2)+$A$18,$A$18))/4,0)))+(INDEX($AD$2:$AK$9,ROUNDUP(IF(MOD($A21+INDEX(_xlfn.TEXTSPLIT(S119,",",),0,1)+$A$18,$A$18)=0,$A$18,MOD($A21+INDEX(_xlfn.TEXTSPLIT(S119,",",),0,1)+$A$18,$A$18))/5,0),ROUNDUP(IF(MOD(S$18+INDEX(_xlfn.TEXTSPLIT(S119,",",),0,2)+$A$18,$A$18)=0,$A$18,MOD(S$18+INDEX(_xlfn.TEXTSPLIT(S119,",",),0,2)+$A$18,$A$18))/5,0)))</f>
        <v>5</v>
      </c>
      <c r="T21" s="1" cm="1">
        <f t="array" aca="1" ref="T21" ca="1">(INDEX($K$2:$T$11,ROUNDUP(IF(MOD($A21+INDEX(_xlfn.TEXTSPLIT(T76,",",),0,1)+$A$18,$A$18)=0,$A$18,MOD($A21+INDEX(_xlfn.TEXTSPLIT(T76,",",),0,1)+$A$18,$A$18))/4,0),ROUNDUP(IF(MOD(T$18+INDEX(_xlfn.TEXTSPLIT(T76,",",),0,2)+$A$18,$A$18)=0,$A$18,MOD(T$18+INDEX(_xlfn.TEXTSPLIT(T76,",",),0,2)+$A$18,$A$18))/4,0)))+(INDEX($AD$2:$AK$9,ROUNDUP(IF(MOD($A21+INDEX(_xlfn.TEXTSPLIT(T119,",",),0,1)+$A$18,$A$18)=0,$A$18,MOD($A21+INDEX(_xlfn.TEXTSPLIT(T119,",",),0,1)+$A$18,$A$18))/5,0),ROUNDUP(IF(MOD(T$18+INDEX(_xlfn.TEXTSPLIT(T119,",",),0,2)+$A$18,$A$18)=0,$A$18,MOD(T$18+INDEX(_xlfn.TEXTSPLIT(T119,",",),0,2)+$A$18,$A$18))/5,0)))</f>
        <v>5</v>
      </c>
      <c r="U21" s="1" cm="1">
        <f t="array" aca="1" ref="U21" ca="1">(INDEX($K$2:$T$11,ROUNDUP(IF(MOD($A21+INDEX(_xlfn.TEXTSPLIT(U76,",",),0,1)+$A$18,$A$18)=0,$A$18,MOD($A21+INDEX(_xlfn.TEXTSPLIT(U76,",",),0,1)+$A$18,$A$18))/4,0),ROUNDUP(IF(MOD(U$18+INDEX(_xlfn.TEXTSPLIT(U76,",",),0,2)+$A$18,$A$18)=0,$A$18,MOD(U$18+INDEX(_xlfn.TEXTSPLIT(U76,",",),0,2)+$A$18,$A$18))/4,0)))+(INDEX($AD$2:$AK$9,ROUNDUP(IF(MOD($A21+INDEX(_xlfn.TEXTSPLIT(U119,",",),0,1)+$A$18,$A$18)=0,$A$18,MOD($A21+INDEX(_xlfn.TEXTSPLIT(U119,",",),0,1)+$A$18,$A$18))/5,0),ROUNDUP(IF(MOD(U$18+INDEX(_xlfn.TEXTSPLIT(U119,",",),0,2)+$A$18,$A$18)=0,$A$18,MOD(U$18+INDEX(_xlfn.TEXTSPLIT(U119,",",),0,2)+$A$18,$A$18))/5,0)))</f>
        <v>5</v>
      </c>
      <c r="V21" s="1" cm="1">
        <f t="array" aca="1" ref="V21" ca="1">(INDEX($K$2:$T$11,ROUNDUP(IF(MOD($A21+INDEX(_xlfn.TEXTSPLIT(V76,",",),0,1)+$A$18,$A$18)=0,$A$18,MOD($A21+INDEX(_xlfn.TEXTSPLIT(V76,",",),0,1)+$A$18,$A$18))/4,0),ROUNDUP(IF(MOD(V$18+INDEX(_xlfn.TEXTSPLIT(V76,",",),0,2)+$A$18,$A$18)=0,$A$18,MOD(V$18+INDEX(_xlfn.TEXTSPLIT(V76,",",),0,2)+$A$18,$A$18))/4,0)))+(INDEX($AD$2:$AK$9,ROUNDUP(IF(MOD($A21+INDEX(_xlfn.TEXTSPLIT(V119,",",),0,1)+$A$18,$A$18)=0,$A$18,MOD($A21+INDEX(_xlfn.TEXTSPLIT(V119,",",),0,1)+$A$18,$A$18))/5,0),ROUNDUP(IF(MOD(V$18+INDEX(_xlfn.TEXTSPLIT(V119,",",),0,2)+$A$18,$A$18)=0,$A$18,MOD(V$18+INDEX(_xlfn.TEXTSPLIT(V119,",",),0,2)+$A$18,$A$18))/5,0)))</f>
        <v>8</v>
      </c>
      <c r="W21" s="1" cm="1">
        <f t="array" aca="1" ref="W21" ca="1">(INDEX($K$2:$T$11,ROUNDUP(IF(MOD($A21+INDEX(_xlfn.TEXTSPLIT(W76,",",),0,1)+$A$18,$A$18)=0,$A$18,MOD($A21+INDEX(_xlfn.TEXTSPLIT(W76,",",),0,1)+$A$18,$A$18))/4,0),ROUNDUP(IF(MOD(W$18+INDEX(_xlfn.TEXTSPLIT(W76,",",),0,2)+$A$18,$A$18)=0,$A$18,MOD(W$18+INDEX(_xlfn.TEXTSPLIT(W76,",",),0,2)+$A$18,$A$18))/4,0)))+(INDEX($AD$2:$AK$9,ROUNDUP(IF(MOD($A21+INDEX(_xlfn.TEXTSPLIT(W119,",",),0,1)+$A$18,$A$18)=0,$A$18,MOD($A21+INDEX(_xlfn.TEXTSPLIT(W119,",",),0,1)+$A$18,$A$18))/5,0),ROUNDUP(IF(MOD(W$18+INDEX(_xlfn.TEXTSPLIT(W119,",",),0,2)+$A$18,$A$18)=0,$A$18,MOD(W$18+INDEX(_xlfn.TEXTSPLIT(W119,",",),0,2)+$A$18,$A$18))/5,0)))</f>
        <v>8</v>
      </c>
      <c r="X21" s="1" cm="1">
        <f t="array" aca="1" ref="X21" ca="1">(INDEX($K$2:$T$11,ROUNDUP(IF(MOD($A21+INDEX(_xlfn.TEXTSPLIT(X76,",",),0,1)+$A$18,$A$18)=0,$A$18,MOD($A21+INDEX(_xlfn.TEXTSPLIT(X76,",",),0,1)+$A$18,$A$18))/4,0),ROUNDUP(IF(MOD(X$18+INDEX(_xlfn.TEXTSPLIT(X76,",",),0,2)+$A$18,$A$18)=0,$A$18,MOD(X$18+INDEX(_xlfn.TEXTSPLIT(X76,",",),0,2)+$A$18,$A$18))/4,0)))+(INDEX($AD$2:$AK$9,ROUNDUP(IF(MOD($A21+INDEX(_xlfn.TEXTSPLIT(X119,",",),0,1)+$A$18,$A$18)=0,$A$18,MOD($A21+INDEX(_xlfn.TEXTSPLIT(X119,",",),0,1)+$A$18,$A$18))/5,0),ROUNDUP(IF(MOD(X$18+INDEX(_xlfn.TEXTSPLIT(X119,",",),0,2)+$A$18,$A$18)=0,$A$18,MOD(X$18+INDEX(_xlfn.TEXTSPLIT(X119,",",),0,2)+$A$18,$A$18))/5,0)))</f>
        <v>8</v>
      </c>
      <c r="Y21" s="1" cm="1">
        <f t="array" aca="1" ref="Y21" ca="1">(INDEX($K$2:$T$11,ROUNDUP(IF(MOD($A21+INDEX(_xlfn.TEXTSPLIT(Y76,",",),0,1)+$A$18,$A$18)=0,$A$18,MOD($A21+INDEX(_xlfn.TEXTSPLIT(Y76,",",),0,1)+$A$18,$A$18))/4,0),ROUNDUP(IF(MOD(Y$18+INDEX(_xlfn.TEXTSPLIT(Y76,",",),0,2)+$A$18,$A$18)=0,$A$18,MOD(Y$18+INDEX(_xlfn.TEXTSPLIT(Y76,",",),0,2)+$A$18,$A$18))/4,0)))+(INDEX($AD$2:$AK$9,ROUNDUP(IF(MOD($A21+INDEX(_xlfn.TEXTSPLIT(Y119,",",),0,1)+$A$18,$A$18)=0,$A$18,MOD($A21+INDEX(_xlfn.TEXTSPLIT(Y119,",",),0,1)+$A$18,$A$18))/5,0),ROUNDUP(IF(MOD(Y$18+INDEX(_xlfn.TEXTSPLIT(Y119,",",),0,2)+$A$18,$A$18)=0,$A$18,MOD(Y$18+INDEX(_xlfn.TEXTSPLIT(Y119,",",),0,2)+$A$18,$A$18))/5,0)))</f>
        <v>8</v>
      </c>
      <c r="Z21" s="1" cm="1">
        <f t="array" aca="1" ref="Z21" ca="1">(INDEX($K$2:$T$11,ROUNDUP(IF(MOD($A21+INDEX(_xlfn.TEXTSPLIT(Z76,",",),0,1)+$A$18,$A$18)=0,$A$18,MOD($A21+INDEX(_xlfn.TEXTSPLIT(Z76,",",),0,1)+$A$18,$A$18))/4,0),ROUNDUP(IF(MOD(Z$18+INDEX(_xlfn.TEXTSPLIT(Z76,",",),0,2)+$A$18,$A$18)=0,$A$18,MOD(Z$18+INDEX(_xlfn.TEXTSPLIT(Z76,",",),0,2)+$A$18,$A$18))/4,0)))+(INDEX($AD$2:$AK$9,ROUNDUP(IF(MOD($A21+INDEX(_xlfn.TEXTSPLIT(Z119,",",),0,1)+$A$18,$A$18)=0,$A$18,MOD($A21+INDEX(_xlfn.TEXTSPLIT(Z119,",",),0,1)+$A$18,$A$18))/5,0),ROUNDUP(IF(MOD(Z$18+INDEX(_xlfn.TEXTSPLIT(Z119,",",),0,2)+$A$18,$A$18)=0,$A$18,MOD(Z$18+INDEX(_xlfn.TEXTSPLIT(Z119,",",),0,2)+$A$18,$A$18))/5,0)))</f>
        <v>8</v>
      </c>
      <c r="AA21" s="1" cm="1">
        <f t="array" aca="1" ref="AA21" ca="1">(INDEX($K$2:$T$11,ROUNDUP(IF(MOD($A21+INDEX(_xlfn.TEXTSPLIT(AA76,",",),0,1)+$A$18,$A$18)=0,$A$18,MOD($A21+INDEX(_xlfn.TEXTSPLIT(AA76,",",),0,1)+$A$18,$A$18))/4,0),ROUNDUP(IF(MOD(AA$18+INDEX(_xlfn.TEXTSPLIT(AA76,",",),0,2)+$A$18,$A$18)=0,$A$18,MOD(AA$18+INDEX(_xlfn.TEXTSPLIT(AA76,",",),0,2)+$A$18,$A$18))/4,0)))+(INDEX($AD$2:$AK$9,ROUNDUP(IF(MOD($A21+INDEX(_xlfn.TEXTSPLIT(AA119,",",),0,1)+$A$18,$A$18)=0,$A$18,MOD($A21+INDEX(_xlfn.TEXTSPLIT(AA119,",",),0,1)+$A$18,$A$18))/5,0),ROUNDUP(IF(MOD(AA$18+INDEX(_xlfn.TEXTSPLIT(AA119,",",),0,2)+$A$18,$A$18)=0,$A$18,MOD(AA$18+INDEX(_xlfn.TEXTSPLIT(AA119,",",),0,2)+$A$18,$A$18))/5,0)))</f>
        <v>6</v>
      </c>
      <c r="AB21" s="1" cm="1">
        <f t="array" aca="1" ref="AB21" ca="1">(INDEX($K$2:$T$11,ROUNDUP(IF(MOD($A21+INDEX(_xlfn.TEXTSPLIT(AB76,",",),0,1)+$A$18,$A$18)=0,$A$18,MOD($A21+INDEX(_xlfn.TEXTSPLIT(AB76,",",),0,1)+$A$18,$A$18))/4,0),ROUNDUP(IF(MOD(AB$18+INDEX(_xlfn.TEXTSPLIT(AB76,",",),0,2)+$A$18,$A$18)=0,$A$18,MOD(AB$18+INDEX(_xlfn.TEXTSPLIT(AB76,",",),0,2)+$A$18,$A$18))/4,0)))+(INDEX($AD$2:$AK$9,ROUNDUP(IF(MOD($A21+INDEX(_xlfn.TEXTSPLIT(AB119,",",),0,1)+$A$18,$A$18)=0,$A$18,MOD($A21+INDEX(_xlfn.TEXTSPLIT(AB119,",",),0,1)+$A$18,$A$18))/5,0),ROUNDUP(IF(MOD(AB$18+INDEX(_xlfn.TEXTSPLIT(AB119,",",),0,2)+$A$18,$A$18)=0,$A$18,MOD(AB$18+INDEX(_xlfn.TEXTSPLIT(AB119,",",),0,2)+$A$18,$A$18))/5,0)))</f>
        <v>6</v>
      </c>
      <c r="AC21" s="1" cm="1">
        <f t="array" aca="1" ref="AC21" ca="1">(INDEX($K$2:$T$11,ROUNDUP(IF(MOD($A21+INDEX(_xlfn.TEXTSPLIT(AC76,",",),0,1)+$A$18,$A$18)=0,$A$18,MOD($A21+INDEX(_xlfn.TEXTSPLIT(AC76,",",),0,1)+$A$18,$A$18))/4,0),ROUNDUP(IF(MOD(AC$18+INDEX(_xlfn.TEXTSPLIT(AC76,",",),0,2)+$A$18,$A$18)=0,$A$18,MOD(AC$18+INDEX(_xlfn.TEXTSPLIT(AC76,",",),0,2)+$A$18,$A$18))/4,0)))+(INDEX($AD$2:$AK$9,ROUNDUP(IF(MOD($A21+INDEX(_xlfn.TEXTSPLIT(AC119,",",),0,1)+$A$18,$A$18)=0,$A$18,MOD($A21+INDEX(_xlfn.TEXTSPLIT(AC119,",",),0,1)+$A$18,$A$18))/5,0),ROUNDUP(IF(MOD(AC$18+INDEX(_xlfn.TEXTSPLIT(AC119,",",),0,2)+$A$18,$A$18)=0,$A$18,MOD(AC$18+INDEX(_xlfn.TEXTSPLIT(AC119,",",),0,2)+$A$18,$A$18))/5,0)))</f>
        <v>6</v>
      </c>
      <c r="AD21" s="1" cm="1">
        <f t="array" aca="1" ref="AD21" ca="1">(INDEX($K$2:$T$11,ROUNDUP(IF(MOD($A21+INDEX(_xlfn.TEXTSPLIT(AD76,",",),0,1)+$A$18,$A$18)=0,$A$18,MOD($A21+INDEX(_xlfn.TEXTSPLIT(AD76,",",),0,1)+$A$18,$A$18))/4,0),ROUNDUP(IF(MOD(AD$18+INDEX(_xlfn.TEXTSPLIT(AD76,",",),0,2)+$A$18,$A$18)=0,$A$18,MOD(AD$18+INDEX(_xlfn.TEXTSPLIT(AD76,",",),0,2)+$A$18,$A$18))/4,0)))+(INDEX($AD$2:$AK$9,ROUNDUP(IF(MOD($A21+INDEX(_xlfn.TEXTSPLIT(AD119,",",),0,1)+$A$18,$A$18)=0,$A$18,MOD($A21+INDEX(_xlfn.TEXTSPLIT(AD119,",",),0,1)+$A$18,$A$18))/5,0),ROUNDUP(IF(MOD(AD$18+INDEX(_xlfn.TEXTSPLIT(AD119,",",),0,2)+$A$18,$A$18)=0,$A$18,MOD(AD$18+INDEX(_xlfn.TEXTSPLIT(AD119,",",),0,2)+$A$18,$A$18))/5,0)))</f>
        <v>2</v>
      </c>
      <c r="AE21" s="1" cm="1">
        <f t="array" aca="1" ref="AE21" ca="1">(INDEX($K$2:$T$11,ROUNDUP(IF(MOD($A21+INDEX(_xlfn.TEXTSPLIT(AE76,",",),0,1)+$A$18,$A$18)=0,$A$18,MOD($A21+INDEX(_xlfn.TEXTSPLIT(AE76,",",),0,1)+$A$18,$A$18))/4,0),ROUNDUP(IF(MOD(AE$18+INDEX(_xlfn.TEXTSPLIT(AE76,",",),0,2)+$A$18,$A$18)=0,$A$18,MOD(AE$18+INDEX(_xlfn.TEXTSPLIT(AE76,",",),0,2)+$A$18,$A$18))/4,0)))+(INDEX($AD$2:$AK$9,ROUNDUP(IF(MOD($A21+INDEX(_xlfn.TEXTSPLIT(AE119,",",),0,1)+$A$18,$A$18)=0,$A$18,MOD($A21+INDEX(_xlfn.TEXTSPLIT(AE119,",",),0,1)+$A$18,$A$18))/5,0),ROUNDUP(IF(MOD(AE$18+INDEX(_xlfn.TEXTSPLIT(AE119,",",),0,2)+$A$18,$A$18)=0,$A$18,MOD(AE$18+INDEX(_xlfn.TEXTSPLIT(AE119,",",),0,2)+$A$18,$A$18))/5,0)))</f>
        <v>2</v>
      </c>
      <c r="AF21" s="1" cm="1">
        <f t="array" aca="1" ref="AF21" ca="1">(INDEX($K$2:$T$11,ROUNDUP(IF(MOD($A21+INDEX(_xlfn.TEXTSPLIT(AF76,",",),0,1)+$A$18,$A$18)=0,$A$18,MOD($A21+INDEX(_xlfn.TEXTSPLIT(AF76,",",),0,1)+$A$18,$A$18))/4,0),ROUNDUP(IF(MOD(AF$18+INDEX(_xlfn.TEXTSPLIT(AF76,",",),0,2)+$A$18,$A$18)=0,$A$18,MOD(AF$18+INDEX(_xlfn.TEXTSPLIT(AF76,",",),0,2)+$A$18,$A$18))/4,0)))+(INDEX($AD$2:$AK$9,ROUNDUP(IF(MOD($A21+INDEX(_xlfn.TEXTSPLIT(AF119,",",),0,1)+$A$18,$A$18)=0,$A$18,MOD($A21+INDEX(_xlfn.TEXTSPLIT(AF119,",",),0,1)+$A$18,$A$18))/5,0),ROUNDUP(IF(MOD(AF$18+INDEX(_xlfn.TEXTSPLIT(AF119,",",),0,2)+$A$18,$A$18)=0,$A$18,MOD(AF$18+INDEX(_xlfn.TEXTSPLIT(AF119,",",),0,2)+$A$18,$A$18))/5,0)))</f>
        <v>2</v>
      </c>
      <c r="AG21" s="1" cm="1">
        <f t="array" aca="1" ref="AG21" ca="1">(INDEX($K$2:$T$11,ROUNDUP(IF(MOD($A21+INDEX(_xlfn.TEXTSPLIT(AG76,",",),0,1)+$A$18,$A$18)=0,$A$18,MOD($A21+INDEX(_xlfn.TEXTSPLIT(AG76,",",),0,1)+$A$18,$A$18))/4,0),ROUNDUP(IF(MOD(AG$18+INDEX(_xlfn.TEXTSPLIT(AG76,",",),0,2)+$A$18,$A$18)=0,$A$18,MOD(AG$18+INDEX(_xlfn.TEXTSPLIT(AG76,",",),0,2)+$A$18,$A$18))/4,0)))+(INDEX($AD$2:$AK$9,ROUNDUP(IF(MOD($A21+INDEX(_xlfn.TEXTSPLIT(AG119,",",),0,1)+$A$18,$A$18)=0,$A$18,MOD($A21+INDEX(_xlfn.TEXTSPLIT(AG119,",",),0,1)+$A$18,$A$18))/5,0),ROUNDUP(IF(MOD(AG$18+INDEX(_xlfn.TEXTSPLIT(AG119,",",),0,2)+$A$18,$A$18)=0,$A$18,MOD(AG$18+INDEX(_xlfn.TEXTSPLIT(AG119,",",),0,2)+$A$18,$A$18))/5,0)))</f>
        <v>4</v>
      </c>
      <c r="AH21" s="1" cm="1">
        <f t="array" aca="1" ref="AH21" ca="1">(INDEX($K$2:$T$11,ROUNDUP(IF(MOD($A21+INDEX(_xlfn.TEXTSPLIT(AH76,",",),0,1)+$A$18,$A$18)=0,$A$18,MOD($A21+INDEX(_xlfn.TEXTSPLIT(AH76,",",),0,1)+$A$18,$A$18))/4,0),ROUNDUP(IF(MOD(AH$18+INDEX(_xlfn.TEXTSPLIT(AH76,",",),0,2)+$A$18,$A$18)=0,$A$18,MOD(AH$18+INDEX(_xlfn.TEXTSPLIT(AH76,",",),0,2)+$A$18,$A$18))/4,0)))+(INDEX($AD$2:$AK$9,ROUNDUP(IF(MOD($A21+INDEX(_xlfn.TEXTSPLIT(AH119,",",),0,1)+$A$18,$A$18)=0,$A$18,MOD($A21+INDEX(_xlfn.TEXTSPLIT(AH119,",",),0,1)+$A$18,$A$18))/5,0),ROUNDUP(IF(MOD(AH$18+INDEX(_xlfn.TEXTSPLIT(AH119,",",),0,2)+$A$18,$A$18)=0,$A$18,MOD(AH$18+INDEX(_xlfn.TEXTSPLIT(AH119,",",),0,2)+$A$18,$A$18))/5,0)))</f>
        <v>4</v>
      </c>
      <c r="AI21" s="1" cm="1">
        <f t="array" aca="1" ref="AI21" ca="1">(INDEX($K$2:$T$11,ROUNDUP(IF(MOD($A21+INDEX(_xlfn.TEXTSPLIT(AI76,",",),0,1)+$A$18,$A$18)=0,$A$18,MOD($A21+INDEX(_xlfn.TEXTSPLIT(AI76,",",),0,1)+$A$18,$A$18))/4,0),ROUNDUP(IF(MOD(AI$18+INDEX(_xlfn.TEXTSPLIT(AI76,",",),0,2)+$A$18,$A$18)=0,$A$18,MOD(AI$18+INDEX(_xlfn.TEXTSPLIT(AI76,",",),0,2)+$A$18,$A$18))/4,0)))+(INDEX($AD$2:$AK$9,ROUNDUP(IF(MOD($A21+INDEX(_xlfn.TEXTSPLIT(AI119,",",),0,1)+$A$18,$A$18)=0,$A$18,MOD($A21+INDEX(_xlfn.TEXTSPLIT(AI119,",",),0,1)+$A$18,$A$18))/5,0),ROUNDUP(IF(MOD(AI$18+INDEX(_xlfn.TEXTSPLIT(AI119,",",),0,2)+$A$18,$A$18)=0,$A$18,MOD(AI$18+INDEX(_xlfn.TEXTSPLIT(AI119,",",),0,2)+$A$18,$A$18))/5,0)))</f>
        <v>4</v>
      </c>
      <c r="AJ21" s="1" cm="1">
        <f t="array" aca="1" ref="AJ21" ca="1">(INDEX($K$2:$T$11,ROUNDUP(IF(MOD($A21+INDEX(_xlfn.TEXTSPLIT(AJ76,",",),0,1)+$A$18,$A$18)=0,$A$18,MOD($A21+INDEX(_xlfn.TEXTSPLIT(AJ76,",",),0,1)+$A$18,$A$18))/4,0),ROUNDUP(IF(MOD(AJ$18+INDEX(_xlfn.TEXTSPLIT(AJ76,",",),0,2)+$A$18,$A$18)=0,$A$18,MOD(AJ$18+INDEX(_xlfn.TEXTSPLIT(AJ76,",",),0,2)+$A$18,$A$18))/4,0)))+(INDEX($AD$2:$AK$9,ROUNDUP(IF(MOD($A21+INDEX(_xlfn.TEXTSPLIT(AJ119,",",),0,1)+$A$18,$A$18)=0,$A$18,MOD($A21+INDEX(_xlfn.TEXTSPLIT(AJ119,",",),0,1)+$A$18,$A$18))/5,0),ROUNDUP(IF(MOD(AJ$18+INDEX(_xlfn.TEXTSPLIT(AJ119,",",),0,2)+$A$18,$A$18)=0,$A$18,MOD(AJ$18+INDEX(_xlfn.TEXTSPLIT(AJ119,",",),0,2)+$A$18,$A$18))/5,0)))</f>
        <v>4</v>
      </c>
      <c r="AK21" s="1" cm="1">
        <f t="array" aca="1" ref="AK21" ca="1">(INDEX($K$2:$T$11,ROUNDUP(IF(MOD($A21+INDEX(_xlfn.TEXTSPLIT(AK76,",",),0,1)+$A$18,$A$18)=0,$A$18,MOD($A21+INDEX(_xlfn.TEXTSPLIT(AK76,",",),0,1)+$A$18,$A$18))/4,0),ROUNDUP(IF(MOD(AK$18+INDEX(_xlfn.TEXTSPLIT(AK76,",",),0,2)+$A$18,$A$18)=0,$A$18,MOD(AK$18+INDEX(_xlfn.TEXTSPLIT(AK76,",",),0,2)+$A$18,$A$18))/4,0)))+(INDEX($AD$2:$AK$9,ROUNDUP(IF(MOD($A21+INDEX(_xlfn.TEXTSPLIT(AK119,",",),0,1)+$A$18,$A$18)=0,$A$18,MOD($A21+INDEX(_xlfn.TEXTSPLIT(AK119,",",),0,1)+$A$18,$A$18))/5,0),ROUNDUP(IF(MOD(AK$18+INDEX(_xlfn.TEXTSPLIT(AK119,",",),0,2)+$A$18,$A$18)=0,$A$18,MOD(AK$18+INDEX(_xlfn.TEXTSPLIT(AK119,",",),0,2)+$A$18,$A$18))/5,0)))</f>
        <v>2</v>
      </c>
      <c r="AL21" s="1" cm="1">
        <f t="array" aca="1" ref="AL21" ca="1">(INDEX($K$2:$T$11,ROUNDUP(IF(MOD($A21+INDEX(_xlfn.TEXTSPLIT(AL76,",",),0,1)+$A$18,$A$18)=0,$A$18,MOD($A21+INDEX(_xlfn.TEXTSPLIT(AL76,",",),0,1)+$A$18,$A$18))/4,0),ROUNDUP(IF(MOD(AL$18+INDEX(_xlfn.TEXTSPLIT(AL76,",",),0,2)+$A$18,$A$18)=0,$A$18,MOD(AL$18+INDEX(_xlfn.TEXTSPLIT(AL76,",",),0,2)+$A$18,$A$18))/4,0)))+(INDEX($AD$2:$AK$9,ROUNDUP(IF(MOD($A21+INDEX(_xlfn.TEXTSPLIT(AL119,",",),0,1)+$A$18,$A$18)=0,$A$18,MOD($A21+INDEX(_xlfn.TEXTSPLIT(AL119,",",),0,1)+$A$18,$A$18))/5,0),ROUNDUP(IF(MOD(AL$18+INDEX(_xlfn.TEXTSPLIT(AL119,",",),0,2)+$A$18,$A$18)=0,$A$18,MOD(AL$18+INDEX(_xlfn.TEXTSPLIT(AL119,",",),0,2)+$A$18,$A$18))/5,0)))</f>
        <v>2</v>
      </c>
      <c r="AM21" s="1" cm="1">
        <f t="array" aca="1" ref="AM21" ca="1">(INDEX($K$2:$T$11,ROUNDUP(IF(MOD($A21+INDEX(_xlfn.TEXTSPLIT(AM76,",",),0,1)+$A$18,$A$18)=0,$A$18,MOD($A21+INDEX(_xlfn.TEXTSPLIT(AM76,",",),0,1)+$A$18,$A$18))/4,0),ROUNDUP(IF(MOD(AM$18+INDEX(_xlfn.TEXTSPLIT(AM76,",",),0,2)+$A$18,$A$18)=0,$A$18,MOD(AM$18+INDEX(_xlfn.TEXTSPLIT(AM76,",",),0,2)+$A$18,$A$18))/4,0)))+(INDEX($AD$2:$AK$9,ROUNDUP(IF(MOD($A21+INDEX(_xlfn.TEXTSPLIT(AM119,",",),0,1)+$A$18,$A$18)=0,$A$18,MOD($A21+INDEX(_xlfn.TEXTSPLIT(AM119,",",),0,1)+$A$18,$A$18))/5,0),ROUNDUP(IF(MOD(AM$18+INDEX(_xlfn.TEXTSPLIT(AM119,",",),0,2)+$A$18,$A$18)=0,$A$18,MOD(AM$18+INDEX(_xlfn.TEXTSPLIT(AM119,",",),0,2)+$A$18,$A$18))/5,0)))</f>
        <v>6</v>
      </c>
      <c r="AN21" s="1" cm="1">
        <f t="array" aca="1" ref="AN21" ca="1">(INDEX($K$2:$T$11,ROUNDUP(IF(MOD($A21+INDEX(_xlfn.TEXTSPLIT(AN76,",",),0,1)+$A$18,$A$18)=0,$A$18,MOD($A21+INDEX(_xlfn.TEXTSPLIT(AN76,",",),0,1)+$A$18,$A$18))/4,0),ROUNDUP(IF(MOD(AN$18+INDEX(_xlfn.TEXTSPLIT(AN76,",",),0,2)+$A$18,$A$18)=0,$A$18,MOD(AN$18+INDEX(_xlfn.TEXTSPLIT(AN76,",",),0,2)+$A$18,$A$18))/4,0)))+(INDEX($AD$2:$AK$9,ROUNDUP(IF(MOD($A21+INDEX(_xlfn.TEXTSPLIT(AN119,",",),0,1)+$A$18,$A$18)=0,$A$18,MOD($A21+INDEX(_xlfn.TEXTSPLIT(AN119,",",),0,1)+$A$18,$A$18))/5,0),ROUNDUP(IF(MOD(AN$18+INDEX(_xlfn.TEXTSPLIT(AN119,",",),0,2)+$A$18,$A$18)=0,$A$18,MOD(AN$18+INDEX(_xlfn.TEXTSPLIT(AN119,",",),0,2)+$A$18,$A$18))/5,0)))</f>
        <v>6</v>
      </c>
      <c r="AO21" s="1" cm="1">
        <f t="array" aca="1" ref="AO21" ca="1">(INDEX($K$2:$T$11,ROUNDUP(IF(MOD($A21+INDEX(_xlfn.TEXTSPLIT(AO76,",",),0,1)+$A$18,$A$18)=0,$A$18,MOD($A21+INDEX(_xlfn.TEXTSPLIT(AO76,",",),0,1)+$A$18,$A$18))/4,0),ROUNDUP(IF(MOD(AO$18+INDEX(_xlfn.TEXTSPLIT(AO76,",",),0,2)+$A$18,$A$18)=0,$A$18,MOD(AO$18+INDEX(_xlfn.TEXTSPLIT(AO76,",",),0,2)+$A$18,$A$18))/4,0)))+(INDEX($AD$2:$AK$9,ROUNDUP(IF(MOD($A21+INDEX(_xlfn.TEXTSPLIT(AO119,",",),0,1)+$A$18,$A$18)=0,$A$18,MOD($A21+INDEX(_xlfn.TEXTSPLIT(AO119,",",),0,1)+$A$18,$A$18))/5,0),ROUNDUP(IF(MOD(AO$18+INDEX(_xlfn.TEXTSPLIT(AO119,",",),0,2)+$A$18,$A$18)=0,$A$18,MOD(AO$18+INDEX(_xlfn.TEXTSPLIT(AO119,",",),0,2)+$A$18,$A$18))/5,0)))</f>
        <v>6</v>
      </c>
    </row>
    <row r="22" spans="1:41" ht="12.75">
      <c r="A22" s="1">
        <v>4</v>
      </c>
      <c r="B22" s="1" cm="1">
        <f t="array" aca="1" ref="B22" ca="1">(INDEX($K$2:$T$11,ROUNDUP(IF(MOD($A22+INDEX(_xlfn.TEXTSPLIT(B77,",",),0,1)+$A$18,$A$18)=0,$A$18,MOD($A22+INDEX(_xlfn.TEXTSPLIT(B77,",",),0,1)+$A$18,$A$18))/4,0),ROUNDUP(IF(MOD(B$18+INDEX(_xlfn.TEXTSPLIT(B77,",",),0,2)+$A$18,$A$18)=0,$A$18,MOD(B$18+INDEX(_xlfn.TEXTSPLIT(B77,",",),0,2)+$A$18,$A$18))/4,0)))+(INDEX($AD$2:$AK$9,ROUNDUP(IF(MOD($A22+INDEX(_xlfn.TEXTSPLIT(B120,",",),0,1)+$A$18,$A$18)=0,$A$18,MOD($A22+INDEX(_xlfn.TEXTSPLIT(B120,",",),0,1)+$A$18,$A$18))/5,0),ROUNDUP(IF(MOD(B$18+INDEX(_xlfn.TEXTSPLIT(B120,",",),0,2)+$A$18,$A$18)=0,$A$18,MOD(B$18+INDEX(_xlfn.TEXTSPLIT(B120,",",),0,2)+$A$18,$A$18))/5,0)))</f>
        <v>6</v>
      </c>
      <c r="C22" s="1" cm="1">
        <f t="array" aca="1" ref="C22" ca="1">(INDEX($K$2:$T$11,ROUNDUP(IF(MOD($A22+INDEX(_xlfn.TEXTSPLIT(C77,",",),0,1)+$A$18,$A$18)=0,$A$18,MOD($A22+INDEX(_xlfn.TEXTSPLIT(C77,",",),0,1)+$A$18,$A$18))/4,0),ROUNDUP(IF(MOD(C$18+INDEX(_xlfn.TEXTSPLIT(C77,",",),0,2)+$A$18,$A$18)=0,$A$18,MOD(C$18+INDEX(_xlfn.TEXTSPLIT(C77,",",),0,2)+$A$18,$A$18))/4,0)))+(INDEX($AD$2:$AK$9,ROUNDUP(IF(MOD($A22+INDEX(_xlfn.TEXTSPLIT(C120,",",),0,1)+$A$18,$A$18)=0,$A$18,MOD($A22+INDEX(_xlfn.TEXTSPLIT(C120,",",),0,1)+$A$18,$A$18))/5,0),ROUNDUP(IF(MOD(C$18+INDEX(_xlfn.TEXTSPLIT(C120,",",),0,2)+$A$18,$A$18)=0,$A$18,MOD(C$18+INDEX(_xlfn.TEXTSPLIT(C120,",",),0,2)+$A$18,$A$18))/5,0)))</f>
        <v>2</v>
      </c>
      <c r="D22" s="1" cm="1">
        <f t="array" aca="1" ref="D22" ca="1">(INDEX($K$2:$T$11,ROUNDUP(IF(MOD($A22+INDEX(_xlfn.TEXTSPLIT(D77,",",),0,1)+$A$18,$A$18)=0,$A$18,MOD($A22+INDEX(_xlfn.TEXTSPLIT(D77,",",),0,1)+$A$18,$A$18))/4,0),ROUNDUP(IF(MOD(D$18+INDEX(_xlfn.TEXTSPLIT(D77,",",),0,2)+$A$18,$A$18)=0,$A$18,MOD(D$18+INDEX(_xlfn.TEXTSPLIT(D77,",",),0,2)+$A$18,$A$18))/4,0)))+(INDEX($AD$2:$AK$9,ROUNDUP(IF(MOD($A22+INDEX(_xlfn.TEXTSPLIT(D120,",",),0,1)+$A$18,$A$18)=0,$A$18,MOD($A22+INDEX(_xlfn.TEXTSPLIT(D120,",",),0,1)+$A$18,$A$18))/5,0),ROUNDUP(IF(MOD(D$18+INDEX(_xlfn.TEXTSPLIT(D120,",",),0,2)+$A$18,$A$18)=0,$A$18,MOD(D$18+INDEX(_xlfn.TEXTSPLIT(D120,",",),0,2)+$A$18,$A$18))/5,0)))</f>
        <v>2</v>
      </c>
      <c r="E22" s="1" cm="1">
        <f t="array" aca="1" ref="E22" ca="1">(INDEX($K$2:$T$11,ROUNDUP(IF(MOD($A22+INDEX(_xlfn.TEXTSPLIT(E77,",",),0,1)+$A$18,$A$18)=0,$A$18,MOD($A22+INDEX(_xlfn.TEXTSPLIT(E77,",",),0,1)+$A$18,$A$18))/4,0),ROUNDUP(IF(MOD(E$18+INDEX(_xlfn.TEXTSPLIT(E77,",",),0,2)+$A$18,$A$18)=0,$A$18,MOD(E$18+INDEX(_xlfn.TEXTSPLIT(E77,",",),0,2)+$A$18,$A$18))/4,0)))+(INDEX($AD$2:$AK$9,ROUNDUP(IF(MOD($A22+INDEX(_xlfn.TEXTSPLIT(E120,",",),0,1)+$A$18,$A$18)=0,$A$18,MOD($A22+INDEX(_xlfn.TEXTSPLIT(E120,",",),0,1)+$A$18,$A$18))/5,0),ROUNDUP(IF(MOD(E$18+INDEX(_xlfn.TEXTSPLIT(E120,",",),0,2)+$A$18,$A$18)=0,$A$18,MOD(E$18+INDEX(_xlfn.TEXTSPLIT(E120,",",),0,2)+$A$18,$A$18))/5,0)))</f>
        <v>6</v>
      </c>
      <c r="F22" s="1" cm="1">
        <f t="array" aca="1" ref="F22" ca="1">(INDEX($K$2:$T$11,ROUNDUP(IF(MOD($A22+INDEX(_xlfn.TEXTSPLIT(F77,",",),0,1)+$A$18,$A$18)=0,$A$18,MOD($A22+INDEX(_xlfn.TEXTSPLIT(F77,",",),0,1)+$A$18,$A$18))/4,0),ROUNDUP(IF(MOD(F$18+INDEX(_xlfn.TEXTSPLIT(F77,",",),0,2)+$A$18,$A$18)=0,$A$18,MOD(F$18+INDEX(_xlfn.TEXTSPLIT(F77,",",),0,2)+$A$18,$A$18))/4,0)))+(INDEX($AD$2:$AK$9,ROUNDUP(IF(MOD($A22+INDEX(_xlfn.TEXTSPLIT(F120,",",),0,1)+$A$18,$A$18)=0,$A$18,MOD($A22+INDEX(_xlfn.TEXTSPLIT(F120,",",),0,1)+$A$18,$A$18))/5,0),ROUNDUP(IF(MOD(F$18+INDEX(_xlfn.TEXTSPLIT(F120,",",),0,2)+$A$18,$A$18)=0,$A$18,MOD(F$18+INDEX(_xlfn.TEXTSPLIT(F120,",",),0,2)+$A$18,$A$18))/5,0)))</f>
        <v>6</v>
      </c>
      <c r="G22" s="1" cm="1">
        <f t="array" aca="1" ref="G22" ca="1">(INDEX($K$2:$T$11,ROUNDUP(IF(MOD($A22+INDEX(_xlfn.TEXTSPLIT(G77,",",),0,1)+$A$18,$A$18)=0,$A$18,MOD($A22+INDEX(_xlfn.TEXTSPLIT(G77,",",),0,1)+$A$18,$A$18))/4,0),ROUNDUP(IF(MOD(G$18+INDEX(_xlfn.TEXTSPLIT(G77,",",),0,2)+$A$18,$A$18)=0,$A$18,MOD(G$18+INDEX(_xlfn.TEXTSPLIT(G77,",",),0,2)+$A$18,$A$18))/4,0)))+(INDEX($AD$2:$AK$9,ROUNDUP(IF(MOD($A22+INDEX(_xlfn.TEXTSPLIT(G120,",",),0,1)+$A$18,$A$18)=0,$A$18,MOD($A22+INDEX(_xlfn.TEXTSPLIT(G120,",",),0,1)+$A$18,$A$18))/5,0),ROUNDUP(IF(MOD(G$18+INDEX(_xlfn.TEXTSPLIT(G120,",",),0,2)+$A$18,$A$18)=0,$A$18,MOD(G$18+INDEX(_xlfn.TEXTSPLIT(G120,",",),0,2)+$A$18,$A$18))/5,0)))</f>
        <v>6</v>
      </c>
      <c r="H22" s="1" cm="1">
        <f t="array" aca="1" ref="H22" ca="1">(INDEX($K$2:$T$11,ROUNDUP(IF(MOD($A22+INDEX(_xlfn.TEXTSPLIT(H77,",",),0,1)+$A$18,$A$18)=0,$A$18,MOD($A22+INDEX(_xlfn.TEXTSPLIT(H77,",",),0,1)+$A$18,$A$18))/4,0),ROUNDUP(IF(MOD(H$18+INDEX(_xlfn.TEXTSPLIT(H77,",",),0,2)+$A$18,$A$18)=0,$A$18,MOD(H$18+INDEX(_xlfn.TEXTSPLIT(H77,",",),0,2)+$A$18,$A$18))/4,0)))+(INDEX($AD$2:$AK$9,ROUNDUP(IF(MOD($A22+INDEX(_xlfn.TEXTSPLIT(H120,",",),0,1)+$A$18,$A$18)=0,$A$18,MOD($A22+INDEX(_xlfn.TEXTSPLIT(H120,",",),0,1)+$A$18,$A$18))/5,0),ROUNDUP(IF(MOD(H$18+INDEX(_xlfn.TEXTSPLIT(H120,",",),0,2)+$A$18,$A$18)=0,$A$18,MOD(H$18+INDEX(_xlfn.TEXTSPLIT(H120,",",),0,2)+$A$18,$A$18))/5,0)))</f>
        <v>5</v>
      </c>
      <c r="I22" s="1" cm="1">
        <f t="array" aca="1" ref="I22" ca="1">(INDEX($K$2:$T$11,ROUNDUP(IF(MOD($A22+INDEX(_xlfn.TEXTSPLIT(I77,",",),0,1)+$A$18,$A$18)=0,$A$18,MOD($A22+INDEX(_xlfn.TEXTSPLIT(I77,",",),0,1)+$A$18,$A$18))/4,0),ROUNDUP(IF(MOD(I$18+INDEX(_xlfn.TEXTSPLIT(I77,",",),0,2)+$A$18,$A$18)=0,$A$18,MOD(I$18+INDEX(_xlfn.TEXTSPLIT(I77,",",),0,2)+$A$18,$A$18))/4,0)))+(INDEX($AD$2:$AK$9,ROUNDUP(IF(MOD($A22+INDEX(_xlfn.TEXTSPLIT(I120,",",),0,1)+$A$18,$A$18)=0,$A$18,MOD($A22+INDEX(_xlfn.TEXTSPLIT(I120,",",),0,1)+$A$18,$A$18))/5,0),ROUNDUP(IF(MOD(I$18+INDEX(_xlfn.TEXTSPLIT(I120,",",),0,2)+$A$18,$A$18)=0,$A$18,MOD(I$18+INDEX(_xlfn.TEXTSPLIT(I120,",",),0,2)+$A$18,$A$18))/5,0)))</f>
        <v>5</v>
      </c>
      <c r="J22" s="1" cm="1">
        <f t="array" aca="1" ref="J22" ca="1">(INDEX($K$2:$T$11,ROUNDUP(IF(MOD($A22+INDEX(_xlfn.TEXTSPLIT(J77,",",),0,1)+$A$18,$A$18)=0,$A$18,MOD($A22+INDEX(_xlfn.TEXTSPLIT(J77,",",),0,1)+$A$18,$A$18))/4,0),ROUNDUP(IF(MOD(J$18+INDEX(_xlfn.TEXTSPLIT(J77,",",),0,2)+$A$18,$A$18)=0,$A$18,MOD(J$18+INDEX(_xlfn.TEXTSPLIT(J77,",",),0,2)+$A$18,$A$18))/4,0)))+(INDEX($AD$2:$AK$9,ROUNDUP(IF(MOD($A22+INDEX(_xlfn.TEXTSPLIT(J120,",",),0,1)+$A$18,$A$18)=0,$A$18,MOD($A22+INDEX(_xlfn.TEXTSPLIT(J120,",",),0,1)+$A$18,$A$18))/5,0),ROUNDUP(IF(MOD(J$18+INDEX(_xlfn.TEXTSPLIT(J120,",",),0,2)+$A$18,$A$18)=0,$A$18,MOD(J$18+INDEX(_xlfn.TEXTSPLIT(J120,",",),0,2)+$A$18,$A$18))/5,0)))</f>
        <v>5</v>
      </c>
      <c r="K22" s="1" cm="1">
        <f t="array" aca="1" ref="K22" ca="1">(INDEX($K$2:$T$11,ROUNDUP(IF(MOD($A22+INDEX(_xlfn.TEXTSPLIT(K77,",",),0,1)+$A$18,$A$18)=0,$A$18,MOD($A22+INDEX(_xlfn.TEXTSPLIT(K77,",",),0,1)+$A$18,$A$18))/4,0),ROUNDUP(IF(MOD(K$18+INDEX(_xlfn.TEXTSPLIT(K77,",",),0,2)+$A$18,$A$18)=0,$A$18,MOD(K$18+INDEX(_xlfn.TEXTSPLIT(K77,",",),0,2)+$A$18,$A$18))/4,0)))+(INDEX($AD$2:$AK$9,ROUNDUP(IF(MOD($A22+INDEX(_xlfn.TEXTSPLIT(K120,",",),0,1)+$A$18,$A$18)=0,$A$18,MOD($A22+INDEX(_xlfn.TEXTSPLIT(K120,",",),0,1)+$A$18,$A$18))/5,0),ROUNDUP(IF(MOD(K$18+INDEX(_xlfn.TEXTSPLIT(K120,",",),0,2)+$A$18,$A$18)=0,$A$18,MOD(K$18+INDEX(_xlfn.TEXTSPLIT(K120,",",),0,2)+$A$18,$A$18))/5,0)))</f>
        <v>8</v>
      </c>
      <c r="L22" s="1" cm="1">
        <f t="array" aca="1" ref="L22" ca="1">(INDEX($K$2:$T$11,ROUNDUP(IF(MOD($A22+INDEX(_xlfn.TEXTSPLIT(L77,",",),0,1)+$A$18,$A$18)=0,$A$18,MOD($A22+INDEX(_xlfn.TEXTSPLIT(L77,",",),0,1)+$A$18,$A$18))/4,0),ROUNDUP(IF(MOD(L$18+INDEX(_xlfn.TEXTSPLIT(L77,",",),0,2)+$A$18,$A$18)=0,$A$18,MOD(L$18+INDEX(_xlfn.TEXTSPLIT(L77,",",),0,2)+$A$18,$A$18))/4,0)))+(INDEX($AD$2:$AK$9,ROUNDUP(IF(MOD($A22+INDEX(_xlfn.TEXTSPLIT(L120,",",),0,1)+$A$18,$A$18)=0,$A$18,MOD($A22+INDEX(_xlfn.TEXTSPLIT(L120,",",),0,1)+$A$18,$A$18))/5,0),ROUNDUP(IF(MOD(L$18+INDEX(_xlfn.TEXTSPLIT(L120,",",),0,2)+$A$18,$A$18)=0,$A$18,MOD(L$18+INDEX(_xlfn.TEXTSPLIT(L120,",",),0,2)+$A$18,$A$18))/5,0)))</f>
        <v>8</v>
      </c>
      <c r="M22" s="1" cm="1">
        <f t="array" aca="1" ref="M22" ca="1">(INDEX($K$2:$T$11,ROUNDUP(IF(MOD($A22+INDEX(_xlfn.TEXTSPLIT(M77,",",),0,1)+$A$18,$A$18)=0,$A$18,MOD($A22+INDEX(_xlfn.TEXTSPLIT(M77,",",),0,1)+$A$18,$A$18))/4,0),ROUNDUP(IF(MOD(M$18+INDEX(_xlfn.TEXTSPLIT(M77,",",),0,2)+$A$18,$A$18)=0,$A$18,MOD(M$18+INDEX(_xlfn.TEXTSPLIT(M77,",",),0,2)+$A$18,$A$18))/4,0)))+(INDEX($AD$2:$AK$9,ROUNDUP(IF(MOD($A22+INDEX(_xlfn.TEXTSPLIT(M120,",",),0,1)+$A$18,$A$18)=0,$A$18,MOD($A22+INDEX(_xlfn.TEXTSPLIT(M120,",",),0,1)+$A$18,$A$18))/5,0),ROUNDUP(IF(MOD(M$18+INDEX(_xlfn.TEXTSPLIT(M120,",",),0,2)+$A$18,$A$18)=0,$A$18,MOD(M$18+INDEX(_xlfn.TEXTSPLIT(M120,",",),0,2)+$A$18,$A$18))/5,0)))</f>
        <v>8</v>
      </c>
      <c r="N22" s="1" cm="1">
        <f t="array" aca="1" ref="N22" ca="1">(INDEX($K$2:$T$11,ROUNDUP(IF(MOD($A22+INDEX(_xlfn.TEXTSPLIT(N77,",",),0,1)+$A$18,$A$18)=0,$A$18,MOD($A22+INDEX(_xlfn.TEXTSPLIT(N77,",",),0,1)+$A$18,$A$18))/4,0),ROUNDUP(IF(MOD(N$18+INDEX(_xlfn.TEXTSPLIT(N77,",",),0,2)+$A$18,$A$18)=0,$A$18,MOD(N$18+INDEX(_xlfn.TEXTSPLIT(N77,",",),0,2)+$A$18,$A$18))/4,0)))+(INDEX($AD$2:$AK$9,ROUNDUP(IF(MOD($A22+INDEX(_xlfn.TEXTSPLIT(N120,",",),0,1)+$A$18,$A$18)=0,$A$18,MOD($A22+INDEX(_xlfn.TEXTSPLIT(N120,",",),0,1)+$A$18,$A$18))/5,0),ROUNDUP(IF(MOD(N$18+INDEX(_xlfn.TEXTSPLIT(N120,",",),0,2)+$A$18,$A$18)=0,$A$18,MOD(N$18+INDEX(_xlfn.TEXTSPLIT(N120,",",),0,2)+$A$18,$A$18))/5,0)))</f>
        <v>8</v>
      </c>
      <c r="O22" s="1" cm="1">
        <f t="array" aca="1" ref="O22" ca="1">(INDEX($K$2:$T$11,ROUNDUP(IF(MOD($A22+INDEX(_xlfn.TEXTSPLIT(O77,",",),0,1)+$A$18,$A$18)=0,$A$18,MOD($A22+INDEX(_xlfn.TEXTSPLIT(O77,",",),0,1)+$A$18,$A$18))/4,0),ROUNDUP(IF(MOD(O$18+INDEX(_xlfn.TEXTSPLIT(O77,",",),0,2)+$A$18,$A$18)=0,$A$18,MOD(O$18+INDEX(_xlfn.TEXTSPLIT(O77,",",),0,2)+$A$18,$A$18))/4,0)))+(INDEX($AD$2:$AK$9,ROUNDUP(IF(MOD($A22+INDEX(_xlfn.TEXTSPLIT(O120,",",),0,1)+$A$18,$A$18)=0,$A$18,MOD($A22+INDEX(_xlfn.TEXTSPLIT(O120,",",),0,1)+$A$18,$A$18))/5,0),ROUNDUP(IF(MOD(O$18+INDEX(_xlfn.TEXTSPLIT(O120,",",),0,2)+$A$18,$A$18)=0,$A$18,MOD(O$18+INDEX(_xlfn.TEXTSPLIT(O120,",",),0,2)+$A$18,$A$18))/5,0)))</f>
        <v>8</v>
      </c>
      <c r="P22" s="1" cm="1">
        <f t="array" aca="1" ref="P22" ca="1">(INDEX($K$2:$T$11,ROUNDUP(IF(MOD($A22+INDEX(_xlfn.TEXTSPLIT(P77,",",),0,1)+$A$18,$A$18)=0,$A$18,MOD($A22+INDEX(_xlfn.TEXTSPLIT(P77,",",),0,1)+$A$18,$A$18))/4,0),ROUNDUP(IF(MOD(P$18+INDEX(_xlfn.TEXTSPLIT(P77,",",),0,2)+$A$18,$A$18)=0,$A$18,MOD(P$18+INDEX(_xlfn.TEXTSPLIT(P77,",",),0,2)+$A$18,$A$18))/4,0)))+(INDEX($AD$2:$AK$9,ROUNDUP(IF(MOD($A22+INDEX(_xlfn.TEXTSPLIT(P120,",",),0,1)+$A$18,$A$18)=0,$A$18,MOD($A22+INDEX(_xlfn.TEXTSPLIT(P120,",",),0,1)+$A$18,$A$18))/5,0),ROUNDUP(IF(MOD(P$18+INDEX(_xlfn.TEXTSPLIT(P120,",",),0,2)+$A$18,$A$18)=0,$A$18,MOD(P$18+INDEX(_xlfn.TEXTSPLIT(P120,",",),0,2)+$A$18,$A$18))/5,0)))</f>
        <v>8</v>
      </c>
      <c r="Q22" s="1" cm="1">
        <f t="array" aca="1" ref="Q22" ca="1">(INDEX($K$2:$T$11,ROUNDUP(IF(MOD($A22+INDEX(_xlfn.TEXTSPLIT(Q77,",",),0,1)+$A$18,$A$18)=0,$A$18,MOD($A22+INDEX(_xlfn.TEXTSPLIT(Q77,",",),0,1)+$A$18,$A$18))/4,0),ROUNDUP(IF(MOD(Q$18+INDEX(_xlfn.TEXTSPLIT(Q77,",",),0,2)+$A$18,$A$18)=0,$A$18,MOD(Q$18+INDEX(_xlfn.TEXTSPLIT(Q77,",",),0,2)+$A$18,$A$18))/4,0)))+(INDEX($AD$2:$AK$9,ROUNDUP(IF(MOD($A22+INDEX(_xlfn.TEXTSPLIT(Q120,",",),0,1)+$A$18,$A$18)=0,$A$18,MOD($A22+INDEX(_xlfn.TEXTSPLIT(Q120,",",),0,1)+$A$18,$A$18))/5,0),ROUNDUP(IF(MOD(Q$18+INDEX(_xlfn.TEXTSPLIT(Q120,",",),0,2)+$A$18,$A$18)=0,$A$18,MOD(Q$18+INDEX(_xlfn.TEXTSPLIT(Q120,",",),0,2)+$A$18,$A$18))/5,0)))</f>
        <v>8</v>
      </c>
      <c r="R22" s="1" cm="1">
        <f t="array" aca="1" ref="R22" ca="1">(INDEX($K$2:$T$11,ROUNDUP(IF(MOD($A22+INDEX(_xlfn.TEXTSPLIT(R77,",",),0,1)+$A$18,$A$18)=0,$A$18,MOD($A22+INDEX(_xlfn.TEXTSPLIT(R77,",",),0,1)+$A$18,$A$18))/4,0),ROUNDUP(IF(MOD(R$18+INDEX(_xlfn.TEXTSPLIT(R77,",",),0,2)+$A$18,$A$18)=0,$A$18,MOD(R$18+INDEX(_xlfn.TEXTSPLIT(R77,",",),0,2)+$A$18,$A$18))/4,0)))+(INDEX($AD$2:$AK$9,ROUNDUP(IF(MOD($A22+INDEX(_xlfn.TEXTSPLIT(R120,",",),0,1)+$A$18,$A$18)=0,$A$18,MOD($A22+INDEX(_xlfn.TEXTSPLIT(R120,",",),0,1)+$A$18,$A$18))/5,0),ROUNDUP(IF(MOD(R$18+INDEX(_xlfn.TEXTSPLIT(R120,",",),0,2)+$A$18,$A$18)=0,$A$18,MOD(R$18+INDEX(_xlfn.TEXTSPLIT(R120,",",),0,2)+$A$18,$A$18))/5,0)))</f>
        <v>5</v>
      </c>
      <c r="S22" s="1" cm="1">
        <f t="array" aca="1" ref="S22" ca="1">(INDEX($K$2:$T$11,ROUNDUP(IF(MOD($A22+INDEX(_xlfn.TEXTSPLIT(S77,",",),0,1)+$A$18,$A$18)=0,$A$18,MOD($A22+INDEX(_xlfn.TEXTSPLIT(S77,",",),0,1)+$A$18,$A$18))/4,0),ROUNDUP(IF(MOD(S$18+INDEX(_xlfn.TEXTSPLIT(S77,",",),0,2)+$A$18,$A$18)=0,$A$18,MOD(S$18+INDEX(_xlfn.TEXTSPLIT(S77,",",),0,2)+$A$18,$A$18))/4,0)))+(INDEX($AD$2:$AK$9,ROUNDUP(IF(MOD($A22+INDEX(_xlfn.TEXTSPLIT(S120,",",),0,1)+$A$18,$A$18)=0,$A$18,MOD($A22+INDEX(_xlfn.TEXTSPLIT(S120,",",),0,1)+$A$18,$A$18))/5,0),ROUNDUP(IF(MOD(S$18+INDEX(_xlfn.TEXTSPLIT(S120,",",),0,2)+$A$18,$A$18)=0,$A$18,MOD(S$18+INDEX(_xlfn.TEXTSPLIT(S120,",",),0,2)+$A$18,$A$18))/5,0)))</f>
        <v>5</v>
      </c>
      <c r="T22" s="1" cm="1">
        <f t="array" aca="1" ref="T22" ca="1">(INDEX($K$2:$T$11,ROUNDUP(IF(MOD($A22+INDEX(_xlfn.TEXTSPLIT(T77,",",),0,1)+$A$18,$A$18)=0,$A$18,MOD($A22+INDEX(_xlfn.TEXTSPLIT(T77,",",),0,1)+$A$18,$A$18))/4,0),ROUNDUP(IF(MOD(T$18+INDEX(_xlfn.TEXTSPLIT(T77,",",),0,2)+$A$18,$A$18)=0,$A$18,MOD(T$18+INDEX(_xlfn.TEXTSPLIT(T77,",",),0,2)+$A$18,$A$18))/4,0)))+(INDEX($AD$2:$AK$9,ROUNDUP(IF(MOD($A22+INDEX(_xlfn.TEXTSPLIT(T120,",",),0,1)+$A$18,$A$18)=0,$A$18,MOD($A22+INDEX(_xlfn.TEXTSPLIT(T120,",",),0,1)+$A$18,$A$18))/5,0),ROUNDUP(IF(MOD(T$18+INDEX(_xlfn.TEXTSPLIT(T120,",",),0,2)+$A$18,$A$18)=0,$A$18,MOD(T$18+INDEX(_xlfn.TEXTSPLIT(T120,",",),0,2)+$A$18,$A$18))/5,0)))</f>
        <v>5</v>
      </c>
      <c r="U22" s="1" cm="1">
        <f t="array" aca="1" ref="U22" ca="1">(INDEX($K$2:$T$11,ROUNDUP(IF(MOD($A22+INDEX(_xlfn.TEXTSPLIT(U77,",",),0,1)+$A$18,$A$18)=0,$A$18,MOD($A22+INDEX(_xlfn.TEXTSPLIT(U77,",",),0,1)+$A$18,$A$18))/4,0),ROUNDUP(IF(MOD(U$18+INDEX(_xlfn.TEXTSPLIT(U77,",",),0,2)+$A$18,$A$18)=0,$A$18,MOD(U$18+INDEX(_xlfn.TEXTSPLIT(U77,",",),0,2)+$A$18,$A$18))/4,0)))+(INDEX($AD$2:$AK$9,ROUNDUP(IF(MOD($A22+INDEX(_xlfn.TEXTSPLIT(U120,",",),0,1)+$A$18,$A$18)=0,$A$18,MOD($A22+INDEX(_xlfn.TEXTSPLIT(U120,",",),0,1)+$A$18,$A$18))/5,0),ROUNDUP(IF(MOD(U$18+INDEX(_xlfn.TEXTSPLIT(U120,",",),0,2)+$A$18,$A$18)=0,$A$18,MOD(U$18+INDEX(_xlfn.TEXTSPLIT(U120,",",),0,2)+$A$18,$A$18))/5,0)))</f>
        <v>5</v>
      </c>
      <c r="V22" s="1" cm="1">
        <f t="array" aca="1" ref="V22" ca="1">(INDEX($K$2:$T$11,ROUNDUP(IF(MOD($A22+INDEX(_xlfn.TEXTSPLIT(V77,",",),0,1)+$A$18,$A$18)=0,$A$18,MOD($A22+INDEX(_xlfn.TEXTSPLIT(V77,",",),0,1)+$A$18,$A$18))/4,0),ROUNDUP(IF(MOD(V$18+INDEX(_xlfn.TEXTSPLIT(V77,",",),0,2)+$A$18,$A$18)=0,$A$18,MOD(V$18+INDEX(_xlfn.TEXTSPLIT(V77,",",),0,2)+$A$18,$A$18))/4,0)))+(INDEX($AD$2:$AK$9,ROUNDUP(IF(MOD($A22+INDEX(_xlfn.TEXTSPLIT(V120,",",),0,1)+$A$18,$A$18)=0,$A$18,MOD($A22+INDEX(_xlfn.TEXTSPLIT(V120,",",),0,1)+$A$18,$A$18))/5,0),ROUNDUP(IF(MOD(V$18+INDEX(_xlfn.TEXTSPLIT(V120,",",),0,2)+$A$18,$A$18)=0,$A$18,MOD(V$18+INDEX(_xlfn.TEXTSPLIT(V120,",",),0,2)+$A$18,$A$18))/5,0)))</f>
        <v>8</v>
      </c>
      <c r="W22" s="1" cm="1">
        <f t="array" aca="1" ref="W22" ca="1">(INDEX($K$2:$T$11,ROUNDUP(IF(MOD($A22+INDEX(_xlfn.TEXTSPLIT(W77,",",),0,1)+$A$18,$A$18)=0,$A$18,MOD($A22+INDEX(_xlfn.TEXTSPLIT(W77,",",),0,1)+$A$18,$A$18))/4,0),ROUNDUP(IF(MOD(W$18+INDEX(_xlfn.TEXTSPLIT(W77,",",),0,2)+$A$18,$A$18)=0,$A$18,MOD(W$18+INDEX(_xlfn.TEXTSPLIT(W77,",",),0,2)+$A$18,$A$18))/4,0)))+(INDEX($AD$2:$AK$9,ROUNDUP(IF(MOD($A22+INDEX(_xlfn.TEXTSPLIT(W120,",",),0,1)+$A$18,$A$18)=0,$A$18,MOD($A22+INDEX(_xlfn.TEXTSPLIT(W120,",",),0,1)+$A$18,$A$18))/5,0),ROUNDUP(IF(MOD(W$18+INDEX(_xlfn.TEXTSPLIT(W120,",",),0,2)+$A$18,$A$18)=0,$A$18,MOD(W$18+INDEX(_xlfn.TEXTSPLIT(W120,",",),0,2)+$A$18,$A$18))/5,0)))</f>
        <v>8</v>
      </c>
      <c r="X22" s="1" cm="1">
        <f t="array" aca="1" ref="X22" ca="1">(INDEX($K$2:$T$11,ROUNDUP(IF(MOD($A22+INDEX(_xlfn.TEXTSPLIT(X77,",",),0,1)+$A$18,$A$18)=0,$A$18,MOD($A22+INDEX(_xlfn.TEXTSPLIT(X77,",",),0,1)+$A$18,$A$18))/4,0),ROUNDUP(IF(MOD(X$18+INDEX(_xlfn.TEXTSPLIT(X77,",",),0,2)+$A$18,$A$18)=0,$A$18,MOD(X$18+INDEX(_xlfn.TEXTSPLIT(X77,",",),0,2)+$A$18,$A$18))/4,0)))+(INDEX($AD$2:$AK$9,ROUNDUP(IF(MOD($A22+INDEX(_xlfn.TEXTSPLIT(X120,",",),0,1)+$A$18,$A$18)=0,$A$18,MOD($A22+INDEX(_xlfn.TEXTSPLIT(X120,",",),0,1)+$A$18,$A$18))/5,0),ROUNDUP(IF(MOD(X$18+INDEX(_xlfn.TEXTSPLIT(X120,",",),0,2)+$A$18,$A$18)=0,$A$18,MOD(X$18+INDEX(_xlfn.TEXTSPLIT(X120,",",),0,2)+$A$18,$A$18))/5,0)))</f>
        <v>8</v>
      </c>
      <c r="Y22" s="1" cm="1">
        <f t="array" aca="1" ref="Y22" ca="1">(INDEX($K$2:$T$11,ROUNDUP(IF(MOD($A22+INDEX(_xlfn.TEXTSPLIT(Y77,",",),0,1)+$A$18,$A$18)=0,$A$18,MOD($A22+INDEX(_xlfn.TEXTSPLIT(Y77,",",),0,1)+$A$18,$A$18))/4,0),ROUNDUP(IF(MOD(Y$18+INDEX(_xlfn.TEXTSPLIT(Y77,",",),0,2)+$A$18,$A$18)=0,$A$18,MOD(Y$18+INDEX(_xlfn.TEXTSPLIT(Y77,",",),0,2)+$A$18,$A$18))/4,0)))+(INDEX($AD$2:$AK$9,ROUNDUP(IF(MOD($A22+INDEX(_xlfn.TEXTSPLIT(Y120,",",),0,1)+$A$18,$A$18)=0,$A$18,MOD($A22+INDEX(_xlfn.TEXTSPLIT(Y120,",",),0,1)+$A$18,$A$18))/5,0),ROUNDUP(IF(MOD(Y$18+INDEX(_xlfn.TEXTSPLIT(Y120,",",),0,2)+$A$18,$A$18)=0,$A$18,MOD(Y$18+INDEX(_xlfn.TEXTSPLIT(Y120,",",),0,2)+$A$18,$A$18))/5,0)))</f>
        <v>8</v>
      </c>
      <c r="Z22" s="1" cm="1">
        <f t="array" aca="1" ref="Z22" ca="1">(INDEX($K$2:$T$11,ROUNDUP(IF(MOD($A22+INDEX(_xlfn.TEXTSPLIT(Z77,",",),0,1)+$A$18,$A$18)=0,$A$18,MOD($A22+INDEX(_xlfn.TEXTSPLIT(Z77,",",),0,1)+$A$18,$A$18))/4,0),ROUNDUP(IF(MOD(Z$18+INDEX(_xlfn.TEXTSPLIT(Z77,",",),0,2)+$A$18,$A$18)=0,$A$18,MOD(Z$18+INDEX(_xlfn.TEXTSPLIT(Z77,",",),0,2)+$A$18,$A$18))/4,0)))+(INDEX($AD$2:$AK$9,ROUNDUP(IF(MOD($A22+INDEX(_xlfn.TEXTSPLIT(Z120,",",),0,1)+$A$18,$A$18)=0,$A$18,MOD($A22+INDEX(_xlfn.TEXTSPLIT(Z120,",",),0,1)+$A$18,$A$18))/5,0),ROUNDUP(IF(MOD(Z$18+INDEX(_xlfn.TEXTSPLIT(Z120,",",),0,2)+$A$18,$A$18)=0,$A$18,MOD(Z$18+INDEX(_xlfn.TEXTSPLIT(Z120,",",),0,2)+$A$18,$A$18))/5,0)))</f>
        <v>8</v>
      </c>
      <c r="AA22" s="1" cm="1">
        <f t="array" aca="1" ref="AA22" ca="1">(INDEX($K$2:$T$11,ROUNDUP(IF(MOD($A22+INDEX(_xlfn.TEXTSPLIT(AA77,",",),0,1)+$A$18,$A$18)=0,$A$18,MOD($A22+INDEX(_xlfn.TEXTSPLIT(AA77,",",),0,1)+$A$18,$A$18))/4,0),ROUNDUP(IF(MOD(AA$18+INDEX(_xlfn.TEXTSPLIT(AA77,",",),0,2)+$A$18,$A$18)=0,$A$18,MOD(AA$18+INDEX(_xlfn.TEXTSPLIT(AA77,",",),0,2)+$A$18,$A$18))/4,0)))+(INDEX($AD$2:$AK$9,ROUNDUP(IF(MOD($A22+INDEX(_xlfn.TEXTSPLIT(AA120,",",),0,1)+$A$18,$A$18)=0,$A$18,MOD($A22+INDEX(_xlfn.TEXTSPLIT(AA120,",",),0,1)+$A$18,$A$18))/5,0),ROUNDUP(IF(MOD(AA$18+INDEX(_xlfn.TEXTSPLIT(AA120,",",),0,2)+$A$18,$A$18)=0,$A$18,MOD(AA$18+INDEX(_xlfn.TEXTSPLIT(AA120,",",),0,2)+$A$18,$A$18))/5,0)))</f>
        <v>6</v>
      </c>
      <c r="AB22" s="1" cm="1">
        <f t="array" aca="1" ref="AB22" ca="1">(INDEX($K$2:$T$11,ROUNDUP(IF(MOD($A22+INDEX(_xlfn.TEXTSPLIT(AB77,",",),0,1)+$A$18,$A$18)=0,$A$18,MOD($A22+INDEX(_xlfn.TEXTSPLIT(AB77,",",),0,1)+$A$18,$A$18))/4,0),ROUNDUP(IF(MOD(AB$18+INDEX(_xlfn.TEXTSPLIT(AB77,",",),0,2)+$A$18,$A$18)=0,$A$18,MOD(AB$18+INDEX(_xlfn.TEXTSPLIT(AB77,",",),0,2)+$A$18,$A$18))/4,0)))+(INDEX($AD$2:$AK$9,ROUNDUP(IF(MOD($A22+INDEX(_xlfn.TEXTSPLIT(AB120,",",),0,1)+$A$18,$A$18)=0,$A$18,MOD($A22+INDEX(_xlfn.TEXTSPLIT(AB120,",",),0,1)+$A$18,$A$18))/5,0),ROUNDUP(IF(MOD(AB$18+INDEX(_xlfn.TEXTSPLIT(AB120,",",),0,2)+$A$18,$A$18)=0,$A$18,MOD(AB$18+INDEX(_xlfn.TEXTSPLIT(AB120,",",),0,2)+$A$18,$A$18))/5,0)))</f>
        <v>6</v>
      </c>
      <c r="AC22" s="1" cm="1">
        <f t="array" aca="1" ref="AC22" ca="1">(INDEX($K$2:$T$11,ROUNDUP(IF(MOD($A22+INDEX(_xlfn.TEXTSPLIT(AC77,",",),0,1)+$A$18,$A$18)=0,$A$18,MOD($A22+INDEX(_xlfn.TEXTSPLIT(AC77,",",),0,1)+$A$18,$A$18))/4,0),ROUNDUP(IF(MOD(AC$18+INDEX(_xlfn.TEXTSPLIT(AC77,",",),0,2)+$A$18,$A$18)=0,$A$18,MOD(AC$18+INDEX(_xlfn.TEXTSPLIT(AC77,",",),0,2)+$A$18,$A$18))/4,0)))+(INDEX($AD$2:$AK$9,ROUNDUP(IF(MOD($A22+INDEX(_xlfn.TEXTSPLIT(AC120,",",),0,1)+$A$18,$A$18)=0,$A$18,MOD($A22+INDEX(_xlfn.TEXTSPLIT(AC120,",",),0,1)+$A$18,$A$18))/5,0),ROUNDUP(IF(MOD(AC$18+INDEX(_xlfn.TEXTSPLIT(AC120,",",),0,2)+$A$18,$A$18)=0,$A$18,MOD(AC$18+INDEX(_xlfn.TEXTSPLIT(AC120,",",),0,2)+$A$18,$A$18))/5,0)))</f>
        <v>6</v>
      </c>
      <c r="AD22" s="1" cm="1">
        <f t="array" aca="1" ref="AD22" ca="1">(INDEX($K$2:$T$11,ROUNDUP(IF(MOD($A22+INDEX(_xlfn.TEXTSPLIT(AD77,",",),0,1)+$A$18,$A$18)=0,$A$18,MOD($A22+INDEX(_xlfn.TEXTSPLIT(AD77,",",),0,1)+$A$18,$A$18))/4,0),ROUNDUP(IF(MOD(AD$18+INDEX(_xlfn.TEXTSPLIT(AD77,",",),0,2)+$A$18,$A$18)=0,$A$18,MOD(AD$18+INDEX(_xlfn.TEXTSPLIT(AD77,",",),0,2)+$A$18,$A$18))/4,0)))+(INDEX($AD$2:$AK$9,ROUNDUP(IF(MOD($A22+INDEX(_xlfn.TEXTSPLIT(AD120,",",),0,1)+$A$18,$A$18)=0,$A$18,MOD($A22+INDEX(_xlfn.TEXTSPLIT(AD120,",",),0,1)+$A$18,$A$18))/5,0),ROUNDUP(IF(MOD(AD$18+INDEX(_xlfn.TEXTSPLIT(AD120,",",),0,2)+$A$18,$A$18)=0,$A$18,MOD(AD$18+INDEX(_xlfn.TEXTSPLIT(AD120,",",),0,2)+$A$18,$A$18))/5,0)))</f>
        <v>6</v>
      </c>
      <c r="AE22" s="1" cm="1">
        <f t="array" aca="1" ref="AE22" ca="1">(INDEX($K$2:$T$11,ROUNDUP(IF(MOD($A22+INDEX(_xlfn.TEXTSPLIT(AE77,",",),0,1)+$A$18,$A$18)=0,$A$18,MOD($A22+INDEX(_xlfn.TEXTSPLIT(AE77,",",),0,1)+$A$18,$A$18))/4,0),ROUNDUP(IF(MOD(AE$18+INDEX(_xlfn.TEXTSPLIT(AE77,",",),0,2)+$A$18,$A$18)=0,$A$18,MOD(AE$18+INDEX(_xlfn.TEXTSPLIT(AE77,",",),0,2)+$A$18,$A$18))/4,0)))+(INDEX($AD$2:$AK$9,ROUNDUP(IF(MOD($A22+INDEX(_xlfn.TEXTSPLIT(AE120,",",),0,1)+$A$18,$A$18)=0,$A$18,MOD($A22+INDEX(_xlfn.TEXTSPLIT(AE120,",",),0,1)+$A$18,$A$18))/5,0),ROUNDUP(IF(MOD(AE$18+INDEX(_xlfn.TEXTSPLIT(AE120,",",),0,2)+$A$18,$A$18)=0,$A$18,MOD(AE$18+INDEX(_xlfn.TEXTSPLIT(AE120,",",),0,2)+$A$18,$A$18))/5,0)))</f>
        <v>4</v>
      </c>
      <c r="AF22" s="1" cm="1">
        <f t="array" aca="1" ref="AF22" ca="1">(INDEX($K$2:$T$11,ROUNDUP(IF(MOD($A22+INDEX(_xlfn.TEXTSPLIT(AF77,",",),0,1)+$A$18,$A$18)=0,$A$18,MOD($A22+INDEX(_xlfn.TEXTSPLIT(AF77,",",),0,1)+$A$18,$A$18))/4,0),ROUNDUP(IF(MOD(AF$18+INDEX(_xlfn.TEXTSPLIT(AF77,",",),0,2)+$A$18,$A$18)=0,$A$18,MOD(AF$18+INDEX(_xlfn.TEXTSPLIT(AF77,",",),0,2)+$A$18,$A$18))/4,0)))+(INDEX($AD$2:$AK$9,ROUNDUP(IF(MOD($A22+INDEX(_xlfn.TEXTSPLIT(AF120,",",),0,1)+$A$18,$A$18)=0,$A$18,MOD($A22+INDEX(_xlfn.TEXTSPLIT(AF120,",",),0,1)+$A$18,$A$18))/5,0),ROUNDUP(IF(MOD(AF$18+INDEX(_xlfn.TEXTSPLIT(AF120,",",),0,2)+$A$18,$A$18)=0,$A$18,MOD(AF$18+INDEX(_xlfn.TEXTSPLIT(AF120,",",),0,2)+$A$18,$A$18))/5,0)))</f>
        <v>4</v>
      </c>
      <c r="AG22" s="1" cm="1">
        <f t="array" aca="1" ref="AG22" ca="1">(INDEX($K$2:$T$11,ROUNDUP(IF(MOD($A22+INDEX(_xlfn.TEXTSPLIT(AG77,",",),0,1)+$A$18,$A$18)=0,$A$18,MOD($A22+INDEX(_xlfn.TEXTSPLIT(AG77,",",),0,1)+$A$18,$A$18))/4,0),ROUNDUP(IF(MOD(AG$18+INDEX(_xlfn.TEXTSPLIT(AG77,",",),0,2)+$A$18,$A$18)=0,$A$18,MOD(AG$18+INDEX(_xlfn.TEXTSPLIT(AG77,",",),0,2)+$A$18,$A$18))/4,0)))+(INDEX($AD$2:$AK$9,ROUNDUP(IF(MOD($A22+INDEX(_xlfn.TEXTSPLIT(AG120,",",),0,1)+$A$18,$A$18)=0,$A$18,MOD($A22+INDEX(_xlfn.TEXTSPLIT(AG120,",",),0,1)+$A$18,$A$18))/5,0),ROUNDUP(IF(MOD(AG$18+INDEX(_xlfn.TEXTSPLIT(AG120,",",),0,2)+$A$18,$A$18)=0,$A$18,MOD(AG$18+INDEX(_xlfn.TEXTSPLIT(AG120,",",),0,2)+$A$18,$A$18))/5,0)))</f>
        <v>4</v>
      </c>
      <c r="AH22" s="1" cm="1">
        <f t="array" aca="1" ref="AH22" ca="1">(INDEX($K$2:$T$11,ROUNDUP(IF(MOD($A22+INDEX(_xlfn.TEXTSPLIT(AH77,",",),0,1)+$A$18,$A$18)=0,$A$18,MOD($A22+INDEX(_xlfn.TEXTSPLIT(AH77,",",),0,1)+$A$18,$A$18))/4,0),ROUNDUP(IF(MOD(AH$18+INDEX(_xlfn.TEXTSPLIT(AH77,",",),0,2)+$A$18,$A$18)=0,$A$18,MOD(AH$18+INDEX(_xlfn.TEXTSPLIT(AH77,",",),0,2)+$A$18,$A$18))/4,0)))+(INDEX($AD$2:$AK$9,ROUNDUP(IF(MOD($A22+INDEX(_xlfn.TEXTSPLIT(AH120,",",),0,1)+$A$18,$A$18)=0,$A$18,MOD($A22+INDEX(_xlfn.TEXTSPLIT(AH120,",",),0,1)+$A$18,$A$18))/5,0),ROUNDUP(IF(MOD(AH$18+INDEX(_xlfn.TEXTSPLIT(AH120,",",),0,2)+$A$18,$A$18)=0,$A$18,MOD(AH$18+INDEX(_xlfn.TEXTSPLIT(AH120,",",),0,2)+$A$18,$A$18))/5,0)))</f>
        <v>4</v>
      </c>
      <c r="AI22" s="1" cm="1">
        <f t="array" aca="1" ref="AI22" ca="1">(INDEX($K$2:$T$11,ROUNDUP(IF(MOD($A22+INDEX(_xlfn.TEXTSPLIT(AI77,",",),0,1)+$A$18,$A$18)=0,$A$18,MOD($A22+INDEX(_xlfn.TEXTSPLIT(AI77,",",),0,1)+$A$18,$A$18))/4,0),ROUNDUP(IF(MOD(AI$18+INDEX(_xlfn.TEXTSPLIT(AI77,",",),0,2)+$A$18,$A$18)=0,$A$18,MOD(AI$18+INDEX(_xlfn.TEXTSPLIT(AI77,",",),0,2)+$A$18,$A$18))/4,0)))+(INDEX($AD$2:$AK$9,ROUNDUP(IF(MOD($A22+INDEX(_xlfn.TEXTSPLIT(AI120,",",),0,1)+$A$18,$A$18)=0,$A$18,MOD($A22+INDEX(_xlfn.TEXTSPLIT(AI120,",",),0,1)+$A$18,$A$18))/5,0),ROUNDUP(IF(MOD(AI$18+INDEX(_xlfn.TEXTSPLIT(AI120,",",),0,2)+$A$18,$A$18)=0,$A$18,MOD(AI$18+INDEX(_xlfn.TEXTSPLIT(AI120,",",),0,2)+$A$18,$A$18))/5,0)))</f>
        <v>4</v>
      </c>
      <c r="AJ22" s="1" cm="1">
        <f t="array" aca="1" ref="AJ22" ca="1">(INDEX($K$2:$T$11,ROUNDUP(IF(MOD($A22+INDEX(_xlfn.TEXTSPLIT(AJ77,",",),0,1)+$A$18,$A$18)=0,$A$18,MOD($A22+INDEX(_xlfn.TEXTSPLIT(AJ77,",",),0,1)+$A$18,$A$18))/4,0),ROUNDUP(IF(MOD(AJ$18+INDEX(_xlfn.TEXTSPLIT(AJ77,",",),0,2)+$A$18,$A$18)=0,$A$18,MOD(AJ$18+INDEX(_xlfn.TEXTSPLIT(AJ77,",",),0,2)+$A$18,$A$18))/4,0)))+(INDEX($AD$2:$AK$9,ROUNDUP(IF(MOD($A22+INDEX(_xlfn.TEXTSPLIT(AJ120,",",),0,1)+$A$18,$A$18)=0,$A$18,MOD($A22+INDEX(_xlfn.TEXTSPLIT(AJ120,",",),0,1)+$A$18,$A$18))/5,0),ROUNDUP(IF(MOD(AJ$18+INDEX(_xlfn.TEXTSPLIT(AJ120,",",),0,2)+$A$18,$A$18)=0,$A$18,MOD(AJ$18+INDEX(_xlfn.TEXTSPLIT(AJ120,",",),0,2)+$A$18,$A$18))/5,0)))</f>
        <v>2</v>
      </c>
      <c r="AK22" s="1" cm="1">
        <f t="array" aca="1" ref="AK22" ca="1">(INDEX($K$2:$T$11,ROUNDUP(IF(MOD($A22+INDEX(_xlfn.TEXTSPLIT(AK77,",",),0,1)+$A$18,$A$18)=0,$A$18,MOD($A22+INDEX(_xlfn.TEXTSPLIT(AK77,",",),0,1)+$A$18,$A$18))/4,0),ROUNDUP(IF(MOD(AK$18+INDEX(_xlfn.TEXTSPLIT(AK77,",",),0,2)+$A$18,$A$18)=0,$A$18,MOD(AK$18+INDEX(_xlfn.TEXTSPLIT(AK77,",",),0,2)+$A$18,$A$18))/4,0)))+(INDEX($AD$2:$AK$9,ROUNDUP(IF(MOD($A22+INDEX(_xlfn.TEXTSPLIT(AK120,",",),0,1)+$A$18,$A$18)=0,$A$18,MOD($A22+INDEX(_xlfn.TEXTSPLIT(AK120,",",),0,1)+$A$18,$A$18))/5,0),ROUNDUP(IF(MOD(AK$18+INDEX(_xlfn.TEXTSPLIT(AK120,",",),0,2)+$A$18,$A$18)=0,$A$18,MOD(AK$18+INDEX(_xlfn.TEXTSPLIT(AK120,",",),0,2)+$A$18,$A$18))/5,0)))</f>
        <v>4</v>
      </c>
      <c r="AL22" s="1" cm="1">
        <f t="array" aca="1" ref="AL22" ca="1">(INDEX($K$2:$T$11,ROUNDUP(IF(MOD($A22+INDEX(_xlfn.TEXTSPLIT(AL77,",",),0,1)+$A$18,$A$18)=0,$A$18,MOD($A22+INDEX(_xlfn.TEXTSPLIT(AL77,",",),0,1)+$A$18,$A$18))/4,0),ROUNDUP(IF(MOD(AL$18+INDEX(_xlfn.TEXTSPLIT(AL77,",",),0,2)+$A$18,$A$18)=0,$A$18,MOD(AL$18+INDEX(_xlfn.TEXTSPLIT(AL77,",",),0,2)+$A$18,$A$18))/4,0)))+(INDEX($AD$2:$AK$9,ROUNDUP(IF(MOD($A22+INDEX(_xlfn.TEXTSPLIT(AL120,",",),0,1)+$A$18,$A$18)=0,$A$18,MOD($A22+INDEX(_xlfn.TEXTSPLIT(AL120,",",),0,1)+$A$18,$A$18))/5,0),ROUNDUP(IF(MOD(AL$18+INDEX(_xlfn.TEXTSPLIT(AL120,",",),0,2)+$A$18,$A$18)=0,$A$18,MOD(AL$18+INDEX(_xlfn.TEXTSPLIT(AL120,",",),0,2)+$A$18,$A$18))/5,0)))</f>
        <v>2</v>
      </c>
      <c r="AM22" s="1" cm="1">
        <f t="array" aca="1" ref="AM22" ca="1">(INDEX($K$2:$T$11,ROUNDUP(IF(MOD($A22+INDEX(_xlfn.TEXTSPLIT(AM77,",",),0,1)+$A$18,$A$18)=0,$A$18,MOD($A22+INDEX(_xlfn.TEXTSPLIT(AM77,",",),0,1)+$A$18,$A$18))/4,0),ROUNDUP(IF(MOD(AM$18+INDEX(_xlfn.TEXTSPLIT(AM77,",",),0,2)+$A$18,$A$18)=0,$A$18,MOD(AM$18+INDEX(_xlfn.TEXTSPLIT(AM77,",",),0,2)+$A$18,$A$18))/4,0)))+(INDEX($AD$2:$AK$9,ROUNDUP(IF(MOD($A22+INDEX(_xlfn.TEXTSPLIT(AM120,",",),0,1)+$A$18,$A$18)=0,$A$18,MOD($A22+INDEX(_xlfn.TEXTSPLIT(AM120,",",),0,1)+$A$18,$A$18))/5,0),ROUNDUP(IF(MOD(AM$18+INDEX(_xlfn.TEXTSPLIT(AM120,",",),0,2)+$A$18,$A$18)=0,$A$18,MOD(AM$18+INDEX(_xlfn.TEXTSPLIT(AM120,",",),0,2)+$A$18,$A$18))/5,0)))</f>
        <v>6</v>
      </c>
      <c r="AN22" s="1" cm="1">
        <f t="array" aca="1" ref="AN22" ca="1">(INDEX($K$2:$T$11,ROUNDUP(IF(MOD($A22+INDEX(_xlfn.TEXTSPLIT(AN77,",",),0,1)+$A$18,$A$18)=0,$A$18,MOD($A22+INDEX(_xlfn.TEXTSPLIT(AN77,",",),0,1)+$A$18,$A$18))/4,0),ROUNDUP(IF(MOD(AN$18+INDEX(_xlfn.TEXTSPLIT(AN77,",",),0,2)+$A$18,$A$18)=0,$A$18,MOD(AN$18+INDEX(_xlfn.TEXTSPLIT(AN77,",",),0,2)+$A$18,$A$18))/4,0)))+(INDEX($AD$2:$AK$9,ROUNDUP(IF(MOD($A22+INDEX(_xlfn.TEXTSPLIT(AN120,",",),0,1)+$A$18,$A$18)=0,$A$18,MOD($A22+INDEX(_xlfn.TEXTSPLIT(AN120,",",),0,1)+$A$18,$A$18))/5,0),ROUNDUP(IF(MOD(AN$18+INDEX(_xlfn.TEXTSPLIT(AN120,",",),0,2)+$A$18,$A$18)=0,$A$18,MOD(AN$18+INDEX(_xlfn.TEXTSPLIT(AN120,",",),0,2)+$A$18,$A$18))/5,0)))</f>
        <v>2</v>
      </c>
      <c r="AO22" s="1" cm="1">
        <f t="array" aca="1" ref="AO22" ca="1">(INDEX($K$2:$T$11,ROUNDUP(IF(MOD($A22+INDEX(_xlfn.TEXTSPLIT(AO77,",",),0,1)+$A$18,$A$18)=0,$A$18,MOD($A22+INDEX(_xlfn.TEXTSPLIT(AO77,",",),0,1)+$A$18,$A$18))/4,0),ROUNDUP(IF(MOD(AO$18+INDEX(_xlfn.TEXTSPLIT(AO77,",",),0,2)+$A$18,$A$18)=0,$A$18,MOD(AO$18+INDEX(_xlfn.TEXTSPLIT(AO77,",",),0,2)+$A$18,$A$18))/4,0)))+(INDEX($AD$2:$AK$9,ROUNDUP(IF(MOD($A22+INDEX(_xlfn.TEXTSPLIT(AO120,",",),0,1)+$A$18,$A$18)=0,$A$18,MOD($A22+INDEX(_xlfn.TEXTSPLIT(AO120,",",),0,1)+$A$18,$A$18))/5,0),ROUNDUP(IF(MOD(AO$18+INDEX(_xlfn.TEXTSPLIT(AO120,",",),0,2)+$A$18,$A$18)=0,$A$18,MOD(AO$18+INDEX(_xlfn.TEXTSPLIT(AO120,",",),0,2)+$A$18,$A$18))/5,0)))</f>
        <v>2</v>
      </c>
    </row>
    <row r="23" spans="1:41" ht="12.75">
      <c r="A23" s="1">
        <v>5</v>
      </c>
      <c r="B23" s="1" cm="1">
        <f t="array" aca="1" ref="B23" ca="1">(INDEX($K$2:$T$11,ROUNDUP(IF(MOD($A23+INDEX(_xlfn.TEXTSPLIT(B78,",",),0,1)+$A$18,$A$18)=0,$A$18,MOD($A23+INDEX(_xlfn.TEXTSPLIT(B78,",",),0,1)+$A$18,$A$18))/4,0),ROUNDUP(IF(MOD(B$18+INDEX(_xlfn.TEXTSPLIT(B78,",",),0,2)+$A$18,$A$18)=0,$A$18,MOD(B$18+INDEX(_xlfn.TEXTSPLIT(B78,",",),0,2)+$A$18,$A$18))/4,0)))+(INDEX($AD$2:$AK$9,ROUNDUP(IF(MOD($A23+INDEX(_xlfn.TEXTSPLIT(B121,",",),0,1)+$A$18,$A$18)=0,$A$18,MOD($A23+INDEX(_xlfn.TEXTSPLIT(B121,",",),0,1)+$A$18,$A$18))/5,0),ROUNDUP(IF(MOD(B$18+INDEX(_xlfn.TEXTSPLIT(B121,",",),0,2)+$A$18,$A$18)=0,$A$18,MOD(B$18+INDEX(_xlfn.TEXTSPLIT(B121,",",),0,2)+$A$18,$A$18))/5,0)))</f>
        <v>6</v>
      </c>
      <c r="C23" s="1" cm="1">
        <f t="array" aca="1" ref="C23" ca="1">(INDEX($K$2:$T$11,ROUNDUP(IF(MOD($A23+INDEX(_xlfn.TEXTSPLIT(C78,",",),0,1)+$A$18,$A$18)=0,$A$18,MOD($A23+INDEX(_xlfn.TEXTSPLIT(C78,",",),0,1)+$A$18,$A$18))/4,0),ROUNDUP(IF(MOD(C$18+INDEX(_xlfn.TEXTSPLIT(C78,",",),0,2)+$A$18,$A$18)=0,$A$18,MOD(C$18+INDEX(_xlfn.TEXTSPLIT(C78,",",),0,2)+$A$18,$A$18))/4,0)))+(INDEX($AD$2:$AK$9,ROUNDUP(IF(MOD($A23+INDEX(_xlfn.TEXTSPLIT(C121,",",),0,1)+$A$18,$A$18)=0,$A$18,MOD($A23+INDEX(_xlfn.TEXTSPLIT(C121,",",),0,1)+$A$18,$A$18))/5,0),ROUNDUP(IF(MOD(C$18+INDEX(_xlfn.TEXTSPLIT(C121,",",),0,2)+$A$18,$A$18)=0,$A$18,MOD(C$18+INDEX(_xlfn.TEXTSPLIT(C121,",",),0,2)+$A$18,$A$18))/5,0)))</f>
        <v>6</v>
      </c>
      <c r="D23" s="1" cm="1">
        <f t="array" aca="1" ref="D23" ca="1">(INDEX($K$2:$T$11,ROUNDUP(IF(MOD($A23+INDEX(_xlfn.TEXTSPLIT(D78,",",),0,1)+$A$18,$A$18)=0,$A$18,MOD($A23+INDEX(_xlfn.TEXTSPLIT(D78,",",),0,1)+$A$18,$A$18))/4,0),ROUNDUP(IF(MOD(D$18+INDEX(_xlfn.TEXTSPLIT(D78,",",),0,2)+$A$18,$A$18)=0,$A$18,MOD(D$18+INDEX(_xlfn.TEXTSPLIT(D78,",",),0,2)+$A$18,$A$18))/4,0)))+(INDEX($AD$2:$AK$9,ROUNDUP(IF(MOD($A23+INDEX(_xlfn.TEXTSPLIT(D121,",",),0,1)+$A$18,$A$18)=0,$A$18,MOD($A23+INDEX(_xlfn.TEXTSPLIT(D121,",",),0,1)+$A$18,$A$18))/5,0),ROUNDUP(IF(MOD(D$18+INDEX(_xlfn.TEXTSPLIT(D121,",",),0,2)+$A$18,$A$18)=0,$A$18,MOD(D$18+INDEX(_xlfn.TEXTSPLIT(D121,",",),0,2)+$A$18,$A$18))/5,0)))</f>
        <v>2</v>
      </c>
      <c r="E23" s="1" cm="1">
        <f t="array" aca="1" ref="E23" ca="1">(INDEX($K$2:$T$11,ROUNDUP(IF(MOD($A23+INDEX(_xlfn.TEXTSPLIT(E78,",",),0,1)+$A$18,$A$18)=0,$A$18,MOD($A23+INDEX(_xlfn.TEXTSPLIT(E78,",",),0,1)+$A$18,$A$18))/4,0),ROUNDUP(IF(MOD(E$18+INDEX(_xlfn.TEXTSPLIT(E78,",",),0,2)+$A$18,$A$18)=0,$A$18,MOD(E$18+INDEX(_xlfn.TEXTSPLIT(E78,",",),0,2)+$A$18,$A$18))/4,0)))+(INDEX($AD$2:$AK$9,ROUNDUP(IF(MOD($A23+INDEX(_xlfn.TEXTSPLIT(E121,",",),0,1)+$A$18,$A$18)=0,$A$18,MOD($A23+INDEX(_xlfn.TEXTSPLIT(E121,",",),0,1)+$A$18,$A$18))/5,0),ROUNDUP(IF(MOD(E$18+INDEX(_xlfn.TEXTSPLIT(E121,",",),0,2)+$A$18,$A$18)=0,$A$18,MOD(E$18+INDEX(_xlfn.TEXTSPLIT(E121,",",),0,2)+$A$18,$A$18))/5,0)))</f>
        <v>1</v>
      </c>
      <c r="F23" s="1" cm="1">
        <f t="array" aca="1" ref="F23" ca="1">(INDEX($K$2:$T$11,ROUNDUP(IF(MOD($A23+INDEX(_xlfn.TEXTSPLIT(F78,",",),0,1)+$A$18,$A$18)=0,$A$18,MOD($A23+INDEX(_xlfn.TEXTSPLIT(F78,",",),0,1)+$A$18,$A$18))/4,0),ROUNDUP(IF(MOD(F$18+INDEX(_xlfn.TEXTSPLIT(F78,",",),0,2)+$A$18,$A$18)=0,$A$18,MOD(F$18+INDEX(_xlfn.TEXTSPLIT(F78,",",),0,2)+$A$18,$A$18))/4,0)))+(INDEX($AD$2:$AK$9,ROUNDUP(IF(MOD($A23+INDEX(_xlfn.TEXTSPLIT(F121,",",),0,1)+$A$18,$A$18)=0,$A$18,MOD($A23+INDEX(_xlfn.TEXTSPLIT(F121,",",),0,1)+$A$18,$A$18))/5,0),ROUNDUP(IF(MOD(F$18+INDEX(_xlfn.TEXTSPLIT(F121,",",),0,2)+$A$18,$A$18)=0,$A$18,MOD(F$18+INDEX(_xlfn.TEXTSPLIT(F121,",",),0,2)+$A$18,$A$18))/5,0)))</f>
        <v>5</v>
      </c>
      <c r="G23" s="1" cm="1">
        <f t="array" aca="1" ref="G23" ca="1">(INDEX($K$2:$T$11,ROUNDUP(IF(MOD($A23+INDEX(_xlfn.TEXTSPLIT(G78,",",),0,1)+$A$18,$A$18)=0,$A$18,MOD($A23+INDEX(_xlfn.TEXTSPLIT(G78,",",),0,1)+$A$18,$A$18))/4,0),ROUNDUP(IF(MOD(G$18+INDEX(_xlfn.TEXTSPLIT(G78,",",),0,2)+$A$18,$A$18)=0,$A$18,MOD(G$18+INDEX(_xlfn.TEXTSPLIT(G78,",",),0,2)+$A$18,$A$18))/4,0)))+(INDEX($AD$2:$AK$9,ROUNDUP(IF(MOD($A23+INDEX(_xlfn.TEXTSPLIT(G121,",",),0,1)+$A$18,$A$18)=0,$A$18,MOD($A23+INDEX(_xlfn.TEXTSPLIT(G121,",",),0,1)+$A$18,$A$18))/5,0),ROUNDUP(IF(MOD(G$18+INDEX(_xlfn.TEXTSPLIT(G121,",",),0,2)+$A$18,$A$18)=0,$A$18,MOD(G$18+INDEX(_xlfn.TEXTSPLIT(G121,",",),0,2)+$A$18,$A$18))/5,0)))</f>
        <v>8</v>
      </c>
      <c r="H23" s="1" cm="1">
        <f t="array" aca="1" ref="H23" ca="1">(INDEX($K$2:$T$11,ROUNDUP(IF(MOD($A23+INDEX(_xlfn.TEXTSPLIT(H78,",",),0,1)+$A$18,$A$18)=0,$A$18,MOD($A23+INDEX(_xlfn.TEXTSPLIT(H78,",",),0,1)+$A$18,$A$18))/4,0),ROUNDUP(IF(MOD(H$18+INDEX(_xlfn.TEXTSPLIT(H78,",",),0,2)+$A$18,$A$18)=0,$A$18,MOD(H$18+INDEX(_xlfn.TEXTSPLIT(H78,",",),0,2)+$A$18,$A$18))/4,0)))+(INDEX($AD$2:$AK$9,ROUNDUP(IF(MOD($A23+INDEX(_xlfn.TEXTSPLIT(H121,",",),0,1)+$A$18,$A$18)=0,$A$18,MOD($A23+INDEX(_xlfn.TEXTSPLIT(H121,",",),0,1)+$A$18,$A$18))/5,0),ROUNDUP(IF(MOD(H$18+INDEX(_xlfn.TEXTSPLIT(H121,",",),0,2)+$A$18,$A$18)=0,$A$18,MOD(H$18+INDEX(_xlfn.TEXTSPLIT(H121,",",),0,2)+$A$18,$A$18))/5,0)))</f>
        <v>8</v>
      </c>
      <c r="I23" s="1" cm="1">
        <f t="array" aca="1" ref="I23" ca="1">(INDEX($K$2:$T$11,ROUNDUP(IF(MOD($A23+INDEX(_xlfn.TEXTSPLIT(I78,",",),0,1)+$A$18,$A$18)=0,$A$18,MOD($A23+INDEX(_xlfn.TEXTSPLIT(I78,",",),0,1)+$A$18,$A$18))/4,0),ROUNDUP(IF(MOD(I$18+INDEX(_xlfn.TEXTSPLIT(I78,",",),0,2)+$A$18,$A$18)=0,$A$18,MOD(I$18+INDEX(_xlfn.TEXTSPLIT(I78,",",),0,2)+$A$18,$A$18))/4,0)))+(INDEX($AD$2:$AK$9,ROUNDUP(IF(MOD($A23+INDEX(_xlfn.TEXTSPLIT(I121,",",),0,1)+$A$18,$A$18)=0,$A$18,MOD($A23+INDEX(_xlfn.TEXTSPLIT(I121,",",),0,1)+$A$18,$A$18))/5,0),ROUNDUP(IF(MOD(I$18+INDEX(_xlfn.TEXTSPLIT(I121,",",),0,2)+$A$18,$A$18)=0,$A$18,MOD(I$18+INDEX(_xlfn.TEXTSPLIT(I121,",",),0,2)+$A$18,$A$18))/5,0)))</f>
        <v>5</v>
      </c>
      <c r="J23" s="1" cm="1">
        <f t="array" aca="1" ref="J23" ca="1">(INDEX($K$2:$T$11,ROUNDUP(IF(MOD($A23+INDEX(_xlfn.TEXTSPLIT(J78,",",),0,1)+$A$18,$A$18)=0,$A$18,MOD($A23+INDEX(_xlfn.TEXTSPLIT(J78,",",),0,1)+$A$18,$A$18))/4,0),ROUNDUP(IF(MOD(J$18+INDEX(_xlfn.TEXTSPLIT(J78,",",),0,2)+$A$18,$A$18)=0,$A$18,MOD(J$18+INDEX(_xlfn.TEXTSPLIT(J78,",",),0,2)+$A$18,$A$18))/4,0)))+(INDEX($AD$2:$AK$9,ROUNDUP(IF(MOD($A23+INDEX(_xlfn.TEXTSPLIT(J121,",",),0,1)+$A$18,$A$18)=0,$A$18,MOD($A23+INDEX(_xlfn.TEXTSPLIT(J121,",",),0,1)+$A$18,$A$18))/5,0),ROUNDUP(IF(MOD(J$18+INDEX(_xlfn.TEXTSPLIT(J121,",",),0,2)+$A$18,$A$18)=0,$A$18,MOD(J$18+INDEX(_xlfn.TEXTSPLIT(J121,",",),0,2)+$A$18,$A$18))/5,0)))</f>
        <v>5</v>
      </c>
      <c r="K23" s="1" cm="1">
        <f t="array" aca="1" ref="K23" ca="1">(INDEX($K$2:$T$11,ROUNDUP(IF(MOD($A23+INDEX(_xlfn.TEXTSPLIT(K78,",",),0,1)+$A$18,$A$18)=0,$A$18,MOD($A23+INDEX(_xlfn.TEXTSPLIT(K78,",",),0,1)+$A$18,$A$18))/4,0),ROUNDUP(IF(MOD(K$18+INDEX(_xlfn.TEXTSPLIT(K78,",",),0,2)+$A$18,$A$18)=0,$A$18,MOD(K$18+INDEX(_xlfn.TEXTSPLIT(K78,",",),0,2)+$A$18,$A$18))/4,0)))+(INDEX($AD$2:$AK$9,ROUNDUP(IF(MOD($A23+INDEX(_xlfn.TEXTSPLIT(K121,",",),0,1)+$A$18,$A$18)=0,$A$18,MOD($A23+INDEX(_xlfn.TEXTSPLIT(K121,",",),0,1)+$A$18,$A$18))/5,0),ROUNDUP(IF(MOD(K$18+INDEX(_xlfn.TEXTSPLIT(K121,",",),0,2)+$A$18,$A$18)=0,$A$18,MOD(K$18+INDEX(_xlfn.TEXTSPLIT(K121,",",),0,2)+$A$18,$A$18))/5,0)))</f>
        <v>8</v>
      </c>
      <c r="L23" s="1" cm="1">
        <f t="array" aca="1" ref="L23" ca="1">(INDEX($K$2:$T$11,ROUNDUP(IF(MOD($A23+INDEX(_xlfn.TEXTSPLIT(L78,",",),0,1)+$A$18,$A$18)=0,$A$18,MOD($A23+INDEX(_xlfn.TEXTSPLIT(L78,",",),0,1)+$A$18,$A$18))/4,0),ROUNDUP(IF(MOD(L$18+INDEX(_xlfn.TEXTSPLIT(L78,",",),0,2)+$A$18,$A$18)=0,$A$18,MOD(L$18+INDEX(_xlfn.TEXTSPLIT(L78,",",),0,2)+$A$18,$A$18))/4,0)))+(INDEX($AD$2:$AK$9,ROUNDUP(IF(MOD($A23+INDEX(_xlfn.TEXTSPLIT(L121,",",),0,1)+$A$18,$A$18)=0,$A$18,MOD($A23+INDEX(_xlfn.TEXTSPLIT(L121,",",),0,1)+$A$18,$A$18))/5,0),ROUNDUP(IF(MOD(L$18+INDEX(_xlfn.TEXTSPLIT(L121,",",),0,2)+$A$18,$A$18)=0,$A$18,MOD(L$18+INDEX(_xlfn.TEXTSPLIT(L121,",",),0,2)+$A$18,$A$18))/5,0)))</f>
        <v>8</v>
      </c>
      <c r="M23" s="1" cm="1">
        <f t="array" aca="1" ref="M23" ca="1">(INDEX($K$2:$T$11,ROUNDUP(IF(MOD($A23+INDEX(_xlfn.TEXTSPLIT(M78,",",),0,1)+$A$18,$A$18)=0,$A$18,MOD($A23+INDEX(_xlfn.TEXTSPLIT(M78,",",),0,1)+$A$18,$A$18))/4,0),ROUNDUP(IF(MOD(M$18+INDEX(_xlfn.TEXTSPLIT(M78,",",),0,2)+$A$18,$A$18)=0,$A$18,MOD(M$18+INDEX(_xlfn.TEXTSPLIT(M78,",",),0,2)+$A$18,$A$18))/4,0)))+(INDEX($AD$2:$AK$9,ROUNDUP(IF(MOD($A23+INDEX(_xlfn.TEXTSPLIT(M121,",",),0,1)+$A$18,$A$18)=0,$A$18,MOD($A23+INDEX(_xlfn.TEXTSPLIT(M121,",",),0,1)+$A$18,$A$18))/5,0),ROUNDUP(IF(MOD(M$18+INDEX(_xlfn.TEXTSPLIT(M121,",",),0,2)+$A$18,$A$18)=0,$A$18,MOD(M$18+INDEX(_xlfn.TEXTSPLIT(M121,",",),0,2)+$A$18,$A$18))/5,0)))</f>
        <v>5</v>
      </c>
      <c r="N23" s="1" cm="1">
        <f t="array" aca="1" ref="N23" ca="1">(INDEX($K$2:$T$11,ROUNDUP(IF(MOD($A23+INDEX(_xlfn.TEXTSPLIT(N78,",",),0,1)+$A$18,$A$18)=0,$A$18,MOD($A23+INDEX(_xlfn.TEXTSPLIT(N78,",",),0,1)+$A$18,$A$18))/4,0),ROUNDUP(IF(MOD(N$18+INDEX(_xlfn.TEXTSPLIT(N78,",",),0,2)+$A$18,$A$18)=0,$A$18,MOD(N$18+INDEX(_xlfn.TEXTSPLIT(N78,",",),0,2)+$A$18,$A$18))/4,0)))+(INDEX($AD$2:$AK$9,ROUNDUP(IF(MOD($A23+INDEX(_xlfn.TEXTSPLIT(N121,",",),0,1)+$A$18,$A$18)=0,$A$18,MOD($A23+INDEX(_xlfn.TEXTSPLIT(N121,",",),0,1)+$A$18,$A$18))/5,0),ROUNDUP(IF(MOD(N$18+INDEX(_xlfn.TEXTSPLIT(N121,",",),0,2)+$A$18,$A$18)=0,$A$18,MOD(N$18+INDEX(_xlfn.TEXTSPLIT(N121,",",),0,2)+$A$18,$A$18))/5,0)))</f>
        <v>8</v>
      </c>
      <c r="O23" s="1" cm="1">
        <f t="array" aca="1" ref="O23" ca="1">(INDEX($K$2:$T$11,ROUNDUP(IF(MOD($A23+INDEX(_xlfn.TEXTSPLIT(O78,",",),0,1)+$A$18,$A$18)=0,$A$18,MOD($A23+INDEX(_xlfn.TEXTSPLIT(O78,",",),0,1)+$A$18,$A$18))/4,0),ROUNDUP(IF(MOD(O$18+INDEX(_xlfn.TEXTSPLIT(O78,",",),0,2)+$A$18,$A$18)=0,$A$18,MOD(O$18+INDEX(_xlfn.TEXTSPLIT(O78,",",),0,2)+$A$18,$A$18))/4,0)))+(INDEX($AD$2:$AK$9,ROUNDUP(IF(MOD($A23+INDEX(_xlfn.TEXTSPLIT(O121,",",),0,1)+$A$18,$A$18)=0,$A$18,MOD($A23+INDEX(_xlfn.TEXTSPLIT(O121,",",),0,1)+$A$18,$A$18))/5,0),ROUNDUP(IF(MOD(O$18+INDEX(_xlfn.TEXTSPLIT(O121,",",),0,2)+$A$18,$A$18)=0,$A$18,MOD(O$18+INDEX(_xlfn.TEXTSPLIT(O121,",",),0,2)+$A$18,$A$18))/5,0)))</f>
        <v>5</v>
      </c>
      <c r="P23" s="1" cm="1">
        <f t="array" aca="1" ref="P23" ca="1">(INDEX($K$2:$T$11,ROUNDUP(IF(MOD($A23+INDEX(_xlfn.TEXTSPLIT(P78,",",),0,1)+$A$18,$A$18)=0,$A$18,MOD($A23+INDEX(_xlfn.TEXTSPLIT(P78,",",),0,1)+$A$18,$A$18))/4,0),ROUNDUP(IF(MOD(P$18+INDEX(_xlfn.TEXTSPLIT(P78,",",),0,2)+$A$18,$A$18)=0,$A$18,MOD(P$18+INDEX(_xlfn.TEXTSPLIT(P78,",",),0,2)+$A$18,$A$18))/4,0)))+(INDEX($AD$2:$AK$9,ROUNDUP(IF(MOD($A23+INDEX(_xlfn.TEXTSPLIT(P121,",",),0,1)+$A$18,$A$18)=0,$A$18,MOD($A23+INDEX(_xlfn.TEXTSPLIT(P121,",",),0,1)+$A$18,$A$18))/5,0),ROUNDUP(IF(MOD(P$18+INDEX(_xlfn.TEXTSPLIT(P121,",",),0,2)+$A$18,$A$18)=0,$A$18,MOD(P$18+INDEX(_xlfn.TEXTSPLIT(P121,",",),0,2)+$A$18,$A$18))/5,0)))</f>
        <v>8</v>
      </c>
      <c r="Q23" s="1" cm="1">
        <f t="array" aca="1" ref="Q23" ca="1">(INDEX($K$2:$T$11,ROUNDUP(IF(MOD($A23+INDEX(_xlfn.TEXTSPLIT(Q78,",",),0,1)+$A$18,$A$18)=0,$A$18,MOD($A23+INDEX(_xlfn.TEXTSPLIT(Q78,",",),0,1)+$A$18,$A$18))/4,0),ROUNDUP(IF(MOD(Q$18+INDEX(_xlfn.TEXTSPLIT(Q78,",",),0,2)+$A$18,$A$18)=0,$A$18,MOD(Q$18+INDEX(_xlfn.TEXTSPLIT(Q78,",",),0,2)+$A$18,$A$18))/4,0)))+(INDEX($AD$2:$AK$9,ROUNDUP(IF(MOD($A23+INDEX(_xlfn.TEXTSPLIT(Q121,",",),0,1)+$A$18,$A$18)=0,$A$18,MOD($A23+INDEX(_xlfn.TEXTSPLIT(Q121,",",),0,1)+$A$18,$A$18))/5,0),ROUNDUP(IF(MOD(Q$18+INDEX(_xlfn.TEXTSPLIT(Q121,",",),0,2)+$A$18,$A$18)=0,$A$18,MOD(Q$18+INDEX(_xlfn.TEXTSPLIT(Q121,",",),0,2)+$A$18,$A$18))/5,0)))</f>
        <v>5</v>
      </c>
      <c r="R23" s="1" cm="1">
        <f t="array" aca="1" ref="R23" ca="1">(INDEX($K$2:$T$11,ROUNDUP(IF(MOD($A23+INDEX(_xlfn.TEXTSPLIT(R78,",",),0,1)+$A$18,$A$18)=0,$A$18,MOD($A23+INDEX(_xlfn.TEXTSPLIT(R78,",",),0,1)+$A$18,$A$18))/4,0),ROUNDUP(IF(MOD(R$18+INDEX(_xlfn.TEXTSPLIT(R78,",",),0,2)+$A$18,$A$18)=0,$A$18,MOD(R$18+INDEX(_xlfn.TEXTSPLIT(R78,",",),0,2)+$A$18,$A$18))/4,0)))+(INDEX($AD$2:$AK$9,ROUNDUP(IF(MOD($A23+INDEX(_xlfn.TEXTSPLIT(R121,",",),0,1)+$A$18,$A$18)=0,$A$18,MOD($A23+INDEX(_xlfn.TEXTSPLIT(R121,",",),0,1)+$A$18,$A$18))/5,0),ROUNDUP(IF(MOD(R$18+INDEX(_xlfn.TEXTSPLIT(R121,",",),0,2)+$A$18,$A$18)=0,$A$18,MOD(R$18+INDEX(_xlfn.TEXTSPLIT(R121,",",),0,2)+$A$18,$A$18))/5,0)))</f>
        <v>5</v>
      </c>
      <c r="S23" s="1" cm="1">
        <f t="array" aca="1" ref="S23" ca="1">(INDEX($K$2:$T$11,ROUNDUP(IF(MOD($A23+INDEX(_xlfn.TEXTSPLIT(S78,",",),0,1)+$A$18,$A$18)=0,$A$18,MOD($A23+INDEX(_xlfn.TEXTSPLIT(S78,",",),0,1)+$A$18,$A$18))/4,0),ROUNDUP(IF(MOD(S$18+INDEX(_xlfn.TEXTSPLIT(S78,",",),0,2)+$A$18,$A$18)=0,$A$18,MOD(S$18+INDEX(_xlfn.TEXTSPLIT(S78,",",),0,2)+$A$18,$A$18))/4,0)))+(INDEX($AD$2:$AK$9,ROUNDUP(IF(MOD($A23+INDEX(_xlfn.TEXTSPLIT(S121,",",),0,1)+$A$18,$A$18)=0,$A$18,MOD($A23+INDEX(_xlfn.TEXTSPLIT(S121,",",),0,1)+$A$18,$A$18))/5,0),ROUNDUP(IF(MOD(S$18+INDEX(_xlfn.TEXTSPLIT(S121,",",),0,2)+$A$18,$A$18)=0,$A$18,MOD(S$18+INDEX(_xlfn.TEXTSPLIT(S121,",",),0,2)+$A$18,$A$18))/5,0)))</f>
        <v>5</v>
      </c>
      <c r="T23" s="1" cm="1">
        <f t="array" aca="1" ref="T23" ca="1">(INDEX($K$2:$T$11,ROUNDUP(IF(MOD($A23+INDEX(_xlfn.TEXTSPLIT(T78,",",),0,1)+$A$18,$A$18)=0,$A$18,MOD($A23+INDEX(_xlfn.TEXTSPLIT(T78,",",),0,1)+$A$18,$A$18))/4,0),ROUNDUP(IF(MOD(T$18+INDEX(_xlfn.TEXTSPLIT(T78,",",),0,2)+$A$18,$A$18)=0,$A$18,MOD(T$18+INDEX(_xlfn.TEXTSPLIT(T78,",",),0,2)+$A$18,$A$18))/4,0)))+(INDEX($AD$2:$AK$9,ROUNDUP(IF(MOD($A23+INDEX(_xlfn.TEXTSPLIT(T121,",",),0,1)+$A$18,$A$18)=0,$A$18,MOD($A23+INDEX(_xlfn.TEXTSPLIT(T121,",",),0,1)+$A$18,$A$18))/5,0),ROUNDUP(IF(MOD(T$18+INDEX(_xlfn.TEXTSPLIT(T121,",",),0,2)+$A$18,$A$18)=0,$A$18,MOD(T$18+INDEX(_xlfn.TEXTSPLIT(T121,",",),0,2)+$A$18,$A$18))/5,0)))</f>
        <v>5</v>
      </c>
      <c r="U23" s="1" cm="1">
        <f t="array" aca="1" ref="U23" ca="1">(INDEX($K$2:$T$11,ROUNDUP(IF(MOD($A23+INDEX(_xlfn.TEXTSPLIT(U78,",",),0,1)+$A$18,$A$18)=0,$A$18,MOD($A23+INDEX(_xlfn.TEXTSPLIT(U78,",",),0,1)+$A$18,$A$18))/4,0),ROUNDUP(IF(MOD(U$18+INDEX(_xlfn.TEXTSPLIT(U78,",",),0,2)+$A$18,$A$18)=0,$A$18,MOD(U$18+INDEX(_xlfn.TEXTSPLIT(U78,",",),0,2)+$A$18,$A$18))/4,0)))+(INDEX($AD$2:$AK$9,ROUNDUP(IF(MOD($A23+INDEX(_xlfn.TEXTSPLIT(U121,",",),0,1)+$A$18,$A$18)=0,$A$18,MOD($A23+INDEX(_xlfn.TEXTSPLIT(U121,",",),0,1)+$A$18,$A$18))/5,0),ROUNDUP(IF(MOD(U$18+INDEX(_xlfn.TEXTSPLIT(U121,",",),0,2)+$A$18,$A$18)=0,$A$18,MOD(U$18+INDEX(_xlfn.TEXTSPLIT(U121,",",),0,2)+$A$18,$A$18))/5,0)))</f>
        <v>5</v>
      </c>
      <c r="V23" s="1" cm="1">
        <f t="array" aca="1" ref="V23" ca="1">(INDEX($K$2:$T$11,ROUNDUP(IF(MOD($A23+INDEX(_xlfn.TEXTSPLIT(V78,",",),0,1)+$A$18,$A$18)=0,$A$18,MOD($A23+INDEX(_xlfn.TEXTSPLIT(V78,",",),0,1)+$A$18,$A$18))/4,0),ROUNDUP(IF(MOD(V$18+INDEX(_xlfn.TEXTSPLIT(V78,",",),0,2)+$A$18,$A$18)=0,$A$18,MOD(V$18+INDEX(_xlfn.TEXTSPLIT(V78,",",),0,2)+$A$18,$A$18))/4,0)))+(INDEX($AD$2:$AK$9,ROUNDUP(IF(MOD($A23+INDEX(_xlfn.TEXTSPLIT(V121,",",),0,1)+$A$18,$A$18)=0,$A$18,MOD($A23+INDEX(_xlfn.TEXTSPLIT(V121,",",),0,1)+$A$18,$A$18))/5,0),ROUNDUP(IF(MOD(V$18+INDEX(_xlfn.TEXTSPLIT(V121,",",),0,2)+$A$18,$A$18)=0,$A$18,MOD(V$18+INDEX(_xlfn.TEXTSPLIT(V121,",",),0,2)+$A$18,$A$18))/5,0)))</f>
        <v>8</v>
      </c>
      <c r="W23" s="1" cm="1">
        <f t="array" aca="1" ref="W23" ca="1">(INDEX($K$2:$T$11,ROUNDUP(IF(MOD($A23+INDEX(_xlfn.TEXTSPLIT(W78,",",),0,1)+$A$18,$A$18)=0,$A$18,MOD($A23+INDEX(_xlfn.TEXTSPLIT(W78,",",),0,1)+$A$18,$A$18))/4,0),ROUNDUP(IF(MOD(W$18+INDEX(_xlfn.TEXTSPLIT(W78,",",),0,2)+$A$18,$A$18)=0,$A$18,MOD(W$18+INDEX(_xlfn.TEXTSPLIT(W78,",",),0,2)+$A$18,$A$18))/4,0)))+(INDEX($AD$2:$AK$9,ROUNDUP(IF(MOD($A23+INDEX(_xlfn.TEXTSPLIT(W121,",",),0,1)+$A$18,$A$18)=0,$A$18,MOD($A23+INDEX(_xlfn.TEXTSPLIT(W121,",",),0,1)+$A$18,$A$18))/5,0),ROUNDUP(IF(MOD(W$18+INDEX(_xlfn.TEXTSPLIT(W121,",",),0,2)+$A$18,$A$18)=0,$A$18,MOD(W$18+INDEX(_xlfn.TEXTSPLIT(W121,",",),0,2)+$A$18,$A$18))/5,0)))</f>
        <v>8</v>
      </c>
      <c r="X23" s="1" cm="1">
        <f t="array" aca="1" ref="X23" ca="1">(INDEX($K$2:$T$11,ROUNDUP(IF(MOD($A23+INDEX(_xlfn.TEXTSPLIT(X78,",",),0,1)+$A$18,$A$18)=0,$A$18,MOD($A23+INDEX(_xlfn.TEXTSPLIT(X78,",",),0,1)+$A$18,$A$18))/4,0),ROUNDUP(IF(MOD(X$18+INDEX(_xlfn.TEXTSPLIT(X78,",",),0,2)+$A$18,$A$18)=0,$A$18,MOD(X$18+INDEX(_xlfn.TEXTSPLIT(X78,",",),0,2)+$A$18,$A$18))/4,0)))+(INDEX($AD$2:$AK$9,ROUNDUP(IF(MOD($A23+INDEX(_xlfn.TEXTSPLIT(X121,",",),0,1)+$A$18,$A$18)=0,$A$18,MOD($A23+INDEX(_xlfn.TEXTSPLIT(X121,",",),0,1)+$A$18,$A$18))/5,0),ROUNDUP(IF(MOD(X$18+INDEX(_xlfn.TEXTSPLIT(X121,",",),0,2)+$A$18,$A$18)=0,$A$18,MOD(X$18+INDEX(_xlfn.TEXTSPLIT(X121,",",),0,2)+$A$18,$A$18))/5,0)))</f>
        <v>8</v>
      </c>
      <c r="Y23" s="1" cm="1">
        <f t="array" aca="1" ref="Y23" ca="1">(INDEX($K$2:$T$11,ROUNDUP(IF(MOD($A23+INDEX(_xlfn.TEXTSPLIT(Y78,",",),0,1)+$A$18,$A$18)=0,$A$18,MOD($A23+INDEX(_xlfn.TEXTSPLIT(Y78,",",),0,1)+$A$18,$A$18))/4,0),ROUNDUP(IF(MOD(Y$18+INDEX(_xlfn.TEXTSPLIT(Y78,",",),0,2)+$A$18,$A$18)=0,$A$18,MOD(Y$18+INDEX(_xlfn.TEXTSPLIT(Y78,",",),0,2)+$A$18,$A$18))/4,0)))+(INDEX($AD$2:$AK$9,ROUNDUP(IF(MOD($A23+INDEX(_xlfn.TEXTSPLIT(Y121,",",),0,1)+$A$18,$A$18)=0,$A$18,MOD($A23+INDEX(_xlfn.TEXTSPLIT(Y121,",",),0,1)+$A$18,$A$18))/5,0),ROUNDUP(IF(MOD(Y$18+INDEX(_xlfn.TEXTSPLIT(Y121,",",),0,2)+$A$18,$A$18)=0,$A$18,MOD(Y$18+INDEX(_xlfn.TEXTSPLIT(Y121,",",),0,2)+$A$18,$A$18))/5,0)))</f>
        <v>8</v>
      </c>
      <c r="Z23" s="1" cm="1">
        <f t="array" aca="1" ref="Z23" ca="1">(INDEX($K$2:$T$11,ROUNDUP(IF(MOD($A23+INDEX(_xlfn.TEXTSPLIT(Z78,",",),0,1)+$A$18,$A$18)=0,$A$18,MOD($A23+INDEX(_xlfn.TEXTSPLIT(Z78,",",),0,1)+$A$18,$A$18))/4,0),ROUNDUP(IF(MOD(Z$18+INDEX(_xlfn.TEXTSPLIT(Z78,",",),0,2)+$A$18,$A$18)=0,$A$18,MOD(Z$18+INDEX(_xlfn.TEXTSPLIT(Z78,",",),0,2)+$A$18,$A$18))/4,0)))+(INDEX($AD$2:$AK$9,ROUNDUP(IF(MOD($A23+INDEX(_xlfn.TEXTSPLIT(Z121,",",),0,1)+$A$18,$A$18)=0,$A$18,MOD($A23+INDEX(_xlfn.TEXTSPLIT(Z121,",",),0,1)+$A$18,$A$18))/5,0),ROUNDUP(IF(MOD(Z$18+INDEX(_xlfn.TEXTSPLIT(Z121,",",),0,2)+$A$18,$A$18)=0,$A$18,MOD(Z$18+INDEX(_xlfn.TEXTSPLIT(Z121,",",),0,2)+$A$18,$A$18))/5,0)))</f>
        <v>5</v>
      </c>
      <c r="AA23" s="1" cm="1">
        <f t="array" aca="1" ref="AA23" ca="1">(INDEX($K$2:$T$11,ROUNDUP(IF(MOD($A23+INDEX(_xlfn.TEXTSPLIT(AA78,",",),0,1)+$A$18,$A$18)=0,$A$18,MOD($A23+INDEX(_xlfn.TEXTSPLIT(AA78,",",),0,1)+$A$18,$A$18))/4,0),ROUNDUP(IF(MOD(AA$18+INDEX(_xlfn.TEXTSPLIT(AA78,",",),0,2)+$A$18,$A$18)=0,$A$18,MOD(AA$18+INDEX(_xlfn.TEXTSPLIT(AA78,",",),0,2)+$A$18,$A$18))/4,0)))+(INDEX($AD$2:$AK$9,ROUNDUP(IF(MOD($A23+INDEX(_xlfn.TEXTSPLIT(AA121,",",),0,1)+$A$18,$A$18)=0,$A$18,MOD($A23+INDEX(_xlfn.TEXTSPLIT(AA121,",",),0,1)+$A$18,$A$18))/5,0),ROUNDUP(IF(MOD(AA$18+INDEX(_xlfn.TEXTSPLIT(AA121,",",),0,2)+$A$18,$A$18)=0,$A$18,MOD(AA$18+INDEX(_xlfn.TEXTSPLIT(AA121,",",),0,2)+$A$18,$A$18))/5,0)))</f>
        <v>8</v>
      </c>
      <c r="AB23" s="1" cm="1">
        <f t="array" aca="1" ref="AB23" ca="1">(INDEX($K$2:$T$11,ROUNDUP(IF(MOD($A23+INDEX(_xlfn.TEXTSPLIT(AB78,",",),0,1)+$A$18,$A$18)=0,$A$18,MOD($A23+INDEX(_xlfn.TEXTSPLIT(AB78,",",),0,1)+$A$18,$A$18))/4,0),ROUNDUP(IF(MOD(AB$18+INDEX(_xlfn.TEXTSPLIT(AB78,",",),0,2)+$A$18,$A$18)=0,$A$18,MOD(AB$18+INDEX(_xlfn.TEXTSPLIT(AB78,",",),0,2)+$A$18,$A$18))/4,0)))+(INDEX($AD$2:$AK$9,ROUNDUP(IF(MOD($A23+INDEX(_xlfn.TEXTSPLIT(AB121,",",),0,1)+$A$18,$A$18)=0,$A$18,MOD($A23+INDEX(_xlfn.TEXTSPLIT(AB121,",",),0,1)+$A$18,$A$18))/5,0),ROUNDUP(IF(MOD(AB$18+INDEX(_xlfn.TEXTSPLIT(AB121,",",),0,2)+$A$18,$A$18)=0,$A$18,MOD(AB$18+INDEX(_xlfn.TEXTSPLIT(AB121,",",),0,2)+$A$18,$A$18))/5,0)))</f>
        <v>8</v>
      </c>
      <c r="AC23" s="1" cm="1">
        <f t="array" aca="1" ref="AC23" ca="1">(INDEX($K$2:$T$11,ROUNDUP(IF(MOD($A23+INDEX(_xlfn.TEXTSPLIT(AC78,",",),0,1)+$A$18,$A$18)=0,$A$18,MOD($A23+INDEX(_xlfn.TEXTSPLIT(AC78,",",),0,1)+$A$18,$A$18))/4,0),ROUNDUP(IF(MOD(AC$18+INDEX(_xlfn.TEXTSPLIT(AC78,",",),0,2)+$A$18,$A$18)=0,$A$18,MOD(AC$18+INDEX(_xlfn.TEXTSPLIT(AC78,",",),0,2)+$A$18,$A$18))/4,0)))+(INDEX($AD$2:$AK$9,ROUNDUP(IF(MOD($A23+INDEX(_xlfn.TEXTSPLIT(AC121,",",),0,1)+$A$18,$A$18)=0,$A$18,MOD($A23+INDEX(_xlfn.TEXTSPLIT(AC121,",",),0,1)+$A$18,$A$18))/5,0),ROUNDUP(IF(MOD(AC$18+INDEX(_xlfn.TEXTSPLIT(AC121,",",),0,2)+$A$18,$A$18)=0,$A$18,MOD(AC$18+INDEX(_xlfn.TEXTSPLIT(AC121,",",),0,2)+$A$18,$A$18))/5,0)))</f>
        <v>6</v>
      </c>
      <c r="AD23" s="1" cm="1">
        <f t="array" aca="1" ref="AD23" ca="1">(INDEX($K$2:$T$11,ROUNDUP(IF(MOD($A23+INDEX(_xlfn.TEXTSPLIT(AD78,",",),0,1)+$A$18,$A$18)=0,$A$18,MOD($A23+INDEX(_xlfn.TEXTSPLIT(AD78,",",),0,1)+$A$18,$A$18))/4,0),ROUNDUP(IF(MOD(AD$18+INDEX(_xlfn.TEXTSPLIT(AD78,",",),0,2)+$A$18,$A$18)=0,$A$18,MOD(AD$18+INDEX(_xlfn.TEXTSPLIT(AD78,",",),0,2)+$A$18,$A$18))/4,0)))+(INDEX($AD$2:$AK$9,ROUNDUP(IF(MOD($A23+INDEX(_xlfn.TEXTSPLIT(AD121,",",),0,1)+$A$18,$A$18)=0,$A$18,MOD($A23+INDEX(_xlfn.TEXTSPLIT(AD121,",",),0,1)+$A$18,$A$18))/5,0),ROUNDUP(IF(MOD(AD$18+INDEX(_xlfn.TEXTSPLIT(AD121,",",),0,2)+$A$18,$A$18)=0,$A$18,MOD(AD$18+INDEX(_xlfn.TEXTSPLIT(AD121,",",),0,2)+$A$18,$A$18))/5,0)))</f>
        <v>8</v>
      </c>
      <c r="AE23" s="1" cm="1">
        <f t="array" aca="1" ref="AE23" ca="1">(INDEX($K$2:$T$11,ROUNDUP(IF(MOD($A23+INDEX(_xlfn.TEXTSPLIT(AE78,",",),0,1)+$A$18,$A$18)=0,$A$18,MOD($A23+INDEX(_xlfn.TEXTSPLIT(AE78,",",),0,1)+$A$18,$A$18))/4,0),ROUNDUP(IF(MOD(AE$18+INDEX(_xlfn.TEXTSPLIT(AE78,",",),0,2)+$A$18,$A$18)=0,$A$18,MOD(AE$18+INDEX(_xlfn.TEXTSPLIT(AE78,",",),0,2)+$A$18,$A$18))/4,0)))+(INDEX($AD$2:$AK$9,ROUNDUP(IF(MOD($A23+INDEX(_xlfn.TEXTSPLIT(AE121,",",),0,1)+$A$18,$A$18)=0,$A$18,MOD($A23+INDEX(_xlfn.TEXTSPLIT(AE121,",",),0,1)+$A$18,$A$18))/5,0),ROUNDUP(IF(MOD(AE$18+INDEX(_xlfn.TEXTSPLIT(AE121,",",),0,2)+$A$18,$A$18)=0,$A$18,MOD(AE$18+INDEX(_xlfn.TEXTSPLIT(AE121,",",),0,2)+$A$18,$A$18))/5,0)))</f>
        <v>4</v>
      </c>
      <c r="AF23" s="1" cm="1">
        <f t="array" aca="1" ref="AF23" ca="1">(INDEX($K$2:$T$11,ROUNDUP(IF(MOD($A23+INDEX(_xlfn.TEXTSPLIT(AF78,",",),0,1)+$A$18,$A$18)=0,$A$18,MOD($A23+INDEX(_xlfn.TEXTSPLIT(AF78,",",),0,1)+$A$18,$A$18))/4,0),ROUNDUP(IF(MOD(AF$18+INDEX(_xlfn.TEXTSPLIT(AF78,",",),0,2)+$A$18,$A$18)=0,$A$18,MOD(AF$18+INDEX(_xlfn.TEXTSPLIT(AF78,",",),0,2)+$A$18,$A$18))/4,0)))+(INDEX($AD$2:$AK$9,ROUNDUP(IF(MOD($A23+INDEX(_xlfn.TEXTSPLIT(AF121,",",),0,1)+$A$18,$A$18)=0,$A$18,MOD($A23+INDEX(_xlfn.TEXTSPLIT(AF121,",",),0,1)+$A$18,$A$18))/5,0),ROUNDUP(IF(MOD(AF$18+INDEX(_xlfn.TEXTSPLIT(AF121,",",),0,2)+$A$18,$A$18)=0,$A$18,MOD(AF$18+INDEX(_xlfn.TEXTSPLIT(AF121,",",),0,2)+$A$18,$A$18))/5,0)))</f>
        <v>6</v>
      </c>
      <c r="AG23" s="1" cm="1">
        <f t="array" aca="1" ref="AG23" ca="1">(INDEX($K$2:$T$11,ROUNDUP(IF(MOD($A23+INDEX(_xlfn.TEXTSPLIT(AG78,",",),0,1)+$A$18,$A$18)=0,$A$18,MOD($A23+INDEX(_xlfn.TEXTSPLIT(AG78,",",),0,1)+$A$18,$A$18))/4,0),ROUNDUP(IF(MOD(AG$18+INDEX(_xlfn.TEXTSPLIT(AG78,",",),0,2)+$A$18,$A$18)=0,$A$18,MOD(AG$18+INDEX(_xlfn.TEXTSPLIT(AG78,",",),0,2)+$A$18,$A$18))/4,0)))+(INDEX($AD$2:$AK$9,ROUNDUP(IF(MOD($A23+INDEX(_xlfn.TEXTSPLIT(AG121,",",),0,1)+$A$18,$A$18)=0,$A$18,MOD($A23+INDEX(_xlfn.TEXTSPLIT(AG121,",",),0,1)+$A$18,$A$18))/5,0),ROUNDUP(IF(MOD(AG$18+INDEX(_xlfn.TEXTSPLIT(AG121,",",),0,2)+$A$18,$A$18)=0,$A$18,MOD(AG$18+INDEX(_xlfn.TEXTSPLIT(AG121,",",),0,2)+$A$18,$A$18))/5,0)))</f>
        <v>2</v>
      </c>
      <c r="AH23" s="1" cm="1">
        <f t="array" aca="1" ref="AH23" ca="1">(INDEX($K$2:$T$11,ROUNDUP(IF(MOD($A23+INDEX(_xlfn.TEXTSPLIT(AH78,",",),0,1)+$A$18,$A$18)=0,$A$18,MOD($A23+INDEX(_xlfn.TEXTSPLIT(AH78,",",),0,1)+$A$18,$A$18))/4,0),ROUNDUP(IF(MOD(AH$18+INDEX(_xlfn.TEXTSPLIT(AH78,",",),0,2)+$A$18,$A$18)=0,$A$18,MOD(AH$18+INDEX(_xlfn.TEXTSPLIT(AH78,",",),0,2)+$A$18,$A$18))/4,0)))+(INDEX($AD$2:$AK$9,ROUNDUP(IF(MOD($A23+INDEX(_xlfn.TEXTSPLIT(AH121,",",),0,1)+$A$18,$A$18)=0,$A$18,MOD($A23+INDEX(_xlfn.TEXTSPLIT(AH121,",",),0,1)+$A$18,$A$18))/5,0),ROUNDUP(IF(MOD(AH$18+INDEX(_xlfn.TEXTSPLIT(AH121,",",),0,2)+$A$18,$A$18)=0,$A$18,MOD(AH$18+INDEX(_xlfn.TEXTSPLIT(AH121,",",),0,2)+$A$18,$A$18))/5,0)))</f>
        <v>8</v>
      </c>
      <c r="AI23" s="1" cm="1">
        <f t="array" aca="1" ref="AI23" ca="1">(INDEX($K$2:$T$11,ROUNDUP(IF(MOD($A23+INDEX(_xlfn.TEXTSPLIT(AI78,",",),0,1)+$A$18,$A$18)=0,$A$18,MOD($A23+INDEX(_xlfn.TEXTSPLIT(AI78,",",),0,1)+$A$18,$A$18))/4,0),ROUNDUP(IF(MOD(AI$18+INDEX(_xlfn.TEXTSPLIT(AI78,",",),0,2)+$A$18,$A$18)=0,$A$18,MOD(AI$18+INDEX(_xlfn.TEXTSPLIT(AI78,",",),0,2)+$A$18,$A$18))/4,0)))+(INDEX($AD$2:$AK$9,ROUNDUP(IF(MOD($A23+INDEX(_xlfn.TEXTSPLIT(AI121,",",),0,1)+$A$18,$A$18)=0,$A$18,MOD($A23+INDEX(_xlfn.TEXTSPLIT(AI121,",",),0,1)+$A$18,$A$18))/5,0),ROUNDUP(IF(MOD(AI$18+INDEX(_xlfn.TEXTSPLIT(AI121,",",),0,2)+$A$18,$A$18)=0,$A$18,MOD(AI$18+INDEX(_xlfn.TEXTSPLIT(AI121,",",),0,2)+$A$18,$A$18))/5,0)))</f>
        <v>8</v>
      </c>
      <c r="AJ23" s="1" cm="1">
        <f t="array" aca="1" ref="AJ23" ca="1">(INDEX($K$2:$T$11,ROUNDUP(IF(MOD($A23+INDEX(_xlfn.TEXTSPLIT(AJ78,",",),0,1)+$A$18,$A$18)=0,$A$18,MOD($A23+INDEX(_xlfn.TEXTSPLIT(AJ78,",",),0,1)+$A$18,$A$18))/4,0),ROUNDUP(IF(MOD(AJ$18+INDEX(_xlfn.TEXTSPLIT(AJ78,",",),0,2)+$A$18,$A$18)=0,$A$18,MOD(AJ$18+INDEX(_xlfn.TEXTSPLIT(AJ78,",",),0,2)+$A$18,$A$18))/4,0)))+(INDEX($AD$2:$AK$9,ROUNDUP(IF(MOD($A23+INDEX(_xlfn.TEXTSPLIT(AJ121,",",),0,1)+$A$18,$A$18)=0,$A$18,MOD($A23+INDEX(_xlfn.TEXTSPLIT(AJ121,",",),0,1)+$A$18,$A$18))/5,0),ROUNDUP(IF(MOD(AJ$18+INDEX(_xlfn.TEXTSPLIT(AJ121,",",),0,2)+$A$18,$A$18)=0,$A$18,MOD(AJ$18+INDEX(_xlfn.TEXTSPLIT(AJ121,",",),0,2)+$A$18,$A$18))/5,0)))</f>
        <v>6</v>
      </c>
      <c r="AK23" s="1" cm="1">
        <f t="array" aca="1" ref="AK23" ca="1">(INDEX($K$2:$T$11,ROUNDUP(IF(MOD($A23+INDEX(_xlfn.TEXTSPLIT(AK78,",",),0,1)+$A$18,$A$18)=0,$A$18,MOD($A23+INDEX(_xlfn.TEXTSPLIT(AK78,",",),0,1)+$A$18,$A$18))/4,0),ROUNDUP(IF(MOD(AK$18+INDEX(_xlfn.TEXTSPLIT(AK78,",",),0,2)+$A$18,$A$18)=0,$A$18,MOD(AK$18+INDEX(_xlfn.TEXTSPLIT(AK78,",",),0,2)+$A$18,$A$18))/4,0)))+(INDEX($AD$2:$AK$9,ROUNDUP(IF(MOD($A23+INDEX(_xlfn.TEXTSPLIT(AK121,",",),0,1)+$A$18,$A$18)=0,$A$18,MOD($A23+INDEX(_xlfn.TEXTSPLIT(AK121,",",),0,1)+$A$18,$A$18))/5,0),ROUNDUP(IF(MOD(AK$18+INDEX(_xlfn.TEXTSPLIT(AK121,",",),0,2)+$A$18,$A$18)=0,$A$18,MOD(AK$18+INDEX(_xlfn.TEXTSPLIT(AK121,",",),0,2)+$A$18,$A$18))/5,0)))</f>
        <v>6</v>
      </c>
      <c r="AL23" s="1" cm="1">
        <f t="array" aca="1" ref="AL23" ca="1">(INDEX($K$2:$T$11,ROUNDUP(IF(MOD($A23+INDEX(_xlfn.TEXTSPLIT(AL78,",",),0,1)+$A$18,$A$18)=0,$A$18,MOD($A23+INDEX(_xlfn.TEXTSPLIT(AL78,",",),0,1)+$A$18,$A$18))/4,0),ROUNDUP(IF(MOD(AL$18+INDEX(_xlfn.TEXTSPLIT(AL78,",",),0,2)+$A$18,$A$18)=0,$A$18,MOD(AL$18+INDEX(_xlfn.TEXTSPLIT(AL78,",",),0,2)+$A$18,$A$18))/4,0)))+(INDEX($AD$2:$AK$9,ROUNDUP(IF(MOD($A23+INDEX(_xlfn.TEXTSPLIT(AL121,",",),0,1)+$A$18,$A$18)=0,$A$18,MOD($A23+INDEX(_xlfn.TEXTSPLIT(AL121,",",),0,1)+$A$18,$A$18))/5,0),ROUNDUP(IF(MOD(AL$18+INDEX(_xlfn.TEXTSPLIT(AL121,",",),0,2)+$A$18,$A$18)=0,$A$18,MOD(AL$18+INDEX(_xlfn.TEXTSPLIT(AL121,",",),0,2)+$A$18,$A$18))/5,0)))</f>
        <v>6</v>
      </c>
      <c r="AM23" s="1" cm="1">
        <f t="array" aca="1" ref="AM23" ca="1">(INDEX($K$2:$T$11,ROUNDUP(IF(MOD($A23+INDEX(_xlfn.TEXTSPLIT(AM78,",",),0,1)+$A$18,$A$18)=0,$A$18,MOD($A23+INDEX(_xlfn.TEXTSPLIT(AM78,",",),0,1)+$A$18,$A$18))/4,0),ROUNDUP(IF(MOD(AM$18+INDEX(_xlfn.TEXTSPLIT(AM78,",",),0,2)+$A$18,$A$18)=0,$A$18,MOD(AM$18+INDEX(_xlfn.TEXTSPLIT(AM78,",",),0,2)+$A$18,$A$18))/4,0)))+(INDEX($AD$2:$AK$9,ROUNDUP(IF(MOD($A23+INDEX(_xlfn.TEXTSPLIT(AM121,",",),0,1)+$A$18,$A$18)=0,$A$18,MOD($A23+INDEX(_xlfn.TEXTSPLIT(AM121,",",),0,1)+$A$18,$A$18))/5,0),ROUNDUP(IF(MOD(AM$18+INDEX(_xlfn.TEXTSPLIT(AM121,",",),0,2)+$A$18,$A$18)=0,$A$18,MOD(AM$18+INDEX(_xlfn.TEXTSPLIT(AM121,",",),0,2)+$A$18,$A$18))/5,0)))</f>
        <v>1</v>
      </c>
      <c r="AN23" s="1" cm="1">
        <f t="array" aca="1" ref="AN23" ca="1">(INDEX($K$2:$T$11,ROUNDUP(IF(MOD($A23+INDEX(_xlfn.TEXTSPLIT(AN78,",",),0,1)+$A$18,$A$18)=0,$A$18,MOD($A23+INDEX(_xlfn.TEXTSPLIT(AN78,",",),0,1)+$A$18,$A$18))/4,0),ROUNDUP(IF(MOD(AN$18+INDEX(_xlfn.TEXTSPLIT(AN78,",",),0,2)+$A$18,$A$18)=0,$A$18,MOD(AN$18+INDEX(_xlfn.TEXTSPLIT(AN78,",",),0,2)+$A$18,$A$18))/4,0)))+(INDEX($AD$2:$AK$9,ROUNDUP(IF(MOD($A23+INDEX(_xlfn.TEXTSPLIT(AN121,",",),0,1)+$A$18,$A$18)=0,$A$18,MOD($A23+INDEX(_xlfn.TEXTSPLIT(AN121,",",),0,1)+$A$18,$A$18))/5,0),ROUNDUP(IF(MOD(AN$18+INDEX(_xlfn.TEXTSPLIT(AN121,",",),0,2)+$A$18,$A$18)=0,$A$18,MOD(AN$18+INDEX(_xlfn.TEXTSPLIT(AN121,",",),0,2)+$A$18,$A$18))/5,0)))</f>
        <v>2</v>
      </c>
      <c r="AO23" s="1" cm="1">
        <f t="array" aca="1" ref="AO23" ca="1">(INDEX($K$2:$T$11,ROUNDUP(IF(MOD($A23+INDEX(_xlfn.TEXTSPLIT(AO78,",",),0,1)+$A$18,$A$18)=0,$A$18,MOD($A23+INDEX(_xlfn.TEXTSPLIT(AO78,",",),0,1)+$A$18,$A$18))/4,0),ROUNDUP(IF(MOD(AO$18+INDEX(_xlfn.TEXTSPLIT(AO78,",",),0,2)+$A$18,$A$18)=0,$A$18,MOD(AO$18+INDEX(_xlfn.TEXTSPLIT(AO78,",",),0,2)+$A$18,$A$18))/4,0)))+(INDEX($AD$2:$AK$9,ROUNDUP(IF(MOD($A23+INDEX(_xlfn.TEXTSPLIT(AO121,",",),0,1)+$A$18,$A$18)=0,$A$18,MOD($A23+INDEX(_xlfn.TEXTSPLIT(AO121,",",),0,1)+$A$18,$A$18))/5,0),ROUNDUP(IF(MOD(AO$18+INDEX(_xlfn.TEXTSPLIT(AO121,",",),0,2)+$A$18,$A$18)=0,$A$18,MOD(AO$18+INDEX(_xlfn.TEXTSPLIT(AO121,",",),0,2)+$A$18,$A$18))/5,0)))</f>
        <v>5</v>
      </c>
    </row>
    <row r="24" spans="1:41" ht="12.75">
      <c r="A24" s="1">
        <v>6</v>
      </c>
      <c r="B24" s="1" cm="1">
        <f t="array" aca="1" ref="B24" ca="1">(INDEX($K$2:$T$11,ROUNDUP(IF(MOD($A24+INDEX(_xlfn.TEXTSPLIT(B79,",",),0,1)+$A$18,$A$18)=0,$A$18,MOD($A24+INDEX(_xlfn.TEXTSPLIT(B79,",",),0,1)+$A$18,$A$18))/4,0),ROUNDUP(IF(MOD(B$18+INDEX(_xlfn.TEXTSPLIT(B79,",",),0,2)+$A$18,$A$18)=0,$A$18,MOD(B$18+INDEX(_xlfn.TEXTSPLIT(B79,",",),0,2)+$A$18,$A$18))/4,0)))+(INDEX($AD$2:$AK$9,ROUNDUP(IF(MOD($A24+INDEX(_xlfn.TEXTSPLIT(B122,",",),0,1)+$A$18,$A$18)=0,$A$18,MOD($A24+INDEX(_xlfn.TEXTSPLIT(B122,",",),0,1)+$A$18,$A$18))/5,0),ROUNDUP(IF(MOD(B$18+INDEX(_xlfn.TEXTSPLIT(B122,",",),0,2)+$A$18,$A$18)=0,$A$18,MOD(B$18+INDEX(_xlfn.TEXTSPLIT(B122,",",),0,2)+$A$18,$A$18))/5,0)))</f>
        <v>1</v>
      </c>
      <c r="C24" s="1" cm="1">
        <f t="array" aca="1" ref="C24" ca="1">(INDEX($K$2:$T$11,ROUNDUP(IF(MOD($A24+INDEX(_xlfn.TEXTSPLIT(C79,",",),0,1)+$A$18,$A$18)=0,$A$18,MOD($A24+INDEX(_xlfn.TEXTSPLIT(C79,",",),0,1)+$A$18,$A$18))/4,0),ROUNDUP(IF(MOD(C$18+INDEX(_xlfn.TEXTSPLIT(C79,",",),0,2)+$A$18,$A$18)=0,$A$18,MOD(C$18+INDEX(_xlfn.TEXTSPLIT(C79,",",),0,2)+$A$18,$A$18))/4,0)))+(INDEX($AD$2:$AK$9,ROUNDUP(IF(MOD($A24+INDEX(_xlfn.TEXTSPLIT(C122,",",),0,1)+$A$18,$A$18)=0,$A$18,MOD($A24+INDEX(_xlfn.TEXTSPLIT(C122,",",),0,1)+$A$18,$A$18))/5,0),ROUNDUP(IF(MOD(C$18+INDEX(_xlfn.TEXTSPLIT(C122,",",),0,2)+$A$18,$A$18)=0,$A$18,MOD(C$18+INDEX(_xlfn.TEXTSPLIT(C122,",",),0,2)+$A$18,$A$18))/5,0)))</f>
        <v>6</v>
      </c>
      <c r="D24" s="1" cm="1">
        <f t="array" aca="1" ref="D24" ca="1">(INDEX($K$2:$T$11,ROUNDUP(IF(MOD($A24+INDEX(_xlfn.TEXTSPLIT(D79,",",),0,1)+$A$18,$A$18)=0,$A$18,MOD($A24+INDEX(_xlfn.TEXTSPLIT(D79,",",),0,1)+$A$18,$A$18))/4,0),ROUNDUP(IF(MOD(D$18+INDEX(_xlfn.TEXTSPLIT(D79,",",),0,2)+$A$18,$A$18)=0,$A$18,MOD(D$18+INDEX(_xlfn.TEXTSPLIT(D79,",",),0,2)+$A$18,$A$18))/4,0)))+(INDEX($AD$2:$AK$9,ROUNDUP(IF(MOD($A24+INDEX(_xlfn.TEXTSPLIT(D122,",",),0,1)+$A$18,$A$18)=0,$A$18,MOD($A24+INDEX(_xlfn.TEXTSPLIT(D122,",",),0,1)+$A$18,$A$18))/5,0),ROUNDUP(IF(MOD(D$18+INDEX(_xlfn.TEXTSPLIT(D122,",",),0,2)+$A$18,$A$18)=0,$A$18,MOD(D$18+INDEX(_xlfn.TEXTSPLIT(D122,",",),0,2)+$A$18,$A$18))/5,0)))</f>
        <v>6</v>
      </c>
      <c r="E24" s="1" cm="1">
        <f t="array" aca="1" ref="E24" ca="1">(INDEX($K$2:$T$11,ROUNDUP(IF(MOD($A24+INDEX(_xlfn.TEXTSPLIT(E79,",",),0,1)+$A$18,$A$18)=0,$A$18,MOD($A24+INDEX(_xlfn.TEXTSPLIT(E79,",",),0,1)+$A$18,$A$18))/4,0),ROUNDUP(IF(MOD(E$18+INDEX(_xlfn.TEXTSPLIT(E79,",",),0,2)+$A$18,$A$18)=0,$A$18,MOD(E$18+INDEX(_xlfn.TEXTSPLIT(E79,",",),0,2)+$A$18,$A$18))/4,0)))+(INDEX($AD$2:$AK$9,ROUNDUP(IF(MOD($A24+INDEX(_xlfn.TEXTSPLIT(E122,",",),0,1)+$A$18,$A$18)=0,$A$18,MOD($A24+INDEX(_xlfn.TEXTSPLIT(E122,",",),0,1)+$A$18,$A$18))/5,0),ROUNDUP(IF(MOD(E$18+INDEX(_xlfn.TEXTSPLIT(E122,",",),0,2)+$A$18,$A$18)=0,$A$18,MOD(E$18+INDEX(_xlfn.TEXTSPLIT(E122,",",),0,2)+$A$18,$A$18))/5,0)))</f>
        <v>5</v>
      </c>
      <c r="F24" s="1" cm="1">
        <f t="array" aca="1" ref="F24" ca="1">(INDEX($K$2:$T$11,ROUNDUP(IF(MOD($A24+INDEX(_xlfn.TEXTSPLIT(F79,",",),0,1)+$A$18,$A$18)=0,$A$18,MOD($A24+INDEX(_xlfn.TEXTSPLIT(F79,",",),0,1)+$A$18,$A$18))/4,0),ROUNDUP(IF(MOD(F$18+INDEX(_xlfn.TEXTSPLIT(F79,",",),0,2)+$A$18,$A$18)=0,$A$18,MOD(F$18+INDEX(_xlfn.TEXTSPLIT(F79,",",),0,2)+$A$18,$A$18))/4,0)))+(INDEX($AD$2:$AK$9,ROUNDUP(IF(MOD($A24+INDEX(_xlfn.TEXTSPLIT(F122,",",),0,1)+$A$18,$A$18)=0,$A$18,MOD($A24+INDEX(_xlfn.TEXTSPLIT(F122,",",),0,1)+$A$18,$A$18))/5,0),ROUNDUP(IF(MOD(F$18+INDEX(_xlfn.TEXTSPLIT(F122,",",),0,2)+$A$18,$A$18)=0,$A$18,MOD(F$18+INDEX(_xlfn.TEXTSPLIT(F122,",",),0,2)+$A$18,$A$18))/5,0)))</f>
        <v>5</v>
      </c>
      <c r="G24" s="1" cm="1">
        <f t="array" aca="1" ref="G24" ca="1">(INDEX($K$2:$T$11,ROUNDUP(IF(MOD($A24+INDEX(_xlfn.TEXTSPLIT(G79,",",),0,1)+$A$18,$A$18)=0,$A$18,MOD($A24+INDEX(_xlfn.TEXTSPLIT(G79,",",),0,1)+$A$18,$A$18))/4,0),ROUNDUP(IF(MOD(G$18+INDEX(_xlfn.TEXTSPLIT(G79,",",),0,2)+$A$18,$A$18)=0,$A$18,MOD(G$18+INDEX(_xlfn.TEXTSPLIT(G79,",",),0,2)+$A$18,$A$18))/4,0)))+(INDEX($AD$2:$AK$9,ROUNDUP(IF(MOD($A24+INDEX(_xlfn.TEXTSPLIT(G122,",",),0,1)+$A$18,$A$18)=0,$A$18,MOD($A24+INDEX(_xlfn.TEXTSPLIT(G122,",",),0,1)+$A$18,$A$18))/5,0),ROUNDUP(IF(MOD(G$18+INDEX(_xlfn.TEXTSPLIT(G122,",",),0,2)+$A$18,$A$18)=0,$A$18,MOD(G$18+INDEX(_xlfn.TEXTSPLIT(G122,",",),0,2)+$A$18,$A$18))/5,0)))</f>
        <v>5</v>
      </c>
      <c r="H24" s="1" cm="1">
        <f t="array" aca="1" ref="H24" ca="1">(INDEX($K$2:$T$11,ROUNDUP(IF(MOD($A24+INDEX(_xlfn.TEXTSPLIT(H79,",",),0,1)+$A$18,$A$18)=0,$A$18,MOD($A24+INDEX(_xlfn.TEXTSPLIT(H79,",",),0,1)+$A$18,$A$18))/4,0),ROUNDUP(IF(MOD(H$18+INDEX(_xlfn.TEXTSPLIT(H79,",",),0,2)+$A$18,$A$18)=0,$A$18,MOD(H$18+INDEX(_xlfn.TEXTSPLIT(H79,",",),0,2)+$A$18,$A$18))/4,0)))+(INDEX($AD$2:$AK$9,ROUNDUP(IF(MOD($A24+INDEX(_xlfn.TEXTSPLIT(H122,",",),0,1)+$A$18,$A$18)=0,$A$18,MOD($A24+INDEX(_xlfn.TEXTSPLIT(H122,",",),0,1)+$A$18,$A$18))/5,0),ROUNDUP(IF(MOD(H$18+INDEX(_xlfn.TEXTSPLIT(H122,",",),0,2)+$A$18,$A$18)=0,$A$18,MOD(H$18+INDEX(_xlfn.TEXTSPLIT(H122,",",),0,2)+$A$18,$A$18))/5,0)))</f>
        <v>8</v>
      </c>
      <c r="I24" s="1" cm="1">
        <f t="array" aca="1" ref="I24" ca="1">(INDEX($K$2:$T$11,ROUNDUP(IF(MOD($A24+INDEX(_xlfn.TEXTSPLIT(I79,",",),0,1)+$A$18,$A$18)=0,$A$18,MOD($A24+INDEX(_xlfn.TEXTSPLIT(I79,",",),0,1)+$A$18,$A$18))/4,0),ROUNDUP(IF(MOD(I$18+INDEX(_xlfn.TEXTSPLIT(I79,",",),0,2)+$A$18,$A$18)=0,$A$18,MOD(I$18+INDEX(_xlfn.TEXTSPLIT(I79,",",),0,2)+$A$18,$A$18))/4,0)))+(INDEX($AD$2:$AK$9,ROUNDUP(IF(MOD($A24+INDEX(_xlfn.TEXTSPLIT(I122,",",),0,1)+$A$18,$A$18)=0,$A$18,MOD($A24+INDEX(_xlfn.TEXTSPLIT(I122,",",),0,1)+$A$18,$A$18))/5,0),ROUNDUP(IF(MOD(I$18+INDEX(_xlfn.TEXTSPLIT(I122,",",),0,2)+$A$18,$A$18)=0,$A$18,MOD(I$18+INDEX(_xlfn.TEXTSPLIT(I122,",",),0,2)+$A$18,$A$18))/5,0)))</f>
        <v>8</v>
      </c>
      <c r="J24" s="1" cm="1">
        <f t="array" aca="1" ref="J24" ca="1">(INDEX($K$2:$T$11,ROUNDUP(IF(MOD($A24+INDEX(_xlfn.TEXTSPLIT(J79,",",),0,1)+$A$18,$A$18)=0,$A$18,MOD($A24+INDEX(_xlfn.TEXTSPLIT(J79,",",),0,1)+$A$18,$A$18))/4,0),ROUNDUP(IF(MOD(J$18+INDEX(_xlfn.TEXTSPLIT(J79,",",),0,2)+$A$18,$A$18)=0,$A$18,MOD(J$18+INDEX(_xlfn.TEXTSPLIT(J79,",",),0,2)+$A$18,$A$18))/4,0)))+(INDEX($AD$2:$AK$9,ROUNDUP(IF(MOD($A24+INDEX(_xlfn.TEXTSPLIT(J122,",",),0,1)+$A$18,$A$18)=0,$A$18,MOD($A24+INDEX(_xlfn.TEXTSPLIT(J122,",",),0,1)+$A$18,$A$18))/5,0),ROUNDUP(IF(MOD(J$18+INDEX(_xlfn.TEXTSPLIT(J122,",",),0,2)+$A$18,$A$18)=0,$A$18,MOD(J$18+INDEX(_xlfn.TEXTSPLIT(J122,",",),0,2)+$A$18,$A$18))/5,0)))</f>
        <v>8</v>
      </c>
      <c r="K24" s="1" cm="1">
        <f t="array" aca="1" ref="K24" ca="1">(INDEX($K$2:$T$11,ROUNDUP(IF(MOD($A24+INDEX(_xlfn.TEXTSPLIT(K79,",",),0,1)+$A$18,$A$18)=0,$A$18,MOD($A24+INDEX(_xlfn.TEXTSPLIT(K79,",",),0,1)+$A$18,$A$18))/4,0),ROUNDUP(IF(MOD(K$18+INDEX(_xlfn.TEXTSPLIT(K79,",",),0,2)+$A$18,$A$18)=0,$A$18,MOD(K$18+INDEX(_xlfn.TEXTSPLIT(K79,",",),0,2)+$A$18,$A$18))/4,0)))+(INDEX($AD$2:$AK$9,ROUNDUP(IF(MOD($A24+INDEX(_xlfn.TEXTSPLIT(K122,",",),0,1)+$A$18,$A$18)=0,$A$18,MOD($A24+INDEX(_xlfn.TEXTSPLIT(K122,",",),0,1)+$A$18,$A$18))/5,0),ROUNDUP(IF(MOD(K$18+INDEX(_xlfn.TEXTSPLIT(K122,",",),0,2)+$A$18,$A$18)=0,$A$18,MOD(K$18+INDEX(_xlfn.TEXTSPLIT(K122,",",),0,2)+$A$18,$A$18))/5,0)))</f>
        <v>5</v>
      </c>
      <c r="L24" s="1" cm="1">
        <f t="array" aca="1" ref="L24" ca="1">(INDEX($K$2:$T$11,ROUNDUP(IF(MOD($A24+INDEX(_xlfn.TEXTSPLIT(L79,",",),0,1)+$A$18,$A$18)=0,$A$18,MOD($A24+INDEX(_xlfn.TEXTSPLIT(L79,",",),0,1)+$A$18,$A$18))/4,0),ROUNDUP(IF(MOD(L$18+INDEX(_xlfn.TEXTSPLIT(L79,",",),0,2)+$A$18,$A$18)=0,$A$18,MOD(L$18+INDEX(_xlfn.TEXTSPLIT(L79,",",),0,2)+$A$18,$A$18))/4,0)))+(INDEX($AD$2:$AK$9,ROUNDUP(IF(MOD($A24+INDEX(_xlfn.TEXTSPLIT(L122,",",),0,1)+$A$18,$A$18)=0,$A$18,MOD($A24+INDEX(_xlfn.TEXTSPLIT(L122,",",),0,1)+$A$18,$A$18))/5,0),ROUNDUP(IF(MOD(L$18+INDEX(_xlfn.TEXTSPLIT(L122,",",),0,2)+$A$18,$A$18)=0,$A$18,MOD(L$18+INDEX(_xlfn.TEXTSPLIT(L122,",",),0,2)+$A$18,$A$18))/5,0)))</f>
        <v>5</v>
      </c>
      <c r="M24" s="1" cm="1">
        <f t="array" aca="1" ref="M24" ca="1">(INDEX($K$2:$T$11,ROUNDUP(IF(MOD($A24+INDEX(_xlfn.TEXTSPLIT(M79,",",),0,1)+$A$18,$A$18)=0,$A$18,MOD($A24+INDEX(_xlfn.TEXTSPLIT(M79,",",),0,1)+$A$18,$A$18))/4,0),ROUNDUP(IF(MOD(M$18+INDEX(_xlfn.TEXTSPLIT(M79,",",),0,2)+$A$18,$A$18)=0,$A$18,MOD(M$18+INDEX(_xlfn.TEXTSPLIT(M79,",",),0,2)+$A$18,$A$18))/4,0)))+(INDEX($AD$2:$AK$9,ROUNDUP(IF(MOD($A24+INDEX(_xlfn.TEXTSPLIT(M122,",",),0,1)+$A$18,$A$18)=0,$A$18,MOD($A24+INDEX(_xlfn.TEXTSPLIT(M122,",",),0,1)+$A$18,$A$18))/5,0),ROUNDUP(IF(MOD(M$18+INDEX(_xlfn.TEXTSPLIT(M122,",",),0,2)+$A$18,$A$18)=0,$A$18,MOD(M$18+INDEX(_xlfn.TEXTSPLIT(M122,",",),0,2)+$A$18,$A$18))/5,0)))</f>
        <v>5</v>
      </c>
      <c r="N24" s="1" cm="1">
        <f t="array" aca="1" ref="N24" ca="1">(INDEX($K$2:$T$11,ROUNDUP(IF(MOD($A24+INDEX(_xlfn.TEXTSPLIT(N79,",",),0,1)+$A$18,$A$18)=0,$A$18,MOD($A24+INDEX(_xlfn.TEXTSPLIT(N79,",",),0,1)+$A$18,$A$18))/4,0),ROUNDUP(IF(MOD(N$18+INDEX(_xlfn.TEXTSPLIT(N79,",",),0,2)+$A$18,$A$18)=0,$A$18,MOD(N$18+INDEX(_xlfn.TEXTSPLIT(N79,",",),0,2)+$A$18,$A$18))/4,0)))+(INDEX($AD$2:$AK$9,ROUNDUP(IF(MOD($A24+INDEX(_xlfn.TEXTSPLIT(N122,",",),0,1)+$A$18,$A$18)=0,$A$18,MOD($A24+INDEX(_xlfn.TEXTSPLIT(N122,",",),0,1)+$A$18,$A$18))/5,0),ROUNDUP(IF(MOD(N$18+INDEX(_xlfn.TEXTSPLIT(N122,",",),0,2)+$A$18,$A$18)=0,$A$18,MOD(N$18+INDEX(_xlfn.TEXTSPLIT(N122,",",),0,2)+$A$18,$A$18))/5,0)))</f>
        <v>8</v>
      </c>
      <c r="O24" s="1" cm="1">
        <f t="array" aca="1" ref="O24" ca="1">(INDEX($K$2:$T$11,ROUNDUP(IF(MOD($A24+INDEX(_xlfn.TEXTSPLIT(O79,",",),0,1)+$A$18,$A$18)=0,$A$18,MOD($A24+INDEX(_xlfn.TEXTSPLIT(O79,",",),0,1)+$A$18,$A$18))/4,0),ROUNDUP(IF(MOD(O$18+INDEX(_xlfn.TEXTSPLIT(O79,",",),0,2)+$A$18,$A$18)=0,$A$18,MOD(O$18+INDEX(_xlfn.TEXTSPLIT(O79,",",),0,2)+$A$18,$A$18))/4,0)))+(INDEX($AD$2:$AK$9,ROUNDUP(IF(MOD($A24+INDEX(_xlfn.TEXTSPLIT(O122,",",),0,1)+$A$18,$A$18)=0,$A$18,MOD($A24+INDEX(_xlfn.TEXTSPLIT(O122,",",),0,1)+$A$18,$A$18))/5,0),ROUNDUP(IF(MOD(O$18+INDEX(_xlfn.TEXTSPLIT(O122,",",),0,2)+$A$18,$A$18)=0,$A$18,MOD(O$18+INDEX(_xlfn.TEXTSPLIT(O122,",",),0,2)+$A$18,$A$18))/5,0)))</f>
        <v>5</v>
      </c>
      <c r="P24" s="1" cm="1">
        <f t="array" aca="1" ref="P24" ca="1">(INDEX($K$2:$T$11,ROUNDUP(IF(MOD($A24+INDEX(_xlfn.TEXTSPLIT(P79,",",),0,1)+$A$18,$A$18)=0,$A$18,MOD($A24+INDEX(_xlfn.TEXTSPLIT(P79,",",),0,1)+$A$18,$A$18))/4,0),ROUNDUP(IF(MOD(P$18+INDEX(_xlfn.TEXTSPLIT(P79,",",),0,2)+$A$18,$A$18)=0,$A$18,MOD(P$18+INDEX(_xlfn.TEXTSPLIT(P79,",",),0,2)+$A$18,$A$18))/4,0)))+(INDEX($AD$2:$AK$9,ROUNDUP(IF(MOD($A24+INDEX(_xlfn.TEXTSPLIT(P122,",",),0,1)+$A$18,$A$18)=0,$A$18,MOD($A24+INDEX(_xlfn.TEXTSPLIT(P122,",",),0,1)+$A$18,$A$18))/5,0),ROUNDUP(IF(MOD(P$18+INDEX(_xlfn.TEXTSPLIT(P122,",",),0,2)+$A$18,$A$18)=0,$A$18,MOD(P$18+INDEX(_xlfn.TEXTSPLIT(P122,",",),0,2)+$A$18,$A$18))/5,0)))</f>
        <v>5</v>
      </c>
      <c r="Q24" s="1" cm="1">
        <f t="array" aca="1" ref="Q24" ca="1">(INDEX($K$2:$T$11,ROUNDUP(IF(MOD($A24+INDEX(_xlfn.TEXTSPLIT(Q79,",",),0,1)+$A$18,$A$18)=0,$A$18,MOD($A24+INDEX(_xlfn.TEXTSPLIT(Q79,",",),0,1)+$A$18,$A$18))/4,0),ROUNDUP(IF(MOD(Q$18+INDEX(_xlfn.TEXTSPLIT(Q79,",",),0,2)+$A$18,$A$18)=0,$A$18,MOD(Q$18+INDEX(_xlfn.TEXTSPLIT(Q79,",",),0,2)+$A$18,$A$18))/4,0)))+(INDEX($AD$2:$AK$9,ROUNDUP(IF(MOD($A24+INDEX(_xlfn.TEXTSPLIT(Q122,",",),0,1)+$A$18,$A$18)=0,$A$18,MOD($A24+INDEX(_xlfn.TEXTSPLIT(Q122,",",),0,1)+$A$18,$A$18))/5,0),ROUNDUP(IF(MOD(Q$18+INDEX(_xlfn.TEXTSPLIT(Q122,",",),0,2)+$A$18,$A$18)=0,$A$18,MOD(Q$18+INDEX(_xlfn.TEXTSPLIT(Q122,",",),0,2)+$A$18,$A$18))/5,0)))</f>
        <v>5</v>
      </c>
      <c r="R24" s="1" cm="1">
        <f t="array" aca="1" ref="R24" ca="1">(INDEX($K$2:$T$11,ROUNDUP(IF(MOD($A24+INDEX(_xlfn.TEXTSPLIT(R79,",",),0,1)+$A$18,$A$18)=0,$A$18,MOD($A24+INDEX(_xlfn.TEXTSPLIT(R79,",",),0,1)+$A$18,$A$18))/4,0),ROUNDUP(IF(MOD(R$18+INDEX(_xlfn.TEXTSPLIT(R79,",",),0,2)+$A$18,$A$18)=0,$A$18,MOD(R$18+INDEX(_xlfn.TEXTSPLIT(R79,",",),0,2)+$A$18,$A$18))/4,0)))+(INDEX($AD$2:$AK$9,ROUNDUP(IF(MOD($A24+INDEX(_xlfn.TEXTSPLIT(R122,",",),0,1)+$A$18,$A$18)=0,$A$18,MOD($A24+INDEX(_xlfn.TEXTSPLIT(R122,",",),0,1)+$A$18,$A$18))/5,0),ROUNDUP(IF(MOD(R$18+INDEX(_xlfn.TEXTSPLIT(R122,",",),0,2)+$A$18,$A$18)=0,$A$18,MOD(R$18+INDEX(_xlfn.TEXTSPLIT(R122,",",),0,2)+$A$18,$A$18))/5,0)))</f>
        <v>5</v>
      </c>
      <c r="S24" s="1" cm="1">
        <f t="array" aca="1" ref="S24" ca="1">(INDEX($K$2:$T$11,ROUNDUP(IF(MOD($A24+INDEX(_xlfn.TEXTSPLIT(S79,",",),0,1)+$A$18,$A$18)=0,$A$18,MOD($A24+INDEX(_xlfn.TEXTSPLIT(S79,",",),0,1)+$A$18,$A$18))/4,0),ROUNDUP(IF(MOD(S$18+INDEX(_xlfn.TEXTSPLIT(S79,",",),0,2)+$A$18,$A$18)=0,$A$18,MOD(S$18+INDEX(_xlfn.TEXTSPLIT(S79,",",),0,2)+$A$18,$A$18))/4,0)))+(INDEX($AD$2:$AK$9,ROUNDUP(IF(MOD($A24+INDEX(_xlfn.TEXTSPLIT(S122,",",),0,1)+$A$18,$A$18)=0,$A$18,MOD($A24+INDEX(_xlfn.TEXTSPLIT(S122,",",),0,1)+$A$18,$A$18))/5,0),ROUNDUP(IF(MOD(S$18+INDEX(_xlfn.TEXTSPLIT(S122,",",),0,2)+$A$18,$A$18)=0,$A$18,MOD(S$18+INDEX(_xlfn.TEXTSPLIT(S122,",",),0,2)+$A$18,$A$18))/5,0)))</f>
        <v>5</v>
      </c>
      <c r="T24" s="1" cm="1">
        <f t="array" aca="1" ref="T24" ca="1">(INDEX($K$2:$T$11,ROUNDUP(IF(MOD($A24+INDEX(_xlfn.TEXTSPLIT(T79,",",),0,1)+$A$18,$A$18)=0,$A$18,MOD($A24+INDEX(_xlfn.TEXTSPLIT(T79,",",),0,1)+$A$18,$A$18))/4,0),ROUNDUP(IF(MOD(T$18+INDEX(_xlfn.TEXTSPLIT(T79,",",),0,2)+$A$18,$A$18)=0,$A$18,MOD(T$18+INDEX(_xlfn.TEXTSPLIT(T79,",",),0,2)+$A$18,$A$18))/4,0)))+(INDEX($AD$2:$AK$9,ROUNDUP(IF(MOD($A24+INDEX(_xlfn.TEXTSPLIT(T122,",",),0,1)+$A$18,$A$18)=0,$A$18,MOD($A24+INDEX(_xlfn.TEXTSPLIT(T122,",",),0,1)+$A$18,$A$18))/5,0),ROUNDUP(IF(MOD(T$18+INDEX(_xlfn.TEXTSPLIT(T122,",",),0,2)+$A$18,$A$18)=0,$A$18,MOD(T$18+INDEX(_xlfn.TEXTSPLIT(T122,",",),0,2)+$A$18,$A$18))/5,0)))</f>
        <v>5</v>
      </c>
      <c r="U24" s="1" cm="1">
        <f t="array" aca="1" ref="U24" ca="1">(INDEX($K$2:$T$11,ROUNDUP(IF(MOD($A24+INDEX(_xlfn.TEXTSPLIT(U79,",",),0,1)+$A$18,$A$18)=0,$A$18,MOD($A24+INDEX(_xlfn.TEXTSPLIT(U79,",",),0,1)+$A$18,$A$18))/4,0),ROUNDUP(IF(MOD(U$18+INDEX(_xlfn.TEXTSPLIT(U79,",",),0,2)+$A$18,$A$18)=0,$A$18,MOD(U$18+INDEX(_xlfn.TEXTSPLIT(U79,",",),0,2)+$A$18,$A$18))/4,0)))+(INDEX($AD$2:$AK$9,ROUNDUP(IF(MOD($A24+INDEX(_xlfn.TEXTSPLIT(U122,",",),0,1)+$A$18,$A$18)=0,$A$18,MOD($A24+INDEX(_xlfn.TEXTSPLIT(U122,",",),0,1)+$A$18,$A$18))/5,0),ROUNDUP(IF(MOD(U$18+INDEX(_xlfn.TEXTSPLIT(U122,",",),0,2)+$A$18,$A$18)=0,$A$18,MOD(U$18+INDEX(_xlfn.TEXTSPLIT(U122,",",),0,2)+$A$18,$A$18))/5,0)))</f>
        <v>5</v>
      </c>
      <c r="V24" s="1" cm="1">
        <f t="array" aca="1" ref="V24" ca="1">(INDEX($K$2:$T$11,ROUNDUP(IF(MOD($A24+INDEX(_xlfn.TEXTSPLIT(V79,",",),0,1)+$A$18,$A$18)=0,$A$18,MOD($A24+INDEX(_xlfn.TEXTSPLIT(V79,",",),0,1)+$A$18,$A$18))/4,0),ROUNDUP(IF(MOD(V$18+INDEX(_xlfn.TEXTSPLIT(V79,",",),0,2)+$A$18,$A$18)=0,$A$18,MOD(V$18+INDEX(_xlfn.TEXTSPLIT(V79,",",),0,2)+$A$18,$A$18))/4,0)))+(INDEX($AD$2:$AK$9,ROUNDUP(IF(MOD($A24+INDEX(_xlfn.TEXTSPLIT(V122,",",),0,1)+$A$18,$A$18)=0,$A$18,MOD($A24+INDEX(_xlfn.TEXTSPLIT(V122,",",),0,1)+$A$18,$A$18))/5,0),ROUNDUP(IF(MOD(V$18+INDEX(_xlfn.TEXTSPLIT(V122,",",),0,2)+$A$18,$A$18)=0,$A$18,MOD(V$18+INDEX(_xlfn.TEXTSPLIT(V122,",",),0,2)+$A$18,$A$18))/5,0)))</f>
        <v>8</v>
      </c>
      <c r="W24" s="1" cm="1">
        <f t="array" aca="1" ref="W24" ca="1">(INDEX($K$2:$T$11,ROUNDUP(IF(MOD($A24+INDEX(_xlfn.TEXTSPLIT(W79,",",),0,1)+$A$18,$A$18)=0,$A$18,MOD($A24+INDEX(_xlfn.TEXTSPLIT(W79,",",),0,1)+$A$18,$A$18))/4,0),ROUNDUP(IF(MOD(W$18+INDEX(_xlfn.TEXTSPLIT(W79,",",),0,2)+$A$18,$A$18)=0,$A$18,MOD(W$18+INDEX(_xlfn.TEXTSPLIT(W79,",",),0,2)+$A$18,$A$18))/4,0)))+(INDEX($AD$2:$AK$9,ROUNDUP(IF(MOD($A24+INDEX(_xlfn.TEXTSPLIT(W122,",",),0,1)+$A$18,$A$18)=0,$A$18,MOD($A24+INDEX(_xlfn.TEXTSPLIT(W122,",",),0,1)+$A$18,$A$18))/5,0),ROUNDUP(IF(MOD(W$18+INDEX(_xlfn.TEXTSPLIT(W122,",",),0,2)+$A$18,$A$18)=0,$A$18,MOD(W$18+INDEX(_xlfn.TEXTSPLIT(W122,",",),0,2)+$A$18,$A$18))/5,0)))</f>
        <v>5</v>
      </c>
      <c r="X24" s="1" cm="1">
        <f t="array" aca="1" ref="X24" ca="1">(INDEX($K$2:$T$11,ROUNDUP(IF(MOD($A24+INDEX(_xlfn.TEXTSPLIT(X79,",",),0,1)+$A$18,$A$18)=0,$A$18,MOD($A24+INDEX(_xlfn.TEXTSPLIT(X79,",",),0,1)+$A$18,$A$18))/4,0),ROUNDUP(IF(MOD(X$18+INDEX(_xlfn.TEXTSPLIT(X79,",",),0,2)+$A$18,$A$18)=0,$A$18,MOD(X$18+INDEX(_xlfn.TEXTSPLIT(X79,",",),0,2)+$A$18,$A$18))/4,0)))+(INDEX($AD$2:$AK$9,ROUNDUP(IF(MOD($A24+INDEX(_xlfn.TEXTSPLIT(X122,",",),0,1)+$A$18,$A$18)=0,$A$18,MOD($A24+INDEX(_xlfn.TEXTSPLIT(X122,",",),0,1)+$A$18,$A$18))/5,0),ROUNDUP(IF(MOD(X$18+INDEX(_xlfn.TEXTSPLIT(X122,",",),0,2)+$A$18,$A$18)=0,$A$18,MOD(X$18+INDEX(_xlfn.TEXTSPLIT(X122,",",),0,2)+$A$18,$A$18))/5,0)))</f>
        <v>8</v>
      </c>
      <c r="Y24" s="1" cm="1">
        <f t="array" aca="1" ref="Y24" ca="1">(INDEX($K$2:$T$11,ROUNDUP(IF(MOD($A24+INDEX(_xlfn.TEXTSPLIT(Y79,",",),0,1)+$A$18,$A$18)=0,$A$18,MOD($A24+INDEX(_xlfn.TEXTSPLIT(Y79,",",),0,1)+$A$18,$A$18))/4,0),ROUNDUP(IF(MOD(Y$18+INDEX(_xlfn.TEXTSPLIT(Y79,",",),0,2)+$A$18,$A$18)=0,$A$18,MOD(Y$18+INDEX(_xlfn.TEXTSPLIT(Y79,",",),0,2)+$A$18,$A$18))/4,0)))+(INDEX($AD$2:$AK$9,ROUNDUP(IF(MOD($A24+INDEX(_xlfn.TEXTSPLIT(Y122,",",),0,1)+$A$18,$A$18)=0,$A$18,MOD($A24+INDEX(_xlfn.TEXTSPLIT(Y122,",",),0,1)+$A$18,$A$18))/5,0),ROUNDUP(IF(MOD(Y$18+INDEX(_xlfn.TEXTSPLIT(Y122,",",),0,2)+$A$18,$A$18)=0,$A$18,MOD(Y$18+INDEX(_xlfn.TEXTSPLIT(Y122,",",),0,2)+$A$18,$A$18))/5,0)))</f>
        <v>8</v>
      </c>
      <c r="Z24" s="1" cm="1">
        <f t="array" aca="1" ref="Z24" ca="1">(INDEX($K$2:$T$11,ROUNDUP(IF(MOD($A24+INDEX(_xlfn.TEXTSPLIT(Z79,",",),0,1)+$A$18,$A$18)=0,$A$18,MOD($A24+INDEX(_xlfn.TEXTSPLIT(Z79,",",),0,1)+$A$18,$A$18))/4,0),ROUNDUP(IF(MOD(Z$18+INDEX(_xlfn.TEXTSPLIT(Z79,",",),0,2)+$A$18,$A$18)=0,$A$18,MOD(Z$18+INDEX(_xlfn.TEXTSPLIT(Z79,",",),0,2)+$A$18,$A$18))/4,0)))+(INDEX($AD$2:$AK$9,ROUNDUP(IF(MOD($A24+INDEX(_xlfn.TEXTSPLIT(Z122,",",),0,1)+$A$18,$A$18)=0,$A$18,MOD($A24+INDEX(_xlfn.TEXTSPLIT(Z122,",",),0,1)+$A$18,$A$18))/5,0),ROUNDUP(IF(MOD(Z$18+INDEX(_xlfn.TEXTSPLIT(Z122,",",),0,2)+$A$18,$A$18)=0,$A$18,MOD(Z$18+INDEX(_xlfn.TEXTSPLIT(Z122,",",),0,2)+$A$18,$A$18))/5,0)))</f>
        <v>6</v>
      </c>
      <c r="AA24" s="1" cm="1">
        <f t="array" aca="1" ref="AA24" ca="1">(INDEX($K$2:$T$11,ROUNDUP(IF(MOD($A24+INDEX(_xlfn.TEXTSPLIT(AA79,",",),0,1)+$A$18,$A$18)=0,$A$18,MOD($A24+INDEX(_xlfn.TEXTSPLIT(AA79,",",),0,1)+$A$18,$A$18))/4,0),ROUNDUP(IF(MOD(AA$18+INDEX(_xlfn.TEXTSPLIT(AA79,",",),0,2)+$A$18,$A$18)=0,$A$18,MOD(AA$18+INDEX(_xlfn.TEXTSPLIT(AA79,",",),0,2)+$A$18,$A$18))/4,0)))+(INDEX($AD$2:$AK$9,ROUNDUP(IF(MOD($A24+INDEX(_xlfn.TEXTSPLIT(AA122,",",),0,1)+$A$18,$A$18)=0,$A$18,MOD($A24+INDEX(_xlfn.TEXTSPLIT(AA122,",",),0,1)+$A$18,$A$18))/5,0),ROUNDUP(IF(MOD(AA$18+INDEX(_xlfn.TEXTSPLIT(AA122,",",),0,2)+$A$18,$A$18)=0,$A$18,MOD(AA$18+INDEX(_xlfn.TEXTSPLIT(AA122,",",),0,2)+$A$18,$A$18))/5,0)))</f>
        <v>6</v>
      </c>
      <c r="AB24" s="1" cm="1">
        <f t="array" aca="1" ref="AB24" ca="1">(INDEX($K$2:$T$11,ROUNDUP(IF(MOD($A24+INDEX(_xlfn.TEXTSPLIT(AB79,",",),0,1)+$A$18,$A$18)=0,$A$18,MOD($A24+INDEX(_xlfn.TEXTSPLIT(AB79,",",),0,1)+$A$18,$A$18))/4,0),ROUNDUP(IF(MOD(AB$18+INDEX(_xlfn.TEXTSPLIT(AB79,",",),0,2)+$A$18,$A$18)=0,$A$18,MOD(AB$18+INDEX(_xlfn.TEXTSPLIT(AB79,",",),0,2)+$A$18,$A$18))/4,0)))+(INDEX($AD$2:$AK$9,ROUNDUP(IF(MOD($A24+INDEX(_xlfn.TEXTSPLIT(AB122,",",),0,1)+$A$18,$A$18)=0,$A$18,MOD($A24+INDEX(_xlfn.TEXTSPLIT(AB122,",",),0,1)+$A$18,$A$18))/5,0),ROUNDUP(IF(MOD(AB$18+INDEX(_xlfn.TEXTSPLIT(AB122,",",),0,2)+$A$18,$A$18)=0,$A$18,MOD(AB$18+INDEX(_xlfn.TEXTSPLIT(AB122,",",),0,2)+$A$18,$A$18))/5,0)))</f>
        <v>8</v>
      </c>
      <c r="AC24" s="1" cm="1">
        <f t="array" aca="1" ref="AC24" ca="1">(INDEX($K$2:$T$11,ROUNDUP(IF(MOD($A24+INDEX(_xlfn.TEXTSPLIT(AC79,",",),0,1)+$A$18,$A$18)=0,$A$18,MOD($A24+INDEX(_xlfn.TEXTSPLIT(AC79,",",),0,1)+$A$18,$A$18))/4,0),ROUNDUP(IF(MOD(AC$18+INDEX(_xlfn.TEXTSPLIT(AC79,",",),0,2)+$A$18,$A$18)=0,$A$18,MOD(AC$18+INDEX(_xlfn.TEXTSPLIT(AC79,",",),0,2)+$A$18,$A$18))/4,0)))+(INDEX($AD$2:$AK$9,ROUNDUP(IF(MOD($A24+INDEX(_xlfn.TEXTSPLIT(AC122,",",),0,1)+$A$18,$A$18)=0,$A$18,MOD($A24+INDEX(_xlfn.TEXTSPLIT(AC122,",",),0,1)+$A$18,$A$18))/5,0),ROUNDUP(IF(MOD(AC$18+INDEX(_xlfn.TEXTSPLIT(AC122,",",),0,2)+$A$18,$A$18)=0,$A$18,MOD(AC$18+INDEX(_xlfn.TEXTSPLIT(AC122,",",),0,2)+$A$18,$A$18))/5,0)))</f>
        <v>8</v>
      </c>
      <c r="AD24" s="1" cm="1">
        <f t="array" aca="1" ref="AD24" ca="1">(INDEX($K$2:$T$11,ROUNDUP(IF(MOD($A24+INDEX(_xlfn.TEXTSPLIT(AD79,",",),0,1)+$A$18,$A$18)=0,$A$18,MOD($A24+INDEX(_xlfn.TEXTSPLIT(AD79,",",),0,1)+$A$18,$A$18))/4,0),ROUNDUP(IF(MOD(AD$18+INDEX(_xlfn.TEXTSPLIT(AD79,",",),0,2)+$A$18,$A$18)=0,$A$18,MOD(AD$18+INDEX(_xlfn.TEXTSPLIT(AD79,",",),0,2)+$A$18,$A$18))/4,0)))+(INDEX($AD$2:$AK$9,ROUNDUP(IF(MOD($A24+INDEX(_xlfn.TEXTSPLIT(AD122,",",),0,1)+$A$18,$A$18)=0,$A$18,MOD($A24+INDEX(_xlfn.TEXTSPLIT(AD122,",",),0,1)+$A$18,$A$18))/5,0),ROUNDUP(IF(MOD(AD$18+INDEX(_xlfn.TEXTSPLIT(AD122,",",),0,2)+$A$18,$A$18)=0,$A$18,MOD(AD$18+INDEX(_xlfn.TEXTSPLIT(AD122,",",),0,2)+$A$18,$A$18))/5,0)))</f>
        <v>8</v>
      </c>
      <c r="AE24" s="1" cm="1">
        <f t="array" aca="1" ref="AE24" ca="1">(INDEX($K$2:$T$11,ROUNDUP(IF(MOD($A24+INDEX(_xlfn.TEXTSPLIT(AE79,",",),0,1)+$A$18,$A$18)=0,$A$18,MOD($A24+INDEX(_xlfn.TEXTSPLIT(AE79,",",),0,1)+$A$18,$A$18))/4,0),ROUNDUP(IF(MOD(AE$18+INDEX(_xlfn.TEXTSPLIT(AE79,",",),0,2)+$A$18,$A$18)=0,$A$18,MOD(AE$18+INDEX(_xlfn.TEXTSPLIT(AE79,",",),0,2)+$A$18,$A$18))/4,0)))+(INDEX($AD$2:$AK$9,ROUNDUP(IF(MOD($A24+INDEX(_xlfn.TEXTSPLIT(AE122,",",),0,1)+$A$18,$A$18)=0,$A$18,MOD($A24+INDEX(_xlfn.TEXTSPLIT(AE122,",",),0,1)+$A$18,$A$18))/5,0),ROUNDUP(IF(MOD(AE$18+INDEX(_xlfn.TEXTSPLIT(AE122,",",),0,2)+$A$18,$A$18)=0,$A$18,MOD(AE$18+INDEX(_xlfn.TEXTSPLIT(AE122,",",),0,2)+$A$18,$A$18))/5,0)))</f>
        <v>6</v>
      </c>
      <c r="AF24" s="1" cm="1">
        <f t="array" aca="1" ref="AF24" ca="1">(INDEX($K$2:$T$11,ROUNDUP(IF(MOD($A24+INDEX(_xlfn.TEXTSPLIT(AF79,",",),0,1)+$A$18,$A$18)=0,$A$18,MOD($A24+INDEX(_xlfn.TEXTSPLIT(AF79,",",),0,1)+$A$18,$A$18))/4,0),ROUNDUP(IF(MOD(AF$18+INDEX(_xlfn.TEXTSPLIT(AF79,",",),0,2)+$A$18,$A$18)=0,$A$18,MOD(AF$18+INDEX(_xlfn.TEXTSPLIT(AF79,",",),0,2)+$A$18,$A$18))/4,0)))+(INDEX($AD$2:$AK$9,ROUNDUP(IF(MOD($A24+INDEX(_xlfn.TEXTSPLIT(AF122,",",),0,1)+$A$18,$A$18)=0,$A$18,MOD($A24+INDEX(_xlfn.TEXTSPLIT(AF122,",",),0,1)+$A$18,$A$18))/5,0),ROUNDUP(IF(MOD(AF$18+INDEX(_xlfn.TEXTSPLIT(AF122,",",),0,2)+$A$18,$A$18)=0,$A$18,MOD(AF$18+INDEX(_xlfn.TEXTSPLIT(AF122,",",),0,2)+$A$18,$A$18))/5,0)))</f>
        <v>6</v>
      </c>
      <c r="AG24" s="1" cm="1">
        <f t="array" aca="1" ref="AG24" ca="1">(INDEX($K$2:$T$11,ROUNDUP(IF(MOD($A24+INDEX(_xlfn.TEXTSPLIT(AG79,",",),0,1)+$A$18,$A$18)=0,$A$18,MOD($A24+INDEX(_xlfn.TEXTSPLIT(AG79,",",),0,1)+$A$18,$A$18))/4,0),ROUNDUP(IF(MOD(AG$18+INDEX(_xlfn.TEXTSPLIT(AG79,",",),0,2)+$A$18,$A$18)=0,$A$18,MOD(AG$18+INDEX(_xlfn.TEXTSPLIT(AG79,",",),0,2)+$A$18,$A$18))/4,0)))+(INDEX($AD$2:$AK$9,ROUNDUP(IF(MOD($A24+INDEX(_xlfn.TEXTSPLIT(AG122,",",),0,1)+$A$18,$A$18)=0,$A$18,MOD($A24+INDEX(_xlfn.TEXTSPLIT(AG122,",",),0,1)+$A$18,$A$18))/5,0),ROUNDUP(IF(MOD(AG$18+INDEX(_xlfn.TEXTSPLIT(AG122,",",),0,2)+$A$18,$A$18)=0,$A$18,MOD(AG$18+INDEX(_xlfn.TEXTSPLIT(AG122,",",),0,2)+$A$18,$A$18))/5,0)))</f>
        <v>6</v>
      </c>
      <c r="AH24" s="1" cm="1">
        <f t="array" aca="1" ref="AH24" ca="1">(INDEX($K$2:$T$11,ROUNDUP(IF(MOD($A24+INDEX(_xlfn.TEXTSPLIT(AH79,",",),0,1)+$A$18,$A$18)=0,$A$18,MOD($A24+INDEX(_xlfn.TEXTSPLIT(AH79,",",),0,1)+$A$18,$A$18))/4,0),ROUNDUP(IF(MOD(AH$18+INDEX(_xlfn.TEXTSPLIT(AH79,",",),0,2)+$A$18,$A$18)=0,$A$18,MOD(AH$18+INDEX(_xlfn.TEXTSPLIT(AH79,",",),0,2)+$A$18,$A$18))/4,0)))+(INDEX($AD$2:$AK$9,ROUNDUP(IF(MOD($A24+INDEX(_xlfn.TEXTSPLIT(AH122,",",),0,1)+$A$18,$A$18)=0,$A$18,MOD($A24+INDEX(_xlfn.TEXTSPLIT(AH122,",",),0,1)+$A$18,$A$18))/5,0),ROUNDUP(IF(MOD(AH$18+INDEX(_xlfn.TEXTSPLIT(AH122,",",),0,2)+$A$18,$A$18)=0,$A$18,MOD(AH$18+INDEX(_xlfn.TEXTSPLIT(AH122,",",),0,2)+$A$18,$A$18))/5,0)))</f>
        <v>8</v>
      </c>
      <c r="AI24" s="1" cm="1">
        <f t="array" aca="1" ref="AI24" ca="1">(INDEX($K$2:$T$11,ROUNDUP(IF(MOD($A24+INDEX(_xlfn.TEXTSPLIT(AI79,",",),0,1)+$A$18,$A$18)=0,$A$18,MOD($A24+INDEX(_xlfn.TEXTSPLIT(AI79,",",),0,1)+$A$18,$A$18))/4,0),ROUNDUP(IF(MOD(AI$18+INDEX(_xlfn.TEXTSPLIT(AI79,",",),0,2)+$A$18,$A$18)=0,$A$18,MOD(AI$18+INDEX(_xlfn.TEXTSPLIT(AI79,",",),0,2)+$A$18,$A$18))/4,0)))+(INDEX($AD$2:$AK$9,ROUNDUP(IF(MOD($A24+INDEX(_xlfn.TEXTSPLIT(AI122,",",),0,1)+$A$18,$A$18)=0,$A$18,MOD($A24+INDEX(_xlfn.TEXTSPLIT(AI122,",",),0,1)+$A$18,$A$18))/5,0),ROUNDUP(IF(MOD(AI$18+INDEX(_xlfn.TEXTSPLIT(AI122,",",),0,2)+$A$18,$A$18)=0,$A$18,MOD(AI$18+INDEX(_xlfn.TEXTSPLIT(AI122,",",),0,2)+$A$18,$A$18))/5,0)))</f>
        <v>6</v>
      </c>
      <c r="AJ24" s="1" cm="1">
        <f t="array" aca="1" ref="AJ24" ca="1">(INDEX($K$2:$T$11,ROUNDUP(IF(MOD($A24+INDEX(_xlfn.TEXTSPLIT(AJ79,",",),0,1)+$A$18,$A$18)=0,$A$18,MOD($A24+INDEX(_xlfn.TEXTSPLIT(AJ79,",",),0,1)+$A$18,$A$18))/4,0),ROUNDUP(IF(MOD(AJ$18+INDEX(_xlfn.TEXTSPLIT(AJ79,",",),0,2)+$A$18,$A$18)=0,$A$18,MOD(AJ$18+INDEX(_xlfn.TEXTSPLIT(AJ79,",",),0,2)+$A$18,$A$18))/4,0)))+(INDEX($AD$2:$AK$9,ROUNDUP(IF(MOD($A24+INDEX(_xlfn.TEXTSPLIT(AJ122,",",),0,1)+$A$18,$A$18)=0,$A$18,MOD($A24+INDEX(_xlfn.TEXTSPLIT(AJ122,",",),0,1)+$A$18,$A$18))/5,0),ROUNDUP(IF(MOD(AJ$18+INDEX(_xlfn.TEXTSPLIT(AJ122,",",),0,2)+$A$18,$A$18)=0,$A$18,MOD(AJ$18+INDEX(_xlfn.TEXTSPLIT(AJ122,",",),0,2)+$A$18,$A$18))/5,0)))</f>
        <v>8</v>
      </c>
      <c r="AK24" s="1" cm="1">
        <f t="array" aca="1" ref="AK24" ca="1">(INDEX($K$2:$T$11,ROUNDUP(IF(MOD($A24+INDEX(_xlfn.TEXTSPLIT(AK79,",",),0,1)+$A$18,$A$18)=0,$A$18,MOD($A24+INDEX(_xlfn.TEXTSPLIT(AK79,",",),0,1)+$A$18,$A$18))/4,0),ROUNDUP(IF(MOD(AK$18+INDEX(_xlfn.TEXTSPLIT(AK79,",",),0,2)+$A$18,$A$18)=0,$A$18,MOD(AK$18+INDEX(_xlfn.TEXTSPLIT(AK79,",",),0,2)+$A$18,$A$18))/4,0)))+(INDEX($AD$2:$AK$9,ROUNDUP(IF(MOD($A24+INDEX(_xlfn.TEXTSPLIT(AK122,",",),0,1)+$A$18,$A$18)=0,$A$18,MOD($A24+INDEX(_xlfn.TEXTSPLIT(AK122,",",),0,1)+$A$18,$A$18))/5,0),ROUNDUP(IF(MOD(AK$18+INDEX(_xlfn.TEXTSPLIT(AK122,",",),0,2)+$A$18,$A$18)=0,$A$18,MOD(AK$18+INDEX(_xlfn.TEXTSPLIT(AK122,",",),0,2)+$A$18,$A$18))/5,0)))</f>
        <v>5</v>
      </c>
      <c r="AL24" s="1" cm="1">
        <f t="array" aca="1" ref="AL24" ca="1">(INDEX($K$2:$T$11,ROUNDUP(IF(MOD($A24+INDEX(_xlfn.TEXTSPLIT(AL79,",",),0,1)+$A$18,$A$18)=0,$A$18,MOD($A24+INDEX(_xlfn.TEXTSPLIT(AL79,",",),0,1)+$A$18,$A$18))/4,0),ROUNDUP(IF(MOD(AL$18+INDEX(_xlfn.TEXTSPLIT(AL79,",",),0,2)+$A$18,$A$18)=0,$A$18,MOD(AL$18+INDEX(_xlfn.TEXTSPLIT(AL79,",",),0,2)+$A$18,$A$18))/4,0)))+(INDEX($AD$2:$AK$9,ROUNDUP(IF(MOD($A24+INDEX(_xlfn.TEXTSPLIT(AL122,",",),0,1)+$A$18,$A$18)=0,$A$18,MOD($A24+INDEX(_xlfn.TEXTSPLIT(AL122,",",),0,1)+$A$18,$A$18))/5,0),ROUNDUP(IF(MOD(AL$18+INDEX(_xlfn.TEXTSPLIT(AL122,",",),0,2)+$A$18,$A$18)=0,$A$18,MOD(AL$18+INDEX(_xlfn.TEXTSPLIT(AL122,",",),0,2)+$A$18,$A$18))/5,0)))</f>
        <v>1</v>
      </c>
      <c r="AM24" s="1" cm="1">
        <f t="array" aca="1" ref="AM24" ca="1">(INDEX($K$2:$T$11,ROUNDUP(IF(MOD($A24+INDEX(_xlfn.TEXTSPLIT(AM79,",",),0,1)+$A$18,$A$18)=0,$A$18,MOD($A24+INDEX(_xlfn.TEXTSPLIT(AM79,",",),0,1)+$A$18,$A$18))/4,0),ROUNDUP(IF(MOD(AM$18+INDEX(_xlfn.TEXTSPLIT(AM79,",",),0,2)+$A$18,$A$18)=0,$A$18,MOD(AM$18+INDEX(_xlfn.TEXTSPLIT(AM79,",",),0,2)+$A$18,$A$18))/4,0)))+(INDEX($AD$2:$AK$9,ROUNDUP(IF(MOD($A24+INDEX(_xlfn.TEXTSPLIT(AM122,",",),0,1)+$A$18,$A$18)=0,$A$18,MOD($A24+INDEX(_xlfn.TEXTSPLIT(AM122,",",),0,1)+$A$18,$A$18))/5,0),ROUNDUP(IF(MOD(AM$18+INDEX(_xlfn.TEXTSPLIT(AM122,",",),0,2)+$A$18,$A$18)=0,$A$18,MOD(AM$18+INDEX(_xlfn.TEXTSPLIT(AM122,",",),0,2)+$A$18,$A$18))/5,0)))</f>
        <v>1</v>
      </c>
      <c r="AN24" s="1" cm="1">
        <f t="array" aca="1" ref="AN24" ca="1">(INDEX($K$2:$T$11,ROUNDUP(IF(MOD($A24+INDEX(_xlfn.TEXTSPLIT(AN79,",",),0,1)+$A$18,$A$18)=0,$A$18,MOD($A24+INDEX(_xlfn.TEXTSPLIT(AN79,",",),0,1)+$A$18,$A$18))/4,0),ROUNDUP(IF(MOD(AN$18+INDEX(_xlfn.TEXTSPLIT(AN79,",",),0,2)+$A$18,$A$18)=0,$A$18,MOD(AN$18+INDEX(_xlfn.TEXTSPLIT(AN79,",",),0,2)+$A$18,$A$18))/4,0)))+(INDEX($AD$2:$AK$9,ROUNDUP(IF(MOD($A24+INDEX(_xlfn.TEXTSPLIT(AN122,",",),0,1)+$A$18,$A$18)=0,$A$18,MOD($A24+INDEX(_xlfn.TEXTSPLIT(AN122,",",),0,1)+$A$18,$A$18))/5,0),ROUNDUP(IF(MOD(AN$18+INDEX(_xlfn.TEXTSPLIT(AN122,",",),0,2)+$A$18,$A$18)=0,$A$18,MOD(AN$18+INDEX(_xlfn.TEXTSPLIT(AN122,",",),0,2)+$A$18,$A$18))/5,0)))</f>
        <v>1</v>
      </c>
      <c r="AO24" s="1" cm="1">
        <f t="array" aca="1" ref="AO24" ca="1">(INDEX($K$2:$T$11,ROUNDUP(IF(MOD($A24+INDEX(_xlfn.TEXTSPLIT(AO79,",",),0,1)+$A$18,$A$18)=0,$A$18,MOD($A24+INDEX(_xlfn.TEXTSPLIT(AO79,",",),0,1)+$A$18,$A$18))/4,0),ROUNDUP(IF(MOD(AO$18+INDEX(_xlfn.TEXTSPLIT(AO79,",",),0,2)+$A$18,$A$18)=0,$A$18,MOD(AO$18+INDEX(_xlfn.TEXTSPLIT(AO79,",",),0,2)+$A$18,$A$18))/4,0)))+(INDEX($AD$2:$AK$9,ROUNDUP(IF(MOD($A24+INDEX(_xlfn.TEXTSPLIT(AO122,",",),0,1)+$A$18,$A$18)=0,$A$18,MOD($A24+INDEX(_xlfn.TEXTSPLIT(AO122,",",),0,1)+$A$18,$A$18))/5,0),ROUNDUP(IF(MOD(AO$18+INDEX(_xlfn.TEXTSPLIT(AO122,",",),0,2)+$A$18,$A$18)=0,$A$18,MOD(AO$18+INDEX(_xlfn.TEXTSPLIT(AO122,",",),0,2)+$A$18,$A$18))/5,0)))</f>
        <v>2</v>
      </c>
    </row>
    <row r="25" spans="1:41" ht="12.75">
      <c r="A25" s="1">
        <v>7</v>
      </c>
      <c r="B25" s="1" cm="1">
        <f t="array" aca="1" ref="B25" ca="1">(INDEX($K$2:$T$11,ROUNDUP(IF(MOD($A25+INDEX(_xlfn.TEXTSPLIT(B80,",",),0,1)+$A$18,$A$18)=0,$A$18,MOD($A25+INDEX(_xlfn.TEXTSPLIT(B80,",",),0,1)+$A$18,$A$18))/4,0),ROUNDUP(IF(MOD(B$18+INDEX(_xlfn.TEXTSPLIT(B80,",",),0,2)+$A$18,$A$18)=0,$A$18,MOD(B$18+INDEX(_xlfn.TEXTSPLIT(B80,",",),0,2)+$A$18,$A$18))/4,0)))+(INDEX($AD$2:$AK$9,ROUNDUP(IF(MOD($A25+INDEX(_xlfn.TEXTSPLIT(B123,",",),0,1)+$A$18,$A$18)=0,$A$18,MOD($A25+INDEX(_xlfn.TEXTSPLIT(B123,",",),0,1)+$A$18,$A$18))/5,0),ROUNDUP(IF(MOD(B$18+INDEX(_xlfn.TEXTSPLIT(B123,",",),0,2)+$A$18,$A$18)=0,$A$18,MOD(B$18+INDEX(_xlfn.TEXTSPLIT(B123,",",),0,2)+$A$18,$A$18))/5,0)))</f>
        <v>1</v>
      </c>
      <c r="C25" s="1" cm="1">
        <f t="array" aca="1" ref="C25" ca="1">(INDEX($K$2:$T$11,ROUNDUP(IF(MOD($A25+INDEX(_xlfn.TEXTSPLIT(C80,",",),0,1)+$A$18,$A$18)=0,$A$18,MOD($A25+INDEX(_xlfn.TEXTSPLIT(C80,",",),0,1)+$A$18,$A$18))/4,0),ROUNDUP(IF(MOD(C$18+INDEX(_xlfn.TEXTSPLIT(C80,",",),0,2)+$A$18,$A$18)=0,$A$18,MOD(C$18+INDEX(_xlfn.TEXTSPLIT(C80,",",),0,2)+$A$18,$A$18))/4,0)))+(INDEX($AD$2:$AK$9,ROUNDUP(IF(MOD($A25+INDEX(_xlfn.TEXTSPLIT(C123,",",),0,1)+$A$18,$A$18)=0,$A$18,MOD($A25+INDEX(_xlfn.TEXTSPLIT(C123,",",),0,1)+$A$18,$A$18))/5,0),ROUNDUP(IF(MOD(C$18+INDEX(_xlfn.TEXTSPLIT(C123,",",),0,2)+$A$18,$A$18)=0,$A$18,MOD(C$18+INDEX(_xlfn.TEXTSPLIT(C123,",",),0,2)+$A$18,$A$18))/5,0)))</f>
        <v>5</v>
      </c>
      <c r="D25" s="1" cm="1">
        <f t="array" aca="1" ref="D25" ca="1">(INDEX($K$2:$T$11,ROUNDUP(IF(MOD($A25+INDEX(_xlfn.TEXTSPLIT(D80,",",),0,1)+$A$18,$A$18)=0,$A$18,MOD($A25+INDEX(_xlfn.TEXTSPLIT(D80,",",),0,1)+$A$18,$A$18))/4,0),ROUNDUP(IF(MOD(D$18+INDEX(_xlfn.TEXTSPLIT(D80,",",),0,2)+$A$18,$A$18)=0,$A$18,MOD(D$18+INDEX(_xlfn.TEXTSPLIT(D80,",",),0,2)+$A$18,$A$18))/4,0)))+(INDEX($AD$2:$AK$9,ROUNDUP(IF(MOD($A25+INDEX(_xlfn.TEXTSPLIT(D123,",",),0,1)+$A$18,$A$18)=0,$A$18,MOD($A25+INDEX(_xlfn.TEXTSPLIT(D123,",",),0,1)+$A$18,$A$18))/5,0),ROUNDUP(IF(MOD(D$18+INDEX(_xlfn.TEXTSPLIT(D123,",",),0,2)+$A$18,$A$18)=0,$A$18,MOD(D$18+INDEX(_xlfn.TEXTSPLIT(D123,",",),0,2)+$A$18,$A$18))/5,0)))</f>
        <v>5</v>
      </c>
      <c r="E25" s="1" cm="1">
        <f t="array" aca="1" ref="E25" ca="1">(INDEX($K$2:$T$11,ROUNDUP(IF(MOD($A25+INDEX(_xlfn.TEXTSPLIT(E80,",",),0,1)+$A$18,$A$18)=0,$A$18,MOD($A25+INDEX(_xlfn.TEXTSPLIT(E80,",",),0,1)+$A$18,$A$18))/4,0),ROUNDUP(IF(MOD(E$18+INDEX(_xlfn.TEXTSPLIT(E80,",",),0,2)+$A$18,$A$18)=0,$A$18,MOD(E$18+INDEX(_xlfn.TEXTSPLIT(E80,",",),0,2)+$A$18,$A$18))/4,0)))+(INDEX($AD$2:$AK$9,ROUNDUP(IF(MOD($A25+INDEX(_xlfn.TEXTSPLIT(E123,",",),0,1)+$A$18,$A$18)=0,$A$18,MOD($A25+INDEX(_xlfn.TEXTSPLIT(E123,",",),0,1)+$A$18,$A$18))/5,0),ROUNDUP(IF(MOD(E$18+INDEX(_xlfn.TEXTSPLIT(E123,",",),0,2)+$A$18,$A$18)=0,$A$18,MOD(E$18+INDEX(_xlfn.TEXTSPLIT(E123,",",),0,2)+$A$18,$A$18))/5,0)))</f>
        <v>5</v>
      </c>
      <c r="F25" s="1" cm="1">
        <f t="array" aca="1" ref="F25" ca="1">(INDEX($K$2:$T$11,ROUNDUP(IF(MOD($A25+INDEX(_xlfn.TEXTSPLIT(F80,",",),0,1)+$A$18,$A$18)=0,$A$18,MOD($A25+INDEX(_xlfn.TEXTSPLIT(F80,",",),0,1)+$A$18,$A$18))/4,0),ROUNDUP(IF(MOD(F$18+INDEX(_xlfn.TEXTSPLIT(F80,",",),0,2)+$A$18,$A$18)=0,$A$18,MOD(F$18+INDEX(_xlfn.TEXTSPLIT(F80,",",),0,2)+$A$18,$A$18))/4,0)))+(INDEX($AD$2:$AK$9,ROUNDUP(IF(MOD($A25+INDEX(_xlfn.TEXTSPLIT(F123,",",),0,1)+$A$18,$A$18)=0,$A$18,MOD($A25+INDEX(_xlfn.TEXTSPLIT(F123,",",),0,1)+$A$18,$A$18))/5,0),ROUNDUP(IF(MOD(F$18+INDEX(_xlfn.TEXTSPLIT(F123,",",),0,2)+$A$18,$A$18)=0,$A$18,MOD(F$18+INDEX(_xlfn.TEXTSPLIT(F123,",",),0,2)+$A$18,$A$18))/5,0)))</f>
        <v>8</v>
      </c>
      <c r="G25" s="1" cm="1">
        <f t="array" aca="1" ref="G25" ca="1">(INDEX($K$2:$T$11,ROUNDUP(IF(MOD($A25+INDEX(_xlfn.TEXTSPLIT(G80,",",),0,1)+$A$18,$A$18)=0,$A$18,MOD($A25+INDEX(_xlfn.TEXTSPLIT(G80,",",),0,1)+$A$18,$A$18))/4,0),ROUNDUP(IF(MOD(G$18+INDEX(_xlfn.TEXTSPLIT(G80,",",),0,2)+$A$18,$A$18)=0,$A$18,MOD(G$18+INDEX(_xlfn.TEXTSPLIT(G80,",",),0,2)+$A$18,$A$18))/4,0)))+(INDEX($AD$2:$AK$9,ROUNDUP(IF(MOD($A25+INDEX(_xlfn.TEXTSPLIT(G123,",",),0,1)+$A$18,$A$18)=0,$A$18,MOD($A25+INDEX(_xlfn.TEXTSPLIT(G123,",",),0,1)+$A$18,$A$18))/5,0),ROUNDUP(IF(MOD(G$18+INDEX(_xlfn.TEXTSPLIT(G123,",",),0,2)+$A$18,$A$18)=0,$A$18,MOD(G$18+INDEX(_xlfn.TEXTSPLIT(G123,",",),0,2)+$A$18,$A$18))/5,0)))</f>
        <v>8</v>
      </c>
      <c r="H25" s="1" cm="1">
        <f t="array" aca="1" ref="H25" ca="1">(INDEX($K$2:$T$11,ROUNDUP(IF(MOD($A25+INDEX(_xlfn.TEXTSPLIT(H80,",",),0,1)+$A$18,$A$18)=0,$A$18,MOD($A25+INDEX(_xlfn.TEXTSPLIT(H80,",",),0,1)+$A$18,$A$18))/4,0),ROUNDUP(IF(MOD(H$18+INDEX(_xlfn.TEXTSPLIT(H80,",",),0,2)+$A$18,$A$18)=0,$A$18,MOD(H$18+INDEX(_xlfn.TEXTSPLIT(H80,",",),0,2)+$A$18,$A$18))/4,0)))+(INDEX($AD$2:$AK$9,ROUNDUP(IF(MOD($A25+INDEX(_xlfn.TEXTSPLIT(H123,",",),0,1)+$A$18,$A$18)=0,$A$18,MOD($A25+INDEX(_xlfn.TEXTSPLIT(H123,",",),0,1)+$A$18,$A$18))/5,0),ROUNDUP(IF(MOD(H$18+INDEX(_xlfn.TEXTSPLIT(H123,",",),0,2)+$A$18,$A$18)=0,$A$18,MOD(H$18+INDEX(_xlfn.TEXTSPLIT(H123,",",),0,2)+$A$18,$A$18))/5,0)))</f>
        <v>8</v>
      </c>
      <c r="I25" s="1" cm="1">
        <f t="array" aca="1" ref="I25" ca="1">(INDEX($K$2:$T$11,ROUNDUP(IF(MOD($A25+INDEX(_xlfn.TEXTSPLIT(I80,",",),0,1)+$A$18,$A$18)=0,$A$18,MOD($A25+INDEX(_xlfn.TEXTSPLIT(I80,",",),0,1)+$A$18,$A$18))/4,0),ROUNDUP(IF(MOD(I$18+INDEX(_xlfn.TEXTSPLIT(I80,",",),0,2)+$A$18,$A$18)=0,$A$18,MOD(I$18+INDEX(_xlfn.TEXTSPLIT(I80,",",),0,2)+$A$18,$A$18))/4,0)))+(INDEX($AD$2:$AK$9,ROUNDUP(IF(MOD($A25+INDEX(_xlfn.TEXTSPLIT(I123,",",),0,1)+$A$18,$A$18)=0,$A$18,MOD($A25+INDEX(_xlfn.TEXTSPLIT(I123,",",),0,1)+$A$18,$A$18))/5,0),ROUNDUP(IF(MOD(I$18+INDEX(_xlfn.TEXTSPLIT(I123,",",),0,2)+$A$18,$A$18)=0,$A$18,MOD(I$18+INDEX(_xlfn.TEXTSPLIT(I123,",",),0,2)+$A$18,$A$18))/5,0)))</f>
        <v>8</v>
      </c>
      <c r="J25" s="1" cm="1">
        <f t="array" aca="1" ref="J25" ca="1">(INDEX($K$2:$T$11,ROUNDUP(IF(MOD($A25+INDEX(_xlfn.TEXTSPLIT(J80,",",),0,1)+$A$18,$A$18)=0,$A$18,MOD($A25+INDEX(_xlfn.TEXTSPLIT(J80,",",),0,1)+$A$18,$A$18))/4,0),ROUNDUP(IF(MOD(J$18+INDEX(_xlfn.TEXTSPLIT(J80,",",),0,2)+$A$18,$A$18)=0,$A$18,MOD(J$18+INDEX(_xlfn.TEXTSPLIT(J80,",",),0,2)+$A$18,$A$18))/4,0)))+(INDEX($AD$2:$AK$9,ROUNDUP(IF(MOD($A25+INDEX(_xlfn.TEXTSPLIT(J123,",",),0,1)+$A$18,$A$18)=0,$A$18,MOD($A25+INDEX(_xlfn.TEXTSPLIT(J123,",",),0,1)+$A$18,$A$18))/5,0),ROUNDUP(IF(MOD(J$18+INDEX(_xlfn.TEXTSPLIT(J123,",",),0,2)+$A$18,$A$18)=0,$A$18,MOD(J$18+INDEX(_xlfn.TEXTSPLIT(J123,",",),0,2)+$A$18,$A$18))/5,0)))</f>
        <v>8</v>
      </c>
      <c r="K25" s="1" cm="1">
        <f t="array" aca="1" ref="K25" ca="1">(INDEX($K$2:$T$11,ROUNDUP(IF(MOD($A25+INDEX(_xlfn.TEXTSPLIT(K80,",",),0,1)+$A$18,$A$18)=0,$A$18,MOD($A25+INDEX(_xlfn.TEXTSPLIT(K80,",",),0,1)+$A$18,$A$18))/4,0),ROUNDUP(IF(MOD(K$18+INDEX(_xlfn.TEXTSPLIT(K80,",",),0,2)+$A$18,$A$18)=0,$A$18,MOD(K$18+INDEX(_xlfn.TEXTSPLIT(K80,",",),0,2)+$A$18,$A$18))/4,0)))+(INDEX($AD$2:$AK$9,ROUNDUP(IF(MOD($A25+INDEX(_xlfn.TEXTSPLIT(K123,",",),0,1)+$A$18,$A$18)=0,$A$18,MOD($A25+INDEX(_xlfn.TEXTSPLIT(K123,",",),0,1)+$A$18,$A$18))/5,0),ROUNDUP(IF(MOD(K$18+INDEX(_xlfn.TEXTSPLIT(K123,",",),0,2)+$A$18,$A$18)=0,$A$18,MOD(K$18+INDEX(_xlfn.TEXTSPLIT(K123,",",),0,2)+$A$18,$A$18))/5,0)))</f>
        <v>8</v>
      </c>
      <c r="L25" s="1" cm="1">
        <f t="array" aca="1" ref="L25" ca="1">(INDEX($K$2:$T$11,ROUNDUP(IF(MOD($A25+INDEX(_xlfn.TEXTSPLIT(L80,",",),0,1)+$A$18,$A$18)=0,$A$18,MOD($A25+INDEX(_xlfn.TEXTSPLIT(L80,",",),0,1)+$A$18,$A$18))/4,0),ROUNDUP(IF(MOD(L$18+INDEX(_xlfn.TEXTSPLIT(L80,",",),0,2)+$A$18,$A$18)=0,$A$18,MOD(L$18+INDEX(_xlfn.TEXTSPLIT(L80,",",),0,2)+$A$18,$A$18))/4,0)))+(INDEX($AD$2:$AK$9,ROUNDUP(IF(MOD($A25+INDEX(_xlfn.TEXTSPLIT(L123,",",),0,1)+$A$18,$A$18)=0,$A$18,MOD($A25+INDEX(_xlfn.TEXTSPLIT(L123,",",),0,1)+$A$18,$A$18))/5,0),ROUNDUP(IF(MOD(L$18+INDEX(_xlfn.TEXTSPLIT(L123,",",),0,2)+$A$18,$A$18)=0,$A$18,MOD(L$18+INDEX(_xlfn.TEXTSPLIT(L123,",",),0,2)+$A$18,$A$18))/5,0)))</f>
        <v>5</v>
      </c>
      <c r="M25" s="1" cm="1">
        <f t="array" aca="1" ref="M25" ca="1">(INDEX($K$2:$T$11,ROUNDUP(IF(MOD($A25+INDEX(_xlfn.TEXTSPLIT(M80,",",),0,1)+$A$18,$A$18)=0,$A$18,MOD($A25+INDEX(_xlfn.TEXTSPLIT(M80,",",),0,1)+$A$18,$A$18))/4,0),ROUNDUP(IF(MOD(M$18+INDEX(_xlfn.TEXTSPLIT(M80,",",),0,2)+$A$18,$A$18)=0,$A$18,MOD(M$18+INDEX(_xlfn.TEXTSPLIT(M80,",",),0,2)+$A$18,$A$18))/4,0)))+(INDEX($AD$2:$AK$9,ROUNDUP(IF(MOD($A25+INDEX(_xlfn.TEXTSPLIT(M123,",",),0,1)+$A$18,$A$18)=0,$A$18,MOD($A25+INDEX(_xlfn.TEXTSPLIT(M123,",",),0,1)+$A$18,$A$18))/5,0),ROUNDUP(IF(MOD(M$18+INDEX(_xlfn.TEXTSPLIT(M123,",",),0,2)+$A$18,$A$18)=0,$A$18,MOD(M$18+INDEX(_xlfn.TEXTSPLIT(M123,",",),0,2)+$A$18,$A$18))/5,0)))</f>
        <v>5</v>
      </c>
      <c r="N25" s="1" cm="1">
        <f t="array" aca="1" ref="N25" ca="1">(INDEX($K$2:$T$11,ROUNDUP(IF(MOD($A25+INDEX(_xlfn.TEXTSPLIT(N80,",",),0,1)+$A$18,$A$18)=0,$A$18,MOD($A25+INDEX(_xlfn.TEXTSPLIT(N80,",",),0,1)+$A$18,$A$18))/4,0),ROUNDUP(IF(MOD(N$18+INDEX(_xlfn.TEXTSPLIT(N80,",",),0,2)+$A$18,$A$18)=0,$A$18,MOD(N$18+INDEX(_xlfn.TEXTSPLIT(N80,",",),0,2)+$A$18,$A$18))/4,0)))+(INDEX($AD$2:$AK$9,ROUNDUP(IF(MOD($A25+INDEX(_xlfn.TEXTSPLIT(N123,",",),0,1)+$A$18,$A$18)=0,$A$18,MOD($A25+INDEX(_xlfn.TEXTSPLIT(N123,",",),0,1)+$A$18,$A$18))/5,0),ROUNDUP(IF(MOD(N$18+INDEX(_xlfn.TEXTSPLIT(N123,",",),0,2)+$A$18,$A$18)=0,$A$18,MOD(N$18+INDEX(_xlfn.TEXTSPLIT(N123,",",),0,2)+$A$18,$A$18))/5,0)))</f>
        <v>5</v>
      </c>
      <c r="O25" s="1" cm="1">
        <f t="array" aca="1" ref="O25" ca="1">(INDEX($K$2:$T$11,ROUNDUP(IF(MOD($A25+INDEX(_xlfn.TEXTSPLIT(O80,",",),0,1)+$A$18,$A$18)=0,$A$18,MOD($A25+INDEX(_xlfn.TEXTSPLIT(O80,",",),0,1)+$A$18,$A$18))/4,0),ROUNDUP(IF(MOD(O$18+INDEX(_xlfn.TEXTSPLIT(O80,",",),0,2)+$A$18,$A$18)=0,$A$18,MOD(O$18+INDEX(_xlfn.TEXTSPLIT(O80,",",),0,2)+$A$18,$A$18))/4,0)))+(INDEX($AD$2:$AK$9,ROUNDUP(IF(MOD($A25+INDEX(_xlfn.TEXTSPLIT(O123,",",),0,1)+$A$18,$A$18)=0,$A$18,MOD($A25+INDEX(_xlfn.TEXTSPLIT(O123,",",),0,1)+$A$18,$A$18))/5,0),ROUNDUP(IF(MOD(O$18+INDEX(_xlfn.TEXTSPLIT(O123,",",),0,2)+$A$18,$A$18)=0,$A$18,MOD(O$18+INDEX(_xlfn.TEXTSPLIT(O123,",",),0,2)+$A$18,$A$18))/5,0)))</f>
        <v>5</v>
      </c>
      <c r="P25" s="1" cm="1">
        <f t="array" aca="1" ref="P25" ca="1">(INDEX($K$2:$T$11,ROUNDUP(IF(MOD($A25+INDEX(_xlfn.TEXTSPLIT(P80,",",),0,1)+$A$18,$A$18)=0,$A$18,MOD($A25+INDEX(_xlfn.TEXTSPLIT(P80,",",),0,1)+$A$18,$A$18))/4,0),ROUNDUP(IF(MOD(P$18+INDEX(_xlfn.TEXTSPLIT(P80,",",),0,2)+$A$18,$A$18)=0,$A$18,MOD(P$18+INDEX(_xlfn.TEXTSPLIT(P80,",",),0,2)+$A$18,$A$18))/4,0)))+(INDEX($AD$2:$AK$9,ROUNDUP(IF(MOD($A25+INDEX(_xlfn.TEXTSPLIT(P123,",",),0,1)+$A$18,$A$18)=0,$A$18,MOD($A25+INDEX(_xlfn.TEXTSPLIT(P123,",",),0,1)+$A$18,$A$18))/5,0),ROUNDUP(IF(MOD(P$18+INDEX(_xlfn.TEXTSPLIT(P123,",",),0,2)+$A$18,$A$18)=0,$A$18,MOD(P$18+INDEX(_xlfn.TEXTSPLIT(P123,",",),0,2)+$A$18,$A$18))/5,0)))</f>
        <v>5</v>
      </c>
      <c r="Q25" s="1" cm="1">
        <f t="array" aca="1" ref="Q25" ca="1">(INDEX($K$2:$T$11,ROUNDUP(IF(MOD($A25+INDEX(_xlfn.TEXTSPLIT(Q80,",",),0,1)+$A$18,$A$18)=0,$A$18,MOD($A25+INDEX(_xlfn.TEXTSPLIT(Q80,",",),0,1)+$A$18,$A$18))/4,0),ROUNDUP(IF(MOD(Q$18+INDEX(_xlfn.TEXTSPLIT(Q80,",",),0,2)+$A$18,$A$18)=0,$A$18,MOD(Q$18+INDEX(_xlfn.TEXTSPLIT(Q80,",",),0,2)+$A$18,$A$18))/4,0)))+(INDEX($AD$2:$AK$9,ROUNDUP(IF(MOD($A25+INDEX(_xlfn.TEXTSPLIT(Q123,",",),0,1)+$A$18,$A$18)=0,$A$18,MOD($A25+INDEX(_xlfn.TEXTSPLIT(Q123,",",),0,1)+$A$18,$A$18))/5,0),ROUNDUP(IF(MOD(Q$18+INDEX(_xlfn.TEXTSPLIT(Q123,",",),0,2)+$A$18,$A$18)=0,$A$18,MOD(Q$18+INDEX(_xlfn.TEXTSPLIT(Q123,",",),0,2)+$A$18,$A$18))/5,0)))</f>
        <v>5</v>
      </c>
      <c r="R25" s="1" cm="1">
        <f t="array" aca="1" ref="R25" ca="1">(INDEX($K$2:$T$11,ROUNDUP(IF(MOD($A25+INDEX(_xlfn.TEXTSPLIT(R80,",",),0,1)+$A$18,$A$18)=0,$A$18,MOD($A25+INDEX(_xlfn.TEXTSPLIT(R80,",",),0,1)+$A$18,$A$18))/4,0),ROUNDUP(IF(MOD(R$18+INDEX(_xlfn.TEXTSPLIT(R80,",",),0,2)+$A$18,$A$18)=0,$A$18,MOD(R$18+INDEX(_xlfn.TEXTSPLIT(R80,",",),0,2)+$A$18,$A$18))/4,0)))+(INDEX($AD$2:$AK$9,ROUNDUP(IF(MOD($A25+INDEX(_xlfn.TEXTSPLIT(R123,",",),0,1)+$A$18,$A$18)=0,$A$18,MOD($A25+INDEX(_xlfn.TEXTSPLIT(R123,",",),0,1)+$A$18,$A$18))/5,0),ROUNDUP(IF(MOD(R$18+INDEX(_xlfn.TEXTSPLIT(R123,",",),0,2)+$A$18,$A$18)=0,$A$18,MOD(R$18+INDEX(_xlfn.TEXTSPLIT(R123,",",),0,2)+$A$18,$A$18))/5,0)))</f>
        <v>5</v>
      </c>
      <c r="S25" s="1" cm="1">
        <f t="array" aca="1" ref="S25" ca="1">(INDEX($K$2:$T$11,ROUNDUP(IF(MOD($A25+INDEX(_xlfn.TEXTSPLIT(S80,",",),0,1)+$A$18,$A$18)=0,$A$18,MOD($A25+INDEX(_xlfn.TEXTSPLIT(S80,",",),0,1)+$A$18,$A$18))/4,0),ROUNDUP(IF(MOD(S$18+INDEX(_xlfn.TEXTSPLIT(S80,",",),0,2)+$A$18,$A$18)=0,$A$18,MOD(S$18+INDEX(_xlfn.TEXTSPLIT(S80,",",),0,2)+$A$18,$A$18))/4,0)))+(INDEX($AD$2:$AK$9,ROUNDUP(IF(MOD($A25+INDEX(_xlfn.TEXTSPLIT(S123,",",),0,1)+$A$18,$A$18)=0,$A$18,MOD($A25+INDEX(_xlfn.TEXTSPLIT(S123,",",),0,1)+$A$18,$A$18))/5,0),ROUNDUP(IF(MOD(S$18+INDEX(_xlfn.TEXTSPLIT(S123,",",),0,2)+$A$18,$A$18)=0,$A$18,MOD(S$18+INDEX(_xlfn.TEXTSPLIT(S123,",",),0,2)+$A$18,$A$18))/5,0)))</f>
        <v>5</v>
      </c>
      <c r="T25" s="1" cm="1">
        <f t="array" aca="1" ref="T25" ca="1">(INDEX($K$2:$T$11,ROUNDUP(IF(MOD($A25+INDEX(_xlfn.TEXTSPLIT(T80,",",),0,1)+$A$18,$A$18)=0,$A$18,MOD($A25+INDEX(_xlfn.TEXTSPLIT(T80,",",),0,1)+$A$18,$A$18))/4,0),ROUNDUP(IF(MOD(T$18+INDEX(_xlfn.TEXTSPLIT(T80,",",),0,2)+$A$18,$A$18)=0,$A$18,MOD(T$18+INDEX(_xlfn.TEXTSPLIT(T80,",",),0,2)+$A$18,$A$18))/4,0)))+(INDEX($AD$2:$AK$9,ROUNDUP(IF(MOD($A25+INDEX(_xlfn.TEXTSPLIT(T123,",",),0,1)+$A$18,$A$18)=0,$A$18,MOD($A25+INDEX(_xlfn.TEXTSPLIT(T123,",",),0,1)+$A$18,$A$18))/5,0),ROUNDUP(IF(MOD(T$18+INDEX(_xlfn.TEXTSPLIT(T123,",",),0,2)+$A$18,$A$18)=0,$A$18,MOD(T$18+INDEX(_xlfn.TEXTSPLIT(T123,",",),0,2)+$A$18,$A$18))/5,0)))</f>
        <v>5</v>
      </c>
      <c r="U25" s="1" cm="1">
        <f t="array" aca="1" ref="U25" ca="1">(INDEX($K$2:$T$11,ROUNDUP(IF(MOD($A25+INDEX(_xlfn.TEXTSPLIT(U80,",",),0,1)+$A$18,$A$18)=0,$A$18,MOD($A25+INDEX(_xlfn.TEXTSPLIT(U80,",",),0,1)+$A$18,$A$18))/4,0),ROUNDUP(IF(MOD(U$18+INDEX(_xlfn.TEXTSPLIT(U80,",",),0,2)+$A$18,$A$18)=0,$A$18,MOD(U$18+INDEX(_xlfn.TEXTSPLIT(U80,",",),0,2)+$A$18,$A$18))/4,0)))+(INDEX($AD$2:$AK$9,ROUNDUP(IF(MOD($A25+INDEX(_xlfn.TEXTSPLIT(U123,",",),0,1)+$A$18,$A$18)=0,$A$18,MOD($A25+INDEX(_xlfn.TEXTSPLIT(U123,",",),0,1)+$A$18,$A$18))/5,0),ROUNDUP(IF(MOD(U$18+INDEX(_xlfn.TEXTSPLIT(U123,",",),0,2)+$A$18,$A$18)=0,$A$18,MOD(U$18+INDEX(_xlfn.TEXTSPLIT(U123,",",),0,2)+$A$18,$A$18))/5,0)))</f>
        <v>5</v>
      </c>
      <c r="V25" s="1" cm="1">
        <f t="array" aca="1" ref="V25" ca="1">(INDEX($K$2:$T$11,ROUNDUP(IF(MOD($A25+INDEX(_xlfn.TEXTSPLIT(V80,",",),0,1)+$A$18,$A$18)=0,$A$18,MOD($A25+INDEX(_xlfn.TEXTSPLIT(V80,",",),0,1)+$A$18,$A$18))/4,0),ROUNDUP(IF(MOD(V$18+INDEX(_xlfn.TEXTSPLIT(V80,",",),0,2)+$A$18,$A$18)=0,$A$18,MOD(V$18+INDEX(_xlfn.TEXTSPLIT(V80,",",),0,2)+$A$18,$A$18))/4,0)))+(INDEX($AD$2:$AK$9,ROUNDUP(IF(MOD($A25+INDEX(_xlfn.TEXTSPLIT(V123,",",),0,1)+$A$18,$A$18)=0,$A$18,MOD($A25+INDEX(_xlfn.TEXTSPLIT(V123,",",),0,1)+$A$18,$A$18))/5,0),ROUNDUP(IF(MOD(V$18+INDEX(_xlfn.TEXTSPLIT(V123,",",),0,2)+$A$18,$A$18)=0,$A$18,MOD(V$18+INDEX(_xlfn.TEXTSPLIT(V123,",",),0,2)+$A$18,$A$18))/5,0)))</f>
        <v>5</v>
      </c>
      <c r="W25" s="1" cm="1">
        <f t="array" aca="1" ref="W25" ca="1">(INDEX($K$2:$T$11,ROUNDUP(IF(MOD($A25+INDEX(_xlfn.TEXTSPLIT(W80,",",),0,1)+$A$18,$A$18)=0,$A$18,MOD($A25+INDEX(_xlfn.TEXTSPLIT(W80,",",),0,1)+$A$18,$A$18))/4,0),ROUNDUP(IF(MOD(W$18+INDEX(_xlfn.TEXTSPLIT(W80,",",),0,2)+$A$18,$A$18)=0,$A$18,MOD(W$18+INDEX(_xlfn.TEXTSPLIT(W80,",",),0,2)+$A$18,$A$18))/4,0)))+(INDEX($AD$2:$AK$9,ROUNDUP(IF(MOD($A25+INDEX(_xlfn.TEXTSPLIT(W123,",",),0,1)+$A$18,$A$18)=0,$A$18,MOD($A25+INDEX(_xlfn.TEXTSPLIT(W123,",",),0,1)+$A$18,$A$18))/5,0),ROUNDUP(IF(MOD(W$18+INDEX(_xlfn.TEXTSPLIT(W123,",",),0,2)+$A$18,$A$18)=0,$A$18,MOD(W$18+INDEX(_xlfn.TEXTSPLIT(W123,",",),0,2)+$A$18,$A$18))/5,0)))</f>
        <v>5</v>
      </c>
      <c r="X25" s="1" cm="1">
        <f t="array" aca="1" ref="X25" ca="1">(INDEX($K$2:$T$11,ROUNDUP(IF(MOD($A25+INDEX(_xlfn.TEXTSPLIT(X80,",",),0,1)+$A$18,$A$18)=0,$A$18,MOD($A25+INDEX(_xlfn.TEXTSPLIT(X80,",",),0,1)+$A$18,$A$18))/4,0),ROUNDUP(IF(MOD(X$18+INDEX(_xlfn.TEXTSPLIT(X80,",",),0,2)+$A$18,$A$18)=0,$A$18,MOD(X$18+INDEX(_xlfn.TEXTSPLIT(X80,",",),0,2)+$A$18,$A$18))/4,0)))+(INDEX($AD$2:$AK$9,ROUNDUP(IF(MOD($A25+INDEX(_xlfn.TEXTSPLIT(X123,",",),0,1)+$A$18,$A$18)=0,$A$18,MOD($A25+INDEX(_xlfn.TEXTSPLIT(X123,",",),0,1)+$A$18,$A$18))/5,0),ROUNDUP(IF(MOD(X$18+INDEX(_xlfn.TEXTSPLIT(X123,",",),0,2)+$A$18,$A$18)=0,$A$18,MOD(X$18+INDEX(_xlfn.TEXTSPLIT(X123,",",),0,2)+$A$18,$A$18))/5,0)))</f>
        <v>5</v>
      </c>
      <c r="Y25" s="1" cm="1">
        <f t="array" aca="1" ref="Y25" ca="1">(INDEX($K$2:$T$11,ROUNDUP(IF(MOD($A25+INDEX(_xlfn.TEXTSPLIT(Y80,",",),0,1)+$A$18,$A$18)=0,$A$18,MOD($A25+INDEX(_xlfn.TEXTSPLIT(Y80,",",),0,1)+$A$18,$A$18))/4,0),ROUNDUP(IF(MOD(Y$18+INDEX(_xlfn.TEXTSPLIT(Y80,",",),0,2)+$A$18,$A$18)=0,$A$18,MOD(Y$18+INDEX(_xlfn.TEXTSPLIT(Y80,",",),0,2)+$A$18,$A$18))/4,0)))+(INDEX($AD$2:$AK$9,ROUNDUP(IF(MOD($A25+INDEX(_xlfn.TEXTSPLIT(Y123,",",),0,1)+$A$18,$A$18)=0,$A$18,MOD($A25+INDEX(_xlfn.TEXTSPLIT(Y123,",",),0,1)+$A$18,$A$18))/5,0),ROUNDUP(IF(MOD(Y$18+INDEX(_xlfn.TEXTSPLIT(Y123,",",),0,2)+$A$18,$A$18)=0,$A$18,MOD(Y$18+INDEX(_xlfn.TEXTSPLIT(Y123,",",),0,2)+$A$18,$A$18))/5,0)))</f>
        <v>5</v>
      </c>
      <c r="Z25" s="1" cm="1">
        <f t="array" aca="1" ref="Z25" ca="1">(INDEX($K$2:$T$11,ROUNDUP(IF(MOD($A25+INDEX(_xlfn.TEXTSPLIT(Z80,",",),0,1)+$A$18,$A$18)=0,$A$18,MOD($A25+INDEX(_xlfn.TEXTSPLIT(Z80,",",),0,1)+$A$18,$A$18))/4,0),ROUNDUP(IF(MOD(Z$18+INDEX(_xlfn.TEXTSPLIT(Z80,",",),0,2)+$A$18,$A$18)=0,$A$18,MOD(Z$18+INDEX(_xlfn.TEXTSPLIT(Z80,",",),0,2)+$A$18,$A$18))/4,0)))+(INDEX($AD$2:$AK$9,ROUNDUP(IF(MOD($A25+INDEX(_xlfn.TEXTSPLIT(Z123,",",),0,1)+$A$18,$A$18)=0,$A$18,MOD($A25+INDEX(_xlfn.TEXTSPLIT(Z123,",",),0,1)+$A$18,$A$18))/5,0),ROUNDUP(IF(MOD(Z$18+INDEX(_xlfn.TEXTSPLIT(Z123,",",),0,2)+$A$18,$A$18)=0,$A$18,MOD(Z$18+INDEX(_xlfn.TEXTSPLIT(Z123,",",),0,2)+$A$18,$A$18))/5,0)))</f>
        <v>5</v>
      </c>
      <c r="AA25" s="1" cm="1">
        <f t="array" aca="1" ref="AA25" ca="1">(INDEX($K$2:$T$11,ROUNDUP(IF(MOD($A25+INDEX(_xlfn.TEXTSPLIT(AA80,",",),0,1)+$A$18,$A$18)=0,$A$18,MOD($A25+INDEX(_xlfn.TEXTSPLIT(AA80,",",),0,1)+$A$18,$A$18))/4,0),ROUNDUP(IF(MOD(AA$18+INDEX(_xlfn.TEXTSPLIT(AA80,",",),0,2)+$A$18,$A$18)=0,$A$18,MOD(AA$18+INDEX(_xlfn.TEXTSPLIT(AA80,",",),0,2)+$A$18,$A$18))/4,0)))+(INDEX($AD$2:$AK$9,ROUNDUP(IF(MOD($A25+INDEX(_xlfn.TEXTSPLIT(AA123,",",),0,1)+$A$18,$A$18)=0,$A$18,MOD($A25+INDEX(_xlfn.TEXTSPLIT(AA123,",",),0,1)+$A$18,$A$18))/5,0),ROUNDUP(IF(MOD(AA$18+INDEX(_xlfn.TEXTSPLIT(AA123,",",),0,2)+$A$18,$A$18)=0,$A$18,MOD(AA$18+INDEX(_xlfn.TEXTSPLIT(AA123,",",),0,2)+$A$18,$A$18))/5,0)))</f>
        <v>8</v>
      </c>
      <c r="AB25" s="1" cm="1">
        <f t="array" aca="1" ref="AB25" ca="1">(INDEX($K$2:$T$11,ROUNDUP(IF(MOD($A25+INDEX(_xlfn.TEXTSPLIT(AB80,",",),0,1)+$A$18,$A$18)=0,$A$18,MOD($A25+INDEX(_xlfn.TEXTSPLIT(AB80,",",),0,1)+$A$18,$A$18))/4,0),ROUNDUP(IF(MOD(AB$18+INDEX(_xlfn.TEXTSPLIT(AB80,",",),0,2)+$A$18,$A$18)=0,$A$18,MOD(AB$18+INDEX(_xlfn.TEXTSPLIT(AB80,",",),0,2)+$A$18,$A$18))/4,0)))+(INDEX($AD$2:$AK$9,ROUNDUP(IF(MOD($A25+INDEX(_xlfn.TEXTSPLIT(AB123,",",),0,1)+$A$18,$A$18)=0,$A$18,MOD($A25+INDEX(_xlfn.TEXTSPLIT(AB123,",",),0,1)+$A$18,$A$18))/5,0),ROUNDUP(IF(MOD(AB$18+INDEX(_xlfn.TEXTSPLIT(AB123,",",),0,2)+$A$18,$A$18)=0,$A$18,MOD(AB$18+INDEX(_xlfn.TEXTSPLIT(AB123,",",),0,2)+$A$18,$A$18))/5,0)))</f>
        <v>8</v>
      </c>
      <c r="AC25" s="1" cm="1">
        <f t="array" aca="1" ref="AC25" ca="1">(INDEX($K$2:$T$11,ROUNDUP(IF(MOD($A25+INDEX(_xlfn.TEXTSPLIT(AC80,",",),0,1)+$A$18,$A$18)=0,$A$18,MOD($A25+INDEX(_xlfn.TEXTSPLIT(AC80,",",),0,1)+$A$18,$A$18))/4,0),ROUNDUP(IF(MOD(AC$18+INDEX(_xlfn.TEXTSPLIT(AC80,",",),0,2)+$A$18,$A$18)=0,$A$18,MOD(AC$18+INDEX(_xlfn.TEXTSPLIT(AC80,",",),0,2)+$A$18,$A$18))/4,0)))+(INDEX($AD$2:$AK$9,ROUNDUP(IF(MOD($A25+INDEX(_xlfn.TEXTSPLIT(AC123,",",),0,1)+$A$18,$A$18)=0,$A$18,MOD($A25+INDEX(_xlfn.TEXTSPLIT(AC123,",",),0,1)+$A$18,$A$18))/5,0),ROUNDUP(IF(MOD(AC$18+INDEX(_xlfn.TEXTSPLIT(AC123,",",),0,2)+$A$18,$A$18)=0,$A$18,MOD(AC$18+INDEX(_xlfn.TEXTSPLIT(AC123,",",),0,2)+$A$18,$A$18))/5,0)))</f>
        <v>8</v>
      </c>
      <c r="AD25" s="1" cm="1">
        <f t="array" aca="1" ref="AD25" ca="1">(INDEX($K$2:$T$11,ROUNDUP(IF(MOD($A25+INDEX(_xlfn.TEXTSPLIT(AD80,",",),0,1)+$A$18,$A$18)=0,$A$18,MOD($A25+INDEX(_xlfn.TEXTSPLIT(AD80,",",),0,1)+$A$18,$A$18))/4,0),ROUNDUP(IF(MOD(AD$18+INDEX(_xlfn.TEXTSPLIT(AD80,",",),0,2)+$A$18,$A$18)=0,$A$18,MOD(AD$18+INDEX(_xlfn.TEXTSPLIT(AD80,",",),0,2)+$A$18,$A$18))/4,0)))+(INDEX($AD$2:$AK$9,ROUNDUP(IF(MOD($A25+INDEX(_xlfn.TEXTSPLIT(AD123,",",),0,1)+$A$18,$A$18)=0,$A$18,MOD($A25+INDEX(_xlfn.TEXTSPLIT(AD123,",",),0,1)+$A$18,$A$18))/5,0),ROUNDUP(IF(MOD(AD$18+INDEX(_xlfn.TEXTSPLIT(AD123,",",),0,2)+$A$18,$A$18)=0,$A$18,MOD(AD$18+INDEX(_xlfn.TEXTSPLIT(AD123,",",),0,2)+$A$18,$A$18))/5,0)))</f>
        <v>8</v>
      </c>
      <c r="AE25" s="1" cm="1">
        <f t="array" aca="1" ref="AE25" ca="1">(INDEX($K$2:$T$11,ROUNDUP(IF(MOD($A25+INDEX(_xlfn.TEXTSPLIT(AE80,",",),0,1)+$A$18,$A$18)=0,$A$18,MOD($A25+INDEX(_xlfn.TEXTSPLIT(AE80,",",),0,1)+$A$18,$A$18))/4,0),ROUNDUP(IF(MOD(AE$18+INDEX(_xlfn.TEXTSPLIT(AE80,",",),0,2)+$A$18,$A$18)=0,$A$18,MOD(AE$18+INDEX(_xlfn.TEXTSPLIT(AE80,",",),0,2)+$A$18,$A$18))/4,0)))+(INDEX($AD$2:$AK$9,ROUNDUP(IF(MOD($A25+INDEX(_xlfn.TEXTSPLIT(AE123,",",),0,1)+$A$18,$A$18)=0,$A$18,MOD($A25+INDEX(_xlfn.TEXTSPLIT(AE123,",",),0,1)+$A$18,$A$18))/5,0),ROUNDUP(IF(MOD(AE$18+INDEX(_xlfn.TEXTSPLIT(AE123,",",),0,2)+$A$18,$A$18)=0,$A$18,MOD(AE$18+INDEX(_xlfn.TEXTSPLIT(AE123,",",),0,2)+$A$18,$A$18))/5,0)))</f>
        <v>6</v>
      </c>
      <c r="AF25" s="1" cm="1">
        <f t="array" aca="1" ref="AF25" ca="1">(INDEX($K$2:$T$11,ROUNDUP(IF(MOD($A25+INDEX(_xlfn.TEXTSPLIT(AF80,",",),0,1)+$A$18,$A$18)=0,$A$18,MOD($A25+INDEX(_xlfn.TEXTSPLIT(AF80,",",),0,1)+$A$18,$A$18))/4,0),ROUNDUP(IF(MOD(AF$18+INDEX(_xlfn.TEXTSPLIT(AF80,",",),0,2)+$A$18,$A$18)=0,$A$18,MOD(AF$18+INDEX(_xlfn.TEXTSPLIT(AF80,",",),0,2)+$A$18,$A$18))/4,0)))+(INDEX($AD$2:$AK$9,ROUNDUP(IF(MOD($A25+INDEX(_xlfn.TEXTSPLIT(AF123,",",),0,1)+$A$18,$A$18)=0,$A$18,MOD($A25+INDEX(_xlfn.TEXTSPLIT(AF123,",",),0,1)+$A$18,$A$18))/5,0),ROUNDUP(IF(MOD(AF$18+INDEX(_xlfn.TEXTSPLIT(AF123,",",),0,2)+$A$18,$A$18)=0,$A$18,MOD(AF$18+INDEX(_xlfn.TEXTSPLIT(AF123,",",),0,2)+$A$18,$A$18))/5,0)))</f>
        <v>6</v>
      </c>
      <c r="AG25" s="1" cm="1">
        <f t="array" aca="1" ref="AG25" ca="1">(INDEX($K$2:$T$11,ROUNDUP(IF(MOD($A25+INDEX(_xlfn.TEXTSPLIT(AG80,",",),0,1)+$A$18,$A$18)=0,$A$18,MOD($A25+INDEX(_xlfn.TEXTSPLIT(AG80,",",),0,1)+$A$18,$A$18))/4,0),ROUNDUP(IF(MOD(AG$18+INDEX(_xlfn.TEXTSPLIT(AG80,",",),0,2)+$A$18,$A$18)=0,$A$18,MOD(AG$18+INDEX(_xlfn.TEXTSPLIT(AG80,",",),0,2)+$A$18,$A$18))/4,0)))+(INDEX($AD$2:$AK$9,ROUNDUP(IF(MOD($A25+INDEX(_xlfn.TEXTSPLIT(AG123,",",),0,1)+$A$18,$A$18)=0,$A$18,MOD($A25+INDEX(_xlfn.TEXTSPLIT(AG123,",",),0,1)+$A$18,$A$18))/5,0),ROUNDUP(IF(MOD(AG$18+INDEX(_xlfn.TEXTSPLIT(AG123,",",),0,2)+$A$18,$A$18)=0,$A$18,MOD(AG$18+INDEX(_xlfn.TEXTSPLIT(AG123,",",),0,2)+$A$18,$A$18))/5,0)))</f>
        <v>6</v>
      </c>
      <c r="AH25" s="1" cm="1">
        <f t="array" aca="1" ref="AH25" ca="1">(INDEX($K$2:$T$11,ROUNDUP(IF(MOD($A25+INDEX(_xlfn.TEXTSPLIT(AH80,",",),0,1)+$A$18,$A$18)=0,$A$18,MOD($A25+INDEX(_xlfn.TEXTSPLIT(AH80,",",),0,1)+$A$18,$A$18))/4,0),ROUNDUP(IF(MOD(AH$18+INDEX(_xlfn.TEXTSPLIT(AH80,",",),0,2)+$A$18,$A$18)=0,$A$18,MOD(AH$18+INDEX(_xlfn.TEXTSPLIT(AH80,",",),0,2)+$A$18,$A$18))/4,0)))+(INDEX($AD$2:$AK$9,ROUNDUP(IF(MOD($A25+INDEX(_xlfn.TEXTSPLIT(AH123,",",),0,1)+$A$18,$A$18)=0,$A$18,MOD($A25+INDEX(_xlfn.TEXTSPLIT(AH123,",",),0,1)+$A$18,$A$18))/5,0),ROUNDUP(IF(MOD(AH$18+INDEX(_xlfn.TEXTSPLIT(AH123,",",),0,2)+$A$18,$A$18)=0,$A$18,MOD(AH$18+INDEX(_xlfn.TEXTSPLIT(AH123,",",),0,2)+$A$18,$A$18))/5,0)))</f>
        <v>6</v>
      </c>
      <c r="AI25" s="1" cm="1">
        <f t="array" aca="1" ref="AI25" ca="1">(INDEX($K$2:$T$11,ROUNDUP(IF(MOD($A25+INDEX(_xlfn.TEXTSPLIT(AI80,",",),0,1)+$A$18,$A$18)=0,$A$18,MOD($A25+INDEX(_xlfn.TEXTSPLIT(AI80,",",),0,1)+$A$18,$A$18))/4,0),ROUNDUP(IF(MOD(AI$18+INDEX(_xlfn.TEXTSPLIT(AI80,",",),0,2)+$A$18,$A$18)=0,$A$18,MOD(AI$18+INDEX(_xlfn.TEXTSPLIT(AI80,",",),0,2)+$A$18,$A$18))/4,0)))+(INDEX($AD$2:$AK$9,ROUNDUP(IF(MOD($A25+INDEX(_xlfn.TEXTSPLIT(AI123,",",),0,1)+$A$18,$A$18)=0,$A$18,MOD($A25+INDEX(_xlfn.TEXTSPLIT(AI123,",",),0,1)+$A$18,$A$18))/5,0),ROUNDUP(IF(MOD(AI$18+INDEX(_xlfn.TEXTSPLIT(AI123,",",),0,2)+$A$18,$A$18)=0,$A$18,MOD(AI$18+INDEX(_xlfn.TEXTSPLIT(AI123,",",),0,2)+$A$18,$A$18))/5,0)))</f>
        <v>6</v>
      </c>
      <c r="AJ25" s="1" cm="1">
        <f t="array" aca="1" ref="AJ25" ca="1">(INDEX($K$2:$T$11,ROUNDUP(IF(MOD($A25+INDEX(_xlfn.TEXTSPLIT(AJ80,",",),0,1)+$A$18,$A$18)=0,$A$18,MOD($A25+INDEX(_xlfn.TEXTSPLIT(AJ80,",",),0,1)+$A$18,$A$18))/4,0),ROUNDUP(IF(MOD(AJ$18+INDEX(_xlfn.TEXTSPLIT(AJ80,",",),0,2)+$A$18,$A$18)=0,$A$18,MOD(AJ$18+INDEX(_xlfn.TEXTSPLIT(AJ80,",",),0,2)+$A$18,$A$18))/4,0)))+(INDEX($AD$2:$AK$9,ROUNDUP(IF(MOD($A25+INDEX(_xlfn.TEXTSPLIT(AJ123,",",),0,1)+$A$18,$A$18)=0,$A$18,MOD($A25+INDEX(_xlfn.TEXTSPLIT(AJ123,",",),0,1)+$A$18,$A$18))/5,0),ROUNDUP(IF(MOD(AJ$18+INDEX(_xlfn.TEXTSPLIT(AJ123,",",),0,2)+$A$18,$A$18)=0,$A$18,MOD(AJ$18+INDEX(_xlfn.TEXTSPLIT(AJ123,",",),0,2)+$A$18,$A$18))/5,0)))</f>
        <v>5</v>
      </c>
      <c r="AK25" s="1" cm="1">
        <f t="array" aca="1" ref="AK25" ca="1">(INDEX($K$2:$T$11,ROUNDUP(IF(MOD($A25+INDEX(_xlfn.TEXTSPLIT(AK80,",",),0,1)+$A$18,$A$18)=0,$A$18,MOD($A25+INDEX(_xlfn.TEXTSPLIT(AK80,",",),0,1)+$A$18,$A$18))/4,0),ROUNDUP(IF(MOD(AK$18+INDEX(_xlfn.TEXTSPLIT(AK80,",",),0,2)+$A$18,$A$18)=0,$A$18,MOD(AK$18+INDEX(_xlfn.TEXTSPLIT(AK80,",",),0,2)+$A$18,$A$18))/4,0)))+(INDEX($AD$2:$AK$9,ROUNDUP(IF(MOD($A25+INDEX(_xlfn.TEXTSPLIT(AK123,",",),0,1)+$A$18,$A$18)=0,$A$18,MOD($A25+INDEX(_xlfn.TEXTSPLIT(AK123,",",),0,1)+$A$18,$A$18))/5,0),ROUNDUP(IF(MOD(AK$18+INDEX(_xlfn.TEXTSPLIT(AK123,",",),0,2)+$A$18,$A$18)=0,$A$18,MOD(AK$18+INDEX(_xlfn.TEXTSPLIT(AK123,",",),0,2)+$A$18,$A$18))/5,0)))</f>
        <v>1</v>
      </c>
      <c r="AL25" s="1" cm="1">
        <f t="array" aca="1" ref="AL25" ca="1">(INDEX($K$2:$T$11,ROUNDUP(IF(MOD($A25+INDEX(_xlfn.TEXTSPLIT(AL80,",",),0,1)+$A$18,$A$18)=0,$A$18,MOD($A25+INDEX(_xlfn.TEXTSPLIT(AL80,",",),0,1)+$A$18,$A$18))/4,0),ROUNDUP(IF(MOD(AL$18+INDEX(_xlfn.TEXTSPLIT(AL80,",",),0,2)+$A$18,$A$18)=0,$A$18,MOD(AL$18+INDEX(_xlfn.TEXTSPLIT(AL80,",",),0,2)+$A$18,$A$18))/4,0)))+(INDEX($AD$2:$AK$9,ROUNDUP(IF(MOD($A25+INDEX(_xlfn.TEXTSPLIT(AL123,",",),0,1)+$A$18,$A$18)=0,$A$18,MOD($A25+INDEX(_xlfn.TEXTSPLIT(AL123,",",),0,1)+$A$18,$A$18))/5,0),ROUNDUP(IF(MOD(AL$18+INDEX(_xlfn.TEXTSPLIT(AL123,",",),0,2)+$A$18,$A$18)=0,$A$18,MOD(AL$18+INDEX(_xlfn.TEXTSPLIT(AL123,",",),0,2)+$A$18,$A$18))/5,0)))</f>
        <v>5</v>
      </c>
      <c r="AM25" s="1" cm="1">
        <f t="array" aca="1" ref="AM25" ca="1">(INDEX($K$2:$T$11,ROUNDUP(IF(MOD($A25+INDEX(_xlfn.TEXTSPLIT(AM80,",",),0,1)+$A$18,$A$18)=0,$A$18,MOD($A25+INDEX(_xlfn.TEXTSPLIT(AM80,",",),0,1)+$A$18,$A$18))/4,0),ROUNDUP(IF(MOD(AM$18+INDEX(_xlfn.TEXTSPLIT(AM80,",",),0,2)+$A$18,$A$18)=0,$A$18,MOD(AM$18+INDEX(_xlfn.TEXTSPLIT(AM80,",",),0,2)+$A$18,$A$18))/4,0)))+(INDEX($AD$2:$AK$9,ROUNDUP(IF(MOD($A25+INDEX(_xlfn.TEXTSPLIT(AM123,",",),0,1)+$A$18,$A$18)=0,$A$18,MOD($A25+INDEX(_xlfn.TEXTSPLIT(AM123,",",),0,1)+$A$18,$A$18))/5,0),ROUNDUP(IF(MOD(AM$18+INDEX(_xlfn.TEXTSPLIT(AM123,",",),0,2)+$A$18,$A$18)=0,$A$18,MOD(AM$18+INDEX(_xlfn.TEXTSPLIT(AM123,",",),0,2)+$A$18,$A$18))/5,0)))</f>
        <v>1</v>
      </c>
      <c r="AN25" s="1" cm="1">
        <f t="array" aca="1" ref="AN25" ca="1">(INDEX($K$2:$T$11,ROUNDUP(IF(MOD($A25+INDEX(_xlfn.TEXTSPLIT(AN80,",",),0,1)+$A$18,$A$18)=0,$A$18,MOD($A25+INDEX(_xlfn.TEXTSPLIT(AN80,",",),0,1)+$A$18,$A$18))/4,0),ROUNDUP(IF(MOD(AN$18+INDEX(_xlfn.TEXTSPLIT(AN80,",",),0,2)+$A$18,$A$18)=0,$A$18,MOD(AN$18+INDEX(_xlfn.TEXTSPLIT(AN80,",",),0,2)+$A$18,$A$18))/4,0)))+(INDEX($AD$2:$AK$9,ROUNDUP(IF(MOD($A25+INDEX(_xlfn.TEXTSPLIT(AN123,",",),0,1)+$A$18,$A$18)=0,$A$18,MOD($A25+INDEX(_xlfn.TEXTSPLIT(AN123,",",),0,1)+$A$18,$A$18))/5,0),ROUNDUP(IF(MOD(AN$18+INDEX(_xlfn.TEXTSPLIT(AN123,",",),0,2)+$A$18,$A$18)=0,$A$18,MOD(AN$18+INDEX(_xlfn.TEXTSPLIT(AN123,",",),0,2)+$A$18,$A$18))/5,0)))</f>
        <v>1</v>
      </c>
      <c r="AO25" s="1" cm="1">
        <f t="array" aca="1" ref="AO25" ca="1">(INDEX($K$2:$T$11,ROUNDUP(IF(MOD($A25+INDEX(_xlfn.TEXTSPLIT(AO80,",",),0,1)+$A$18,$A$18)=0,$A$18,MOD($A25+INDEX(_xlfn.TEXTSPLIT(AO80,",",),0,1)+$A$18,$A$18))/4,0),ROUNDUP(IF(MOD(AO$18+INDEX(_xlfn.TEXTSPLIT(AO80,",",),0,2)+$A$18,$A$18)=0,$A$18,MOD(AO$18+INDEX(_xlfn.TEXTSPLIT(AO80,",",),0,2)+$A$18,$A$18))/4,0)))+(INDEX($AD$2:$AK$9,ROUNDUP(IF(MOD($A25+INDEX(_xlfn.TEXTSPLIT(AO123,",",),0,1)+$A$18,$A$18)=0,$A$18,MOD($A25+INDEX(_xlfn.TEXTSPLIT(AO123,",",),0,1)+$A$18,$A$18))/5,0),ROUNDUP(IF(MOD(AO$18+INDEX(_xlfn.TEXTSPLIT(AO123,",",),0,2)+$A$18,$A$18)=0,$A$18,MOD(AO$18+INDEX(_xlfn.TEXTSPLIT(AO123,",",),0,2)+$A$18,$A$18))/5,0)))</f>
        <v>1</v>
      </c>
    </row>
    <row r="26" spans="1:41" ht="12.75">
      <c r="A26" s="1">
        <v>8</v>
      </c>
      <c r="B26" s="1" cm="1">
        <f t="array" aca="1" ref="B26" ca="1">(INDEX($K$2:$T$11,ROUNDUP(IF(MOD($A26+INDEX(_xlfn.TEXTSPLIT(B81,",",),0,1)+$A$18,$A$18)=0,$A$18,MOD($A26+INDEX(_xlfn.TEXTSPLIT(B81,",",),0,1)+$A$18,$A$18))/4,0),ROUNDUP(IF(MOD(B$18+INDEX(_xlfn.TEXTSPLIT(B81,",",),0,2)+$A$18,$A$18)=0,$A$18,MOD(B$18+INDEX(_xlfn.TEXTSPLIT(B81,",",),0,2)+$A$18,$A$18))/4,0)))+(INDEX($AD$2:$AK$9,ROUNDUP(IF(MOD($A26+INDEX(_xlfn.TEXTSPLIT(B124,",",),0,1)+$A$18,$A$18)=0,$A$18,MOD($A26+INDEX(_xlfn.TEXTSPLIT(B124,",",),0,1)+$A$18,$A$18))/5,0),ROUNDUP(IF(MOD(B$18+INDEX(_xlfn.TEXTSPLIT(B124,",",),0,2)+$A$18,$A$18)=0,$A$18,MOD(B$18+INDEX(_xlfn.TEXTSPLIT(B124,",",),0,2)+$A$18,$A$18))/5,0)))</f>
        <v>5</v>
      </c>
      <c r="C26" s="1" cm="1">
        <f t="array" aca="1" ref="C26" ca="1">(INDEX($K$2:$T$11,ROUNDUP(IF(MOD($A26+INDEX(_xlfn.TEXTSPLIT(C81,",",),0,1)+$A$18,$A$18)=0,$A$18,MOD($A26+INDEX(_xlfn.TEXTSPLIT(C81,",",),0,1)+$A$18,$A$18))/4,0),ROUNDUP(IF(MOD(C$18+INDEX(_xlfn.TEXTSPLIT(C81,",",),0,2)+$A$18,$A$18)=0,$A$18,MOD(C$18+INDEX(_xlfn.TEXTSPLIT(C81,",",),0,2)+$A$18,$A$18))/4,0)))+(INDEX($AD$2:$AK$9,ROUNDUP(IF(MOD($A26+INDEX(_xlfn.TEXTSPLIT(C124,",",),0,1)+$A$18,$A$18)=0,$A$18,MOD($A26+INDEX(_xlfn.TEXTSPLIT(C124,",",),0,1)+$A$18,$A$18))/5,0),ROUNDUP(IF(MOD(C$18+INDEX(_xlfn.TEXTSPLIT(C124,",",),0,2)+$A$18,$A$18)=0,$A$18,MOD(C$18+INDEX(_xlfn.TEXTSPLIT(C124,",",),0,2)+$A$18,$A$18))/5,0)))</f>
        <v>5</v>
      </c>
      <c r="D26" s="1" cm="1">
        <f t="array" aca="1" ref="D26" ca="1">(INDEX($K$2:$T$11,ROUNDUP(IF(MOD($A26+INDEX(_xlfn.TEXTSPLIT(D81,",",),0,1)+$A$18,$A$18)=0,$A$18,MOD($A26+INDEX(_xlfn.TEXTSPLIT(D81,",",),0,1)+$A$18,$A$18))/4,0),ROUNDUP(IF(MOD(D$18+INDEX(_xlfn.TEXTSPLIT(D81,",",),0,2)+$A$18,$A$18)=0,$A$18,MOD(D$18+INDEX(_xlfn.TEXTSPLIT(D81,",",),0,2)+$A$18,$A$18))/4,0)))+(INDEX($AD$2:$AK$9,ROUNDUP(IF(MOD($A26+INDEX(_xlfn.TEXTSPLIT(D124,",",),0,1)+$A$18,$A$18)=0,$A$18,MOD($A26+INDEX(_xlfn.TEXTSPLIT(D124,",",),0,1)+$A$18,$A$18))/5,0),ROUNDUP(IF(MOD(D$18+INDEX(_xlfn.TEXTSPLIT(D124,",",),0,2)+$A$18,$A$18)=0,$A$18,MOD(D$18+INDEX(_xlfn.TEXTSPLIT(D124,",",),0,2)+$A$18,$A$18))/5,0)))</f>
        <v>5</v>
      </c>
      <c r="E26" s="1" cm="1">
        <f t="array" aca="1" ref="E26" ca="1">(INDEX($K$2:$T$11,ROUNDUP(IF(MOD($A26+INDEX(_xlfn.TEXTSPLIT(E81,",",),0,1)+$A$18,$A$18)=0,$A$18,MOD($A26+INDEX(_xlfn.TEXTSPLIT(E81,",",),0,1)+$A$18,$A$18))/4,0),ROUNDUP(IF(MOD(E$18+INDEX(_xlfn.TEXTSPLIT(E81,",",),0,2)+$A$18,$A$18)=0,$A$18,MOD(E$18+INDEX(_xlfn.TEXTSPLIT(E81,",",),0,2)+$A$18,$A$18))/4,0)))+(INDEX($AD$2:$AK$9,ROUNDUP(IF(MOD($A26+INDEX(_xlfn.TEXTSPLIT(E124,",",),0,1)+$A$18,$A$18)=0,$A$18,MOD($A26+INDEX(_xlfn.TEXTSPLIT(E124,",",),0,1)+$A$18,$A$18))/5,0),ROUNDUP(IF(MOD(E$18+INDEX(_xlfn.TEXTSPLIT(E124,",",),0,2)+$A$18,$A$18)=0,$A$18,MOD(E$18+INDEX(_xlfn.TEXTSPLIT(E124,",",),0,2)+$A$18,$A$18))/5,0)))</f>
        <v>5</v>
      </c>
      <c r="F26" s="1" cm="1">
        <f t="array" aca="1" ref="F26" ca="1">(INDEX($K$2:$T$11,ROUNDUP(IF(MOD($A26+INDEX(_xlfn.TEXTSPLIT(F81,",",),0,1)+$A$18,$A$18)=0,$A$18,MOD($A26+INDEX(_xlfn.TEXTSPLIT(F81,",",),0,1)+$A$18,$A$18))/4,0),ROUNDUP(IF(MOD(F$18+INDEX(_xlfn.TEXTSPLIT(F81,",",),0,2)+$A$18,$A$18)=0,$A$18,MOD(F$18+INDEX(_xlfn.TEXTSPLIT(F81,",",),0,2)+$A$18,$A$18))/4,0)))+(INDEX($AD$2:$AK$9,ROUNDUP(IF(MOD($A26+INDEX(_xlfn.TEXTSPLIT(F124,",",),0,1)+$A$18,$A$18)=0,$A$18,MOD($A26+INDEX(_xlfn.TEXTSPLIT(F124,",",),0,1)+$A$18,$A$18))/5,0),ROUNDUP(IF(MOD(F$18+INDEX(_xlfn.TEXTSPLIT(F124,",",),0,2)+$A$18,$A$18)=0,$A$18,MOD(F$18+INDEX(_xlfn.TEXTSPLIT(F124,",",),0,2)+$A$18,$A$18))/5,0)))</f>
        <v>5</v>
      </c>
      <c r="G26" s="1" cm="1">
        <f t="array" aca="1" ref="G26" ca="1">(INDEX($K$2:$T$11,ROUNDUP(IF(MOD($A26+INDEX(_xlfn.TEXTSPLIT(G81,",",),0,1)+$A$18,$A$18)=0,$A$18,MOD($A26+INDEX(_xlfn.TEXTSPLIT(G81,",",),0,1)+$A$18,$A$18))/4,0),ROUNDUP(IF(MOD(G$18+INDEX(_xlfn.TEXTSPLIT(G81,",",),0,2)+$A$18,$A$18)=0,$A$18,MOD(G$18+INDEX(_xlfn.TEXTSPLIT(G81,",",),0,2)+$A$18,$A$18))/4,0)))+(INDEX($AD$2:$AK$9,ROUNDUP(IF(MOD($A26+INDEX(_xlfn.TEXTSPLIT(G124,",",),0,1)+$A$18,$A$18)=0,$A$18,MOD($A26+INDEX(_xlfn.TEXTSPLIT(G124,",",),0,1)+$A$18,$A$18))/5,0),ROUNDUP(IF(MOD(G$18+INDEX(_xlfn.TEXTSPLIT(G124,",",),0,2)+$A$18,$A$18)=0,$A$18,MOD(G$18+INDEX(_xlfn.TEXTSPLIT(G124,",",),0,2)+$A$18,$A$18))/5,0)))</f>
        <v>8</v>
      </c>
      <c r="H26" s="1" cm="1">
        <f t="array" aca="1" ref="H26" ca="1">(INDEX($K$2:$T$11,ROUNDUP(IF(MOD($A26+INDEX(_xlfn.TEXTSPLIT(H81,",",),0,1)+$A$18,$A$18)=0,$A$18,MOD($A26+INDEX(_xlfn.TEXTSPLIT(H81,",",),0,1)+$A$18,$A$18))/4,0),ROUNDUP(IF(MOD(H$18+INDEX(_xlfn.TEXTSPLIT(H81,",",),0,2)+$A$18,$A$18)=0,$A$18,MOD(H$18+INDEX(_xlfn.TEXTSPLIT(H81,",",),0,2)+$A$18,$A$18))/4,0)))+(INDEX($AD$2:$AK$9,ROUNDUP(IF(MOD($A26+INDEX(_xlfn.TEXTSPLIT(H124,",",),0,1)+$A$18,$A$18)=0,$A$18,MOD($A26+INDEX(_xlfn.TEXTSPLIT(H124,",",),0,1)+$A$18,$A$18))/5,0),ROUNDUP(IF(MOD(H$18+INDEX(_xlfn.TEXTSPLIT(H124,",",),0,2)+$A$18,$A$18)=0,$A$18,MOD(H$18+INDEX(_xlfn.TEXTSPLIT(H124,",",),0,2)+$A$18,$A$18))/5,0)))</f>
        <v>8</v>
      </c>
      <c r="I26" s="1" cm="1">
        <f t="array" aca="1" ref="I26" ca="1">(INDEX($K$2:$T$11,ROUNDUP(IF(MOD($A26+INDEX(_xlfn.TEXTSPLIT(I81,",",),0,1)+$A$18,$A$18)=0,$A$18,MOD($A26+INDEX(_xlfn.TEXTSPLIT(I81,",",),0,1)+$A$18,$A$18))/4,0),ROUNDUP(IF(MOD(I$18+INDEX(_xlfn.TEXTSPLIT(I81,",",),0,2)+$A$18,$A$18)=0,$A$18,MOD(I$18+INDEX(_xlfn.TEXTSPLIT(I81,",",),0,2)+$A$18,$A$18))/4,0)))+(INDEX($AD$2:$AK$9,ROUNDUP(IF(MOD($A26+INDEX(_xlfn.TEXTSPLIT(I124,",",),0,1)+$A$18,$A$18)=0,$A$18,MOD($A26+INDEX(_xlfn.TEXTSPLIT(I124,",",),0,1)+$A$18,$A$18))/5,0),ROUNDUP(IF(MOD(I$18+INDEX(_xlfn.TEXTSPLIT(I124,",",),0,2)+$A$18,$A$18)=0,$A$18,MOD(I$18+INDEX(_xlfn.TEXTSPLIT(I124,",",),0,2)+$A$18,$A$18))/5,0)))</f>
        <v>8</v>
      </c>
      <c r="J26" s="1" cm="1">
        <f t="array" aca="1" ref="J26" ca="1">(INDEX($K$2:$T$11,ROUNDUP(IF(MOD($A26+INDEX(_xlfn.TEXTSPLIT(J81,",",),0,1)+$A$18,$A$18)=0,$A$18,MOD($A26+INDEX(_xlfn.TEXTSPLIT(J81,",",),0,1)+$A$18,$A$18))/4,0),ROUNDUP(IF(MOD(J$18+INDEX(_xlfn.TEXTSPLIT(J81,",",),0,2)+$A$18,$A$18)=0,$A$18,MOD(J$18+INDEX(_xlfn.TEXTSPLIT(J81,",",),0,2)+$A$18,$A$18))/4,0)))+(INDEX($AD$2:$AK$9,ROUNDUP(IF(MOD($A26+INDEX(_xlfn.TEXTSPLIT(J124,",",),0,1)+$A$18,$A$18)=0,$A$18,MOD($A26+INDEX(_xlfn.TEXTSPLIT(J124,",",),0,1)+$A$18,$A$18))/5,0),ROUNDUP(IF(MOD(J$18+INDEX(_xlfn.TEXTSPLIT(J124,",",),0,2)+$A$18,$A$18)=0,$A$18,MOD(J$18+INDEX(_xlfn.TEXTSPLIT(J124,",",),0,2)+$A$18,$A$18))/5,0)))</f>
        <v>8</v>
      </c>
      <c r="K26" s="1" cm="1">
        <f t="array" aca="1" ref="K26" ca="1">(INDEX($K$2:$T$11,ROUNDUP(IF(MOD($A26+INDEX(_xlfn.TEXTSPLIT(K81,",",),0,1)+$A$18,$A$18)=0,$A$18,MOD($A26+INDEX(_xlfn.TEXTSPLIT(K81,",",),0,1)+$A$18,$A$18))/4,0),ROUNDUP(IF(MOD(K$18+INDEX(_xlfn.TEXTSPLIT(K81,",",),0,2)+$A$18,$A$18)=0,$A$18,MOD(K$18+INDEX(_xlfn.TEXTSPLIT(K81,",",),0,2)+$A$18,$A$18))/4,0)))+(INDEX($AD$2:$AK$9,ROUNDUP(IF(MOD($A26+INDEX(_xlfn.TEXTSPLIT(K124,",",),0,1)+$A$18,$A$18)=0,$A$18,MOD($A26+INDEX(_xlfn.TEXTSPLIT(K124,",",),0,1)+$A$18,$A$18))/5,0),ROUNDUP(IF(MOD(K$18+INDEX(_xlfn.TEXTSPLIT(K124,",",),0,2)+$A$18,$A$18)=0,$A$18,MOD(K$18+INDEX(_xlfn.TEXTSPLIT(K124,",",),0,2)+$A$18,$A$18))/5,0)))</f>
        <v>5</v>
      </c>
      <c r="L26" s="1" cm="1">
        <f t="array" aca="1" ref="L26" ca="1">(INDEX($K$2:$T$11,ROUNDUP(IF(MOD($A26+INDEX(_xlfn.TEXTSPLIT(L81,",",),0,1)+$A$18,$A$18)=0,$A$18,MOD($A26+INDEX(_xlfn.TEXTSPLIT(L81,",",),0,1)+$A$18,$A$18))/4,0),ROUNDUP(IF(MOD(L$18+INDEX(_xlfn.TEXTSPLIT(L81,",",),0,2)+$A$18,$A$18)=0,$A$18,MOD(L$18+INDEX(_xlfn.TEXTSPLIT(L81,",",),0,2)+$A$18,$A$18))/4,0)))+(INDEX($AD$2:$AK$9,ROUNDUP(IF(MOD($A26+INDEX(_xlfn.TEXTSPLIT(L124,",",),0,1)+$A$18,$A$18)=0,$A$18,MOD($A26+INDEX(_xlfn.TEXTSPLIT(L124,",",),0,1)+$A$18,$A$18))/5,0),ROUNDUP(IF(MOD(L$18+INDEX(_xlfn.TEXTSPLIT(L124,",",),0,2)+$A$18,$A$18)=0,$A$18,MOD(L$18+INDEX(_xlfn.TEXTSPLIT(L124,",",),0,2)+$A$18,$A$18))/5,0)))</f>
        <v>5</v>
      </c>
      <c r="M26" s="1" cm="1">
        <f t="array" aca="1" ref="M26" ca="1">(INDEX($K$2:$T$11,ROUNDUP(IF(MOD($A26+INDEX(_xlfn.TEXTSPLIT(M81,",",),0,1)+$A$18,$A$18)=0,$A$18,MOD($A26+INDEX(_xlfn.TEXTSPLIT(M81,",",),0,1)+$A$18,$A$18))/4,0),ROUNDUP(IF(MOD(M$18+INDEX(_xlfn.TEXTSPLIT(M81,",",),0,2)+$A$18,$A$18)=0,$A$18,MOD(M$18+INDEX(_xlfn.TEXTSPLIT(M81,",",),0,2)+$A$18,$A$18))/4,0)))+(INDEX($AD$2:$AK$9,ROUNDUP(IF(MOD($A26+INDEX(_xlfn.TEXTSPLIT(M124,",",),0,1)+$A$18,$A$18)=0,$A$18,MOD($A26+INDEX(_xlfn.TEXTSPLIT(M124,",",),0,1)+$A$18,$A$18))/5,0),ROUNDUP(IF(MOD(M$18+INDEX(_xlfn.TEXTSPLIT(M124,",",),0,2)+$A$18,$A$18)=0,$A$18,MOD(M$18+INDEX(_xlfn.TEXTSPLIT(M124,",",),0,2)+$A$18,$A$18))/5,0)))</f>
        <v>1</v>
      </c>
      <c r="N26" s="1" cm="1">
        <f t="array" aca="1" ref="N26" ca="1">(INDEX($K$2:$T$11,ROUNDUP(IF(MOD($A26+INDEX(_xlfn.TEXTSPLIT(N81,",",),0,1)+$A$18,$A$18)=0,$A$18,MOD($A26+INDEX(_xlfn.TEXTSPLIT(N81,",",),0,1)+$A$18,$A$18))/4,0),ROUNDUP(IF(MOD(N$18+INDEX(_xlfn.TEXTSPLIT(N81,",",),0,2)+$A$18,$A$18)=0,$A$18,MOD(N$18+INDEX(_xlfn.TEXTSPLIT(N81,",",),0,2)+$A$18,$A$18))/4,0)))+(INDEX($AD$2:$AK$9,ROUNDUP(IF(MOD($A26+INDEX(_xlfn.TEXTSPLIT(N124,",",),0,1)+$A$18,$A$18)=0,$A$18,MOD($A26+INDEX(_xlfn.TEXTSPLIT(N124,",",),0,1)+$A$18,$A$18))/5,0),ROUNDUP(IF(MOD(N$18+INDEX(_xlfn.TEXTSPLIT(N124,",",),0,2)+$A$18,$A$18)=0,$A$18,MOD(N$18+INDEX(_xlfn.TEXTSPLIT(N124,",",),0,2)+$A$18,$A$18))/5,0)))</f>
        <v>1</v>
      </c>
      <c r="O26" s="1" cm="1">
        <f t="array" aca="1" ref="O26" ca="1">(INDEX($K$2:$T$11,ROUNDUP(IF(MOD($A26+INDEX(_xlfn.TEXTSPLIT(O81,",",),0,1)+$A$18,$A$18)=0,$A$18,MOD($A26+INDEX(_xlfn.TEXTSPLIT(O81,",",),0,1)+$A$18,$A$18))/4,0),ROUNDUP(IF(MOD(O$18+INDEX(_xlfn.TEXTSPLIT(O81,",",),0,2)+$A$18,$A$18)=0,$A$18,MOD(O$18+INDEX(_xlfn.TEXTSPLIT(O81,",",),0,2)+$A$18,$A$18))/4,0)))+(INDEX($AD$2:$AK$9,ROUNDUP(IF(MOD($A26+INDEX(_xlfn.TEXTSPLIT(O124,",",),0,1)+$A$18,$A$18)=0,$A$18,MOD($A26+INDEX(_xlfn.TEXTSPLIT(O124,",",),0,1)+$A$18,$A$18))/5,0),ROUNDUP(IF(MOD(O$18+INDEX(_xlfn.TEXTSPLIT(O124,",",),0,2)+$A$18,$A$18)=0,$A$18,MOD(O$18+INDEX(_xlfn.TEXTSPLIT(O124,",",),0,2)+$A$18,$A$18))/5,0)))</f>
        <v>5</v>
      </c>
      <c r="P26" s="1" cm="1">
        <f t="array" aca="1" ref="P26" ca="1">(INDEX($K$2:$T$11,ROUNDUP(IF(MOD($A26+INDEX(_xlfn.TEXTSPLIT(P81,",",),0,1)+$A$18,$A$18)=0,$A$18,MOD($A26+INDEX(_xlfn.TEXTSPLIT(P81,",",),0,1)+$A$18,$A$18))/4,0),ROUNDUP(IF(MOD(P$18+INDEX(_xlfn.TEXTSPLIT(P81,",",),0,2)+$A$18,$A$18)=0,$A$18,MOD(P$18+INDEX(_xlfn.TEXTSPLIT(P81,",",),0,2)+$A$18,$A$18))/4,0)))+(INDEX($AD$2:$AK$9,ROUNDUP(IF(MOD($A26+INDEX(_xlfn.TEXTSPLIT(P124,",",),0,1)+$A$18,$A$18)=0,$A$18,MOD($A26+INDEX(_xlfn.TEXTSPLIT(P124,",",),0,1)+$A$18,$A$18))/5,0),ROUNDUP(IF(MOD(P$18+INDEX(_xlfn.TEXTSPLIT(P124,",",),0,2)+$A$18,$A$18)=0,$A$18,MOD(P$18+INDEX(_xlfn.TEXTSPLIT(P124,",",),0,2)+$A$18,$A$18))/5,0)))</f>
        <v>1</v>
      </c>
      <c r="Q26" s="1" cm="1">
        <f t="array" aca="1" ref="Q26" ca="1">(INDEX($K$2:$T$11,ROUNDUP(IF(MOD($A26+INDEX(_xlfn.TEXTSPLIT(Q81,",",),0,1)+$A$18,$A$18)=0,$A$18,MOD($A26+INDEX(_xlfn.TEXTSPLIT(Q81,",",),0,1)+$A$18,$A$18))/4,0),ROUNDUP(IF(MOD(Q$18+INDEX(_xlfn.TEXTSPLIT(Q81,",",),0,2)+$A$18,$A$18)=0,$A$18,MOD(Q$18+INDEX(_xlfn.TEXTSPLIT(Q81,",",),0,2)+$A$18,$A$18))/4,0)))+(INDEX($AD$2:$AK$9,ROUNDUP(IF(MOD($A26+INDEX(_xlfn.TEXTSPLIT(Q124,",",),0,1)+$A$18,$A$18)=0,$A$18,MOD($A26+INDEX(_xlfn.TEXTSPLIT(Q124,",",),0,1)+$A$18,$A$18))/5,0),ROUNDUP(IF(MOD(Q$18+INDEX(_xlfn.TEXTSPLIT(Q124,",",),0,2)+$A$18,$A$18)=0,$A$18,MOD(Q$18+INDEX(_xlfn.TEXTSPLIT(Q124,",",),0,2)+$A$18,$A$18))/5,0)))</f>
        <v>5</v>
      </c>
      <c r="R26" s="1" cm="1">
        <f t="array" aca="1" ref="R26" ca="1">(INDEX($K$2:$T$11,ROUNDUP(IF(MOD($A26+INDEX(_xlfn.TEXTSPLIT(R81,",",),0,1)+$A$18,$A$18)=0,$A$18,MOD($A26+INDEX(_xlfn.TEXTSPLIT(R81,",",),0,1)+$A$18,$A$18))/4,0),ROUNDUP(IF(MOD(R$18+INDEX(_xlfn.TEXTSPLIT(R81,",",),0,2)+$A$18,$A$18)=0,$A$18,MOD(R$18+INDEX(_xlfn.TEXTSPLIT(R81,",",),0,2)+$A$18,$A$18))/4,0)))+(INDEX($AD$2:$AK$9,ROUNDUP(IF(MOD($A26+INDEX(_xlfn.TEXTSPLIT(R124,",",),0,1)+$A$18,$A$18)=0,$A$18,MOD($A26+INDEX(_xlfn.TEXTSPLIT(R124,",",),0,1)+$A$18,$A$18))/5,0),ROUNDUP(IF(MOD(R$18+INDEX(_xlfn.TEXTSPLIT(R124,",",),0,2)+$A$18,$A$18)=0,$A$18,MOD(R$18+INDEX(_xlfn.TEXTSPLIT(R124,",",),0,2)+$A$18,$A$18))/5,0)))</f>
        <v>5</v>
      </c>
      <c r="S26" s="1" cm="1">
        <f t="array" aca="1" ref="S26" ca="1">(INDEX($K$2:$T$11,ROUNDUP(IF(MOD($A26+INDEX(_xlfn.TEXTSPLIT(S81,",",),0,1)+$A$18,$A$18)=0,$A$18,MOD($A26+INDEX(_xlfn.TEXTSPLIT(S81,",",),0,1)+$A$18,$A$18))/4,0),ROUNDUP(IF(MOD(S$18+INDEX(_xlfn.TEXTSPLIT(S81,",",),0,2)+$A$18,$A$18)=0,$A$18,MOD(S$18+INDEX(_xlfn.TEXTSPLIT(S81,",",),0,2)+$A$18,$A$18))/4,0)))+(INDEX($AD$2:$AK$9,ROUNDUP(IF(MOD($A26+INDEX(_xlfn.TEXTSPLIT(S124,",",),0,1)+$A$18,$A$18)=0,$A$18,MOD($A26+INDEX(_xlfn.TEXTSPLIT(S124,",",),0,1)+$A$18,$A$18))/5,0),ROUNDUP(IF(MOD(S$18+INDEX(_xlfn.TEXTSPLIT(S124,",",),0,2)+$A$18,$A$18)=0,$A$18,MOD(S$18+INDEX(_xlfn.TEXTSPLIT(S124,",",),0,2)+$A$18,$A$18))/5,0)))</f>
        <v>5</v>
      </c>
      <c r="T26" s="1" cm="1">
        <f t="array" aca="1" ref="T26" ca="1">(INDEX($K$2:$T$11,ROUNDUP(IF(MOD($A26+INDEX(_xlfn.TEXTSPLIT(T81,",",),0,1)+$A$18,$A$18)=0,$A$18,MOD($A26+INDEX(_xlfn.TEXTSPLIT(T81,",",),0,1)+$A$18,$A$18))/4,0),ROUNDUP(IF(MOD(T$18+INDEX(_xlfn.TEXTSPLIT(T81,",",),0,2)+$A$18,$A$18)=0,$A$18,MOD(T$18+INDEX(_xlfn.TEXTSPLIT(T81,",",),0,2)+$A$18,$A$18))/4,0)))+(INDEX($AD$2:$AK$9,ROUNDUP(IF(MOD($A26+INDEX(_xlfn.TEXTSPLIT(T124,",",),0,1)+$A$18,$A$18)=0,$A$18,MOD($A26+INDEX(_xlfn.TEXTSPLIT(T124,",",),0,1)+$A$18,$A$18))/5,0),ROUNDUP(IF(MOD(T$18+INDEX(_xlfn.TEXTSPLIT(T124,",",),0,2)+$A$18,$A$18)=0,$A$18,MOD(T$18+INDEX(_xlfn.TEXTSPLIT(T124,",",),0,2)+$A$18,$A$18))/5,0)))</f>
        <v>5</v>
      </c>
      <c r="U26" s="1" cm="1">
        <f t="array" aca="1" ref="U26" ca="1">(INDEX($K$2:$T$11,ROUNDUP(IF(MOD($A26+INDEX(_xlfn.TEXTSPLIT(U81,",",),0,1)+$A$18,$A$18)=0,$A$18,MOD($A26+INDEX(_xlfn.TEXTSPLIT(U81,",",),0,1)+$A$18,$A$18))/4,0),ROUNDUP(IF(MOD(U$18+INDEX(_xlfn.TEXTSPLIT(U81,",",),0,2)+$A$18,$A$18)=0,$A$18,MOD(U$18+INDEX(_xlfn.TEXTSPLIT(U81,",",),0,2)+$A$18,$A$18))/4,0)))+(INDEX($AD$2:$AK$9,ROUNDUP(IF(MOD($A26+INDEX(_xlfn.TEXTSPLIT(U124,",",),0,1)+$A$18,$A$18)=0,$A$18,MOD($A26+INDEX(_xlfn.TEXTSPLIT(U124,",",),0,1)+$A$18,$A$18))/5,0),ROUNDUP(IF(MOD(U$18+INDEX(_xlfn.TEXTSPLIT(U124,",",),0,2)+$A$18,$A$18)=0,$A$18,MOD(U$18+INDEX(_xlfn.TEXTSPLIT(U124,",",),0,2)+$A$18,$A$18))/5,0)))</f>
        <v>5</v>
      </c>
      <c r="V26" s="1" cm="1">
        <f t="array" aca="1" ref="V26" ca="1">(INDEX($K$2:$T$11,ROUNDUP(IF(MOD($A26+INDEX(_xlfn.TEXTSPLIT(V81,",",),0,1)+$A$18,$A$18)=0,$A$18,MOD($A26+INDEX(_xlfn.TEXTSPLIT(V81,",",),0,1)+$A$18,$A$18))/4,0),ROUNDUP(IF(MOD(V$18+INDEX(_xlfn.TEXTSPLIT(V81,",",),0,2)+$A$18,$A$18)=0,$A$18,MOD(V$18+INDEX(_xlfn.TEXTSPLIT(V81,",",),0,2)+$A$18,$A$18))/4,0)))+(INDEX($AD$2:$AK$9,ROUNDUP(IF(MOD($A26+INDEX(_xlfn.TEXTSPLIT(V124,",",),0,1)+$A$18,$A$18)=0,$A$18,MOD($A26+INDEX(_xlfn.TEXTSPLIT(V124,",",),0,1)+$A$18,$A$18))/5,0),ROUNDUP(IF(MOD(V$18+INDEX(_xlfn.TEXTSPLIT(V124,",",),0,2)+$A$18,$A$18)=0,$A$18,MOD(V$18+INDEX(_xlfn.TEXTSPLIT(V124,",",),0,2)+$A$18,$A$18))/5,0)))</f>
        <v>5</v>
      </c>
      <c r="W26" s="1" cm="1">
        <f t="array" aca="1" ref="W26" ca="1">(INDEX($K$2:$T$11,ROUNDUP(IF(MOD($A26+INDEX(_xlfn.TEXTSPLIT(W81,",",),0,1)+$A$18,$A$18)=0,$A$18,MOD($A26+INDEX(_xlfn.TEXTSPLIT(W81,",",),0,1)+$A$18,$A$18))/4,0),ROUNDUP(IF(MOD(W$18+INDEX(_xlfn.TEXTSPLIT(W81,",",),0,2)+$A$18,$A$18)=0,$A$18,MOD(W$18+INDEX(_xlfn.TEXTSPLIT(W81,",",),0,2)+$A$18,$A$18))/4,0)))+(INDEX($AD$2:$AK$9,ROUNDUP(IF(MOD($A26+INDEX(_xlfn.TEXTSPLIT(W124,",",),0,1)+$A$18,$A$18)=0,$A$18,MOD($A26+INDEX(_xlfn.TEXTSPLIT(W124,",",),0,1)+$A$18,$A$18))/5,0),ROUNDUP(IF(MOD(W$18+INDEX(_xlfn.TEXTSPLIT(W124,",",),0,2)+$A$18,$A$18)=0,$A$18,MOD(W$18+INDEX(_xlfn.TEXTSPLIT(W124,",",),0,2)+$A$18,$A$18))/5,0)))</f>
        <v>5</v>
      </c>
      <c r="X26" s="1" cm="1">
        <f t="array" aca="1" ref="X26" ca="1">(INDEX($K$2:$T$11,ROUNDUP(IF(MOD($A26+INDEX(_xlfn.TEXTSPLIT(X81,",",),0,1)+$A$18,$A$18)=0,$A$18,MOD($A26+INDEX(_xlfn.TEXTSPLIT(X81,",",),0,1)+$A$18,$A$18))/4,0),ROUNDUP(IF(MOD(X$18+INDEX(_xlfn.TEXTSPLIT(X81,",",),0,2)+$A$18,$A$18)=0,$A$18,MOD(X$18+INDEX(_xlfn.TEXTSPLIT(X81,",",),0,2)+$A$18,$A$18))/4,0)))+(INDEX($AD$2:$AK$9,ROUNDUP(IF(MOD($A26+INDEX(_xlfn.TEXTSPLIT(X124,",",),0,1)+$A$18,$A$18)=0,$A$18,MOD($A26+INDEX(_xlfn.TEXTSPLIT(X124,",",),0,1)+$A$18,$A$18))/5,0),ROUNDUP(IF(MOD(X$18+INDEX(_xlfn.TEXTSPLIT(X124,",",),0,2)+$A$18,$A$18)=0,$A$18,MOD(X$18+INDEX(_xlfn.TEXTSPLIT(X124,",",),0,2)+$A$18,$A$18))/5,0)))</f>
        <v>5</v>
      </c>
      <c r="Y26" s="1" cm="1">
        <f t="array" aca="1" ref="Y26" ca="1">(INDEX($K$2:$T$11,ROUNDUP(IF(MOD($A26+INDEX(_xlfn.TEXTSPLIT(Y81,",",),0,1)+$A$18,$A$18)=0,$A$18,MOD($A26+INDEX(_xlfn.TEXTSPLIT(Y81,",",),0,1)+$A$18,$A$18))/4,0),ROUNDUP(IF(MOD(Y$18+INDEX(_xlfn.TEXTSPLIT(Y81,",",),0,2)+$A$18,$A$18)=0,$A$18,MOD(Y$18+INDEX(_xlfn.TEXTSPLIT(Y81,",",),0,2)+$A$18,$A$18))/4,0)))+(INDEX($AD$2:$AK$9,ROUNDUP(IF(MOD($A26+INDEX(_xlfn.TEXTSPLIT(Y124,",",),0,1)+$A$18,$A$18)=0,$A$18,MOD($A26+INDEX(_xlfn.TEXTSPLIT(Y124,",",),0,1)+$A$18,$A$18))/5,0),ROUNDUP(IF(MOD(Y$18+INDEX(_xlfn.TEXTSPLIT(Y124,",",),0,2)+$A$18,$A$18)=0,$A$18,MOD(Y$18+INDEX(_xlfn.TEXTSPLIT(Y124,",",),0,2)+$A$18,$A$18))/5,0)))</f>
        <v>5</v>
      </c>
      <c r="Z26" s="1" cm="1">
        <f t="array" aca="1" ref="Z26" ca="1">(INDEX($K$2:$T$11,ROUNDUP(IF(MOD($A26+INDEX(_xlfn.TEXTSPLIT(Z81,",",),0,1)+$A$18,$A$18)=0,$A$18,MOD($A26+INDEX(_xlfn.TEXTSPLIT(Z81,",",),0,1)+$A$18,$A$18))/4,0),ROUNDUP(IF(MOD(Z$18+INDEX(_xlfn.TEXTSPLIT(Z81,",",),0,2)+$A$18,$A$18)=0,$A$18,MOD(Z$18+INDEX(_xlfn.TEXTSPLIT(Z81,",",),0,2)+$A$18,$A$18))/4,0)))+(INDEX($AD$2:$AK$9,ROUNDUP(IF(MOD($A26+INDEX(_xlfn.TEXTSPLIT(Z124,",",),0,1)+$A$18,$A$18)=0,$A$18,MOD($A26+INDEX(_xlfn.TEXTSPLIT(Z124,",",),0,1)+$A$18,$A$18))/5,0),ROUNDUP(IF(MOD(Z$18+INDEX(_xlfn.TEXTSPLIT(Z124,",",),0,2)+$A$18,$A$18)=0,$A$18,MOD(Z$18+INDEX(_xlfn.TEXTSPLIT(Z124,",",),0,2)+$A$18,$A$18))/5,0)))</f>
        <v>1</v>
      </c>
      <c r="AA26" s="1" cm="1">
        <f t="array" aca="1" ref="AA26" ca="1">(INDEX($K$2:$T$11,ROUNDUP(IF(MOD($A26+INDEX(_xlfn.TEXTSPLIT(AA81,",",),0,1)+$A$18,$A$18)=0,$A$18,MOD($A26+INDEX(_xlfn.TEXTSPLIT(AA81,",",),0,1)+$A$18,$A$18))/4,0),ROUNDUP(IF(MOD(AA$18+INDEX(_xlfn.TEXTSPLIT(AA81,",",),0,2)+$A$18,$A$18)=0,$A$18,MOD(AA$18+INDEX(_xlfn.TEXTSPLIT(AA81,",",),0,2)+$A$18,$A$18))/4,0)))+(INDEX($AD$2:$AK$9,ROUNDUP(IF(MOD($A26+INDEX(_xlfn.TEXTSPLIT(AA124,",",),0,1)+$A$18,$A$18)=0,$A$18,MOD($A26+INDEX(_xlfn.TEXTSPLIT(AA124,",",),0,1)+$A$18,$A$18))/5,0),ROUNDUP(IF(MOD(AA$18+INDEX(_xlfn.TEXTSPLIT(AA124,",",),0,2)+$A$18,$A$18)=0,$A$18,MOD(AA$18+INDEX(_xlfn.TEXTSPLIT(AA124,",",),0,2)+$A$18,$A$18))/5,0)))</f>
        <v>4</v>
      </c>
      <c r="AB26" s="1" cm="1">
        <f t="array" aca="1" ref="AB26" ca="1">(INDEX($K$2:$T$11,ROUNDUP(IF(MOD($A26+INDEX(_xlfn.TEXTSPLIT(AB81,",",),0,1)+$A$18,$A$18)=0,$A$18,MOD($A26+INDEX(_xlfn.TEXTSPLIT(AB81,",",),0,1)+$A$18,$A$18))/4,0),ROUNDUP(IF(MOD(AB$18+INDEX(_xlfn.TEXTSPLIT(AB81,",",),0,2)+$A$18,$A$18)=0,$A$18,MOD(AB$18+INDEX(_xlfn.TEXTSPLIT(AB81,",",),0,2)+$A$18,$A$18))/4,0)))+(INDEX($AD$2:$AK$9,ROUNDUP(IF(MOD($A26+INDEX(_xlfn.TEXTSPLIT(AB124,",",),0,1)+$A$18,$A$18)=0,$A$18,MOD($A26+INDEX(_xlfn.TEXTSPLIT(AB124,",",),0,1)+$A$18,$A$18))/5,0),ROUNDUP(IF(MOD(AB$18+INDEX(_xlfn.TEXTSPLIT(AB124,",",),0,2)+$A$18,$A$18)=0,$A$18,MOD(AB$18+INDEX(_xlfn.TEXTSPLIT(AB124,",",),0,2)+$A$18,$A$18))/5,0)))</f>
        <v>4</v>
      </c>
      <c r="AC26" s="1" cm="1">
        <f t="array" aca="1" ref="AC26" ca="1">(INDEX($K$2:$T$11,ROUNDUP(IF(MOD($A26+INDEX(_xlfn.TEXTSPLIT(AC81,",",),0,1)+$A$18,$A$18)=0,$A$18,MOD($A26+INDEX(_xlfn.TEXTSPLIT(AC81,",",),0,1)+$A$18,$A$18))/4,0),ROUNDUP(IF(MOD(AC$18+INDEX(_xlfn.TEXTSPLIT(AC81,",",),0,2)+$A$18,$A$18)=0,$A$18,MOD(AC$18+INDEX(_xlfn.TEXTSPLIT(AC81,",",),0,2)+$A$18,$A$18))/4,0)))+(INDEX($AD$2:$AK$9,ROUNDUP(IF(MOD($A26+INDEX(_xlfn.TEXTSPLIT(AC124,",",),0,1)+$A$18,$A$18)=0,$A$18,MOD($A26+INDEX(_xlfn.TEXTSPLIT(AC124,",",),0,1)+$A$18,$A$18))/5,0),ROUNDUP(IF(MOD(AC$18+INDEX(_xlfn.TEXTSPLIT(AC124,",",),0,2)+$A$18,$A$18)=0,$A$18,MOD(AC$18+INDEX(_xlfn.TEXTSPLIT(AC124,",",),0,2)+$A$18,$A$18))/5,0)))</f>
        <v>8</v>
      </c>
      <c r="AD26" s="1" cm="1">
        <f t="array" aca="1" ref="AD26" ca="1">(INDEX($K$2:$T$11,ROUNDUP(IF(MOD($A26+INDEX(_xlfn.TEXTSPLIT(AD81,",",),0,1)+$A$18,$A$18)=0,$A$18,MOD($A26+INDEX(_xlfn.TEXTSPLIT(AD81,",",),0,1)+$A$18,$A$18))/4,0),ROUNDUP(IF(MOD(AD$18+INDEX(_xlfn.TEXTSPLIT(AD81,",",),0,2)+$A$18,$A$18)=0,$A$18,MOD(AD$18+INDEX(_xlfn.TEXTSPLIT(AD81,",",),0,2)+$A$18,$A$18))/4,0)))+(INDEX($AD$2:$AK$9,ROUNDUP(IF(MOD($A26+INDEX(_xlfn.TEXTSPLIT(AD124,",",),0,1)+$A$18,$A$18)=0,$A$18,MOD($A26+INDEX(_xlfn.TEXTSPLIT(AD124,",",),0,1)+$A$18,$A$18))/5,0),ROUNDUP(IF(MOD(AD$18+INDEX(_xlfn.TEXTSPLIT(AD124,",",),0,2)+$A$18,$A$18)=0,$A$18,MOD(AD$18+INDEX(_xlfn.TEXTSPLIT(AD124,",",),0,2)+$A$18,$A$18))/5,0)))</f>
        <v>8</v>
      </c>
      <c r="AE26" s="1" cm="1">
        <f t="array" aca="1" ref="AE26" ca="1">(INDEX($K$2:$T$11,ROUNDUP(IF(MOD($A26+INDEX(_xlfn.TEXTSPLIT(AE81,",",),0,1)+$A$18,$A$18)=0,$A$18,MOD($A26+INDEX(_xlfn.TEXTSPLIT(AE81,",",),0,1)+$A$18,$A$18))/4,0),ROUNDUP(IF(MOD(AE$18+INDEX(_xlfn.TEXTSPLIT(AE81,",",),0,2)+$A$18,$A$18)=0,$A$18,MOD(AE$18+INDEX(_xlfn.TEXTSPLIT(AE81,",",),0,2)+$A$18,$A$18))/4,0)))+(INDEX($AD$2:$AK$9,ROUNDUP(IF(MOD($A26+INDEX(_xlfn.TEXTSPLIT(AE124,",",),0,1)+$A$18,$A$18)=0,$A$18,MOD($A26+INDEX(_xlfn.TEXTSPLIT(AE124,",",),0,1)+$A$18,$A$18))/5,0),ROUNDUP(IF(MOD(AE$18+INDEX(_xlfn.TEXTSPLIT(AE124,",",),0,2)+$A$18,$A$18)=0,$A$18,MOD(AE$18+INDEX(_xlfn.TEXTSPLIT(AE124,",",),0,2)+$A$18,$A$18))/5,0)))</f>
        <v>6</v>
      </c>
      <c r="AF26" s="1" cm="1">
        <f t="array" aca="1" ref="AF26" ca="1">(INDEX($K$2:$T$11,ROUNDUP(IF(MOD($A26+INDEX(_xlfn.TEXTSPLIT(AF81,",",),0,1)+$A$18,$A$18)=0,$A$18,MOD($A26+INDEX(_xlfn.TEXTSPLIT(AF81,",",),0,1)+$A$18,$A$18))/4,0),ROUNDUP(IF(MOD(AF$18+INDEX(_xlfn.TEXTSPLIT(AF81,",",),0,2)+$A$18,$A$18)=0,$A$18,MOD(AF$18+INDEX(_xlfn.TEXTSPLIT(AF81,",",),0,2)+$A$18,$A$18))/4,0)))+(INDEX($AD$2:$AK$9,ROUNDUP(IF(MOD($A26+INDEX(_xlfn.TEXTSPLIT(AF124,",",),0,1)+$A$18,$A$18)=0,$A$18,MOD($A26+INDEX(_xlfn.TEXTSPLIT(AF124,",",),0,1)+$A$18,$A$18))/5,0),ROUNDUP(IF(MOD(AF$18+INDEX(_xlfn.TEXTSPLIT(AF124,",",),0,2)+$A$18,$A$18)=0,$A$18,MOD(AF$18+INDEX(_xlfn.TEXTSPLIT(AF124,",",),0,2)+$A$18,$A$18))/5,0)))</f>
        <v>8</v>
      </c>
      <c r="AG26" s="1" cm="1">
        <f t="array" aca="1" ref="AG26" ca="1">(INDEX($K$2:$T$11,ROUNDUP(IF(MOD($A26+INDEX(_xlfn.TEXTSPLIT(AG81,",",),0,1)+$A$18,$A$18)=0,$A$18,MOD($A26+INDEX(_xlfn.TEXTSPLIT(AG81,",",),0,1)+$A$18,$A$18))/4,0),ROUNDUP(IF(MOD(AG$18+INDEX(_xlfn.TEXTSPLIT(AG81,",",),0,2)+$A$18,$A$18)=0,$A$18,MOD(AG$18+INDEX(_xlfn.TEXTSPLIT(AG81,",",),0,2)+$A$18,$A$18))/4,0)))+(INDEX($AD$2:$AK$9,ROUNDUP(IF(MOD($A26+INDEX(_xlfn.TEXTSPLIT(AG124,",",),0,1)+$A$18,$A$18)=0,$A$18,MOD($A26+INDEX(_xlfn.TEXTSPLIT(AG124,",",),0,1)+$A$18,$A$18))/5,0),ROUNDUP(IF(MOD(AG$18+INDEX(_xlfn.TEXTSPLIT(AG124,",",),0,2)+$A$18,$A$18)=0,$A$18,MOD(AG$18+INDEX(_xlfn.TEXTSPLIT(AG124,",",),0,2)+$A$18,$A$18))/5,0)))</f>
        <v>6</v>
      </c>
      <c r="AH26" s="1" cm="1">
        <f t="array" aca="1" ref="AH26" ca="1">(INDEX($K$2:$T$11,ROUNDUP(IF(MOD($A26+INDEX(_xlfn.TEXTSPLIT(AH81,",",),0,1)+$A$18,$A$18)=0,$A$18,MOD($A26+INDEX(_xlfn.TEXTSPLIT(AH81,",",),0,1)+$A$18,$A$18))/4,0),ROUNDUP(IF(MOD(AH$18+INDEX(_xlfn.TEXTSPLIT(AH81,",",),0,2)+$A$18,$A$18)=0,$A$18,MOD(AH$18+INDEX(_xlfn.TEXTSPLIT(AH81,",",),0,2)+$A$18,$A$18))/4,0)))+(INDEX($AD$2:$AK$9,ROUNDUP(IF(MOD($A26+INDEX(_xlfn.TEXTSPLIT(AH124,",",),0,1)+$A$18,$A$18)=0,$A$18,MOD($A26+INDEX(_xlfn.TEXTSPLIT(AH124,",",),0,1)+$A$18,$A$18))/5,0),ROUNDUP(IF(MOD(AH$18+INDEX(_xlfn.TEXTSPLIT(AH124,",",),0,2)+$A$18,$A$18)=0,$A$18,MOD(AH$18+INDEX(_xlfn.TEXTSPLIT(AH124,",",),0,2)+$A$18,$A$18))/5,0)))</f>
        <v>6</v>
      </c>
      <c r="AI26" s="1" cm="1">
        <f t="array" aca="1" ref="AI26" ca="1">(INDEX($K$2:$T$11,ROUNDUP(IF(MOD($A26+INDEX(_xlfn.TEXTSPLIT(AI81,",",),0,1)+$A$18,$A$18)=0,$A$18,MOD($A26+INDEX(_xlfn.TEXTSPLIT(AI81,",",),0,1)+$A$18,$A$18))/4,0),ROUNDUP(IF(MOD(AI$18+INDEX(_xlfn.TEXTSPLIT(AI81,",",),0,2)+$A$18,$A$18)=0,$A$18,MOD(AI$18+INDEX(_xlfn.TEXTSPLIT(AI81,",",),0,2)+$A$18,$A$18))/4,0)))+(INDEX($AD$2:$AK$9,ROUNDUP(IF(MOD($A26+INDEX(_xlfn.TEXTSPLIT(AI124,",",),0,1)+$A$18,$A$18)=0,$A$18,MOD($A26+INDEX(_xlfn.TEXTSPLIT(AI124,",",),0,1)+$A$18,$A$18))/5,0),ROUNDUP(IF(MOD(AI$18+INDEX(_xlfn.TEXTSPLIT(AI124,",",),0,2)+$A$18,$A$18)=0,$A$18,MOD(AI$18+INDEX(_xlfn.TEXTSPLIT(AI124,",",),0,2)+$A$18,$A$18))/5,0)))</f>
        <v>6</v>
      </c>
      <c r="AJ26" s="1" cm="1">
        <f t="array" aca="1" ref="AJ26" ca="1">(INDEX($K$2:$T$11,ROUNDUP(IF(MOD($A26+INDEX(_xlfn.TEXTSPLIT(AJ81,",",),0,1)+$A$18,$A$18)=0,$A$18,MOD($A26+INDEX(_xlfn.TEXTSPLIT(AJ81,",",),0,1)+$A$18,$A$18))/4,0),ROUNDUP(IF(MOD(AJ$18+INDEX(_xlfn.TEXTSPLIT(AJ81,",",),0,2)+$A$18,$A$18)=0,$A$18,MOD(AJ$18+INDEX(_xlfn.TEXTSPLIT(AJ81,",",),0,2)+$A$18,$A$18))/4,0)))+(INDEX($AD$2:$AK$9,ROUNDUP(IF(MOD($A26+INDEX(_xlfn.TEXTSPLIT(AJ124,",",),0,1)+$A$18,$A$18)=0,$A$18,MOD($A26+INDEX(_xlfn.TEXTSPLIT(AJ124,",",),0,1)+$A$18,$A$18))/5,0),ROUNDUP(IF(MOD(AJ$18+INDEX(_xlfn.TEXTSPLIT(AJ124,",",),0,2)+$A$18,$A$18)=0,$A$18,MOD(AJ$18+INDEX(_xlfn.TEXTSPLIT(AJ124,",",),0,2)+$A$18,$A$18))/5,0)))</f>
        <v>6</v>
      </c>
      <c r="AK26" s="1" cm="1">
        <f t="array" aca="1" ref="AK26" ca="1">(INDEX($K$2:$T$11,ROUNDUP(IF(MOD($A26+INDEX(_xlfn.TEXTSPLIT(AK81,",",),0,1)+$A$18,$A$18)=0,$A$18,MOD($A26+INDEX(_xlfn.TEXTSPLIT(AK81,",",),0,1)+$A$18,$A$18))/4,0),ROUNDUP(IF(MOD(AK$18+INDEX(_xlfn.TEXTSPLIT(AK81,",",),0,2)+$A$18,$A$18)=0,$A$18,MOD(AK$18+INDEX(_xlfn.TEXTSPLIT(AK81,",",),0,2)+$A$18,$A$18))/4,0)))+(INDEX($AD$2:$AK$9,ROUNDUP(IF(MOD($A26+INDEX(_xlfn.TEXTSPLIT(AK124,",",),0,1)+$A$18,$A$18)=0,$A$18,MOD($A26+INDEX(_xlfn.TEXTSPLIT(AK124,",",),0,1)+$A$18,$A$18))/5,0),ROUNDUP(IF(MOD(AK$18+INDEX(_xlfn.TEXTSPLIT(AK124,",",),0,2)+$A$18,$A$18)=0,$A$18,MOD(AK$18+INDEX(_xlfn.TEXTSPLIT(AK124,",",),0,2)+$A$18,$A$18))/5,0)))</f>
        <v>1</v>
      </c>
      <c r="AL26" s="1" cm="1">
        <f t="array" aca="1" ref="AL26" ca="1">(INDEX($K$2:$T$11,ROUNDUP(IF(MOD($A26+INDEX(_xlfn.TEXTSPLIT(AL81,",",),0,1)+$A$18,$A$18)=0,$A$18,MOD($A26+INDEX(_xlfn.TEXTSPLIT(AL81,",",),0,1)+$A$18,$A$18))/4,0),ROUNDUP(IF(MOD(AL$18+INDEX(_xlfn.TEXTSPLIT(AL81,",",),0,2)+$A$18,$A$18)=0,$A$18,MOD(AL$18+INDEX(_xlfn.TEXTSPLIT(AL81,",",),0,2)+$A$18,$A$18))/4,0)))+(INDEX($AD$2:$AK$9,ROUNDUP(IF(MOD($A26+INDEX(_xlfn.TEXTSPLIT(AL124,",",),0,1)+$A$18,$A$18)=0,$A$18,MOD($A26+INDEX(_xlfn.TEXTSPLIT(AL124,",",),0,1)+$A$18,$A$18))/5,0),ROUNDUP(IF(MOD(AL$18+INDEX(_xlfn.TEXTSPLIT(AL124,",",),0,2)+$A$18,$A$18)=0,$A$18,MOD(AL$18+INDEX(_xlfn.TEXTSPLIT(AL124,",",),0,2)+$A$18,$A$18))/5,0)))</f>
        <v>5</v>
      </c>
      <c r="AM26" s="1" cm="1">
        <f t="array" aca="1" ref="AM26" ca="1">(INDEX($K$2:$T$11,ROUNDUP(IF(MOD($A26+INDEX(_xlfn.TEXTSPLIT(AM81,",",),0,1)+$A$18,$A$18)=0,$A$18,MOD($A26+INDEX(_xlfn.TEXTSPLIT(AM81,",",),0,1)+$A$18,$A$18))/4,0),ROUNDUP(IF(MOD(AM$18+INDEX(_xlfn.TEXTSPLIT(AM81,",",),0,2)+$A$18,$A$18)=0,$A$18,MOD(AM$18+INDEX(_xlfn.TEXTSPLIT(AM81,",",),0,2)+$A$18,$A$18))/4,0)))+(INDEX($AD$2:$AK$9,ROUNDUP(IF(MOD($A26+INDEX(_xlfn.TEXTSPLIT(AM124,",",),0,1)+$A$18,$A$18)=0,$A$18,MOD($A26+INDEX(_xlfn.TEXTSPLIT(AM124,",",),0,1)+$A$18,$A$18))/5,0),ROUNDUP(IF(MOD(AM$18+INDEX(_xlfn.TEXTSPLIT(AM124,",",),0,2)+$A$18,$A$18)=0,$A$18,MOD(AM$18+INDEX(_xlfn.TEXTSPLIT(AM124,",",),0,2)+$A$18,$A$18))/5,0)))</f>
        <v>5</v>
      </c>
      <c r="AN26" s="1" cm="1">
        <f t="array" aca="1" ref="AN26" ca="1">(INDEX($K$2:$T$11,ROUNDUP(IF(MOD($A26+INDEX(_xlfn.TEXTSPLIT(AN81,",",),0,1)+$A$18,$A$18)=0,$A$18,MOD($A26+INDEX(_xlfn.TEXTSPLIT(AN81,",",),0,1)+$A$18,$A$18))/4,0),ROUNDUP(IF(MOD(AN$18+INDEX(_xlfn.TEXTSPLIT(AN81,",",),0,2)+$A$18,$A$18)=0,$A$18,MOD(AN$18+INDEX(_xlfn.TEXTSPLIT(AN81,",",),0,2)+$A$18,$A$18))/4,0)))+(INDEX($AD$2:$AK$9,ROUNDUP(IF(MOD($A26+INDEX(_xlfn.TEXTSPLIT(AN124,",",),0,1)+$A$18,$A$18)=0,$A$18,MOD($A26+INDEX(_xlfn.TEXTSPLIT(AN124,",",),0,1)+$A$18,$A$18))/5,0),ROUNDUP(IF(MOD(AN$18+INDEX(_xlfn.TEXTSPLIT(AN124,",",),0,2)+$A$18,$A$18)=0,$A$18,MOD(AN$18+INDEX(_xlfn.TEXTSPLIT(AN124,",",),0,2)+$A$18,$A$18))/5,0)))</f>
        <v>1</v>
      </c>
      <c r="AO26" s="1" cm="1">
        <f t="array" aca="1" ref="AO26" ca="1">(INDEX($K$2:$T$11,ROUNDUP(IF(MOD($A26+INDEX(_xlfn.TEXTSPLIT(AO81,",",),0,1)+$A$18,$A$18)=0,$A$18,MOD($A26+INDEX(_xlfn.TEXTSPLIT(AO81,",",),0,1)+$A$18,$A$18))/4,0),ROUNDUP(IF(MOD(AO$18+INDEX(_xlfn.TEXTSPLIT(AO81,",",),0,2)+$A$18,$A$18)=0,$A$18,MOD(AO$18+INDEX(_xlfn.TEXTSPLIT(AO81,",",),0,2)+$A$18,$A$18))/4,0)))+(INDEX($AD$2:$AK$9,ROUNDUP(IF(MOD($A26+INDEX(_xlfn.TEXTSPLIT(AO124,",",),0,1)+$A$18,$A$18)=0,$A$18,MOD($A26+INDEX(_xlfn.TEXTSPLIT(AO124,",",),0,1)+$A$18,$A$18))/5,0),ROUNDUP(IF(MOD(AO$18+INDEX(_xlfn.TEXTSPLIT(AO124,",",),0,2)+$A$18,$A$18)=0,$A$18,MOD(AO$18+INDEX(_xlfn.TEXTSPLIT(AO124,",",),0,2)+$A$18,$A$18))/5,0)))</f>
        <v>1</v>
      </c>
    </row>
    <row r="27" spans="1:41" ht="12.75">
      <c r="A27" s="1">
        <v>9</v>
      </c>
      <c r="B27" s="1" cm="1">
        <f t="array" aca="1" ref="B27" ca="1">(INDEX($K$2:$T$11,ROUNDUP(IF(MOD($A27+INDEX(_xlfn.TEXTSPLIT(B82,",",),0,1)+$A$18,$A$18)=0,$A$18,MOD($A27+INDEX(_xlfn.TEXTSPLIT(B82,",",),0,1)+$A$18,$A$18))/4,0),ROUNDUP(IF(MOD(B$18+INDEX(_xlfn.TEXTSPLIT(B82,",",),0,2)+$A$18,$A$18)=0,$A$18,MOD(B$18+INDEX(_xlfn.TEXTSPLIT(B82,",",),0,2)+$A$18,$A$18))/4,0)))+(INDEX($AD$2:$AK$9,ROUNDUP(IF(MOD($A27+INDEX(_xlfn.TEXTSPLIT(B125,",",),0,1)+$A$18,$A$18)=0,$A$18,MOD($A27+INDEX(_xlfn.TEXTSPLIT(B125,",",),0,1)+$A$18,$A$18))/5,0),ROUNDUP(IF(MOD(B$18+INDEX(_xlfn.TEXTSPLIT(B125,",",),0,2)+$A$18,$A$18)=0,$A$18,MOD(B$18+INDEX(_xlfn.TEXTSPLIT(B125,",",),0,2)+$A$18,$A$18))/5,0)))</f>
        <v>5</v>
      </c>
      <c r="C27" s="1" cm="1">
        <f t="array" aca="1" ref="C27" ca="1">(INDEX($K$2:$T$11,ROUNDUP(IF(MOD($A27+INDEX(_xlfn.TEXTSPLIT(C82,",",),0,1)+$A$18,$A$18)=0,$A$18,MOD($A27+INDEX(_xlfn.TEXTSPLIT(C82,",",),0,1)+$A$18,$A$18))/4,0),ROUNDUP(IF(MOD(C$18+INDEX(_xlfn.TEXTSPLIT(C82,",",),0,2)+$A$18,$A$18)=0,$A$18,MOD(C$18+INDEX(_xlfn.TEXTSPLIT(C82,",",),0,2)+$A$18,$A$18))/4,0)))+(INDEX($AD$2:$AK$9,ROUNDUP(IF(MOD($A27+INDEX(_xlfn.TEXTSPLIT(C125,",",),0,1)+$A$18,$A$18)=0,$A$18,MOD($A27+INDEX(_xlfn.TEXTSPLIT(C125,",",),0,1)+$A$18,$A$18))/5,0),ROUNDUP(IF(MOD(C$18+INDEX(_xlfn.TEXTSPLIT(C125,",",),0,2)+$A$18,$A$18)=0,$A$18,MOD(C$18+INDEX(_xlfn.TEXTSPLIT(C125,",",),0,2)+$A$18,$A$18))/5,0)))</f>
        <v>5</v>
      </c>
      <c r="D27" s="1" cm="1">
        <f t="array" aca="1" ref="D27" ca="1">(INDEX($K$2:$T$11,ROUNDUP(IF(MOD($A27+INDEX(_xlfn.TEXTSPLIT(D82,",",),0,1)+$A$18,$A$18)=0,$A$18,MOD($A27+INDEX(_xlfn.TEXTSPLIT(D82,",",),0,1)+$A$18,$A$18))/4,0),ROUNDUP(IF(MOD(D$18+INDEX(_xlfn.TEXTSPLIT(D82,",",),0,2)+$A$18,$A$18)=0,$A$18,MOD(D$18+INDEX(_xlfn.TEXTSPLIT(D82,",",),0,2)+$A$18,$A$18))/4,0)))+(INDEX($AD$2:$AK$9,ROUNDUP(IF(MOD($A27+INDEX(_xlfn.TEXTSPLIT(D125,",",),0,1)+$A$18,$A$18)=0,$A$18,MOD($A27+INDEX(_xlfn.TEXTSPLIT(D125,",",),0,1)+$A$18,$A$18))/5,0),ROUNDUP(IF(MOD(D$18+INDEX(_xlfn.TEXTSPLIT(D125,",",),0,2)+$A$18,$A$18)=0,$A$18,MOD(D$18+INDEX(_xlfn.TEXTSPLIT(D125,",",),0,2)+$A$18,$A$18))/5,0)))</f>
        <v>5</v>
      </c>
      <c r="E27" s="1" cm="1">
        <f t="array" aca="1" ref="E27" ca="1">(INDEX($K$2:$T$11,ROUNDUP(IF(MOD($A27+INDEX(_xlfn.TEXTSPLIT(E82,",",),0,1)+$A$18,$A$18)=0,$A$18,MOD($A27+INDEX(_xlfn.TEXTSPLIT(E82,",",),0,1)+$A$18,$A$18))/4,0),ROUNDUP(IF(MOD(E$18+INDEX(_xlfn.TEXTSPLIT(E82,",",),0,2)+$A$18,$A$18)=0,$A$18,MOD(E$18+INDEX(_xlfn.TEXTSPLIT(E82,",",),0,2)+$A$18,$A$18))/4,0)))+(INDEX($AD$2:$AK$9,ROUNDUP(IF(MOD($A27+INDEX(_xlfn.TEXTSPLIT(E125,",",),0,1)+$A$18,$A$18)=0,$A$18,MOD($A27+INDEX(_xlfn.TEXTSPLIT(E125,",",),0,1)+$A$18,$A$18))/5,0),ROUNDUP(IF(MOD(E$18+INDEX(_xlfn.TEXTSPLIT(E125,",",),0,2)+$A$18,$A$18)=0,$A$18,MOD(E$18+INDEX(_xlfn.TEXTSPLIT(E125,",",),0,2)+$A$18,$A$18))/5,0)))</f>
        <v>5</v>
      </c>
      <c r="F27" s="1" cm="1">
        <f t="array" aca="1" ref="F27" ca="1">(INDEX($K$2:$T$11,ROUNDUP(IF(MOD($A27+INDEX(_xlfn.TEXTSPLIT(F82,",",),0,1)+$A$18,$A$18)=0,$A$18,MOD($A27+INDEX(_xlfn.TEXTSPLIT(F82,",",),0,1)+$A$18,$A$18))/4,0),ROUNDUP(IF(MOD(F$18+INDEX(_xlfn.TEXTSPLIT(F82,",",),0,2)+$A$18,$A$18)=0,$A$18,MOD(F$18+INDEX(_xlfn.TEXTSPLIT(F82,",",),0,2)+$A$18,$A$18))/4,0)))+(INDEX($AD$2:$AK$9,ROUNDUP(IF(MOD($A27+INDEX(_xlfn.TEXTSPLIT(F125,",",),0,1)+$A$18,$A$18)=0,$A$18,MOD($A27+INDEX(_xlfn.TEXTSPLIT(F125,",",),0,1)+$A$18,$A$18))/5,0),ROUNDUP(IF(MOD(F$18+INDEX(_xlfn.TEXTSPLIT(F125,",",),0,2)+$A$18,$A$18)=0,$A$18,MOD(F$18+INDEX(_xlfn.TEXTSPLIT(F125,",",),0,2)+$A$18,$A$18))/5,0)))</f>
        <v>5</v>
      </c>
      <c r="G27" s="1" cm="1">
        <f t="array" aca="1" ref="G27" ca="1">(INDEX($K$2:$T$11,ROUNDUP(IF(MOD($A27+INDEX(_xlfn.TEXTSPLIT(G82,",",),0,1)+$A$18,$A$18)=0,$A$18,MOD($A27+INDEX(_xlfn.TEXTSPLIT(G82,",",),0,1)+$A$18,$A$18))/4,0),ROUNDUP(IF(MOD(G$18+INDEX(_xlfn.TEXTSPLIT(G82,",",),0,2)+$A$18,$A$18)=0,$A$18,MOD(G$18+INDEX(_xlfn.TEXTSPLIT(G82,",",),0,2)+$A$18,$A$18))/4,0)))+(INDEX($AD$2:$AK$9,ROUNDUP(IF(MOD($A27+INDEX(_xlfn.TEXTSPLIT(G125,",",),0,1)+$A$18,$A$18)=0,$A$18,MOD($A27+INDEX(_xlfn.TEXTSPLIT(G125,",",),0,1)+$A$18,$A$18))/5,0),ROUNDUP(IF(MOD(G$18+INDEX(_xlfn.TEXTSPLIT(G125,",",),0,2)+$A$18,$A$18)=0,$A$18,MOD(G$18+INDEX(_xlfn.TEXTSPLIT(G125,",",),0,2)+$A$18,$A$18))/5,0)))</f>
        <v>8</v>
      </c>
      <c r="H27" s="1" cm="1">
        <f t="array" aca="1" ref="H27" ca="1">(INDEX($K$2:$T$11,ROUNDUP(IF(MOD($A27+INDEX(_xlfn.TEXTSPLIT(H82,",",),0,1)+$A$18,$A$18)=0,$A$18,MOD($A27+INDEX(_xlfn.TEXTSPLIT(H82,",",),0,1)+$A$18,$A$18))/4,0),ROUNDUP(IF(MOD(H$18+INDEX(_xlfn.TEXTSPLIT(H82,",",),0,2)+$A$18,$A$18)=0,$A$18,MOD(H$18+INDEX(_xlfn.TEXTSPLIT(H82,",",),0,2)+$A$18,$A$18))/4,0)))+(INDEX($AD$2:$AK$9,ROUNDUP(IF(MOD($A27+INDEX(_xlfn.TEXTSPLIT(H125,",",),0,1)+$A$18,$A$18)=0,$A$18,MOD($A27+INDEX(_xlfn.TEXTSPLIT(H125,",",),0,1)+$A$18,$A$18))/5,0),ROUNDUP(IF(MOD(H$18+INDEX(_xlfn.TEXTSPLIT(H125,",",),0,2)+$A$18,$A$18)=0,$A$18,MOD(H$18+INDEX(_xlfn.TEXTSPLIT(H125,",",),0,2)+$A$18,$A$18))/5,0)))</f>
        <v>8</v>
      </c>
      <c r="I27" s="1" cm="1">
        <f t="array" aca="1" ref="I27" ca="1">(INDEX($K$2:$T$11,ROUNDUP(IF(MOD($A27+INDEX(_xlfn.TEXTSPLIT(I82,",",),0,1)+$A$18,$A$18)=0,$A$18,MOD($A27+INDEX(_xlfn.TEXTSPLIT(I82,",",),0,1)+$A$18,$A$18))/4,0),ROUNDUP(IF(MOD(I$18+INDEX(_xlfn.TEXTSPLIT(I82,",",),0,2)+$A$18,$A$18)=0,$A$18,MOD(I$18+INDEX(_xlfn.TEXTSPLIT(I82,",",),0,2)+$A$18,$A$18))/4,0)))+(INDEX($AD$2:$AK$9,ROUNDUP(IF(MOD($A27+INDEX(_xlfn.TEXTSPLIT(I125,",",),0,1)+$A$18,$A$18)=0,$A$18,MOD($A27+INDEX(_xlfn.TEXTSPLIT(I125,",",),0,1)+$A$18,$A$18))/5,0),ROUNDUP(IF(MOD(I$18+INDEX(_xlfn.TEXTSPLIT(I125,",",),0,2)+$A$18,$A$18)=0,$A$18,MOD(I$18+INDEX(_xlfn.TEXTSPLIT(I125,",",),0,2)+$A$18,$A$18))/5,0)))</f>
        <v>8</v>
      </c>
      <c r="J27" s="1" cm="1">
        <f t="array" aca="1" ref="J27" ca="1">(INDEX($K$2:$T$11,ROUNDUP(IF(MOD($A27+INDEX(_xlfn.TEXTSPLIT(J82,",",),0,1)+$A$18,$A$18)=0,$A$18,MOD($A27+INDEX(_xlfn.TEXTSPLIT(J82,",",),0,1)+$A$18,$A$18))/4,0),ROUNDUP(IF(MOD(J$18+INDEX(_xlfn.TEXTSPLIT(J82,",",),0,2)+$A$18,$A$18)=0,$A$18,MOD(J$18+INDEX(_xlfn.TEXTSPLIT(J82,",",),0,2)+$A$18,$A$18))/4,0)))+(INDEX($AD$2:$AK$9,ROUNDUP(IF(MOD($A27+INDEX(_xlfn.TEXTSPLIT(J125,",",),0,1)+$A$18,$A$18)=0,$A$18,MOD($A27+INDEX(_xlfn.TEXTSPLIT(J125,",",),0,1)+$A$18,$A$18))/5,0),ROUNDUP(IF(MOD(J$18+INDEX(_xlfn.TEXTSPLIT(J125,",",),0,2)+$A$18,$A$18)=0,$A$18,MOD(J$18+INDEX(_xlfn.TEXTSPLIT(J125,",",),0,2)+$A$18,$A$18))/5,0)))</f>
        <v>8</v>
      </c>
      <c r="K27" s="1" cm="1">
        <f t="array" aca="1" ref="K27" ca="1">(INDEX($K$2:$T$11,ROUNDUP(IF(MOD($A27+INDEX(_xlfn.TEXTSPLIT(K82,",",),0,1)+$A$18,$A$18)=0,$A$18,MOD($A27+INDEX(_xlfn.TEXTSPLIT(K82,",",),0,1)+$A$18,$A$18))/4,0),ROUNDUP(IF(MOD(K$18+INDEX(_xlfn.TEXTSPLIT(K82,",",),0,2)+$A$18,$A$18)=0,$A$18,MOD(K$18+INDEX(_xlfn.TEXTSPLIT(K82,",",),0,2)+$A$18,$A$18))/4,0)))+(INDEX($AD$2:$AK$9,ROUNDUP(IF(MOD($A27+INDEX(_xlfn.TEXTSPLIT(K125,",",),0,1)+$A$18,$A$18)=0,$A$18,MOD($A27+INDEX(_xlfn.TEXTSPLIT(K125,",",),0,1)+$A$18,$A$18))/5,0),ROUNDUP(IF(MOD(K$18+INDEX(_xlfn.TEXTSPLIT(K125,",",),0,2)+$A$18,$A$18)=0,$A$18,MOD(K$18+INDEX(_xlfn.TEXTSPLIT(K125,",",),0,2)+$A$18,$A$18))/5,0)))</f>
        <v>8</v>
      </c>
      <c r="L27" s="1" cm="1">
        <f t="array" aca="1" ref="L27" ca="1">(INDEX($K$2:$T$11,ROUNDUP(IF(MOD($A27+INDEX(_xlfn.TEXTSPLIT(L82,",",),0,1)+$A$18,$A$18)=0,$A$18,MOD($A27+INDEX(_xlfn.TEXTSPLIT(L82,",",),0,1)+$A$18,$A$18))/4,0),ROUNDUP(IF(MOD(L$18+INDEX(_xlfn.TEXTSPLIT(L82,",",),0,2)+$A$18,$A$18)=0,$A$18,MOD(L$18+INDEX(_xlfn.TEXTSPLIT(L82,",",),0,2)+$A$18,$A$18))/4,0)))+(INDEX($AD$2:$AK$9,ROUNDUP(IF(MOD($A27+INDEX(_xlfn.TEXTSPLIT(L125,",",),0,1)+$A$18,$A$18)=0,$A$18,MOD($A27+INDEX(_xlfn.TEXTSPLIT(L125,",",),0,1)+$A$18,$A$18))/5,0),ROUNDUP(IF(MOD(L$18+INDEX(_xlfn.TEXTSPLIT(L125,",",),0,2)+$A$18,$A$18)=0,$A$18,MOD(L$18+INDEX(_xlfn.TEXTSPLIT(L125,",",),0,2)+$A$18,$A$18))/5,0)))</f>
        <v>5</v>
      </c>
      <c r="M27" s="1" cm="1">
        <f t="array" aca="1" ref="M27" ca="1">(INDEX($K$2:$T$11,ROUNDUP(IF(MOD($A27+INDEX(_xlfn.TEXTSPLIT(M82,",",),0,1)+$A$18,$A$18)=0,$A$18,MOD($A27+INDEX(_xlfn.TEXTSPLIT(M82,",",),0,1)+$A$18,$A$18))/4,0),ROUNDUP(IF(MOD(M$18+INDEX(_xlfn.TEXTSPLIT(M82,",",),0,2)+$A$18,$A$18)=0,$A$18,MOD(M$18+INDEX(_xlfn.TEXTSPLIT(M82,",",),0,2)+$A$18,$A$18))/4,0)))+(INDEX($AD$2:$AK$9,ROUNDUP(IF(MOD($A27+INDEX(_xlfn.TEXTSPLIT(M125,",",),0,1)+$A$18,$A$18)=0,$A$18,MOD($A27+INDEX(_xlfn.TEXTSPLIT(M125,",",),0,1)+$A$18,$A$18))/5,0),ROUNDUP(IF(MOD(M$18+INDEX(_xlfn.TEXTSPLIT(M125,",",),0,2)+$A$18,$A$18)=0,$A$18,MOD(M$18+INDEX(_xlfn.TEXTSPLIT(M125,",",),0,2)+$A$18,$A$18))/5,0)))</f>
        <v>1</v>
      </c>
      <c r="N27" s="1" cm="1">
        <f t="array" aca="1" ref="N27" ca="1">(INDEX($K$2:$T$11,ROUNDUP(IF(MOD($A27+INDEX(_xlfn.TEXTSPLIT(N82,",",),0,1)+$A$18,$A$18)=0,$A$18,MOD($A27+INDEX(_xlfn.TEXTSPLIT(N82,",",),0,1)+$A$18,$A$18))/4,0),ROUNDUP(IF(MOD(N$18+INDEX(_xlfn.TEXTSPLIT(N82,",",),0,2)+$A$18,$A$18)=0,$A$18,MOD(N$18+INDEX(_xlfn.TEXTSPLIT(N82,",",),0,2)+$A$18,$A$18))/4,0)))+(INDEX($AD$2:$AK$9,ROUNDUP(IF(MOD($A27+INDEX(_xlfn.TEXTSPLIT(N125,",",),0,1)+$A$18,$A$18)=0,$A$18,MOD($A27+INDEX(_xlfn.TEXTSPLIT(N125,",",),0,1)+$A$18,$A$18))/5,0),ROUNDUP(IF(MOD(N$18+INDEX(_xlfn.TEXTSPLIT(N125,",",),0,2)+$A$18,$A$18)=0,$A$18,MOD(N$18+INDEX(_xlfn.TEXTSPLIT(N125,",",),0,2)+$A$18,$A$18))/5,0)))</f>
        <v>1</v>
      </c>
      <c r="O27" s="1" cm="1">
        <f t="array" aca="1" ref="O27" ca="1">(INDEX($K$2:$T$11,ROUNDUP(IF(MOD($A27+INDEX(_xlfn.TEXTSPLIT(O82,",",),0,1)+$A$18,$A$18)=0,$A$18,MOD($A27+INDEX(_xlfn.TEXTSPLIT(O82,",",),0,1)+$A$18,$A$18))/4,0),ROUNDUP(IF(MOD(O$18+INDEX(_xlfn.TEXTSPLIT(O82,",",),0,2)+$A$18,$A$18)=0,$A$18,MOD(O$18+INDEX(_xlfn.TEXTSPLIT(O82,",",),0,2)+$A$18,$A$18))/4,0)))+(INDEX($AD$2:$AK$9,ROUNDUP(IF(MOD($A27+INDEX(_xlfn.TEXTSPLIT(O125,",",),0,1)+$A$18,$A$18)=0,$A$18,MOD($A27+INDEX(_xlfn.TEXTSPLIT(O125,",",),0,1)+$A$18,$A$18))/5,0),ROUNDUP(IF(MOD(O$18+INDEX(_xlfn.TEXTSPLIT(O125,",",),0,2)+$A$18,$A$18)=0,$A$18,MOD(O$18+INDEX(_xlfn.TEXTSPLIT(O125,",",),0,2)+$A$18,$A$18))/5,0)))</f>
        <v>1</v>
      </c>
      <c r="P27" s="1" cm="1">
        <f t="array" aca="1" ref="P27" ca="1">(INDEX($K$2:$T$11,ROUNDUP(IF(MOD($A27+INDEX(_xlfn.TEXTSPLIT(P82,",",),0,1)+$A$18,$A$18)=0,$A$18,MOD($A27+INDEX(_xlfn.TEXTSPLIT(P82,",",),0,1)+$A$18,$A$18))/4,0),ROUNDUP(IF(MOD(P$18+INDEX(_xlfn.TEXTSPLIT(P82,",",),0,2)+$A$18,$A$18)=0,$A$18,MOD(P$18+INDEX(_xlfn.TEXTSPLIT(P82,",",),0,2)+$A$18,$A$18))/4,0)))+(INDEX($AD$2:$AK$9,ROUNDUP(IF(MOD($A27+INDEX(_xlfn.TEXTSPLIT(P125,",",),0,1)+$A$18,$A$18)=0,$A$18,MOD($A27+INDEX(_xlfn.TEXTSPLIT(P125,",",),0,1)+$A$18,$A$18))/5,0),ROUNDUP(IF(MOD(P$18+INDEX(_xlfn.TEXTSPLIT(P125,",",),0,2)+$A$18,$A$18)=0,$A$18,MOD(P$18+INDEX(_xlfn.TEXTSPLIT(P125,",",),0,2)+$A$18,$A$18))/5,0)))</f>
        <v>1</v>
      </c>
      <c r="Q27" s="1" cm="1">
        <f t="array" aca="1" ref="Q27" ca="1">(INDEX($K$2:$T$11,ROUNDUP(IF(MOD($A27+INDEX(_xlfn.TEXTSPLIT(Q82,",",),0,1)+$A$18,$A$18)=0,$A$18,MOD($A27+INDEX(_xlfn.TEXTSPLIT(Q82,",",),0,1)+$A$18,$A$18))/4,0),ROUNDUP(IF(MOD(Q$18+INDEX(_xlfn.TEXTSPLIT(Q82,",",),0,2)+$A$18,$A$18)=0,$A$18,MOD(Q$18+INDEX(_xlfn.TEXTSPLIT(Q82,",",),0,2)+$A$18,$A$18))/4,0)))+(INDEX($AD$2:$AK$9,ROUNDUP(IF(MOD($A27+INDEX(_xlfn.TEXTSPLIT(Q125,",",),0,1)+$A$18,$A$18)=0,$A$18,MOD($A27+INDEX(_xlfn.TEXTSPLIT(Q125,",",),0,1)+$A$18,$A$18))/5,0),ROUNDUP(IF(MOD(Q$18+INDEX(_xlfn.TEXTSPLIT(Q125,",",),0,2)+$A$18,$A$18)=0,$A$18,MOD(Q$18+INDEX(_xlfn.TEXTSPLIT(Q125,",",),0,2)+$A$18,$A$18))/5,0)))</f>
        <v>5</v>
      </c>
      <c r="R27" s="1" cm="1">
        <f t="array" aca="1" ref="R27" ca="1">(INDEX($K$2:$T$11,ROUNDUP(IF(MOD($A27+INDEX(_xlfn.TEXTSPLIT(R82,",",),0,1)+$A$18,$A$18)=0,$A$18,MOD($A27+INDEX(_xlfn.TEXTSPLIT(R82,",",),0,1)+$A$18,$A$18))/4,0),ROUNDUP(IF(MOD(R$18+INDEX(_xlfn.TEXTSPLIT(R82,",",),0,2)+$A$18,$A$18)=0,$A$18,MOD(R$18+INDEX(_xlfn.TEXTSPLIT(R82,",",),0,2)+$A$18,$A$18))/4,0)))+(INDEX($AD$2:$AK$9,ROUNDUP(IF(MOD($A27+INDEX(_xlfn.TEXTSPLIT(R125,",",),0,1)+$A$18,$A$18)=0,$A$18,MOD($A27+INDEX(_xlfn.TEXTSPLIT(R125,",",),0,1)+$A$18,$A$18))/5,0),ROUNDUP(IF(MOD(R$18+INDEX(_xlfn.TEXTSPLIT(R125,",",),0,2)+$A$18,$A$18)=0,$A$18,MOD(R$18+INDEX(_xlfn.TEXTSPLIT(R125,",",),0,2)+$A$18,$A$18))/5,0)))</f>
        <v>5</v>
      </c>
      <c r="S27" s="1" cm="1">
        <f t="array" aca="1" ref="S27" ca="1">(INDEX($K$2:$T$11,ROUNDUP(IF(MOD($A27+INDEX(_xlfn.TEXTSPLIT(S82,",",),0,1)+$A$18,$A$18)=0,$A$18,MOD($A27+INDEX(_xlfn.TEXTSPLIT(S82,",",),0,1)+$A$18,$A$18))/4,0),ROUNDUP(IF(MOD(S$18+INDEX(_xlfn.TEXTSPLIT(S82,",",),0,2)+$A$18,$A$18)=0,$A$18,MOD(S$18+INDEX(_xlfn.TEXTSPLIT(S82,",",),0,2)+$A$18,$A$18))/4,0)))+(INDEX($AD$2:$AK$9,ROUNDUP(IF(MOD($A27+INDEX(_xlfn.TEXTSPLIT(S125,",",),0,1)+$A$18,$A$18)=0,$A$18,MOD($A27+INDEX(_xlfn.TEXTSPLIT(S125,",",),0,1)+$A$18,$A$18))/5,0),ROUNDUP(IF(MOD(S$18+INDEX(_xlfn.TEXTSPLIT(S125,",",),0,2)+$A$18,$A$18)=0,$A$18,MOD(S$18+INDEX(_xlfn.TEXTSPLIT(S125,",",),0,2)+$A$18,$A$18))/5,0)))</f>
        <v>5</v>
      </c>
      <c r="T27" s="1" cm="1">
        <f t="array" aca="1" ref="T27" ca="1">(INDEX($K$2:$T$11,ROUNDUP(IF(MOD($A27+INDEX(_xlfn.TEXTSPLIT(T82,",",),0,1)+$A$18,$A$18)=0,$A$18,MOD($A27+INDEX(_xlfn.TEXTSPLIT(T82,",",),0,1)+$A$18,$A$18))/4,0),ROUNDUP(IF(MOD(T$18+INDEX(_xlfn.TEXTSPLIT(T82,",",),0,2)+$A$18,$A$18)=0,$A$18,MOD(T$18+INDEX(_xlfn.TEXTSPLIT(T82,",",),0,2)+$A$18,$A$18))/4,0)))+(INDEX($AD$2:$AK$9,ROUNDUP(IF(MOD($A27+INDEX(_xlfn.TEXTSPLIT(T125,",",),0,1)+$A$18,$A$18)=0,$A$18,MOD($A27+INDEX(_xlfn.TEXTSPLIT(T125,",",),0,1)+$A$18,$A$18))/5,0),ROUNDUP(IF(MOD(T$18+INDEX(_xlfn.TEXTSPLIT(T125,",",),0,2)+$A$18,$A$18)=0,$A$18,MOD(T$18+INDEX(_xlfn.TEXTSPLIT(T125,",",),0,2)+$A$18,$A$18))/5,0)))</f>
        <v>5</v>
      </c>
      <c r="U27" s="1" cm="1">
        <f t="array" aca="1" ref="U27" ca="1">(INDEX($K$2:$T$11,ROUNDUP(IF(MOD($A27+INDEX(_xlfn.TEXTSPLIT(U82,",",),0,1)+$A$18,$A$18)=0,$A$18,MOD($A27+INDEX(_xlfn.TEXTSPLIT(U82,",",),0,1)+$A$18,$A$18))/4,0),ROUNDUP(IF(MOD(U$18+INDEX(_xlfn.TEXTSPLIT(U82,",",),0,2)+$A$18,$A$18)=0,$A$18,MOD(U$18+INDEX(_xlfn.TEXTSPLIT(U82,",",),0,2)+$A$18,$A$18))/4,0)))+(INDEX($AD$2:$AK$9,ROUNDUP(IF(MOD($A27+INDEX(_xlfn.TEXTSPLIT(U125,",",),0,1)+$A$18,$A$18)=0,$A$18,MOD($A27+INDEX(_xlfn.TEXTSPLIT(U125,",",),0,1)+$A$18,$A$18))/5,0),ROUNDUP(IF(MOD(U$18+INDEX(_xlfn.TEXTSPLIT(U125,",",),0,2)+$A$18,$A$18)=0,$A$18,MOD(U$18+INDEX(_xlfn.TEXTSPLIT(U125,",",),0,2)+$A$18,$A$18))/5,0)))</f>
        <v>5</v>
      </c>
      <c r="V27" s="1" cm="1">
        <f t="array" aca="1" ref="V27" ca="1">(INDEX($K$2:$T$11,ROUNDUP(IF(MOD($A27+INDEX(_xlfn.TEXTSPLIT(V82,",",),0,1)+$A$18,$A$18)=0,$A$18,MOD($A27+INDEX(_xlfn.TEXTSPLIT(V82,",",),0,1)+$A$18,$A$18))/4,0),ROUNDUP(IF(MOD(V$18+INDEX(_xlfn.TEXTSPLIT(V82,",",),0,2)+$A$18,$A$18)=0,$A$18,MOD(V$18+INDEX(_xlfn.TEXTSPLIT(V82,",",),0,2)+$A$18,$A$18))/4,0)))+(INDEX($AD$2:$AK$9,ROUNDUP(IF(MOD($A27+INDEX(_xlfn.TEXTSPLIT(V125,",",),0,1)+$A$18,$A$18)=0,$A$18,MOD($A27+INDEX(_xlfn.TEXTSPLIT(V125,",",),0,1)+$A$18,$A$18))/5,0),ROUNDUP(IF(MOD(V$18+INDEX(_xlfn.TEXTSPLIT(V125,",",),0,2)+$A$18,$A$18)=0,$A$18,MOD(V$18+INDEX(_xlfn.TEXTSPLIT(V125,",",),0,2)+$A$18,$A$18))/5,0)))</f>
        <v>5</v>
      </c>
      <c r="W27" s="1" cm="1">
        <f t="array" aca="1" ref="W27" ca="1">(INDEX($K$2:$T$11,ROUNDUP(IF(MOD($A27+INDEX(_xlfn.TEXTSPLIT(W82,",",),0,1)+$A$18,$A$18)=0,$A$18,MOD($A27+INDEX(_xlfn.TEXTSPLIT(W82,",",),0,1)+$A$18,$A$18))/4,0),ROUNDUP(IF(MOD(W$18+INDEX(_xlfn.TEXTSPLIT(W82,",",),0,2)+$A$18,$A$18)=0,$A$18,MOD(W$18+INDEX(_xlfn.TEXTSPLIT(W82,",",),0,2)+$A$18,$A$18))/4,0)))+(INDEX($AD$2:$AK$9,ROUNDUP(IF(MOD($A27+INDEX(_xlfn.TEXTSPLIT(W125,",",),0,1)+$A$18,$A$18)=0,$A$18,MOD($A27+INDEX(_xlfn.TEXTSPLIT(W125,",",),0,1)+$A$18,$A$18))/5,0),ROUNDUP(IF(MOD(W$18+INDEX(_xlfn.TEXTSPLIT(W125,",",),0,2)+$A$18,$A$18)=0,$A$18,MOD(W$18+INDEX(_xlfn.TEXTSPLIT(W125,",",),0,2)+$A$18,$A$18))/5,0)))</f>
        <v>5</v>
      </c>
      <c r="X27" s="1" cm="1">
        <f t="array" aca="1" ref="X27" ca="1">(INDEX($K$2:$T$11,ROUNDUP(IF(MOD($A27+INDEX(_xlfn.TEXTSPLIT(X82,",",),0,1)+$A$18,$A$18)=0,$A$18,MOD($A27+INDEX(_xlfn.TEXTSPLIT(X82,",",),0,1)+$A$18,$A$18))/4,0),ROUNDUP(IF(MOD(X$18+INDEX(_xlfn.TEXTSPLIT(X82,",",),0,2)+$A$18,$A$18)=0,$A$18,MOD(X$18+INDEX(_xlfn.TEXTSPLIT(X82,",",),0,2)+$A$18,$A$18))/4,0)))+(INDEX($AD$2:$AK$9,ROUNDUP(IF(MOD($A27+INDEX(_xlfn.TEXTSPLIT(X125,",",),0,1)+$A$18,$A$18)=0,$A$18,MOD($A27+INDEX(_xlfn.TEXTSPLIT(X125,",",),0,1)+$A$18,$A$18))/5,0),ROUNDUP(IF(MOD(X$18+INDEX(_xlfn.TEXTSPLIT(X125,",",),0,2)+$A$18,$A$18)=0,$A$18,MOD(X$18+INDEX(_xlfn.TEXTSPLIT(X125,",",),0,2)+$A$18,$A$18))/5,0)))</f>
        <v>5</v>
      </c>
      <c r="Y27" s="1" cm="1">
        <f t="array" aca="1" ref="Y27" ca="1">(INDEX($K$2:$T$11,ROUNDUP(IF(MOD($A27+INDEX(_xlfn.TEXTSPLIT(Y82,",",),0,1)+$A$18,$A$18)=0,$A$18,MOD($A27+INDEX(_xlfn.TEXTSPLIT(Y82,",",),0,1)+$A$18,$A$18))/4,0),ROUNDUP(IF(MOD(Y$18+INDEX(_xlfn.TEXTSPLIT(Y82,",",),0,2)+$A$18,$A$18)=0,$A$18,MOD(Y$18+INDEX(_xlfn.TEXTSPLIT(Y82,",",),0,2)+$A$18,$A$18))/4,0)))+(INDEX($AD$2:$AK$9,ROUNDUP(IF(MOD($A27+INDEX(_xlfn.TEXTSPLIT(Y125,",",),0,1)+$A$18,$A$18)=0,$A$18,MOD($A27+INDEX(_xlfn.TEXTSPLIT(Y125,",",),0,1)+$A$18,$A$18))/5,0),ROUNDUP(IF(MOD(Y$18+INDEX(_xlfn.TEXTSPLIT(Y125,",",),0,2)+$A$18,$A$18)=0,$A$18,MOD(Y$18+INDEX(_xlfn.TEXTSPLIT(Y125,",",),0,2)+$A$18,$A$18))/5,0)))</f>
        <v>1</v>
      </c>
      <c r="Z27" s="1" cm="1">
        <f t="array" aca="1" ref="Z27" ca="1">(INDEX($K$2:$T$11,ROUNDUP(IF(MOD($A27+INDEX(_xlfn.TEXTSPLIT(Z82,",",),0,1)+$A$18,$A$18)=0,$A$18,MOD($A27+INDEX(_xlfn.TEXTSPLIT(Z82,",",),0,1)+$A$18,$A$18))/4,0),ROUNDUP(IF(MOD(Z$18+INDEX(_xlfn.TEXTSPLIT(Z82,",",),0,2)+$A$18,$A$18)=0,$A$18,MOD(Z$18+INDEX(_xlfn.TEXTSPLIT(Z82,",",),0,2)+$A$18,$A$18))/4,0)))+(INDEX($AD$2:$AK$9,ROUNDUP(IF(MOD($A27+INDEX(_xlfn.TEXTSPLIT(Z125,",",),0,1)+$A$18,$A$18)=0,$A$18,MOD($A27+INDEX(_xlfn.TEXTSPLIT(Z125,",",),0,1)+$A$18,$A$18))/5,0),ROUNDUP(IF(MOD(Z$18+INDEX(_xlfn.TEXTSPLIT(Z125,",",),0,2)+$A$18,$A$18)=0,$A$18,MOD(Z$18+INDEX(_xlfn.TEXTSPLIT(Z125,",",),0,2)+$A$18,$A$18))/5,0)))</f>
        <v>1</v>
      </c>
      <c r="AA27" s="1" cm="1">
        <f t="array" aca="1" ref="AA27" ca="1">(INDEX($K$2:$T$11,ROUNDUP(IF(MOD($A27+INDEX(_xlfn.TEXTSPLIT(AA82,",",),0,1)+$A$18,$A$18)=0,$A$18,MOD($A27+INDEX(_xlfn.TEXTSPLIT(AA82,",",),0,1)+$A$18,$A$18))/4,0),ROUNDUP(IF(MOD(AA$18+INDEX(_xlfn.TEXTSPLIT(AA82,",",),0,2)+$A$18,$A$18)=0,$A$18,MOD(AA$18+INDEX(_xlfn.TEXTSPLIT(AA82,",",),0,2)+$A$18,$A$18))/4,0)))+(INDEX($AD$2:$AK$9,ROUNDUP(IF(MOD($A27+INDEX(_xlfn.TEXTSPLIT(AA125,",",),0,1)+$A$18,$A$18)=0,$A$18,MOD($A27+INDEX(_xlfn.TEXTSPLIT(AA125,",",),0,1)+$A$18,$A$18))/5,0),ROUNDUP(IF(MOD(AA$18+INDEX(_xlfn.TEXTSPLIT(AA125,",",),0,2)+$A$18,$A$18)=0,$A$18,MOD(AA$18+INDEX(_xlfn.TEXTSPLIT(AA125,",",),0,2)+$A$18,$A$18))/5,0)))</f>
        <v>4</v>
      </c>
      <c r="AB27" s="1" cm="1">
        <f t="array" aca="1" ref="AB27" ca="1">(INDEX($K$2:$T$11,ROUNDUP(IF(MOD($A27+INDEX(_xlfn.TEXTSPLIT(AB82,",",),0,1)+$A$18,$A$18)=0,$A$18,MOD($A27+INDEX(_xlfn.TEXTSPLIT(AB82,",",),0,1)+$A$18,$A$18))/4,0),ROUNDUP(IF(MOD(AB$18+INDEX(_xlfn.TEXTSPLIT(AB82,",",),0,2)+$A$18,$A$18)=0,$A$18,MOD(AB$18+INDEX(_xlfn.TEXTSPLIT(AB82,",",),0,2)+$A$18,$A$18))/4,0)))+(INDEX($AD$2:$AK$9,ROUNDUP(IF(MOD($A27+INDEX(_xlfn.TEXTSPLIT(AB125,",",),0,1)+$A$18,$A$18)=0,$A$18,MOD($A27+INDEX(_xlfn.TEXTSPLIT(AB125,",",),0,1)+$A$18,$A$18))/5,0),ROUNDUP(IF(MOD(AB$18+INDEX(_xlfn.TEXTSPLIT(AB125,",",),0,2)+$A$18,$A$18)=0,$A$18,MOD(AB$18+INDEX(_xlfn.TEXTSPLIT(AB125,",",),0,2)+$A$18,$A$18))/5,0)))</f>
        <v>8</v>
      </c>
      <c r="AC27" s="1" cm="1">
        <f t="array" aca="1" ref="AC27" ca="1">(INDEX($K$2:$T$11,ROUNDUP(IF(MOD($A27+INDEX(_xlfn.TEXTSPLIT(AC82,",",),0,1)+$A$18,$A$18)=0,$A$18,MOD($A27+INDEX(_xlfn.TEXTSPLIT(AC82,",",),0,1)+$A$18,$A$18))/4,0),ROUNDUP(IF(MOD(AC$18+INDEX(_xlfn.TEXTSPLIT(AC82,",",),0,2)+$A$18,$A$18)=0,$A$18,MOD(AC$18+INDEX(_xlfn.TEXTSPLIT(AC82,",",),0,2)+$A$18,$A$18))/4,0)))+(INDEX($AD$2:$AK$9,ROUNDUP(IF(MOD($A27+INDEX(_xlfn.TEXTSPLIT(AC125,",",),0,1)+$A$18,$A$18)=0,$A$18,MOD($A27+INDEX(_xlfn.TEXTSPLIT(AC125,",",),0,1)+$A$18,$A$18))/5,0),ROUNDUP(IF(MOD(AC$18+INDEX(_xlfn.TEXTSPLIT(AC125,",",),0,2)+$A$18,$A$18)=0,$A$18,MOD(AC$18+INDEX(_xlfn.TEXTSPLIT(AC125,",",),0,2)+$A$18,$A$18))/5,0)))</f>
        <v>8</v>
      </c>
      <c r="AD27" s="1" cm="1">
        <f t="array" aca="1" ref="AD27" ca="1">(INDEX($K$2:$T$11,ROUNDUP(IF(MOD($A27+INDEX(_xlfn.TEXTSPLIT(AD82,",",),0,1)+$A$18,$A$18)=0,$A$18,MOD($A27+INDEX(_xlfn.TEXTSPLIT(AD82,",",),0,1)+$A$18,$A$18))/4,0),ROUNDUP(IF(MOD(AD$18+INDEX(_xlfn.TEXTSPLIT(AD82,",",),0,2)+$A$18,$A$18)=0,$A$18,MOD(AD$18+INDEX(_xlfn.TEXTSPLIT(AD82,",",),0,2)+$A$18,$A$18))/4,0)))+(INDEX($AD$2:$AK$9,ROUNDUP(IF(MOD($A27+INDEX(_xlfn.TEXTSPLIT(AD125,",",),0,1)+$A$18,$A$18)=0,$A$18,MOD($A27+INDEX(_xlfn.TEXTSPLIT(AD125,",",),0,1)+$A$18,$A$18))/5,0),ROUNDUP(IF(MOD(AD$18+INDEX(_xlfn.TEXTSPLIT(AD125,",",),0,2)+$A$18,$A$18)=0,$A$18,MOD(AD$18+INDEX(_xlfn.TEXTSPLIT(AD125,",",),0,2)+$A$18,$A$18))/5,0)))</f>
        <v>8</v>
      </c>
      <c r="AE27" s="1" cm="1">
        <f t="array" aca="1" ref="AE27" ca="1">(INDEX($K$2:$T$11,ROUNDUP(IF(MOD($A27+INDEX(_xlfn.TEXTSPLIT(AE82,",",),0,1)+$A$18,$A$18)=0,$A$18,MOD($A27+INDEX(_xlfn.TEXTSPLIT(AE82,",",),0,1)+$A$18,$A$18))/4,0),ROUNDUP(IF(MOD(AE$18+INDEX(_xlfn.TEXTSPLIT(AE82,",",),0,2)+$A$18,$A$18)=0,$A$18,MOD(AE$18+INDEX(_xlfn.TEXTSPLIT(AE82,",",),0,2)+$A$18,$A$18))/4,0)))+(INDEX($AD$2:$AK$9,ROUNDUP(IF(MOD($A27+INDEX(_xlfn.TEXTSPLIT(AE125,",",),0,1)+$A$18,$A$18)=0,$A$18,MOD($A27+INDEX(_xlfn.TEXTSPLIT(AE125,",",),0,1)+$A$18,$A$18))/5,0),ROUNDUP(IF(MOD(AE$18+INDEX(_xlfn.TEXTSPLIT(AE125,",",),0,2)+$A$18,$A$18)=0,$A$18,MOD(AE$18+INDEX(_xlfn.TEXTSPLIT(AE125,",",),0,2)+$A$18,$A$18))/5,0)))</f>
        <v>6</v>
      </c>
      <c r="AF27" s="1" cm="1">
        <f t="array" aca="1" ref="AF27" ca="1">(INDEX($K$2:$T$11,ROUNDUP(IF(MOD($A27+INDEX(_xlfn.TEXTSPLIT(AF82,",",),0,1)+$A$18,$A$18)=0,$A$18,MOD($A27+INDEX(_xlfn.TEXTSPLIT(AF82,",",),0,1)+$A$18,$A$18))/4,0),ROUNDUP(IF(MOD(AF$18+INDEX(_xlfn.TEXTSPLIT(AF82,",",),0,2)+$A$18,$A$18)=0,$A$18,MOD(AF$18+INDEX(_xlfn.TEXTSPLIT(AF82,",",),0,2)+$A$18,$A$18))/4,0)))+(INDEX($AD$2:$AK$9,ROUNDUP(IF(MOD($A27+INDEX(_xlfn.TEXTSPLIT(AF125,",",),0,1)+$A$18,$A$18)=0,$A$18,MOD($A27+INDEX(_xlfn.TEXTSPLIT(AF125,",",),0,1)+$A$18,$A$18))/5,0),ROUNDUP(IF(MOD(AF$18+INDEX(_xlfn.TEXTSPLIT(AF125,",",),0,2)+$A$18,$A$18)=0,$A$18,MOD(AF$18+INDEX(_xlfn.TEXTSPLIT(AF125,",",),0,2)+$A$18,$A$18))/5,0)))</f>
        <v>8</v>
      </c>
      <c r="AG27" s="1" cm="1">
        <f t="array" aca="1" ref="AG27" ca="1">(INDEX($K$2:$T$11,ROUNDUP(IF(MOD($A27+INDEX(_xlfn.TEXTSPLIT(AG82,",",),0,1)+$A$18,$A$18)=0,$A$18,MOD($A27+INDEX(_xlfn.TEXTSPLIT(AG82,",",),0,1)+$A$18,$A$18))/4,0),ROUNDUP(IF(MOD(AG$18+INDEX(_xlfn.TEXTSPLIT(AG82,",",),0,2)+$A$18,$A$18)=0,$A$18,MOD(AG$18+INDEX(_xlfn.TEXTSPLIT(AG82,",",),0,2)+$A$18,$A$18))/4,0)))+(INDEX($AD$2:$AK$9,ROUNDUP(IF(MOD($A27+INDEX(_xlfn.TEXTSPLIT(AG125,",",),0,1)+$A$18,$A$18)=0,$A$18,MOD($A27+INDEX(_xlfn.TEXTSPLIT(AG125,",",),0,1)+$A$18,$A$18))/5,0),ROUNDUP(IF(MOD(AG$18+INDEX(_xlfn.TEXTSPLIT(AG125,",",),0,2)+$A$18,$A$18)=0,$A$18,MOD(AG$18+INDEX(_xlfn.TEXTSPLIT(AG125,",",),0,2)+$A$18,$A$18))/5,0)))</f>
        <v>6</v>
      </c>
      <c r="AH27" s="1" cm="1">
        <f t="array" aca="1" ref="AH27" ca="1">(INDEX($K$2:$T$11,ROUNDUP(IF(MOD($A27+INDEX(_xlfn.TEXTSPLIT(AH82,",",),0,1)+$A$18,$A$18)=0,$A$18,MOD($A27+INDEX(_xlfn.TEXTSPLIT(AH82,",",),0,1)+$A$18,$A$18))/4,0),ROUNDUP(IF(MOD(AH$18+INDEX(_xlfn.TEXTSPLIT(AH82,",",),0,2)+$A$18,$A$18)=0,$A$18,MOD(AH$18+INDEX(_xlfn.TEXTSPLIT(AH82,",",),0,2)+$A$18,$A$18))/4,0)))+(INDEX($AD$2:$AK$9,ROUNDUP(IF(MOD($A27+INDEX(_xlfn.TEXTSPLIT(AH125,",",),0,1)+$A$18,$A$18)=0,$A$18,MOD($A27+INDEX(_xlfn.TEXTSPLIT(AH125,",",),0,1)+$A$18,$A$18))/5,0),ROUNDUP(IF(MOD(AH$18+INDEX(_xlfn.TEXTSPLIT(AH125,",",),0,2)+$A$18,$A$18)=0,$A$18,MOD(AH$18+INDEX(_xlfn.TEXTSPLIT(AH125,",",),0,2)+$A$18,$A$18))/5,0)))</f>
        <v>6</v>
      </c>
      <c r="AI27" s="1" cm="1">
        <f t="array" aca="1" ref="AI27" ca="1">(INDEX($K$2:$T$11,ROUNDUP(IF(MOD($A27+INDEX(_xlfn.TEXTSPLIT(AI82,",",),0,1)+$A$18,$A$18)=0,$A$18,MOD($A27+INDEX(_xlfn.TEXTSPLIT(AI82,",",),0,1)+$A$18,$A$18))/4,0),ROUNDUP(IF(MOD(AI$18+INDEX(_xlfn.TEXTSPLIT(AI82,",",),0,2)+$A$18,$A$18)=0,$A$18,MOD(AI$18+INDEX(_xlfn.TEXTSPLIT(AI82,",",),0,2)+$A$18,$A$18))/4,0)))+(INDEX($AD$2:$AK$9,ROUNDUP(IF(MOD($A27+INDEX(_xlfn.TEXTSPLIT(AI125,",",),0,1)+$A$18,$A$18)=0,$A$18,MOD($A27+INDEX(_xlfn.TEXTSPLIT(AI125,",",),0,1)+$A$18,$A$18))/5,0),ROUNDUP(IF(MOD(AI$18+INDEX(_xlfn.TEXTSPLIT(AI125,",",),0,2)+$A$18,$A$18)=0,$A$18,MOD(AI$18+INDEX(_xlfn.TEXTSPLIT(AI125,",",),0,2)+$A$18,$A$18))/5,0)))</f>
        <v>6</v>
      </c>
      <c r="AJ27" s="1" cm="1">
        <f t="array" aca="1" ref="AJ27" ca="1">(INDEX($K$2:$T$11,ROUNDUP(IF(MOD($A27+INDEX(_xlfn.TEXTSPLIT(AJ82,",",),0,1)+$A$18,$A$18)=0,$A$18,MOD($A27+INDEX(_xlfn.TEXTSPLIT(AJ82,",",),0,1)+$A$18,$A$18))/4,0),ROUNDUP(IF(MOD(AJ$18+INDEX(_xlfn.TEXTSPLIT(AJ82,",",),0,2)+$A$18,$A$18)=0,$A$18,MOD(AJ$18+INDEX(_xlfn.TEXTSPLIT(AJ82,",",),0,2)+$A$18,$A$18))/4,0)))+(INDEX($AD$2:$AK$9,ROUNDUP(IF(MOD($A27+INDEX(_xlfn.TEXTSPLIT(AJ125,",",),0,1)+$A$18,$A$18)=0,$A$18,MOD($A27+INDEX(_xlfn.TEXTSPLIT(AJ125,",",),0,1)+$A$18,$A$18))/5,0),ROUNDUP(IF(MOD(AJ$18+INDEX(_xlfn.TEXTSPLIT(AJ125,",",),0,2)+$A$18,$A$18)=0,$A$18,MOD(AJ$18+INDEX(_xlfn.TEXTSPLIT(AJ125,",",),0,2)+$A$18,$A$18))/5,0)))</f>
        <v>6</v>
      </c>
      <c r="AK27" s="1" cm="1">
        <f t="array" aca="1" ref="AK27" ca="1">(INDEX($K$2:$T$11,ROUNDUP(IF(MOD($A27+INDEX(_xlfn.TEXTSPLIT(AK82,",",),0,1)+$A$18,$A$18)=0,$A$18,MOD($A27+INDEX(_xlfn.TEXTSPLIT(AK82,",",),0,1)+$A$18,$A$18))/4,0),ROUNDUP(IF(MOD(AK$18+INDEX(_xlfn.TEXTSPLIT(AK82,",",),0,2)+$A$18,$A$18)=0,$A$18,MOD(AK$18+INDEX(_xlfn.TEXTSPLIT(AK82,",",),0,2)+$A$18,$A$18))/4,0)))+(INDEX($AD$2:$AK$9,ROUNDUP(IF(MOD($A27+INDEX(_xlfn.TEXTSPLIT(AK125,",",),0,1)+$A$18,$A$18)=0,$A$18,MOD($A27+INDEX(_xlfn.TEXTSPLIT(AK125,",",),0,1)+$A$18,$A$18))/5,0),ROUNDUP(IF(MOD(AK$18+INDEX(_xlfn.TEXTSPLIT(AK125,",",),0,2)+$A$18,$A$18)=0,$A$18,MOD(AK$18+INDEX(_xlfn.TEXTSPLIT(AK125,",",),0,2)+$A$18,$A$18))/5,0)))</f>
        <v>6</v>
      </c>
      <c r="AL27" s="1" cm="1">
        <f t="array" aca="1" ref="AL27" ca="1">(INDEX($K$2:$T$11,ROUNDUP(IF(MOD($A27+INDEX(_xlfn.TEXTSPLIT(AL82,",",),0,1)+$A$18,$A$18)=0,$A$18,MOD($A27+INDEX(_xlfn.TEXTSPLIT(AL82,",",),0,1)+$A$18,$A$18))/4,0),ROUNDUP(IF(MOD(AL$18+INDEX(_xlfn.TEXTSPLIT(AL82,",",),0,2)+$A$18,$A$18)=0,$A$18,MOD(AL$18+INDEX(_xlfn.TEXTSPLIT(AL82,",",),0,2)+$A$18,$A$18))/4,0)))+(INDEX($AD$2:$AK$9,ROUNDUP(IF(MOD($A27+INDEX(_xlfn.TEXTSPLIT(AL125,",",),0,1)+$A$18,$A$18)=0,$A$18,MOD($A27+INDEX(_xlfn.TEXTSPLIT(AL125,",",),0,1)+$A$18,$A$18))/5,0),ROUNDUP(IF(MOD(AL$18+INDEX(_xlfn.TEXTSPLIT(AL125,",",),0,2)+$A$18,$A$18)=0,$A$18,MOD(AL$18+INDEX(_xlfn.TEXTSPLIT(AL125,",",),0,2)+$A$18,$A$18))/5,0)))</f>
        <v>5</v>
      </c>
      <c r="AM27" s="1" cm="1">
        <f t="array" aca="1" ref="AM27" ca="1">(INDEX($K$2:$T$11,ROUNDUP(IF(MOD($A27+INDEX(_xlfn.TEXTSPLIT(AM82,",",),0,1)+$A$18,$A$18)=0,$A$18,MOD($A27+INDEX(_xlfn.TEXTSPLIT(AM82,",",),0,1)+$A$18,$A$18))/4,0),ROUNDUP(IF(MOD(AM$18+INDEX(_xlfn.TEXTSPLIT(AM82,",",),0,2)+$A$18,$A$18)=0,$A$18,MOD(AM$18+INDEX(_xlfn.TEXTSPLIT(AM82,",",),0,2)+$A$18,$A$18))/4,0)))+(INDEX($AD$2:$AK$9,ROUNDUP(IF(MOD($A27+INDEX(_xlfn.TEXTSPLIT(AM125,",",),0,1)+$A$18,$A$18)=0,$A$18,MOD($A27+INDEX(_xlfn.TEXTSPLIT(AM125,",",),0,1)+$A$18,$A$18))/5,0),ROUNDUP(IF(MOD(AM$18+INDEX(_xlfn.TEXTSPLIT(AM125,",",),0,2)+$A$18,$A$18)=0,$A$18,MOD(AM$18+INDEX(_xlfn.TEXTSPLIT(AM125,",",),0,2)+$A$18,$A$18))/5,0)))</f>
        <v>5</v>
      </c>
      <c r="AN27" s="1" cm="1">
        <f t="array" aca="1" ref="AN27" ca="1">(INDEX($K$2:$T$11,ROUNDUP(IF(MOD($A27+INDEX(_xlfn.TEXTSPLIT(AN82,",",),0,1)+$A$18,$A$18)=0,$A$18,MOD($A27+INDEX(_xlfn.TEXTSPLIT(AN82,",",),0,1)+$A$18,$A$18))/4,0),ROUNDUP(IF(MOD(AN$18+INDEX(_xlfn.TEXTSPLIT(AN82,",",),0,2)+$A$18,$A$18)=0,$A$18,MOD(AN$18+INDEX(_xlfn.TEXTSPLIT(AN82,",",),0,2)+$A$18,$A$18))/4,0)))+(INDEX($AD$2:$AK$9,ROUNDUP(IF(MOD($A27+INDEX(_xlfn.TEXTSPLIT(AN125,",",),0,1)+$A$18,$A$18)=0,$A$18,MOD($A27+INDEX(_xlfn.TEXTSPLIT(AN125,",",),0,1)+$A$18,$A$18))/5,0),ROUNDUP(IF(MOD(AN$18+INDEX(_xlfn.TEXTSPLIT(AN125,",",),0,2)+$A$18,$A$18)=0,$A$18,MOD(AN$18+INDEX(_xlfn.TEXTSPLIT(AN125,",",),0,2)+$A$18,$A$18))/5,0)))</f>
        <v>1</v>
      </c>
      <c r="AO27" s="1" cm="1">
        <f t="array" aca="1" ref="AO27" ca="1">(INDEX($K$2:$T$11,ROUNDUP(IF(MOD($A27+INDEX(_xlfn.TEXTSPLIT(AO82,",",),0,1)+$A$18,$A$18)=0,$A$18,MOD($A27+INDEX(_xlfn.TEXTSPLIT(AO82,",",),0,1)+$A$18,$A$18))/4,0),ROUNDUP(IF(MOD(AO$18+INDEX(_xlfn.TEXTSPLIT(AO82,",",),0,2)+$A$18,$A$18)=0,$A$18,MOD(AO$18+INDEX(_xlfn.TEXTSPLIT(AO82,",",),0,2)+$A$18,$A$18))/4,0)))+(INDEX($AD$2:$AK$9,ROUNDUP(IF(MOD($A27+INDEX(_xlfn.TEXTSPLIT(AO125,",",),0,1)+$A$18,$A$18)=0,$A$18,MOD($A27+INDEX(_xlfn.TEXTSPLIT(AO125,",",),0,1)+$A$18,$A$18))/5,0),ROUNDUP(IF(MOD(AO$18+INDEX(_xlfn.TEXTSPLIT(AO125,",",),0,2)+$A$18,$A$18)=0,$A$18,MOD(AO$18+INDEX(_xlfn.TEXTSPLIT(AO125,",",),0,2)+$A$18,$A$18))/5,0)))</f>
        <v>5</v>
      </c>
    </row>
    <row r="28" spans="1:41" ht="12.75">
      <c r="A28" s="1">
        <v>10</v>
      </c>
      <c r="B28" s="1" cm="1">
        <f t="array" aca="1" ref="B28" ca="1">(INDEX($K$2:$T$11,ROUNDUP(IF(MOD($A28+INDEX(_xlfn.TEXTSPLIT(B83,",",),0,1)+$A$18,$A$18)=0,$A$18,MOD($A28+INDEX(_xlfn.TEXTSPLIT(B83,",",),0,1)+$A$18,$A$18))/4,0),ROUNDUP(IF(MOD(B$18+INDEX(_xlfn.TEXTSPLIT(B83,",",),0,2)+$A$18,$A$18)=0,$A$18,MOD(B$18+INDEX(_xlfn.TEXTSPLIT(B83,",",),0,2)+$A$18,$A$18))/4,0)))+(INDEX($AD$2:$AK$9,ROUNDUP(IF(MOD($A28+INDEX(_xlfn.TEXTSPLIT(B126,",",),0,1)+$A$18,$A$18)=0,$A$18,MOD($A28+INDEX(_xlfn.TEXTSPLIT(B126,",",),0,1)+$A$18,$A$18))/5,0),ROUNDUP(IF(MOD(B$18+INDEX(_xlfn.TEXTSPLIT(B126,",",),0,2)+$A$18,$A$18)=0,$A$18,MOD(B$18+INDEX(_xlfn.TEXTSPLIT(B126,",",),0,2)+$A$18,$A$18))/5,0)))</f>
        <v>5</v>
      </c>
      <c r="C28" s="1" cm="1">
        <f t="array" aca="1" ref="C28" ca="1">(INDEX($K$2:$T$11,ROUNDUP(IF(MOD($A28+INDEX(_xlfn.TEXTSPLIT(C83,",",),0,1)+$A$18,$A$18)=0,$A$18,MOD($A28+INDEX(_xlfn.TEXTSPLIT(C83,",",),0,1)+$A$18,$A$18))/4,0),ROUNDUP(IF(MOD(C$18+INDEX(_xlfn.TEXTSPLIT(C83,",",),0,2)+$A$18,$A$18)=0,$A$18,MOD(C$18+INDEX(_xlfn.TEXTSPLIT(C83,",",),0,2)+$A$18,$A$18))/4,0)))+(INDEX($AD$2:$AK$9,ROUNDUP(IF(MOD($A28+INDEX(_xlfn.TEXTSPLIT(C126,",",),0,1)+$A$18,$A$18)=0,$A$18,MOD($A28+INDEX(_xlfn.TEXTSPLIT(C126,",",),0,1)+$A$18,$A$18))/5,0),ROUNDUP(IF(MOD(C$18+INDEX(_xlfn.TEXTSPLIT(C126,",",),0,2)+$A$18,$A$18)=0,$A$18,MOD(C$18+INDEX(_xlfn.TEXTSPLIT(C126,",",),0,2)+$A$18,$A$18))/5,0)))</f>
        <v>5</v>
      </c>
      <c r="D28" s="1" cm="1">
        <f t="array" aca="1" ref="D28" ca="1">(INDEX($K$2:$T$11,ROUNDUP(IF(MOD($A28+INDEX(_xlfn.TEXTSPLIT(D83,",",),0,1)+$A$18,$A$18)=0,$A$18,MOD($A28+INDEX(_xlfn.TEXTSPLIT(D83,",",),0,1)+$A$18,$A$18))/4,0),ROUNDUP(IF(MOD(D$18+INDEX(_xlfn.TEXTSPLIT(D83,",",),0,2)+$A$18,$A$18)=0,$A$18,MOD(D$18+INDEX(_xlfn.TEXTSPLIT(D83,",",),0,2)+$A$18,$A$18))/4,0)))+(INDEX($AD$2:$AK$9,ROUNDUP(IF(MOD($A28+INDEX(_xlfn.TEXTSPLIT(D126,",",),0,1)+$A$18,$A$18)=0,$A$18,MOD($A28+INDEX(_xlfn.TEXTSPLIT(D126,",",),0,1)+$A$18,$A$18))/5,0),ROUNDUP(IF(MOD(D$18+INDEX(_xlfn.TEXTSPLIT(D126,",",),0,2)+$A$18,$A$18)=0,$A$18,MOD(D$18+INDEX(_xlfn.TEXTSPLIT(D126,",",),0,2)+$A$18,$A$18))/5,0)))</f>
        <v>5</v>
      </c>
      <c r="E28" s="1" cm="1">
        <f t="array" aca="1" ref="E28" ca="1">(INDEX($K$2:$T$11,ROUNDUP(IF(MOD($A28+INDEX(_xlfn.TEXTSPLIT(E83,",",),0,1)+$A$18,$A$18)=0,$A$18,MOD($A28+INDEX(_xlfn.TEXTSPLIT(E83,",",),0,1)+$A$18,$A$18))/4,0),ROUNDUP(IF(MOD(E$18+INDEX(_xlfn.TEXTSPLIT(E83,",",),0,2)+$A$18,$A$18)=0,$A$18,MOD(E$18+INDEX(_xlfn.TEXTSPLIT(E83,",",),0,2)+$A$18,$A$18))/4,0)))+(INDEX($AD$2:$AK$9,ROUNDUP(IF(MOD($A28+INDEX(_xlfn.TEXTSPLIT(E126,",",),0,1)+$A$18,$A$18)=0,$A$18,MOD($A28+INDEX(_xlfn.TEXTSPLIT(E126,",",),0,1)+$A$18,$A$18))/5,0),ROUNDUP(IF(MOD(E$18+INDEX(_xlfn.TEXTSPLIT(E126,",",),0,2)+$A$18,$A$18)=0,$A$18,MOD(E$18+INDEX(_xlfn.TEXTSPLIT(E126,",",),0,2)+$A$18,$A$18))/5,0)))</f>
        <v>5</v>
      </c>
      <c r="F28" s="1" cm="1">
        <f t="array" aca="1" ref="F28" ca="1">(INDEX($K$2:$T$11,ROUNDUP(IF(MOD($A28+INDEX(_xlfn.TEXTSPLIT(F83,",",),0,1)+$A$18,$A$18)=0,$A$18,MOD($A28+INDEX(_xlfn.TEXTSPLIT(F83,",",),0,1)+$A$18,$A$18))/4,0),ROUNDUP(IF(MOD(F$18+INDEX(_xlfn.TEXTSPLIT(F83,",",),0,2)+$A$18,$A$18)=0,$A$18,MOD(F$18+INDEX(_xlfn.TEXTSPLIT(F83,",",),0,2)+$A$18,$A$18))/4,0)))+(INDEX($AD$2:$AK$9,ROUNDUP(IF(MOD($A28+INDEX(_xlfn.TEXTSPLIT(F126,",",),0,1)+$A$18,$A$18)=0,$A$18,MOD($A28+INDEX(_xlfn.TEXTSPLIT(F126,",",),0,1)+$A$18,$A$18))/5,0),ROUNDUP(IF(MOD(F$18+INDEX(_xlfn.TEXTSPLIT(F126,",",),0,2)+$A$18,$A$18)=0,$A$18,MOD(F$18+INDEX(_xlfn.TEXTSPLIT(F126,",",),0,2)+$A$18,$A$18))/5,0)))</f>
        <v>5</v>
      </c>
      <c r="G28" s="1" cm="1">
        <f t="array" aca="1" ref="G28" ca="1">(INDEX($K$2:$T$11,ROUNDUP(IF(MOD($A28+INDEX(_xlfn.TEXTSPLIT(G83,",",),0,1)+$A$18,$A$18)=0,$A$18,MOD($A28+INDEX(_xlfn.TEXTSPLIT(G83,",",),0,1)+$A$18,$A$18))/4,0),ROUNDUP(IF(MOD(G$18+INDEX(_xlfn.TEXTSPLIT(G83,",",),0,2)+$A$18,$A$18)=0,$A$18,MOD(G$18+INDEX(_xlfn.TEXTSPLIT(G83,",",),0,2)+$A$18,$A$18))/4,0)))+(INDEX($AD$2:$AK$9,ROUNDUP(IF(MOD($A28+INDEX(_xlfn.TEXTSPLIT(G126,",",),0,1)+$A$18,$A$18)=0,$A$18,MOD($A28+INDEX(_xlfn.TEXTSPLIT(G126,",",),0,1)+$A$18,$A$18))/5,0),ROUNDUP(IF(MOD(G$18+INDEX(_xlfn.TEXTSPLIT(G126,",",),0,2)+$A$18,$A$18)=0,$A$18,MOD(G$18+INDEX(_xlfn.TEXTSPLIT(G126,",",),0,2)+$A$18,$A$18))/5,0)))</f>
        <v>5</v>
      </c>
      <c r="H28" s="1" cm="1">
        <f t="array" aca="1" ref="H28" ca="1">(INDEX($K$2:$T$11,ROUNDUP(IF(MOD($A28+INDEX(_xlfn.TEXTSPLIT(H83,",",),0,1)+$A$18,$A$18)=0,$A$18,MOD($A28+INDEX(_xlfn.TEXTSPLIT(H83,",",),0,1)+$A$18,$A$18))/4,0),ROUNDUP(IF(MOD(H$18+INDEX(_xlfn.TEXTSPLIT(H83,",",),0,2)+$A$18,$A$18)=0,$A$18,MOD(H$18+INDEX(_xlfn.TEXTSPLIT(H83,",",),0,2)+$A$18,$A$18))/4,0)))+(INDEX($AD$2:$AK$9,ROUNDUP(IF(MOD($A28+INDEX(_xlfn.TEXTSPLIT(H126,",",),0,1)+$A$18,$A$18)=0,$A$18,MOD($A28+INDEX(_xlfn.TEXTSPLIT(H126,",",),0,1)+$A$18,$A$18))/5,0),ROUNDUP(IF(MOD(H$18+INDEX(_xlfn.TEXTSPLIT(H126,",",),0,2)+$A$18,$A$18)=0,$A$18,MOD(H$18+INDEX(_xlfn.TEXTSPLIT(H126,",",),0,2)+$A$18,$A$18))/5,0)))</f>
        <v>8</v>
      </c>
      <c r="I28" s="1" cm="1">
        <f t="array" aca="1" ref="I28" ca="1">(INDEX($K$2:$T$11,ROUNDUP(IF(MOD($A28+INDEX(_xlfn.TEXTSPLIT(I83,",",),0,1)+$A$18,$A$18)=0,$A$18,MOD($A28+INDEX(_xlfn.TEXTSPLIT(I83,",",),0,1)+$A$18,$A$18))/4,0),ROUNDUP(IF(MOD(I$18+INDEX(_xlfn.TEXTSPLIT(I83,",",),0,2)+$A$18,$A$18)=0,$A$18,MOD(I$18+INDEX(_xlfn.TEXTSPLIT(I83,",",),0,2)+$A$18,$A$18))/4,0)))+(INDEX($AD$2:$AK$9,ROUNDUP(IF(MOD($A28+INDEX(_xlfn.TEXTSPLIT(I126,",",),0,1)+$A$18,$A$18)=0,$A$18,MOD($A28+INDEX(_xlfn.TEXTSPLIT(I126,",",),0,1)+$A$18,$A$18))/5,0),ROUNDUP(IF(MOD(I$18+INDEX(_xlfn.TEXTSPLIT(I126,",",),0,2)+$A$18,$A$18)=0,$A$18,MOD(I$18+INDEX(_xlfn.TEXTSPLIT(I126,",",),0,2)+$A$18,$A$18))/5,0)))</f>
        <v>7</v>
      </c>
      <c r="J28" s="1" cm="1">
        <f t="array" aca="1" ref="J28" ca="1">(INDEX($K$2:$T$11,ROUNDUP(IF(MOD($A28+INDEX(_xlfn.TEXTSPLIT(J83,",",),0,1)+$A$18,$A$18)=0,$A$18,MOD($A28+INDEX(_xlfn.TEXTSPLIT(J83,",",),0,1)+$A$18,$A$18))/4,0),ROUNDUP(IF(MOD(J$18+INDEX(_xlfn.TEXTSPLIT(J83,",",),0,2)+$A$18,$A$18)=0,$A$18,MOD(J$18+INDEX(_xlfn.TEXTSPLIT(J83,",",),0,2)+$A$18,$A$18))/4,0)))+(INDEX($AD$2:$AK$9,ROUNDUP(IF(MOD($A28+INDEX(_xlfn.TEXTSPLIT(J126,",",),0,1)+$A$18,$A$18)=0,$A$18,MOD($A28+INDEX(_xlfn.TEXTSPLIT(J126,",",),0,1)+$A$18,$A$18))/5,0),ROUNDUP(IF(MOD(J$18+INDEX(_xlfn.TEXTSPLIT(J126,",",),0,2)+$A$18,$A$18)=0,$A$18,MOD(J$18+INDEX(_xlfn.TEXTSPLIT(J126,",",),0,2)+$A$18,$A$18))/5,0)))</f>
        <v>8</v>
      </c>
      <c r="K28" s="1" cm="1">
        <f t="array" aca="1" ref="K28" ca="1">(INDEX($K$2:$T$11,ROUNDUP(IF(MOD($A28+INDEX(_xlfn.TEXTSPLIT(K83,",",),0,1)+$A$18,$A$18)=0,$A$18,MOD($A28+INDEX(_xlfn.TEXTSPLIT(K83,",",),0,1)+$A$18,$A$18))/4,0),ROUNDUP(IF(MOD(K$18+INDEX(_xlfn.TEXTSPLIT(K83,",",),0,2)+$A$18,$A$18)=0,$A$18,MOD(K$18+INDEX(_xlfn.TEXTSPLIT(K83,",",),0,2)+$A$18,$A$18))/4,0)))+(INDEX($AD$2:$AK$9,ROUNDUP(IF(MOD($A28+INDEX(_xlfn.TEXTSPLIT(K126,",",),0,1)+$A$18,$A$18)=0,$A$18,MOD($A28+INDEX(_xlfn.TEXTSPLIT(K126,",",),0,1)+$A$18,$A$18))/5,0),ROUNDUP(IF(MOD(K$18+INDEX(_xlfn.TEXTSPLIT(K126,",",),0,2)+$A$18,$A$18)=0,$A$18,MOD(K$18+INDEX(_xlfn.TEXTSPLIT(K126,",",),0,2)+$A$18,$A$18))/5,0)))</f>
        <v>8</v>
      </c>
      <c r="L28" s="1" cm="1">
        <f t="array" aca="1" ref="L28" ca="1">(INDEX($K$2:$T$11,ROUNDUP(IF(MOD($A28+INDEX(_xlfn.TEXTSPLIT(L83,",",),0,1)+$A$18,$A$18)=0,$A$18,MOD($A28+INDEX(_xlfn.TEXTSPLIT(L83,",",),0,1)+$A$18,$A$18))/4,0),ROUNDUP(IF(MOD(L$18+INDEX(_xlfn.TEXTSPLIT(L83,",",),0,2)+$A$18,$A$18)=0,$A$18,MOD(L$18+INDEX(_xlfn.TEXTSPLIT(L83,",",),0,2)+$A$18,$A$18))/4,0)))+(INDEX($AD$2:$AK$9,ROUNDUP(IF(MOD($A28+INDEX(_xlfn.TEXTSPLIT(L126,",",),0,1)+$A$18,$A$18)=0,$A$18,MOD($A28+INDEX(_xlfn.TEXTSPLIT(L126,",",),0,1)+$A$18,$A$18))/5,0),ROUNDUP(IF(MOD(L$18+INDEX(_xlfn.TEXTSPLIT(L126,",",),0,2)+$A$18,$A$18)=0,$A$18,MOD(L$18+INDEX(_xlfn.TEXTSPLIT(L126,",",),0,2)+$A$18,$A$18))/5,0)))</f>
        <v>7</v>
      </c>
      <c r="M28" s="1" cm="1">
        <f t="array" aca="1" ref="M28" ca="1">(INDEX($K$2:$T$11,ROUNDUP(IF(MOD($A28+INDEX(_xlfn.TEXTSPLIT(M83,",",),0,1)+$A$18,$A$18)=0,$A$18,MOD($A28+INDEX(_xlfn.TEXTSPLIT(M83,",",),0,1)+$A$18,$A$18))/4,0),ROUNDUP(IF(MOD(M$18+INDEX(_xlfn.TEXTSPLIT(M83,",",),0,2)+$A$18,$A$18)=0,$A$18,MOD(M$18+INDEX(_xlfn.TEXTSPLIT(M83,",",),0,2)+$A$18,$A$18))/4,0)))+(INDEX($AD$2:$AK$9,ROUNDUP(IF(MOD($A28+INDEX(_xlfn.TEXTSPLIT(M126,",",),0,1)+$A$18,$A$18)=0,$A$18,MOD($A28+INDEX(_xlfn.TEXTSPLIT(M126,",",),0,1)+$A$18,$A$18))/5,0),ROUNDUP(IF(MOD(M$18+INDEX(_xlfn.TEXTSPLIT(M126,",",),0,2)+$A$18,$A$18)=0,$A$18,MOD(M$18+INDEX(_xlfn.TEXTSPLIT(M126,",",),0,2)+$A$18,$A$18))/5,0)))</f>
        <v>7</v>
      </c>
      <c r="N28" s="1" cm="1">
        <f t="array" aca="1" ref="N28" ca="1">(INDEX($K$2:$T$11,ROUNDUP(IF(MOD($A28+INDEX(_xlfn.TEXTSPLIT(N83,",",),0,1)+$A$18,$A$18)=0,$A$18,MOD($A28+INDEX(_xlfn.TEXTSPLIT(N83,",",),0,1)+$A$18,$A$18))/4,0),ROUNDUP(IF(MOD(N$18+INDEX(_xlfn.TEXTSPLIT(N83,",",),0,2)+$A$18,$A$18)=0,$A$18,MOD(N$18+INDEX(_xlfn.TEXTSPLIT(N83,",",),0,2)+$A$18,$A$18))/4,0)))+(INDEX($AD$2:$AK$9,ROUNDUP(IF(MOD($A28+INDEX(_xlfn.TEXTSPLIT(N126,",",),0,1)+$A$18,$A$18)=0,$A$18,MOD($A28+INDEX(_xlfn.TEXTSPLIT(N126,",",),0,1)+$A$18,$A$18))/5,0),ROUNDUP(IF(MOD(N$18+INDEX(_xlfn.TEXTSPLIT(N126,",",),0,2)+$A$18,$A$18)=0,$A$18,MOD(N$18+INDEX(_xlfn.TEXTSPLIT(N126,",",),0,2)+$A$18,$A$18))/5,0)))</f>
        <v>1</v>
      </c>
      <c r="O28" s="1" cm="1">
        <f t="array" aca="1" ref="O28" ca="1">(INDEX($K$2:$T$11,ROUNDUP(IF(MOD($A28+INDEX(_xlfn.TEXTSPLIT(O83,",",),0,1)+$A$18,$A$18)=0,$A$18,MOD($A28+INDEX(_xlfn.TEXTSPLIT(O83,",",),0,1)+$A$18,$A$18))/4,0),ROUNDUP(IF(MOD(O$18+INDEX(_xlfn.TEXTSPLIT(O83,",",),0,2)+$A$18,$A$18)=0,$A$18,MOD(O$18+INDEX(_xlfn.TEXTSPLIT(O83,",",),0,2)+$A$18,$A$18))/4,0)))+(INDEX($AD$2:$AK$9,ROUNDUP(IF(MOD($A28+INDEX(_xlfn.TEXTSPLIT(O126,",",),0,1)+$A$18,$A$18)=0,$A$18,MOD($A28+INDEX(_xlfn.TEXTSPLIT(O126,",",),0,1)+$A$18,$A$18))/5,0),ROUNDUP(IF(MOD(O$18+INDEX(_xlfn.TEXTSPLIT(O126,",",),0,2)+$A$18,$A$18)=0,$A$18,MOD(O$18+INDEX(_xlfn.TEXTSPLIT(O126,",",),0,2)+$A$18,$A$18))/5,0)))</f>
        <v>3</v>
      </c>
      <c r="P28" s="1" cm="1">
        <f t="array" aca="1" ref="P28" ca="1">(INDEX($K$2:$T$11,ROUNDUP(IF(MOD($A28+INDEX(_xlfn.TEXTSPLIT(P83,",",),0,1)+$A$18,$A$18)=0,$A$18,MOD($A28+INDEX(_xlfn.TEXTSPLIT(P83,",",),0,1)+$A$18,$A$18))/4,0),ROUNDUP(IF(MOD(P$18+INDEX(_xlfn.TEXTSPLIT(P83,",",),0,2)+$A$18,$A$18)=0,$A$18,MOD(P$18+INDEX(_xlfn.TEXTSPLIT(P83,",",),0,2)+$A$18,$A$18))/4,0)))+(INDEX($AD$2:$AK$9,ROUNDUP(IF(MOD($A28+INDEX(_xlfn.TEXTSPLIT(P126,",",),0,1)+$A$18,$A$18)=0,$A$18,MOD($A28+INDEX(_xlfn.TEXTSPLIT(P126,",",),0,1)+$A$18,$A$18))/5,0),ROUNDUP(IF(MOD(P$18+INDEX(_xlfn.TEXTSPLIT(P126,",",),0,2)+$A$18,$A$18)=0,$A$18,MOD(P$18+INDEX(_xlfn.TEXTSPLIT(P126,",",),0,2)+$A$18,$A$18))/5,0)))</f>
        <v>3</v>
      </c>
      <c r="Q28" s="1" cm="1">
        <f t="array" aca="1" ref="Q28" ca="1">(INDEX($K$2:$T$11,ROUNDUP(IF(MOD($A28+INDEX(_xlfn.TEXTSPLIT(Q83,",",),0,1)+$A$18,$A$18)=0,$A$18,MOD($A28+INDEX(_xlfn.TEXTSPLIT(Q83,",",),0,1)+$A$18,$A$18))/4,0),ROUNDUP(IF(MOD(Q$18+INDEX(_xlfn.TEXTSPLIT(Q83,",",),0,2)+$A$18,$A$18)=0,$A$18,MOD(Q$18+INDEX(_xlfn.TEXTSPLIT(Q83,",",),0,2)+$A$18,$A$18))/4,0)))+(INDEX($AD$2:$AK$9,ROUNDUP(IF(MOD($A28+INDEX(_xlfn.TEXTSPLIT(Q126,",",),0,1)+$A$18,$A$18)=0,$A$18,MOD($A28+INDEX(_xlfn.TEXTSPLIT(Q126,",",),0,1)+$A$18,$A$18))/5,0),ROUNDUP(IF(MOD(Q$18+INDEX(_xlfn.TEXTSPLIT(Q126,",",),0,2)+$A$18,$A$18)=0,$A$18,MOD(Q$18+INDEX(_xlfn.TEXTSPLIT(Q126,",",),0,2)+$A$18,$A$18))/5,0)))</f>
        <v>1</v>
      </c>
      <c r="R28" s="1" cm="1">
        <f t="array" aca="1" ref="R28" ca="1">(INDEX($K$2:$T$11,ROUNDUP(IF(MOD($A28+INDEX(_xlfn.TEXTSPLIT(R83,",",),0,1)+$A$18,$A$18)=0,$A$18,MOD($A28+INDEX(_xlfn.TEXTSPLIT(R83,",",),0,1)+$A$18,$A$18))/4,0),ROUNDUP(IF(MOD(R$18+INDEX(_xlfn.TEXTSPLIT(R83,",",),0,2)+$A$18,$A$18)=0,$A$18,MOD(R$18+INDEX(_xlfn.TEXTSPLIT(R83,",",),0,2)+$A$18,$A$18))/4,0)))+(INDEX($AD$2:$AK$9,ROUNDUP(IF(MOD($A28+INDEX(_xlfn.TEXTSPLIT(R126,",",),0,1)+$A$18,$A$18)=0,$A$18,MOD($A28+INDEX(_xlfn.TEXTSPLIT(R126,",",),0,1)+$A$18,$A$18))/5,0),ROUNDUP(IF(MOD(R$18+INDEX(_xlfn.TEXTSPLIT(R126,",",),0,2)+$A$18,$A$18)=0,$A$18,MOD(R$18+INDEX(_xlfn.TEXTSPLIT(R126,",",),0,2)+$A$18,$A$18))/5,0)))</f>
        <v>5</v>
      </c>
      <c r="S28" s="1" cm="1">
        <f t="array" aca="1" ref="S28" ca="1">(INDEX($K$2:$T$11,ROUNDUP(IF(MOD($A28+INDEX(_xlfn.TEXTSPLIT(S83,",",),0,1)+$A$18,$A$18)=0,$A$18,MOD($A28+INDEX(_xlfn.TEXTSPLIT(S83,",",),0,1)+$A$18,$A$18))/4,0),ROUNDUP(IF(MOD(S$18+INDEX(_xlfn.TEXTSPLIT(S83,",",),0,2)+$A$18,$A$18)=0,$A$18,MOD(S$18+INDEX(_xlfn.TEXTSPLIT(S83,",",),0,2)+$A$18,$A$18))/4,0)))+(INDEX($AD$2:$AK$9,ROUNDUP(IF(MOD($A28+INDEX(_xlfn.TEXTSPLIT(S126,",",),0,1)+$A$18,$A$18)=0,$A$18,MOD($A28+INDEX(_xlfn.TEXTSPLIT(S126,",",),0,1)+$A$18,$A$18))/5,0),ROUNDUP(IF(MOD(S$18+INDEX(_xlfn.TEXTSPLIT(S126,",",),0,2)+$A$18,$A$18)=0,$A$18,MOD(S$18+INDEX(_xlfn.TEXTSPLIT(S126,",",),0,2)+$A$18,$A$18))/5,0)))</f>
        <v>5</v>
      </c>
      <c r="T28" s="1" cm="1">
        <f t="array" aca="1" ref="T28" ca="1">(INDEX($K$2:$T$11,ROUNDUP(IF(MOD($A28+INDEX(_xlfn.TEXTSPLIT(T83,",",),0,1)+$A$18,$A$18)=0,$A$18,MOD($A28+INDEX(_xlfn.TEXTSPLIT(T83,",",),0,1)+$A$18,$A$18))/4,0),ROUNDUP(IF(MOD(T$18+INDEX(_xlfn.TEXTSPLIT(T83,",",),0,2)+$A$18,$A$18)=0,$A$18,MOD(T$18+INDEX(_xlfn.TEXTSPLIT(T83,",",),0,2)+$A$18,$A$18))/4,0)))+(INDEX($AD$2:$AK$9,ROUNDUP(IF(MOD($A28+INDEX(_xlfn.TEXTSPLIT(T126,",",),0,1)+$A$18,$A$18)=0,$A$18,MOD($A28+INDEX(_xlfn.TEXTSPLIT(T126,",",),0,1)+$A$18,$A$18))/5,0),ROUNDUP(IF(MOD(T$18+INDEX(_xlfn.TEXTSPLIT(T126,",",),0,2)+$A$18,$A$18)=0,$A$18,MOD(T$18+INDEX(_xlfn.TEXTSPLIT(T126,",",),0,2)+$A$18,$A$18))/5,0)))</f>
        <v>5</v>
      </c>
      <c r="U28" s="1" cm="1">
        <f t="array" aca="1" ref="U28" ca="1">(INDEX($K$2:$T$11,ROUNDUP(IF(MOD($A28+INDEX(_xlfn.TEXTSPLIT(U83,",",),0,1)+$A$18,$A$18)=0,$A$18,MOD($A28+INDEX(_xlfn.TEXTSPLIT(U83,",",),0,1)+$A$18,$A$18))/4,0),ROUNDUP(IF(MOD(U$18+INDEX(_xlfn.TEXTSPLIT(U83,",",),0,2)+$A$18,$A$18)=0,$A$18,MOD(U$18+INDEX(_xlfn.TEXTSPLIT(U83,",",),0,2)+$A$18,$A$18))/4,0)))+(INDEX($AD$2:$AK$9,ROUNDUP(IF(MOD($A28+INDEX(_xlfn.TEXTSPLIT(U126,",",),0,1)+$A$18,$A$18)=0,$A$18,MOD($A28+INDEX(_xlfn.TEXTSPLIT(U126,",",),0,1)+$A$18,$A$18))/5,0),ROUNDUP(IF(MOD(U$18+INDEX(_xlfn.TEXTSPLIT(U126,",",),0,2)+$A$18,$A$18)=0,$A$18,MOD(U$18+INDEX(_xlfn.TEXTSPLIT(U126,",",),0,2)+$A$18,$A$18))/5,0)))</f>
        <v>5</v>
      </c>
      <c r="V28" s="1" cm="1">
        <f t="array" aca="1" ref="V28" ca="1">(INDEX($K$2:$T$11,ROUNDUP(IF(MOD($A28+INDEX(_xlfn.TEXTSPLIT(V83,",",),0,1)+$A$18,$A$18)=0,$A$18,MOD($A28+INDEX(_xlfn.TEXTSPLIT(V83,",",),0,1)+$A$18,$A$18))/4,0),ROUNDUP(IF(MOD(V$18+INDEX(_xlfn.TEXTSPLIT(V83,",",),0,2)+$A$18,$A$18)=0,$A$18,MOD(V$18+INDEX(_xlfn.TEXTSPLIT(V83,",",),0,2)+$A$18,$A$18))/4,0)))+(INDEX($AD$2:$AK$9,ROUNDUP(IF(MOD($A28+INDEX(_xlfn.TEXTSPLIT(V126,",",),0,1)+$A$18,$A$18)=0,$A$18,MOD($A28+INDEX(_xlfn.TEXTSPLIT(V126,",",),0,1)+$A$18,$A$18))/5,0),ROUNDUP(IF(MOD(V$18+INDEX(_xlfn.TEXTSPLIT(V126,",",),0,2)+$A$18,$A$18)=0,$A$18,MOD(V$18+INDEX(_xlfn.TEXTSPLIT(V126,",",),0,2)+$A$18,$A$18))/5,0)))</f>
        <v>5</v>
      </c>
      <c r="W28" s="1" cm="1">
        <f t="array" aca="1" ref="W28" ca="1">(INDEX($K$2:$T$11,ROUNDUP(IF(MOD($A28+INDEX(_xlfn.TEXTSPLIT(W83,",",),0,1)+$A$18,$A$18)=0,$A$18,MOD($A28+INDEX(_xlfn.TEXTSPLIT(W83,",",),0,1)+$A$18,$A$18))/4,0),ROUNDUP(IF(MOD(W$18+INDEX(_xlfn.TEXTSPLIT(W83,",",),0,2)+$A$18,$A$18)=0,$A$18,MOD(W$18+INDEX(_xlfn.TEXTSPLIT(W83,",",),0,2)+$A$18,$A$18))/4,0)))+(INDEX($AD$2:$AK$9,ROUNDUP(IF(MOD($A28+INDEX(_xlfn.TEXTSPLIT(W126,",",),0,1)+$A$18,$A$18)=0,$A$18,MOD($A28+INDEX(_xlfn.TEXTSPLIT(W126,",",),0,1)+$A$18,$A$18))/5,0),ROUNDUP(IF(MOD(W$18+INDEX(_xlfn.TEXTSPLIT(W126,",",),0,2)+$A$18,$A$18)=0,$A$18,MOD(W$18+INDEX(_xlfn.TEXTSPLIT(W126,",",),0,2)+$A$18,$A$18))/5,0)))</f>
        <v>5</v>
      </c>
      <c r="X28" s="1" cm="1">
        <f t="array" aca="1" ref="X28" ca="1">(INDEX($K$2:$T$11,ROUNDUP(IF(MOD($A28+INDEX(_xlfn.TEXTSPLIT(X83,",",),0,1)+$A$18,$A$18)=0,$A$18,MOD($A28+INDEX(_xlfn.TEXTSPLIT(X83,",",),0,1)+$A$18,$A$18))/4,0),ROUNDUP(IF(MOD(X$18+INDEX(_xlfn.TEXTSPLIT(X83,",",),0,2)+$A$18,$A$18)=0,$A$18,MOD(X$18+INDEX(_xlfn.TEXTSPLIT(X83,",",),0,2)+$A$18,$A$18))/4,0)))+(INDEX($AD$2:$AK$9,ROUNDUP(IF(MOD($A28+INDEX(_xlfn.TEXTSPLIT(X126,",",),0,1)+$A$18,$A$18)=0,$A$18,MOD($A28+INDEX(_xlfn.TEXTSPLIT(X126,",",),0,1)+$A$18,$A$18))/5,0),ROUNDUP(IF(MOD(X$18+INDEX(_xlfn.TEXTSPLIT(X126,",",),0,2)+$A$18,$A$18)=0,$A$18,MOD(X$18+INDEX(_xlfn.TEXTSPLIT(X126,",",),0,2)+$A$18,$A$18))/5,0)))</f>
        <v>7</v>
      </c>
      <c r="Y28" s="1" cm="1">
        <f t="array" aca="1" ref="Y28" ca="1">(INDEX($K$2:$T$11,ROUNDUP(IF(MOD($A28+INDEX(_xlfn.TEXTSPLIT(Y83,",",),0,1)+$A$18,$A$18)=0,$A$18,MOD($A28+INDEX(_xlfn.TEXTSPLIT(Y83,",",),0,1)+$A$18,$A$18))/4,0),ROUNDUP(IF(MOD(Y$18+INDEX(_xlfn.TEXTSPLIT(Y83,",",),0,2)+$A$18,$A$18)=0,$A$18,MOD(Y$18+INDEX(_xlfn.TEXTSPLIT(Y83,",",),0,2)+$A$18,$A$18))/4,0)))+(INDEX($AD$2:$AK$9,ROUNDUP(IF(MOD($A28+INDEX(_xlfn.TEXTSPLIT(Y126,",",),0,1)+$A$18,$A$18)=0,$A$18,MOD($A28+INDEX(_xlfn.TEXTSPLIT(Y126,",",),0,1)+$A$18,$A$18))/5,0),ROUNDUP(IF(MOD(Y$18+INDEX(_xlfn.TEXTSPLIT(Y126,",",),0,2)+$A$18,$A$18)=0,$A$18,MOD(Y$18+INDEX(_xlfn.TEXTSPLIT(Y126,",",),0,2)+$A$18,$A$18))/5,0)))</f>
        <v>5</v>
      </c>
      <c r="Z28" s="1" cm="1">
        <f t="array" aca="1" ref="Z28" ca="1">(INDEX($K$2:$T$11,ROUNDUP(IF(MOD($A28+INDEX(_xlfn.TEXTSPLIT(Z83,",",),0,1)+$A$18,$A$18)=0,$A$18,MOD($A28+INDEX(_xlfn.TEXTSPLIT(Z83,",",),0,1)+$A$18,$A$18))/4,0),ROUNDUP(IF(MOD(Z$18+INDEX(_xlfn.TEXTSPLIT(Z83,",",),0,2)+$A$18,$A$18)=0,$A$18,MOD(Z$18+INDEX(_xlfn.TEXTSPLIT(Z83,",",),0,2)+$A$18,$A$18))/4,0)))+(INDEX($AD$2:$AK$9,ROUNDUP(IF(MOD($A28+INDEX(_xlfn.TEXTSPLIT(Z126,",",),0,1)+$A$18,$A$18)=0,$A$18,MOD($A28+INDEX(_xlfn.TEXTSPLIT(Z126,",",),0,1)+$A$18,$A$18))/5,0),ROUNDUP(IF(MOD(Z$18+INDEX(_xlfn.TEXTSPLIT(Z126,",",),0,2)+$A$18,$A$18)=0,$A$18,MOD(Z$18+INDEX(_xlfn.TEXTSPLIT(Z126,",",),0,2)+$A$18,$A$18))/5,0)))</f>
        <v>1</v>
      </c>
      <c r="AA28" s="1" cm="1">
        <f t="array" aca="1" ref="AA28" ca="1">(INDEX($K$2:$T$11,ROUNDUP(IF(MOD($A28+INDEX(_xlfn.TEXTSPLIT(AA83,",",),0,1)+$A$18,$A$18)=0,$A$18,MOD($A28+INDEX(_xlfn.TEXTSPLIT(AA83,",",),0,1)+$A$18,$A$18))/4,0),ROUNDUP(IF(MOD(AA$18+INDEX(_xlfn.TEXTSPLIT(AA83,",",),0,2)+$A$18,$A$18)=0,$A$18,MOD(AA$18+INDEX(_xlfn.TEXTSPLIT(AA83,",",),0,2)+$A$18,$A$18))/4,0)))+(INDEX($AD$2:$AK$9,ROUNDUP(IF(MOD($A28+INDEX(_xlfn.TEXTSPLIT(AA126,",",),0,1)+$A$18,$A$18)=0,$A$18,MOD($A28+INDEX(_xlfn.TEXTSPLIT(AA126,",",),0,1)+$A$18,$A$18))/5,0),ROUNDUP(IF(MOD(AA$18+INDEX(_xlfn.TEXTSPLIT(AA126,",",),0,2)+$A$18,$A$18)=0,$A$18,MOD(AA$18+INDEX(_xlfn.TEXTSPLIT(AA126,",",),0,2)+$A$18,$A$18))/5,0)))</f>
        <v>1</v>
      </c>
      <c r="AB28" s="1" cm="1">
        <f t="array" aca="1" ref="AB28" ca="1">(INDEX($K$2:$T$11,ROUNDUP(IF(MOD($A28+INDEX(_xlfn.TEXTSPLIT(AB83,",",),0,1)+$A$18,$A$18)=0,$A$18,MOD($A28+INDEX(_xlfn.TEXTSPLIT(AB83,",",),0,1)+$A$18,$A$18))/4,0),ROUNDUP(IF(MOD(AB$18+INDEX(_xlfn.TEXTSPLIT(AB83,",",),0,2)+$A$18,$A$18)=0,$A$18,MOD(AB$18+INDEX(_xlfn.TEXTSPLIT(AB83,",",),0,2)+$A$18,$A$18))/4,0)))+(INDEX($AD$2:$AK$9,ROUNDUP(IF(MOD($A28+INDEX(_xlfn.TEXTSPLIT(AB126,",",),0,1)+$A$18,$A$18)=0,$A$18,MOD($A28+INDEX(_xlfn.TEXTSPLIT(AB126,",",),0,1)+$A$18,$A$18))/5,0),ROUNDUP(IF(MOD(AB$18+INDEX(_xlfn.TEXTSPLIT(AB126,",",),0,2)+$A$18,$A$18)=0,$A$18,MOD(AB$18+INDEX(_xlfn.TEXTSPLIT(AB126,",",),0,2)+$A$18,$A$18))/5,0)))</f>
        <v>4</v>
      </c>
      <c r="AC28" s="1" cm="1">
        <f t="array" aca="1" ref="AC28" ca="1">(INDEX($K$2:$T$11,ROUNDUP(IF(MOD($A28+INDEX(_xlfn.TEXTSPLIT(AC83,",",),0,1)+$A$18,$A$18)=0,$A$18,MOD($A28+INDEX(_xlfn.TEXTSPLIT(AC83,",",),0,1)+$A$18,$A$18))/4,0),ROUNDUP(IF(MOD(AC$18+INDEX(_xlfn.TEXTSPLIT(AC83,",",),0,2)+$A$18,$A$18)=0,$A$18,MOD(AC$18+INDEX(_xlfn.TEXTSPLIT(AC83,",",),0,2)+$A$18,$A$18))/4,0)))+(INDEX($AD$2:$AK$9,ROUNDUP(IF(MOD($A28+INDEX(_xlfn.TEXTSPLIT(AC126,",",),0,1)+$A$18,$A$18)=0,$A$18,MOD($A28+INDEX(_xlfn.TEXTSPLIT(AC126,",",),0,1)+$A$18,$A$18))/5,0),ROUNDUP(IF(MOD(AC$18+INDEX(_xlfn.TEXTSPLIT(AC126,",",),0,2)+$A$18,$A$18)=0,$A$18,MOD(AC$18+INDEX(_xlfn.TEXTSPLIT(AC126,",",),0,2)+$A$18,$A$18))/5,0)))</f>
        <v>1</v>
      </c>
      <c r="AD28" s="1" cm="1">
        <f t="array" aca="1" ref="AD28" ca="1">(INDEX($K$2:$T$11,ROUNDUP(IF(MOD($A28+INDEX(_xlfn.TEXTSPLIT(AD83,",",),0,1)+$A$18,$A$18)=0,$A$18,MOD($A28+INDEX(_xlfn.TEXTSPLIT(AD83,",",),0,1)+$A$18,$A$18))/4,0),ROUNDUP(IF(MOD(AD$18+INDEX(_xlfn.TEXTSPLIT(AD83,",",),0,2)+$A$18,$A$18)=0,$A$18,MOD(AD$18+INDEX(_xlfn.TEXTSPLIT(AD83,",",),0,2)+$A$18,$A$18))/4,0)))+(INDEX($AD$2:$AK$9,ROUNDUP(IF(MOD($A28+INDEX(_xlfn.TEXTSPLIT(AD126,",",),0,1)+$A$18,$A$18)=0,$A$18,MOD($A28+INDEX(_xlfn.TEXTSPLIT(AD126,",",),0,1)+$A$18,$A$18))/5,0),ROUNDUP(IF(MOD(AD$18+INDEX(_xlfn.TEXTSPLIT(AD126,",",),0,2)+$A$18,$A$18)=0,$A$18,MOD(AD$18+INDEX(_xlfn.TEXTSPLIT(AD126,",",),0,2)+$A$18,$A$18))/5,0)))</f>
        <v>5</v>
      </c>
      <c r="AE28" s="1" cm="1">
        <f t="array" aca="1" ref="AE28" ca="1">(INDEX($K$2:$T$11,ROUNDUP(IF(MOD($A28+INDEX(_xlfn.TEXTSPLIT(AE83,",",),0,1)+$A$18,$A$18)=0,$A$18,MOD($A28+INDEX(_xlfn.TEXTSPLIT(AE83,",",),0,1)+$A$18,$A$18))/4,0),ROUNDUP(IF(MOD(AE$18+INDEX(_xlfn.TEXTSPLIT(AE83,",",),0,2)+$A$18,$A$18)=0,$A$18,MOD(AE$18+INDEX(_xlfn.TEXTSPLIT(AE83,",",),0,2)+$A$18,$A$18))/4,0)))+(INDEX($AD$2:$AK$9,ROUNDUP(IF(MOD($A28+INDEX(_xlfn.TEXTSPLIT(AE126,",",),0,1)+$A$18,$A$18)=0,$A$18,MOD($A28+INDEX(_xlfn.TEXTSPLIT(AE126,",",),0,1)+$A$18,$A$18))/5,0),ROUNDUP(IF(MOD(AE$18+INDEX(_xlfn.TEXTSPLIT(AE126,",",),0,2)+$A$18,$A$18)=0,$A$18,MOD(AE$18+INDEX(_xlfn.TEXTSPLIT(AE126,",",),0,2)+$A$18,$A$18))/5,0)))</f>
        <v>5</v>
      </c>
      <c r="AF28" s="1" cm="1">
        <f t="array" aca="1" ref="AF28" ca="1">(INDEX($K$2:$T$11,ROUNDUP(IF(MOD($A28+INDEX(_xlfn.TEXTSPLIT(AF83,",",),0,1)+$A$18,$A$18)=0,$A$18,MOD($A28+INDEX(_xlfn.TEXTSPLIT(AF83,",",),0,1)+$A$18,$A$18))/4,0),ROUNDUP(IF(MOD(AF$18+INDEX(_xlfn.TEXTSPLIT(AF83,",",),0,2)+$A$18,$A$18)=0,$A$18,MOD(AF$18+INDEX(_xlfn.TEXTSPLIT(AF83,",",),0,2)+$A$18,$A$18))/4,0)))+(INDEX($AD$2:$AK$9,ROUNDUP(IF(MOD($A28+INDEX(_xlfn.TEXTSPLIT(AF126,",",),0,1)+$A$18,$A$18)=0,$A$18,MOD($A28+INDEX(_xlfn.TEXTSPLIT(AF126,",",),0,1)+$A$18,$A$18))/5,0),ROUNDUP(IF(MOD(AF$18+INDEX(_xlfn.TEXTSPLIT(AF126,",",),0,2)+$A$18,$A$18)=0,$A$18,MOD(AF$18+INDEX(_xlfn.TEXTSPLIT(AF126,",",),0,2)+$A$18,$A$18))/5,0)))</f>
        <v>5</v>
      </c>
      <c r="AG28" s="1" cm="1">
        <f t="array" aca="1" ref="AG28" ca="1">(INDEX($K$2:$T$11,ROUNDUP(IF(MOD($A28+INDEX(_xlfn.TEXTSPLIT(AG83,",",),0,1)+$A$18,$A$18)=0,$A$18,MOD($A28+INDEX(_xlfn.TEXTSPLIT(AG83,",",),0,1)+$A$18,$A$18))/4,0),ROUNDUP(IF(MOD(AG$18+INDEX(_xlfn.TEXTSPLIT(AG83,",",),0,2)+$A$18,$A$18)=0,$A$18,MOD(AG$18+INDEX(_xlfn.TEXTSPLIT(AG83,",",),0,2)+$A$18,$A$18))/4,0)))+(INDEX($AD$2:$AK$9,ROUNDUP(IF(MOD($A28+INDEX(_xlfn.TEXTSPLIT(AG126,",",),0,1)+$A$18,$A$18)=0,$A$18,MOD($A28+INDEX(_xlfn.TEXTSPLIT(AG126,",",),0,1)+$A$18,$A$18))/5,0),ROUNDUP(IF(MOD(AG$18+INDEX(_xlfn.TEXTSPLIT(AG126,",",),0,2)+$A$18,$A$18)=0,$A$18,MOD(AG$18+INDEX(_xlfn.TEXTSPLIT(AG126,",",),0,2)+$A$18,$A$18))/5,0)))</f>
        <v>5</v>
      </c>
      <c r="AH28" s="1" cm="1">
        <f t="array" aca="1" ref="AH28" ca="1">(INDEX($K$2:$T$11,ROUNDUP(IF(MOD($A28+INDEX(_xlfn.TEXTSPLIT(AH83,",",),0,1)+$A$18,$A$18)=0,$A$18,MOD($A28+INDEX(_xlfn.TEXTSPLIT(AH83,",",),0,1)+$A$18,$A$18))/4,0),ROUNDUP(IF(MOD(AH$18+INDEX(_xlfn.TEXTSPLIT(AH83,",",),0,2)+$A$18,$A$18)=0,$A$18,MOD(AH$18+INDEX(_xlfn.TEXTSPLIT(AH83,",",),0,2)+$A$18,$A$18))/4,0)))+(INDEX($AD$2:$AK$9,ROUNDUP(IF(MOD($A28+INDEX(_xlfn.TEXTSPLIT(AH126,",",),0,1)+$A$18,$A$18)=0,$A$18,MOD($A28+INDEX(_xlfn.TEXTSPLIT(AH126,",",),0,1)+$A$18,$A$18))/5,0),ROUNDUP(IF(MOD(AH$18+INDEX(_xlfn.TEXTSPLIT(AH126,",",),0,2)+$A$18,$A$18)=0,$A$18,MOD(AH$18+INDEX(_xlfn.TEXTSPLIT(AH126,",",),0,2)+$A$18,$A$18))/5,0)))</f>
        <v>6</v>
      </c>
      <c r="AI28" s="1" cm="1">
        <f t="array" aca="1" ref="AI28" ca="1">(INDEX($K$2:$T$11,ROUNDUP(IF(MOD($A28+INDEX(_xlfn.TEXTSPLIT(AI83,",",),0,1)+$A$18,$A$18)=0,$A$18,MOD($A28+INDEX(_xlfn.TEXTSPLIT(AI83,",",),0,1)+$A$18,$A$18))/4,0),ROUNDUP(IF(MOD(AI$18+INDEX(_xlfn.TEXTSPLIT(AI83,",",),0,2)+$A$18,$A$18)=0,$A$18,MOD(AI$18+INDEX(_xlfn.TEXTSPLIT(AI83,",",),0,2)+$A$18,$A$18))/4,0)))+(INDEX($AD$2:$AK$9,ROUNDUP(IF(MOD($A28+INDEX(_xlfn.TEXTSPLIT(AI126,",",),0,1)+$A$18,$A$18)=0,$A$18,MOD($A28+INDEX(_xlfn.TEXTSPLIT(AI126,",",),0,1)+$A$18,$A$18))/5,0),ROUNDUP(IF(MOD(AI$18+INDEX(_xlfn.TEXTSPLIT(AI126,",",),0,2)+$A$18,$A$18)=0,$A$18,MOD(AI$18+INDEX(_xlfn.TEXTSPLIT(AI126,",",),0,2)+$A$18,$A$18))/5,0)))</f>
        <v>6</v>
      </c>
      <c r="AJ28" s="1" cm="1">
        <f t="array" aca="1" ref="AJ28" ca="1">(INDEX($K$2:$T$11,ROUNDUP(IF(MOD($A28+INDEX(_xlfn.TEXTSPLIT(AJ83,",",),0,1)+$A$18,$A$18)=0,$A$18,MOD($A28+INDEX(_xlfn.TEXTSPLIT(AJ83,",",),0,1)+$A$18,$A$18))/4,0),ROUNDUP(IF(MOD(AJ$18+INDEX(_xlfn.TEXTSPLIT(AJ83,",",),0,2)+$A$18,$A$18)=0,$A$18,MOD(AJ$18+INDEX(_xlfn.TEXTSPLIT(AJ83,",",),0,2)+$A$18,$A$18))/4,0)))+(INDEX($AD$2:$AK$9,ROUNDUP(IF(MOD($A28+INDEX(_xlfn.TEXTSPLIT(AJ126,",",),0,1)+$A$18,$A$18)=0,$A$18,MOD($A28+INDEX(_xlfn.TEXTSPLIT(AJ126,",",),0,1)+$A$18,$A$18))/5,0),ROUNDUP(IF(MOD(AJ$18+INDEX(_xlfn.TEXTSPLIT(AJ126,",",),0,2)+$A$18,$A$18)=0,$A$18,MOD(AJ$18+INDEX(_xlfn.TEXTSPLIT(AJ126,",",),0,2)+$A$18,$A$18))/5,0)))</f>
        <v>6</v>
      </c>
      <c r="AK28" s="1" cm="1">
        <f t="array" aca="1" ref="AK28" ca="1">(INDEX($K$2:$T$11,ROUNDUP(IF(MOD($A28+INDEX(_xlfn.TEXTSPLIT(AK83,",",),0,1)+$A$18,$A$18)=0,$A$18,MOD($A28+INDEX(_xlfn.TEXTSPLIT(AK83,",",),0,1)+$A$18,$A$18))/4,0),ROUNDUP(IF(MOD(AK$18+INDEX(_xlfn.TEXTSPLIT(AK83,",",),0,2)+$A$18,$A$18)=0,$A$18,MOD(AK$18+INDEX(_xlfn.TEXTSPLIT(AK83,",",),0,2)+$A$18,$A$18))/4,0)))+(INDEX($AD$2:$AK$9,ROUNDUP(IF(MOD($A28+INDEX(_xlfn.TEXTSPLIT(AK126,",",),0,1)+$A$18,$A$18)=0,$A$18,MOD($A28+INDEX(_xlfn.TEXTSPLIT(AK126,",",),0,1)+$A$18,$A$18))/5,0),ROUNDUP(IF(MOD(AK$18+INDEX(_xlfn.TEXTSPLIT(AK126,",",),0,2)+$A$18,$A$18)=0,$A$18,MOD(AK$18+INDEX(_xlfn.TEXTSPLIT(AK126,",",),0,2)+$A$18,$A$18))/5,0)))</f>
        <v>5</v>
      </c>
      <c r="AL28" s="1" cm="1">
        <f t="array" aca="1" ref="AL28" ca="1">(INDEX($K$2:$T$11,ROUNDUP(IF(MOD($A28+INDEX(_xlfn.TEXTSPLIT(AL83,",",),0,1)+$A$18,$A$18)=0,$A$18,MOD($A28+INDEX(_xlfn.TEXTSPLIT(AL83,",",),0,1)+$A$18,$A$18))/4,0),ROUNDUP(IF(MOD(AL$18+INDEX(_xlfn.TEXTSPLIT(AL83,",",),0,2)+$A$18,$A$18)=0,$A$18,MOD(AL$18+INDEX(_xlfn.TEXTSPLIT(AL83,",",),0,2)+$A$18,$A$18))/4,0)))+(INDEX($AD$2:$AK$9,ROUNDUP(IF(MOD($A28+INDEX(_xlfn.TEXTSPLIT(AL126,",",),0,1)+$A$18,$A$18)=0,$A$18,MOD($A28+INDEX(_xlfn.TEXTSPLIT(AL126,",",),0,1)+$A$18,$A$18))/5,0),ROUNDUP(IF(MOD(AL$18+INDEX(_xlfn.TEXTSPLIT(AL126,",",),0,2)+$A$18,$A$18)=0,$A$18,MOD(AL$18+INDEX(_xlfn.TEXTSPLIT(AL126,",",),0,2)+$A$18,$A$18))/5,0)))</f>
        <v>5</v>
      </c>
      <c r="AM28" s="1" cm="1">
        <f t="array" aca="1" ref="AM28" ca="1">(INDEX($K$2:$T$11,ROUNDUP(IF(MOD($A28+INDEX(_xlfn.TEXTSPLIT(AM83,",",),0,1)+$A$18,$A$18)=0,$A$18,MOD($A28+INDEX(_xlfn.TEXTSPLIT(AM83,",",),0,1)+$A$18,$A$18))/4,0),ROUNDUP(IF(MOD(AM$18+INDEX(_xlfn.TEXTSPLIT(AM83,",",),0,2)+$A$18,$A$18)=0,$A$18,MOD(AM$18+INDEX(_xlfn.TEXTSPLIT(AM83,",",),0,2)+$A$18,$A$18))/4,0)))+(INDEX($AD$2:$AK$9,ROUNDUP(IF(MOD($A28+INDEX(_xlfn.TEXTSPLIT(AM126,",",),0,1)+$A$18,$A$18)=0,$A$18,MOD($A28+INDEX(_xlfn.TEXTSPLIT(AM126,",",),0,1)+$A$18,$A$18))/5,0),ROUNDUP(IF(MOD(AM$18+INDEX(_xlfn.TEXTSPLIT(AM126,",",),0,2)+$A$18,$A$18)=0,$A$18,MOD(AM$18+INDEX(_xlfn.TEXTSPLIT(AM126,",",),0,2)+$A$18,$A$18))/5,0)))</f>
        <v>5</v>
      </c>
      <c r="AN28" s="1" cm="1">
        <f t="array" aca="1" ref="AN28" ca="1">(INDEX($K$2:$T$11,ROUNDUP(IF(MOD($A28+INDEX(_xlfn.TEXTSPLIT(AN83,",",),0,1)+$A$18,$A$18)=0,$A$18,MOD($A28+INDEX(_xlfn.TEXTSPLIT(AN83,",",),0,1)+$A$18,$A$18))/4,0),ROUNDUP(IF(MOD(AN$18+INDEX(_xlfn.TEXTSPLIT(AN83,",",),0,2)+$A$18,$A$18)=0,$A$18,MOD(AN$18+INDEX(_xlfn.TEXTSPLIT(AN83,",",),0,2)+$A$18,$A$18))/4,0)))+(INDEX($AD$2:$AK$9,ROUNDUP(IF(MOD($A28+INDEX(_xlfn.TEXTSPLIT(AN126,",",),0,1)+$A$18,$A$18)=0,$A$18,MOD($A28+INDEX(_xlfn.TEXTSPLIT(AN126,",",),0,1)+$A$18,$A$18))/5,0),ROUNDUP(IF(MOD(AN$18+INDEX(_xlfn.TEXTSPLIT(AN126,",",),0,2)+$A$18,$A$18)=0,$A$18,MOD(AN$18+INDEX(_xlfn.TEXTSPLIT(AN126,",",),0,2)+$A$18,$A$18))/5,0)))</f>
        <v>5</v>
      </c>
      <c r="AO28" s="1" cm="1">
        <f t="array" aca="1" ref="AO28" ca="1">(INDEX($K$2:$T$11,ROUNDUP(IF(MOD($A28+INDEX(_xlfn.TEXTSPLIT(AO83,",",),0,1)+$A$18,$A$18)=0,$A$18,MOD($A28+INDEX(_xlfn.TEXTSPLIT(AO83,",",),0,1)+$A$18,$A$18))/4,0),ROUNDUP(IF(MOD(AO$18+INDEX(_xlfn.TEXTSPLIT(AO83,",",),0,2)+$A$18,$A$18)=0,$A$18,MOD(AO$18+INDEX(_xlfn.TEXTSPLIT(AO83,",",),0,2)+$A$18,$A$18))/4,0)))+(INDEX($AD$2:$AK$9,ROUNDUP(IF(MOD($A28+INDEX(_xlfn.TEXTSPLIT(AO126,",",),0,1)+$A$18,$A$18)=0,$A$18,MOD($A28+INDEX(_xlfn.TEXTSPLIT(AO126,",",),0,1)+$A$18,$A$18))/5,0),ROUNDUP(IF(MOD(AO$18+INDEX(_xlfn.TEXTSPLIT(AO126,",",),0,2)+$A$18,$A$18)=0,$A$18,MOD(AO$18+INDEX(_xlfn.TEXTSPLIT(AO126,",",),0,2)+$A$18,$A$18))/5,0)))</f>
        <v>5</v>
      </c>
    </row>
    <row r="29" spans="1:41" ht="12.75">
      <c r="A29" s="1">
        <v>11</v>
      </c>
      <c r="B29" s="1" cm="1">
        <f t="array" aca="1" ref="B29" ca="1">(INDEX($K$2:$T$11,ROUNDUP(IF(MOD($A29+INDEX(_xlfn.TEXTSPLIT(B84,",",),0,1)+$A$18,$A$18)=0,$A$18,MOD($A29+INDEX(_xlfn.TEXTSPLIT(B84,",",),0,1)+$A$18,$A$18))/4,0),ROUNDUP(IF(MOD(B$18+INDEX(_xlfn.TEXTSPLIT(B84,",",),0,2)+$A$18,$A$18)=0,$A$18,MOD(B$18+INDEX(_xlfn.TEXTSPLIT(B84,",",),0,2)+$A$18,$A$18))/4,0)))+(INDEX($AD$2:$AK$9,ROUNDUP(IF(MOD($A29+INDEX(_xlfn.TEXTSPLIT(B127,",",),0,1)+$A$18,$A$18)=0,$A$18,MOD($A29+INDEX(_xlfn.TEXTSPLIT(B127,",",),0,1)+$A$18,$A$18))/5,0),ROUNDUP(IF(MOD(B$18+INDEX(_xlfn.TEXTSPLIT(B127,",",),0,2)+$A$18,$A$18)=0,$A$18,MOD(B$18+INDEX(_xlfn.TEXTSPLIT(B127,",",),0,2)+$A$18,$A$18))/5,0)))</f>
        <v>5</v>
      </c>
      <c r="C29" s="1" cm="1">
        <f t="array" aca="1" ref="C29" ca="1">(INDEX($K$2:$T$11,ROUNDUP(IF(MOD($A29+INDEX(_xlfn.TEXTSPLIT(C84,",",),0,1)+$A$18,$A$18)=0,$A$18,MOD($A29+INDEX(_xlfn.TEXTSPLIT(C84,",",),0,1)+$A$18,$A$18))/4,0),ROUNDUP(IF(MOD(C$18+INDEX(_xlfn.TEXTSPLIT(C84,",",),0,2)+$A$18,$A$18)=0,$A$18,MOD(C$18+INDEX(_xlfn.TEXTSPLIT(C84,",",),0,2)+$A$18,$A$18))/4,0)))+(INDEX($AD$2:$AK$9,ROUNDUP(IF(MOD($A29+INDEX(_xlfn.TEXTSPLIT(C127,",",),0,1)+$A$18,$A$18)=0,$A$18,MOD($A29+INDEX(_xlfn.TEXTSPLIT(C127,",",),0,1)+$A$18,$A$18))/5,0),ROUNDUP(IF(MOD(C$18+INDEX(_xlfn.TEXTSPLIT(C127,",",),0,2)+$A$18,$A$18)=0,$A$18,MOD(C$18+INDEX(_xlfn.TEXTSPLIT(C127,",",),0,2)+$A$18,$A$18))/5,0)))</f>
        <v>5</v>
      </c>
      <c r="D29" s="1" cm="1">
        <f t="array" aca="1" ref="D29" ca="1">(INDEX($K$2:$T$11,ROUNDUP(IF(MOD($A29+INDEX(_xlfn.TEXTSPLIT(D84,",",),0,1)+$A$18,$A$18)=0,$A$18,MOD($A29+INDEX(_xlfn.TEXTSPLIT(D84,",",),0,1)+$A$18,$A$18))/4,0),ROUNDUP(IF(MOD(D$18+INDEX(_xlfn.TEXTSPLIT(D84,",",),0,2)+$A$18,$A$18)=0,$A$18,MOD(D$18+INDEX(_xlfn.TEXTSPLIT(D84,",",),0,2)+$A$18,$A$18))/4,0)))+(INDEX($AD$2:$AK$9,ROUNDUP(IF(MOD($A29+INDEX(_xlfn.TEXTSPLIT(D127,",",),0,1)+$A$18,$A$18)=0,$A$18,MOD($A29+INDEX(_xlfn.TEXTSPLIT(D127,",",),0,1)+$A$18,$A$18))/5,0),ROUNDUP(IF(MOD(D$18+INDEX(_xlfn.TEXTSPLIT(D127,",",),0,2)+$A$18,$A$18)=0,$A$18,MOD(D$18+INDEX(_xlfn.TEXTSPLIT(D127,",",),0,2)+$A$18,$A$18))/5,0)))</f>
        <v>6</v>
      </c>
      <c r="E29" s="1" cm="1">
        <f t="array" aca="1" ref="E29" ca="1">(INDEX($K$2:$T$11,ROUNDUP(IF(MOD($A29+INDEX(_xlfn.TEXTSPLIT(E84,",",),0,1)+$A$18,$A$18)=0,$A$18,MOD($A29+INDEX(_xlfn.TEXTSPLIT(E84,",",),0,1)+$A$18,$A$18))/4,0),ROUNDUP(IF(MOD(E$18+INDEX(_xlfn.TEXTSPLIT(E84,",",),0,2)+$A$18,$A$18)=0,$A$18,MOD(E$18+INDEX(_xlfn.TEXTSPLIT(E84,",",),0,2)+$A$18,$A$18))/4,0)))+(INDEX($AD$2:$AK$9,ROUNDUP(IF(MOD($A29+INDEX(_xlfn.TEXTSPLIT(E127,",",),0,1)+$A$18,$A$18)=0,$A$18,MOD($A29+INDEX(_xlfn.TEXTSPLIT(E127,",",),0,1)+$A$18,$A$18))/5,0),ROUNDUP(IF(MOD(E$18+INDEX(_xlfn.TEXTSPLIT(E127,",",),0,2)+$A$18,$A$18)=0,$A$18,MOD(E$18+INDEX(_xlfn.TEXTSPLIT(E127,",",),0,2)+$A$18,$A$18))/5,0)))</f>
        <v>6</v>
      </c>
      <c r="F29" s="1" cm="1">
        <f t="array" aca="1" ref="F29" ca="1">(INDEX($K$2:$T$11,ROUNDUP(IF(MOD($A29+INDEX(_xlfn.TEXTSPLIT(F84,",",),0,1)+$A$18,$A$18)=0,$A$18,MOD($A29+INDEX(_xlfn.TEXTSPLIT(F84,",",),0,1)+$A$18,$A$18))/4,0),ROUNDUP(IF(MOD(F$18+INDEX(_xlfn.TEXTSPLIT(F84,",",),0,2)+$A$18,$A$18)=0,$A$18,MOD(F$18+INDEX(_xlfn.TEXTSPLIT(F84,",",),0,2)+$A$18,$A$18))/4,0)))+(INDEX($AD$2:$AK$9,ROUNDUP(IF(MOD($A29+INDEX(_xlfn.TEXTSPLIT(F127,",",),0,1)+$A$18,$A$18)=0,$A$18,MOD($A29+INDEX(_xlfn.TEXTSPLIT(F127,",",),0,1)+$A$18,$A$18))/5,0),ROUNDUP(IF(MOD(F$18+INDEX(_xlfn.TEXTSPLIT(F127,",",),0,2)+$A$18,$A$18)=0,$A$18,MOD(F$18+INDEX(_xlfn.TEXTSPLIT(F127,",",),0,2)+$A$18,$A$18))/5,0)))</f>
        <v>5</v>
      </c>
      <c r="G29" s="1" cm="1">
        <f t="array" aca="1" ref="G29" ca="1">(INDEX($K$2:$T$11,ROUNDUP(IF(MOD($A29+INDEX(_xlfn.TEXTSPLIT(G84,",",),0,1)+$A$18,$A$18)=0,$A$18,MOD($A29+INDEX(_xlfn.TEXTSPLIT(G84,",",),0,1)+$A$18,$A$18))/4,0),ROUNDUP(IF(MOD(G$18+INDEX(_xlfn.TEXTSPLIT(G84,",",),0,2)+$A$18,$A$18)=0,$A$18,MOD(G$18+INDEX(_xlfn.TEXTSPLIT(G84,",",),0,2)+$A$18,$A$18))/4,0)))+(INDEX($AD$2:$AK$9,ROUNDUP(IF(MOD($A29+INDEX(_xlfn.TEXTSPLIT(G127,",",),0,1)+$A$18,$A$18)=0,$A$18,MOD($A29+INDEX(_xlfn.TEXTSPLIT(G127,",",),0,1)+$A$18,$A$18))/5,0),ROUNDUP(IF(MOD(G$18+INDEX(_xlfn.TEXTSPLIT(G127,",",),0,2)+$A$18,$A$18)=0,$A$18,MOD(G$18+INDEX(_xlfn.TEXTSPLIT(G127,",",),0,2)+$A$18,$A$18))/5,0)))</f>
        <v>6</v>
      </c>
      <c r="H29" s="1" cm="1">
        <f t="array" aca="1" ref="H29" ca="1">(INDEX($K$2:$T$11,ROUNDUP(IF(MOD($A29+INDEX(_xlfn.TEXTSPLIT(H84,",",),0,1)+$A$18,$A$18)=0,$A$18,MOD($A29+INDEX(_xlfn.TEXTSPLIT(H84,",",),0,1)+$A$18,$A$18))/4,0),ROUNDUP(IF(MOD(H$18+INDEX(_xlfn.TEXTSPLIT(H84,",",),0,2)+$A$18,$A$18)=0,$A$18,MOD(H$18+INDEX(_xlfn.TEXTSPLIT(H84,",",),0,2)+$A$18,$A$18))/4,0)))+(INDEX($AD$2:$AK$9,ROUNDUP(IF(MOD($A29+INDEX(_xlfn.TEXTSPLIT(H127,",",),0,1)+$A$18,$A$18)=0,$A$18,MOD($A29+INDEX(_xlfn.TEXTSPLIT(H127,",",),0,1)+$A$18,$A$18))/5,0),ROUNDUP(IF(MOD(H$18+INDEX(_xlfn.TEXTSPLIT(H127,",",),0,2)+$A$18,$A$18)=0,$A$18,MOD(H$18+INDEX(_xlfn.TEXTSPLIT(H127,",",),0,2)+$A$18,$A$18))/5,0)))</f>
        <v>7</v>
      </c>
      <c r="I29" s="1" cm="1">
        <f t="array" aca="1" ref="I29" ca="1">(INDEX($K$2:$T$11,ROUNDUP(IF(MOD($A29+INDEX(_xlfn.TEXTSPLIT(I84,",",),0,1)+$A$18,$A$18)=0,$A$18,MOD($A29+INDEX(_xlfn.TEXTSPLIT(I84,",",),0,1)+$A$18,$A$18))/4,0),ROUNDUP(IF(MOD(I$18+INDEX(_xlfn.TEXTSPLIT(I84,",",),0,2)+$A$18,$A$18)=0,$A$18,MOD(I$18+INDEX(_xlfn.TEXTSPLIT(I84,",",),0,2)+$A$18,$A$18))/4,0)))+(INDEX($AD$2:$AK$9,ROUNDUP(IF(MOD($A29+INDEX(_xlfn.TEXTSPLIT(I127,",",),0,1)+$A$18,$A$18)=0,$A$18,MOD($A29+INDEX(_xlfn.TEXTSPLIT(I127,",",),0,1)+$A$18,$A$18))/5,0),ROUNDUP(IF(MOD(I$18+INDEX(_xlfn.TEXTSPLIT(I127,",",),0,2)+$A$18,$A$18)=0,$A$18,MOD(I$18+INDEX(_xlfn.TEXTSPLIT(I127,",",),0,2)+$A$18,$A$18))/5,0)))</f>
        <v>8</v>
      </c>
      <c r="J29" s="1" cm="1">
        <f t="array" aca="1" ref="J29" ca="1">(INDEX($K$2:$T$11,ROUNDUP(IF(MOD($A29+INDEX(_xlfn.TEXTSPLIT(J84,",",),0,1)+$A$18,$A$18)=0,$A$18,MOD($A29+INDEX(_xlfn.TEXTSPLIT(J84,",",),0,1)+$A$18,$A$18))/4,0),ROUNDUP(IF(MOD(J$18+INDEX(_xlfn.TEXTSPLIT(J84,",",),0,2)+$A$18,$A$18)=0,$A$18,MOD(J$18+INDEX(_xlfn.TEXTSPLIT(J84,",",),0,2)+$A$18,$A$18))/4,0)))+(INDEX($AD$2:$AK$9,ROUNDUP(IF(MOD($A29+INDEX(_xlfn.TEXTSPLIT(J127,",",),0,1)+$A$18,$A$18)=0,$A$18,MOD($A29+INDEX(_xlfn.TEXTSPLIT(J127,",",),0,1)+$A$18,$A$18))/5,0),ROUNDUP(IF(MOD(J$18+INDEX(_xlfn.TEXTSPLIT(J127,",",),0,2)+$A$18,$A$18)=0,$A$18,MOD(J$18+INDEX(_xlfn.TEXTSPLIT(J127,",",),0,2)+$A$18,$A$18))/5,0)))</f>
        <v>7</v>
      </c>
      <c r="K29" s="1" cm="1">
        <f t="array" aca="1" ref="K29" ca="1">(INDEX($K$2:$T$11,ROUNDUP(IF(MOD($A29+INDEX(_xlfn.TEXTSPLIT(K84,",",),0,1)+$A$18,$A$18)=0,$A$18,MOD($A29+INDEX(_xlfn.TEXTSPLIT(K84,",",),0,1)+$A$18,$A$18))/4,0),ROUNDUP(IF(MOD(K$18+INDEX(_xlfn.TEXTSPLIT(K84,",",),0,2)+$A$18,$A$18)=0,$A$18,MOD(K$18+INDEX(_xlfn.TEXTSPLIT(K84,",",),0,2)+$A$18,$A$18))/4,0)))+(INDEX($AD$2:$AK$9,ROUNDUP(IF(MOD($A29+INDEX(_xlfn.TEXTSPLIT(K127,",",),0,1)+$A$18,$A$18)=0,$A$18,MOD($A29+INDEX(_xlfn.TEXTSPLIT(K127,",",),0,1)+$A$18,$A$18))/5,0),ROUNDUP(IF(MOD(K$18+INDEX(_xlfn.TEXTSPLIT(K127,",",),0,2)+$A$18,$A$18)=0,$A$18,MOD(K$18+INDEX(_xlfn.TEXTSPLIT(K127,",",),0,2)+$A$18,$A$18))/5,0)))</f>
        <v>7</v>
      </c>
      <c r="L29" s="1" cm="1">
        <f t="array" aca="1" ref="L29" ca="1">(INDEX($K$2:$T$11,ROUNDUP(IF(MOD($A29+INDEX(_xlfn.TEXTSPLIT(L84,",",),0,1)+$A$18,$A$18)=0,$A$18,MOD($A29+INDEX(_xlfn.TEXTSPLIT(L84,",",),0,1)+$A$18,$A$18))/4,0),ROUNDUP(IF(MOD(L$18+INDEX(_xlfn.TEXTSPLIT(L84,",",),0,2)+$A$18,$A$18)=0,$A$18,MOD(L$18+INDEX(_xlfn.TEXTSPLIT(L84,",",),0,2)+$A$18,$A$18))/4,0)))+(INDEX($AD$2:$AK$9,ROUNDUP(IF(MOD($A29+INDEX(_xlfn.TEXTSPLIT(L127,",",),0,1)+$A$18,$A$18)=0,$A$18,MOD($A29+INDEX(_xlfn.TEXTSPLIT(L127,",",),0,1)+$A$18,$A$18))/5,0),ROUNDUP(IF(MOD(L$18+INDEX(_xlfn.TEXTSPLIT(L127,",",),0,2)+$A$18,$A$18)=0,$A$18,MOD(L$18+INDEX(_xlfn.TEXTSPLIT(L127,",",),0,2)+$A$18,$A$18))/5,0)))</f>
        <v>5</v>
      </c>
      <c r="M29" s="1" cm="1">
        <f t="array" aca="1" ref="M29" ca="1">(INDEX($K$2:$T$11,ROUNDUP(IF(MOD($A29+INDEX(_xlfn.TEXTSPLIT(M84,",",),0,1)+$A$18,$A$18)=0,$A$18,MOD($A29+INDEX(_xlfn.TEXTSPLIT(M84,",",),0,1)+$A$18,$A$18))/4,0),ROUNDUP(IF(MOD(M$18+INDEX(_xlfn.TEXTSPLIT(M84,",",),0,2)+$A$18,$A$18)=0,$A$18,MOD(M$18+INDEX(_xlfn.TEXTSPLIT(M84,",",),0,2)+$A$18,$A$18))/4,0)))+(INDEX($AD$2:$AK$9,ROUNDUP(IF(MOD($A29+INDEX(_xlfn.TEXTSPLIT(M127,",",),0,1)+$A$18,$A$18)=0,$A$18,MOD($A29+INDEX(_xlfn.TEXTSPLIT(M127,",",),0,1)+$A$18,$A$18))/5,0),ROUNDUP(IF(MOD(M$18+INDEX(_xlfn.TEXTSPLIT(M127,",",),0,2)+$A$18,$A$18)=0,$A$18,MOD(M$18+INDEX(_xlfn.TEXTSPLIT(M127,",",),0,2)+$A$18,$A$18))/5,0)))</f>
        <v>7</v>
      </c>
      <c r="N29" s="1" cm="1">
        <f t="array" aca="1" ref="N29" ca="1">(INDEX($K$2:$T$11,ROUNDUP(IF(MOD($A29+INDEX(_xlfn.TEXTSPLIT(N84,",",),0,1)+$A$18,$A$18)=0,$A$18,MOD($A29+INDEX(_xlfn.TEXTSPLIT(N84,",",),0,1)+$A$18,$A$18))/4,0),ROUNDUP(IF(MOD(N$18+INDEX(_xlfn.TEXTSPLIT(N84,",",),0,2)+$A$18,$A$18)=0,$A$18,MOD(N$18+INDEX(_xlfn.TEXTSPLIT(N84,",",),0,2)+$A$18,$A$18))/4,0)))+(INDEX($AD$2:$AK$9,ROUNDUP(IF(MOD($A29+INDEX(_xlfn.TEXTSPLIT(N127,",",),0,1)+$A$18,$A$18)=0,$A$18,MOD($A29+INDEX(_xlfn.TEXTSPLIT(N127,",",),0,1)+$A$18,$A$18))/5,0),ROUNDUP(IF(MOD(N$18+INDEX(_xlfn.TEXTSPLIT(N127,",",),0,2)+$A$18,$A$18)=0,$A$18,MOD(N$18+INDEX(_xlfn.TEXTSPLIT(N127,",",),0,2)+$A$18,$A$18))/5,0)))</f>
        <v>1</v>
      </c>
      <c r="O29" s="1" cm="1">
        <f t="array" aca="1" ref="O29" ca="1">(INDEX($K$2:$T$11,ROUNDUP(IF(MOD($A29+INDEX(_xlfn.TEXTSPLIT(O84,",",),0,1)+$A$18,$A$18)=0,$A$18,MOD($A29+INDEX(_xlfn.TEXTSPLIT(O84,",",),0,1)+$A$18,$A$18))/4,0),ROUNDUP(IF(MOD(O$18+INDEX(_xlfn.TEXTSPLIT(O84,",",),0,2)+$A$18,$A$18)=0,$A$18,MOD(O$18+INDEX(_xlfn.TEXTSPLIT(O84,",",),0,2)+$A$18,$A$18))/4,0)))+(INDEX($AD$2:$AK$9,ROUNDUP(IF(MOD($A29+INDEX(_xlfn.TEXTSPLIT(O127,",",),0,1)+$A$18,$A$18)=0,$A$18,MOD($A29+INDEX(_xlfn.TEXTSPLIT(O127,",",),0,1)+$A$18,$A$18))/5,0),ROUNDUP(IF(MOD(O$18+INDEX(_xlfn.TEXTSPLIT(O127,",",),0,2)+$A$18,$A$18)=0,$A$18,MOD(O$18+INDEX(_xlfn.TEXTSPLIT(O127,",",),0,2)+$A$18,$A$18))/5,0)))</f>
        <v>3</v>
      </c>
      <c r="P29" s="1" cm="1">
        <f t="array" aca="1" ref="P29" ca="1">(INDEX($K$2:$T$11,ROUNDUP(IF(MOD($A29+INDEX(_xlfn.TEXTSPLIT(P84,",",),0,1)+$A$18,$A$18)=0,$A$18,MOD($A29+INDEX(_xlfn.TEXTSPLIT(P84,",",),0,1)+$A$18,$A$18))/4,0),ROUNDUP(IF(MOD(P$18+INDEX(_xlfn.TEXTSPLIT(P84,",",),0,2)+$A$18,$A$18)=0,$A$18,MOD(P$18+INDEX(_xlfn.TEXTSPLIT(P84,",",),0,2)+$A$18,$A$18))/4,0)))+(INDEX($AD$2:$AK$9,ROUNDUP(IF(MOD($A29+INDEX(_xlfn.TEXTSPLIT(P127,",",),0,1)+$A$18,$A$18)=0,$A$18,MOD($A29+INDEX(_xlfn.TEXTSPLIT(P127,",",),0,1)+$A$18,$A$18))/5,0),ROUNDUP(IF(MOD(P$18+INDEX(_xlfn.TEXTSPLIT(P127,",",),0,2)+$A$18,$A$18)=0,$A$18,MOD(P$18+INDEX(_xlfn.TEXTSPLIT(P127,",",),0,2)+$A$18,$A$18))/5,0)))</f>
        <v>3</v>
      </c>
      <c r="Q29" s="1" cm="1">
        <f t="array" aca="1" ref="Q29" ca="1">(INDEX($K$2:$T$11,ROUNDUP(IF(MOD($A29+INDEX(_xlfn.TEXTSPLIT(Q84,",",),0,1)+$A$18,$A$18)=0,$A$18,MOD($A29+INDEX(_xlfn.TEXTSPLIT(Q84,",",),0,1)+$A$18,$A$18))/4,0),ROUNDUP(IF(MOD(Q$18+INDEX(_xlfn.TEXTSPLIT(Q84,",",),0,2)+$A$18,$A$18)=0,$A$18,MOD(Q$18+INDEX(_xlfn.TEXTSPLIT(Q84,",",),0,2)+$A$18,$A$18))/4,0)))+(INDEX($AD$2:$AK$9,ROUNDUP(IF(MOD($A29+INDEX(_xlfn.TEXTSPLIT(Q127,",",),0,1)+$A$18,$A$18)=0,$A$18,MOD($A29+INDEX(_xlfn.TEXTSPLIT(Q127,",",),0,1)+$A$18,$A$18))/5,0),ROUNDUP(IF(MOD(Q$18+INDEX(_xlfn.TEXTSPLIT(Q127,",",),0,2)+$A$18,$A$18)=0,$A$18,MOD(Q$18+INDEX(_xlfn.TEXTSPLIT(Q127,",",),0,2)+$A$18,$A$18))/5,0)))</f>
        <v>3</v>
      </c>
      <c r="R29" s="1" cm="1">
        <f t="array" aca="1" ref="R29" ca="1">(INDEX($K$2:$T$11,ROUNDUP(IF(MOD($A29+INDEX(_xlfn.TEXTSPLIT(R84,",",),0,1)+$A$18,$A$18)=0,$A$18,MOD($A29+INDEX(_xlfn.TEXTSPLIT(R84,",",),0,1)+$A$18,$A$18))/4,0),ROUNDUP(IF(MOD(R$18+INDEX(_xlfn.TEXTSPLIT(R84,",",),0,2)+$A$18,$A$18)=0,$A$18,MOD(R$18+INDEX(_xlfn.TEXTSPLIT(R84,",",),0,2)+$A$18,$A$18))/4,0)))+(INDEX($AD$2:$AK$9,ROUNDUP(IF(MOD($A29+INDEX(_xlfn.TEXTSPLIT(R127,",",),0,1)+$A$18,$A$18)=0,$A$18,MOD($A29+INDEX(_xlfn.TEXTSPLIT(R127,",",),0,1)+$A$18,$A$18))/5,0),ROUNDUP(IF(MOD(R$18+INDEX(_xlfn.TEXTSPLIT(R127,",",),0,2)+$A$18,$A$18)=0,$A$18,MOD(R$18+INDEX(_xlfn.TEXTSPLIT(R127,",",),0,2)+$A$18,$A$18))/5,0)))</f>
        <v>5</v>
      </c>
      <c r="S29" s="1" cm="1">
        <f t="array" aca="1" ref="S29" ca="1">(INDEX($K$2:$T$11,ROUNDUP(IF(MOD($A29+INDEX(_xlfn.TEXTSPLIT(S84,",",),0,1)+$A$18,$A$18)=0,$A$18,MOD($A29+INDEX(_xlfn.TEXTSPLIT(S84,",",),0,1)+$A$18,$A$18))/4,0),ROUNDUP(IF(MOD(S$18+INDEX(_xlfn.TEXTSPLIT(S84,",",),0,2)+$A$18,$A$18)=0,$A$18,MOD(S$18+INDEX(_xlfn.TEXTSPLIT(S84,",",),0,2)+$A$18,$A$18))/4,0)))+(INDEX($AD$2:$AK$9,ROUNDUP(IF(MOD($A29+INDEX(_xlfn.TEXTSPLIT(S127,",",),0,1)+$A$18,$A$18)=0,$A$18,MOD($A29+INDEX(_xlfn.TEXTSPLIT(S127,",",),0,1)+$A$18,$A$18))/5,0),ROUNDUP(IF(MOD(S$18+INDEX(_xlfn.TEXTSPLIT(S127,",",),0,2)+$A$18,$A$18)=0,$A$18,MOD(S$18+INDEX(_xlfn.TEXTSPLIT(S127,",",),0,2)+$A$18,$A$18))/5,0)))</f>
        <v>5</v>
      </c>
      <c r="T29" s="1" cm="1">
        <f t="array" aca="1" ref="T29" ca="1">(INDEX($K$2:$T$11,ROUNDUP(IF(MOD($A29+INDEX(_xlfn.TEXTSPLIT(T84,",",),0,1)+$A$18,$A$18)=0,$A$18,MOD($A29+INDEX(_xlfn.TEXTSPLIT(T84,",",),0,1)+$A$18,$A$18))/4,0),ROUNDUP(IF(MOD(T$18+INDEX(_xlfn.TEXTSPLIT(T84,",",),0,2)+$A$18,$A$18)=0,$A$18,MOD(T$18+INDEX(_xlfn.TEXTSPLIT(T84,",",),0,2)+$A$18,$A$18))/4,0)))+(INDEX($AD$2:$AK$9,ROUNDUP(IF(MOD($A29+INDEX(_xlfn.TEXTSPLIT(T127,",",),0,1)+$A$18,$A$18)=0,$A$18,MOD($A29+INDEX(_xlfn.TEXTSPLIT(T127,",",),0,1)+$A$18,$A$18))/5,0),ROUNDUP(IF(MOD(T$18+INDEX(_xlfn.TEXTSPLIT(T127,",",),0,2)+$A$18,$A$18)=0,$A$18,MOD(T$18+INDEX(_xlfn.TEXTSPLIT(T127,",",),0,2)+$A$18,$A$18))/5,0)))</f>
        <v>5</v>
      </c>
      <c r="U29" s="1" cm="1">
        <f t="array" aca="1" ref="U29" ca="1">(INDEX($K$2:$T$11,ROUNDUP(IF(MOD($A29+INDEX(_xlfn.TEXTSPLIT(U84,",",),0,1)+$A$18,$A$18)=0,$A$18,MOD($A29+INDEX(_xlfn.TEXTSPLIT(U84,",",),0,1)+$A$18,$A$18))/4,0),ROUNDUP(IF(MOD(U$18+INDEX(_xlfn.TEXTSPLIT(U84,",",),0,2)+$A$18,$A$18)=0,$A$18,MOD(U$18+INDEX(_xlfn.TEXTSPLIT(U84,",",),0,2)+$A$18,$A$18))/4,0)))+(INDEX($AD$2:$AK$9,ROUNDUP(IF(MOD($A29+INDEX(_xlfn.TEXTSPLIT(U127,",",),0,1)+$A$18,$A$18)=0,$A$18,MOD($A29+INDEX(_xlfn.TEXTSPLIT(U127,",",),0,1)+$A$18,$A$18))/5,0),ROUNDUP(IF(MOD(U$18+INDEX(_xlfn.TEXTSPLIT(U127,",",),0,2)+$A$18,$A$18)=0,$A$18,MOD(U$18+INDEX(_xlfn.TEXTSPLIT(U127,",",),0,2)+$A$18,$A$18))/5,0)))</f>
        <v>5</v>
      </c>
      <c r="V29" s="1" cm="1">
        <f t="array" aca="1" ref="V29" ca="1">(INDEX($K$2:$T$11,ROUNDUP(IF(MOD($A29+INDEX(_xlfn.TEXTSPLIT(V84,",",),0,1)+$A$18,$A$18)=0,$A$18,MOD($A29+INDEX(_xlfn.TEXTSPLIT(V84,",",),0,1)+$A$18,$A$18))/4,0),ROUNDUP(IF(MOD(V$18+INDEX(_xlfn.TEXTSPLIT(V84,",",),0,2)+$A$18,$A$18)=0,$A$18,MOD(V$18+INDEX(_xlfn.TEXTSPLIT(V84,",",),0,2)+$A$18,$A$18))/4,0)))+(INDEX($AD$2:$AK$9,ROUNDUP(IF(MOD($A29+INDEX(_xlfn.TEXTSPLIT(V127,",",),0,1)+$A$18,$A$18)=0,$A$18,MOD($A29+INDEX(_xlfn.TEXTSPLIT(V127,",",),0,1)+$A$18,$A$18))/5,0),ROUNDUP(IF(MOD(V$18+INDEX(_xlfn.TEXTSPLIT(V127,",",),0,2)+$A$18,$A$18)=0,$A$18,MOD(V$18+INDEX(_xlfn.TEXTSPLIT(V127,",",),0,2)+$A$18,$A$18))/5,0)))</f>
        <v>5</v>
      </c>
      <c r="W29" s="1" cm="1">
        <f t="array" aca="1" ref="W29" ca="1">(INDEX($K$2:$T$11,ROUNDUP(IF(MOD($A29+INDEX(_xlfn.TEXTSPLIT(W84,",",),0,1)+$A$18,$A$18)=0,$A$18,MOD($A29+INDEX(_xlfn.TEXTSPLIT(W84,",",),0,1)+$A$18,$A$18))/4,0),ROUNDUP(IF(MOD(W$18+INDEX(_xlfn.TEXTSPLIT(W84,",",),0,2)+$A$18,$A$18)=0,$A$18,MOD(W$18+INDEX(_xlfn.TEXTSPLIT(W84,",",),0,2)+$A$18,$A$18))/4,0)))+(INDEX($AD$2:$AK$9,ROUNDUP(IF(MOD($A29+INDEX(_xlfn.TEXTSPLIT(W127,",",),0,1)+$A$18,$A$18)=0,$A$18,MOD($A29+INDEX(_xlfn.TEXTSPLIT(W127,",",),0,1)+$A$18,$A$18))/5,0),ROUNDUP(IF(MOD(W$18+INDEX(_xlfn.TEXTSPLIT(W127,",",),0,2)+$A$18,$A$18)=0,$A$18,MOD(W$18+INDEX(_xlfn.TEXTSPLIT(W127,",",),0,2)+$A$18,$A$18))/5,0)))</f>
        <v>5</v>
      </c>
      <c r="X29" s="1" cm="1">
        <f t="array" aca="1" ref="X29" ca="1">(INDEX($K$2:$T$11,ROUNDUP(IF(MOD($A29+INDEX(_xlfn.TEXTSPLIT(X84,",",),0,1)+$A$18,$A$18)=0,$A$18,MOD($A29+INDEX(_xlfn.TEXTSPLIT(X84,",",),0,1)+$A$18,$A$18))/4,0),ROUNDUP(IF(MOD(X$18+INDEX(_xlfn.TEXTSPLIT(X84,",",),0,2)+$A$18,$A$18)=0,$A$18,MOD(X$18+INDEX(_xlfn.TEXTSPLIT(X84,",",),0,2)+$A$18,$A$18))/4,0)))+(INDEX($AD$2:$AK$9,ROUNDUP(IF(MOD($A29+INDEX(_xlfn.TEXTSPLIT(X127,",",),0,1)+$A$18,$A$18)=0,$A$18,MOD($A29+INDEX(_xlfn.TEXTSPLIT(X127,",",),0,1)+$A$18,$A$18))/5,0),ROUNDUP(IF(MOD(X$18+INDEX(_xlfn.TEXTSPLIT(X127,",",),0,2)+$A$18,$A$18)=0,$A$18,MOD(X$18+INDEX(_xlfn.TEXTSPLIT(X127,",",),0,2)+$A$18,$A$18))/5,0)))</f>
        <v>7</v>
      </c>
      <c r="Y29" s="1" cm="1">
        <f t="array" aca="1" ref="Y29" ca="1">(INDEX($K$2:$T$11,ROUNDUP(IF(MOD($A29+INDEX(_xlfn.TEXTSPLIT(Y84,",",),0,1)+$A$18,$A$18)=0,$A$18,MOD($A29+INDEX(_xlfn.TEXTSPLIT(Y84,",",),0,1)+$A$18,$A$18))/4,0),ROUNDUP(IF(MOD(Y$18+INDEX(_xlfn.TEXTSPLIT(Y84,",",),0,2)+$A$18,$A$18)=0,$A$18,MOD(Y$18+INDEX(_xlfn.TEXTSPLIT(Y84,",",),0,2)+$A$18,$A$18))/4,0)))+(INDEX($AD$2:$AK$9,ROUNDUP(IF(MOD($A29+INDEX(_xlfn.TEXTSPLIT(Y127,",",),0,1)+$A$18,$A$18)=0,$A$18,MOD($A29+INDEX(_xlfn.TEXTSPLIT(Y127,",",),0,1)+$A$18,$A$18))/5,0),ROUNDUP(IF(MOD(Y$18+INDEX(_xlfn.TEXTSPLIT(Y127,",",),0,2)+$A$18,$A$18)=0,$A$18,MOD(Y$18+INDEX(_xlfn.TEXTSPLIT(Y127,",",),0,2)+$A$18,$A$18))/5,0)))</f>
        <v>3</v>
      </c>
      <c r="Z29" s="1" cm="1">
        <f t="array" aca="1" ref="Z29" ca="1">(INDEX($K$2:$T$11,ROUNDUP(IF(MOD($A29+INDEX(_xlfn.TEXTSPLIT(Z84,",",),0,1)+$A$18,$A$18)=0,$A$18,MOD($A29+INDEX(_xlfn.TEXTSPLIT(Z84,",",),0,1)+$A$18,$A$18))/4,0),ROUNDUP(IF(MOD(Z$18+INDEX(_xlfn.TEXTSPLIT(Z84,",",),0,2)+$A$18,$A$18)=0,$A$18,MOD(Z$18+INDEX(_xlfn.TEXTSPLIT(Z84,",",),0,2)+$A$18,$A$18))/4,0)))+(INDEX($AD$2:$AK$9,ROUNDUP(IF(MOD($A29+INDEX(_xlfn.TEXTSPLIT(Z127,",",),0,1)+$A$18,$A$18)=0,$A$18,MOD($A29+INDEX(_xlfn.TEXTSPLIT(Z127,",",),0,1)+$A$18,$A$18))/5,0),ROUNDUP(IF(MOD(Z$18+INDEX(_xlfn.TEXTSPLIT(Z127,",",),0,2)+$A$18,$A$18)=0,$A$18,MOD(Z$18+INDEX(_xlfn.TEXTSPLIT(Z127,",",),0,2)+$A$18,$A$18))/5,0)))</f>
        <v>1</v>
      </c>
      <c r="AA29" s="1" cm="1">
        <f t="array" aca="1" ref="AA29" ca="1">(INDEX($K$2:$T$11,ROUNDUP(IF(MOD($A29+INDEX(_xlfn.TEXTSPLIT(AA84,",",),0,1)+$A$18,$A$18)=0,$A$18,MOD($A29+INDEX(_xlfn.TEXTSPLIT(AA84,",",),0,1)+$A$18,$A$18))/4,0),ROUNDUP(IF(MOD(AA$18+INDEX(_xlfn.TEXTSPLIT(AA84,",",),0,2)+$A$18,$A$18)=0,$A$18,MOD(AA$18+INDEX(_xlfn.TEXTSPLIT(AA84,",",),0,2)+$A$18,$A$18))/4,0)))+(INDEX($AD$2:$AK$9,ROUNDUP(IF(MOD($A29+INDEX(_xlfn.TEXTSPLIT(AA127,",",),0,1)+$A$18,$A$18)=0,$A$18,MOD($A29+INDEX(_xlfn.TEXTSPLIT(AA127,",",),0,1)+$A$18,$A$18))/5,0),ROUNDUP(IF(MOD(AA$18+INDEX(_xlfn.TEXTSPLIT(AA127,",",),0,2)+$A$18,$A$18)=0,$A$18,MOD(AA$18+INDEX(_xlfn.TEXTSPLIT(AA127,",",),0,2)+$A$18,$A$18))/5,0)))</f>
        <v>4</v>
      </c>
      <c r="AB29" s="1" cm="1">
        <f t="array" aca="1" ref="AB29" ca="1">(INDEX($K$2:$T$11,ROUNDUP(IF(MOD($A29+INDEX(_xlfn.TEXTSPLIT(AB84,",",),0,1)+$A$18,$A$18)=0,$A$18,MOD($A29+INDEX(_xlfn.TEXTSPLIT(AB84,",",),0,1)+$A$18,$A$18))/4,0),ROUNDUP(IF(MOD(AB$18+INDEX(_xlfn.TEXTSPLIT(AB84,",",),0,2)+$A$18,$A$18)=0,$A$18,MOD(AB$18+INDEX(_xlfn.TEXTSPLIT(AB84,",",),0,2)+$A$18,$A$18))/4,0)))+(INDEX($AD$2:$AK$9,ROUNDUP(IF(MOD($A29+INDEX(_xlfn.TEXTSPLIT(AB127,",",),0,1)+$A$18,$A$18)=0,$A$18,MOD($A29+INDEX(_xlfn.TEXTSPLIT(AB127,",",),0,1)+$A$18,$A$18))/5,0),ROUNDUP(IF(MOD(AB$18+INDEX(_xlfn.TEXTSPLIT(AB127,",",),0,2)+$A$18,$A$18)=0,$A$18,MOD(AB$18+INDEX(_xlfn.TEXTSPLIT(AB127,",",),0,2)+$A$18,$A$18))/5,0)))</f>
        <v>1</v>
      </c>
      <c r="AC29" s="1" cm="1">
        <f t="array" aca="1" ref="AC29" ca="1">(INDEX($K$2:$T$11,ROUNDUP(IF(MOD($A29+INDEX(_xlfn.TEXTSPLIT(AC84,",",),0,1)+$A$18,$A$18)=0,$A$18,MOD($A29+INDEX(_xlfn.TEXTSPLIT(AC84,",",),0,1)+$A$18,$A$18))/4,0),ROUNDUP(IF(MOD(AC$18+INDEX(_xlfn.TEXTSPLIT(AC84,",",),0,2)+$A$18,$A$18)=0,$A$18,MOD(AC$18+INDEX(_xlfn.TEXTSPLIT(AC84,",",),0,2)+$A$18,$A$18))/4,0)))+(INDEX($AD$2:$AK$9,ROUNDUP(IF(MOD($A29+INDEX(_xlfn.TEXTSPLIT(AC127,",",),0,1)+$A$18,$A$18)=0,$A$18,MOD($A29+INDEX(_xlfn.TEXTSPLIT(AC127,",",),0,1)+$A$18,$A$18))/5,0),ROUNDUP(IF(MOD(AC$18+INDEX(_xlfn.TEXTSPLIT(AC127,",",),0,2)+$A$18,$A$18)=0,$A$18,MOD(AC$18+INDEX(_xlfn.TEXTSPLIT(AC127,",",),0,2)+$A$18,$A$18))/5,0)))</f>
        <v>4</v>
      </c>
      <c r="AD29" s="1" cm="1">
        <f t="array" aca="1" ref="AD29" ca="1">(INDEX($K$2:$T$11,ROUNDUP(IF(MOD($A29+INDEX(_xlfn.TEXTSPLIT(AD84,",",),0,1)+$A$18,$A$18)=0,$A$18,MOD($A29+INDEX(_xlfn.TEXTSPLIT(AD84,",",),0,1)+$A$18,$A$18))/4,0),ROUNDUP(IF(MOD(AD$18+INDEX(_xlfn.TEXTSPLIT(AD84,",",),0,2)+$A$18,$A$18)=0,$A$18,MOD(AD$18+INDEX(_xlfn.TEXTSPLIT(AD84,",",),0,2)+$A$18,$A$18))/4,0)))+(INDEX($AD$2:$AK$9,ROUNDUP(IF(MOD($A29+INDEX(_xlfn.TEXTSPLIT(AD127,",",),0,1)+$A$18,$A$18)=0,$A$18,MOD($A29+INDEX(_xlfn.TEXTSPLIT(AD127,",",),0,1)+$A$18,$A$18))/5,0),ROUNDUP(IF(MOD(AD$18+INDEX(_xlfn.TEXTSPLIT(AD127,",",),0,2)+$A$18,$A$18)=0,$A$18,MOD(AD$18+INDEX(_xlfn.TEXTSPLIT(AD127,",",),0,2)+$A$18,$A$18))/5,0)))</f>
        <v>1</v>
      </c>
      <c r="AE29" s="1" cm="1">
        <f t="array" aca="1" ref="AE29" ca="1">(INDEX($K$2:$T$11,ROUNDUP(IF(MOD($A29+INDEX(_xlfn.TEXTSPLIT(AE84,",",),0,1)+$A$18,$A$18)=0,$A$18,MOD($A29+INDEX(_xlfn.TEXTSPLIT(AE84,",",),0,1)+$A$18,$A$18))/4,0),ROUNDUP(IF(MOD(AE$18+INDEX(_xlfn.TEXTSPLIT(AE84,",",),0,2)+$A$18,$A$18)=0,$A$18,MOD(AE$18+INDEX(_xlfn.TEXTSPLIT(AE84,",",),0,2)+$A$18,$A$18))/4,0)))+(INDEX($AD$2:$AK$9,ROUNDUP(IF(MOD($A29+INDEX(_xlfn.TEXTSPLIT(AE127,",",),0,1)+$A$18,$A$18)=0,$A$18,MOD($A29+INDEX(_xlfn.TEXTSPLIT(AE127,",",),0,1)+$A$18,$A$18))/5,0),ROUNDUP(IF(MOD(AE$18+INDEX(_xlfn.TEXTSPLIT(AE127,",",),0,2)+$A$18,$A$18)=0,$A$18,MOD(AE$18+INDEX(_xlfn.TEXTSPLIT(AE127,",",),0,2)+$A$18,$A$18))/5,0)))</f>
        <v>8</v>
      </c>
      <c r="AF29" s="1" cm="1">
        <f t="array" aca="1" ref="AF29" ca="1">(INDEX($K$2:$T$11,ROUNDUP(IF(MOD($A29+INDEX(_xlfn.TEXTSPLIT(AF84,",",),0,1)+$A$18,$A$18)=0,$A$18,MOD($A29+INDEX(_xlfn.TEXTSPLIT(AF84,",",),0,1)+$A$18,$A$18))/4,0),ROUNDUP(IF(MOD(AF$18+INDEX(_xlfn.TEXTSPLIT(AF84,",",),0,2)+$A$18,$A$18)=0,$A$18,MOD(AF$18+INDEX(_xlfn.TEXTSPLIT(AF84,",",),0,2)+$A$18,$A$18))/4,0)))+(INDEX($AD$2:$AK$9,ROUNDUP(IF(MOD($A29+INDEX(_xlfn.TEXTSPLIT(AF127,",",),0,1)+$A$18,$A$18)=0,$A$18,MOD($A29+INDEX(_xlfn.TEXTSPLIT(AF127,",",),0,1)+$A$18,$A$18))/5,0),ROUNDUP(IF(MOD(AF$18+INDEX(_xlfn.TEXTSPLIT(AF127,",",),0,2)+$A$18,$A$18)=0,$A$18,MOD(AF$18+INDEX(_xlfn.TEXTSPLIT(AF127,",",),0,2)+$A$18,$A$18))/5,0)))</f>
        <v>5</v>
      </c>
      <c r="AG29" s="1" cm="1">
        <f t="array" aca="1" ref="AG29" ca="1">(INDEX($K$2:$T$11,ROUNDUP(IF(MOD($A29+INDEX(_xlfn.TEXTSPLIT(AG84,",",),0,1)+$A$18,$A$18)=0,$A$18,MOD($A29+INDEX(_xlfn.TEXTSPLIT(AG84,",",),0,1)+$A$18,$A$18))/4,0),ROUNDUP(IF(MOD(AG$18+INDEX(_xlfn.TEXTSPLIT(AG84,",",),0,2)+$A$18,$A$18)=0,$A$18,MOD(AG$18+INDEX(_xlfn.TEXTSPLIT(AG84,",",),0,2)+$A$18,$A$18))/4,0)))+(INDEX($AD$2:$AK$9,ROUNDUP(IF(MOD($A29+INDEX(_xlfn.TEXTSPLIT(AG127,",",),0,1)+$A$18,$A$18)=0,$A$18,MOD($A29+INDEX(_xlfn.TEXTSPLIT(AG127,",",),0,1)+$A$18,$A$18))/5,0),ROUNDUP(IF(MOD(AG$18+INDEX(_xlfn.TEXTSPLIT(AG127,",",),0,2)+$A$18,$A$18)=0,$A$18,MOD(AG$18+INDEX(_xlfn.TEXTSPLIT(AG127,",",),0,2)+$A$18,$A$18))/5,0)))</f>
        <v>5</v>
      </c>
      <c r="AH29" s="1" cm="1">
        <f t="array" aca="1" ref="AH29" ca="1">(INDEX($K$2:$T$11,ROUNDUP(IF(MOD($A29+INDEX(_xlfn.TEXTSPLIT(AH84,",",),0,1)+$A$18,$A$18)=0,$A$18,MOD($A29+INDEX(_xlfn.TEXTSPLIT(AH84,",",),0,1)+$A$18,$A$18))/4,0),ROUNDUP(IF(MOD(AH$18+INDEX(_xlfn.TEXTSPLIT(AH84,",",),0,2)+$A$18,$A$18)=0,$A$18,MOD(AH$18+INDEX(_xlfn.TEXTSPLIT(AH84,",",),0,2)+$A$18,$A$18))/4,0)))+(INDEX($AD$2:$AK$9,ROUNDUP(IF(MOD($A29+INDEX(_xlfn.TEXTSPLIT(AH127,",",),0,1)+$A$18,$A$18)=0,$A$18,MOD($A29+INDEX(_xlfn.TEXTSPLIT(AH127,",",),0,1)+$A$18,$A$18))/5,0),ROUNDUP(IF(MOD(AH$18+INDEX(_xlfn.TEXTSPLIT(AH127,",",),0,2)+$A$18,$A$18)=0,$A$18,MOD(AH$18+INDEX(_xlfn.TEXTSPLIT(AH127,",",),0,2)+$A$18,$A$18))/5,0)))</f>
        <v>6</v>
      </c>
      <c r="AI29" s="1" cm="1">
        <f t="array" aca="1" ref="AI29" ca="1">(INDEX($K$2:$T$11,ROUNDUP(IF(MOD($A29+INDEX(_xlfn.TEXTSPLIT(AI84,",",),0,1)+$A$18,$A$18)=0,$A$18,MOD($A29+INDEX(_xlfn.TEXTSPLIT(AI84,",",),0,1)+$A$18,$A$18))/4,0),ROUNDUP(IF(MOD(AI$18+INDEX(_xlfn.TEXTSPLIT(AI84,",",),0,2)+$A$18,$A$18)=0,$A$18,MOD(AI$18+INDEX(_xlfn.TEXTSPLIT(AI84,",",),0,2)+$A$18,$A$18))/4,0)))+(INDEX($AD$2:$AK$9,ROUNDUP(IF(MOD($A29+INDEX(_xlfn.TEXTSPLIT(AI127,",",),0,1)+$A$18,$A$18)=0,$A$18,MOD($A29+INDEX(_xlfn.TEXTSPLIT(AI127,",",),0,1)+$A$18,$A$18))/5,0),ROUNDUP(IF(MOD(AI$18+INDEX(_xlfn.TEXTSPLIT(AI127,",",),0,2)+$A$18,$A$18)=0,$A$18,MOD(AI$18+INDEX(_xlfn.TEXTSPLIT(AI127,",",),0,2)+$A$18,$A$18))/5,0)))</f>
        <v>6</v>
      </c>
      <c r="AJ29" s="1" cm="1">
        <f t="array" aca="1" ref="AJ29" ca="1">(INDEX($K$2:$T$11,ROUNDUP(IF(MOD($A29+INDEX(_xlfn.TEXTSPLIT(AJ84,",",),0,1)+$A$18,$A$18)=0,$A$18,MOD($A29+INDEX(_xlfn.TEXTSPLIT(AJ84,",",),0,1)+$A$18,$A$18))/4,0),ROUNDUP(IF(MOD(AJ$18+INDEX(_xlfn.TEXTSPLIT(AJ84,",",),0,2)+$A$18,$A$18)=0,$A$18,MOD(AJ$18+INDEX(_xlfn.TEXTSPLIT(AJ84,",",),0,2)+$A$18,$A$18))/4,0)))+(INDEX($AD$2:$AK$9,ROUNDUP(IF(MOD($A29+INDEX(_xlfn.TEXTSPLIT(AJ127,",",),0,1)+$A$18,$A$18)=0,$A$18,MOD($A29+INDEX(_xlfn.TEXTSPLIT(AJ127,",",),0,1)+$A$18,$A$18))/5,0),ROUNDUP(IF(MOD(AJ$18+INDEX(_xlfn.TEXTSPLIT(AJ127,",",),0,2)+$A$18,$A$18)=0,$A$18,MOD(AJ$18+INDEX(_xlfn.TEXTSPLIT(AJ127,",",),0,2)+$A$18,$A$18))/5,0)))</f>
        <v>5</v>
      </c>
      <c r="AK29" s="1" cm="1">
        <f t="array" aca="1" ref="AK29" ca="1">(INDEX($K$2:$T$11,ROUNDUP(IF(MOD($A29+INDEX(_xlfn.TEXTSPLIT(AK84,",",),0,1)+$A$18,$A$18)=0,$A$18,MOD($A29+INDEX(_xlfn.TEXTSPLIT(AK84,",",),0,1)+$A$18,$A$18))/4,0),ROUNDUP(IF(MOD(AK$18+INDEX(_xlfn.TEXTSPLIT(AK84,",",),0,2)+$A$18,$A$18)=0,$A$18,MOD(AK$18+INDEX(_xlfn.TEXTSPLIT(AK84,",",),0,2)+$A$18,$A$18))/4,0)))+(INDEX($AD$2:$AK$9,ROUNDUP(IF(MOD($A29+INDEX(_xlfn.TEXTSPLIT(AK127,",",),0,1)+$A$18,$A$18)=0,$A$18,MOD($A29+INDEX(_xlfn.TEXTSPLIT(AK127,",",),0,1)+$A$18,$A$18))/5,0),ROUNDUP(IF(MOD(AK$18+INDEX(_xlfn.TEXTSPLIT(AK127,",",),0,2)+$A$18,$A$18)=0,$A$18,MOD(AK$18+INDEX(_xlfn.TEXTSPLIT(AK127,",",),0,2)+$A$18,$A$18))/5,0)))</f>
        <v>5</v>
      </c>
      <c r="AL29" s="1" cm="1">
        <f t="array" aca="1" ref="AL29" ca="1">(INDEX($K$2:$T$11,ROUNDUP(IF(MOD($A29+INDEX(_xlfn.TEXTSPLIT(AL84,",",),0,1)+$A$18,$A$18)=0,$A$18,MOD($A29+INDEX(_xlfn.TEXTSPLIT(AL84,",",),0,1)+$A$18,$A$18))/4,0),ROUNDUP(IF(MOD(AL$18+INDEX(_xlfn.TEXTSPLIT(AL84,",",),0,2)+$A$18,$A$18)=0,$A$18,MOD(AL$18+INDEX(_xlfn.TEXTSPLIT(AL84,",",),0,2)+$A$18,$A$18))/4,0)))+(INDEX($AD$2:$AK$9,ROUNDUP(IF(MOD($A29+INDEX(_xlfn.TEXTSPLIT(AL127,",",),0,1)+$A$18,$A$18)=0,$A$18,MOD($A29+INDEX(_xlfn.TEXTSPLIT(AL127,",",),0,1)+$A$18,$A$18))/5,0),ROUNDUP(IF(MOD(AL$18+INDEX(_xlfn.TEXTSPLIT(AL127,",",),0,2)+$A$18,$A$18)=0,$A$18,MOD(AL$18+INDEX(_xlfn.TEXTSPLIT(AL127,",",),0,2)+$A$18,$A$18))/5,0)))</f>
        <v>5</v>
      </c>
      <c r="AM29" s="1" cm="1">
        <f t="array" aca="1" ref="AM29" ca="1">(INDEX($K$2:$T$11,ROUNDUP(IF(MOD($A29+INDEX(_xlfn.TEXTSPLIT(AM84,",",),0,1)+$A$18,$A$18)=0,$A$18,MOD($A29+INDEX(_xlfn.TEXTSPLIT(AM84,",",),0,1)+$A$18,$A$18))/4,0),ROUNDUP(IF(MOD(AM$18+INDEX(_xlfn.TEXTSPLIT(AM84,",",),0,2)+$A$18,$A$18)=0,$A$18,MOD(AM$18+INDEX(_xlfn.TEXTSPLIT(AM84,",",),0,2)+$A$18,$A$18))/4,0)))+(INDEX($AD$2:$AK$9,ROUNDUP(IF(MOD($A29+INDEX(_xlfn.TEXTSPLIT(AM127,",",),0,1)+$A$18,$A$18)=0,$A$18,MOD($A29+INDEX(_xlfn.TEXTSPLIT(AM127,",",),0,1)+$A$18,$A$18))/5,0),ROUNDUP(IF(MOD(AM$18+INDEX(_xlfn.TEXTSPLIT(AM127,",",),0,2)+$A$18,$A$18)=0,$A$18,MOD(AM$18+INDEX(_xlfn.TEXTSPLIT(AM127,",",),0,2)+$A$18,$A$18))/5,0)))</f>
        <v>5</v>
      </c>
      <c r="AN29" s="1" cm="1">
        <f t="array" aca="1" ref="AN29" ca="1">(INDEX($K$2:$T$11,ROUNDUP(IF(MOD($A29+INDEX(_xlfn.TEXTSPLIT(AN84,",",),0,1)+$A$18,$A$18)=0,$A$18,MOD($A29+INDEX(_xlfn.TEXTSPLIT(AN84,",",),0,1)+$A$18,$A$18))/4,0),ROUNDUP(IF(MOD(AN$18+INDEX(_xlfn.TEXTSPLIT(AN84,",",),0,2)+$A$18,$A$18)=0,$A$18,MOD(AN$18+INDEX(_xlfn.TEXTSPLIT(AN84,",",),0,2)+$A$18,$A$18))/4,0)))+(INDEX($AD$2:$AK$9,ROUNDUP(IF(MOD($A29+INDEX(_xlfn.TEXTSPLIT(AN127,",",),0,1)+$A$18,$A$18)=0,$A$18,MOD($A29+INDEX(_xlfn.TEXTSPLIT(AN127,",",),0,1)+$A$18,$A$18))/5,0),ROUNDUP(IF(MOD(AN$18+INDEX(_xlfn.TEXTSPLIT(AN127,",",),0,2)+$A$18,$A$18)=0,$A$18,MOD(AN$18+INDEX(_xlfn.TEXTSPLIT(AN127,",",),0,2)+$A$18,$A$18))/5,0)))</f>
        <v>5</v>
      </c>
      <c r="AO29" s="1" cm="1">
        <f t="array" aca="1" ref="AO29" ca="1">(INDEX($K$2:$T$11,ROUNDUP(IF(MOD($A29+INDEX(_xlfn.TEXTSPLIT(AO84,",",),0,1)+$A$18,$A$18)=0,$A$18,MOD($A29+INDEX(_xlfn.TEXTSPLIT(AO84,",",),0,1)+$A$18,$A$18))/4,0),ROUNDUP(IF(MOD(AO$18+INDEX(_xlfn.TEXTSPLIT(AO84,",",),0,2)+$A$18,$A$18)=0,$A$18,MOD(AO$18+INDEX(_xlfn.TEXTSPLIT(AO84,",",),0,2)+$A$18,$A$18))/4,0)))+(INDEX($AD$2:$AK$9,ROUNDUP(IF(MOD($A29+INDEX(_xlfn.TEXTSPLIT(AO127,",",),0,1)+$A$18,$A$18)=0,$A$18,MOD($A29+INDEX(_xlfn.TEXTSPLIT(AO127,",",),0,1)+$A$18,$A$18))/5,0),ROUNDUP(IF(MOD(AO$18+INDEX(_xlfn.TEXTSPLIT(AO127,",",),0,2)+$A$18,$A$18)=0,$A$18,MOD(AO$18+INDEX(_xlfn.TEXTSPLIT(AO127,",",),0,2)+$A$18,$A$18))/5,0)))</f>
        <v>6</v>
      </c>
    </row>
    <row r="30" spans="1:41" ht="12.75">
      <c r="A30" s="1">
        <v>12</v>
      </c>
      <c r="B30" s="1" cm="1">
        <f t="array" aca="1" ref="B30" ca="1">(INDEX($K$2:$T$11,ROUNDUP(IF(MOD($A30+INDEX(_xlfn.TEXTSPLIT(B85,",",),0,1)+$A$18,$A$18)=0,$A$18,MOD($A30+INDEX(_xlfn.TEXTSPLIT(B85,",",),0,1)+$A$18,$A$18))/4,0),ROUNDUP(IF(MOD(B$18+INDEX(_xlfn.TEXTSPLIT(B85,",",),0,2)+$A$18,$A$18)=0,$A$18,MOD(B$18+INDEX(_xlfn.TEXTSPLIT(B85,",",),0,2)+$A$18,$A$18))/4,0)))+(INDEX($AD$2:$AK$9,ROUNDUP(IF(MOD($A30+INDEX(_xlfn.TEXTSPLIT(B128,",",),0,1)+$A$18,$A$18)=0,$A$18,MOD($A30+INDEX(_xlfn.TEXTSPLIT(B128,",",),0,1)+$A$18,$A$18))/5,0),ROUNDUP(IF(MOD(B$18+INDEX(_xlfn.TEXTSPLIT(B128,",",),0,2)+$A$18,$A$18)=0,$A$18,MOD(B$18+INDEX(_xlfn.TEXTSPLIT(B128,",",),0,2)+$A$18,$A$18))/5,0)))</f>
        <v>6</v>
      </c>
      <c r="C30" s="1" cm="1">
        <f t="array" aca="1" ref="C30" ca="1">(INDEX($K$2:$T$11,ROUNDUP(IF(MOD($A30+INDEX(_xlfn.TEXTSPLIT(C85,",",),0,1)+$A$18,$A$18)=0,$A$18,MOD($A30+INDEX(_xlfn.TEXTSPLIT(C85,",",),0,1)+$A$18,$A$18))/4,0),ROUNDUP(IF(MOD(C$18+INDEX(_xlfn.TEXTSPLIT(C85,",",),0,2)+$A$18,$A$18)=0,$A$18,MOD(C$18+INDEX(_xlfn.TEXTSPLIT(C85,",",),0,2)+$A$18,$A$18))/4,0)))+(INDEX($AD$2:$AK$9,ROUNDUP(IF(MOD($A30+INDEX(_xlfn.TEXTSPLIT(C128,",",),0,1)+$A$18,$A$18)=0,$A$18,MOD($A30+INDEX(_xlfn.TEXTSPLIT(C128,",",),0,1)+$A$18,$A$18))/5,0),ROUNDUP(IF(MOD(C$18+INDEX(_xlfn.TEXTSPLIT(C128,",",),0,2)+$A$18,$A$18)=0,$A$18,MOD(C$18+INDEX(_xlfn.TEXTSPLIT(C128,",",),0,2)+$A$18,$A$18))/5,0)))</f>
        <v>6</v>
      </c>
      <c r="D30" s="1" cm="1">
        <f t="array" aca="1" ref="D30" ca="1">(INDEX($K$2:$T$11,ROUNDUP(IF(MOD($A30+INDEX(_xlfn.TEXTSPLIT(D85,",",),0,1)+$A$18,$A$18)=0,$A$18,MOD($A30+INDEX(_xlfn.TEXTSPLIT(D85,",",),0,1)+$A$18,$A$18))/4,0),ROUNDUP(IF(MOD(D$18+INDEX(_xlfn.TEXTSPLIT(D85,",",),0,2)+$A$18,$A$18)=0,$A$18,MOD(D$18+INDEX(_xlfn.TEXTSPLIT(D85,",",),0,2)+$A$18,$A$18))/4,0)))+(INDEX($AD$2:$AK$9,ROUNDUP(IF(MOD($A30+INDEX(_xlfn.TEXTSPLIT(D128,",",),0,1)+$A$18,$A$18)=0,$A$18,MOD($A30+INDEX(_xlfn.TEXTSPLIT(D128,",",),0,1)+$A$18,$A$18))/5,0),ROUNDUP(IF(MOD(D$18+INDEX(_xlfn.TEXTSPLIT(D128,",",),0,2)+$A$18,$A$18)=0,$A$18,MOD(D$18+INDEX(_xlfn.TEXTSPLIT(D128,",",),0,2)+$A$18,$A$18))/5,0)))</f>
        <v>6</v>
      </c>
      <c r="E30" s="1" cm="1">
        <f t="array" aca="1" ref="E30" ca="1">(INDEX($K$2:$T$11,ROUNDUP(IF(MOD($A30+INDEX(_xlfn.TEXTSPLIT(E85,",",),0,1)+$A$18,$A$18)=0,$A$18,MOD($A30+INDEX(_xlfn.TEXTSPLIT(E85,",",),0,1)+$A$18,$A$18))/4,0),ROUNDUP(IF(MOD(E$18+INDEX(_xlfn.TEXTSPLIT(E85,",",),0,2)+$A$18,$A$18)=0,$A$18,MOD(E$18+INDEX(_xlfn.TEXTSPLIT(E85,",",),0,2)+$A$18,$A$18))/4,0)))+(INDEX($AD$2:$AK$9,ROUNDUP(IF(MOD($A30+INDEX(_xlfn.TEXTSPLIT(E128,",",),0,1)+$A$18,$A$18)=0,$A$18,MOD($A30+INDEX(_xlfn.TEXTSPLIT(E128,",",),0,1)+$A$18,$A$18))/5,0),ROUNDUP(IF(MOD(E$18+INDEX(_xlfn.TEXTSPLIT(E128,",",),0,2)+$A$18,$A$18)=0,$A$18,MOD(E$18+INDEX(_xlfn.TEXTSPLIT(E128,",",),0,2)+$A$18,$A$18))/5,0)))</f>
        <v>6</v>
      </c>
      <c r="F30" s="1" cm="1">
        <f t="array" aca="1" ref="F30" ca="1">(INDEX($K$2:$T$11,ROUNDUP(IF(MOD($A30+INDEX(_xlfn.TEXTSPLIT(F85,",",),0,1)+$A$18,$A$18)=0,$A$18,MOD($A30+INDEX(_xlfn.TEXTSPLIT(F85,",",),0,1)+$A$18,$A$18))/4,0),ROUNDUP(IF(MOD(F$18+INDEX(_xlfn.TEXTSPLIT(F85,",",),0,2)+$A$18,$A$18)=0,$A$18,MOD(F$18+INDEX(_xlfn.TEXTSPLIT(F85,",",),0,2)+$A$18,$A$18))/4,0)))+(INDEX($AD$2:$AK$9,ROUNDUP(IF(MOD($A30+INDEX(_xlfn.TEXTSPLIT(F128,",",),0,1)+$A$18,$A$18)=0,$A$18,MOD($A30+INDEX(_xlfn.TEXTSPLIT(F128,",",),0,1)+$A$18,$A$18))/5,0),ROUNDUP(IF(MOD(F$18+INDEX(_xlfn.TEXTSPLIT(F128,",",),0,2)+$A$18,$A$18)=0,$A$18,MOD(F$18+INDEX(_xlfn.TEXTSPLIT(F128,",",),0,2)+$A$18,$A$18))/5,0)))</f>
        <v>6</v>
      </c>
      <c r="G30" s="1" cm="1">
        <f t="array" aca="1" ref="G30" ca="1">(INDEX($K$2:$T$11,ROUNDUP(IF(MOD($A30+INDEX(_xlfn.TEXTSPLIT(G85,",",),0,1)+$A$18,$A$18)=0,$A$18,MOD($A30+INDEX(_xlfn.TEXTSPLIT(G85,",",),0,1)+$A$18,$A$18))/4,0),ROUNDUP(IF(MOD(G$18+INDEX(_xlfn.TEXTSPLIT(G85,",",),0,2)+$A$18,$A$18)=0,$A$18,MOD(G$18+INDEX(_xlfn.TEXTSPLIT(G85,",",),0,2)+$A$18,$A$18))/4,0)))+(INDEX($AD$2:$AK$9,ROUNDUP(IF(MOD($A30+INDEX(_xlfn.TEXTSPLIT(G128,",",),0,1)+$A$18,$A$18)=0,$A$18,MOD($A30+INDEX(_xlfn.TEXTSPLIT(G128,",",),0,1)+$A$18,$A$18))/5,0),ROUNDUP(IF(MOD(G$18+INDEX(_xlfn.TEXTSPLIT(G128,",",),0,2)+$A$18,$A$18)=0,$A$18,MOD(G$18+INDEX(_xlfn.TEXTSPLIT(G128,",",),0,2)+$A$18,$A$18))/5,0)))</f>
        <v>7</v>
      </c>
      <c r="H30" s="1" cm="1">
        <f t="array" aca="1" ref="H30" ca="1">(INDEX($K$2:$T$11,ROUNDUP(IF(MOD($A30+INDEX(_xlfn.TEXTSPLIT(H85,",",),0,1)+$A$18,$A$18)=0,$A$18,MOD($A30+INDEX(_xlfn.TEXTSPLIT(H85,",",),0,1)+$A$18,$A$18))/4,0),ROUNDUP(IF(MOD(H$18+INDEX(_xlfn.TEXTSPLIT(H85,",",),0,2)+$A$18,$A$18)=0,$A$18,MOD(H$18+INDEX(_xlfn.TEXTSPLIT(H85,",",),0,2)+$A$18,$A$18))/4,0)))+(INDEX($AD$2:$AK$9,ROUNDUP(IF(MOD($A30+INDEX(_xlfn.TEXTSPLIT(H128,",",),0,1)+$A$18,$A$18)=0,$A$18,MOD($A30+INDEX(_xlfn.TEXTSPLIT(H128,",",),0,1)+$A$18,$A$18))/5,0),ROUNDUP(IF(MOD(H$18+INDEX(_xlfn.TEXTSPLIT(H128,",",),0,2)+$A$18,$A$18)=0,$A$18,MOD(H$18+INDEX(_xlfn.TEXTSPLIT(H128,",",),0,2)+$A$18,$A$18))/5,0)))</f>
        <v>7</v>
      </c>
      <c r="I30" s="1" cm="1">
        <f t="array" aca="1" ref="I30" ca="1">(INDEX($K$2:$T$11,ROUNDUP(IF(MOD($A30+INDEX(_xlfn.TEXTSPLIT(I85,",",),0,1)+$A$18,$A$18)=0,$A$18,MOD($A30+INDEX(_xlfn.TEXTSPLIT(I85,",",),0,1)+$A$18,$A$18))/4,0),ROUNDUP(IF(MOD(I$18+INDEX(_xlfn.TEXTSPLIT(I85,",",),0,2)+$A$18,$A$18)=0,$A$18,MOD(I$18+INDEX(_xlfn.TEXTSPLIT(I85,",",),0,2)+$A$18,$A$18))/4,0)))+(INDEX($AD$2:$AK$9,ROUNDUP(IF(MOD($A30+INDEX(_xlfn.TEXTSPLIT(I128,",",),0,1)+$A$18,$A$18)=0,$A$18,MOD($A30+INDEX(_xlfn.TEXTSPLIT(I128,",",),0,1)+$A$18,$A$18))/5,0),ROUNDUP(IF(MOD(I$18+INDEX(_xlfn.TEXTSPLIT(I128,",",),0,2)+$A$18,$A$18)=0,$A$18,MOD(I$18+INDEX(_xlfn.TEXTSPLIT(I128,",",),0,2)+$A$18,$A$18))/5,0)))</f>
        <v>7</v>
      </c>
      <c r="J30" s="1" cm="1">
        <f t="array" aca="1" ref="J30" ca="1">(INDEX($K$2:$T$11,ROUNDUP(IF(MOD($A30+INDEX(_xlfn.TEXTSPLIT(J85,",",),0,1)+$A$18,$A$18)=0,$A$18,MOD($A30+INDEX(_xlfn.TEXTSPLIT(J85,",",),0,1)+$A$18,$A$18))/4,0),ROUNDUP(IF(MOD(J$18+INDEX(_xlfn.TEXTSPLIT(J85,",",),0,2)+$A$18,$A$18)=0,$A$18,MOD(J$18+INDEX(_xlfn.TEXTSPLIT(J85,",",),0,2)+$A$18,$A$18))/4,0)))+(INDEX($AD$2:$AK$9,ROUNDUP(IF(MOD($A30+INDEX(_xlfn.TEXTSPLIT(J128,",",),0,1)+$A$18,$A$18)=0,$A$18,MOD($A30+INDEX(_xlfn.TEXTSPLIT(J128,",",),0,1)+$A$18,$A$18))/5,0),ROUNDUP(IF(MOD(J$18+INDEX(_xlfn.TEXTSPLIT(J128,",",),0,2)+$A$18,$A$18)=0,$A$18,MOD(J$18+INDEX(_xlfn.TEXTSPLIT(J128,",",),0,2)+$A$18,$A$18))/5,0)))</f>
        <v>7</v>
      </c>
      <c r="K30" s="1" cm="1">
        <f t="array" aca="1" ref="K30" ca="1">(INDEX($K$2:$T$11,ROUNDUP(IF(MOD($A30+INDEX(_xlfn.TEXTSPLIT(K85,",",),0,1)+$A$18,$A$18)=0,$A$18,MOD($A30+INDEX(_xlfn.TEXTSPLIT(K85,",",),0,1)+$A$18,$A$18))/4,0),ROUNDUP(IF(MOD(K$18+INDEX(_xlfn.TEXTSPLIT(K85,",",),0,2)+$A$18,$A$18)=0,$A$18,MOD(K$18+INDEX(_xlfn.TEXTSPLIT(K85,",",),0,2)+$A$18,$A$18))/4,0)))+(INDEX($AD$2:$AK$9,ROUNDUP(IF(MOD($A30+INDEX(_xlfn.TEXTSPLIT(K128,",",),0,1)+$A$18,$A$18)=0,$A$18,MOD($A30+INDEX(_xlfn.TEXTSPLIT(K128,",",),0,1)+$A$18,$A$18))/5,0),ROUNDUP(IF(MOD(K$18+INDEX(_xlfn.TEXTSPLIT(K128,",",),0,2)+$A$18,$A$18)=0,$A$18,MOD(K$18+INDEX(_xlfn.TEXTSPLIT(K128,",",),0,2)+$A$18,$A$18))/5,0)))</f>
        <v>7</v>
      </c>
      <c r="L30" s="1" cm="1">
        <f t="array" aca="1" ref="L30" ca="1">(INDEX($K$2:$T$11,ROUNDUP(IF(MOD($A30+INDEX(_xlfn.TEXTSPLIT(L85,",",),0,1)+$A$18,$A$18)=0,$A$18,MOD($A30+INDEX(_xlfn.TEXTSPLIT(L85,",",),0,1)+$A$18,$A$18))/4,0),ROUNDUP(IF(MOD(L$18+INDEX(_xlfn.TEXTSPLIT(L85,",",),0,2)+$A$18,$A$18)=0,$A$18,MOD(L$18+INDEX(_xlfn.TEXTSPLIT(L85,",",),0,2)+$A$18,$A$18))/4,0)))+(INDEX($AD$2:$AK$9,ROUNDUP(IF(MOD($A30+INDEX(_xlfn.TEXTSPLIT(L128,",",),0,1)+$A$18,$A$18)=0,$A$18,MOD($A30+INDEX(_xlfn.TEXTSPLIT(L128,",",),0,1)+$A$18,$A$18))/5,0),ROUNDUP(IF(MOD(L$18+INDEX(_xlfn.TEXTSPLIT(L128,",",),0,2)+$A$18,$A$18)=0,$A$18,MOD(L$18+INDEX(_xlfn.TEXTSPLIT(L128,",",),0,2)+$A$18,$A$18))/5,0)))</f>
        <v>7</v>
      </c>
      <c r="M30" s="1" cm="1">
        <f t="array" aca="1" ref="M30" ca="1">(INDEX($K$2:$T$11,ROUNDUP(IF(MOD($A30+INDEX(_xlfn.TEXTSPLIT(M85,",",),0,1)+$A$18,$A$18)=0,$A$18,MOD($A30+INDEX(_xlfn.TEXTSPLIT(M85,",",),0,1)+$A$18,$A$18))/4,0),ROUNDUP(IF(MOD(M$18+INDEX(_xlfn.TEXTSPLIT(M85,",",),0,2)+$A$18,$A$18)=0,$A$18,MOD(M$18+INDEX(_xlfn.TEXTSPLIT(M85,",",),0,2)+$A$18,$A$18))/4,0)))+(INDEX($AD$2:$AK$9,ROUNDUP(IF(MOD($A30+INDEX(_xlfn.TEXTSPLIT(M128,",",),0,1)+$A$18,$A$18)=0,$A$18,MOD($A30+INDEX(_xlfn.TEXTSPLIT(M128,",",),0,1)+$A$18,$A$18))/5,0),ROUNDUP(IF(MOD(M$18+INDEX(_xlfn.TEXTSPLIT(M128,",",),0,2)+$A$18,$A$18)=0,$A$18,MOD(M$18+INDEX(_xlfn.TEXTSPLIT(M128,",",),0,2)+$A$18,$A$18))/5,0)))</f>
        <v>7</v>
      </c>
      <c r="N30" s="1" cm="1">
        <f t="array" aca="1" ref="N30" ca="1">(INDEX($K$2:$T$11,ROUNDUP(IF(MOD($A30+INDEX(_xlfn.TEXTSPLIT(N85,",",),0,1)+$A$18,$A$18)=0,$A$18,MOD($A30+INDEX(_xlfn.TEXTSPLIT(N85,",",),0,1)+$A$18,$A$18))/4,0),ROUNDUP(IF(MOD(N$18+INDEX(_xlfn.TEXTSPLIT(N85,",",),0,2)+$A$18,$A$18)=0,$A$18,MOD(N$18+INDEX(_xlfn.TEXTSPLIT(N85,",",),0,2)+$A$18,$A$18))/4,0)))+(INDEX($AD$2:$AK$9,ROUNDUP(IF(MOD($A30+INDEX(_xlfn.TEXTSPLIT(N128,",",),0,1)+$A$18,$A$18)=0,$A$18,MOD($A30+INDEX(_xlfn.TEXTSPLIT(N128,",",),0,1)+$A$18,$A$18))/5,0),ROUNDUP(IF(MOD(N$18+INDEX(_xlfn.TEXTSPLIT(N128,",",),0,2)+$A$18,$A$18)=0,$A$18,MOD(N$18+INDEX(_xlfn.TEXTSPLIT(N128,",",),0,2)+$A$18,$A$18))/5,0)))</f>
        <v>7</v>
      </c>
      <c r="O30" s="1" cm="1">
        <f t="array" aca="1" ref="O30" ca="1">(INDEX($K$2:$T$11,ROUNDUP(IF(MOD($A30+INDEX(_xlfn.TEXTSPLIT(O85,",",),0,1)+$A$18,$A$18)=0,$A$18,MOD($A30+INDEX(_xlfn.TEXTSPLIT(O85,",",),0,1)+$A$18,$A$18))/4,0),ROUNDUP(IF(MOD(O$18+INDEX(_xlfn.TEXTSPLIT(O85,",",),0,2)+$A$18,$A$18)=0,$A$18,MOD(O$18+INDEX(_xlfn.TEXTSPLIT(O85,",",),0,2)+$A$18,$A$18))/4,0)))+(INDEX($AD$2:$AK$9,ROUNDUP(IF(MOD($A30+INDEX(_xlfn.TEXTSPLIT(O128,",",),0,1)+$A$18,$A$18)=0,$A$18,MOD($A30+INDEX(_xlfn.TEXTSPLIT(O128,",",),0,1)+$A$18,$A$18))/5,0),ROUNDUP(IF(MOD(O$18+INDEX(_xlfn.TEXTSPLIT(O128,",",),0,2)+$A$18,$A$18)=0,$A$18,MOD(O$18+INDEX(_xlfn.TEXTSPLIT(O128,",",),0,2)+$A$18,$A$18))/5,0)))</f>
        <v>7</v>
      </c>
      <c r="P30" s="1" cm="1">
        <f t="array" aca="1" ref="P30" ca="1">(INDEX($K$2:$T$11,ROUNDUP(IF(MOD($A30+INDEX(_xlfn.TEXTSPLIT(P85,",",),0,1)+$A$18,$A$18)=0,$A$18,MOD($A30+INDEX(_xlfn.TEXTSPLIT(P85,",",),0,1)+$A$18,$A$18))/4,0),ROUNDUP(IF(MOD(P$18+INDEX(_xlfn.TEXTSPLIT(P85,",",),0,2)+$A$18,$A$18)=0,$A$18,MOD(P$18+INDEX(_xlfn.TEXTSPLIT(P85,",",),0,2)+$A$18,$A$18))/4,0)))+(INDEX($AD$2:$AK$9,ROUNDUP(IF(MOD($A30+INDEX(_xlfn.TEXTSPLIT(P128,",",),0,1)+$A$18,$A$18)=0,$A$18,MOD($A30+INDEX(_xlfn.TEXTSPLIT(P128,",",),0,1)+$A$18,$A$18))/5,0),ROUNDUP(IF(MOD(P$18+INDEX(_xlfn.TEXTSPLIT(P128,",",),0,2)+$A$18,$A$18)=0,$A$18,MOD(P$18+INDEX(_xlfn.TEXTSPLIT(P128,",",),0,2)+$A$18,$A$18))/5,0)))</f>
        <v>5</v>
      </c>
      <c r="Q30" s="1" cm="1">
        <f t="array" aca="1" ref="Q30" ca="1">(INDEX($K$2:$T$11,ROUNDUP(IF(MOD($A30+INDEX(_xlfn.TEXTSPLIT(Q85,",",),0,1)+$A$18,$A$18)=0,$A$18,MOD($A30+INDEX(_xlfn.TEXTSPLIT(Q85,",",),0,1)+$A$18,$A$18))/4,0),ROUNDUP(IF(MOD(Q$18+INDEX(_xlfn.TEXTSPLIT(Q85,",",),0,2)+$A$18,$A$18)=0,$A$18,MOD(Q$18+INDEX(_xlfn.TEXTSPLIT(Q85,",",),0,2)+$A$18,$A$18))/4,0)))+(INDEX($AD$2:$AK$9,ROUNDUP(IF(MOD($A30+INDEX(_xlfn.TEXTSPLIT(Q128,",",),0,1)+$A$18,$A$18)=0,$A$18,MOD($A30+INDEX(_xlfn.TEXTSPLIT(Q128,",",),0,1)+$A$18,$A$18))/5,0),ROUNDUP(IF(MOD(Q$18+INDEX(_xlfn.TEXTSPLIT(Q128,",",),0,2)+$A$18,$A$18)=0,$A$18,MOD(Q$18+INDEX(_xlfn.TEXTSPLIT(Q128,",",),0,2)+$A$18,$A$18))/5,0)))</f>
        <v>1</v>
      </c>
      <c r="R30" s="1" cm="1">
        <f t="array" aca="1" ref="R30" ca="1">(INDEX($K$2:$T$11,ROUNDUP(IF(MOD($A30+INDEX(_xlfn.TEXTSPLIT(R85,",",),0,1)+$A$18,$A$18)=0,$A$18,MOD($A30+INDEX(_xlfn.TEXTSPLIT(R85,",",),0,1)+$A$18,$A$18))/4,0),ROUNDUP(IF(MOD(R$18+INDEX(_xlfn.TEXTSPLIT(R85,",",),0,2)+$A$18,$A$18)=0,$A$18,MOD(R$18+INDEX(_xlfn.TEXTSPLIT(R85,",",),0,2)+$A$18,$A$18))/4,0)))+(INDEX($AD$2:$AK$9,ROUNDUP(IF(MOD($A30+INDEX(_xlfn.TEXTSPLIT(R128,",",),0,1)+$A$18,$A$18)=0,$A$18,MOD($A30+INDEX(_xlfn.TEXTSPLIT(R128,",",),0,1)+$A$18,$A$18))/5,0),ROUNDUP(IF(MOD(R$18+INDEX(_xlfn.TEXTSPLIT(R128,",",),0,2)+$A$18,$A$18)=0,$A$18,MOD(R$18+INDEX(_xlfn.TEXTSPLIT(R128,",",),0,2)+$A$18,$A$18))/5,0)))</f>
        <v>5</v>
      </c>
      <c r="S30" s="1" cm="1">
        <f t="array" aca="1" ref="S30" ca="1">(INDEX($K$2:$T$11,ROUNDUP(IF(MOD($A30+INDEX(_xlfn.TEXTSPLIT(S85,",",),0,1)+$A$18,$A$18)=0,$A$18,MOD($A30+INDEX(_xlfn.TEXTSPLIT(S85,",",),0,1)+$A$18,$A$18))/4,0),ROUNDUP(IF(MOD(S$18+INDEX(_xlfn.TEXTSPLIT(S85,",",),0,2)+$A$18,$A$18)=0,$A$18,MOD(S$18+INDEX(_xlfn.TEXTSPLIT(S85,",",),0,2)+$A$18,$A$18))/4,0)))+(INDEX($AD$2:$AK$9,ROUNDUP(IF(MOD($A30+INDEX(_xlfn.TEXTSPLIT(S128,",",),0,1)+$A$18,$A$18)=0,$A$18,MOD($A30+INDEX(_xlfn.TEXTSPLIT(S128,",",),0,1)+$A$18,$A$18))/5,0),ROUNDUP(IF(MOD(S$18+INDEX(_xlfn.TEXTSPLIT(S128,",",),0,2)+$A$18,$A$18)=0,$A$18,MOD(S$18+INDEX(_xlfn.TEXTSPLIT(S128,",",),0,2)+$A$18,$A$18))/5,0)))</f>
        <v>5</v>
      </c>
      <c r="T30" s="1" cm="1">
        <f t="array" aca="1" ref="T30" ca="1">(INDEX($K$2:$T$11,ROUNDUP(IF(MOD($A30+INDEX(_xlfn.TEXTSPLIT(T85,",",),0,1)+$A$18,$A$18)=0,$A$18,MOD($A30+INDEX(_xlfn.TEXTSPLIT(T85,",",),0,1)+$A$18,$A$18))/4,0),ROUNDUP(IF(MOD(T$18+INDEX(_xlfn.TEXTSPLIT(T85,",",),0,2)+$A$18,$A$18)=0,$A$18,MOD(T$18+INDEX(_xlfn.TEXTSPLIT(T85,",",),0,2)+$A$18,$A$18))/4,0)))+(INDEX($AD$2:$AK$9,ROUNDUP(IF(MOD($A30+INDEX(_xlfn.TEXTSPLIT(T128,",",),0,1)+$A$18,$A$18)=0,$A$18,MOD($A30+INDEX(_xlfn.TEXTSPLIT(T128,",",),0,1)+$A$18,$A$18))/5,0),ROUNDUP(IF(MOD(T$18+INDEX(_xlfn.TEXTSPLIT(T128,",",),0,2)+$A$18,$A$18)=0,$A$18,MOD(T$18+INDEX(_xlfn.TEXTSPLIT(T128,",",),0,2)+$A$18,$A$18))/5,0)))</f>
        <v>5</v>
      </c>
      <c r="U30" s="1" cm="1">
        <f t="array" aca="1" ref="U30" ca="1">(INDEX($K$2:$T$11,ROUNDUP(IF(MOD($A30+INDEX(_xlfn.TEXTSPLIT(U85,",",),0,1)+$A$18,$A$18)=0,$A$18,MOD($A30+INDEX(_xlfn.TEXTSPLIT(U85,",",),0,1)+$A$18,$A$18))/4,0),ROUNDUP(IF(MOD(U$18+INDEX(_xlfn.TEXTSPLIT(U85,",",),0,2)+$A$18,$A$18)=0,$A$18,MOD(U$18+INDEX(_xlfn.TEXTSPLIT(U85,",",),0,2)+$A$18,$A$18))/4,0)))+(INDEX($AD$2:$AK$9,ROUNDUP(IF(MOD($A30+INDEX(_xlfn.TEXTSPLIT(U128,",",),0,1)+$A$18,$A$18)=0,$A$18,MOD($A30+INDEX(_xlfn.TEXTSPLIT(U128,",",),0,1)+$A$18,$A$18))/5,0),ROUNDUP(IF(MOD(U$18+INDEX(_xlfn.TEXTSPLIT(U128,",",),0,2)+$A$18,$A$18)=0,$A$18,MOD(U$18+INDEX(_xlfn.TEXTSPLIT(U128,",",),0,2)+$A$18,$A$18))/5,0)))</f>
        <v>5</v>
      </c>
      <c r="V30" s="1" cm="1">
        <f t="array" aca="1" ref="V30" ca="1">(INDEX($K$2:$T$11,ROUNDUP(IF(MOD($A30+INDEX(_xlfn.TEXTSPLIT(V85,",",),0,1)+$A$18,$A$18)=0,$A$18,MOD($A30+INDEX(_xlfn.TEXTSPLIT(V85,",",),0,1)+$A$18,$A$18))/4,0),ROUNDUP(IF(MOD(V$18+INDEX(_xlfn.TEXTSPLIT(V85,",",),0,2)+$A$18,$A$18)=0,$A$18,MOD(V$18+INDEX(_xlfn.TEXTSPLIT(V85,",",),0,2)+$A$18,$A$18))/4,0)))+(INDEX($AD$2:$AK$9,ROUNDUP(IF(MOD($A30+INDEX(_xlfn.TEXTSPLIT(V128,",",),0,1)+$A$18,$A$18)=0,$A$18,MOD($A30+INDEX(_xlfn.TEXTSPLIT(V128,",",),0,1)+$A$18,$A$18))/5,0),ROUNDUP(IF(MOD(V$18+INDEX(_xlfn.TEXTSPLIT(V128,",",),0,2)+$A$18,$A$18)=0,$A$18,MOD(V$18+INDEX(_xlfn.TEXTSPLIT(V128,",",),0,2)+$A$18,$A$18))/5,0)))</f>
        <v>7</v>
      </c>
      <c r="W30" s="1" cm="1">
        <f t="array" aca="1" ref="W30" ca="1">(INDEX($K$2:$T$11,ROUNDUP(IF(MOD($A30+INDEX(_xlfn.TEXTSPLIT(W85,",",),0,1)+$A$18,$A$18)=0,$A$18,MOD($A30+INDEX(_xlfn.TEXTSPLIT(W85,",",),0,1)+$A$18,$A$18))/4,0),ROUNDUP(IF(MOD(W$18+INDEX(_xlfn.TEXTSPLIT(W85,",",),0,2)+$A$18,$A$18)=0,$A$18,MOD(W$18+INDEX(_xlfn.TEXTSPLIT(W85,",",),0,2)+$A$18,$A$18))/4,0)))+(INDEX($AD$2:$AK$9,ROUNDUP(IF(MOD($A30+INDEX(_xlfn.TEXTSPLIT(W128,",",),0,1)+$A$18,$A$18)=0,$A$18,MOD($A30+INDEX(_xlfn.TEXTSPLIT(W128,",",),0,1)+$A$18,$A$18))/5,0),ROUNDUP(IF(MOD(W$18+INDEX(_xlfn.TEXTSPLIT(W128,",",),0,2)+$A$18,$A$18)=0,$A$18,MOD(W$18+INDEX(_xlfn.TEXTSPLIT(W128,",",),0,2)+$A$18,$A$18))/5,0)))</f>
        <v>7</v>
      </c>
      <c r="X30" s="1" cm="1">
        <f t="array" aca="1" ref="X30" ca="1">(INDEX($K$2:$T$11,ROUNDUP(IF(MOD($A30+INDEX(_xlfn.TEXTSPLIT(X85,",",),0,1)+$A$18,$A$18)=0,$A$18,MOD($A30+INDEX(_xlfn.TEXTSPLIT(X85,",",),0,1)+$A$18,$A$18))/4,0),ROUNDUP(IF(MOD(X$18+INDEX(_xlfn.TEXTSPLIT(X85,",",),0,2)+$A$18,$A$18)=0,$A$18,MOD(X$18+INDEX(_xlfn.TEXTSPLIT(X85,",",),0,2)+$A$18,$A$18))/4,0)))+(INDEX($AD$2:$AK$9,ROUNDUP(IF(MOD($A30+INDEX(_xlfn.TEXTSPLIT(X128,",",),0,1)+$A$18,$A$18)=0,$A$18,MOD($A30+INDEX(_xlfn.TEXTSPLIT(X128,",",),0,1)+$A$18,$A$18))/5,0),ROUNDUP(IF(MOD(X$18+INDEX(_xlfn.TEXTSPLIT(X128,",",),0,2)+$A$18,$A$18)=0,$A$18,MOD(X$18+INDEX(_xlfn.TEXTSPLIT(X128,",",),0,2)+$A$18,$A$18))/5,0)))</f>
        <v>7</v>
      </c>
      <c r="Y30" s="1" cm="1">
        <f t="array" aca="1" ref="Y30" ca="1">(INDEX($K$2:$T$11,ROUNDUP(IF(MOD($A30+INDEX(_xlfn.TEXTSPLIT(Y85,",",),0,1)+$A$18,$A$18)=0,$A$18,MOD($A30+INDEX(_xlfn.TEXTSPLIT(Y85,",",),0,1)+$A$18,$A$18))/4,0),ROUNDUP(IF(MOD(Y$18+INDEX(_xlfn.TEXTSPLIT(Y85,",",),0,2)+$A$18,$A$18)=0,$A$18,MOD(Y$18+INDEX(_xlfn.TEXTSPLIT(Y85,",",),0,2)+$A$18,$A$18))/4,0)))+(INDEX($AD$2:$AK$9,ROUNDUP(IF(MOD($A30+INDEX(_xlfn.TEXTSPLIT(Y128,",",),0,1)+$A$18,$A$18)=0,$A$18,MOD($A30+INDEX(_xlfn.TEXTSPLIT(Y128,",",),0,1)+$A$18,$A$18))/5,0),ROUNDUP(IF(MOD(Y$18+INDEX(_xlfn.TEXTSPLIT(Y128,",",),0,2)+$A$18,$A$18)=0,$A$18,MOD(Y$18+INDEX(_xlfn.TEXTSPLIT(Y128,",",),0,2)+$A$18,$A$18))/5,0)))</f>
        <v>7</v>
      </c>
      <c r="Z30" s="1" cm="1">
        <f t="array" aca="1" ref="Z30" ca="1">(INDEX($K$2:$T$11,ROUNDUP(IF(MOD($A30+INDEX(_xlfn.TEXTSPLIT(Z85,",",),0,1)+$A$18,$A$18)=0,$A$18,MOD($A30+INDEX(_xlfn.TEXTSPLIT(Z85,",",),0,1)+$A$18,$A$18))/4,0),ROUNDUP(IF(MOD(Z$18+INDEX(_xlfn.TEXTSPLIT(Z85,",",),0,2)+$A$18,$A$18)=0,$A$18,MOD(Z$18+INDEX(_xlfn.TEXTSPLIT(Z85,",",),0,2)+$A$18,$A$18))/4,0)))+(INDEX($AD$2:$AK$9,ROUNDUP(IF(MOD($A30+INDEX(_xlfn.TEXTSPLIT(Z128,",",),0,1)+$A$18,$A$18)=0,$A$18,MOD($A30+INDEX(_xlfn.TEXTSPLIT(Z128,",",),0,1)+$A$18,$A$18))/5,0),ROUNDUP(IF(MOD(Z$18+INDEX(_xlfn.TEXTSPLIT(Z128,",",),0,2)+$A$18,$A$18)=0,$A$18,MOD(Z$18+INDEX(_xlfn.TEXTSPLIT(Z128,",",),0,2)+$A$18,$A$18))/5,0)))</f>
        <v>5</v>
      </c>
      <c r="AA30" s="1" cm="1">
        <f t="array" aca="1" ref="AA30" ca="1">(INDEX($K$2:$T$11,ROUNDUP(IF(MOD($A30+INDEX(_xlfn.TEXTSPLIT(AA85,",",),0,1)+$A$18,$A$18)=0,$A$18,MOD($A30+INDEX(_xlfn.TEXTSPLIT(AA85,",",),0,1)+$A$18,$A$18))/4,0),ROUNDUP(IF(MOD(AA$18+INDEX(_xlfn.TEXTSPLIT(AA85,",",),0,2)+$A$18,$A$18)=0,$A$18,MOD(AA$18+INDEX(_xlfn.TEXTSPLIT(AA85,",",),0,2)+$A$18,$A$18))/4,0)))+(INDEX($AD$2:$AK$9,ROUNDUP(IF(MOD($A30+INDEX(_xlfn.TEXTSPLIT(AA128,",",),0,1)+$A$18,$A$18)=0,$A$18,MOD($A30+INDEX(_xlfn.TEXTSPLIT(AA128,",",),0,1)+$A$18,$A$18))/5,0),ROUNDUP(IF(MOD(AA$18+INDEX(_xlfn.TEXTSPLIT(AA128,",",),0,2)+$A$18,$A$18)=0,$A$18,MOD(AA$18+INDEX(_xlfn.TEXTSPLIT(AA128,",",),0,2)+$A$18,$A$18))/5,0)))</f>
        <v>5</v>
      </c>
      <c r="AB30" s="1" cm="1">
        <f t="array" aca="1" ref="AB30" ca="1">(INDEX($K$2:$T$11,ROUNDUP(IF(MOD($A30+INDEX(_xlfn.TEXTSPLIT(AB85,",",),0,1)+$A$18,$A$18)=0,$A$18,MOD($A30+INDEX(_xlfn.TEXTSPLIT(AB85,",",),0,1)+$A$18,$A$18))/4,0),ROUNDUP(IF(MOD(AB$18+INDEX(_xlfn.TEXTSPLIT(AB85,",",),0,2)+$A$18,$A$18)=0,$A$18,MOD(AB$18+INDEX(_xlfn.TEXTSPLIT(AB85,",",),0,2)+$A$18,$A$18))/4,0)))+(INDEX($AD$2:$AK$9,ROUNDUP(IF(MOD($A30+INDEX(_xlfn.TEXTSPLIT(AB128,",",),0,1)+$A$18,$A$18)=0,$A$18,MOD($A30+INDEX(_xlfn.TEXTSPLIT(AB128,",",),0,1)+$A$18,$A$18))/5,0),ROUNDUP(IF(MOD(AB$18+INDEX(_xlfn.TEXTSPLIT(AB128,",",),0,2)+$A$18,$A$18)=0,$A$18,MOD(AB$18+INDEX(_xlfn.TEXTSPLIT(AB128,",",),0,2)+$A$18,$A$18))/5,0)))</f>
        <v>5</v>
      </c>
      <c r="AC30" s="1" cm="1">
        <f t="array" aca="1" ref="AC30" ca="1">(INDEX($K$2:$T$11,ROUNDUP(IF(MOD($A30+INDEX(_xlfn.TEXTSPLIT(AC85,",",),0,1)+$A$18,$A$18)=0,$A$18,MOD($A30+INDEX(_xlfn.TEXTSPLIT(AC85,",",),0,1)+$A$18,$A$18))/4,0),ROUNDUP(IF(MOD(AC$18+INDEX(_xlfn.TEXTSPLIT(AC85,",",),0,2)+$A$18,$A$18)=0,$A$18,MOD(AC$18+INDEX(_xlfn.TEXTSPLIT(AC85,",",),0,2)+$A$18,$A$18))/4,0)))+(INDEX($AD$2:$AK$9,ROUNDUP(IF(MOD($A30+INDEX(_xlfn.TEXTSPLIT(AC128,",",),0,1)+$A$18,$A$18)=0,$A$18,MOD($A30+INDEX(_xlfn.TEXTSPLIT(AC128,",",),0,1)+$A$18,$A$18))/5,0),ROUNDUP(IF(MOD(AC$18+INDEX(_xlfn.TEXTSPLIT(AC128,",",),0,2)+$A$18,$A$18)=0,$A$18,MOD(AC$18+INDEX(_xlfn.TEXTSPLIT(AC128,",",),0,2)+$A$18,$A$18))/5,0)))</f>
        <v>1</v>
      </c>
      <c r="AD30" s="1" cm="1">
        <f t="array" aca="1" ref="AD30" ca="1">(INDEX($K$2:$T$11,ROUNDUP(IF(MOD($A30+INDEX(_xlfn.TEXTSPLIT(AD85,",",),0,1)+$A$18,$A$18)=0,$A$18,MOD($A30+INDEX(_xlfn.TEXTSPLIT(AD85,",",),0,1)+$A$18,$A$18))/4,0),ROUNDUP(IF(MOD(AD$18+INDEX(_xlfn.TEXTSPLIT(AD85,",",),0,2)+$A$18,$A$18)=0,$A$18,MOD(AD$18+INDEX(_xlfn.TEXTSPLIT(AD85,",",),0,2)+$A$18,$A$18))/4,0)))+(INDEX($AD$2:$AK$9,ROUNDUP(IF(MOD($A30+INDEX(_xlfn.TEXTSPLIT(AD128,",",),0,1)+$A$18,$A$18)=0,$A$18,MOD($A30+INDEX(_xlfn.TEXTSPLIT(AD128,",",),0,1)+$A$18,$A$18))/5,0),ROUNDUP(IF(MOD(AD$18+INDEX(_xlfn.TEXTSPLIT(AD128,",",),0,2)+$A$18,$A$18)=0,$A$18,MOD(AD$18+INDEX(_xlfn.TEXTSPLIT(AD128,",",),0,2)+$A$18,$A$18))/5,0)))</f>
        <v>5</v>
      </c>
      <c r="AE30" s="1" cm="1">
        <f t="array" aca="1" ref="AE30" ca="1">(INDEX($K$2:$T$11,ROUNDUP(IF(MOD($A30+INDEX(_xlfn.TEXTSPLIT(AE85,",",),0,1)+$A$18,$A$18)=0,$A$18,MOD($A30+INDEX(_xlfn.TEXTSPLIT(AE85,",",),0,1)+$A$18,$A$18))/4,0),ROUNDUP(IF(MOD(AE$18+INDEX(_xlfn.TEXTSPLIT(AE85,",",),0,2)+$A$18,$A$18)=0,$A$18,MOD(AE$18+INDEX(_xlfn.TEXTSPLIT(AE85,",",),0,2)+$A$18,$A$18))/4,0)))+(INDEX($AD$2:$AK$9,ROUNDUP(IF(MOD($A30+INDEX(_xlfn.TEXTSPLIT(AE128,",",),0,1)+$A$18,$A$18)=0,$A$18,MOD($A30+INDEX(_xlfn.TEXTSPLIT(AE128,",",),0,1)+$A$18,$A$18))/5,0),ROUNDUP(IF(MOD(AE$18+INDEX(_xlfn.TEXTSPLIT(AE128,",",),0,2)+$A$18,$A$18)=0,$A$18,MOD(AE$18+INDEX(_xlfn.TEXTSPLIT(AE128,",",),0,2)+$A$18,$A$18))/5,0)))</f>
        <v>5</v>
      </c>
      <c r="AF30" s="1" cm="1">
        <f t="array" aca="1" ref="AF30" ca="1">(INDEX($K$2:$T$11,ROUNDUP(IF(MOD($A30+INDEX(_xlfn.TEXTSPLIT(AF85,",",),0,1)+$A$18,$A$18)=0,$A$18,MOD($A30+INDEX(_xlfn.TEXTSPLIT(AF85,",",),0,1)+$A$18,$A$18))/4,0),ROUNDUP(IF(MOD(AF$18+INDEX(_xlfn.TEXTSPLIT(AF85,",",),0,2)+$A$18,$A$18)=0,$A$18,MOD(AF$18+INDEX(_xlfn.TEXTSPLIT(AF85,",",),0,2)+$A$18,$A$18))/4,0)))+(INDEX($AD$2:$AK$9,ROUNDUP(IF(MOD($A30+INDEX(_xlfn.TEXTSPLIT(AF128,",",),0,1)+$A$18,$A$18)=0,$A$18,MOD($A30+INDEX(_xlfn.TEXTSPLIT(AF128,",",),0,1)+$A$18,$A$18))/5,0),ROUNDUP(IF(MOD(AF$18+INDEX(_xlfn.TEXTSPLIT(AF128,",",),0,2)+$A$18,$A$18)=0,$A$18,MOD(AF$18+INDEX(_xlfn.TEXTSPLIT(AF128,",",),0,2)+$A$18,$A$18))/5,0)))</f>
        <v>5</v>
      </c>
      <c r="AG30" s="1" cm="1">
        <f t="array" aca="1" ref="AG30" ca="1">(INDEX($K$2:$T$11,ROUNDUP(IF(MOD($A30+INDEX(_xlfn.TEXTSPLIT(AG85,",",),0,1)+$A$18,$A$18)=0,$A$18,MOD($A30+INDEX(_xlfn.TEXTSPLIT(AG85,",",),0,1)+$A$18,$A$18))/4,0),ROUNDUP(IF(MOD(AG$18+INDEX(_xlfn.TEXTSPLIT(AG85,",",),0,2)+$A$18,$A$18)=0,$A$18,MOD(AG$18+INDEX(_xlfn.TEXTSPLIT(AG85,",",),0,2)+$A$18,$A$18))/4,0)))+(INDEX($AD$2:$AK$9,ROUNDUP(IF(MOD($A30+INDEX(_xlfn.TEXTSPLIT(AG128,",",),0,1)+$A$18,$A$18)=0,$A$18,MOD($A30+INDEX(_xlfn.TEXTSPLIT(AG128,",",),0,1)+$A$18,$A$18))/5,0),ROUNDUP(IF(MOD(AG$18+INDEX(_xlfn.TEXTSPLIT(AG128,",",),0,2)+$A$18,$A$18)=0,$A$18,MOD(AG$18+INDEX(_xlfn.TEXTSPLIT(AG128,",",),0,2)+$A$18,$A$18))/5,0)))</f>
        <v>5</v>
      </c>
      <c r="AH30" s="1" cm="1">
        <f t="array" aca="1" ref="AH30" ca="1">(INDEX($K$2:$T$11,ROUNDUP(IF(MOD($A30+INDEX(_xlfn.TEXTSPLIT(AH85,",",),0,1)+$A$18,$A$18)=0,$A$18,MOD($A30+INDEX(_xlfn.TEXTSPLIT(AH85,",",),0,1)+$A$18,$A$18))/4,0),ROUNDUP(IF(MOD(AH$18+INDEX(_xlfn.TEXTSPLIT(AH85,",",),0,2)+$A$18,$A$18)=0,$A$18,MOD(AH$18+INDEX(_xlfn.TEXTSPLIT(AH85,",",),0,2)+$A$18,$A$18))/4,0)))+(INDEX($AD$2:$AK$9,ROUNDUP(IF(MOD($A30+INDEX(_xlfn.TEXTSPLIT(AH128,",",),0,1)+$A$18,$A$18)=0,$A$18,MOD($A30+INDEX(_xlfn.TEXTSPLIT(AH128,",",),0,1)+$A$18,$A$18))/5,0),ROUNDUP(IF(MOD(AH$18+INDEX(_xlfn.TEXTSPLIT(AH128,",",),0,2)+$A$18,$A$18)=0,$A$18,MOD(AH$18+INDEX(_xlfn.TEXTSPLIT(AH128,",",),0,2)+$A$18,$A$18))/5,0)))</f>
        <v>5</v>
      </c>
      <c r="AI30" s="1" cm="1">
        <f t="array" aca="1" ref="AI30" ca="1">(INDEX($K$2:$T$11,ROUNDUP(IF(MOD($A30+INDEX(_xlfn.TEXTSPLIT(AI85,",",),0,1)+$A$18,$A$18)=0,$A$18,MOD($A30+INDEX(_xlfn.TEXTSPLIT(AI85,",",),0,1)+$A$18,$A$18))/4,0),ROUNDUP(IF(MOD(AI$18+INDEX(_xlfn.TEXTSPLIT(AI85,",",),0,2)+$A$18,$A$18)=0,$A$18,MOD(AI$18+INDEX(_xlfn.TEXTSPLIT(AI85,",",),0,2)+$A$18,$A$18))/4,0)))+(INDEX($AD$2:$AK$9,ROUNDUP(IF(MOD($A30+INDEX(_xlfn.TEXTSPLIT(AI128,",",),0,1)+$A$18,$A$18)=0,$A$18,MOD($A30+INDEX(_xlfn.TEXTSPLIT(AI128,",",),0,1)+$A$18,$A$18))/5,0),ROUNDUP(IF(MOD(AI$18+INDEX(_xlfn.TEXTSPLIT(AI128,",",),0,2)+$A$18,$A$18)=0,$A$18,MOD(AI$18+INDEX(_xlfn.TEXTSPLIT(AI128,",",),0,2)+$A$18,$A$18))/5,0)))</f>
        <v>5</v>
      </c>
      <c r="AJ30" s="1" cm="1">
        <f t="array" aca="1" ref="AJ30" ca="1">(INDEX($K$2:$T$11,ROUNDUP(IF(MOD($A30+INDEX(_xlfn.TEXTSPLIT(AJ85,",",),0,1)+$A$18,$A$18)=0,$A$18,MOD($A30+INDEX(_xlfn.TEXTSPLIT(AJ85,",",),0,1)+$A$18,$A$18))/4,0),ROUNDUP(IF(MOD(AJ$18+INDEX(_xlfn.TEXTSPLIT(AJ85,",",),0,2)+$A$18,$A$18)=0,$A$18,MOD(AJ$18+INDEX(_xlfn.TEXTSPLIT(AJ85,",",),0,2)+$A$18,$A$18))/4,0)))+(INDEX($AD$2:$AK$9,ROUNDUP(IF(MOD($A30+INDEX(_xlfn.TEXTSPLIT(AJ128,",",),0,1)+$A$18,$A$18)=0,$A$18,MOD($A30+INDEX(_xlfn.TEXTSPLIT(AJ128,",",),0,1)+$A$18,$A$18))/5,0),ROUNDUP(IF(MOD(AJ$18+INDEX(_xlfn.TEXTSPLIT(AJ128,",",),0,2)+$A$18,$A$18)=0,$A$18,MOD(AJ$18+INDEX(_xlfn.TEXTSPLIT(AJ128,",",),0,2)+$A$18,$A$18))/5,0)))</f>
        <v>5</v>
      </c>
      <c r="AK30" s="1" cm="1">
        <f t="array" aca="1" ref="AK30" ca="1">(INDEX($K$2:$T$11,ROUNDUP(IF(MOD($A30+INDEX(_xlfn.TEXTSPLIT(AK85,",",),0,1)+$A$18,$A$18)=0,$A$18,MOD($A30+INDEX(_xlfn.TEXTSPLIT(AK85,",",),0,1)+$A$18,$A$18))/4,0),ROUNDUP(IF(MOD(AK$18+INDEX(_xlfn.TEXTSPLIT(AK85,",",),0,2)+$A$18,$A$18)=0,$A$18,MOD(AK$18+INDEX(_xlfn.TEXTSPLIT(AK85,",",),0,2)+$A$18,$A$18))/4,0)))+(INDEX($AD$2:$AK$9,ROUNDUP(IF(MOD($A30+INDEX(_xlfn.TEXTSPLIT(AK128,",",),0,1)+$A$18,$A$18)=0,$A$18,MOD($A30+INDEX(_xlfn.TEXTSPLIT(AK128,",",),0,1)+$A$18,$A$18))/5,0),ROUNDUP(IF(MOD(AK$18+INDEX(_xlfn.TEXTSPLIT(AK128,",",),0,2)+$A$18,$A$18)=0,$A$18,MOD(AK$18+INDEX(_xlfn.TEXTSPLIT(AK128,",",),0,2)+$A$18,$A$18))/5,0)))</f>
        <v>5</v>
      </c>
      <c r="AL30" s="1" cm="1">
        <f t="array" aca="1" ref="AL30" ca="1">(INDEX($K$2:$T$11,ROUNDUP(IF(MOD($A30+INDEX(_xlfn.TEXTSPLIT(AL85,",",),0,1)+$A$18,$A$18)=0,$A$18,MOD($A30+INDEX(_xlfn.TEXTSPLIT(AL85,",",),0,1)+$A$18,$A$18))/4,0),ROUNDUP(IF(MOD(AL$18+INDEX(_xlfn.TEXTSPLIT(AL85,",",),0,2)+$A$18,$A$18)=0,$A$18,MOD(AL$18+INDEX(_xlfn.TEXTSPLIT(AL85,",",),0,2)+$A$18,$A$18))/4,0)))+(INDEX($AD$2:$AK$9,ROUNDUP(IF(MOD($A30+INDEX(_xlfn.TEXTSPLIT(AL128,",",),0,1)+$A$18,$A$18)=0,$A$18,MOD($A30+INDEX(_xlfn.TEXTSPLIT(AL128,",",),0,1)+$A$18,$A$18))/5,0),ROUNDUP(IF(MOD(AL$18+INDEX(_xlfn.TEXTSPLIT(AL128,",",),0,2)+$A$18,$A$18)=0,$A$18,MOD(AL$18+INDEX(_xlfn.TEXTSPLIT(AL128,",",),0,2)+$A$18,$A$18))/5,0)))</f>
        <v>5</v>
      </c>
      <c r="AM30" s="1" cm="1">
        <f t="array" aca="1" ref="AM30" ca="1">(INDEX($K$2:$T$11,ROUNDUP(IF(MOD($A30+INDEX(_xlfn.TEXTSPLIT(AM85,",",),0,1)+$A$18,$A$18)=0,$A$18,MOD($A30+INDEX(_xlfn.TEXTSPLIT(AM85,",",),0,1)+$A$18,$A$18))/4,0),ROUNDUP(IF(MOD(AM$18+INDEX(_xlfn.TEXTSPLIT(AM85,",",),0,2)+$A$18,$A$18)=0,$A$18,MOD(AM$18+INDEX(_xlfn.TEXTSPLIT(AM85,",",),0,2)+$A$18,$A$18))/4,0)))+(INDEX($AD$2:$AK$9,ROUNDUP(IF(MOD($A30+INDEX(_xlfn.TEXTSPLIT(AM128,",",),0,1)+$A$18,$A$18)=0,$A$18,MOD($A30+INDEX(_xlfn.TEXTSPLIT(AM128,",",),0,1)+$A$18,$A$18))/5,0),ROUNDUP(IF(MOD(AM$18+INDEX(_xlfn.TEXTSPLIT(AM128,",",),0,2)+$A$18,$A$18)=0,$A$18,MOD(AM$18+INDEX(_xlfn.TEXTSPLIT(AM128,",",),0,2)+$A$18,$A$18))/5,0)))</f>
        <v>5</v>
      </c>
      <c r="AN30" s="1" cm="1">
        <f t="array" aca="1" ref="AN30" ca="1">(INDEX($K$2:$T$11,ROUNDUP(IF(MOD($A30+INDEX(_xlfn.TEXTSPLIT(AN85,",",),0,1)+$A$18,$A$18)=0,$A$18,MOD($A30+INDEX(_xlfn.TEXTSPLIT(AN85,",",),0,1)+$A$18,$A$18))/4,0),ROUNDUP(IF(MOD(AN$18+INDEX(_xlfn.TEXTSPLIT(AN85,",",),0,2)+$A$18,$A$18)=0,$A$18,MOD(AN$18+INDEX(_xlfn.TEXTSPLIT(AN85,",",),0,2)+$A$18,$A$18))/4,0)))+(INDEX($AD$2:$AK$9,ROUNDUP(IF(MOD($A30+INDEX(_xlfn.TEXTSPLIT(AN128,",",),0,1)+$A$18,$A$18)=0,$A$18,MOD($A30+INDEX(_xlfn.TEXTSPLIT(AN128,",",),0,1)+$A$18,$A$18))/5,0),ROUNDUP(IF(MOD(AN$18+INDEX(_xlfn.TEXTSPLIT(AN128,",",),0,2)+$A$18,$A$18)=0,$A$18,MOD(AN$18+INDEX(_xlfn.TEXTSPLIT(AN128,",",),0,2)+$A$18,$A$18))/5,0)))</f>
        <v>5</v>
      </c>
      <c r="AO30" s="1" cm="1">
        <f t="array" aca="1" ref="AO30" ca="1">(INDEX($K$2:$T$11,ROUNDUP(IF(MOD($A30+INDEX(_xlfn.TEXTSPLIT(AO85,",",),0,1)+$A$18,$A$18)=0,$A$18,MOD($A30+INDEX(_xlfn.TEXTSPLIT(AO85,",",),0,1)+$A$18,$A$18))/4,0),ROUNDUP(IF(MOD(AO$18+INDEX(_xlfn.TEXTSPLIT(AO85,",",),0,2)+$A$18,$A$18)=0,$A$18,MOD(AO$18+INDEX(_xlfn.TEXTSPLIT(AO85,",",),0,2)+$A$18,$A$18))/4,0)))+(INDEX($AD$2:$AK$9,ROUNDUP(IF(MOD($A30+INDEX(_xlfn.TEXTSPLIT(AO128,",",),0,1)+$A$18,$A$18)=0,$A$18,MOD($A30+INDEX(_xlfn.TEXTSPLIT(AO128,",",),0,1)+$A$18,$A$18))/5,0),ROUNDUP(IF(MOD(AO$18+INDEX(_xlfn.TEXTSPLIT(AO128,",",),0,2)+$A$18,$A$18)=0,$A$18,MOD(AO$18+INDEX(_xlfn.TEXTSPLIT(AO128,",",),0,2)+$A$18,$A$18))/5,0)))</f>
        <v>5</v>
      </c>
    </row>
    <row r="31" spans="1:41" ht="12.75">
      <c r="A31" s="1">
        <v>13</v>
      </c>
      <c r="B31" s="1" cm="1">
        <f t="array" aca="1" ref="B31" ca="1">(INDEX($K$2:$T$11,ROUNDUP(IF(MOD($A31+INDEX(_xlfn.TEXTSPLIT(B86,",",),0,1)+$A$18,$A$18)=0,$A$18,MOD($A31+INDEX(_xlfn.TEXTSPLIT(B86,",",),0,1)+$A$18,$A$18))/4,0),ROUNDUP(IF(MOD(B$18+INDEX(_xlfn.TEXTSPLIT(B86,",",),0,2)+$A$18,$A$18)=0,$A$18,MOD(B$18+INDEX(_xlfn.TEXTSPLIT(B86,",",),0,2)+$A$18,$A$18))/4,0)))+(INDEX($AD$2:$AK$9,ROUNDUP(IF(MOD($A31+INDEX(_xlfn.TEXTSPLIT(B129,",",),0,1)+$A$18,$A$18)=0,$A$18,MOD($A31+INDEX(_xlfn.TEXTSPLIT(B129,",",),0,1)+$A$18,$A$18))/5,0),ROUNDUP(IF(MOD(B$18+INDEX(_xlfn.TEXTSPLIT(B129,",",),0,2)+$A$18,$A$18)=0,$A$18,MOD(B$18+INDEX(_xlfn.TEXTSPLIT(B129,",",),0,2)+$A$18,$A$18))/5,0)))</f>
        <v>5</v>
      </c>
      <c r="C31" s="1" cm="1">
        <f t="array" aca="1" ref="C31" ca="1">(INDEX($K$2:$T$11,ROUNDUP(IF(MOD($A31+INDEX(_xlfn.TEXTSPLIT(C86,",",),0,1)+$A$18,$A$18)=0,$A$18,MOD($A31+INDEX(_xlfn.TEXTSPLIT(C86,",",),0,1)+$A$18,$A$18))/4,0),ROUNDUP(IF(MOD(C$18+INDEX(_xlfn.TEXTSPLIT(C86,",",),0,2)+$A$18,$A$18)=0,$A$18,MOD(C$18+INDEX(_xlfn.TEXTSPLIT(C86,",",),0,2)+$A$18,$A$18))/4,0)))+(INDEX($AD$2:$AK$9,ROUNDUP(IF(MOD($A31+INDEX(_xlfn.TEXTSPLIT(C129,",",),0,1)+$A$18,$A$18)=0,$A$18,MOD($A31+INDEX(_xlfn.TEXTSPLIT(C129,",",),0,1)+$A$18,$A$18))/5,0),ROUNDUP(IF(MOD(C$18+INDEX(_xlfn.TEXTSPLIT(C129,",",),0,2)+$A$18,$A$18)=0,$A$18,MOD(C$18+INDEX(_xlfn.TEXTSPLIT(C129,",",),0,2)+$A$18,$A$18))/5,0)))</f>
        <v>6</v>
      </c>
      <c r="D31" s="1" cm="1">
        <f t="array" aca="1" ref="D31" ca="1">(INDEX($K$2:$T$11,ROUNDUP(IF(MOD($A31+INDEX(_xlfn.TEXTSPLIT(D86,",",),0,1)+$A$18,$A$18)=0,$A$18,MOD($A31+INDEX(_xlfn.TEXTSPLIT(D86,",",),0,1)+$A$18,$A$18))/4,0),ROUNDUP(IF(MOD(D$18+INDEX(_xlfn.TEXTSPLIT(D86,",",),0,2)+$A$18,$A$18)=0,$A$18,MOD(D$18+INDEX(_xlfn.TEXTSPLIT(D86,",",),0,2)+$A$18,$A$18))/4,0)))+(INDEX($AD$2:$AK$9,ROUNDUP(IF(MOD($A31+INDEX(_xlfn.TEXTSPLIT(D129,",",),0,1)+$A$18,$A$18)=0,$A$18,MOD($A31+INDEX(_xlfn.TEXTSPLIT(D129,",",),0,1)+$A$18,$A$18))/5,0),ROUNDUP(IF(MOD(D$18+INDEX(_xlfn.TEXTSPLIT(D129,",",),0,2)+$A$18,$A$18)=0,$A$18,MOD(D$18+INDEX(_xlfn.TEXTSPLIT(D129,",",),0,2)+$A$18,$A$18))/5,0)))</f>
        <v>6</v>
      </c>
      <c r="E31" s="1" cm="1">
        <f t="array" aca="1" ref="E31" ca="1">(INDEX($K$2:$T$11,ROUNDUP(IF(MOD($A31+INDEX(_xlfn.TEXTSPLIT(E86,",",),0,1)+$A$18,$A$18)=0,$A$18,MOD($A31+INDEX(_xlfn.TEXTSPLIT(E86,",",),0,1)+$A$18,$A$18))/4,0),ROUNDUP(IF(MOD(E$18+INDEX(_xlfn.TEXTSPLIT(E86,",",),0,2)+$A$18,$A$18)=0,$A$18,MOD(E$18+INDEX(_xlfn.TEXTSPLIT(E86,",",),0,2)+$A$18,$A$18))/4,0)))+(INDEX($AD$2:$AK$9,ROUNDUP(IF(MOD($A31+INDEX(_xlfn.TEXTSPLIT(E129,",",),0,1)+$A$18,$A$18)=0,$A$18,MOD($A31+INDEX(_xlfn.TEXTSPLIT(E129,",",),0,1)+$A$18,$A$18))/5,0),ROUNDUP(IF(MOD(E$18+INDEX(_xlfn.TEXTSPLIT(E129,",",),0,2)+$A$18,$A$18)=0,$A$18,MOD(E$18+INDEX(_xlfn.TEXTSPLIT(E129,",",),0,2)+$A$18,$A$18))/5,0)))</f>
        <v>6</v>
      </c>
      <c r="F31" s="1" cm="1">
        <f t="array" aca="1" ref="F31" ca="1">(INDEX($K$2:$T$11,ROUNDUP(IF(MOD($A31+INDEX(_xlfn.TEXTSPLIT(F86,",",),0,1)+$A$18,$A$18)=0,$A$18,MOD($A31+INDEX(_xlfn.TEXTSPLIT(F86,",",),0,1)+$A$18,$A$18))/4,0),ROUNDUP(IF(MOD(F$18+INDEX(_xlfn.TEXTSPLIT(F86,",",),0,2)+$A$18,$A$18)=0,$A$18,MOD(F$18+INDEX(_xlfn.TEXTSPLIT(F86,",",),0,2)+$A$18,$A$18))/4,0)))+(INDEX($AD$2:$AK$9,ROUNDUP(IF(MOD($A31+INDEX(_xlfn.TEXTSPLIT(F129,",",),0,1)+$A$18,$A$18)=0,$A$18,MOD($A31+INDEX(_xlfn.TEXTSPLIT(F129,",",),0,1)+$A$18,$A$18))/5,0),ROUNDUP(IF(MOD(F$18+INDEX(_xlfn.TEXTSPLIT(F129,",",),0,2)+$A$18,$A$18)=0,$A$18,MOD(F$18+INDEX(_xlfn.TEXTSPLIT(F129,",",),0,2)+$A$18,$A$18))/5,0)))</f>
        <v>7</v>
      </c>
      <c r="G31" s="1" cm="1">
        <f t="array" aca="1" ref="G31" ca="1">(INDEX($K$2:$T$11,ROUNDUP(IF(MOD($A31+INDEX(_xlfn.TEXTSPLIT(G86,",",),0,1)+$A$18,$A$18)=0,$A$18,MOD($A31+INDEX(_xlfn.TEXTSPLIT(G86,",",),0,1)+$A$18,$A$18))/4,0),ROUNDUP(IF(MOD(G$18+INDEX(_xlfn.TEXTSPLIT(G86,",",),0,2)+$A$18,$A$18)=0,$A$18,MOD(G$18+INDEX(_xlfn.TEXTSPLIT(G86,",",),0,2)+$A$18,$A$18))/4,0)))+(INDEX($AD$2:$AK$9,ROUNDUP(IF(MOD($A31+INDEX(_xlfn.TEXTSPLIT(G129,",",),0,1)+$A$18,$A$18)=0,$A$18,MOD($A31+INDEX(_xlfn.TEXTSPLIT(G129,",",),0,1)+$A$18,$A$18))/5,0),ROUNDUP(IF(MOD(G$18+INDEX(_xlfn.TEXTSPLIT(G129,",",),0,2)+$A$18,$A$18)=0,$A$18,MOD(G$18+INDEX(_xlfn.TEXTSPLIT(G129,",",),0,2)+$A$18,$A$18))/5,0)))</f>
        <v>6</v>
      </c>
      <c r="H31" s="1" cm="1">
        <f t="array" aca="1" ref="H31" ca="1">(INDEX($K$2:$T$11,ROUNDUP(IF(MOD($A31+INDEX(_xlfn.TEXTSPLIT(H86,",",),0,1)+$A$18,$A$18)=0,$A$18,MOD($A31+INDEX(_xlfn.TEXTSPLIT(H86,",",),0,1)+$A$18,$A$18))/4,0),ROUNDUP(IF(MOD(H$18+INDEX(_xlfn.TEXTSPLIT(H86,",",),0,2)+$A$18,$A$18)=0,$A$18,MOD(H$18+INDEX(_xlfn.TEXTSPLIT(H86,",",),0,2)+$A$18,$A$18))/4,0)))+(INDEX($AD$2:$AK$9,ROUNDUP(IF(MOD($A31+INDEX(_xlfn.TEXTSPLIT(H129,",",),0,1)+$A$18,$A$18)=0,$A$18,MOD($A31+INDEX(_xlfn.TEXTSPLIT(H129,",",),0,1)+$A$18,$A$18))/5,0),ROUNDUP(IF(MOD(H$18+INDEX(_xlfn.TEXTSPLIT(H129,",",),0,2)+$A$18,$A$18)=0,$A$18,MOD(H$18+INDEX(_xlfn.TEXTSPLIT(H129,",",),0,2)+$A$18,$A$18))/5,0)))</f>
        <v>7</v>
      </c>
      <c r="I31" s="1" cm="1">
        <f t="array" aca="1" ref="I31" ca="1">(INDEX($K$2:$T$11,ROUNDUP(IF(MOD($A31+INDEX(_xlfn.TEXTSPLIT(I86,",",),0,1)+$A$18,$A$18)=0,$A$18,MOD($A31+INDEX(_xlfn.TEXTSPLIT(I86,",",),0,1)+$A$18,$A$18))/4,0),ROUNDUP(IF(MOD(I$18+INDEX(_xlfn.TEXTSPLIT(I86,",",),0,2)+$A$18,$A$18)=0,$A$18,MOD(I$18+INDEX(_xlfn.TEXTSPLIT(I86,",",),0,2)+$A$18,$A$18))/4,0)))+(INDEX($AD$2:$AK$9,ROUNDUP(IF(MOD($A31+INDEX(_xlfn.TEXTSPLIT(I129,",",),0,1)+$A$18,$A$18)=0,$A$18,MOD($A31+INDEX(_xlfn.TEXTSPLIT(I129,",",),0,1)+$A$18,$A$18))/5,0),ROUNDUP(IF(MOD(I$18+INDEX(_xlfn.TEXTSPLIT(I129,",",),0,2)+$A$18,$A$18)=0,$A$18,MOD(I$18+INDEX(_xlfn.TEXTSPLIT(I129,",",),0,2)+$A$18,$A$18))/5,0)))</f>
        <v>7</v>
      </c>
      <c r="J31" s="1" cm="1">
        <f t="array" aca="1" ref="J31" ca="1">(INDEX($K$2:$T$11,ROUNDUP(IF(MOD($A31+INDEX(_xlfn.TEXTSPLIT(J86,",",),0,1)+$A$18,$A$18)=0,$A$18,MOD($A31+INDEX(_xlfn.TEXTSPLIT(J86,",",),0,1)+$A$18,$A$18))/4,0),ROUNDUP(IF(MOD(J$18+INDEX(_xlfn.TEXTSPLIT(J86,",",),0,2)+$A$18,$A$18)=0,$A$18,MOD(J$18+INDEX(_xlfn.TEXTSPLIT(J86,",",),0,2)+$A$18,$A$18))/4,0)))+(INDEX($AD$2:$AK$9,ROUNDUP(IF(MOD($A31+INDEX(_xlfn.TEXTSPLIT(J129,",",),0,1)+$A$18,$A$18)=0,$A$18,MOD($A31+INDEX(_xlfn.TEXTSPLIT(J129,",",),0,1)+$A$18,$A$18))/5,0),ROUNDUP(IF(MOD(J$18+INDEX(_xlfn.TEXTSPLIT(J129,",",),0,2)+$A$18,$A$18)=0,$A$18,MOD(J$18+INDEX(_xlfn.TEXTSPLIT(J129,",",),0,2)+$A$18,$A$18))/5,0)))</f>
        <v>7</v>
      </c>
      <c r="K31" s="1" cm="1">
        <f t="array" aca="1" ref="K31" ca="1">(INDEX($K$2:$T$11,ROUNDUP(IF(MOD($A31+INDEX(_xlfn.TEXTSPLIT(K86,",",),0,1)+$A$18,$A$18)=0,$A$18,MOD($A31+INDEX(_xlfn.TEXTSPLIT(K86,",",),0,1)+$A$18,$A$18))/4,0),ROUNDUP(IF(MOD(K$18+INDEX(_xlfn.TEXTSPLIT(K86,",",),0,2)+$A$18,$A$18)=0,$A$18,MOD(K$18+INDEX(_xlfn.TEXTSPLIT(K86,",",),0,2)+$A$18,$A$18))/4,0)))+(INDEX($AD$2:$AK$9,ROUNDUP(IF(MOD($A31+INDEX(_xlfn.TEXTSPLIT(K129,",",),0,1)+$A$18,$A$18)=0,$A$18,MOD($A31+INDEX(_xlfn.TEXTSPLIT(K129,",",),0,1)+$A$18,$A$18))/5,0),ROUNDUP(IF(MOD(K$18+INDEX(_xlfn.TEXTSPLIT(K129,",",),0,2)+$A$18,$A$18)=0,$A$18,MOD(K$18+INDEX(_xlfn.TEXTSPLIT(K129,",",),0,2)+$A$18,$A$18))/5,0)))</f>
        <v>7</v>
      </c>
      <c r="L31" s="1" cm="1">
        <f t="array" aca="1" ref="L31" ca="1">(INDEX($K$2:$T$11,ROUNDUP(IF(MOD($A31+INDEX(_xlfn.TEXTSPLIT(L86,",",),0,1)+$A$18,$A$18)=0,$A$18,MOD($A31+INDEX(_xlfn.TEXTSPLIT(L86,",",),0,1)+$A$18,$A$18))/4,0),ROUNDUP(IF(MOD(L$18+INDEX(_xlfn.TEXTSPLIT(L86,",",),0,2)+$A$18,$A$18)=0,$A$18,MOD(L$18+INDEX(_xlfn.TEXTSPLIT(L86,",",),0,2)+$A$18,$A$18))/4,0)))+(INDEX($AD$2:$AK$9,ROUNDUP(IF(MOD($A31+INDEX(_xlfn.TEXTSPLIT(L129,",",),0,1)+$A$18,$A$18)=0,$A$18,MOD($A31+INDEX(_xlfn.TEXTSPLIT(L129,",",),0,1)+$A$18,$A$18))/5,0),ROUNDUP(IF(MOD(L$18+INDEX(_xlfn.TEXTSPLIT(L129,",",),0,2)+$A$18,$A$18)=0,$A$18,MOD(L$18+INDEX(_xlfn.TEXTSPLIT(L129,",",),0,2)+$A$18,$A$18))/5,0)))</f>
        <v>7</v>
      </c>
      <c r="M31" s="1" cm="1">
        <f t="array" aca="1" ref="M31" ca="1">(INDEX($K$2:$T$11,ROUNDUP(IF(MOD($A31+INDEX(_xlfn.TEXTSPLIT(M86,",",),0,1)+$A$18,$A$18)=0,$A$18,MOD($A31+INDEX(_xlfn.TEXTSPLIT(M86,",",),0,1)+$A$18,$A$18))/4,0),ROUNDUP(IF(MOD(M$18+INDEX(_xlfn.TEXTSPLIT(M86,",",),0,2)+$A$18,$A$18)=0,$A$18,MOD(M$18+INDEX(_xlfn.TEXTSPLIT(M86,",",),0,2)+$A$18,$A$18))/4,0)))+(INDEX($AD$2:$AK$9,ROUNDUP(IF(MOD($A31+INDEX(_xlfn.TEXTSPLIT(M129,",",),0,1)+$A$18,$A$18)=0,$A$18,MOD($A31+INDEX(_xlfn.TEXTSPLIT(M129,",",),0,1)+$A$18,$A$18))/5,0),ROUNDUP(IF(MOD(M$18+INDEX(_xlfn.TEXTSPLIT(M129,",",),0,2)+$A$18,$A$18)=0,$A$18,MOD(M$18+INDEX(_xlfn.TEXTSPLIT(M129,",",),0,2)+$A$18,$A$18))/5,0)))</f>
        <v>7</v>
      </c>
      <c r="N31" s="1" cm="1">
        <f t="array" aca="1" ref="N31" ca="1">(INDEX($K$2:$T$11,ROUNDUP(IF(MOD($A31+INDEX(_xlfn.TEXTSPLIT(N86,",",),0,1)+$A$18,$A$18)=0,$A$18,MOD($A31+INDEX(_xlfn.TEXTSPLIT(N86,",",),0,1)+$A$18,$A$18))/4,0),ROUNDUP(IF(MOD(N$18+INDEX(_xlfn.TEXTSPLIT(N86,",",),0,2)+$A$18,$A$18)=0,$A$18,MOD(N$18+INDEX(_xlfn.TEXTSPLIT(N86,",",),0,2)+$A$18,$A$18))/4,0)))+(INDEX($AD$2:$AK$9,ROUNDUP(IF(MOD($A31+INDEX(_xlfn.TEXTSPLIT(N129,",",),0,1)+$A$18,$A$18)=0,$A$18,MOD($A31+INDEX(_xlfn.TEXTSPLIT(N129,",",),0,1)+$A$18,$A$18))/5,0),ROUNDUP(IF(MOD(N$18+INDEX(_xlfn.TEXTSPLIT(N129,",",),0,2)+$A$18,$A$18)=0,$A$18,MOD(N$18+INDEX(_xlfn.TEXTSPLIT(N129,",",),0,2)+$A$18,$A$18))/5,0)))</f>
        <v>7</v>
      </c>
      <c r="O31" s="1" cm="1">
        <f t="array" aca="1" ref="O31" ca="1">(INDEX($K$2:$T$11,ROUNDUP(IF(MOD($A31+INDEX(_xlfn.TEXTSPLIT(O86,",",),0,1)+$A$18,$A$18)=0,$A$18,MOD($A31+INDEX(_xlfn.TEXTSPLIT(O86,",",),0,1)+$A$18,$A$18))/4,0),ROUNDUP(IF(MOD(O$18+INDEX(_xlfn.TEXTSPLIT(O86,",",),0,2)+$A$18,$A$18)=0,$A$18,MOD(O$18+INDEX(_xlfn.TEXTSPLIT(O86,",",),0,2)+$A$18,$A$18))/4,0)))+(INDEX($AD$2:$AK$9,ROUNDUP(IF(MOD($A31+INDEX(_xlfn.TEXTSPLIT(O129,",",),0,1)+$A$18,$A$18)=0,$A$18,MOD($A31+INDEX(_xlfn.TEXTSPLIT(O129,",",),0,1)+$A$18,$A$18))/5,0),ROUNDUP(IF(MOD(O$18+INDEX(_xlfn.TEXTSPLIT(O129,",",),0,2)+$A$18,$A$18)=0,$A$18,MOD(O$18+INDEX(_xlfn.TEXTSPLIT(O129,",",),0,2)+$A$18,$A$18))/5,0)))</f>
        <v>3</v>
      </c>
      <c r="P31" s="1" cm="1">
        <f t="array" aca="1" ref="P31" ca="1">(INDEX($K$2:$T$11,ROUNDUP(IF(MOD($A31+INDEX(_xlfn.TEXTSPLIT(P86,",",),0,1)+$A$18,$A$18)=0,$A$18,MOD($A31+INDEX(_xlfn.TEXTSPLIT(P86,",",),0,1)+$A$18,$A$18))/4,0),ROUNDUP(IF(MOD(P$18+INDEX(_xlfn.TEXTSPLIT(P86,",",),0,2)+$A$18,$A$18)=0,$A$18,MOD(P$18+INDEX(_xlfn.TEXTSPLIT(P86,",",),0,2)+$A$18,$A$18))/4,0)))+(INDEX($AD$2:$AK$9,ROUNDUP(IF(MOD($A31+INDEX(_xlfn.TEXTSPLIT(P129,",",),0,1)+$A$18,$A$18)=0,$A$18,MOD($A31+INDEX(_xlfn.TEXTSPLIT(P129,",",),0,1)+$A$18,$A$18))/5,0),ROUNDUP(IF(MOD(P$18+INDEX(_xlfn.TEXTSPLIT(P129,",",),0,2)+$A$18,$A$18)=0,$A$18,MOD(P$18+INDEX(_xlfn.TEXTSPLIT(P129,",",),0,2)+$A$18,$A$18))/5,0)))</f>
        <v>1</v>
      </c>
      <c r="Q31" s="1" cm="1">
        <f t="array" aca="1" ref="Q31" ca="1">(INDEX($K$2:$T$11,ROUNDUP(IF(MOD($A31+INDEX(_xlfn.TEXTSPLIT(Q86,",",),0,1)+$A$18,$A$18)=0,$A$18,MOD($A31+INDEX(_xlfn.TEXTSPLIT(Q86,",",),0,1)+$A$18,$A$18))/4,0),ROUNDUP(IF(MOD(Q$18+INDEX(_xlfn.TEXTSPLIT(Q86,",",),0,2)+$A$18,$A$18)=0,$A$18,MOD(Q$18+INDEX(_xlfn.TEXTSPLIT(Q86,",",),0,2)+$A$18,$A$18))/4,0)))+(INDEX($AD$2:$AK$9,ROUNDUP(IF(MOD($A31+INDEX(_xlfn.TEXTSPLIT(Q129,",",),0,1)+$A$18,$A$18)=0,$A$18,MOD($A31+INDEX(_xlfn.TEXTSPLIT(Q129,",",),0,1)+$A$18,$A$18))/5,0),ROUNDUP(IF(MOD(Q$18+INDEX(_xlfn.TEXTSPLIT(Q129,",",),0,2)+$A$18,$A$18)=0,$A$18,MOD(Q$18+INDEX(_xlfn.TEXTSPLIT(Q129,",",),0,2)+$A$18,$A$18))/5,0)))</f>
        <v>7</v>
      </c>
      <c r="R31" s="1" cm="1">
        <f t="array" aca="1" ref="R31" ca="1">(INDEX($K$2:$T$11,ROUNDUP(IF(MOD($A31+INDEX(_xlfn.TEXTSPLIT(R86,",",),0,1)+$A$18,$A$18)=0,$A$18,MOD($A31+INDEX(_xlfn.TEXTSPLIT(R86,",",),0,1)+$A$18,$A$18))/4,0),ROUNDUP(IF(MOD(R$18+INDEX(_xlfn.TEXTSPLIT(R86,",",),0,2)+$A$18,$A$18)=0,$A$18,MOD(R$18+INDEX(_xlfn.TEXTSPLIT(R86,",",),0,2)+$A$18,$A$18))/4,0)))+(INDEX($AD$2:$AK$9,ROUNDUP(IF(MOD($A31+INDEX(_xlfn.TEXTSPLIT(R129,",",),0,1)+$A$18,$A$18)=0,$A$18,MOD($A31+INDEX(_xlfn.TEXTSPLIT(R129,",",),0,1)+$A$18,$A$18))/5,0),ROUNDUP(IF(MOD(R$18+INDEX(_xlfn.TEXTSPLIT(R129,",",),0,2)+$A$18,$A$18)=0,$A$18,MOD(R$18+INDEX(_xlfn.TEXTSPLIT(R129,",",),0,2)+$A$18,$A$18))/5,0)))</f>
        <v>1</v>
      </c>
      <c r="S31" s="1" cm="1">
        <f t="array" aca="1" ref="S31" ca="1">(INDEX($K$2:$T$11,ROUNDUP(IF(MOD($A31+INDEX(_xlfn.TEXTSPLIT(S86,",",),0,1)+$A$18,$A$18)=0,$A$18,MOD($A31+INDEX(_xlfn.TEXTSPLIT(S86,",",),0,1)+$A$18,$A$18))/4,0),ROUNDUP(IF(MOD(S$18+INDEX(_xlfn.TEXTSPLIT(S86,",",),0,2)+$A$18,$A$18)=0,$A$18,MOD(S$18+INDEX(_xlfn.TEXTSPLIT(S86,",",),0,2)+$A$18,$A$18))/4,0)))+(INDEX($AD$2:$AK$9,ROUNDUP(IF(MOD($A31+INDEX(_xlfn.TEXTSPLIT(S129,",",),0,1)+$A$18,$A$18)=0,$A$18,MOD($A31+INDEX(_xlfn.TEXTSPLIT(S129,",",),0,1)+$A$18,$A$18))/5,0),ROUNDUP(IF(MOD(S$18+INDEX(_xlfn.TEXTSPLIT(S129,",",),0,2)+$A$18,$A$18)=0,$A$18,MOD(S$18+INDEX(_xlfn.TEXTSPLIT(S129,",",),0,2)+$A$18,$A$18))/5,0)))</f>
        <v>5</v>
      </c>
      <c r="T31" s="1" cm="1">
        <f t="array" aca="1" ref="T31" ca="1">(INDEX($K$2:$T$11,ROUNDUP(IF(MOD($A31+INDEX(_xlfn.TEXTSPLIT(T86,",",),0,1)+$A$18,$A$18)=0,$A$18,MOD($A31+INDEX(_xlfn.TEXTSPLIT(T86,",",),0,1)+$A$18,$A$18))/4,0),ROUNDUP(IF(MOD(T$18+INDEX(_xlfn.TEXTSPLIT(T86,",",),0,2)+$A$18,$A$18)=0,$A$18,MOD(T$18+INDEX(_xlfn.TEXTSPLIT(T86,",",),0,2)+$A$18,$A$18))/4,0)))+(INDEX($AD$2:$AK$9,ROUNDUP(IF(MOD($A31+INDEX(_xlfn.TEXTSPLIT(T129,",",),0,1)+$A$18,$A$18)=0,$A$18,MOD($A31+INDEX(_xlfn.TEXTSPLIT(T129,",",),0,1)+$A$18,$A$18))/5,0),ROUNDUP(IF(MOD(T$18+INDEX(_xlfn.TEXTSPLIT(T129,",",),0,2)+$A$18,$A$18)=0,$A$18,MOD(T$18+INDEX(_xlfn.TEXTSPLIT(T129,",",),0,2)+$A$18,$A$18))/5,0)))</f>
        <v>5</v>
      </c>
      <c r="U31" s="1" cm="1">
        <f t="array" aca="1" ref="U31" ca="1">(INDEX($K$2:$T$11,ROUNDUP(IF(MOD($A31+INDEX(_xlfn.TEXTSPLIT(U86,",",),0,1)+$A$18,$A$18)=0,$A$18,MOD($A31+INDEX(_xlfn.TEXTSPLIT(U86,",",),0,1)+$A$18,$A$18))/4,0),ROUNDUP(IF(MOD(U$18+INDEX(_xlfn.TEXTSPLIT(U86,",",),0,2)+$A$18,$A$18)=0,$A$18,MOD(U$18+INDEX(_xlfn.TEXTSPLIT(U86,",",),0,2)+$A$18,$A$18))/4,0)))+(INDEX($AD$2:$AK$9,ROUNDUP(IF(MOD($A31+INDEX(_xlfn.TEXTSPLIT(U129,",",),0,1)+$A$18,$A$18)=0,$A$18,MOD($A31+INDEX(_xlfn.TEXTSPLIT(U129,",",),0,1)+$A$18,$A$18))/5,0),ROUNDUP(IF(MOD(U$18+INDEX(_xlfn.TEXTSPLIT(U129,",",),0,2)+$A$18,$A$18)=0,$A$18,MOD(U$18+INDEX(_xlfn.TEXTSPLIT(U129,",",),0,2)+$A$18,$A$18))/5,0)))</f>
        <v>5</v>
      </c>
      <c r="V31" s="1" cm="1">
        <f t="array" aca="1" ref="V31" ca="1">(INDEX($K$2:$T$11,ROUNDUP(IF(MOD($A31+INDEX(_xlfn.TEXTSPLIT(V86,",",),0,1)+$A$18,$A$18)=0,$A$18,MOD($A31+INDEX(_xlfn.TEXTSPLIT(V86,",",),0,1)+$A$18,$A$18))/4,0),ROUNDUP(IF(MOD(V$18+INDEX(_xlfn.TEXTSPLIT(V86,",",),0,2)+$A$18,$A$18)=0,$A$18,MOD(V$18+INDEX(_xlfn.TEXTSPLIT(V86,",",),0,2)+$A$18,$A$18))/4,0)))+(INDEX($AD$2:$AK$9,ROUNDUP(IF(MOD($A31+INDEX(_xlfn.TEXTSPLIT(V129,",",),0,1)+$A$18,$A$18)=0,$A$18,MOD($A31+INDEX(_xlfn.TEXTSPLIT(V129,",",),0,1)+$A$18,$A$18))/5,0),ROUNDUP(IF(MOD(V$18+INDEX(_xlfn.TEXTSPLIT(V129,",",),0,2)+$A$18,$A$18)=0,$A$18,MOD(V$18+INDEX(_xlfn.TEXTSPLIT(V129,",",),0,2)+$A$18,$A$18))/5,0)))</f>
        <v>5</v>
      </c>
      <c r="W31" s="1" cm="1">
        <f t="array" aca="1" ref="W31" ca="1">(INDEX($K$2:$T$11,ROUNDUP(IF(MOD($A31+INDEX(_xlfn.TEXTSPLIT(W86,",",),0,1)+$A$18,$A$18)=0,$A$18,MOD($A31+INDEX(_xlfn.TEXTSPLIT(W86,",",),0,1)+$A$18,$A$18))/4,0),ROUNDUP(IF(MOD(W$18+INDEX(_xlfn.TEXTSPLIT(W86,",",),0,2)+$A$18,$A$18)=0,$A$18,MOD(W$18+INDEX(_xlfn.TEXTSPLIT(W86,",",),0,2)+$A$18,$A$18))/4,0)))+(INDEX($AD$2:$AK$9,ROUNDUP(IF(MOD($A31+INDEX(_xlfn.TEXTSPLIT(W129,",",),0,1)+$A$18,$A$18)=0,$A$18,MOD($A31+INDEX(_xlfn.TEXTSPLIT(W129,",",),0,1)+$A$18,$A$18))/5,0),ROUNDUP(IF(MOD(W$18+INDEX(_xlfn.TEXTSPLIT(W129,",",),0,2)+$A$18,$A$18)=0,$A$18,MOD(W$18+INDEX(_xlfn.TEXTSPLIT(W129,",",),0,2)+$A$18,$A$18))/5,0)))</f>
        <v>3</v>
      </c>
      <c r="X31" s="1" cm="1">
        <f t="array" aca="1" ref="X31" ca="1">(INDEX($K$2:$T$11,ROUNDUP(IF(MOD($A31+INDEX(_xlfn.TEXTSPLIT(X86,",",),0,1)+$A$18,$A$18)=0,$A$18,MOD($A31+INDEX(_xlfn.TEXTSPLIT(X86,",",),0,1)+$A$18,$A$18))/4,0),ROUNDUP(IF(MOD(X$18+INDEX(_xlfn.TEXTSPLIT(X86,",",),0,2)+$A$18,$A$18)=0,$A$18,MOD(X$18+INDEX(_xlfn.TEXTSPLIT(X86,",",),0,2)+$A$18,$A$18))/4,0)))+(INDEX($AD$2:$AK$9,ROUNDUP(IF(MOD($A31+INDEX(_xlfn.TEXTSPLIT(X129,",",),0,1)+$A$18,$A$18)=0,$A$18,MOD($A31+INDEX(_xlfn.TEXTSPLIT(X129,",",),0,1)+$A$18,$A$18))/5,0),ROUNDUP(IF(MOD(X$18+INDEX(_xlfn.TEXTSPLIT(X129,",",),0,2)+$A$18,$A$18)=0,$A$18,MOD(X$18+INDEX(_xlfn.TEXTSPLIT(X129,",",),0,2)+$A$18,$A$18))/5,0)))</f>
        <v>7</v>
      </c>
      <c r="Y31" s="1" cm="1">
        <f t="array" aca="1" ref="Y31" ca="1">(INDEX($K$2:$T$11,ROUNDUP(IF(MOD($A31+INDEX(_xlfn.TEXTSPLIT(Y86,",",),0,1)+$A$18,$A$18)=0,$A$18,MOD($A31+INDEX(_xlfn.TEXTSPLIT(Y86,",",),0,1)+$A$18,$A$18))/4,0),ROUNDUP(IF(MOD(Y$18+INDEX(_xlfn.TEXTSPLIT(Y86,",",),0,2)+$A$18,$A$18)=0,$A$18,MOD(Y$18+INDEX(_xlfn.TEXTSPLIT(Y86,",",),0,2)+$A$18,$A$18))/4,0)))+(INDEX($AD$2:$AK$9,ROUNDUP(IF(MOD($A31+INDEX(_xlfn.TEXTSPLIT(Y129,",",),0,1)+$A$18,$A$18)=0,$A$18,MOD($A31+INDEX(_xlfn.TEXTSPLIT(Y129,",",),0,1)+$A$18,$A$18))/5,0),ROUNDUP(IF(MOD(Y$18+INDEX(_xlfn.TEXTSPLIT(Y129,",",),0,2)+$A$18,$A$18)=0,$A$18,MOD(Y$18+INDEX(_xlfn.TEXTSPLIT(Y129,",",),0,2)+$A$18,$A$18))/5,0)))</f>
        <v>3</v>
      </c>
      <c r="Z31" s="1" cm="1">
        <f t="array" aca="1" ref="Z31" ca="1">(INDEX($K$2:$T$11,ROUNDUP(IF(MOD($A31+INDEX(_xlfn.TEXTSPLIT(Z86,",",),0,1)+$A$18,$A$18)=0,$A$18,MOD($A31+INDEX(_xlfn.TEXTSPLIT(Z86,",",),0,1)+$A$18,$A$18))/4,0),ROUNDUP(IF(MOD(Z$18+INDEX(_xlfn.TEXTSPLIT(Z86,",",),0,2)+$A$18,$A$18)=0,$A$18,MOD(Z$18+INDEX(_xlfn.TEXTSPLIT(Z86,",",),0,2)+$A$18,$A$18))/4,0)))+(INDEX($AD$2:$AK$9,ROUNDUP(IF(MOD($A31+INDEX(_xlfn.TEXTSPLIT(Z129,",",),0,1)+$A$18,$A$18)=0,$A$18,MOD($A31+INDEX(_xlfn.TEXTSPLIT(Z129,",",),0,1)+$A$18,$A$18))/5,0),ROUNDUP(IF(MOD(Z$18+INDEX(_xlfn.TEXTSPLIT(Z129,",",),0,2)+$A$18,$A$18)=0,$A$18,MOD(Z$18+INDEX(_xlfn.TEXTSPLIT(Z129,",",),0,2)+$A$18,$A$18))/5,0)))</f>
        <v>3</v>
      </c>
      <c r="AA31" s="1" cm="1">
        <f t="array" aca="1" ref="AA31" ca="1">(INDEX($K$2:$T$11,ROUNDUP(IF(MOD($A31+INDEX(_xlfn.TEXTSPLIT(AA86,",",),0,1)+$A$18,$A$18)=0,$A$18,MOD($A31+INDEX(_xlfn.TEXTSPLIT(AA86,",",),0,1)+$A$18,$A$18))/4,0),ROUNDUP(IF(MOD(AA$18+INDEX(_xlfn.TEXTSPLIT(AA86,",",),0,2)+$A$18,$A$18)=0,$A$18,MOD(AA$18+INDEX(_xlfn.TEXTSPLIT(AA86,",",),0,2)+$A$18,$A$18))/4,0)))+(INDEX($AD$2:$AK$9,ROUNDUP(IF(MOD($A31+INDEX(_xlfn.TEXTSPLIT(AA129,",",),0,1)+$A$18,$A$18)=0,$A$18,MOD($A31+INDEX(_xlfn.TEXTSPLIT(AA129,",",),0,1)+$A$18,$A$18))/5,0),ROUNDUP(IF(MOD(AA$18+INDEX(_xlfn.TEXTSPLIT(AA129,",",),0,2)+$A$18,$A$18)=0,$A$18,MOD(AA$18+INDEX(_xlfn.TEXTSPLIT(AA129,",",),0,2)+$A$18,$A$18))/5,0)))</f>
        <v>5</v>
      </c>
      <c r="AB31" s="1" cm="1">
        <f t="array" aca="1" ref="AB31" ca="1">(INDEX($K$2:$T$11,ROUNDUP(IF(MOD($A31+INDEX(_xlfn.TEXTSPLIT(AB86,",",),0,1)+$A$18,$A$18)=0,$A$18,MOD($A31+INDEX(_xlfn.TEXTSPLIT(AB86,",",),0,1)+$A$18,$A$18))/4,0),ROUNDUP(IF(MOD(AB$18+INDEX(_xlfn.TEXTSPLIT(AB86,",",),0,2)+$A$18,$A$18)=0,$A$18,MOD(AB$18+INDEX(_xlfn.TEXTSPLIT(AB86,",",),0,2)+$A$18,$A$18))/4,0)))+(INDEX($AD$2:$AK$9,ROUNDUP(IF(MOD($A31+INDEX(_xlfn.TEXTSPLIT(AB129,",",),0,1)+$A$18,$A$18)=0,$A$18,MOD($A31+INDEX(_xlfn.TEXTSPLIT(AB129,",",),0,1)+$A$18,$A$18))/5,0),ROUNDUP(IF(MOD(AB$18+INDEX(_xlfn.TEXTSPLIT(AB129,",",),0,2)+$A$18,$A$18)=0,$A$18,MOD(AB$18+INDEX(_xlfn.TEXTSPLIT(AB129,",",),0,2)+$A$18,$A$18))/5,0)))</f>
        <v>5</v>
      </c>
      <c r="AC31" s="1" cm="1">
        <f t="array" aca="1" ref="AC31" ca="1">(INDEX($K$2:$T$11,ROUNDUP(IF(MOD($A31+INDEX(_xlfn.TEXTSPLIT(AC86,",",),0,1)+$A$18,$A$18)=0,$A$18,MOD($A31+INDEX(_xlfn.TEXTSPLIT(AC86,",",),0,1)+$A$18,$A$18))/4,0),ROUNDUP(IF(MOD(AC$18+INDEX(_xlfn.TEXTSPLIT(AC86,",",),0,2)+$A$18,$A$18)=0,$A$18,MOD(AC$18+INDEX(_xlfn.TEXTSPLIT(AC86,",",),0,2)+$A$18,$A$18))/4,0)))+(INDEX($AD$2:$AK$9,ROUNDUP(IF(MOD($A31+INDEX(_xlfn.TEXTSPLIT(AC129,",",),0,1)+$A$18,$A$18)=0,$A$18,MOD($A31+INDEX(_xlfn.TEXTSPLIT(AC129,",",),0,1)+$A$18,$A$18))/5,0),ROUNDUP(IF(MOD(AC$18+INDEX(_xlfn.TEXTSPLIT(AC129,",",),0,2)+$A$18,$A$18)=0,$A$18,MOD(AC$18+INDEX(_xlfn.TEXTSPLIT(AC129,",",),0,2)+$A$18,$A$18))/5,0)))</f>
        <v>5</v>
      </c>
      <c r="AD31" s="1" cm="1">
        <f t="array" aca="1" ref="AD31" ca="1">(INDEX($K$2:$T$11,ROUNDUP(IF(MOD($A31+INDEX(_xlfn.TEXTSPLIT(AD86,",",),0,1)+$A$18,$A$18)=0,$A$18,MOD($A31+INDEX(_xlfn.TEXTSPLIT(AD86,",",),0,1)+$A$18,$A$18))/4,0),ROUNDUP(IF(MOD(AD$18+INDEX(_xlfn.TEXTSPLIT(AD86,",",),0,2)+$A$18,$A$18)=0,$A$18,MOD(AD$18+INDEX(_xlfn.TEXTSPLIT(AD86,",",),0,2)+$A$18,$A$18))/4,0)))+(INDEX($AD$2:$AK$9,ROUNDUP(IF(MOD($A31+INDEX(_xlfn.TEXTSPLIT(AD129,",",),0,1)+$A$18,$A$18)=0,$A$18,MOD($A31+INDEX(_xlfn.TEXTSPLIT(AD129,",",),0,1)+$A$18,$A$18))/5,0),ROUNDUP(IF(MOD(AD$18+INDEX(_xlfn.TEXTSPLIT(AD129,",",),0,2)+$A$18,$A$18)=0,$A$18,MOD(AD$18+INDEX(_xlfn.TEXTSPLIT(AD129,",",),0,2)+$A$18,$A$18))/5,0)))</f>
        <v>5</v>
      </c>
      <c r="AE31" s="1" cm="1">
        <f t="array" aca="1" ref="AE31" ca="1">(INDEX($K$2:$T$11,ROUNDUP(IF(MOD($A31+INDEX(_xlfn.TEXTSPLIT(AE86,",",),0,1)+$A$18,$A$18)=0,$A$18,MOD($A31+INDEX(_xlfn.TEXTSPLIT(AE86,",",),0,1)+$A$18,$A$18))/4,0),ROUNDUP(IF(MOD(AE$18+INDEX(_xlfn.TEXTSPLIT(AE86,",",),0,2)+$A$18,$A$18)=0,$A$18,MOD(AE$18+INDEX(_xlfn.TEXTSPLIT(AE86,",",),0,2)+$A$18,$A$18))/4,0)))+(INDEX($AD$2:$AK$9,ROUNDUP(IF(MOD($A31+INDEX(_xlfn.TEXTSPLIT(AE129,",",),0,1)+$A$18,$A$18)=0,$A$18,MOD($A31+INDEX(_xlfn.TEXTSPLIT(AE129,",",),0,1)+$A$18,$A$18))/5,0),ROUNDUP(IF(MOD(AE$18+INDEX(_xlfn.TEXTSPLIT(AE129,",",),0,2)+$A$18,$A$18)=0,$A$18,MOD(AE$18+INDEX(_xlfn.TEXTSPLIT(AE129,",",),0,2)+$A$18,$A$18))/5,0)))</f>
        <v>5</v>
      </c>
      <c r="AF31" s="1" cm="1">
        <f t="array" aca="1" ref="AF31" ca="1">(INDEX($K$2:$T$11,ROUNDUP(IF(MOD($A31+INDEX(_xlfn.TEXTSPLIT(AF86,",",),0,1)+$A$18,$A$18)=0,$A$18,MOD($A31+INDEX(_xlfn.TEXTSPLIT(AF86,",",),0,1)+$A$18,$A$18))/4,0),ROUNDUP(IF(MOD(AF$18+INDEX(_xlfn.TEXTSPLIT(AF86,",",),0,2)+$A$18,$A$18)=0,$A$18,MOD(AF$18+INDEX(_xlfn.TEXTSPLIT(AF86,",",),0,2)+$A$18,$A$18))/4,0)))+(INDEX($AD$2:$AK$9,ROUNDUP(IF(MOD($A31+INDEX(_xlfn.TEXTSPLIT(AF129,",",),0,1)+$A$18,$A$18)=0,$A$18,MOD($A31+INDEX(_xlfn.TEXTSPLIT(AF129,",",),0,1)+$A$18,$A$18))/5,0),ROUNDUP(IF(MOD(AF$18+INDEX(_xlfn.TEXTSPLIT(AF129,",",),0,2)+$A$18,$A$18)=0,$A$18,MOD(AF$18+INDEX(_xlfn.TEXTSPLIT(AF129,",",),0,2)+$A$18,$A$18))/5,0)))</f>
        <v>5</v>
      </c>
      <c r="AG31" s="1" cm="1">
        <f t="array" aca="1" ref="AG31" ca="1">(INDEX($K$2:$T$11,ROUNDUP(IF(MOD($A31+INDEX(_xlfn.TEXTSPLIT(AG86,",",),0,1)+$A$18,$A$18)=0,$A$18,MOD($A31+INDEX(_xlfn.TEXTSPLIT(AG86,",",),0,1)+$A$18,$A$18))/4,0),ROUNDUP(IF(MOD(AG$18+INDEX(_xlfn.TEXTSPLIT(AG86,",",),0,2)+$A$18,$A$18)=0,$A$18,MOD(AG$18+INDEX(_xlfn.TEXTSPLIT(AG86,",",),0,2)+$A$18,$A$18))/4,0)))+(INDEX($AD$2:$AK$9,ROUNDUP(IF(MOD($A31+INDEX(_xlfn.TEXTSPLIT(AG129,",",),0,1)+$A$18,$A$18)=0,$A$18,MOD($A31+INDEX(_xlfn.TEXTSPLIT(AG129,",",),0,1)+$A$18,$A$18))/5,0),ROUNDUP(IF(MOD(AG$18+INDEX(_xlfn.TEXTSPLIT(AG129,",",),0,2)+$A$18,$A$18)=0,$A$18,MOD(AG$18+INDEX(_xlfn.TEXTSPLIT(AG129,",",),0,2)+$A$18,$A$18))/5,0)))</f>
        <v>5</v>
      </c>
      <c r="AH31" s="1" cm="1">
        <f t="array" aca="1" ref="AH31" ca="1">(INDEX($K$2:$T$11,ROUNDUP(IF(MOD($A31+INDEX(_xlfn.TEXTSPLIT(AH86,",",),0,1)+$A$18,$A$18)=0,$A$18,MOD($A31+INDEX(_xlfn.TEXTSPLIT(AH86,",",),0,1)+$A$18,$A$18))/4,0),ROUNDUP(IF(MOD(AH$18+INDEX(_xlfn.TEXTSPLIT(AH86,",",),0,2)+$A$18,$A$18)=0,$A$18,MOD(AH$18+INDEX(_xlfn.TEXTSPLIT(AH86,",",),0,2)+$A$18,$A$18))/4,0)))+(INDEX($AD$2:$AK$9,ROUNDUP(IF(MOD($A31+INDEX(_xlfn.TEXTSPLIT(AH129,",",),0,1)+$A$18,$A$18)=0,$A$18,MOD($A31+INDEX(_xlfn.TEXTSPLIT(AH129,",",),0,1)+$A$18,$A$18))/5,0),ROUNDUP(IF(MOD(AH$18+INDEX(_xlfn.TEXTSPLIT(AH129,",",),0,2)+$A$18,$A$18)=0,$A$18,MOD(AH$18+INDEX(_xlfn.TEXTSPLIT(AH129,",",),0,2)+$A$18,$A$18))/5,0)))</f>
        <v>5</v>
      </c>
      <c r="AI31" s="1" cm="1">
        <f t="array" aca="1" ref="AI31" ca="1">(INDEX($K$2:$T$11,ROUNDUP(IF(MOD($A31+INDEX(_xlfn.TEXTSPLIT(AI86,",",),0,1)+$A$18,$A$18)=0,$A$18,MOD($A31+INDEX(_xlfn.TEXTSPLIT(AI86,",",),0,1)+$A$18,$A$18))/4,0),ROUNDUP(IF(MOD(AI$18+INDEX(_xlfn.TEXTSPLIT(AI86,",",),0,2)+$A$18,$A$18)=0,$A$18,MOD(AI$18+INDEX(_xlfn.TEXTSPLIT(AI86,",",),0,2)+$A$18,$A$18))/4,0)))+(INDEX($AD$2:$AK$9,ROUNDUP(IF(MOD($A31+INDEX(_xlfn.TEXTSPLIT(AI129,",",),0,1)+$A$18,$A$18)=0,$A$18,MOD($A31+INDEX(_xlfn.TEXTSPLIT(AI129,",",),0,1)+$A$18,$A$18))/5,0),ROUNDUP(IF(MOD(AI$18+INDEX(_xlfn.TEXTSPLIT(AI129,",",),0,2)+$A$18,$A$18)=0,$A$18,MOD(AI$18+INDEX(_xlfn.TEXTSPLIT(AI129,",",),0,2)+$A$18,$A$18))/5,0)))</f>
        <v>5</v>
      </c>
      <c r="AJ31" s="1" cm="1">
        <f t="array" aca="1" ref="AJ31" ca="1">(INDEX($K$2:$T$11,ROUNDUP(IF(MOD($A31+INDEX(_xlfn.TEXTSPLIT(AJ86,",",),0,1)+$A$18,$A$18)=0,$A$18,MOD($A31+INDEX(_xlfn.TEXTSPLIT(AJ86,",",),0,1)+$A$18,$A$18))/4,0),ROUNDUP(IF(MOD(AJ$18+INDEX(_xlfn.TEXTSPLIT(AJ86,",",),0,2)+$A$18,$A$18)=0,$A$18,MOD(AJ$18+INDEX(_xlfn.TEXTSPLIT(AJ86,",",),0,2)+$A$18,$A$18))/4,0)))+(INDEX($AD$2:$AK$9,ROUNDUP(IF(MOD($A31+INDEX(_xlfn.TEXTSPLIT(AJ129,",",),0,1)+$A$18,$A$18)=0,$A$18,MOD($A31+INDEX(_xlfn.TEXTSPLIT(AJ129,",",),0,1)+$A$18,$A$18))/5,0),ROUNDUP(IF(MOD(AJ$18+INDEX(_xlfn.TEXTSPLIT(AJ129,",",),0,2)+$A$18,$A$18)=0,$A$18,MOD(AJ$18+INDEX(_xlfn.TEXTSPLIT(AJ129,",",),0,2)+$A$18,$A$18))/5,0)))</f>
        <v>5</v>
      </c>
      <c r="AK31" s="1" cm="1">
        <f t="array" aca="1" ref="AK31" ca="1">(INDEX($K$2:$T$11,ROUNDUP(IF(MOD($A31+INDEX(_xlfn.TEXTSPLIT(AK86,",",),0,1)+$A$18,$A$18)=0,$A$18,MOD($A31+INDEX(_xlfn.TEXTSPLIT(AK86,",",),0,1)+$A$18,$A$18))/4,0),ROUNDUP(IF(MOD(AK$18+INDEX(_xlfn.TEXTSPLIT(AK86,",",),0,2)+$A$18,$A$18)=0,$A$18,MOD(AK$18+INDEX(_xlfn.TEXTSPLIT(AK86,",",),0,2)+$A$18,$A$18))/4,0)))+(INDEX($AD$2:$AK$9,ROUNDUP(IF(MOD($A31+INDEX(_xlfn.TEXTSPLIT(AK129,",",),0,1)+$A$18,$A$18)=0,$A$18,MOD($A31+INDEX(_xlfn.TEXTSPLIT(AK129,",",),0,1)+$A$18,$A$18))/5,0),ROUNDUP(IF(MOD(AK$18+INDEX(_xlfn.TEXTSPLIT(AK129,",",),0,2)+$A$18,$A$18)=0,$A$18,MOD(AK$18+INDEX(_xlfn.TEXTSPLIT(AK129,",",),0,2)+$A$18,$A$18))/5,0)))</f>
        <v>5</v>
      </c>
      <c r="AL31" s="1" cm="1">
        <f t="array" aca="1" ref="AL31" ca="1">(INDEX($K$2:$T$11,ROUNDUP(IF(MOD($A31+INDEX(_xlfn.TEXTSPLIT(AL86,",",),0,1)+$A$18,$A$18)=0,$A$18,MOD($A31+INDEX(_xlfn.TEXTSPLIT(AL86,",",),0,1)+$A$18,$A$18))/4,0),ROUNDUP(IF(MOD(AL$18+INDEX(_xlfn.TEXTSPLIT(AL86,",",),0,2)+$A$18,$A$18)=0,$A$18,MOD(AL$18+INDEX(_xlfn.TEXTSPLIT(AL86,",",),0,2)+$A$18,$A$18))/4,0)))+(INDEX($AD$2:$AK$9,ROUNDUP(IF(MOD($A31+INDEX(_xlfn.TEXTSPLIT(AL129,",",),0,1)+$A$18,$A$18)=0,$A$18,MOD($A31+INDEX(_xlfn.TEXTSPLIT(AL129,",",),0,1)+$A$18,$A$18))/5,0),ROUNDUP(IF(MOD(AL$18+INDEX(_xlfn.TEXTSPLIT(AL129,",",),0,2)+$A$18,$A$18)=0,$A$18,MOD(AL$18+INDEX(_xlfn.TEXTSPLIT(AL129,",",),0,2)+$A$18,$A$18))/5,0)))</f>
        <v>5</v>
      </c>
      <c r="AM31" s="1" cm="1">
        <f t="array" aca="1" ref="AM31" ca="1">(INDEX($K$2:$T$11,ROUNDUP(IF(MOD($A31+INDEX(_xlfn.TEXTSPLIT(AM86,",",),0,1)+$A$18,$A$18)=0,$A$18,MOD($A31+INDEX(_xlfn.TEXTSPLIT(AM86,",",),0,1)+$A$18,$A$18))/4,0),ROUNDUP(IF(MOD(AM$18+INDEX(_xlfn.TEXTSPLIT(AM86,",",),0,2)+$A$18,$A$18)=0,$A$18,MOD(AM$18+INDEX(_xlfn.TEXTSPLIT(AM86,",",),0,2)+$A$18,$A$18))/4,0)))+(INDEX($AD$2:$AK$9,ROUNDUP(IF(MOD($A31+INDEX(_xlfn.TEXTSPLIT(AM129,",",),0,1)+$A$18,$A$18)=0,$A$18,MOD($A31+INDEX(_xlfn.TEXTSPLIT(AM129,",",),0,1)+$A$18,$A$18))/5,0),ROUNDUP(IF(MOD(AM$18+INDEX(_xlfn.TEXTSPLIT(AM129,",",),0,2)+$A$18,$A$18)=0,$A$18,MOD(AM$18+INDEX(_xlfn.TEXTSPLIT(AM129,",",),0,2)+$A$18,$A$18))/5,0)))</f>
        <v>5</v>
      </c>
      <c r="AN31" s="1" cm="1">
        <f t="array" aca="1" ref="AN31" ca="1">(INDEX($K$2:$T$11,ROUNDUP(IF(MOD($A31+INDEX(_xlfn.TEXTSPLIT(AN86,",",),0,1)+$A$18,$A$18)=0,$A$18,MOD($A31+INDEX(_xlfn.TEXTSPLIT(AN86,",",),0,1)+$A$18,$A$18))/4,0),ROUNDUP(IF(MOD(AN$18+INDEX(_xlfn.TEXTSPLIT(AN86,",",),0,2)+$A$18,$A$18)=0,$A$18,MOD(AN$18+INDEX(_xlfn.TEXTSPLIT(AN86,",",),0,2)+$A$18,$A$18))/4,0)))+(INDEX($AD$2:$AK$9,ROUNDUP(IF(MOD($A31+INDEX(_xlfn.TEXTSPLIT(AN129,",",),0,1)+$A$18,$A$18)=0,$A$18,MOD($A31+INDEX(_xlfn.TEXTSPLIT(AN129,",",),0,1)+$A$18,$A$18))/5,0),ROUNDUP(IF(MOD(AN$18+INDEX(_xlfn.TEXTSPLIT(AN129,",",),0,2)+$A$18,$A$18)=0,$A$18,MOD(AN$18+INDEX(_xlfn.TEXTSPLIT(AN129,",",),0,2)+$A$18,$A$18))/5,0)))</f>
        <v>5</v>
      </c>
      <c r="AO31" s="1" cm="1">
        <f t="array" aca="1" ref="AO31" ca="1">(INDEX($K$2:$T$11,ROUNDUP(IF(MOD($A31+INDEX(_xlfn.TEXTSPLIT(AO86,",",),0,1)+$A$18,$A$18)=0,$A$18,MOD($A31+INDEX(_xlfn.TEXTSPLIT(AO86,",",),0,1)+$A$18,$A$18))/4,0),ROUNDUP(IF(MOD(AO$18+INDEX(_xlfn.TEXTSPLIT(AO86,",",),0,2)+$A$18,$A$18)=0,$A$18,MOD(AO$18+INDEX(_xlfn.TEXTSPLIT(AO86,",",),0,2)+$A$18,$A$18))/4,0)))+(INDEX($AD$2:$AK$9,ROUNDUP(IF(MOD($A31+INDEX(_xlfn.TEXTSPLIT(AO129,",",),0,1)+$A$18,$A$18)=0,$A$18,MOD($A31+INDEX(_xlfn.TEXTSPLIT(AO129,",",),0,1)+$A$18,$A$18))/5,0),ROUNDUP(IF(MOD(AO$18+INDEX(_xlfn.TEXTSPLIT(AO129,",",),0,2)+$A$18,$A$18)=0,$A$18,MOD(AO$18+INDEX(_xlfn.TEXTSPLIT(AO129,",",),0,2)+$A$18,$A$18))/5,0)))</f>
        <v>5</v>
      </c>
    </row>
    <row r="32" spans="1:41" ht="12.75">
      <c r="A32" s="1">
        <v>14</v>
      </c>
      <c r="B32" s="1" cm="1">
        <f t="array" aca="1" ref="B32" ca="1">(INDEX($K$2:$T$11,ROUNDUP(IF(MOD($A32+INDEX(_xlfn.TEXTSPLIT(B87,",",),0,1)+$A$18,$A$18)=0,$A$18,MOD($A32+INDEX(_xlfn.TEXTSPLIT(B87,",",),0,1)+$A$18,$A$18))/4,0),ROUNDUP(IF(MOD(B$18+INDEX(_xlfn.TEXTSPLIT(B87,",",),0,2)+$A$18,$A$18)=0,$A$18,MOD(B$18+INDEX(_xlfn.TEXTSPLIT(B87,",",),0,2)+$A$18,$A$18))/4,0)))+(INDEX($AD$2:$AK$9,ROUNDUP(IF(MOD($A32+INDEX(_xlfn.TEXTSPLIT(B130,",",),0,1)+$A$18,$A$18)=0,$A$18,MOD($A32+INDEX(_xlfn.TEXTSPLIT(B130,",",),0,1)+$A$18,$A$18))/5,0),ROUNDUP(IF(MOD(B$18+INDEX(_xlfn.TEXTSPLIT(B130,",",),0,2)+$A$18,$A$18)=0,$A$18,MOD(B$18+INDEX(_xlfn.TEXTSPLIT(B130,",",),0,2)+$A$18,$A$18))/5,0)))</f>
        <v>6</v>
      </c>
      <c r="C32" s="1" cm="1">
        <f t="array" aca="1" ref="C32" ca="1">(INDEX($K$2:$T$11,ROUNDUP(IF(MOD($A32+INDEX(_xlfn.TEXTSPLIT(C87,",",),0,1)+$A$18,$A$18)=0,$A$18,MOD($A32+INDEX(_xlfn.TEXTSPLIT(C87,",",),0,1)+$A$18,$A$18))/4,0),ROUNDUP(IF(MOD(C$18+INDEX(_xlfn.TEXTSPLIT(C87,",",),0,2)+$A$18,$A$18)=0,$A$18,MOD(C$18+INDEX(_xlfn.TEXTSPLIT(C87,",",),0,2)+$A$18,$A$18))/4,0)))+(INDEX($AD$2:$AK$9,ROUNDUP(IF(MOD($A32+INDEX(_xlfn.TEXTSPLIT(C130,",",),0,1)+$A$18,$A$18)=0,$A$18,MOD($A32+INDEX(_xlfn.TEXTSPLIT(C130,",",),0,1)+$A$18,$A$18))/5,0),ROUNDUP(IF(MOD(C$18+INDEX(_xlfn.TEXTSPLIT(C130,",",),0,2)+$A$18,$A$18)=0,$A$18,MOD(C$18+INDEX(_xlfn.TEXTSPLIT(C130,",",),0,2)+$A$18,$A$18))/5,0)))</f>
        <v>6</v>
      </c>
      <c r="D32" s="1" cm="1">
        <f t="array" aca="1" ref="D32" ca="1">(INDEX($K$2:$T$11,ROUNDUP(IF(MOD($A32+INDEX(_xlfn.TEXTSPLIT(D87,",",),0,1)+$A$18,$A$18)=0,$A$18,MOD($A32+INDEX(_xlfn.TEXTSPLIT(D87,",",),0,1)+$A$18,$A$18))/4,0),ROUNDUP(IF(MOD(D$18+INDEX(_xlfn.TEXTSPLIT(D87,",",),0,2)+$A$18,$A$18)=0,$A$18,MOD(D$18+INDEX(_xlfn.TEXTSPLIT(D87,",",),0,2)+$A$18,$A$18))/4,0)))+(INDEX($AD$2:$AK$9,ROUNDUP(IF(MOD($A32+INDEX(_xlfn.TEXTSPLIT(D130,",",),0,1)+$A$18,$A$18)=0,$A$18,MOD($A32+INDEX(_xlfn.TEXTSPLIT(D130,",",),0,1)+$A$18,$A$18))/5,0),ROUNDUP(IF(MOD(D$18+INDEX(_xlfn.TEXTSPLIT(D130,",",),0,2)+$A$18,$A$18)=0,$A$18,MOD(D$18+INDEX(_xlfn.TEXTSPLIT(D130,",",),0,2)+$A$18,$A$18))/5,0)))</f>
        <v>6</v>
      </c>
      <c r="E32" s="1" cm="1">
        <f t="array" aca="1" ref="E32" ca="1">(INDEX($K$2:$T$11,ROUNDUP(IF(MOD($A32+INDEX(_xlfn.TEXTSPLIT(E87,",",),0,1)+$A$18,$A$18)=0,$A$18,MOD($A32+INDEX(_xlfn.TEXTSPLIT(E87,",",),0,1)+$A$18,$A$18))/4,0),ROUNDUP(IF(MOD(E$18+INDEX(_xlfn.TEXTSPLIT(E87,",",),0,2)+$A$18,$A$18)=0,$A$18,MOD(E$18+INDEX(_xlfn.TEXTSPLIT(E87,",",),0,2)+$A$18,$A$18))/4,0)))+(INDEX($AD$2:$AK$9,ROUNDUP(IF(MOD($A32+INDEX(_xlfn.TEXTSPLIT(E130,",",),0,1)+$A$18,$A$18)=0,$A$18,MOD($A32+INDEX(_xlfn.TEXTSPLIT(E130,",",),0,1)+$A$18,$A$18))/5,0),ROUNDUP(IF(MOD(E$18+INDEX(_xlfn.TEXTSPLIT(E130,",",),0,2)+$A$18,$A$18)=0,$A$18,MOD(E$18+INDEX(_xlfn.TEXTSPLIT(E130,",",),0,2)+$A$18,$A$18))/5,0)))</f>
        <v>6</v>
      </c>
      <c r="F32" s="1" cm="1">
        <f t="array" aca="1" ref="F32" ca="1">(INDEX($K$2:$T$11,ROUNDUP(IF(MOD($A32+INDEX(_xlfn.TEXTSPLIT(F87,",",),0,1)+$A$18,$A$18)=0,$A$18,MOD($A32+INDEX(_xlfn.TEXTSPLIT(F87,",",),0,1)+$A$18,$A$18))/4,0),ROUNDUP(IF(MOD(F$18+INDEX(_xlfn.TEXTSPLIT(F87,",",),0,2)+$A$18,$A$18)=0,$A$18,MOD(F$18+INDEX(_xlfn.TEXTSPLIT(F87,",",),0,2)+$A$18,$A$18))/4,0)))+(INDEX($AD$2:$AK$9,ROUNDUP(IF(MOD($A32+INDEX(_xlfn.TEXTSPLIT(F130,",",),0,1)+$A$18,$A$18)=0,$A$18,MOD($A32+INDEX(_xlfn.TEXTSPLIT(F130,",",),0,1)+$A$18,$A$18))/5,0),ROUNDUP(IF(MOD(F$18+INDEX(_xlfn.TEXTSPLIT(F130,",",),0,2)+$A$18,$A$18)=0,$A$18,MOD(F$18+INDEX(_xlfn.TEXTSPLIT(F130,",",),0,2)+$A$18,$A$18))/5,0)))</f>
        <v>7</v>
      </c>
      <c r="G32" s="1" cm="1">
        <f t="array" aca="1" ref="G32" ca="1">(INDEX($K$2:$T$11,ROUNDUP(IF(MOD($A32+INDEX(_xlfn.TEXTSPLIT(G87,",",),0,1)+$A$18,$A$18)=0,$A$18,MOD($A32+INDEX(_xlfn.TEXTSPLIT(G87,",",),0,1)+$A$18,$A$18))/4,0),ROUNDUP(IF(MOD(G$18+INDEX(_xlfn.TEXTSPLIT(G87,",",),0,2)+$A$18,$A$18)=0,$A$18,MOD(G$18+INDEX(_xlfn.TEXTSPLIT(G87,",",),0,2)+$A$18,$A$18))/4,0)))+(INDEX($AD$2:$AK$9,ROUNDUP(IF(MOD($A32+INDEX(_xlfn.TEXTSPLIT(G130,",",),0,1)+$A$18,$A$18)=0,$A$18,MOD($A32+INDEX(_xlfn.TEXTSPLIT(G130,",",),0,1)+$A$18,$A$18))/5,0),ROUNDUP(IF(MOD(G$18+INDEX(_xlfn.TEXTSPLIT(G130,",",),0,2)+$A$18,$A$18)=0,$A$18,MOD(G$18+INDEX(_xlfn.TEXTSPLIT(G130,",",),0,2)+$A$18,$A$18))/5,0)))</f>
        <v>6</v>
      </c>
      <c r="H32" s="1" cm="1">
        <f t="array" aca="1" ref="H32" ca="1">(INDEX($K$2:$T$11,ROUNDUP(IF(MOD($A32+INDEX(_xlfn.TEXTSPLIT(H87,",",),0,1)+$A$18,$A$18)=0,$A$18,MOD($A32+INDEX(_xlfn.TEXTSPLIT(H87,",",),0,1)+$A$18,$A$18))/4,0),ROUNDUP(IF(MOD(H$18+INDEX(_xlfn.TEXTSPLIT(H87,",",),0,2)+$A$18,$A$18)=0,$A$18,MOD(H$18+INDEX(_xlfn.TEXTSPLIT(H87,",",),0,2)+$A$18,$A$18))/4,0)))+(INDEX($AD$2:$AK$9,ROUNDUP(IF(MOD($A32+INDEX(_xlfn.TEXTSPLIT(H130,",",),0,1)+$A$18,$A$18)=0,$A$18,MOD($A32+INDEX(_xlfn.TEXTSPLIT(H130,",",),0,1)+$A$18,$A$18))/5,0),ROUNDUP(IF(MOD(H$18+INDEX(_xlfn.TEXTSPLIT(H130,",",),0,2)+$A$18,$A$18)=0,$A$18,MOD(H$18+INDEX(_xlfn.TEXTSPLIT(H130,",",),0,2)+$A$18,$A$18))/5,0)))</f>
        <v>7</v>
      </c>
      <c r="I32" s="1" cm="1">
        <f t="array" aca="1" ref="I32" ca="1">(INDEX($K$2:$T$11,ROUNDUP(IF(MOD($A32+INDEX(_xlfn.TEXTSPLIT(I87,",",),0,1)+$A$18,$A$18)=0,$A$18,MOD($A32+INDEX(_xlfn.TEXTSPLIT(I87,",",),0,1)+$A$18,$A$18))/4,0),ROUNDUP(IF(MOD(I$18+INDEX(_xlfn.TEXTSPLIT(I87,",",),0,2)+$A$18,$A$18)=0,$A$18,MOD(I$18+INDEX(_xlfn.TEXTSPLIT(I87,",",),0,2)+$A$18,$A$18))/4,0)))+(INDEX($AD$2:$AK$9,ROUNDUP(IF(MOD($A32+INDEX(_xlfn.TEXTSPLIT(I130,",",),0,1)+$A$18,$A$18)=0,$A$18,MOD($A32+INDEX(_xlfn.TEXTSPLIT(I130,",",),0,1)+$A$18,$A$18))/5,0),ROUNDUP(IF(MOD(I$18+INDEX(_xlfn.TEXTSPLIT(I130,",",),0,2)+$A$18,$A$18)=0,$A$18,MOD(I$18+INDEX(_xlfn.TEXTSPLIT(I130,",",),0,2)+$A$18,$A$18))/5,0)))</f>
        <v>7</v>
      </c>
      <c r="J32" s="1" cm="1">
        <f t="array" aca="1" ref="J32" ca="1">(INDEX($K$2:$T$11,ROUNDUP(IF(MOD($A32+INDEX(_xlfn.TEXTSPLIT(J87,",",),0,1)+$A$18,$A$18)=0,$A$18,MOD($A32+INDEX(_xlfn.TEXTSPLIT(J87,",",),0,1)+$A$18,$A$18))/4,0),ROUNDUP(IF(MOD(J$18+INDEX(_xlfn.TEXTSPLIT(J87,",",),0,2)+$A$18,$A$18)=0,$A$18,MOD(J$18+INDEX(_xlfn.TEXTSPLIT(J87,",",),0,2)+$A$18,$A$18))/4,0)))+(INDEX($AD$2:$AK$9,ROUNDUP(IF(MOD($A32+INDEX(_xlfn.TEXTSPLIT(J130,",",),0,1)+$A$18,$A$18)=0,$A$18,MOD($A32+INDEX(_xlfn.TEXTSPLIT(J130,",",),0,1)+$A$18,$A$18))/5,0),ROUNDUP(IF(MOD(J$18+INDEX(_xlfn.TEXTSPLIT(J130,",",),0,2)+$A$18,$A$18)=0,$A$18,MOD(J$18+INDEX(_xlfn.TEXTSPLIT(J130,",",),0,2)+$A$18,$A$18))/5,0)))</f>
        <v>7</v>
      </c>
      <c r="K32" s="1" cm="1">
        <f t="array" aca="1" ref="K32" ca="1">(INDEX($K$2:$T$11,ROUNDUP(IF(MOD($A32+INDEX(_xlfn.TEXTSPLIT(K87,",",),0,1)+$A$18,$A$18)=0,$A$18,MOD($A32+INDEX(_xlfn.TEXTSPLIT(K87,",",),0,1)+$A$18,$A$18))/4,0),ROUNDUP(IF(MOD(K$18+INDEX(_xlfn.TEXTSPLIT(K87,",",),0,2)+$A$18,$A$18)=0,$A$18,MOD(K$18+INDEX(_xlfn.TEXTSPLIT(K87,",",),0,2)+$A$18,$A$18))/4,0)))+(INDEX($AD$2:$AK$9,ROUNDUP(IF(MOD($A32+INDEX(_xlfn.TEXTSPLIT(K130,",",),0,1)+$A$18,$A$18)=0,$A$18,MOD($A32+INDEX(_xlfn.TEXTSPLIT(K130,",",),0,1)+$A$18,$A$18))/5,0),ROUNDUP(IF(MOD(K$18+INDEX(_xlfn.TEXTSPLIT(K130,",",),0,2)+$A$18,$A$18)=0,$A$18,MOD(K$18+INDEX(_xlfn.TEXTSPLIT(K130,",",),0,2)+$A$18,$A$18))/5,0)))</f>
        <v>7</v>
      </c>
      <c r="L32" s="1" cm="1">
        <f t="array" aca="1" ref="L32" ca="1">(INDEX($K$2:$T$11,ROUNDUP(IF(MOD($A32+INDEX(_xlfn.TEXTSPLIT(L87,",",),0,1)+$A$18,$A$18)=0,$A$18,MOD($A32+INDEX(_xlfn.TEXTSPLIT(L87,",",),0,1)+$A$18,$A$18))/4,0),ROUNDUP(IF(MOD(L$18+INDEX(_xlfn.TEXTSPLIT(L87,",",),0,2)+$A$18,$A$18)=0,$A$18,MOD(L$18+INDEX(_xlfn.TEXTSPLIT(L87,",",),0,2)+$A$18,$A$18))/4,0)))+(INDEX($AD$2:$AK$9,ROUNDUP(IF(MOD($A32+INDEX(_xlfn.TEXTSPLIT(L130,",",),0,1)+$A$18,$A$18)=0,$A$18,MOD($A32+INDEX(_xlfn.TEXTSPLIT(L130,",",),0,1)+$A$18,$A$18))/5,0),ROUNDUP(IF(MOD(L$18+INDEX(_xlfn.TEXTSPLIT(L130,",",),0,2)+$A$18,$A$18)=0,$A$18,MOD(L$18+INDEX(_xlfn.TEXTSPLIT(L130,",",),0,2)+$A$18,$A$18))/5,0)))</f>
        <v>7</v>
      </c>
      <c r="M32" s="1" cm="1">
        <f t="array" aca="1" ref="M32" ca="1">(INDEX($K$2:$T$11,ROUNDUP(IF(MOD($A32+INDEX(_xlfn.TEXTSPLIT(M87,",",),0,1)+$A$18,$A$18)=0,$A$18,MOD($A32+INDEX(_xlfn.TEXTSPLIT(M87,",",),0,1)+$A$18,$A$18))/4,0),ROUNDUP(IF(MOD(M$18+INDEX(_xlfn.TEXTSPLIT(M87,",",),0,2)+$A$18,$A$18)=0,$A$18,MOD(M$18+INDEX(_xlfn.TEXTSPLIT(M87,",",),0,2)+$A$18,$A$18))/4,0)))+(INDEX($AD$2:$AK$9,ROUNDUP(IF(MOD($A32+INDEX(_xlfn.TEXTSPLIT(M130,",",),0,1)+$A$18,$A$18)=0,$A$18,MOD($A32+INDEX(_xlfn.TEXTSPLIT(M130,",",),0,1)+$A$18,$A$18))/5,0),ROUNDUP(IF(MOD(M$18+INDEX(_xlfn.TEXTSPLIT(M130,",",),0,2)+$A$18,$A$18)=0,$A$18,MOD(M$18+INDEX(_xlfn.TEXTSPLIT(M130,",",),0,2)+$A$18,$A$18))/5,0)))</f>
        <v>7</v>
      </c>
      <c r="N32" s="1" cm="1">
        <f t="array" aca="1" ref="N32" ca="1">(INDEX($K$2:$T$11,ROUNDUP(IF(MOD($A32+INDEX(_xlfn.TEXTSPLIT(N87,",",),0,1)+$A$18,$A$18)=0,$A$18,MOD($A32+INDEX(_xlfn.TEXTSPLIT(N87,",",),0,1)+$A$18,$A$18))/4,0),ROUNDUP(IF(MOD(N$18+INDEX(_xlfn.TEXTSPLIT(N87,",",),0,2)+$A$18,$A$18)=0,$A$18,MOD(N$18+INDEX(_xlfn.TEXTSPLIT(N87,",",),0,2)+$A$18,$A$18))/4,0)))+(INDEX($AD$2:$AK$9,ROUNDUP(IF(MOD($A32+INDEX(_xlfn.TEXTSPLIT(N130,",",),0,1)+$A$18,$A$18)=0,$A$18,MOD($A32+INDEX(_xlfn.TEXTSPLIT(N130,",",),0,1)+$A$18,$A$18))/5,0),ROUNDUP(IF(MOD(N$18+INDEX(_xlfn.TEXTSPLIT(N130,",",),0,2)+$A$18,$A$18)=0,$A$18,MOD(N$18+INDEX(_xlfn.TEXTSPLIT(N130,",",),0,2)+$A$18,$A$18))/5,0)))</f>
        <v>7</v>
      </c>
      <c r="O32" s="1" cm="1">
        <f t="array" aca="1" ref="O32" ca="1">(INDEX($K$2:$T$11,ROUNDUP(IF(MOD($A32+INDEX(_xlfn.TEXTSPLIT(O87,",",),0,1)+$A$18,$A$18)=0,$A$18,MOD($A32+INDEX(_xlfn.TEXTSPLIT(O87,",",),0,1)+$A$18,$A$18))/4,0),ROUNDUP(IF(MOD(O$18+INDEX(_xlfn.TEXTSPLIT(O87,",",),0,2)+$A$18,$A$18)=0,$A$18,MOD(O$18+INDEX(_xlfn.TEXTSPLIT(O87,",",),0,2)+$A$18,$A$18))/4,0)))+(INDEX($AD$2:$AK$9,ROUNDUP(IF(MOD($A32+INDEX(_xlfn.TEXTSPLIT(O130,",",),0,1)+$A$18,$A$18)=0,$A$18,MOD($A32+INDEX(_xlfn.TEXTSPLIT(O130,",",),0,1)+$A$18,$A$18))/5,0),ROUNDUP(IF(MOD(O$18+INDEX(_xlfn.TEXTSPLIT(O130,",",),0,2)+$A$18,$A$18)=0,$A$18,MOD(O$18+INDEX(_xlfn.TEXTSPLIT(O130,",",),0,2)+$A$18,$A$18))/5,0)))</f>
        <v>7</v>
      </c>
      <c r="P32" s="1" cm="1">
        <f t="array" aca="1" ref="P32" ca="1">(INDEX($K$2:$T$11,ROUNDUP(IF(MOD($A32+INDEX(_xlfn.TEXTSPLIT(P87,",",),0,1)+$A$18,$A$18)=0,$A$18,MOD($A32+INDEX(_xlfn.TEXTSPLIT(P87,",",),0,1)+$A$18,$A$18))/4,0),ROUNDUP(IF(MOD(P$18+INDEX(_xlfn.TEXTSPLIT(P87,",",),0,2)+$A$18,$A$18)=0,$A$18,MOD(P$18+INDEX(_xlfn.TEXTSPLIT(P87,",",),0,2)+$A$18,$A$18))/4,0)))+(INDEX($AD$2:$AK$9,ROUNDUP(IF(MOD($A32+INDEX(_xlfn.TEXTSPLIT(P130,",",),0,1)+$A$18,$A$18)=0,$A$18,MOD($A32+INDEX(_xlfn.TEXTSPLIT(P130,",",),0,1)+$A$18,$A$18))/5,0),ROUNDUP(IF(MOD(P$18+INDEX(_xlfn.TEXTSPLIT(P130,",",),0,2)+$A$18,$A$18)=0,$A$18,MOD(P$18+INDEX(_xlfn.TEXTSPLIT(P130,",",),0,2)+$A$18,$A$18))/5,0)))</f>
        <v>5</v>
      </c>
      <c r="Q32" s="1" cm="1">
        <f t="array" aca="1" ref="Q32" ca="1">(INDEX($K$2:$T$11,ROUNDUP(IF(MOD($A32+INDEX(_xlfn.TEXTSPLIT(Q87,",",),0,1)+$A$18,$A$18)=0,$A$18,MOD($A32+INDEX(_xlfn.TEXTSPLIT(Q87,",",),0,1)+$A$18,$A$18))/4,0),ROUNDUP(IF(MOD(Q$18+INDEX(_xlfn.TEXTSPLIT(Q87,",",),0,2)+$A$18,$A$18)=0,$A$18,MOD(Q$18+INDEX(_xlfn.TEXTSPLIT(Q87,",",),0,2)+$A$18,$A$18))/4,0)))+(INDEX($AD$2:$AK$9,ROUNDUP(IF(MOD($A32+INDEX(_xlfn.TEXTSPLIT(Q130,",",),0,1)+$A$18,$A$18)=0,$A$18,MOD($A32+INDEX(_xlfn.TEXTSPLIT(Q130,",",),0,1)+$A$18,$A$18))/5,0),ROUNDUP(IF(MOD(Q$18+INDEX(_xlfn.TEXTSPLIT(Q130,",",),0,2)+$A$18,$A$18)=0,$A$18,MOD(Q$18+INDEX(_xlfn.TEXTSPLIT(Q130,",",),0,2)+$A$18,$A$18))/5,0)))</f>
        <v>5</v>
      </c>
      <c r="R32" s="1" cm="1">
        <f t="array" aca="1" ref="R32" ca="1">(INDEX($K$2:$T$11,ROUNDUP(IF(MOD($A32+INDEX(_xlfn.TEXTSPLIT(R87,",",),0,1)+$A$18,$A$18)=0,$A$18,MOD($A32+INDEX(_xlfn.TEXTSPLIT(R87,",",),0,1)+$A$18,$A$18))/4,0),ROUNDUP(IF(MOD(R$18+INDEX(_xlfn.TEXTSPLIT(R87,",",),0,2)+$A$18,$A$18)=0,$A$18,MOD(R$18+INDEX(_xlfn.TEXTSPLIT(R87,",",),0,2)+$A$18,$A$18))/4,0)))+(INDEX($AD$2:$AK$9,ROUNDUP(IF(MOD($A32+INDEX(_xlfn.TEXTSPLIT(R130,",",),0,1)+$A$18,$A$18)=0,$A$18,MOD($A32+INDEX(_xlfn.TEXTSPLIT(R130,",",),0,1)+$A$18,$A$18))/5,0),ROUNDUP(IF(MOD(R$18+INDEX(_xlfn.TEXTSPLIT(R130,",",),0,2)+$A$18,$A$18)=0,$A$18,MOD(R$18+INDEX(_xlfn.TEXTSPLIT(R130,",",),0,2)+$A$18,$A$18))/5,0)))</f>
        <v>5</v>
      </c>
      <c r="S32" s="1" cm="1">
        <f t="array" aca="1" ref="S32" ca="1">(INDEX($K$2:$T$11,ROUNDUP(IF(MOD($A32+INDEX(_xlfn.TEXTSPLIT(S87,",",),0,1)+$A$18,$A$18)=0,$A$18,MOD($A32+INDEX(_xlfn.TEXTSPLIT(S87,",",),0,1)+$A$18,$A$18))/4,0),ROUNDUP(IF(MOD(S$18+INDEX(_xlfn.TEXTSPLIT(S87,",",),0,2)+$A$18,$A$18)=0,$A$18,MOD(S$18+INDEX(_xlfn.TEXTSPLIT(S87,",",),0,2)+$A$18,$A$18))/4,0)))+(INDEX($AD$2:$AK$9,ROUNDUP(IF(MOD($A32+INDEX(_xlfn.TEXTSPLIT(S130,",",),0,1)+$A$18,$A$18)=0,$A$18,MOD($A32+INDEX(_xlfn.TEXTSPLIT(S130,",",),0,1)+$A$18,$A$18))/5,0),ROUNDUP(IF(MOD(S$18+INDEX(_xlfn.TEXTSPLIT(S130,",",),0,2)+$A$18,$A$18)=0,$A$18,MOD(S$18+INDEX(_xlfn.TEXTSPLIT(S130,",",),0,2)+$A$18,$A$18))/5,0)))</f>
        <v>5</v>
      </c>
      <c r="T32" s="1" cm="1">
        <f t="array" aca="1" ref="T32" ca="1">(INDEX($K$2:$T$11,ROUNDUP(IF(MOD($A32+INDEX(_xlfn.TEXTSPLIT(T87,",",),0,1)+$A$18,$A$18)=0,$A$18,MOD($A32+INDEX(_xlfn.TEXTSPLIT(T87,",",),0,1)+$A$18,$A$18))/4,0),ROUNDUP(IF(MOD(T$18+INDEX(_xlfn.TEXTSPLIT(T87,",",),0,2)+$A$18,$A$18)=0,$A$18,MOD(T$18+INDEX(_xlfn.TEXTSPLIT(T87,",",),0,2)+$A$18,$A$18))/4,0)))+(INDEX($AD$2:$AK$9,ROUNDUP(IF(MOD($A32+INDEX(_xlfn.TEXTSPLIT(T130,",",),0,1)+$A$18,$A$18)=0,$A$18,MOD($A32+INDEX(_xlfn.TEXTSPLIT(T130,",",),0,1)+$A$18,$A$18))/5,0),ROUNDUP(IF(MOD(T$18+INDEX(_xlfn.TEXTSPLIT(T130,",",),0,2)+$A$18,$A$18)=0,$A$18,MOD(T$18+INDEX(_xlfn.TEXTSPLIT(T130,",",),0,2)+$A$18,$A$18))/5,0)))</f>
        <v>5</v>
      </c>
      <c r="U32" s="1" cm="1">
        <f t="array" aca="1" ref="U32" ca="1">(INDEX($K$2:$T$11,ROUNDUP(IF(MOD($A32+INDEX(_xlfn.TEXTSPLIT(U87,",",),0,1)+$A$18,$A$18)=0,$A$18,MOD($A32+INDEX(_xlfn.TEXTSPLIT(U87,",",),0,1)+$A$18,$A$18))/4,0),ROUNDUP(IF(MOD(U$18+INDEX(_xlfn.TEXTSPLIT(U87,",",),0,2)+$A$18,$A$18)=0,$A$18,MOD(U$18+INDEX(_xlfn.TEXTSPLIT(U87,",",),0,2)+$A$18,$A$18))/4,0)))+(INDEX($AD$2:$AK$9,ROUNDUP(IF(MOD($A32+INDEX(_xlfn.TEXTSPLIT(U130,",",),0,1)+$A$18,$A$18)=0,$A$18,MOD($A32+INDEX(_xlfn.TEXTSPLIT(U130,",",),0,1)+$A$18,$A$18))/5,0),ROUNDUP(IF(MOD(U$18+INDEX(_xlfn.TEXTSPLIT(U130,",",),0,2)+$A$18,$A$18)=0,$A$18,MOD(U$18+INDEX(_xlfn.TEXTSPLIT(U130,",",),0,2)+$A$18,$A$18))/5,0)))</f>
        <v>1</v>
      </c>
      <c r="V32" s="1" cm="1">
        <f t="array" aca="1" ref="V32" ca="1">(INDEX($K$2:$T$11,ROUNDUP(IF(MOD($A32+INDEX(_xlfn.TEXTSPLIT(V87,",",),0,1)+$A$18,$A$18)=0,$A$18,MOD($A32+INDEX(_xlfn.TEXTSPLIT(V87,",",),0,1)+$A$18,$A$18))/4,0),ROUNDUP(IF(MOD(V$18+INDEX(_xlfn.TEXTSPLIT(V87,",",),0,2)+$A$18,$A$18)=0,$A$18,MOD(V$18+INDEX(_xlfn.TEXTSPLIT(V87,",",),0,2)+$A$18,$A$18))/4,0)))+(INDEX($AD$2:$AK$9,ROUNDUP(IF(MOD($A32+INDEX(_xlfn.TEXTSPLIT(V130,",",),0,1)+$A$18,$A$18)=0,$A$18,MOD($A32+INDEX(_xlfn.TEXTSPLIT(V130,",",),0,1)+$A$18,$A$18))/5,0),ROUNDUP(IF(MOD(V$18+INDEX(_xlfn.TEXTSPLIT(V130,",",),0,2)+$A$18,$A$18)=0,$A$18,MOD(V$18+INDEX(_xlfn.TEXTSPLIT(V130,",",),0,2)+$A$18,$A$18))/5,0)))</f>
        <v>3</v>
      </c>
      <c r="W32" s="1" cm="1">
        <f t="array" aca="1" ref="W32" ca="1">(INDEX($K$2:$T$11,ROUNDUP(IF(MOD($A32+INDEX(_xlfn.TEXTSPLIT(W87,",",),0,1)+$A$18,$A$18)=0,$A$18,MOD($A32+INDEX(_xlfn.TEXTSPLIT(W87,",",),0,1)+$A$18,$A$18))/4,0),ROUNDUP(IF(MOD(W$18+INDEX(_xlfn.TEXTSPLIT(W87,",",),0,2)+$A$18,$A$18)=0,$A$18,MOD(W$18+INDEX(_xlfn.TEXTSPLIT(W87,",",),0,2)+$A$18,$A$18))/4,0)))+(INDEX($AD$2:$AK$9,ROUNDUP(IF(MOD($A32+INDEX(_xlfn.TEXTSPLIT(W130,",",),0,1)+$A$18,$A$18)=0,$A$18,MOD($A32+INDEX(_xlfn.TEXTSPLIT(W130,",",),0,1)+$A$18,$A$18))/5,0),ROUNDUP(IF(MOD(W$18+INDEX(_xlfn.TEXTSPLIT(W130,",",),0,2)+$A$18,$A$18)=0,$A$18,MOD(W$18+INDEX(_xlfn.TEXTSPLIT(W130,",",),0,2)+$A$18,$A$18))/5,0)))</f>
        <v>3</v>
      </c>
      <c r="X32" s="1" cm="1">
        <f t="array" aca="1" ref="X32" ca="1">(INDEX($K$2:$T$11,ROUNDUP(IF(MOD($A32+INDEX(_xlfn.TEXTSPLIT(X87,",",),0,1)+$A$18,$A$18)=0,$A$18,MOD($A32+INDEX(_xlfn.TEXTSPLIT(X87,",",),0,1)+$A$18,$A$18))/4,0),ROUNDUP(IF(MOD(X$18+INDEX(_xlfn.TEXTSPLIT(X87,",",),0,2)+$A$18,$A$18)=0,$A$18,MOD(X$18+INDEX(_xlfn.TEXTSPLIT(X87,",",),0,2)+$A$18,$A$18))/4,0)))+(INDEX($AD$2:$AK$9,ROUNDUP(IF(MOD($A32+INDEX(_xlfn.TEXTSPLIT(X130,",",),0,1)+$A$18,$A$18)=0,$A$18,MOD($A32+INDEX(_xlfn.TEXTSPLIT(X130,",",),0,1)+$A$18,$A$18))/5,0),ROUNDUP(IF(MOD(X$18+INDEX(_xlfn.TEXTSPLIT(X130,",",),0,2)+$A$18,$A$18)=0,$A$18,MOD(X$18+INDEX(_xlfn.TEXTSPLIT(X130,",",),0,2)+$A$18,$A$18))/5,0)))</f>
        <v>3</v>
      </c>
      <c r="Y32" s="1" cm="1">
        <f t="array" aca="1" ref="Y32" ca="1">(INDEX($K$2:$T$11,ROUNDUP(IF(MOD($A32+INDEX(_xlfn.TEXTSPLIT(Y87,",",),0,1)+$A$18,$A$18)=0,$A$18,MOD($A32+INDEX(_xlfn.TEXTSPLIT(Y87,",",),0,1)+$A$18,$A$18))/4,0),ROUNDUP(IF(MOD(Y$18+INDEX(_xlfn.TEXTSPLIT(Y87,",",),0,2)+$A$18,$A$18)=0,$A$18,MOD(Y$18+INDEX(_xlfn.TEXTSPLIT(Y87,",",),0,2)+$A$18,$A$18))/4,0)))+(INDEX($AD$2:$AK$9,ROUNDUP(IF(MOD($A32+INDEX(_xlfn.TEXTSPLIT(Y130,",",),0,1)+$A$18,$A$18)=0,$A$18,MOD($A32+INDEX(_xlfn.TEXTSPLIT(Y130,",",),0,1)+$A$18,$A$18))/5,0),ROUNDUP(IF(MOD(Y$18+INDEX(_xlfn.TEXTSPLIT(Y130,",",),0,2)+$A$18,$A$18)=0,$A$18,MOD(Y$18+INDEX(_xlfn.TEXTSPLIT(Y130,",",),0,2)+$A$18,$A$18))/5,0)))</f>
        <v>7</v>
      </c>
      <c r="Z32" s="1" cm="1">
        <f t="array" aca="1" ref="Z32" ca="1">(INDEX($K$2:$T$11,ROUNDUP(IF(MOD($A32+INDEX(_xlfn.TEXTSPLIT(Z87,",",),0,1)+$A$18,$A$18)=0,$A$18,MOD($A32+INDEX(_xlfn.TEXTSPLIT(Z87,",",),0,1)+$A$18,$A$18))/4,0),ROUNDUP(IF(MOD(Z$18+INDEX(_xlfn.TEXTSPLIT(Z87,",",),0,2)+$A$18,$A$18)=0,$A$18,MOD(Z$18+INDEX(_xlfn.TEXTSPLIT(Z87,",",),0,2)+$A$18,$A$18))/4,0)))+(INDEX($AD$2:$AK$9,ROUNDUP(IF(MOD($A32+INDEX(_xlfn.TEXTSPLIT(Z130,",",),0,1)+$A$18,$A$18)=0,$A$18,MOD($A32+INDEX(_xlfn.TEXTSPLIT(Z130,",",),0,1)+$A$18,$A$18))/5,0),ROUNDUP(IF(MOD(Z$18+INDEX(_xlfn.TEXTSPLIT(Z130,",",),0,2)+$A$18,$A$18)=0,$A$18,MOD(Z$18+INDEX(_xlfn.TEXTSPLIT(Z130,",",),0,2)+$A$18,$A$18))/5,0)))</f>
        <v>3</v>
      </c>
      <c r="AA32" s="1" cm="1">
        <f t="array" aca="1" ref="AA32" ca="1">(INDEX($K$2:$T$11,ROUNDUP(IF(MOD($A32+INDEX(_xlfn.TEXTSPLIT(AA87,",",),0,1)+$A$18,$A$18)=0,$A$18,MOD($A32+INDEX(_xlfn.TEXTSPLIT(AA87,",",),0,1)+$A$18,$A$18))/4,0),ROUNDUP(IF(MOD(AA$18+INDEX(_xlfn.TEXTSPLIT(AA87,",",),0,2)+$A$18,$A$18)=0,$A$18,MOD(AA$18+INDEX(_xlfn.TEXTSPLIT(AA87,",",),0,2)+$A$18,$A$18))/4,0)))+(INDEX($AD$2:$AK$9,ROUNDUP(IF(MOD($A32+INDEX(_xlfn.TEXTSPLIT(AA130,",",),0,1)+$A$18,$A$18)=0,$A$18,MOD($A32+INDEX(_xlfn.TEXTSPLIT(AA130,",",),0,1)+$A$18,$A$18))/5,0),ROUNDUP(IF(MOD(AA$18+INDEX(_xlfn.TEXTSPLIT(AA130,",",),0,2)+$A$18,$A$18)=0,$A$18,MOD(AA$18+INDEX(_xlfn.TEXTSPLIT(AA130,",",),0,2)+$A$18,$A$18))/5,0)))</f>
        <v>5</v>
      </c>
      <c r="AB32" s="1" cm="1">
        <f t="array" aca="1" ref="AB32" ca="1">(INDEX($K$2:$T$11,ROUNDUP(IF(MOD($A32+INDEX(_xlfn.TEXTSPLIT(AB87,",",),0,1)+$A$18,$A$18)=0,$A$18,MOD($A32+INDEX(_xlfn.TEXTSPLIT(AB87,",",),0,1)+$A$18,$A$18))/4,0),ROUNDUP(IF(MOD(AB$18+INDEX(_xlfn.TEXTSPLIT(AB87,",",),0,2)+$A$18,$A$18)=0,$A$18,MOD(AB$18+INDEX(_xlfn.TEXTSPLIT(AB87,",",),0,2)+$A$18,$A$18))/4,0)))+(INDEX($AD$2:$AK$9,ROUNDUP(IF(MOD($A32+INDEX(_xlfn.TEXTSPLIT(AB130,",",),0,1)+$A$18,$A$18)=0,$A$18,MOD($A32+INDEX(_xlfn.TEXTSPLIT(AB130,",",),0,1)+$A$18,$A$18))/5,0),ROUNDUP(IF(MOD(AB$18+INDEX(_xlfn.TEXTSPLIT(AB130,",",),0,2)+$A$18,$A$18)=0,$A$18,MOD(AB$18+INDEX(_xlfn.TEXTSPLIT(AB130,",",),0,2)+$A$18,$A$18))/5,0)))</f>
        <v>5</v>
      </c>
      <c r="AC32" s="1" cm="1">
        <f t="array" aca="1" ref="AC32" ca="1">(INDEX($K$2:$T$11,ROUNDUP(IF(MOD($A32+INDEX(_xlfn.TEXTSPLIT(AC87,",",),0,1)+$A$18,$A$18)=0,$A$18,MOD($A32+INDEX(_xlfn.TEXTSPLIT(AC87,",",),0,1)+$A$18,$A$18))/4,0),ROUNDUP(IF(MOD(AC$18+INDEX(_xlfn.TEXTSPLIT(AC87,",",),0,2)+$A$18,$A$18)=0,$A$18,MOD(AC$18+INDEX(_xlfn.TEXTSPLIT(AC87,",",),0,2)+$A$18,$A$18))/4,0)))+(INDEX($AD$2:$AK$9,ROUNDUP(IF(MOD($A32+INDEX(_xlfn.TEXTSPLIT(AC130,",",),0,1)+$A$18,$A$18)=0,$A$18,MOD($A32+INDEX(_xlfn.TEXTSPLIT(AC130,",",),0,1)+$A$18,$A$18))/5,0),ROUNDUP(IF(MOD(AC$18+INDEX(_xlfn.TEXTSPLIT(AC130,",",),0,2)+$A$18,$A$18)=0,$A$18,MOD(AC$18+INDEX(_xlfn.TEXTSPLIT(AC130,",",),0,2)+$A$18,$A$18))/5,0)))</f>
        <v>5</v>
      </c>
      <c r="AD32" s="1" cm="1">
        <f t="array" aca="1" ref="AD32" ca="1">(INDEX($K$2:$T$11,ROUNDUP(IF(MOD($A32+INDEX(_xlfn.TEXTSPLIT(AD87,",",),0,1)+$A$18,$A$18)=0,$A$18,MOD($A32+INDEX(_xlfn.TEXTSPLIT(AD87,",",),0,1)+$A$18,$A$18))/4,0),ROUNDUP(IF(MOD(AD$18+INDEX(_xlfn.TEXTSPLIT(AD87,",",),0,2)+$A$18,$A$18)=0,$A$18,MOD(AD$18+INDEX(_xlfn.TEXTSPLIT(AD87,",",),0,2)+$A$18,$A$18))/4,0)))+(INDEX($AD$2:$AK$9,ROUNDUP(IF(MOD($A32+INDEX(_xlfn.TEXTSPLIT(AD130,",",),0,1)+$A$18,$A$18)=0,$A$18,MOD($A32+INDEX(_xlfn.TEXTSPLIT(AD130,",",),0,1)+$A$18,$A$18))/5,0),ROUNDUP(IF(MOD(AD$18+INDEX(_xlfn.TEXTSPLIT(AD130,",",),0,2)+$A$18,$A$18)=0,$A$18,MOD(AD$18+INDEX(_xlfn.TEXTSPLIT(AD130,",",),0,2)+$A$18,$A$18))/5,0)))</f>
        <v>5</v>
      </c>
      <c r="AE32" s="1" cm="1">
        <f t="array" aca="1" ref="AE32" ca="1">(INDEX($K$2:$T$11,ROUNDUP(IF(MOD($A32+INDEX(_xlfn.TEXTSPLIT(AE87,",",),0,1)+$A$18,$A$18)=0,$A$18,MOD($A32+INDEX(_xlfn.TEXTSPLIT(AE87,",",),0,1)+$A$18,$A$18))/4,0),ROUNDUP(IF(MOD(AE$18+INDEX(_xlfn.TEXTSPLIT(AE87,",",),0,2)+$A$18,$A$18)=0,$A$18,MOD(AE$18+INDEX(_xlfn.TEXTSPLIT(AE87,",",),0,2)+$A$18,$A$18))/4,0)))+(INDEX($AD$2:$AK$9,ROUNDUP(IF(MOD($A32+INDEX(_xlfn.TEXTSPLIT(AE130,",",),0,1)+$A$18,$A$18)=0,$A$18,MOD($A32+INDEX(_xlfn.TEXTSPLIT(AE130,",",),0,1)+$A$18,$A$18))/5,0),ROUNDUP(IF(MOD(AE$18+INDEX(_xlfn.TEXTSPLIT(AE130,",",),0,2)+$A$18,$A$18)=0,$A$18,MOD(AE$18+INDEX(_xlfn.TEXTSPLIT(AE130,",",),0,2)+$A$18,$A$18))/5,0)))</f>
        <v>5</v>
      </c>
      <c r="AF32" s="1" cm="1">
        <f t="array" aca="1" ref="AF32" ca="1">(INDEX($K$2:$T$11,ROUNDUP(IF(MOD($A32+INDEX(_xlfn.TEXTSPLIT(AF87,",",),0,1)+$A$18,$A$18)=0,$A$18,MOD($A32+INDEX(_xlfn.TEXTSPLIT(AF87,",",),0,1)+$A$18,$A$18))/4,0),ROUNDUP(IF(MOD(AF$18+INDEX(_xlfn.TEXTSPLIT(AF87,",",),0,2)+$A$18,$A$18)=0,$A$18,MOD(AF$18+INDEX(_xlfn.TEXTSPLIT(AF87,",",),0,2)+$A$18,$A$18))/4,0)))+(INDEX($AD$2:$AK$9,ROUNDUP(IF(MOD($A32+INDEX(_xlfn.TEXTSPLIT(AF130,",",),0,1)+$A$18,$A$18)=0,$A$18,MOD($A32+INDEX(_xlfn.TEXTSPLIT(AF130,",",),0,1)+$A$18,$A$18))/5,0),ROUNDUP(IF(MOD(AF$18+INDEX(_xlfn.TEXTSPLIT(AF130,",",),0,2)+$A$18,$A$18)=0,$A$18,MOD(AF$18+INDEX(_xlfn.TEXTSPLIT(AF130,",",),0,2)+$A$18,$A$18))/5,0)))</f>
        <v>5</v>
      </c>
      <c r="AG32" s="1" cm="1">
        <f t="array" aca="1" ref="AG32" ca="1">(INDEX($K$2:$T$11,ROUNDUP(IF(MOD($A32+INDEX(_xlfn.TEXTSPLIT(AG87,",",),0,1)+$A$18,$A$18)=0,$A$18,MOD($A32+INDEX(_xlfn.TEXTSPLIT(AG87,",",),0,1)+$A$18,$A$18))/4,0),ROUNDUP(IF(MOD(AG$18+INDEX(_xlfn.TEXTSPLIT(AG87,",",),0,2)+$A$18,$A$18)=0,$A$18,MOD(AG$18+INDEX(_xlfn.TEXTSPLIT(AG87,",",),0,2)+$A$18,$A$18))/4,0)))+(INDEX($AD$2:$AK$9,ROUNDUP(IF(MOD($A32+INDEX(_xlfn.TEXTSPLIT(AG130,",",),0,1)+$A$18,$A$18)=0,$A$18,MOD($A32+INDEX(_xlfn.TEXTSPLIT(AG130,",",),0,1)+$A$18,$A$18))/5,0),ROUNDUP(IF(MOD(AG$18+INDEX(_xlfn.TEXTSPLIT(AG130,",",),0,2)+$A$18,$A$18)=0,$A$18,MOD(AG$18+INDEX(_xlfn.TEXTSPLIT(AG130,",",),0,2)+$A$18,$A$18))/5,0)))</f>
        <v>5</v>
      </c>
      <c r="AH32" s="1" cm="1">
        <f t="array" aca="1" ref="AH32" ca="1">(INDEX($K$2:$T$11,ROUNDUP(IF(MOD($A32+INDEX(_xlfn.TEXTSPLIT(AH87,",",),0,1)+$A$18,$A$18)=0,$A$18,MOD($A32+INDEX(_xlfn.TEXTSPLIT(AH87,",",),0,1)+$A$18,$A$18))/4,0),ROUNDUP(IF(MOD(AH$18+INDEX(_xlfn.TEXTSPLIT(AH87,",",),0,2)+$A$18,$A$18)=0,$A$18,MOD(AH$18+INDEX(_xlfn.TEXTSPLIT(AH87,",",),0,2)+$A$18,$A$18))/4,0)))+(INDEX($AD$2:$AK$9,ROUNDUP(IF(MOD($A32+INDEX(_xlfn.TEXTSPLIT(AH130,",",),0,1)+$A$18,$A$18)=0,$A$18,MOD($A32+INDEX(_xlfn.TEXTSPLIT(AH130,",",),0,1)+$A$18,$A$18))/5,0),ROUNDUP(IF(MOD(AH$18+INDEX(_xlfn.TEXTSPLIT(AH130,",",),0,2)+$A$18,$A$18)=0,$A$18,MOD(AH$18+INDEX(_xlfn.TEXTSPLIT(AH130,",",),0,2)+$A$18,$A$18))/5,0)))</f>
        <v>5</v>
      </c>
      <c r="AI32" s="1" cm="1">
        <f t="array" aca="1" ref="AI32" ca="1">(INDEX($K$2:$T$11,ROUNDUP(IF(MOD($A32+INDEX(_xlfn.TEXTSPLIT(AI87,",",),0,1)+$A$18,$A$18)=0,$A$18,MOD($A32+INDEX(_xlfn.TEXTSPLIT(AI87,",",),0,1)+$A$18,$A$18))/4,0),ROUNDUP(IF(MOD(AI$18+INDEX(_xlfn.TEXTSPLIT(AI87,",",),0,2)+$A$18,$A$18)=0,$A$18,MOD(AI$18+INDEX(_xlfn.TEXTSPLIT(AI87,",",),0,2)+$A$18,$A$18))/4,0)))+(INDEX($AD$2:$AK$9,ROUNDUP(IF(MOD($A32+INDEX(_xlfn.TEXTSPLIT(AI130,",",),0,1)+$A$18,$A$18)=0,$A$18,MOD($A32+INDEX(_xlfn.TEXTSPLIT(AI130,",",),0,1)+$A$18,$A$18))/5,0),ROUNDUP(IF(MOD(AI$18+INDEX(_xlfn.TEXTSPLIT(AI130,",",),0,2)+$A$18,$A$18)=0,$A$18,MOD(AI$18+INDEX(_xlfn.TEXTSPLIT(AI130,",",),0,2)+$A$18,$A$18))/5,0)))</f>
        <v>5</v>
      </c>
      <c r="AJ32" s="1" cm="1">
        <f t="array" aca="1" ref="AJ32" ca="1">(INDEX($K$2:$T$11,ROUNDUP(IF(MOD($A32+INDEX(_xlfn.TEXTSPLIT(AJ87,",",),0,1)+$A$18,$A$18)=0,$A$18,MOD($A32+INDEX(_xlfn.TEXTSPLIT(AJ87,",",),0,1)+$A$18,$A$18))/4,0),ROUNDUP(IF(MOD(AJ$18+INDEX(_xlfn.TEXTSPLIT(AJ87,",",),0,2)+$A$18,$A$18)=0,$A$18,MOD(AJ$18+INDEX(_xlfn.TEXTSPLIT(AJ87,",",),0,2)+$A$18,$A$18))/4,0)))+(INDEX($AD$2:$AK$9,ROUNDUP(IF(MOD($A32+INDEX(_xlfn.TEXTSPLIT(AJ130,",",),0,1)+$A$18,$A$18)=0,$A$18,MOD($A32+INDEX(_xlfn.TEXTSPLIT(AJ130,",",),0,1)+$A$18,$A$18))/5,0),ROUNDUP(IF(MOD(AJ$18+INDEX(_xlfn.TEXTSPLIT(AJ130,",",),0,2)+$A$18,$A$18)=0,$A$18,MOD(AJ$18+INDEX(_xlfn.TEXTSPLIT(AJ130,",",),0,2)+$A$18,$A$18))/5,0)))</f>
        <v>5</v>
      </c>
      <c r="AK32" s="1" cm="1">
        <f t="array" aca="1" ref="AK32" ca="1">(INDEX($K$2:$T$11,ROUNDUP(IF(MOD($A32+INDEX(_xlfn.TEXTSPLIT(AK87,",",),0,1)+$A$18,$A$18)=0,$A$18,MOD($A32+INDEX(_xlfn.TEXTSPLIT(AK87,",",),0,1)+$A$18,$A$18))/4,0),ROUNDUP(IF(MOD(AK$18+INDEX(_xlfn.TEXTSPLIT(AK87,",",),0,2)+$A$18,$A$18)=0,$A$18,MOD(AK$18+INDEX(_xlfn.TEXTSPLIT(AK87,",",),0,2)+$A$18,$A$18))/4,0)))+(INDEX($AD$2:$AK$9,ROUNDUP(IF(MOD($A32+INDEX(_xlfn.TEXTSPLIT(AK130,",",),0,1)+$A$18,$A$18)=0,$A$18,MOD($A32+INDEX(_xlfn.TEXTSPLIT(AK130,",",),0,1)+$A$18,$A$18))/5,0),ROUNDUP(IF(MOD(AK$18+INDEX(_xlfn.TEXTSPLIT(AK130,",",),0,2)+$A$18,$A$18)=0,$A$18,MOD(AK$18+INDEX(_xlfn.TEXTSPLIT(AK130,",",),0,2)+$A$18,$A$18))/5,0)))</f>
        <v>5</v>
      </c>
      <c r="AL32" s="1" cm="1">
        <f t="array" aca="1" ref="AL32" ca="1">(INDEX($K$2:$T$11,ROUNDUP(IF(MOD($A32+INDEX(_xlfn.TEXTSPLIT(AL87,",",),0,1)+$A$18,$A$18)=0,$A$18,MOD($A32+INDEX(_xlfn.TEXTSPLIT(AL87,",",),0,1)+$A$18,$A$18))/4,0),ROUNDUP(IF(MOD(AL$18+INDEX(_xlfn.TEXTSPLIT(AL87,",",),0,2)+$A$18,$A$18)=0,$A$18,MOD(AL$18+INDEX(_xlfn.TEXTSPLIT(AL87,",",),0,2)+$A$18,$A$18))/4,0)))+(INDEX($AD$2:$AK$9,ROUNDUP(IF(MOD($A32+INDEX(_xlfn.TEXTSPLIT(AL130,",",),0,1)+$A$18,$A$18)=0,$A$18,MOD($A32+INDEX(_xlfn.TEXTSPLIT(AL130,",",),0,1)+$A$18,$A$18))/5,0),ROUNDUP(IF(MOD(AL$18+INDEX(_xlfn.TEXTSPLIT(AL130,",",),0,2)+$A$18,$A$18)=0,$A$18,MOD(AL$18+INDEX(_xlfn.TEXTSPLIT(AL130,",",),0,2)+$A$18,$A$18))/5,0)))</f>
        <v>5</v>
      </c>
      <c r="AM32" s="1" cm="1">
        <f t="array" aca="1" ref="AM32" ca="1">(INDEX($K$2:$T$11,ROUNDUP(IF(MOD($A32+INDEX(_xlfn.TEXTSPLIT(AM87,",",),0,1)+$A$18,$A$18)=0,$A$18,MOD($A32+INDEX(_xlfn.TEXTSPLIT(AM87,",",),0,1)+$A$18,$A$18))/4,0),ROUNDUP(IF(MOD(AM$18+INDEX(_xlfn.TEXTSPLIT(AM87,",",),0,2)+$A$18,$A$18)=0,$A$18,MOD(AM$18+INDEX(_xlfn.TEXTSPLIT(AM87,",",),0,2)+$A$18,$A$18))/4,0)))+(INDEX($AD$2:$AK$9,ROUNDUP(IF(MOD($A32+INDEX(_xlfn.TEXTSPLIT(AM130,",",),0,1)+$A$18,$A$18)=0,$A$18,MOD($A32+INDEX(_xlfn.TEXTSPLIT(AM130,",",),0,1)+$A$18,$A$18))/5,0),ROUNDUP(IF(MOD(AM$18+INDEX(_xlfn.TEXTSPLIT(AM130,",",),0,2)+$A$18,$A$18)=0,$A$18,MOD(AM$18+INDEX(_xlfn.TEXTSPLIT(AM130,",",),0,2)+$A$18,$A$18))/5,0)))</f>
        <v>5</v>
      </c>
      <c r="AN32" s="1" cm="1">
        <f t="array" aca="1" ref="AN32" ca="1">(INDEX($K$2:$T$11,ROUNDUP(IF(MOD($A32+INDEX(_xlfn.TEXTSPLIT(AN87,",",),0,1)+$A$18,$A$18)=0,$A$18,MOD($A32+INDEX(_xlfn.TEXTSPLIT(AN87,",",),0,1)+$A$18,$A$18))/4,0),ROUNDUP(IF(MOD(AN$18+INDEX(_xlfn.TEXTSPLIT(AN87,",",),0,2)+$A$18,$A$18)=0,$A$18,MOD(AN$18+INDEX(_xlfn.TEXTSPLIT(AN87,",",),0,2)+$A$18,$A$18))/4,0)))+(INDEX($AD$2:$AK$9,ROUNDUP(IF(MOD($A32+INDEX(_xlfn.TEXTSPLIT(AN130,",",),0,1)+$A$18,$A$18)=0,$A$18,MOD($A32+INDEX(_xlfn.TEXTSPLIT(AN130,",",),0,1)+$A$18,$A$18))/5,0),ROUNDUP(IF(MOD(AN$18+INDEX(_xlfn.TEXTSPLIT(AN130,",",),0,2)+$A$18,$A$18)=0,$A$18,MOD(AN$18+INDEX(_xlfn.TEXTSPLIT(AN130,",",),0,2)+$A$18,$A$18))/5,0)))</f>
        <v>5</v>
      </c>
      <c r="AO32" s="1" cm="1">
        <f t="array" aca="1" ref="AO32" ca="1">(INDEX($K$2:$T$11,ROUNDUP(IF(MOD($A32+INDEX(_xlfn.TEXTSPLIT(AO87,",",),0,1)+$A$18,$A$18)=0,$A$18,MOD($A32+INDEX(_xlfn.TEXTSPLIT(AO87,",",),0,1)+$A$18,$A$18))/4,0),ROUNDUP(IF(MOD(AO$18+INDEX(_xlfn.TEXTSPLIT(AO87,",",),0,2)+$A$18,$A$18)=0,$A$18,MOD(AO$18+INDEX(_xlfn.TEXTSPLIT(AO87,",",),0,2)+$A$18,$A$18))/4,0)))+(INDEX($AD$2:$AK$9,ROUNDUP(IF(MOD($A32+INDEX(_xlfn.TEXTSPLIT(AO130,",",),0,1)+$A$18,$A$18)=0,$A$18,MOD($A32+INDEX(_xlfn.TEXTSPLIT(AO130,",",),0,1)+$A$18,$A$18))/5,0),ROUNDUP(IF(MOD(AO$18+INDEX(_xlfn.TEXTSPLIT(AO130,",",),0,2)+$A$18,$A$18)=0,$A$18,MOD(AO$18+INDEX(_xlfn.TEXTSPLIT(AO130,",",),0,2)+$A$18,$A$18))/5,0)))</f>
        <v>6</v>
      </c>
    </row>
    <row r="33" spans="1:41" ht="12.75">
      <c r="A33" s="1">
        <v>15</v>
      </c>
      <c r="B33" s="1" cm="1">
        <f t="array" aca="1" ref="B33" ca="1">(INDEX($K$2:$T$11,ROUNDUP(IF(MOD($A33+INDEX(_xlfn.TEXTSPLIT(B88,",",),0,1)+$A$18,$A$18)=0,$A$18,MOD($A33+INDEX(_xlfn.TEXTSPLIT(B88,",",),0,1)+$A$18,$A$18))/4,0),ROUNDUP(IF(MOD(B$18+INDEX(_xlfn.TEXTSPLIT(B88,",",),0,2)+$A$18,$A$18)=0,$A$18,MOD(B$18+INDEX(_xlfn.TEXTSPLIT(B88,",",),0,2)+$A$18,$A$18))/4,0)))+(INDEX($AD$2:$AK$9,ROUNDUP(IF(MOD($A33+INDEX(_xlfn.TEXTSPLIT(B131,",",),0,1)+$A$18,$A$18)=0,$A$18,MOD($A33+INDEX(_xlfn.TEXTSPLIT(B131,",",),0,1)+$A$18,$A$18))/5,0),ROUNDUP(IF(MOD(B$18+INDEX(_xlfn.TEXTSPLIT(B131,",",),0,2)+$A$18,$A$18)=0,$A$18,MOD(B$18+INDEX(_xlfn.TEXTSPLIT(B131,",",),0,2)+$A$18,$A$18))/5,0)))</f>
        <v>6</v>
      </c>
      <c r="C33" s="1" cm="1">
        <f t="array" aca="1" ref="C33" ca="1">(INDEX($K$2:$T$11,ROUNDUP(IF(MOD($A33+INDEX(_xlfn.TEXTSPLIT(C88,",",),0,1)+$A$18,$A$18)=0,$A$18,MOD($A33+INDEX(_xlfn.TEXTSPLIT(C88,",",),0,1)+$A$18,$A$18))/4,0),ROUNDUP(IF(MOD(C$18+INDEX(_xlfn.TEXTSPLIT(C88,",",),0,2)+$A$18,$A$18)=0,$A$18,MOD(C$18+INDEX(_xlfn.TEXTSPLIT(C88,",",),0,2)+$A$18,$A$18))/4,0)))+(INDEX($AD$2:$AK$9,ROUNDUP(IF(MOD($A33+INDEX(_xlfn.TEXTSPLIT(C131,",",),0,1)+$A$18,$A$18)=0,$A$18,MOD($A33+INDEX(_xlfn.TEXTSPLIT(C131,",",),0,1)+$A$18,$A$18))/5,0),ROUNDUP(IF(MOD(C$18+INDEX(_xlfn.TEXTSPLIT(C131,",",),0,2)+$A$18,$A$18)=0,$A$18,MOD(C$18+INDEX(_xlfn.TEXTSPLIT(C131,",",),0,2)+$A$18,$A$18))/5,0)))</f>
        <v>6</v>
      </c>
      <c r="D33" s="1" cm="1">
        <f t="array" aca="1" ref="D33" ca="1">(INDEX($K$2:$T$11,ROUNDUP(IF(MOD($A33+INDEX(_xlfn.TEXTSPLIT(D88,",",),0,1)+$A$18,$A$18)=0,$A$18,MOD($A33+INDEX(_xlfn.TEXTSPLIT(D88,",",),0,1)+$A$18,$A$18))/4,0),ROUNDUP(IF(MOD(D$18+INDEX(_xlfn.TEXTSPLIT(D88,",",),0,2)+$A$18,$A$18)=0,$A$18,MOD(D$18+INDEX(_xlfn.TEXTSPLIT(D88,",",),0,2)+$A$18,$A$18))/4,0)))+(INDEX($AD$2:$AK$9,ROUNDUP(IF(MOD($A33+INDEX(_xlfn.TEXTSPLIT(D131,",",),0,1)+$A$18,$A$18)=0,$A$18,MOD($A33+INDEX(_xlfn.TEXTSPLIT(D131,",",),0,1)+$A$18,$A$18))/5,0),ROUNDUP(IF(MOD(D$18+INDEX(_xlfn.TEXTSPLIT(D131,",",),0,2)+$A$18,$A$18)=0,$A$18,MOD(D$18+INDEX(_xlfn.TEXTSPLIT(D131,",",),0,2)+$A$18,$A$18))/5,0)))</f>
        <v>6</v>
      </c>
      <c r="E33" s="1" cm="1">
        <f t="array" aca="1" ref="E33" ca="1">(INDEX($K$2:$T$11,ROUNDUP(IF(MOD($A33+INDEX(_xlfn.TEXTSPLIT(E88,",",),0,1)+$A$18,$A$18)=0,$A$18,MOD($A33+INDEX(_xlfn.TEXTSPLIT(E88,",",),0,1)+$A$18,$A$18))/4,0),ROUNDUP(IF(MOD(E$18+INDEX(_xlfn.TEXTSPLIT(E88,",",),0,2)+$A$18,$A$18)=0,$A$18,MOD(E$18+INDEX(_xlfn.TEXTSPLIT(E88,",",),0,2)+$A$18,$A$18))/4,0)))+(INDEX($AD$2:$AK$9,ROUNDUP(IF(MOD($A33+INDEX(_xlfn.TEXTSPLIT(E131,",",),0,1)+$A$18,$A$18)=0,$A$18,MOD($A33+INDEX(_xlfn.TEXTSPLIT(E131,",",),0,1)+$A$18,$A$18))/5,0),ROUNDUP(IF(MOD(E$18+INDEX(_xlfn.TEXTSPLIT(E131,",",),0,2)+$A$18,$A$18)=0,$A$18,MOD(E$18+INDEX(_xlfn.TEXTSPLIT(E131,",",),0,2)+$A$18,$A$18))/5,0)))</f>
        <v>6</v>
      </c>
      <c r="F33" s="1" cm="1">
        <f t="array" aca="1" ref="F33" ca="1">(INDEX($K$2:$T$11,ROUNDUP(IF(MOD($A33+INDEX(_xlfn.TEXTSPLIT(F88,",",),0,1)+$A$18,$A$18)=0,$A$18,MOD($A33+INDEX(_xlfn.TEXTSPLIT(F88,",",),0,1)+$A$18,$A$18))/4,0),ROUNDUP(IF(MOD(F$18+INDEX(_xlfn.TEXTSPLIT(F88,",",),0,2)+$A$18,$A$18)=0,$A$18,MOD(F$18+INDEX(_xlfn.TEXTSPLIT(F88,",",),0,2)+$A$18,$A$18))/4,0)))+(INDEX($AD$2:$AK$9,ROUNDUP(IF(MOD($A33+INDEX(_xlfn.TEXTSPLIT(F131,",",),0,1)+$A$18,$A$18)=0,$A$18,MOD($A33+INDEX(_xlfn.TEXTSPLIT(F131,",",),0,1)+$A$18,$A$18))/5,0),ROUNDUP(IF(MOD(F$18+INDEX(_xlfn.TEXTSPLIT(F131,",",),0,2)+$A$18,$A$18)=0,$A$18,MOD(F$18+INDEX(_xlfn.TEXTSPLIT(F131,",",),0,2)+$A$18,$A$18))/5,0)))</f>
        <v>6</v>
      </c>
      <c r="G33" s="1" cm="1">
        <f t="array" aca="1" ref="G33" ca="1">(INDEX($K$2:$T$11,ROUNDUP(IF(MOD($A33+INDEX(_xlfn.TEXTSPLIT(G88,",",),0,1)+$A$18,$A$18)=0,$A$18,MOD($A33+INDEX(_xlfn.TEXTSPLIT(G88,",",),0,1)+$A$18,$A$18))/4,0),ROUNDUP(IF(MOD(G$18+INDEX(_xlfn.TEXTSPLIT(G88,",",),0,2)+$A$18,$A$18)=0,$A$18,MOD(G$18+INDEX(_xlfn.TEXTSPLIT(G88,",",),0,2)+$A$18,$A$18))/4,0)))+(INDEX($AD$2:$AK$9,ROUNDUP(IF(MOD($A33+INDEX(_xlfn.TEXTSPLIT(G131,",",),0,1)+$A$18,$A$18)=0,$A$18,MOD($A33+INDEX(_xlfn.TEXTSPLIT(G131,",",),0,1)+$A$18,$A$18))/5,0),ROUNDUP(IF(MOD(G$18+INDEX(_xlfn.TEXTSPLIT(G131,",",),0,2)+$A$18,$A$18)=0,$A$18,MOD(G$18+INDEX(_xlfn.TEXTSPLIT(G131,",",),0,2)+$A$18,$A$18))/5,0)))</f>
        <v>7</v>
      </c>
      <c r="H33" s="1" cm="1">
        <f t="array" aca="1" ref="H33" ca="1">(INDEX($K$2:$T$11,ROUNDUP(IF(MOD($A33+INDEX(_xlfn.TEXTSPLIT(H88,",",),0,1)+$A$18,$A$18)=0,$A$18,MOD($A33+INDEX(_xlfn.TEXTSPLIT(H88,",",),0,1)+$A$18,$A$18))/4,0),ROUNDUP(IF(MOD(H$18+INDEX(_xlfn.TEXTSPLIT(H88,",",),0,2)+$A$18,$A$18)=0,$A$18,MOD(H$18+INDEX(_xlfn.TEXTSPLIT(H88,",",),0,2)+$A$18,$A$18))/4,0)))+(INDEX($AD$2:$AK$9,ROUNDUP(IF(MOD($A33+INDEX(_xlfn.TEXTSPLIT(H131,",",),0,1)+$A$18,$A$18)=0,$A$18,MOD($A33+INDEX(_xlfn.TEXTSPLIT(H131,",",),0,1)+$A$18,$A$18))/5,0),ROUNDUP(IF(MOD(H$18+INDEX(_xlfn.TEXTSPLIT(H131,",",),0,2)+$A$18,$A$18)=0,$A$18,MOD(H$18+INDEX(_xlfn.TEXTSPLIT(H131,",",),0,2)+$A$18,$A$18))/5,0)))</f>
        <v>6</v>
      </c>
      <c r="I33" s="1" cm="1">
        <f t="array" aca="1" ref="I33" ca="1">(INDEX($K$2:$T$11,ROUNDUP(IF(MOD($A33+INDEX(_xlfn.TEXTSPLIT(I88,",",),0,1)+$A$18,$A$18)=0,$A$18,MOD($A33+INDEX(_xlfn.TEXTSPLIT(I88,",",),0,1)+$A$18,$A$18))/4,0),ROUNDUP(IF(MOD(I$18+INDEX(_xlfn.TEXTSPLIT(I88,",",),0,2)+$A$18,$A$18)=0,$A$18,MOD(I$18+INDEX(_xlfn.TEXTSPLIT(I88,",",),0,2)+$A$18,$A$18))/4,0)))+(INDEX($AD$2:$AK$9,ROUNDUP(IF(MOD($A33+INDEX(_xlfn.TEXTSPLIT(I131,",",),0,1)+$A$18,$A$18)=0,$A$18,MOD($A33+INDEX(_xlfn.TEXTSPLIT(I131,",",),0,1)+$A$18,$A$18))/5,0),ROUNDUP(IF(MOD(I$18+INDEX(_xlfn.TEXTSPLIT(I131,",",),0,2)+$A$18,$A$18)=0,$A$18,MOD(I$18+INDEX(_xlfn.TEXTSPLIT(I131,",",),0,2)+$A$18,$A$18))/5,0)))</f>
        <v>7</v>
      </c>
      <c r="J33" s="1" cm="1">
        <f t="array" aca="1" ref="J33" ca="1">(INDEX($K$2:$T$11,ROUNDUP(IF(MOD($A33+INDEX(_xlfn.TEXTSPLIT(J88,",",),0,1)+$A$18,$A$18)=0,$A$18,MOD($A33+INDEX(_xlfn.TEXTSPLIT(J88,",",),0,1)+$A$18,$A$18))/4,0),ROUNDUP(IF(MOD(J$18+INDEX(_xlfn.TEXTSPLIT(J88,",",),0,2)+$A$18,$A$18)=0,$A$18,MOD(J$18+INDEX(_xlfn.TEXTSPLIT(J88,",",),0,2)+$A$18,$A$18))/4,0)))+(INDEX($AD$2:$AK$9,ROUNDUP(IF(MOD($A33+INDEX(_xlfn.TEXTSPLIT(J131,",",),0,1)+$A$18,$A$18)=0,$A$18,MOD($A33+INDEX(_xlfn.TEXTSPLIT(J131,",",),0,1)+$A$18,$A$18))/5,0),ROUNDUP(IF(MOD(J$18+INDEX(_xlfn.TEXTSPLIT(J131,",",),0,2)+$A$18,$A$18)=0,$A$18,MOD(J$18+INDEX(_xlfn.TEXTSPLIT(J131,",",),0,2)+$A$18,$A$18))/5,0)))</f>
        <v>7</v>
      </c>
      <c r="K33" s="1" cm="1">
        <f t="array" aca="1" ref="K33" ca="1">(INDEX($K$2:$T$11,ROUNDUP(IF(MOD($A33+INDEX(_xlfn.TEXTSPLIT(K88,",",),0,1)+$A$18,$A$18)=0,$A$18,MOD($A33+INDEX(_xlfn.TEXTSPLIT(K88,",",),0,1)+$A$18,$A$18))/4,0),ROUNDUP(IF(MOD(K$18+INDEX(_xlfn.TEXTSPLIT(K88,",",),0,2)+$A$18,$A$18)=0,$A$18,MOD(K$18+INDEX(_xlfn.TEXTSPLIT(K88,",",),0,2)+$A$18,$A$18))/4,0)))+(INDEX($AD$2:$AK$9,ROUNDUP(IF(MOD($A33+INDEX(_xlfn.TEXTSPLIT(K131,",",),0,1)+$A$18,$A$18)=0,$A$18,MOD($A33+INDEX(_xlfn.TEXTSPLIT(K131,",",),0,1)+$A$18,$A$18))/5,0),ROUNDUP(IF(MOD(K$18+INDEX(_xlfn.TEXTSPLIT(K131,",",),0,2)+$A$18,$A$18)=0,$A$18,MOD(K$18+INDEX(_xlfn.TEXTSPLIT(K131,",",),0,2)+$A$18,$A$18))/5,0)))</f>
        <v>7</v>
      </c>
      <c r="L33" s="1" cm="1">
        <f t="array" aca="1" ref="L33" ca="1">(INDEX($K$2:$T$11,ROUNDUP(IF(MOD($A33+INDEX(_xlfn.TEXTSPLIT(L88,",",),0,1)+$A$18,$A$18)=0,$A$18,MOD($A33+INDEX(_xlfn.TEXTSPLIT(L88,",",),0,1)+$A$18,$A$18))/4,0),ROUNDUP(IF(MOD(L$18+INDEX(_xlfn.TEXTSPLIT(L88,",",),0,2)+$A$18,$A$18)=0,$A$18,MOD(L$18+INDEX(_xlfn.TEXTSPLIT(L88,",",),0,2)+$A$18,$A$18))/4,0)))+(INDEX($AD$2:$AK$9,ROUNDUP(IF(MOD($A33+INDEX(_xlfn.TEXTSPLIT(L131,",",),0,1)+$A$18,$A$18)=0,$A$18,MOD($A33+INDEX(_xlfn.TEXTSPLIT(L131,",",),0,1)+$A$18,$A$18))/5,0),ROUNDUP(IF(MOD(L$18+INDEX(_xlfn.TEXTSPLIT(L131,",",),0,2)+$A$18,$A$18)=0,$A$18,MOD(L$18+INDEX(_xlfn.TEXTSPLIT(L131,",",),0,2)+$A$18,$A$18))/5,0)))</f>
        <v>7</v>
      </c>
      <c r="M33" s="1" cm="1">
        <f t="array" aca="1" ref="M33" ca="1">(INDEX($K$2:$T$11,ROUNDUP(IF(MOD($A33+INDEX(_xlfn.TEXTSPLIT(M88,",",),0,1)+$A$18,$A$18)=0,$A$18,MOD($A33+INDEX(_xlfn.TEXTSPLIT(M88,",",),0,1)+$A$18,$A$18))/4,0),ROUNDUP(IF(MOD(M$18+INDEX(_xlfn.TEXTSPLIT(M88,",",),0,2)+$A$18,$A$18)=0,$A$18,MOD(M$18+INDEX(_xlfn.TEXTSPLIT(M88,",",),0,2)+$A$18,$A$18))/4,0)))+(INDEX($AD$2:$AK$9,ROUNDUP(IF(MOD($A33+INDEX(_xlfn.TEXTSPLIT(M131,",",),0,1)+$A$18,$A$18)=0,$A$18,MOD($A33+INDEX(_xlfn.TEXTSPLIT(M131,",",),0,1)+$A$18,$A$18))/5,0),ROUNDUP(IF(MOD(M$18+INDEX(_xlfn.TEXTSPLIT(M131,",",),0,2)+$A$18,$A$18)=0,$A$18,MOD(M$18+INDEX(_xlfn.TEXTSPLIT(M131,",",),0,2)+$A$18,$A$18))/5,0)))</f>
        <v>7</v>
      </c>
      <c r="N33" s="1" cm="1">
        <f t="array" aca="1" ref="N33" ca="1">(INDEX($K$2:$T$11,ROUNDUP(IF(MOD($A33+INDEX(_xlfn.TEXTSPLIT(N88,",",),0,1)+$A$18,$A$18)=0,$A$18,MOD($A33+INDEX(_xlfn.TEXTSPLIT(N88,",",),0,1)+$A$18,$A$18))/4,0),ROUNDUP(IF(MOD(N$18+INDEX(_xlfn.TEXTSPLIT(N88,",",),0,2)+$A$18,$A$18)=0,$A$18,MOD(N$18+INDEX(_xlfn.TEXTSPLIT(N88,",",),0,2)+$A$18,$A$18))/4,0)))+(INDEX($AD$2:$AK$9,ROUNDUP(IF(MOD($A33+INDEX(_xlfn.TEXTSPLIT(N131,",",),0,1)+$A$18,$A$18)=0,$A$18,MOD($A33+INDEX(_xlfn.TEXTSPLIT(N131,",",),0,1)+$A$18,$A$18))/5,0),ROUNDUP(IF(MOD(N$18+INDEX(_xlfn.TEXTSPLIT(N131,",",),0,2)+$A$18,$A$18)=0,$A$18,MOD(N$18+INDEX(_xlfn.TEXTSPLIT(N131,",",),0,2)+$A$18,$A$18))/5,0)))</f>
        <v>7</v>
      </c>
      <c r="O33" s="1" cm="1">
        <f t="array" aca="1" ref="O33" ca="1">(INDEX($K$2:$T$11,ROUNDUP(IF(MOD($A33+INDEX(_xlfn.TEXTSPLIT(O88,",",),0,1)+$A$18,$A$18)=0,$A$18,MOD($A33+INDEX(_xlfn.TEXTSPLIT(O88,",",),0,1)+$A$18,$A$18))/4,0),ROUNDUP(IF(MOD(O$18+INDEX(_xlfn.TEXTSPLIT(O88,",",),0,2)+$A$18,$A$18)=0,$A$18,MOD(O$18+INDEX(_xlfn.TEXTSPLIT(O88,",",),0,2)+$A$18,$A$18))/4,0)))+(INDEX($AD$2:$AK$9,ROUNDUP(IF(MOD($A33+INDEX(_xlfn.TEXTSPLIT(O131,",",),0,1)+$A$18,$A$18)=0,$A$18,MOD($A33+INDEX(_xlfn.TEXTSPLIT(O131,",",),0,1)+$A$18,$A$18))/5,0),ROUNDUP(IF(MOD(O$18+INDEX(_xlfn.TEXTSPLIT(O131,",",),0,2)+$A$18,$A$18)=0,$A$18,MOD(O$18+INDEX(_xlfn.TEXTSPLIT(O131,",",),0,2)+$A$18,$A$18))/5,0)))</f>
        <v>7</v>
      </c>
      <c r="P33" s="1" cm="1">
        <f t="array" aca="1" ref="P33" ca="1">(INDEX($K$2:$T$11,ROUNDUP(IF(MOD($A33+INDEX(_xlfn.TEXTSPLIT(P88,",",),0,1)+$A$18,$A$18)=0,$A$18,MOD($A33+INDEX(_xlfn.TEXTSPLIT(P88,",",),0,1)+$A$18,$A$18))/4,0),ROUNDUP(IF(MOD(P$18+INDEX(_xlfn.TEXTSPLIT(P88,",",),0,2)+$A$18,$A$18)=0,$A$18,MOD(P$18+INDEX(_xlfn.TEXTSPLIT(P88,",",),0,2)+$A$18,$A$18))/4,0)))+(INDEX($AD$2:$AK$9,ROUNDUP(IF(MOD($A33+INDEX(_xlfn.TEXTSPLIT(P131,",",),0,1)+$A$18,$A$18)=0,$A$18,MOD($A33+INDEX(_xlfn.TEXTSPLIT(P131,",",),0,1)+$A$18,$A$18))/5,0),ROUNDUP(IF(MOD(P$18+INDEX(_xlfn.TEXTSPLIT(P131,",",),0,2)+$A$18,$A$18)=0,$A$18,MOD(P$18+INDEX(_xlfn.TEXTSPLIT(P131,",",),0,2)+$A$18,$A$18))/5,0)))</f>
        <v>5</v>
      </c>
      <c r="Q33" s="1" cm="1">
        <f t="array" aca="1" ref="Q33" ca="1">(INDEX($K$2:$T$11,ROUNDUP(IF(MOD($A33+INDEX(_xlfn.TEXTSPLIT(Q88,",",),0,1)+$A$18,$A$18)=0,$A$18,MOD($A33+INDEX(_xlfn.TEXTSPLIT(Q88,",",),0,1)+$A$18,$A$18))/4,0),ROUNDUP(IF(MOD(Q$18+INDEX(_xlfn.TEXTSPLIT(Q88,",",),0,2)+$A$18,$A$18)=0,$A$18,MOD(Q$18+INDEX(_xlfn.TEXTSPLIT(Q88,",",),0,2)+$A$18,$A$18))/4,0)))+(INDEX($AD$2:$AK$9,ROUNDUP(IF(MOD($A33+INDEX(_xlfn.TEXTSPLIT(Q131,",",),0,1)+$A$18,$A$18)=0,$A$18,MOD($A33+INDEX(_xlfn.TEXTSPLIT(Q131,",",),0,1)+$A$18,$A$18))/5,0),ROUNDUP(IF(MOD(Q$18+INDEX(_xlfn.TEXTSPLIT(Q131,",",),0,2)+$A$18,$A$18)=0,$A$18,MOD(Q$18+INDEX(_xlfn.TEXTSPLIT(Q131,",",),0,2)+$A$18,$A$18))/5,0)))</f>
        <v>5</v>
      </c>
      <c r="R33" s="1" cm="1">
        <f t="array" aca="1" ref="R33" ca="1">(INDEX($K$2:$T$11,ROUNDUP(IF(MOD($A33+INDEX(_xlfn.TEXTSPLIT(R88,",",),0,1)+$A$18,$A$18)=0,$A$18,MOD($A33+INDEX(_xlfn.TEXTSPLIT(R88,",",),0,1)+$A$18,$A$18))/4,0),ROUNDUP(IF(MOD(R$18+INDEX(_xlfn.TEXTSPLIT(R88,",",),0,2)+$A$18,$A$18)=0,$A$18,MOD(R$18+INDEX(_xlfn.TEXTSPLIT(R88,",",),0,2)+$A$18,$A$18))/4,0)))+(INDEX($AD$2:$AK$9,ROUNDUP(IF(MOD($A33+INDEX(_xlfn.TEXTSPLIT(R131,",",),0,1)+$A$18,$A$18)=0,$A$18,MOD($A33+INDEX(_xlfn.TEXTSPLIT(R131,",",),0,1)+$A$18,$A$18))/5,0),ROUNDUP(IF(MOD(R$18+INDEX(_xlfn.TEXTSPLIT(R131,",",),0,2)+$A$18,$A$18)=0,$A$18,MOD(R$18+INDEX(_xlfn.TEXTSPLIT(R131,",",),0,2)+$A$18,$A$18))/5,0)))</f>
        <v>7</v>
      </c>
      <c r="S33" s="1" cm="1">
        <f t="array" aca="1" ref="S33" ca="1">(INDEX($K$2:$T$11,ROUNDUP(IF(MOD($A33+INDEX(_xlfn.TEXTSPLIT(S88,",",),0,1)+$A$18,$A$18)=0,$A$18,MOD($A33+INDEX(_xlfn.TEXTSPLIT(S88,",",),0,1)+$A$18,$A$18))/4,0),ROUNDUP(IF(MOD(S$18+INDEX(_xlfn.TEXTSPLIT(S88,",",),0,2)+$A$18,$A$18)=0,$A$18,MOD(S$18+INDEX(_xlfn.TEXTSPLIT(S88,",",),0,2)+$A$18,$A$18))/4,0)))+(INDEX($AD$2:$AK$9,ROUNDUP(IF(MOD($A33+INDEX(_xlfn.TEXTSPLIT(S131,",",),0,1)+$A$18,$A$18)=0,$A$18,MOD($A33+INDEX(_xlfn.TEXTSPLIT(S131,",",),0,1)+$A$18,$A$18))/5,0),ROUNDUP(IF(MOD(S$18+INDEX(_xlfn.TEXTSPLIT(S131,",",),0,2)+$A$18,$A$18)=0,$A$18,MOD(S$18+INDEX(_xlfn.TEXTSPLIT(S131,",",),0,2)+$A$18,$A$18))/5,0)))</f>
        <v>7</v>
      </c>
      <c r="T33" s="1" cm="1">
        <f t="array" aca="1" ref="T33" ca="1">(INDEX($K$2:$T$11,ROUNDUP(IF(MOD($A33+INDEX(_xlfn.TEXTSPLIT(T88,",",),0,1)+$A$18,$A$18)=0,$A$18,MOD($A33+INDEX(_xlfn.TEXTSPLIT(T88,",",),0,1)+$A$18,$A$18))/4,0),ROUNDUP(IF(MOD(T$18+INDEX(_xlfn.TEXTSPLIT(T88,",",),0,2)+$A$18,$A$18)=0,$A$18,MOD(T$18+INDEX(_xlfn.TEXTSPLIT(T88,",",),0,2)+$A$18,$A$18))/4,0)))+(INDEX($AD$2:$AK$9,ROUNDUP(IF(MOD($A33+INDEX(_xlfn.TEXTSPLIT(T131,",",),0,1)+$A$18,$A$18)=0,$A$18,MOD($A33+INDEX(_xlfn.TEXTSPLIT(T131,",",),0,1)+$A$18,$A$18))/5,0),ROUNDUP(IF(MOD(T$18+INDEX(_xlfn.TEXTSPLIT(T131,",",),0,2)+$A$18,$A$18)=0,$A$18,MOD(T$18+INDEX(_xlfn.TEXTSPLIT(T131,",",),0,2)+$A$18,$A$18))/5,0)))</f>
        <v>5</v>
      </c>
      <c r="U33" s="1" cm="1">
        <f t="array" aca="1" ref="U33" ca="1">(INDEX($K$2:$T$11,ROUNDUP(IF(MOD($A33+INDEX(_xlfn.TEXTSPLIT(U88,",",),0,1)+$A$18,$A$18)=0,$A$18,MOD($A33+INDEX(_xlfn.TEXTSPLIT(U88,",",),0,1)+$A$18,$A$18))/4,0),ROUNDUP(IF(MOD(U$18+INDEX(_xlfn.TEXTSPLIT(U88,",",),0,2)+$A$18,$A$18)=0,$A$18,MOD(U$18+INDEX(_xlfn.TEXTSPLIT(U88,",",),0,2)+$A$18,$A$18))/4,0)))+(INDEX($AD$2:$AK$9,ROUNDUP(IF(MOD($A33+INDEX(_xlfn.TEXTSPLIT(U131,",",),0,1)+$A$18,$A$18)=0,$A$18,MOD($A33+INDEX(_xlfn.TEXTSPLIT(U131,",",),0,1)+$A$18,$A$18))/5,0),ROUNDUP(IF(MOD(U$18+INDEX(_xlfn.TEXTSPLIT(U131,",",),0,2)+$A$18,$A$18)=0,$A$18,MOD(U$18+INDEX(_xlfn.TEXTSPLIT(U131,",",),0,2)+$A$18,$A$18))/5,0)))</f>
        <v>1</v>
      </c>
      <c r="V33" s="1" cm="1">
        <f t="array" aca="1" ref="V33" ca="1">(INDEX($K$2:$T$11,ROUNDUP(IF(MOD($A33+INDEX(_xlfn.TEXTSPLIT(V88,",",),0,1)+$A$18,$A$18)=0,$A$18,MOD($A33+INDEX(_xlfn.TEXTSPLIT(V88,",",),0,1)+$A$18,$A$18))/4,0),ROUNDUP(IF(MOD(V$18+INDEX(_xlfn.TEXTSPLIT(V88,",",),0,2)+$A$18,$A$18)=0,$A$18,MOD(V$18+INDEX(_xlfn.TEXTSPLIT(V88,",",),0,2)+$A$18,$A$18))/4,0)))+(INDEX($AD$2:$AK$9,ROUNDUP(IF(MOD($A33+INDEX(_xlfn.TEXTSPLIT(V131,",",),0,1)+$A$18,$A$18)=0,$A$18,MOD($A33+INDEX(_xlfn.TEXTSPLIT(V131,",",),0,1)+$A$18,$A$18))/5,0),ROUNDUP(IF(MOD(V$18+INDEX(_xlfn.TEXTSPLIT(V131,",",),0,2)+$A$18,$A$18)=0,$A$18,MOD(V$18+INDEX(_xlfn.TEXTSPLIT(V131,",",),0,2)+$A$18,$A$18))/5,0)))</f>
        <v>7</v>
      </c>
      <c r="W33" s="1" cm="1">
        <f t="array" aca="1" ref="W33" ca="1">(INDEX($K$2:$T$11,ROUNDUP(IF(MOD($A33+INDEX(_xlfn.TEXTSPLIT(W88,",",),0,1)+$A$18,$A$18)=0,$A$18,MOD($A33+INDEX(_xlfn.TEXTSPLIT(W88,",",),0,1)+$A$18,$A$18))/4,0),ROUNDUP(IF(MOD(W$18+INDEX(_xlfn.TEXTSPLIT(W88,",",),0,2)+$A$18,$A$18)=0,$A$18,MOD(W$18+INDEX(_xlfn.TEXTSPLIT(W88,",",),0,2)+$A$18,$A$18))/4,0)))+(INDEX($AD$2:$AK$9,ROUNDUP(IF(MOD($A33+INDEX(_xlfn.TEXTSPLIT(W131,",",),0,1)+$A$18,$A$18)=0,$A$18,MOD($A33+INDEX(_xlfn.TEXTSPLIT(W131,",",),0,1)+$A$18,$A$18))/5,0),ROUNDUP(IF(MOD(W$18+INDEX(_xlfn.TEXTSPLIT(W131,",",),0,2)+$A$18,$A$18)=0,$A$18,MOD(W$18+INDEX(_xlfn.TEXTSPLIT(W131,",",),0,2)+$A$18,$A$18))/5,0)))</f>
        <v>3</v>
      </c>
      <c r="X33" s="1" cm="1">
        <f t="array" aca="1" ref="X33" ca="1">(INDEX($K$2:$T$11,ROUNDUP(IF(MOD($A33+INDEX(_xlfn.TEXTSPLIT(X88,",",),0,1)+$A$18,$A$18)=0,$A$18,MOD($A33+INDEX(_xlfn.TEXTSPLIT(X88,",",),0,1)+$A$18,$A$18))/4,0),ROUNDUP(IF(MOD(X$18+INDEX(_xlfn.TEXTSPLIT(X88,",",),0,2)+$A$18,$A$18)=0,$A$18,MOD(X$18+INDEX(_xlfn.TEXTSPLIT(X88,",",),0,2)+$A$18,$A$18))/4,0)))+(INDEX($AD$2:$AK$9,ROUNDUP(IF(MOD($A33+INDEX(_xlfn.TEXTSPLIT(X131,",",),0,1)+$A$18,$A$18)=0,$A$18,MOD($A33+INDEX(_xlfn.TEXTSPLIT(X131,",",),0,1)+$A$18,$A$18))/5,0),ROUNDUP(IF(MOD(X$18+INDEX(_xlfn.TEXTSPLIT(X131,",",),0,2)+$A$18,$A$18)=0,$A$18,MOD(X$18+INDEX(_xlfn.TEXTSPLIT(X131,",",),0,2)+$A$18,$A$18))/5,0)))</f>
        <v>3</v>
      </c>
      <c r="Y33" s="1" cm="1">
        <f t="array" aca="1" ref="Y33" ca="1">(INDEX($K$2:$T$11,ROUNDUP(IF(MOD($A33+INDEX(_xlfn.TEXTSPLIT(Y88,",",),0,1)+$A$18,$A$18)=0,$A$18,MOD($A33+INDEX(_xlfn.TEXTSPLIT(Y88,",",),0,1)+$A$18,$A$18))/4,0),ROUNDUP(IF(MOD(Y$18+INDEX(_xlfn.TEXTSPLIT(Y88,",",),0,2)+$A$18,$A$18)=0,$A$18,MOD(Y$18+INDEX(_xlfn.TEXTSPLIT(Y88,",",),0,2)+$A$18,$A$18))/4,0)))+(INDEX($AD$2:$AK$9,ROUNDUP(IF(MOD($A33+INDEX(_xlfn.TEXTSPLIT(Y131,",",),0,1)+$A$18,$A$18)=0,$A$18,MOD($A33+INDEX(_xlfn.TEXTSPLIT(Y131,",",),0,1)+$A$18,$A$18))/5,0),ROUNDUP(IF(MOD(Y$18+INDEX(_xlfn.TEXTSPLIT(Y131,",",),0,2)+$A$18,$A$18)=0,$A$18,MOD(Y$18+INDEX(_xlfn.TEXTSPLIT(Y131,",",),0,2)+$A$18,$A$18))/5,0)))</f>
        <v>3</v>
      </c>
      <c r="Z33" s="1" cm="1">
        <f t="array" aca="1" ref="Z33" ca="1">(INDEX($K$2:$T$11,ROUNDUP(IF(MOD($A33+INDEX(_xlfn.TEXTSPLIT(Z88,",",),0,1)+$A$18,$A$18)=0,$A$18,MOD($A33+INDEX(_xlfn.TEXTSPLIT(Z88,",",),0,1)+$A$18,$A$18))/4,0),ROUNDUP(IF(MOD(Z$18+INDEX(_xlfn.TEXTSPLIT(Z88,",",),0,2)+$A$18,$A$18)=0,$A$18,MOD(Z$18+INDEX(_xlfn.TEXTSPLIT(Z88,",",),0,2)+$A$18,$A$18))/4,0)))+(INDEX($AD$2:$AK$9,ROUNDUP(IF(MOD($A33+INDEX(_xlfn.TEXTSPLIT(Z131,",",),0,1)+$A$18,$A$18)=0,$A$18,MOD($A33+INDEX(_xlfn.TEXTSPLIT(Z131,",",),0,1)+$A$18,$A$18))/5,0),ROUNDUP(IF(MOD(Z$18+INDEX(_xlfn.TEXTSPLIT(Z131,",",),0,2)+$A$18,$A$18)=0,$A$18,MOD(Z$18+INDEX(_xlfn.TEXTSPLIT(Z131,",",),0,2)+$A$18,$A$18))/5,0)))</f>
        <v>7</v>
      </c>
      <c r="AA33" s="1" cm="1">
        <f t="array" aca="1" ref="AA33" ca="1">(INDEX($K$2:$T$11,ROUNDUP(IF(MOD($A33+INDEX(_xlfn.TEXTSPLIT(AA88,",",),0,1)+$A$18,$A$18)=0,$A$18,MOD($A33+INDEX(_xlfn.TEXTSPLIT(AA88,",",),0,1)+$A$18,$A$18))/4,0),ROUNDUP(IF(MOD(AA$18+INDEX(_xlfn.TEXTSPLIT(AA88,",",),0,2)+$A$18,$A$18)=0,$A$18,MOD(AA$18+INDEX(_xlfn.TEXTSPLIT(AA88,",",),0,2)+$A$18,$A$18))/4,0)))+(INDEX($AD$2:$AK$9,ROUNDUP(IF(MOD($A33+INDEX(_xlfn.TEXTSPLIT(AA131,",",),0,1)+$A$18,$A$18)=0,$A$18,MOD($A33+INDEX(_xlfn.TEXTSPLIT(AA131,",",),0,1)+$A$18,$A$18))/5,0),ROUNDUP(IF(MOD(AA$18+INDEX(_xlfn.TEXTSPLIT(AA131,",",),0,2)+$A$18,$A$18)=0,$A$18,MOD(AA$18+INDEX(_xlfn.TEXTSPLIT(AA131,",",),0,2)+$A$18,$A$18))/5,0)))</f>
        <v>8</v>
      </c>
      <c r="AB33" s="1" cm="1">
        <f t="array" aca="1" ref="AB33" ca="1">(INDEX($K$2:$T$11,ROUNDUP(IF(MOD($A33+INDEX(_xlfn.TEXTSPLIT(AB88,",",),0,1)+$A$18,$A$18)=0,$A$18,MOD($A33+INDEX(_xlfn.TEXTSPLIT(AB88,",",),0,1)+$A$18,$A$18))/4,0),ROUNDUP(IF(MOD(AB$18+INDEX(_xlfn.TEXTSPLIT(AB88,",",),0,2)+$A$18,$A$18)=0,$A$18,MOD(AB$18+INDEX(_xlfn.TEXTSPLIT(AB88,",",),0,2)+$A$18,$A$18))/4,0)))+(INDEX($AD$2:$AK$9,ROUNDUP(IF(MOD($A33+INDEX(_xlfn.TEXTSPLIT(AB131,",",),0,1)+$A$18,$A$18)=0,$A$18,MOD($A33+INDEX(_xlfn.TEXTSPLIT(AB131,",",),0,1)+$A$18,$A$18))/5,0),ROUNDUP(IF(MOD(AB$18+INDEX(_xlfn.TEXTSPLIT(AB131,",",),0,2)+$A$18,$A$18)=0,$A$18,MOD(AB$18+INDEX(_xlfn.TEXTSPLIT(AB131,",",),0,2)+$A$18,$A$18))/5,0)))</f>
        <v>5</v>
      </c>
      <c r="AC33" s="1" cm="1">
        <f t="array" aca="1" ref="AC33" ca="1">(INDEX($K$2:$T$11,ROUNDUP(IF(MOD($A33+INDEX(_xlfn.TEXTSPLIT(AC88,",",),0,1)+$A$18,$A$18)=0,$A$18,MOD($A33+INDEX(_xlfn.TEXTSPLIT(AC88,",",),0,1)+$A$18,$A$18))/4,0),ROUNDUP(IF(MOD(AC$18+INDEX(_xlfn.TEXTSPLIT(AC88,",",),0,2)+$A$18,$A$18)=0,$A$18,MOD(AC$18+INDEX(_xlfn.TEXTSPLIT(AC88,",",),0,2)+$A$18,$A$18))/4,0)))+(INDEX($AD$2:$AK$9,ROUNDUP(IF(MOD($A33+INDEX(_xlfn.TEXTSPLIT(AC131,",",),0,1)+$A$18,$A$18)=0,$A$18,MOD($A33+INDEX(_xlfn.TEXTSPLIT(AC131,",",),0,1)+$A$18,$A$18))/5,0),ROUNDUP(IF(MOD(AC$18+INDEX(_xlfn.TEXTSPLIT(AC131,",",),0,2)+$A$18,$A$18)=0,$A$18,MOD(AC$18+INDEX(_xlfn.TEXTSPLIT(AC131,",",),0,2)+$A$18,$A$18))/5,0)))</f>
        <v>5</v>
      </c>
      <c r="AD33" s="1" cm="1">
        <f t="array" aca="1" ref="AD33" ca="1">(INDEX($K$2:$T$11,ROUNDUP(IF(MOD($A33+INDEX(_xlfn.TEXTSPLIT(AD88,",",),0,1)+$A$18,$A$18)=0,$A$18,MOD($A33+INDEX(_xlfn.TEXTSPLIT(AD88,",",),0,1)+$A$18,$A$18))/4,0),ROUNDUP(IF(MOD(AD$18+INDEX(_xlfn.TEXTSPLIT(AD88,",",),0,2)+$A$18,$A$18)=0,$A$18,MOD(AD$18+INDEX(_xlfn.TEXTSPLIT(AD88,",",),0,2)+$A$18,$A$18))/4,0)))+(INDEX($AD$2:$AK$9,ROUNDUP(IF(MOD($A33+INDEX(_xlfn.TEXTSPLIT(AD131,",",),0,1)+$A$18,$A$18)=0,$A$18,MOD($A33+INDEX(_xlfn.TEXTSPLIT(AD131,",",),0,1)+$A$18,$A$18))/5,0),ROUNDUP(IF(MOD(AD$18+INDEX(_xlfn.TEXTSPLIT(AD131,",",),0,2)+$A$18,$A$18)=0,$A$18,MOD(AD$18+INDEX(_xlfn.TEXTSPLIT(AD131,",",),0,2)+$A$18,$A$18))/5,0)))</f>
        <v>8</v>
      </c>
      <c r="AE33" s="1" cm="1">
        <f t="array" aca="1" ref="AE33" ca="1">(INDEX($K$2:$T$11,ROUNDUP(IF(MOD($A33+INDEX(_xlfn.TEXTSPLIT(AE88,",",),0,1)+$A$18,$A$18)=0,$A$18,MOD($A33+INDEX(_xlfn.TEXTSPLIT(AE88,",",),0,1)+$A$18,$A$18))/4,0),ROUNDUP(IF(MOD(AE$18+INDEX(_xlfn.TEXTSPLIT(AE88,",",),0,2)+$A$18,$A$18)=0,$A$18,MOD(AE$18+INDEX(_xlfn.TEXTSPLIT(AE88,",",),0,2)+$A$18,$A$18))/4,0)))+(INDEX($AD$2:$AK$9,ROUNDUP(IF(MOD($A33+INDEX(_xlfn.TEXTSPLIT(AE131,",",),0,1)+$A$18,$A$18)=0,$A$18,MOD($A33+INDEX(_xlfn.TEXTSPLIT(AE131,",",),0,1)+$A$18,$A$18))/5,0),ROUNDUP(IF(MOD(AE$18+INDEX(_xlfn.TEXTSPLIT(AE131,",",),0,2)+$A$18,$A$18)=0,$A$18,MOD(AE$18+INDEX(_xlfn.TEXTSPLIT(AE131,",",),0,2)+$A$18,$A$18))/5,0)))</f>
        <v>5</v>
      </c>
      <c r="AF33" s="1" cm="1">
        <f t="array" aca="1" ref="AF33" ca="1">(INDEX($K$2:$T$11,ROUNDUP(IF(MOD($A33+INDEX(_xlfn.TEXTSPLIT(AF88,",",),0,1)+$A$18,$A$18)=0,$A$18,MOD($A33+INDEX(_xlfn.TEXTSPLIT(AF88,",",),0,1)+$A$18,$A$18))/4,0),ROUNDUP(IF(MOD(AF$18+INDEX(_xlfn.TEXTSPLIT(AF88,",",),0,2)+$A$18,$A$18)=0,$A$18,MOD(AF$18+INDEX(_xlfn.TEXTSPLIT(AF88,",",),0,2)+$A$18,$A$18))/4,0)))+(INDEX($AD$2:$AK$9,ROUNDUP(IF(MOD($A33+INDEX(_xlfn.TEXTSPLIT(AF131,",",),0,1)+$A$18,$A$18)=0,$A$18,MOD($A33+INDEX(_xlfn.TEXTSPLIT(AF131,",",),0,1)+$A$18,$A$18))/5,0),ROUNDUP(IF(MOD(AF$18+INDEX(_xlfn.TEXTSPLIT(AF131,",",),0,2)+$A$18,$A$18)=0,$A$18,MOD(AF$18+INDEX(_xlfn.TEXTSPLIT(AF131,",",),0,2)+$A$18,$A$18))/5,0)))</f>
        <v>5</v>
      </c>
      <c r="AG33" s="1" cm="1">
        <f t="array" aca="1" ref="AG33" ca="1">(INDEX($K$2:$T$11,ROUNDUP(IF(MOD($A33+INDEX(_xlfn.TEXTSPLIT(AG88,",",),0,1)+$A$18,$A$18)=0,$A$18,MOD($A33+INDEX(_xlfn.TEXTSPLIT(AG88,",",),0,1)+$A$18,$A$18))/4,0),ROUNDUP(IF(MOD(AG$18+INDEX(_xlfn.TEXTSPLIT(AG88,",",),0,2)+$A$18,$A$18)=0,$A$18,MOD(AG$18+INDEX(_xlfn.TEXTSPLIT(AG88,",",),0,2)+$A$18,$A$18))/4,0)))+(INDEX($AD$2:$AK$9,ROUNDUP(IF(MOD($A33+INDEX(_xlfn.TEXTSPLIT(AG131,",",),0,1)+$A$18,$A$18)=0,$A$18,MOD($A33+INDEX(_xlfn.TEXTSPLIT(AG131,",",),0,1)+$A$18,$A$18))/5,0),ROUNDUP(IF(MOD(AG$18+INDEX(_xlfn.TEXTSPLIT(AG131,",",),0,2)+$A$18,$A$18)=0,$A$18,MOD(AG$18+INDEX(_xlfn.TEXTSPLIT(AG131,",",),0,2)+$A$18,$A$18))/5,0)))</f>
        <v>5</v>
      </c>
      <c r="AH33" s="1" cm="1">
        <f t="array" aca="1" ref="AH33" ca="1">(INDEX($K$2:$T$11,ROUNDUP(IF(MOD($A33+INDEX(_xlfn.TEXTSPLIT(AH88,",",),0,1)+$A$18,$A$18)=0,$A$18,MOD($A33+INDEX(_xlfn.TEXTSPLIT(AH88,",",),0,1)+$A$18,$A$18))/4,0),ROUNDUP(IF(MOD(AH$18+INDEX(_xlfn.TEXTSPLIT(AH88,",",),0,2)+$A$18,$A$18)=0,$A$18,MOD(AH$18+INDEX(_xlfn.TEXTSPLIT(AH88,",",),0,2)+$A$18,$A$18))/4,0)))+(INDEX($AD$2:$AK$9,ROUNDUP(IF(MOD($A33+INDEX(_xlfn.TEXTSPLIT(AH131,",",),0,1)+$A$18,$A$18)=0,$A$18,MOD($A33+INDEX(_xlfn.TEXTSPLIT(AH131,",",),0,1)+$A$18,$A$18))/5,0),ROUNDUP(IF(MOD(AH$18+INDEX(_xlfn.TEXTSPLIT(AH131,",",),0,2)+$A$18,$A$18)=0,$A$18,MOD(AH$18+INDEX(_xlfn.TEXTSPLIT(AH131,",",),0,2)+$A$18,$A$18))/5,0)))</f>
        <v>7</v>
      </c>
      <c r="AI33" s="1" cm="1">
        <f t="array" aca="1" ref="AI33" ca="1">(INDEX($K$2:$T$11,ROUNDUP(IF(MOD($A33+INDEX(_xlfn.TEXTSPLIT(AI88,",",),0,1)+$A$18,$A$18)=0,$A$18,MOD($A33+INDEX(_xlfn.TEXTSPLIT(AI88,",",),0,1)+$A$18,$A$18))/4,0),ROUNDUP(IF(MOD(AI$18+INDEX(_xlfn.TEXTSPLIT(AI88,",",),0,2)+$A$18,$A$18)=0,$A$18,MOD(AI$18+INDEX(_xlfn.TEXTSPLIT(AI88,",",),0,2)+$A$18,$A$18))/4,0)))+(INDEX($AD$2:$AK$9,ROUNDUP(IF(MOD($A33+INDEX(_xlfn.TEXTSPLIT(AI131,",",),0,1)+$A$18,$A$18)=0,$A$18,MOD($A33+INDEX(_xlfn.TEXTSPLIT(AI131,",",),0,1)+$A$18,$A$18))/5,0),ROUNDUP(IF(MOD(AI$18+INDEX(_xlfn.TEXTSPLIT(AI131,",",),0,2)+$A$18,$A$18)=0,$A$18,MOD(AI$18+INDEX(_xlfn.TEXTSPLIT(AI131,",",),0,2)+$A$18,$A$18))/5,0)))</f>
        <v>7</v>
      </c>
      <c r="AJ33" s="1" cm="1">
        <f t="array" aca="1" ref="AJ33" ca="1">(INDEX($K$2:$T$11,ROUNDUP(IF(MOD($A33+INDEX(_xlfn.TEXTSPLIT(AJ88,",",),0,1)+$A$18,$A$18)=0,$A$18,MOD($A33+INDEX(_xlfn.TEXTSPLIT(AJ88,",",),0,1)+$A$18,$A$18))/4,0),ROUNDUP(IF(MOD(AJ$18+INDEX(_xlfn.TEXTSPLIT(AJ88,",",),0,2)+$A$18,$A$18)=0,$A$18,MOD(AJ$18+INDEX(_xlfn.TEXTSPLIT(AJ88,",",),0,2)+$A$18,$A$18))/4,0)))+(INDEX($AD$2:$AK$9,ROUNDUP(IF(MOD($A33+INDEX(_xlfn.TEXTSPLIT(AJ131,",",),0,1)+$A$18,$A$18)=0,$A$18,MOD($A33+INDEX(_xlfn.TEXTSPLIT(AJ131,",",),0,1)+$A$18,$A$18))/5,0),ROUNDUP(IF(MOD(AJ$18+INDEX(_xlfn.TEXTSPLIT(AJ131,",",),0,2)+$A$18,$A$18)=0,$A$18,MOD(AJ$18+INDEX(_xlfn.TEXTSPLIT(AJ131,",",),0,2)+$A$18,$A$18))/5,0)))</f>
        <v>5</v>
      </c>
      <c r="AK33" s="1" cm="1">
        <f t="array" aca="1" ref="AK33" ca="1">(INDEX($K$2:$T$11,ROUNDUP(IF(MOD($A33+INDEX(_xlfn.TEXTSPLIT(AK88,",",),0,1)+$A$18,$A$18)=0,$A$18,MOD($A33+INDEX(_xlfn.TEXTSPLIT(AK88,",",),0,1)+$A$18,$A$18))/4,0),ROUNDUP(IF(MOD(AK$18+INDEX(_xlfn.TEXTSPLIT(AK88,",",),0,2)+$A$18,$A$18)=0,$A$18,MOD(AK$18+INDEX(_xlfn.TEXTSPLIT(AK88,",",),0,2)+$A$18,$A$18))/4,0)))+(INDEX($AD$2:$AK$9,ROUNDUP(IF(MOD($A33+INDEX(_xlfn.TEXTSPLIT(AK131,",",),0,1)+$A$18,$A$18)=0,$A$18,MOD($A33+INDEX(_xlfn.TEXTSPLIT(AK131,",",),0,1)+$A$18,$A$18))/5,0),ROUNDUP(IF(MOD(AK$18+INDEX(_xlfn.TEXTSPLIT(AK131,",",),0,2)+$A$18,$A$18)=0,$A$18,MOD(AK$18+INDEX(_xlfn.TEXTSPLIT(AK131,",",),0,2)+$A$18,$A$18))/5,0)))</f>
        <v>5</v>
      </c>
      <c r="AL33" s="1" cm="1">
        <f t="array" aca="1" ref="AL33" ca="1">(INDEX($K$2:$T$11,ROUNDUP(IF(MOD($A33+INDEX(_xlfn.TEXTSPLIT(AL88,",",),0,1)+$A$18,$A$18)=0,$A$18,MOD($A33+INDEX(_xlfn.TEXTSPLIT(AL88,",",),0,1)+$A$18,$A$18))/4,0),ROUNDUP(IF(MOD(AL$18+INDEX(_xlfn.TEXTSPLIT(AL88,",",),0,2)+$A$18,$A$18)=0,$A$18,MOD(AL$18+INDEX(_xlfn.TEXTSPLIT(AL88,",",),0,2)+$A$18,$A$18))/4,0)))+(INDEX($AD$2:$AK$9,ROUNDUP(IF(MOD($A33+INDEX(_xlfn.TEXTSPLIT(AL131,",",),0,1)+$A$18,$A$18)=0,$A$18,MOD($A33+INDEX(_xlfn.TEXTSPLIT(AL131,",",),0,1)+$A$18,$A$18))/5,0),ROUNDUP(IF(MOD(AL$18+INDEX(_xlfn.TEXTSPLIT(AL131,",",),0,2)+$A$18,$A$18)=0,$A$18,MOD(AL$18+INDEX(_xlfn.TEXTSPLIT(AL131,",",),0,2)+$A$18,$A$18))/5,0)))</f>
        <v>5</v>
      </c>
      <c r="AM33" s="1" cm="1">
        <f t="array" aca="1" ref="AM33" ca="1">(INDEX($K$2:$T$11,ROUNDUP(IF(MOD($A33+INDEX(_xlfn.TEXTSPLIT(AM88,",",),0,1)+$A$18,$A$18)=0,$A$18,MOD($A33+INDEX(_xlfn.TEXTSPLIT(AM88,",",),0,1)+$A$18,$A$18))/4,0),ROUNDUP(IF(MOD(AM$18+INDEX(_xlfn.TEXTSPLIT(AM88,",",),0,2)+$A$18,$A$18)=0,$A$18,MOD(AM$18+INDEX(_xlfn.TEXTSPLIT(AM88,",",),0,2)+$A$18,$A$18))/4,0)))+(INDEX($AD$2:$AK$9,ROUNDUP(IF(MOD($A33+INDEX(_xlfn.TEXTSPLIT(AM131,",",),0,1)+$A$18,$A$18)=0,$A$18,MOD($A33+INDEX(_xlfn.TEXTSPLIT(AM131,",",),0,1)+$A$18,$A$18))/5,0),ROUNDUP(IF(MOD(AM$18+INDEX(_xlfn.TEXTSPLIT(AM131,",",),0,2)+$A$18,$A$18)=0,$A$18,MOD(AM$18+INDEX(_xlfn.TEXTSPLIT(AM131,",",),0,2)+$A$18,$A$18))/5,0)))</f>
        <v>5</v>
      </c>
      <c r="AN33" s="1" cm="1">
        <f t="array" aca="1" ref="AN33" ca="1">(INDEX($K$2:$T$11,ROUNDUP(IF(MOD($A33+INDEX(_xlfn.TEXTSPLIT(AN88,",",),0,1)+$A$18,$A$18)=0,$A$18,MOD($A33+INDEX(_xlfn.TEXTSPLIT(AN88,",",),0,1)+$A$18,$A$18))/4,0),ROUNDUP(IF(MOD(AN$18+INDEX(_xlfn.TEXTSPLIT(AN88,",",),0,2)+$A$18,$A$18)=0,$A$18,MOD(AN$18+INDEX(_xlfn.TEXTSPLIT(AN88,",",),0,2)+$A$18,$A$18))/4,0)))+(INDEX($AD$2:$AK$9,ROUNDUP(IF(MOD($A33+INDEX(_xlfn.TEXTSPLIT(AN131,",",),0,1)+$A$18,$A$18)=0,$A$18,MOD($A33+INDEX(_xlfn.TEXTSPLIT(AN131,",",),0,1)+$A$18,$A$18))/5,0),ROUNDUP(IF(MOD(AN$18+INDEX(_xlfn.TEXTSPLIT(AN131,",",),0,2)+$A$18,$A$18)=0,$A$18,MOD(AN$18+INDEX(_xlfn.TEXTSPLIT(AN131,",",),0,2)+$A$18,$A$18))/5,0)))</f>
        <v>5</v>
      </c>
      <c r="AO33" s="1" cm="1">
        <f t="array" aca="1" ref="AO33" ca="1">(INDEX($K$2:$T$11,ROUNDUP(IF(MOD($A33+INDEX(_xlfn.TEXTSPLIT(AO88,",",),0,1)+$A$18,$A$18)=0,$A$18,MOD($A33+INDEX(_xlfn.TEXTSPLIT(AO88,",",),0,1)+$A$18,$A$18))/4,0),ROUNDUP(IF(MOD(AO$18+INDEX(_xlfn.TEXTSPLIT(AO88,",",),0,2)+$A$18,$A$18)=0,$A$18,MOD(AO$18+INDEX(_xlfn.TEXTSPLIT(AO88,",",),0,2)+$A$18,$A$18))/4,0)))+(INDEX($AD$2:$AK$9,ROUNDUP(IF(MOD($A33+INDEX(_xlfn.TEXTSPLIT(AO131,",",),0,1)+$A$18,$A$18)=0,$A$18,MOD($A33+INDEX(_xlfn.TEXTSPLIT(AO131,",",),0,1)+$A$18,$A$18))/5,0),ROUNDUP(IF(MOD(AO$18+INDEX(_xlfn.TEXTSPLIT(AO131,",",),0,2)+$A$18,$A$18)=0,$A$18,MOD(AO$18+INDEX(_xlfn.TEXTSPLIT(AO131,",",),0,2)+$A$18,$A$18))/5,0)))</f>
        <v>5</v>
      </c>
    </row>
    <row r="34" spans="1:41" ht="12.75">
      <c r="A34" s="1">
        <v>16</v>
      </c>
      <c r="B34" s="1" cm="1">
        <f t="array" aca="1" ref="B34" ca="1">(INDEX($K$2:$T$11,ROUNDUP(IF(MOD($A34+INDEX(_xlfn.TEXTSPLIT(B89,",",),0,1)+$A$18,$A$18)=0,$A$18,MOD($A34+INDEX(_xlfn.TEXTSPLIT(B89,",",),0,1)+$A$18,$A$18))/4,0),ROUNDUP(IF(MOD(B$18+INDEX(_xlfn.TEXTSPLIT(B89,",",),0,2)+$A$18,$A$18)=0,$A$18,MOD(B$18+INDEX(_xlfn.TEXTSPLIT(B89,",",),0,2)+$A$18,$A$18))/4,0)))+(INDEX($AD$2:$AK$9,ROUNDUP(IF(MOD($A34+INDEX(_xlfn.TEXTSPLIT(B132,",",),0,1)+$A$18,$A$18)=0,$A$18,MOD($A34+INDEX(_xlfn.TEXTSPLIT(B132,",",),0,1)+$A$18,$A$18))/5,0),ROUNDUP(IF(MOD(B$18+INDEX(_xlfn.TEXTSPLIT(B132,",",),0,2)+$A$18,$A$18)=0,$A$18,MOD(B$18+INDEX(_xlfn.TEXTSPLIT(B132,",",),0,2)+$A$18,$A$18))/5,0)))</f>
        <v>6</v>
      </c>
      <c r="C34" s="1" cm="1">
        <f t="array" aca="1" ref="C34" ca="1">(INDEX($K$2:$T$11,ROUNDUP(IF(MOD($A34+INDEX(_xlfn.TEXTSPLIT(C89,",",),0,1)+$A$18,$A$18)=0,$A$18,MOD($A34+INDEX(_xlfn.TEXTSPLIT(C89,",",),0,1)+$A$18,$A$18))/4,0),ROUNDUP(IF(MOD(C$18+INDEX(_xlfn.TEXTSPLIT(C89,",",),0,2)+$A$18,$A$18)=0,$A$18,MOD(C$18+INDEX(_xlfn.TEXTSPLIT(C89,",",),0,2)+$A$18,$A$18))/4,0)))+(INDEX($AD$2:$AK$9,ROUNDUP(IF(MOD($A34+INDEX(_xlfn.TEXTSPLIT(C132,",",),0,1)+$A$18,$A$18)=0,$A$18,MOD($A34+INDEX(_xlfn.TEXTSPLIT(C132,",",),0,1)+$A$18,$A$18))/5,0),ROUNDUP(IF(MOD(C$18+INDEX(_xlfn.TEXTSPLIT(C132,",",),0,2)+$A$18,$A$18)=0,$A$18,MOD(C$18+INDEX(_xlfn.TEXTSPLIT(C132,",",),0,2)+$A$18,$A$18))/5,0)))</f>
        <v>6</v>
      </c>
      <c r="D34" s="1" cm="1">
        <f t="array" aca="1" ref="D34" ca="1">(INDEX($K$2:$T$11,ROUNDUP(IF(MOD($A34+INDEX(_xlfn.TEXTSPLIT(D89,",",),0,1)+$A$18,$A$18)=0,$A$18,MOD($A34+INDEX(_xlfn.TEXTSPLIT(D89,",",),0,1)+$A$18,$A$18))/4,0),ROUNDUP(IF(MOD(D$18+INDEX(_xlfn.TEXTSPLIT(D89,",",),0,2)+$A$18,$A$18)=0,$A$18,MOD(D$18+INDEX(_xlfn.TEXTSPLIT(D89,",",),0,2)+$A$18,$A$18))/4,0)))+(INDEX($AD$2:$AK$9,ROUNDUP(IF(MOD($A34+INDEX(_xlfn.TEXTSPLIT(D132,",",),0,1)+$A$18,$A$18)=0,$A$18,MOD($A34+INDEX(_xlfn.TEXTSPLIT(D132,",",),0,1)+$A$18,$A$18))/5,0),ROUNDUP(IF(MOD(D$18+INDEX(_xlfn.TEXTSPLIT(D132,",",),0,2)+$A$18,$A$18)=0,$A$18,MOD(D$18+INDEX(_xlfn.TEXTSPLIT(D132,",",),0,2)+$A$18,$A$18))/5,0)))</f>
        <v>6</v>
      </c>
      <c r="E34" s="1" cm="1">
        <f t="array" aca="1" ref="E34" ca="1">(INDEX($K$2:$T$11,ROUNDUP(IF(MOD($A34+INDEX(_xlfn.TEXTSPLIT(E89,",",),0,1)+$A$18,$A$18)=0,$A$18,MOD($A34+INDEX(_xlfn.TEXTSPLIT(E89,",",),0,1)+$A$18,$A$18))/4,0),ROUNDUP(IF(MOD(E$18+INDEX(_xlfn.TEXTSPLIT(E89,",",),0,2)+$A$18,$A$18)=0,$A$18,MOD(E$18+INDEX(_xlfn.TEXTSPLIT(E89,",",),0,2)+$A$18,$A$18))/4,0)))+(INDEX($AD$2:$AK$9,ROUNDUP(IF(MOD($A34+INDEX(_xlfn.TEXTSPLIT(E132,",",),0,1)+$A$18,$A$18)=0,$A$18,MOD($A34+INDEX(_xlfn.TEXTSPLIT(E132,",",),0,1)+$A$18,$A$18))/5,0),ROUNDUP(IF(MOD(E$18+INDEX(_xlfn.TEXTSPLIT(E132,",",),0,2)+$A$18,$A$18)=0,$A$18,MOD(E$18+INDEX(_xlfn.TEXTSPLIT(E132,",",),0,2)+$A$18,$A$18))/5,0)))</f>
        <v>6</v>
      </c>
      <c r="F34" s="1" cm="1">
        <f t="array" aca="1" ref="F34" ca="1">(INDEX($K$2:$T$11,ROUNDUP(IF(MOD($A34+INDEX(_xlfn.TEXTSPLIT(F89,",",),0,1)+$A$18,$A$18)=0,$A$18,MOD($A34+INDEX(_xlfn.TEXTSPLIT(F89,",",),0,1)+$A$18,$A$18))/4,0),ROUNDUP(IF(MOD(F$18+INDEX(_xlfn.TEXTSPLIT(F89,",",),0,2)+$A$18,$A$18)=0,$A$18,MOD(F$18+INDEX(_xlfn.TEXTSPLIT(F89,",",),0,2)+$A$18,$A$18))/4,0)))+(INDEX($AD$2:$AK$9,ROUNDUP(IF(MOD($A34+INDEX(_xlfn.TEXTSPLIT(F132,",",),0,1)+$A$18,$A$18)=0,$A$18,MOD($A34+INDEX(_xlfn.TEXTSPLIT(F132,",",),0,1)+$A$18,$A$18))/5,0),ROUNDUP(IF(MOD(F$18+INDEX(_xlfn.TEXTSPLIT(F132,",",),0,2)+$A$18,$A$18)=0,$A$18,MOD(F$18+INDEX(_xlfn.TEXTSPLIT(F132,",",),0,2)+$A$18,$A$18))/5,0)))</f>
        <v>6</v>
      </c>
      <c r="G34" s="1" cm="1">
        <f t="array" aca="1" ref="G34" ca="1">(INDEX($K$2:$T$11,ROUNDUP(IF(MOD($A34+INDEX(_xlfn.TEXTSPLIT(G89,",",),0,1)+$A$18,$A$18)=0,$A$18,MOD($A34+INDEX(_xlfn.TEXTSPLIT(G89,",",),0,1)+$A$18,$A$18))/4,0),ROUNDUP(IF(MOD(G$18+INDEX(_xlfn.TEXTSPLIT(G89,",",),0,2)+$A$18,$A$18)=0,$A$18,MOD(G$18+INDEX(_xlfn.TEXTSPLIT(G89,",",),0,2)+$A$18,$A$18))/4,0)))+(INDEX($AD$2:$AK$9,ROUNDUP(IF(MOD($A34+INDEX(_xlfn.TEXTSPLIT(G132,",",),0,1)+$A$18,$A$18)=0,$A$18,MOD($A34+INDEX(_xlfn.TEXTSPLIT(G132,",",),0,1)+$A$18,$A$18))/5,0),ROUNDUP(IF(MOD(G$18+INDEX(_xlfn.TEXTSPLIT(G132,",",),0,2)+$A$18,$A$18)=0,$A$18,MOD(G$18+INDEX(_xlfn.TEXTSPLIT(G132,",",),0,2)+$A$18,$A$18))/5,0)))</f>
        <v>3</v>
      </c>
      <c r="H34" s="1" cm="1">
        <f t="array" aca="1" ref="H34" ca="1">(INDEX($K$2:$T$11,ROUNDUP(IF(MOD($A34+INDEX(_xlfn.TEXTSPLIT(H89,",",),0,1)+$A$18,$A$18)=0,$A$18,MOD($A34+INDEX(_xlfn.TEXTSPLIT(H89,",",),0,1)+$A$18,$A$18))/4,0),ROUNDUP(IF(MOD(H$18+INDEX(_xlfn.TEXTSPLIT(H89,",",),0,2)+$A$18,$A$18)=0,$A$18,MOD(H$18+INDEX(_xlfn.TEXTSPLIT(H89,",",),0,2)+$A$18,$A$18))/4,0)))+(INDEX($AD$2:$AK$9,ROUNDUP(IF(MOD($A34+INDEX(_xlfn.TEXTSPLIT(H132,",",),0,1)+$A$18,$A$18)=0,$A$18,MOD($A34+INDEX(_xlfn.TEXTSPLIT(H132,",",),0,1)+$A$18,$A$18))/5,0),ROUNDUP(IF(MOD(H$18+INDEX(_xlfn.TEXTSPLIT(H132,",",),0,2)+$A$18,$A$18)=0,$A$18,MOD(H$18+INDEX(_xlfn.TEXTSPLIT(H132,",",),0,2)+$A$18,$A$18))/5,0)))</f>
        <v>2</v>
      </c>
      <c r="I34" s="1" cm="1">
        <f t="array" aca="1" ref="I34" ca="1">(INDEX($K$2:$T$11,ROUNDUP(IF(MOD($A34+INDEX(_xlfn.TEXTSPLIT(I89,",",),0,1)+$A$18,$A$18)=0,$A$18,MOD($A34+INDEX(_xlfn.TEXTSPLIT(I89,",",),0,1)+$A$18,$A$18))/4,0),ROUNDUP(IF(MOD(I$18+INDEX(_xlfn.TEXTSPLIT(I89,",",),0,2)+$A$18,$A$18)=0,$A$18,MOD(I$18+INDEX(_xlfn.TEXTSPLIT(I89,",",),0,2)+$A$18,$A$18))/4,0)))+(INDEX($AD$2:$AK$9,ROUNDUP(IF(MOD($A34+INDEX(_xlfn.TEXTSPLIT(I132,",",),0,1)+$A$18,$A$18)=0,$A$18,MOD($A34+INDEX(_xlfn.TEXTSPLIT(I132,",",),0,1)+$A$18,$A$18))/5,0),ROUNDUP(IF(MOD(I$18+INDEX(_xlfn.TEXTSPLIT(I132,",",),0,2)+$A$18,$A$18)=0,$A$18,MOD(I$18+INDEX(_xlfn.TEXTSPLIT(I132,",",),0,2)+$A$18,$A$18))/5,0)))</f>
        <v>7</v>
      </c>
      <c r="J34" s="1" cm="1">
        <f t="array" aca="1" ref="J34" ca="1">(INDEX($K$2:$T$11,ROUNDUP(IF(MOD($A34+INDEX(_xlfn.TEXTSPLIT(J89,",",),0,1)+$A$18,$A$18)=0,$A$18,MOD($A34+INDEX(_xlfn.TEXTSPLIT(J89,",",),0,1)+$A$18,$A$18))/4,0),ROUNDUP(IF(MOD(J$18+INDEX(_xlfn.TEXTSPLIT(J89,",",),0,2)+$A$18,$A$18)=0,$A$18,MOD(J$18+INDEX(_xlfn.TEXTSPLIT(J89,",",),0,2)+$A$18,$A$18))/4,0)))+(INDEX($AD$2:$AK$9,ROUNDUP(IF(MOD($A34+INDEX(_xlfn.TEXTSPLIT(J132,",",),0,1)+$A$18,$A$18)=0,$A$18,MOD($A34+INDEX(_xlfn.TEXTSPLIT(J132,",",),0,1)+$A$18,$A$18))/5,0),ROUNDUP(IF(MOD(J$18+INDEX(_xlfn.TEXTSPLIT(J132,",",),0,2)+$A$18,$A$18)=0,$A$18,MOD(J$18+INDEX(_xlfn.TEXTSPLIT(J132,",",),0,2)+$A$18,$A$18))/5,0)))</f>
        <v>6</v>
      </c>
      <c r="K34" s="1" cm="1">
        <f t="array" aca="1" ref="K34" ca="1">(INDEX($K$2:$T$11,ROUNDUP(IF(MOD($A34+INDEX(_xlfn.TEXTSPLIT(K89,",",),0,1)+$A$18,$A$18)=0,$A$18,MOD($A34+INDEX(_xlfn.TEXTSPLIT(K89,",",),0,1)+$A$18,$A$18))/4,0),ROUNDUP(IF(MOD(K$18+INDEX(_xlfn.TEXTSPLIT(K89,",",),0,2)+$A$18,$A$18)=0,$A$18,MOD(K$18+INDEX(_xlfn.TEXTSPLIT(K89,",",),0,2)+$A$18,$A$18))/4,0)))+(INDEX($AD$2:$AK$9,ROUNDUP(IF(MOD($A34+INDEX(_xlfn.TEXTSPLIT(K132,",",),0,1)+$A$18,$A$18)=0,$A$18,MOD($A34+INDEX(_xlfn.TEXTSPLIT(K132,",",),0,1)+$A$18,$A$18))/5,0),ROUNDUP(IF(MOD(K$18+INDEX(_xlfn.TEXTSPLIT(K132,",",),0,2)+$A$18,$A$18)=0,$A$18,MOD(K$18+INDEX(_xlfn.TEXTSPLIT(K132,",",),0,2)+$A$18,$A$18))/5,0)))</f>
        <v>7</v>
      </c>
      <c r="L34" s="1" cm="1">
        <f t="array" aca="1" ref="L34" ca="1">(INDEX($K$2:$T$11,ROUNDUP(IF(MOD($A34+INDEX(_xlfn.TEXTSPLIT(L89,",",),0,1)+$A$18,$A$18)=0,$A$18,MOD($A34+INDEX(_xlfn.TEXTSPLIT(L89,",",),0,1)+$A$18,$A$18))/4,0),ROUNDUP(IF(MOD(L$18+INDEX(_xlfn.TEXTSPLIT(L89,",",),0,2)+$A$18,$A$18)=0,$A$18,MOD(L$18+INDEX(_xlfn.TEXTSPLIT(L89,",",),0,2)+$A$18,$A$18))/4,0)))+(INDEX($AD$2:$AK$9,ROUNDUP(IF(MOD($A34+INDEX(_xlfn.TEXTSPLIT(L132,",",),0,1)+$A$18,$A$18)=0,$A$18,MOD($A34+INDEX(_xlfn.TEXTSPLIT(L132,",",),0,1)+$A$18,$A$18))/5,0),ROUNDUP(IF(MOD(L$18+INDEX(_xlfn.TEXTSPLIT(L132,",",),0,2)+$A$18,$A$18)=0,$A$18,MOD(L$18+INDEX(_xlfn.TEXTSPLIT(L132,",",),0,2)+$A$18,$A$18))/5,0)))</f>
        <v>7</v>
      </c>
      <c r="M34" s="1" cm="1">
        <f t="array" aca="1" ref="M34" ca="1">(INDEX($K$2:$T$11,ROUNDUP(IF(MOD($A34+INDEX(_xlfn.TEXTSPLIT(M89,",",),0,1)+$A$18,$A$18)=0,$A$18,MOD($A34+INDEX(_xlfn.TEXTSPLIT(M89,",",),0,1)+$A$18,$A$18))/4,0),ROUNDUP(IF(MOD(M$18+INDEX(_xlfn.TEXTSPLIT(M89,",",),0,2)+$A$18,$A$18)=0,$A$18,MOD(M$18+INDEX(_xlfn.TEXTSPLIT(M89,",",),0,2)+$A$18,$A$18))/4,0)))+(INDEX($AD$2:$AK$9,ROUNDUP(IF(MOD($A34+INDEX(_xlfn.TEXTSPLIT(M132,",",),0,1)+$A$18,$A$18)=0,$A$18,MOD($A34+INDEX(_xlfn.TEXTSPLIT(M132,",",),0,1)+$A$18,$A$18))/5,0),ROUNDUP(IF(MOD(M$18+INDEX(_xlfn.TEXTSPLIT(M132,",",),0,2)+$A$18,$A$18)=0,$A$18,MOD(M$18+INDEX(_xlfn.TEXTSPLIT(M132,",",),0,2)+$A$18,$A$18))/5,0)))</f>
        <v>7</v>
      </c>
      <c r="N34" s="1" cm="1">
        <f t="array" aca="1" ref="N34" ca="1">(INDEX($K$2:$T$11,ROUNDUP(IF(MOD($A34+INDEX(_xlfn.TEXTSPLIT(N89,",",),0,1)+$A$18,$A$18)=0,$A$18,MOD($A34+INDEX(_xlfn.TEXTSPLIT(N89,",",),0,1)+$A$18,$A$18))/4,0),ROUNDUP(IF(MOD(N$18+INDEX(_xlfn.TEXTSPLIT(N89,",",),0,2)+$A$18,$A$18)=0,$A$18,MOD(N$18+INDEX(_xlfn.TEXTSPLIT(N89,",",),0,2)+$A$18,$A$18))/4,0)))+(INDEX($AD$2:$AK$9,ROUNDUP(IF(MOD($A34+INDEX(_xlfn.TEXTSPLIT(N132,",",),0,1)+$A$18,$A$18)=0,$A$18,MOD($A34+INDEX(_xlfn.TEXTSPLIT(N132,",",),0,1)+$A$18,$A$18))/5,0),ROUNDUP(IF(MOD(N$18+INDEX(_xlfn.TEXTSPLIT(N132,",",),0,2)+$A$18,$A$18)=0,$A$18,MOD(N$18+INDEX(_xlfn.TEXTSPLIT(N132,",",),0,2)+$A$18,$A$18))/5,0)))</f>
        <v>7</v>
      </c>
      <c r="O34" s="1" cm="1">
        <f t="array" aca="1" ref="O34" ca="1">(INDEX($K$2:$T$11,ROUNDUP(IF(MOD($A34+INDEX(_xlfn.TEXTSPLIT(O89,",",),0,1)+$A$18,$A$18)=0,$A$18,MOD($A34+INDEX(_xlfn.TEXTSPLIT(O89,",",),0,1)+$A$18,$A$18))/4,0),ROUNDUP(IF(MOD(O$18+INDEX(_xlfn.TEXTSPLIT(O89,",",),0,2)+$A$18,$A$18)=0,$A$18,MOD(O$18+INDEX(_xlfn.TEXTSPLIT(O89,",",),0,2)+$A$18,$A$18))/4,0)))+(INDEX($AD$2:$AK$9,ROUNDUP(IF(MOD($A34+INDEX(_xlfn.TEXTSPLIT(O132,",",),0,1)+$A$18,$A$18)=0,$A$18,MOD($A34+INDEX(_xlfn.TEXTSPLIT(O132,",",),0,1)+$A$18,$A$18))/5,0),ROUNDUP(IF(MOD(O$18+INDEX(_xlfn.TEXTSPLIT(O132,",",),0,2)+$A$18,$A$18)=0,$A$18,MOD(O$18+INDEX(_xlfn.TEXTSPLIT(O132,",",),0,2)+$A$18,$A$18))/5,0)))</f>
        <v>7</v>
      </c>
      <c r="P34" s="1" cm="1">
        <f t="array" aca="1" ref="P34" ca="1">(INDEX($K$2:$T$11,ROUNDUP(IF(MOD($A34+INDEX(_xlfn.TEXTSPLIT(P89,",",),0,1)+$A$18,$A$18)=0,$A$18,MOD($A34+INDEX(_xlfn.TEXTSPLIT(P89,",",),0,1)+$A$18,$A$18))/4,0),ROUNDUP(IF(MOD(P$18+INDEX(_xlfn.TEXTSPLIT(P89,",",),0,2)+$A$18,$A$18)=0,$A$18,MOD(P$18+INDEX(_xlfn.TEXTSPLIT(P89,",",),0,2)+$A$18,$A$18))/4,0)))+(INDEX($AD$2:$AK$9,ROUNDUP(IF(MOD($A34+INDEX(_xlfn.TEXTSPLIT(P132,",",),0,1)+$A$18,$A$18)=0,$A$18,MOD($A34+INDEX(_xlfn.TEXTSPLIT(P132,",",),0,1)+$A$18,$A$18))/5,0),ROUNDUP(IF(MOD(P$18+INDEX(_xlfn.TEXTSPLIT(P132,",",),0,2)+$A$18,$A$18)=0,$A$18,MOD(P$18+INDEX(_xlfn.TEXTSPLIT(P132,",",),0,2)+$A$18,$A$18))/5,0)))</f>
        <v>5</v>
      </c>
      <c r="Q34" s="1" cm="1">
        <f t="array" aca="1" ref="Q34" ca="1">(INDEX($K$2:$T$11,ROUNDUP(IF(MOD($A34+INDEX(_xlfn.TEXTSPLIT(Q89,",",),0,1)+$A$18,$A$18)=0,$A$18,MOD($A34+INDEX(_xlfn.TEXTSPLIT(Q89,",",),0,1)+$A$18,$A$18))/4,0),ROUNDUP(IF(MOD(Q$18+INDEX(_xlfn.TEXTSPLIT(Q89,",",),0,2)+$A$18,$A$18)=0,$A$18,MOD(Q$18+INDEX(_xlfn.TEXTSPLIT(Q89,",",),0,2)+$A$18,$A$18))/4,0)))+(INDEX($AD$2:$AK$9,ROUNDUP(IF(MOD($A34+INDEX(_xlfn.TEXTSPLIT(Q132,",",),0,1)+$A$18,$A$18)=0,$A$18,MOD($A34+INDEX(_xlfn.TEXTSPLIT(Q132,",",),0,1)+$A$18,$A$18))/5,0),ROUNDUP(IF(MOD(Q$18+INDEX(_xlfn.TEXTSPLIT(Q132,",",),0,2)+$A$18,$A$18)=0,$A$18,MOD(Q$18+INDEX(_xlfn.TEXTSPLIT(Q132,",",),0,2)+$A$18,$A$18))/5,0)))</f>
        <v>7</v>
      </c>
      <c r="R34" s="1" cm="1">
        <f t="array" aca="1" ref="R34" ca="1">(INDEX($K$2:$T$11,ROUNDUP(IF(MOD($A34+INDEX(_xlfn.TEXTSPLIT(R89,",",),0,1)+$A$18,$A$18)=0,$A$18,MOD($A34+INDEX(_xlfn.TEXTSPLIT(R89,",",),0,1)+$A$18,$A$18))/4,0),ROUNDUP(IF(MOD(R$18+INDEX(_xlfn.TEXTSPLIT(R89,",",),0,2)+$A$18,$A$18)=0,$A$18,MOD(R$18+INDEX(_xlfn.TEXTSPLIT(R89,",",),0,2)+$A$18,$A$18))/4,0)))+(INDEX($AD$2:$AK$9,ROUNDUP(IF(MOD($A34+INDEX(_xlfn.TEXTSPLIT(R132,",",),0,1)+$A$18,$A$18)=0,$A$18,MOD($A34+INDEX(_xlfn.TEXTSPLIT(R132,",",),0,1)+$A$18,$A$18))/5,0),ROUNDUP(IF(MOD(R$18+INDEX(_xlfn.TEXTSPLIT(R132,",",),0,2)+$A$18,$A$18)=0,$A$18,MOD(R$18+INDEX(_xlfn.TEXTSPLIT(R132,",",),0,2)+$A$18,$A$18))/5,0)))</f>
        <v>7</v>
      </c>
      <c r="S34" s="1" cm="1">
        <f t="array" aca="1" ref="S34" ca="1">(INDEX($K$2:$T$11,ROUNDUP(IF(MOD($A34+INDEX(_xlfn.TEXTSPLIT(S89,",",),0,1)+$A$18,$A$18)=0,$A$18,MOD($A34+INDEX(_xlfn.TEXTSPLIT(S89,",",),0,1)+$A$18,$A$18))/4,0),ROUNDUP(IF(MOD(S$18+INDEX(_xlfn.TEXTSPLIT(S89,",",),0,2)+$A$18,$A$18)=0,$A$18,MOD(S$18+INDEX(_xlfn.TEXTSPLIT(S89,",",),0,2)+$A$18,$A$18))/4,0)))+(INDEX($AD$2:$AK$9,ROUNDUP(IF(MOD($A34+INDEX(_xlfn.TEXTSPLIT(S132,",",),0,1)+$A$18,$A$18)=0,$A$18,MOD($A34+INDEX(_xlfn.TEXTSPLIT(S132,",",),0,1)+$A$18,$A$18))/5,0),ROUNDUP(IF(MOD(S$18+INDEX(_xlfn.TEXTSPLIT(S132,",",),0,2)+$A$18,$A$18)=0,$A$18,MOD(S$18+INDEX(_xlfn.TEXTSPLIT(S132,",",),0,2)+$A$18,$A$18))/5,0)))</f>
        <v>7</v>
      </c>
      <c r="T34" s="1" cm="1">
        <f t="array" aca="1" ref="T34" ca="1">(INDEX($K$2:$T$11,ROUNDUP(IF(MOD($A34+INDEX(_xlfn.TEXTSPLIT(T89,",",),0,1)+$A$18,$A$18)=0,$A$18,MOD($A34+INDEX(_xlfn.TEXTSPLIT(T89,",",),0,1)+$A$18,$A$18))/4,0),ROUNDUP(IF(MOD(T$18+INDEX(_xlfn.TEXTSPLIT(T89,",",),0,2)+$A$18,$A$18)=0,$A$18,MOD(T$18+INDEX(_xlfn.TEXTSPLIT(T89,",",),0,2)+$A$18,$A$18))/4,0)))+(INDEX($AD$2:$AK$9,ROUNDUP(IF(MOD($A34+INDEX(_xlfn.TEXTSPLIT(T132,",",),0,1)+$A$18,$A$18)=0,$A$18,MOD($A34+INDEX(_xlfn.TEXTSPLIT(T132,",",),0,1)+$A$18,$A$18))/5,0),ROUNDUP(IF(MOD(T$18+INDEX(_xlfn.TEXTSPLIT(T132,",",),0,2)+$A$18,$A$18)=0,$A$18,MOD(T$18+INDEX(_xlfn.TEXTSPLIT(T132,",",),0,2)+$A$18,$A$18))/5,0)))</f>
        <v>5</v>
      </c>
      <c r="U34" s="1" cm="1">
        <f t="array" aca="1" ref="U34" ca="1">(INDEX($K$2:$T$11,ROUNDUP(IF(MOD($A34+INDEX(_xlfn.TEXTSPLIT(U89,",",),0,1)+$A$18,$A$18)=0,$A$18,MOD($A34+INDEX(_xlfn.TEXTSPLIT(U89,",",),0,1)+$A$18,$A$18))/4,0),ROUNDUP(IF(MOD(U$18+INDEX(_xlfn.TEXTSPLIT(U89,",",),0,2)+$A$18,$A$18)=0,$A$18,MOD(U$18+INDEX(_xlfn.TEXTSPLIT(U89,",",),0,2)+$A$18,$A$18))/4,0)))+(INDEX($AD$2:$AK$9,ROUNDUP(IF(MOD($A34+INDEX(_xlfn.TEXTSPLIT(U132,",",),0,1)+$A$18,$A$18)=0,$A$18,MOD($A34+INDEX(_xlfn.TEXTSPLIT(U132,",",),0,1)+$A$18,$A$18))/5,0),ROUNDUP(IF(MOD(U$18+INDEX(_xlfn.TEXTSPLIT(U132,",",),0,2)+$A$18,$A$18)=0,$A$18,MOD(U$18+INDEX(_xlfn.TEXTSPLIT(U132,",",),0,2)+$A$18,$A$18))/5,0)))</f>
        <v>1</v>
      </c>
      <c r="V34" s="1" cm="1">
        <f t="array" aca="1" ref="V34" ca="1">(INDEX($K$2:$T$11,ROUNDUP(IF(MOD($A34+INDEX(_xlfn.TEXTSPLIT(V89,",",),0,1)+$A$18,$A$18)=0,$A$18,MOD($A34+INDEX(_xlfn.TEXTSPLIT(V89,",",),0,1)+$A$18,$A$18))/4,0),ROUNDUP(IF(MOD(V$18+INDEX(_xlfn.TEXTSPLIT(V89,",",),0,2)+$A$18,$A$18)=0,$A$18,MOD(V$18+INDEX(_xlfn.TEXTSPLIT(V89,",",),0,2)+$A$18,$A$18))/4,0)))+(INDEX($AD$2:$AK$9,ROUNDUP(IF(MOD($A34+INDEX(_xlfn.TEXTSPLIT(V132,",",),0,1)+$A$18,$A$18)=0,$A$18,MOD($A34+INDEX(_xlfn.TEXTSPLIT(V132,",",),0,1)+$A$18,$A$18))/5,0),ROUNDUP(IF(MOD(V$18+INDEX(_xlfn.TEXTSPLIT(V132,",",),0,2)+$A$18,$A$18)=0,$A$18,MOD(V$18+INDEX(_xlfn.TEXTSPLIT(V132,",",),0,2)+$A$18,$A$18))/5,0)))</f>
        <v>7</v>
      </c>
      <c r="W34" s="1" cm="1">
        <f t="array" aca="1" ref="W34" ca="1">(INDEX($K$2:$T$11,ROUNDUP(IF(MOD($A34+INDEX(_xlfn.TEXTSPLIT(W89,",",),0,1)+$A$18,$A$18)=0,$A$18,MOD($A34+INDEX(_xlfn.TEXTSPLIT(W89,",",),0,1)+$A$18,$A$18))/4,0),ROUNDUP(IF(MOD(W$18+INDEX(_xlfn.TEXTSPLIT(W89,",",),0,2)+$A$18,$A$18)=0,$A$18,MOD(W$18+INDEX(_xlfn.TEXTSPLIT(W89,",",),0,2)+$A$18,$A$18))/4,0)))+(INDEX($AD$2:$AK$9,ROUNDUP(IF(MOD($A34+INDEX(_xlfn.TEXTSPLIT(W132,",",),0,1)+$A$18,$A$18)=0,$A$18,MOD($A34+INDEX(_xlfn.TEXTSPLIT(W132,",",),0,1)+$A$18,$A$18))/5,0),ROUNDUP(IF(MOD(W$18+INDEX(_xlfn.TEXTSPLIT(W132,",",),0,2)+$A$18,$A$18)=0,$A$18,MOD(W$18+INDEX(_xlfn.TEXTSPLIT(W132,",",),0,2)+$A$18,$A$18))/5,0)))</f>
        <v>7</v>
      </c>
      <c r="X34" s="1" cm="1">
        <f t="array" aca="1" ref="X34" ca="1">(INDEX($K$2:$T$11,ROUNDUP(IF(MOD($A34+INDEX(_xlfn.TEXTSPLIT(X89,",",),0,1)+$A$18,$A$18)=0,$A$18,MOD($A34+INDEX(_xlfn.TEXTSPLIT(X89,",",),0,1)+$A$18,$A$18))/4,0),ROUNDUP(IF(MOD(X$18+INDEX(_xlfn.TEXTSPLIT(X89,",",),0,2)+$A$18,$A$18)=0,$A$18,MOD(X$18+INDEX(_xlfn.TEXTSPLIT(X89,",",),0,2)+$A$18,$A$18))/4,0)))+(INDEX($AD$2:$AK$9,ROUNDUP(IF(MOD($A34+INDEX(_xlfn.TEXTSPLIT(X132,",",),0,1)+$A$18,$A$18)=0,$A$18,MOD($A34+INDEX(_xlfn.TEXTSPLIT(X132,",",),0,1)+$A$18,$A$18))/5,0),ROUNDUP(IF(MOD(X$18+INDEX(_xlfn.TEXTSPLIT(X132,",",),0,2)+$A$18,$A$18)=0,$A$18,MOD(X$18+INDEX(_xlfn.TEXTSPLIT(X132,",",),0,2)+$A$18,$A$18))/5,0)))</f>
        <v>3</v>
      </c>
      <c r="Y34" s="1" cm="1">
        <f t="array" aca="1" ref="Y34" ca="1">(INDEX($K$2:$T$11,ROUNDUP(IF(MOD($A34+INDEX(_xlfn.TEXTSPLIT(Y89,",",),0,1)+$A$18,$A$18)=0,$A$18,MOD($A34+INDEX(_xlfn.TEXTSPLIT(Y89,",",),0,1)+$A$18,$A$18))/4,0),ROUNDUP(IF(MOD(Y$18+INDEX(_xlfn.TEXTSPLIT(Y89,",",),0,2)+$A$18,$A$18)=0,$A$18,MOD(Y$18+INDEX(_xlfn.TEXTSPLIT(Y89,",",),0,2)+$A$18,$A$18))/4,0)))+(INDEX($AD$2:$AK$9,ROUNDUP(IF(MOD($A34+INDEX(_xlfn.TEXTSPLIT(Y132,",",),0,1)+$A$18,$A$18)=0,$A$18,MOD($A34+INDEX(_xlfn.TEXTSPLIT(Y132,",",),0,1)+$A$18,$A$18))/5,0),ROUNDUP(IF(MOD(Y$18+INDEX(_xlfn.TEXTSPLIT(Y132,",",),0,2)+$A$18,$A$18)=0,$A$18,MOD(Y$18+INDEX(_xlfn.TEXTSPLIT(Y132,",",),0,2)+$A$18,$A$18))/5,0)))</f>
        <v>7</v>
      </c>
      <c r="Z34" s="1" cm="1">
        <f t="array" aca="1" ref="Z34" ca="1">(INDEX($K$2:$T$11,ROUNDUP(IF(MOD($A34+INDEX(_xlfn.TEXTSPLIT(Z89,",",),0,1)+$A$18,$A$18)=0,$A$18,MOD($A34+INDEX(_xlfn.TEXTSPLIT(Z89,",",),0,1)+$A$18,$A$18))/4,0),ROUNDUP(IF(MOD(Z$18+INDEX(_xlfn.TEXTSPLIT(Z89,",",),0,2)+$A$18,$A$18)=0,$A$18,MOD(Z$18+INDEX(_xlfn.TEXTSPLIT(Z89,",",),0,2)+$A$18,$A$18))/4,0)))+(INDEX($AD$2:$AK$9,ROUNDUP(IF(MOD($A34+INDEX(_xlfn.TEXTSPLIT(Z132,",",),0,1)+$A$18,$A$18)=0,$A$18,MOD($A34+INDEX(_xlfn.TEXTSPLIT(Z132,",",),0,1)+$A$18,$A$18))/5,0),ROUNDUP(IF(MOD(Z$18+INDEX(_xlfn.TEXTSPLIT(Z132,",",),0,2)+$A$18,$A$18)=0,$A$18,MOD(Z$18+INDEX(_xlfn.TEXTSPLIT(Z132,",",),0,2)+$A$18,$A$18))/5,0)))</f>
        <v>5</v>
      </c>
      <c r="AA34" s="1" cm="1">
        <f t="array" aca="1" ref="AA34" ca="1">(INDEX($K$2:$T$11,ROUNDUP(IF(MOD($A34+INDEX(_xlfn.TEXTSPLIT(AA89,",",),0,1)+$A$18,$A$18)=0,$A$18,MOD($A34+INDEX(_xlfn.TEXTSPLIT(AA89,",",),0,1)+$A$18,$A$18))/4,0),ROUNDUP(IF(MOD(AA$18+INDEX(_xlfn.TEXTSPLIT(AA89,",",),0,2)+$A$18,$A$18)=0,$A$18,MOD(AA$18+INDEX(_xlfn.TEXTSPLIT(AA89,",",),0,2)+$A$18,$A$18))/4,0)))+(INDEX($AD$2:$AK$9,ROUNDUP(IF(MOD($A34+INDEX(_xlfn.TEXTSPLIT(AA132,",",),0,1)+$A$18,$A$18)=0,$A$18,MOD($A34+INDEX(_xlfn.TEXTSPLIT(AA132,",",),0,1)+$A$18,$A$18))/5,0),ROUNDUP(IF(MOD(AA$18+INDEX(_xlfn.TEXTSPLIT(AA132,",",),0,2)+$A$18,$A$18)=0,$A$18,MOD(AA$18+INDEX(_xlfn.TEXTSPLIT(AA132,",",),0,2)+$A$18,$A$18))/5,0)))</f>
        <v>7</v>
      </c>
      <c r="AB34" s="1" cm="1">
        <f t="array" aca="1" ref="AB34" ca="1">(INDEX($K$2:$T$11,ROUNDUP(IF(MOD($A34+INDEX(_xlfn.TEXTSPLIT(AB89,",",),0,1)+$A$18,$A$18)=0,$A$18,MOD($A34+INDEX(_xlfn.TEXTSPLIT(AB89,",",),0,1)+$A$18,$A$18))/4,0),ROUNDUP(IF(MOD(AB$18+INDEX(_xlfn.TEXTSPLIT(AB89,",",),0,2)+$A$18,$A$18)=0,$A$18,MOD(AB$18+INDEX(_xlfn.TEXTSPLIT(AB89,",",),0,2)+$A$18,$A$18))/4,0)))+(INDEX($AD$2:$AK$9,ROUNDUP(IF(MOD($A34+INDEX(_xlfn.TEXTSPLIT(AB132,",",),0,1)+$A$18,$A$18)=0,$A$18,MOD($A34+INDEX(_xlfn.TEXTSPLIT(AB132,",",),0,1)+$A$18,$A$18))/5,0),ROUNDUP(IF(MOD(AB$18+INDEX(_xlfn.TEXTSPLIT(AB132,",",),0,2)+$A$18,$A$18)=0,$A$18,MOD(AB$18+INDEX(_xlfn.TEXTSPLIT(AB132,",",),0,2)+$A$18,$A$18))/5,0)))</f>
        <v>5</v>
      </c>
      <c r="AC34" s="1" cm="1">
        <f t="array" aca="1" ref="AC34" ca="1">(INDEX($K$2:$T$11,ROUNDUP(IF(MOD($A34+INDEX(_xlfn.TEXTSPLIT(AC89,",",),0,1)+$A$18,$A$18)=0,$A$18,MOD($A34+INDEX(_xlfn.TEXTSPLIT(AC89,",",),0,1)+$A$18,$A$18))/4,0),ROUNDUP(IF(MOD(AC$18+INDEX(_xlfn.TEXTSPLIT(AC89,",",),0,2)+$A$18,$A$18)=0,$A$18,MOD(AC$18+INDEX(_xlfn.TEXTSPLIT(AC89,",",),0,2)+$A$18,$A$18))/4,0)))+(INDEX($AD$2:$AK$9,ROUNDUP(IF(MOD($A34+INDEX(_xlfn.TEXTSPLIT(AC132,",",),0,1)+$A$18,$A$18)=0,$A$18,MOD($A34+INDEX(_xlfn.TEXTSPLIT(AC132,",",),0,1)+$A$18,$A$18))/5,0),ROUNDUP(IF(MOD(AC$18+INDEX(_xlfn.TEXTSPLIT(AC132,",",),0,2)+$A$18,$A$18)=0,$A$18,MOD(AC$18+INDEX(_xlfn.TEXTSPLIT(AC132,",",),0,2)+$A$18,$A$18))/5,0)))</f>
        <v>8</v>
      </c>
      <c r="AD34" s="1" cm="1">
        <f t="array" aca="1" ref="AD34" ca="1">(INDEX($K$2:$T$11,ROUNDUP(IF(MOD($A34+INDEX(_xlfn.TEXTSPLIT(AD89,",",),0,1)+$A$18,$A$18)=0,$A$18,MOD($A34+INDEX(_xlfn.TEXTSPLIT(AD89,",",),0,1)+$A$18,$A$18))/4,0),ROUNDUP(IF(MOD(AD$18+INDEX(_xlfn.TEXTSPLIT(AD89,",",),0,2)+$A$18,$A$18)=0,$A$18,MOD(AD$18+INDEX(_xlfn.TEXTSPLIT(AD89,",",),0,2)+$A$18,$A$18))/4,0)))+(INDEX($AD$2:$AK$9,ROUNDUP(IF(MOD($A34+INDEX(_xlfn.TEXTSPLIT(AD132,",",),0,1)+$A$18,$A$18)=0,$A$18,MOD($A34+INDEX(_xlfn.TEXTSPLIT(AD132,",",),0,1)+$A$18,$A$18))/5,0),ROUNDUP(IF(MOD(AD$18+INDEX(_xlfn.TEXTSPLIT(AD132,",",),0,2)+$A$18,$A$18)=0,$A$18,MOD(AD$18+INDEX(_xlfn.TEXTSPLIT(AD132,",",),0,2)+$A$18,$A$18))/5,0)))</f>
        <v>8</v>
      </c>
      <c r="AE34" s="1" cm="1">
        <f t="array" aca="1" ref="AE34" ca="1">(INDEX($K$2:$T$11,ROUNDUP(IF(MOD($A34+INDEX(_xlfn.TEXTSPLIT(AE89,",",),0,1)+$A$18,$A$18)=0,$A$18,MOD($A34+INDEX(_xlfn.TEXTSPLIT(AE89,",",),0,1)+$A$18,$A$18))/4,0),ROUNDUP(IF(MOD(AE$18+INDEX(_xlfn.TEXTSPLIT(AE89,",",),0,2)+$A$18,$A$18)=0,$A$18,MOD(AE$18+INDEX(_xlfn.TEXTSPLIT(AE89,",",),0,2)+$A$18,$A$18))/4,0)))+(INDEX($AD$2:$AK$9,ROUNDUP(IF(MOD($A34+INDEX(_xlfn.TEXTSPLIT(AE132,",",),0,1)+$A$18,$A$18)=0,$A$18,MOD($A34+INDEX(_xlfn.TEXTSPLIT(AE132,",",),0,1)+$A$18,$A$18))/5,0),ROUNDUP(IF(MOD(AE$18+INDEX(_xlfn.TEXTSPLIT(AE132,",",),0,2)+$A$18,$A$18)=0,$A$18,MOD(AE$18+INDEX(_xlfn.TEXTSPLIT(AE132,",",),0,2)+$A$18,$A$18))/5,0)))</f>
        <v>7</v>
      </c>
      <c r="AF34" s="1" cm="1">
        <f t="array" aca="1" ref="AF34" ca="1">(INDEX($K$2:$T$11,ROUNDUP(IF(MOD($A34+INDEX(_xlfn.TEXTSPLIT(AF89,",",),0,1)+$A$18,$A$18)=0,$A$18,MOD($A34+INDEX(_xlfn.TEXTSPLIT(AF89,",",),0,1)+$A$18,$A$18))/4,0),ROUNDUP(IF(MOD(AF$18+INDEX(_xlfn.TEXTSPLIT(AF89,",",),0,2)+$A$18,$A$18)=0,$A$18,MOD(AF$18+INDEX(_xlfn.TEXTSPLIT(AF89,",",),0,2)+$A$18,$A$18))/4,0)))+(INDEX($AD$2:$AK$9,ROUNDUP(IF(MOD($A34+INDEX(_xlfn.TEXTSPLIT(AF132,",",),0,1)+$A$18,$A$18)=0,$A$18,MOD($A34+INDEX(_xlfn.TEXTSPLIT(AF132,",",),0,1)+$A$18,$A$18))/5,0),ROUNDUP(IF(MOD(AF$18+INDEX(_xlfn.TEXTSPLIT(AF132,",",),0,2)+$A$18,$A$18)=0,$A$18,MOD(AF$18+INDEX(_xlfn.TEXTSPLIT(AF132,",",),0,2)+$A$18,$A$18))/5,0)))</f>
        <v>7</v>
      </c>
      <c r="AG34" s="1" cm="1">
        <f t="array" aca="1" ref="AG34" ca="1">(INDEX($K$2:$T$11,ROUNDUP(IF(MOD($A34+INDEX(_xlfn.TEXTSPLIT(AG89,",",),0,1)+$A$18,$A$18)=0,$A$18,MOD($A34+INDEX(_xlfn.TEXTSPLIT(AG89,",",),0,1)+$A$18,$A$18))/4,0),ROUNDUP(IF(MOD(AG$18+INDEX(_xlfn.TEXTSPLIT(AG89,",",),0,2)+$A$18,$A$18)=0,$A$18,MOD(AG$18+INDEX(_xlfn.TEXTSPLIT(AG89,",",),0,2)+$A$18,$A$18))/4,0)))+(INDEX($AD$2:$AK$9,ROUNDUP(IF(MOD($A34+INDEX(_xlfn.TEXTSPLIT(AG132,",",),0,1)+$A$18,$A$18)=0,$A$18,MOD($A34+INDEX(_xlfn.TEXTSPLIT(AG132,",",),0,1)+$A$18,$A$18))/5,0),ROUNDUP(IF(MOD(AG$18+INDEX(_xlfn.TEXTSPLIT(AG132,",",),0,2)+$A$18,$A$18)=0,$A$18,MOD(AG$18+INDEX(_xlfn.TEXTSPLIT(AG132,",",),0,2)+$A$18,$A$18))/5,0)))</f>
        <v>7</v>
      </c>
      <c r="AH34" s="1" cm="1">
        <f t="array" aca="1" ref="AH34" ca="1">(INDEX($K$2:$T$11,ROUNDUP(IF(MOD($A34+INDEX(_xlfn.TEXTSPLIT(AH89,",",),0,1)+$A$18,$A$18)=0,$A$18,MOD($A34+INDEX(_xlfn.TEXTSPLIT(AH89,",",),0,1)+$A$18,$A$18))/4,0),ROUNDUP(IF(MOD(AH$18+INDEX(_xlfn.TEXTSPLIT(AH89,",",),0,2)+$A$18,$A$18)=0,$A$18,MOD(AH$18+INDEX(_xlfn.TEXTSPLIT(AH89,",",),0,2)+$A$18,$A$18))/4,0)))+(INDEX($AD$2:$AK$9,ROUNDUP(IF(MOD($A34+INDEX(_xlfn.TEXTSPLIT(AH132,",",),0,1)+$A$18,$A$18)=0,$A$18,MOD($A34+INDEX(_xlfn.TEXTSPLIT(AH132,",",),0,1)+$A$18,$A$18))/5,0),ROUNDUP(IF(MOD(AH$18+INDEX(_xlfn.TEXTSPLIT(AH132,",",),0,2)+$A$18,$A$18)=0,$A$18,MOD(AH$18+INDEX(_xlfn.TEXTSPLIT(AH132,",",),0,2)+$A$18,$A$18))/5,0)))</f>
        <v>5</v>
      </c>
      <c r="AI34" s="1" cm="1">
        <f t="array" aca="1" ref="AI34" ca="1">(INDEX($K$2:$T$11,ROUNDUP(IF(MOD($A34+INDEX(_xlfn.TEXTSPLIT(AI89,",",),0,1)+$A$18,$A$18)=0,$A$18,MOD($A34+INDEX(_xlfn.TEXTSPLIT(AI89,",",),0,1)+$A$18,$A$18))/4,0),ROUNDUP(IF(MOD(AI$18+INDEX(_xlfn.TEXTSPLIT(AI89,",",),0,2)+$A$18,$A$18)=0,$A$18,MOD(AI$18+INDEX(_xlfn.TEXTSPLIT(AI89,",",),0,2)+$A$18,$A$18))/4,0)))+(INDEX($AD$2:$AK$9,ROUNDUP(IF(MOD($A34+INDEX(_xlfn.TEXTSPLIT(AI132,",",),0,1)+$A$18,$A$18)=0,$A$18,MOD($A34+INDEX(_xlfn.TEXTSPLIT(AI132,",",),0,1)+$A$18,$A$18))/5,0),ROUNDUP(IF(MOD(AI$18+INDEX(_xlfn.TEXTSPLIT(AI132,",",),0,2)+$A$18,$A$18)=0,$A$18,MOD(AI$18+INDEX(_xlfn.TEXTSPLIT(AI132,",",),0,2)+$A$18,$A$18))/5,0)))</f>
        <v>7</v>
      </c>
      <c r="AJ34" s="1" cm="1">
        <f t="array" aca="1" ref="AJ34" ca="1">(INDEX($K$2:$T$11,ROUNDUP(IF(MOD($A34+INDEX(_xlfn.TEXTSPLIT(AJ89,",",),0,1)+$A$18,$A$18)=0,$A$18,MOD($A34+INDEX(_xlfn.TEXTSPLIT(AJ89,",",),0,1)+$A$18,$A$18))/4,0),ROUNDUP(IF(MOD(AJ$18+INDEX(_xlfn.TEXTSPLIT(AJ89,",",),0,2)+$A$18,$A$18)=0,$A$18,MOD(AJ$18+INDEX(_xlfn.TEXTSPLIT(AJ89,",",),0,2)+$A$18,$A$18))/4,0)))+(INDEX($AD$2:$AK$9,ROUNDUP(IF(MOD($A34+INDEX(_xlfn.TEXTSPLIT(AJ132,",",),0,1)+$A$18,$A$18)=0,$A$18,MOD($A34+INDEX(_xlfn.TEXTSPLIT(AJ132,",",),0,1)+$A$18,$A$18))/5,0),ROUNDUP(IF(MOD(AJ$18+INDEX(_xlfn.TEXTSPLIT(AJ132,",",),0,2)+$A$18,$A$18)=0,$A$18,MOD(AJ$18+INDEX(_xlfn.TEXTSPLIT(AJ132,",",),0,2)+$A$18,$A$18))/5,0)))</f>
        <v>7</v>
      </c>
      <c r="AK34" s="1" cm="1">
        <f t="array" aca="1" ref="AK34" ca="1">(INDEX($K$2:$T$11,ROUNDUP(IF(MOD($A34+INDEX(_xlfn.TEXTSPLIT(AK89,",",),0,1)+$A$18,$A$18)=0,$A$18,MOD($A34+INDEX(_xlfn.TEXTSPLIT(AK89,",",),0,1)+$A$18,$A$18))/4,0),ROUNDUP(IF(MOD(AK$18+INDEX(_xlfn.TEXTSPLIT(AK89,",",),0,2)+$A$18,$A$18)=0,$A$18,MOD(AK$18+INDEX(_xlfn.TEXTSPLIT(AK89,",",),0,2)+$A$18,$A$18))/4,0)))+(INDEX($AD$2:$AK$9,ROUNDUP(IF(MOD($A34+INDEX(_xlfn.TEXTSPLIT(AK132,",",),0,1)+$A$18,$A$18)=0,$A$18,MOD($A34+INDEX(_xlfn.TEXTSPLIT(AK132,",",),0,1)+$A$18,$A$18))/5,0),ROUNDUP(IF(MOD(AK$18+INDEX(_xlfn.TEXTSPLIT(AK132,",",),0,2)+$A$18,$A$18)=0,$A$18,MOD(AK$18+INDEX(_xlfn.TEXTSPLIT(AK132,",",),0,2)+$A$18,$A$18))/5,0)))</f>
        <v>7</v>
      </c>
      <c r="AL34" s="1" cm="1">
        <f t="array" aca="1" ref="AL34" ca="1">(INDEX($K$2:$T$11,ROUNDUP(IF(MOD($A34+INDEX(_xlfn.TEXTSPLIT(AL89,",",),0,1)+$A$18,$A$18)=0,$A$18,MOD($A34+INDEX(_xlfn.TEXTSPLIT(AL89,",",),0,1)+$A$18,$A$18))/4,0),ROUNDUP(IF(MOD(AL$18+INDEX(_xlfn.TEXTSPLIT(AL89,",",),0,2)+$A$18,$A$18)=0,$A$18,MOD(AL$18+INDEX(_xlfn.TEXTSPLIT(AL89,",",),0,2)+$A$18,$A$18))/4,0)))+(INDEX($AD$2:$AK$9,ROUNDUP(IF(MOD($A34+INDEX(_xlfn.TEXTSPLIT(AL132,",",),0,1)+$A$18,$A$18)=0,$A$18,MOD($A34+INDEX(_xlfn.TEXTSPLIT(AL132,",",),0,1)+$A$18,$A$18))/5,0),ROUNDUP(IF(MOD(AL$18+INDEX(_xlfn.TEXTSPLIT(AL132,",",),0,2)+$A$18,$A$18)=0,$A$18,MOD(AL$18+INDEX(_xlfn.TEXTSPLIT(AL132,",",),0,2)+$A$18,$A$18))/5,0)))</f>
        <v>5</v>
      </c>
      <c r="AM34" s="1" cm="1">
        <f t="array" aca="1" ref="AM34" ca="1">(INDEX($K$2:$T$11,ROUNDUP(IF(MOD($A34+INDEX(_xlfn.TEXTSPLIT(AM89,",",),0,1)+$A$18,$A$18)=0,$A$18,MOD($A34+INDEX(_xlfn.TEXTSPLIT(AM89,",",),0,1)+$A$18,$A$18))/4,0),ROUNDUP(IF(MOD(AM$18+INDEX(_xlfn.TEXTSPLIT(AM89,",",),0,2)+$A$18,$A$18)=0,$A$18,MOD(AM$18+INDEX(_xlfn.TEXTSPLIT(AM89,",",),0,2)+$A$18,$A$18))/4,0)))+(INDEX($AD$2:$AK$9,ROUNDUP(IF(MOD($A34+INDEX(_xlfn.TEXTSPLIT(AM132,",",),0,1)+$A$18,$A$18)=0,$A$18,MOD($A34+INDEX(_xlfn.TEXTSPLIT(AM132,",",),0,1)+$A$18,$A$18))/5,0),ROUNDUP(IF(MOD(AM$18+INDEX(_xlfn.TEXTSPLIT(AM132,",",),0,2)+$A$18,$A$18)=0,$A$18,MOD(AM$18+INDEX(_xlfn.TEXTSPLIT(AM132,",",),0,2)+$A$18,$A$18))/5,0)))</f>
        <v>5</v>
      </c>
      <c r="AN34" s="1" cm="1">
        <f t="array" aca="1" ref="AN34" ca="1">(INDEX($K$2:$T$11,ROUNDUP(IF(MOD($A34+INDEX(_xlfn.TEXTSPLIT(AN89,",",),0,1)+$A$18,$A$18)=0,$A$18,MOD($A34+INDEX(_xlfn.TEXTSPLIT(AN89,",",),0,1)+$A$18,$A$18))/4,0),ROUNDUP(IF(MOD(AN$18+INDEX(_xlfn.TEXTSPLIT(AN89,",",),0,2)+$A$18,$A$18)=0,$A$18,MOD(AN$18+INDEX(_xlfn.TEXTSPLIT(AN89,",",),0,2)+$A$18,$A$18))/4,0)))+(INDEX($AD$2:$AK$9,ROUNDUP(IF(MOD($A34+INDEX(_xlfn.TEXTSPLIT(AN132,",",),0,1)+$A$18,$A$18)=0,$A$18,MOD($A34+INDEX(_xlfn.TEXTSPLIT(AN132,",",),0,1)+$A$18,$A$18))/5,0),ROUNDUP(IF(MOD(AN$18+INDEX(_xlfn.TEXTSPLIT(AN132,",",),0,2)+$A$18,$A$18)=0,$A$18,MOD(AN$18+INDEX(_xlfn.TEXTSPLIT(AN132,",",),0,2)+$A$18,$A$18))/5,0)))</f>
        <v>5</v>
      </c>
      <c r="AO34" s="1" cm="1">
        <f t="array" aca="1" ref="AO34" ca="1">(INDEX($K$2:$T$11,ROUNDUP(IF(MOD($A34+INDEX(_xlfn.TEXTSPLIT(AO89,",",),0,1)+$A$18,$A$18)=0,$A$18,MOD($A34+INDEX(_xlfn.TEXTSPLIT(AO89,",",),0,1)+$A$18,$A$18))/4,0),ROUNDUP(IF(MOD(AO$18+INDEX(_xlfn.TEXTSPLIT(AO89,",",),0,2)+$A$18,$A$18)=0,$A$18,MOD(AO$18+INDEX(_xlfn.TEXTSPLIT(AO89,",",),0,2)+$A$18,$A$18))/4,0)))+(INDEX($AD$2:$AK$9,ROUNDUP(IF(MOD($A34+INDEX(_xlfn.TEXTSPLIT(AO132,",",),0,1)+$A$18,$A$18)=0,$A$18,MOD($A34+INDEX(_xlfn.TEXTSPLIT(AO132,",",),0,1)+$A$18,$A$18))/5,0),ROUNDUP(IF(MOD(AO$18+INDEX(_xlfn.TEXTSPLIT(AO132,",",),0,2)+$A$18,$A$18)=0,$A$18,MOD(AO$18+INDEX(_xlfn.TEXTSPLIT(AO132,",",),0,2)+$A$18,$A$18))/5,0)))</f>
        <v>2</v>
      </c>
    </row>
    <row r="35" spans="1:41" ht="12.75">
      <c r="A35" s="1">
        <v>17</v>
      </c>
      <c r="B35" s="1" cm="1">
        <f t="array" aca="1" ref="B35" ca="1">(INDEX($K$2:$T$11,ROUNDUP(IF(MOD($A35+INDEX(_xlfn.TEXTSPLIT(B90,",",),0,1)+$A$18,$A$18)=0,$A$18,MOD($A35+INDEX(_xlfn.TEXTSPLIT(B90,",",),0,1)+$A$18,$A$18))/4,0),ROUNDUP(IF(MOD(B$18+INDEX(_xlfn.TEXTSPLIT(B90,",",),0,2)+$A$18,$A$18)=0,$A$18,MOD(B$18+INDEX(_xlfn.TEXTSPLIT(B90,",",),0,2)+$A$18,$A$18))/4,0)))+(INDEX($AD$2:$AK$9,ROUNDUP(IF(MOD($A35+INDEX(_xlfn.TEXTSPLIT(B133,",",),0,1)+$A$18,$A$18)=0,$A$18,MOD($A35+INDEX(_xlfn.TEXTSPLIT(B133,",",),0,1)+$A$18,$A$18))/5,0),ROUNDUP(IF(MOD(B$18+INDEX(_xlfn.TEXTSPLIT(B133,",",),0,2)+$A$18,$A$18)=0,$A$18,MOD(B$18+INDEX(_xlfn.TEXTSPLIT(B133,",",),0,2)+$A$18,$A$18))/5,0)))</f>
        <v>6</v>
      </c>
      <c r="C35" s="1" cm="1">
        <f t="array" aca="1" ref="C35" ca="1">(INDEX($K$2:$T$11,ROUNDUP(IF(MOD($A35+INDEX(_xlfn.TEXTSPLIT(C90,",",),0,1)+$A$18,$A$18)=0,$A$18,MOD($A35+INDEX(_xlfn.TEXTSPLIT(C90,",",),0,1)+$A$18,$A$18))/4,0),ROUNDUP(IF(MOD(C$18+INDEX(_xlfn.TEXTSPLIT(C90,",",),0,2)+$A$18,$A$18)=0,$A$18,MOD(C$18+INDEX(_xlfn.TEXTSPLIT(C90,",",),0,2)+$A$18,$A$18))/4,0)))+(INDEX($AD$2:$AK$9,ROUNDUP(IF(MOD($A35+INDEX(_xlfn.TEXTSPLIT(C133,",",),0,1)+$A$18,$A$18)=0,$A$18,MOD($A35+INDEX(_xlfn.TEXTSPLIT(C133,",",),0,1)+$A$18,$A$18))/5,0),ROUNDUP(IF(MOD(C$18+INDEX(_xlfn.TEXTSPLIT(C133,",",),0,2)+$A$18,$A$18)=0,$A$18,MOD(C$18+INDEX(_xlfn.TEXTSPLIT(C133,",",),0,2)+$A$18,$A$18))/5,0)))</f>
        <v>6</v>
      </c>
      <c r="D35" s="1" cm="1">
        <f t="array" aca="1" ref="D35" ca="1">(INDEX($K$2:$T$11,ROUNDUP(IF(MOD($A35+INDEX(_xlfn.TEXTSPLIT(D90,",",),0,1)+$A$18,$A$18)=0,$A$18,MOD($A35+INDEX(_xlfn.TEXTSPLIT(D90,",",),0,1)+$A$18,$A$18))/4,0),ROUNDUP(IF(MOD(D$18+INDEX(_xlfn.TEXTSPLIT(D90,",",),0,2)+$A$18,$A$18)=0,$A$18,MOD(D$18+INDEX(_xlfn.TEXTSPLIT(D90,",",),0,2)+$A$18,$A$18))/4,0)))+(INDEX($AD$2:$AK$9,ROUNDUP(IF(MOD($A35+INDEX(_xlfn.TEXTSPLIT(D133,",",),0,1)+$A$18,$A$18)=0,$A$18,MOD($A35+INDEX(_xlfn.TEXTSPLIT(D133,",",),0,1)+$A$18,$A$18))/5,0),ROUNDUP(IF(MOD(D$18+INDEX(_xlfn.TEXTSPLIT(D133,",",),0,2)+$A$18,$A$18)=0,$A$18,MOD(D$18+INDEX(_xlfn.TEXTSPLIT(D133,",",),0,2)+$A$18,$A$18))/5,0)))</f>
        <v>2</v>
      </c>
      <c r="E35" s="1" cm="1">
        <f t="array" aca="1" ref="E35" ca="1">(INDEX($K$2:$T$11,ROUNDUP(IF(MOD($A35+INDEX(_xlfn.TEXTSPLIT(E90,",",),0,1)+$A$18,$A$18)=0,$A$18,MOD($A35+INDEX(_xlfn.TEXTSPLIT(E90,",",),0,1)+$A$18,$A$18))/4,0),ROUNDUP(IF(MOD(E$18+INDEX(_xlfn.TEXTSPLIT(E90,",",),0,2)+$A$18,$A$18)=0,$A$18,MOD(E$18+INDEX(_xlfn.TEXTSPLIT(E90,",",),0,2)+$A$18,$A$18))/4,0)))+(INDEX($AD$2:$AK$9,ROUNDUP(IF(MOD($A35+INDEX(_xlfn.TEXTSPLIT(E133,",",),0,1)+$A$18,$A$18)=0,$A$18,MOD($A35+INDEX(_xlfn.TEXTSPLIT(E133,",",),0,1)+$A$18,$A$18))/5,0),ROUNDUP(IF(MOD(E$18+INDEX(_xlfn.TEXTSPLIT(E133,",",),0,2)+$A$18,$A$18)=0,$A$18,MOD(E$18+INDEX(_xlfn.TEXTSPLIT(E133,",",),0,2)+$A$18,$A$18))/5,0)))</f>
        <v>6</v>
      </c>
      <c r="F35" s="1" cm="1">
        <f t="array" aca="1" ref="F35" ca="1">(INDEX($K$2:$T$11,ROUNDUP(IF(MOD($A35+INDEX(_xlfn.TEXTSPLIT(F90,",",),0,1)+$A$18,$A$18)=0,$A$18,MOD($A35+INDEX(_xlfn.TEXTSPLIT(F90,",",),0,1)+$A$18,$A$18))/4,0),ROUNDUP(IF(MOD(F$18+INDEX(_xlfn.TEXTSPLIT(F90,",",),0,2)+$A$18,$A$18)=0,$A$18,MOD(F$18+INDEX(_xlfn.TEXTSPLIT(F90,",",),0,2)+$A$18,$A$18))/4,0)))+(INDEX($AD$2:$AK$9,ROUNDUP(IF(MOD($A35+INDEX(_xlfn.TEXTSPLIT(F133,",",),0,1)+$A$18,$A$18)=0,$A$18,MOD($A35+INDEX(_xlfn.TEXTSPLIT(F133,",",),0,1)+$A$18,$A$18))/5,0),ROUNDUP(IF(MOD(F$18+INDEX(_xlfn.TEXTSPLIT(F133,",",),0,2)+$A$18,$A$18)=0,$A$18,MOD(F$18+INDEX(_xlfn.TEXTSPLIT(F133,",",),0,2)+$A$18,$A$18))/5,0)))</f>
        <v>6</v>
      </c>
      <c r="G35" s="1" cm="1">
        <f t="array" aca="1" ref="G35" ca="1">(INDEX($K$2:$T$11,ROUNDUP(IF(MOD($A35+INDEX(_xlfn.TEXTSPLIT(G90,",",),0,1)+$A$18,$A$18)=0,$A$18,MOD($A35+INDEX(_xlfn.TEXTSPLIT(G90,",",),0,1)+$A$18,$A$18))/4,0),ROUNDUP(IF(MOD(G$18+INDEX(_xlfn.TEXTSPLIT(G90,",",),0,2)+$A$18,$A$18)=0,$A$18,MOD(G$18+INDEX(_xlfn.TEXTSPLIT(G90,",",),0,2)+$A$18,$A$18))/4,0)))+(INDEX($AD$2:$AK$9,ROUNDUP(IF(MOD($A35+INDEX(_xlfn.TEXTSPLIT(G133,",",),0,1)+$A$18,$A$18)=0,$A$18,MOD($A35+INDEX(_xlfn.TEXTSPLIT(G133,",",),0,1)+$A$18,$A$18))/5,0),ROUNDUP(IF(MOD(G$18+INDEX(_xlfn.TEXTSPLIT(G133,",",),0,2)+$A$18,$A$18)=0,$A$18,MOD(G$18+INDEX(_xlfn.TEXTSPLIT(G133,",",),0,2)+$A$18,$A$18))/5,0)))</f>
        <v>2</v>
      </c>
      <c r="H35" s="1" cm="1">
        <f t="array" aca="1" ref="H35" ca="1">(INDEX($K$2:$T$11,ROUNDUP(IF(MOD($A35+INDEX(_xlfn.TEXTSPLIT(H90,",",),0,1)+$A$18,$A$18)=0,$A$18,MOD($A35+INDEX(_xlfn.TEXTSPLIT(H90,",",),0,1)+$A$18,$A$18))/4,0),ROUNDUP(IF(MOD(H$18+INDEX(_xlfn.TEXTSPLIT(H90,",",),0,2)+$A$18,$A$18)=0,$A$18,MOD(H$18+INDEX(_xlfn.TEXTSPLIT(H90,",",),0,2)+$A$18,$A$18))/4,0)))+(INDEX($AD$2:$AK$9,ROUNDUP(IF(MOD($A35+INDEX(_xlfn.TEXTSPLIT(H133,",",),0,1)+$A$18,$A$18)=0,$A$18,MOD($A35+INDEX(_xlfn.TEXTSPLIT(H133,",",),0,1)+$A$18,$A$18))/5,0),ROUNDUP(IF(MOD(H$18+INDEX(_xlfn.TEXTSPLIT(H133,",",),0,2)+$A$18,$A$18)=0,$A$18,MOD(H$18+INDEX(_xlfn.TEXTSPLIT(H133,",",),0,2)+$A$18,$A$18))/5,0)))</f>
        <v>2</v>
      </c>
      <c r="I35" s="1" cm="1">
        <f t="array" aca="1" ref="I35" ca="1">(INDEX($K$2:$T$11,ROUNDUP(IF(MOD($A35+INDEX(_xlfn.TEXTSPLIT(I90,",",),0,1)+$A$18,$A$18)=0,$A$18,MOD($A35+INDEX(_xlfn.TEXTSPLIT(I90,",",),0,1)+$A$18,$A$18))/4,0),ROUNDUP(IF(MOD(I$18+INDEX(_xlfn.TEXTSPLIT(I90,",",),0,2)+$A$18,$A$18)=0,$A$18,MOD(I$18+INDEX(_xlfn.TEXTSPLIT(I90,",",),0,2)+$A$18,$A$18))/4,0)))+(INDEX($AD$2:$AK$9,ROUNDUP(IF(MOD($A35+INDEX(_xlfn.TEXTSPLIT(I133,",",),0,1)+$A$18,$A$18)=0,$A$18,MOD($A35+INDEX(_xlfn.TEXTSPLIT(I133,",",),0,1)+$A$18,$A$18))/5,0),ROUNDUP(IF(MOD(I$18+INDEX(_xlfn.TEXTSPLIT(I133,",",),0,2)+$A$18,$A$18)=0,$A$18,MOD(I$18+INDEX(_xlfn.TEXTSPLIT(I133,",",),0,2)+$A$18,$A$18))/5,0)))</f>
        <v>6</v>
      </c>
      <c r="J35" s="1" cm="1">
        <f t="array" aca="1" ref="J35" ca="1">(INDEX($K$2:$T$11,ROUNDUP(IF(MOD($A35+INDEX(_xlfn.TEXTSPLIT(J90,",",),0,1)+$A$18,$A$18)=0,$A$18,MOD($A35+INDEX(_xlfn.TEXTSPLIT(J90,",",),0,1)+$A$18,$A$18))/4,0),ROUNDUP(IF(MOD(J$18+INDEX(_xlfn.TEXTSPLIT(J90,",",),0,2)+$A$18,$A$18)=0,$A$18,MOD(J$18+INDEX(_xlfn.TEXTSPLIT(J90,",",),0,2)+$A$18,$A$18))/4,0)))+(INDEX($AD$2:$AK$9,ROUNDUP(IF(MOD($A35+INDEX(_xlfn.TEXTSPLIT(J133,",",),0,1)+$A$18,$A$18)=0,$A$18,MOD($A35+INDEX(_xlfn.TEXTSPLIT(J133,",",),0,1)+$A$18,$A$18))/5,0),ROUNDUP(IF(MOD(J$18+INDEX(_xlfn.TEXTSPLIT(J133,",",),0,2)+$A$18,$A$18)=0,$A$18,MOD(J$18+INDEX(_xlfn.TEXTSPLIT(J133,",",),0,2)+$A$18,$A$18))/5,0)))</f>
        <v>6</v>
      </c>
      <c r="K35" s="1" cm="1">
        <f t="array" aca="1" ref="K35" ca="1">(INDEX($K$2:$T$11,ROUNDUP(IF(MOD($A35+INDEX(_xlfn.TEXTSPLIT(K90,",",),0,1)+$A$18,$A$18)=0,$A$18,MOD($A35+INDEX(_xlfn.TEXTSPLIT(K90,",",),0,1)+$A$18,$A$18))/4,0),ROUNDUP(IF(MOD(K$18+INDEX(_xlfn.TEXTSPLIT(K90,",",),0,2)+$A$18,$A$18)=0,$A$18,MOD(K$18+INDEX(_xlfn.TEXTSPLIT(K90,",",),0,2)+$A$18,$A$18))/4,0)))+(INDEX($AD$2:$AK$9,ROUNDUP(IF(MOD($A35+INDEX(_xlfn.TEXTSPLIT(K133,",",),0,1)+$A$18,$A$18)=0,$A$18,MOD($A35+INDEX(_xlfn.TEXTSPLIT(K133,",",),0,1)+$A$18,$A$18))/5,0),ROUNDUP(IF(MOD(K$18+INDEX(_xlfn.TEXTSPLIT(K133,",",),0,2)+$A$18,$A$18)=0,$A$18,MOD(K$18+INDEX(_xlfn.TEXTSPLIT(K133,",",),0,2)+$A$18,$A$18))/5,0)))</f>
        <v>6</v>
      </c>
      <c r="L35" s="1" cm="1">
        <f t="array" aca="1" ref="L35" ca="1">(INDEX($K$2:$T$11,ROUNDUP(IF(MOD($A35+INDEX(_xlfn.TEXTSPLIT(L90,",",),0,1)+$A$18,$A$18)=0,$A$18,MOD($A35+INDEX(_xlfn.TEXTSPLIT(L90,",",),0,1)+$A$18,$A$18))/4,0),ROUNDUP(IF(MOD(L$18+INDEX(_xlfn.TEXTSPLIT(L90,",",),0,2)+$A$18,$A$18)=0,$A$18,MOD(L$18+INDEX(_xlfn.TEXTSPLIT(L90,",",),0,2)+$A$18,$A$18))/4,0)))+(INDEX($AD$2:$AK$9,ROUNDUP(IF(MOD($A35+INDEX(_xlfn.TEXTSPLIT(L133,",",),0,1)+$A$18,$A$18)=0,$A$18,MOD($A35+INDEX(_xlfn.TEXTSPLIT(L133,",",),0,1)+$A$18,$A$18))/5,0),ROUNDUP(IF(MOD(L$18+INDEX(_xlfn.TEXTSPLIT(L133,",",),0,2)+$A$18,$A$18)=0,$A$18,MOD(L$18+INDEX(_xlfn.TEXTSPLIT(L133,",",),0,2)+$A$18,$A$18))/5,0)))</f>
        <v>7</v>
      </c>
      <c r="M35" s="1" cm="1">
        <f t="array" aca="1" ref="M35" ca="1">(INDEX($K$2:$T$11,ROUNDUP(IF(MOD($A35+INDEX(_xlfn.TEXTSPLIT(M90,",",),0,1)+$A$18,$A$18)=0,$A$18,MOD($A35+INDEX(_xlfn.TEXTSPLIT(M90,",",),0,1)+$A$18,$A$18))/4,0),ROUNDUP(IF(MOD(M$18+INDEX(_xlfn.TEXTSPLIT(M90,",",),0,2)+$A$18,$A$18)=0,$A$18,MOD(M$18+INDEX(_xlfn.TEXTSPLIT(M90,",",),0,2)+$A$18,$A$18))/4,0)))+(INDEX($AD$2:$AK$9,ROUNDUP(IF(MOD($A35+INDEX(_xlfn.TEXTSPLIT(M133,",",),0,1)+$A$18,$A$18)=0,$A$18,MOD($A35+INDEX(_xlfn.TEXTSPLIT(M133,",",),0,1)+$A$18,$A$18))/5,0),ROUNDUP(IF(MOD(M$18+INDEX(_xlfn.TEXTSPLIT(M133,",",),0,2)+$A$18,$A$18)=0,$A$18,MOD(M$18+INDEX(_xlfn.TEXTSPLIT(M133,",",),0,2)+$A$18,$A$18))/5,0)))</f>
        <v>7</v>
      </c>
      <c r="N35" s="1" cm="1">
        <f t="array" aca="1" ref="N35" ca="1">(INDEX($K$2:$T$11,ROUNDUP(IF(MOD($A35+INDEX(_xlfn.TEXTSPLIT(N90,",",),0,1)+$A$18,$A$18)=0,$A$18,MOD($A35+INDEX(_xlfn.TEXTSPLIT(N90,",",),0,1)+$A$18,$A$18))/4,0),ROUNDUP(IF(MOD(N$18+INDEX(_xlfn.TEXTSPLIT(N90,",",),0,2)+$A$18,$A$18)=0,$A$18,MOD(N$18+INDEX(_xlfn.TEXTSPLIT(N90,",",),0,2)+$A$18,$A$18))/4,0)))+(INDEX($AD$2:$AK$9,ROUNDUP(IF(MOD($A35+INDEX(_xlfn.TEXTSPLIT(N133,",",),0,1)+$A$18,$A$18)=0,$A$18,MOD($A35+INDEX(_xlfn.TEXTSPLIT(N133,",",),0,1)+$A$18,$A$18))/5,0),ROUNDUP(IF(MOD(N$18+INDEX(_xlfn.TEXTSPLIT(N133,",",),0,2)+$A$18,$A$18)=0,$A$18,MOD(N$18+INDEX(_xlfn.TEXTSPLIT(N133,",",),0,2)+$A$18,$A$18))/5,0)))</f>
        <v>7</v>
      </c>
      <c r="O35" s="1" cm="1">
        <f t="array" aca="1" ref="O35" ca="1">(INDEX($K$2:$T$11,ROUNDUP(IF(MOD($A35+INDEX(_xlfn.TEXTSPLIT(O90,",",),0,1)+$A$18,$A$18)=0,$A$18,MOD($A35+INDEX(_xlfn.TEXTSPLIT(O90,",",),0,1)+$A$18,$A$18))/4,0),ROUNDUP(IF(MOD(O$18+INDEX(_xlfn.TEXTSPLIT(O90,",",),0,2)+$A$18,$A$18)=0,$A$18,MOD(O$18+INDEX(_xlfn.TEXTSPLIT(O90,",",),0,2)+$A$18,$A$18))/4,0)))+(INDEX($AD$2:$AK$9,ROUNDUP(IF(MOD($A35+INDEX(_xlfn.TEXTSPLIT(O133,",",),0,1)+$A$18,$A$18)=0,$A$18,MOD($A35+INDEX(_xlfn.TEXTSPLIT(O133,",",),0,1)+$A$18,$A$18))/5,0),ROUNDUP(IF(MOD(O$18+INDEX(_xlfn.TEXTSPLIT(O133,",",),0,2)+$A$18,$A$18)=0,$A$18,MOD(O$18+INDEX(_xlfn.TEXTSPLIT(O133,",",),0,2)+$A$18,$A$18))/5,0)))</f>
        <v>7</v>
      </c>
      <c r="P35" s="1" cm="1">
        <f t="array" aca="1" ref="P35" ca="1">(INDEX($K$2:$T$11,ROUNDUP(IF(MOD($A35+INDEX(_xlfn.TEXTSPLIT(P90,",",),0,1)+$A$18,$A$18)=0,$A$18,MOD($A35+INDEX(_xlfn.TEXTSPLIT(P90,",",),0,1)+$A$18,$A$18))/4,0),ROUNDUP(IF(MOD(P$18+INDEX(_xlfn.TEXTSPLIT(P90,",",),0,2)+$A$18,$A$18)=0,$A$18,MOD(P$18+INDEX(_xlfn.TEXTSPLIT(P90,",",),0,2)+$A$18,$A$18))/4,0)))+(INDEX($AD$2:$AK$9,ROUNDUP(IF(MOD($A35+INDEX(_xlfn.TEXTSPLIT(P133,",",),0,1)+$A$18,$A$18)=0,$A$18,MOD($A35+INDEX(_xlfn.TEXTSPLIT(P133,",",),0,1)+$A$18,$A$18))/5,0),ROUNDUP(IF(MOD(P$18+INDEX(_xlfn.TEXTSPLIT(P133,",",),0,2)+$A$18,$A$18)=0,$A$18,MOD(P$18+INDEX(_xlfn.TEXTSPLIT(P133,",",),0,2)+$A$18,$A$18))/5,0)))</f>
        <v>7</v>
      </c>
      <c r="Q35" s="1" cm="1">
        <f t="array" aca="1" ref="Q35" ca="1">(INDEX($K$2:$T$11,ROUNDUP(IF(MOD($A35+INDEX(_xlfn.TEXTSPLIT(Q90,",",),0,1)+$A$18,$A$18)=0,$A$18,MOD($A35+INDEX(_xlfn.TEXTSPLIT(Q90,",",),0,1)+$A$18,$A$18))/4,0),ROUNDUP(IF(MOD(Q$18+INDEX(_xlfn.TEXTSPLIT(Q90,",",),0,2)+$A$18,$A$18)=0,$A$18,MOD(Q$18+INDEX(_xlfn.TEXTSPLIT(Q90,",",),0,2)+$A$18,$A$18))/4,0)))+(INDEX($AD$2:$AK$9,ROUNDUP(IF(MOD($A35+INDEX(_xlfn.TEXTSPLIT(Q133,",",),0,1)+$A$18,$A$18)=0,$A$18,MOD($A35+INDEX(_xlfn.TEXTSPLIT(Q133,",",),0,1)+$A$18,$A$18))/5,0),ROUNDUP(IF(MOD(Q$18+INDEX(_xlfn.TEXTSPLIT(Q133,",",),0,2)+$A$18,$A$18)=0,$A$18,MOD(Q$18+INDEX(_xlfn.TEXTSPLIT(Q133,",",),0,2)+$A$18,$A$18))/5,0)))</f>
        <v>3</v>
      </c>
      <c r="R35" s="1" cm="1">
        <f t="array" aca="1" ref="R35" ca="1">(INDEX($K$2:$T$11,ROUNDUP(IF(MOD($A35+INDEX(_xlfn.TEXTSPLIT(R90,",",),0,1)+$A$18,$A$18)=0,$A$18,MOD($A35+INDEX(_xlfn.TEXTSPLIT(R90,",",),0,1)+$A$18,$A$18))/4,0),ROUNDUP(IF(MOD(R$18+INDEX(_xlfn.TEXTSPLIT(R90,",",),0,2)+$A$18,$A$18)=0,$A$18,MOD(R$18+INDEX(_xlfn.TEXTSPLIT(R90,",",),0,2)+$A$18,$A$18))/4,0)))+(INDEX($AD$2:$AK$9,ROUNDUP(IF(MOD($A35+INDEX(_xlfn.TEXTSPLIT(R133,",",),0,1)+$A$18,$A$18)=0,$A$18,MOD($A35+INDEX(_xlfn.TEXTSPLIT(R133,",",),0,1)+$A$18,$A$18))/5,0),ROUNDUP(IF(MOD(R$18+INDEX(_xlfn.TEXTSPLIT(R133,",",),0,2)+$A$18,$A$18)=0,$A$18,MOD(R$18+INDEX(_xlfn.TEXTSPLIT(R133,",",),0,2)+$A$18,$A$18))/5,0)))</f>
        <v>7</v>
      </c>
      <c r="S35" s="1" cm="1">
        <f t="array" aca="1" ref="S35" ca="1">(INDEX($K$2:$T$11,ROUNDUP(IF(MOD($A35+INDEX(_xlfn.TEXTSPLIT(S90,",",),0,1)+$A$18,$A$18)=0,$A$18,MOD($A35+INDEX(_xlfn.TEXTSPLIT(S90,",",),0,1)+$A$18,$A$18))/4,0),ROUNDUP(IF(MOD(S$18+INDEX(_xlfn.TEXTSPLIT(S90,",",),0,2)+$A$18,$A$18)=0,$A$18,MOD(S$18+INDEX(_xlfn.TEXTSPLIT(S90,",",),0,2)+$A$18,$A$18))/4,0)))+(INDEX($AD$2:$AK$9,ROUNDUP(IF(MOD($A35+INDEX(_xlfn.TEXTSPLIT(S133,",",),0,1)+$A$18,$A$18)=0,$A$18,MOD($A35+INDEX(_xlfn.TEXTSPLIT(S133,",",),0,1)+$A$18,$A$18))/5,0),ROUNDUP(IF(MOD(S$18+INDEX(_xlfn.TEXTSPLIT(S133,",",),0,2)+$A$18,$A$18)=0,$A$18,MOD(S$18+INDEX(_xlfn.TEXTSPLIT(S133,",",),0,2)+$A$18,$A$18))/5,0)))</f>
        <v>3</v>
      </c>
      <c r="T35" s="1" cm="1">
        <f t="array" aca="1" ref="T35" ca="1">(INDEX($K$2:$T$11,ROUNDUP(IF(MOD($A35+INDEX(_xlfn.TEXTSPLIT(T90,",",),0,1)+$A$18,$A$18)=0,$A$18,MOD($A35+INDEX(_xlfn.TEXTSPLIT(T90,",",),0,1)+$A$18,$A$18))/4,0),ROUNDUP(IF(MOD(T$18+INDEX(_xlfn.TEXTSPLIT(T90,",",),0,2)+$A$18,$A$18)=0,$A$18,MOD(T$18+INDEX(_xlfn.TEXTSPLIT(T90,",",),0,2)+$A$18,$A$18))/4,0)))+(INDEX($AD$2:$AK$9,ROUNDUP(IF(MOD($A35+INDEX(_xlfn.TEXTSPLIT(T133,",",),0,1)+$A$18,$A$18)=0,$A$18,MOD($A35+INDEX(_xlfn.TEXTSPLIT(T133,",",),0,1)+$A$18,$A$18))/5,0),ROUNDUP(IF(MOD(T$18+INDEX(_xlfn.TEXTSPLIT(T133,",",),0,2)+$A$18,$A$18)=0,$A$18,MOD(T$18+INDEX(_xlfn.TEXTSPLIT(T133,",",),0,2)+$A$18,$A$18))/5,0)))</f>
        <v>3</v>
      </c>
      <c r="U35" s="1" cm="1">
        <f t="array" aca="1" ref="U35" ca="1">(INDEX($K$2:$T$11,ROUNDUP(IF(MOD($A35+INDEX(_xlfn.TEXTSPLIT(U90,",",),0,1)+$A$18,$A$18)=0,$A$18,MOD($A35+INDEX(_xlfn.TEXTSPLIT(U90,",",),0,1)+$A$18,$A$18))/4,0),ROUNDUP(IF(MOD(U$18+INDEX(_xlfn.TEXTSPLIT(U90,",",),0,2)+$A$18,$A$18)=0,$A$18,MOD(U$18+INDEX(_xlfn.TEXTSPLIT(U90,",",),0,2)+$A$18,$A$18))/4,0)))+(INDEX($AD$2:$AK$9,ROUNDUP(IF(MOD($A35+INDEX(_xlfn.TEXTSPLIT(U133,",",),0,1)+$A$18,$A$18)=0,$A$18,MOD($A35+INDEX(_xlfn.TEXTSPLIT(U133,",",),0,1)+$A$18,$A$18))/5,0),ROUNDUP(IF(MOD(U$18+INDEX(_xlfn.TEXTSPLIT(U133,",",),0,2)+$A$18,$A$18)=0,$A$18,MOD(U$18+INDEX(_xlfn.TEXTSPLIT(U133,",",),0,2)+$A$18,$A$18))/5,0)))</f>
        <v>3</v>
      </c>
      <c r="V35" s="1" cm="1">
        <f t="array" aca="1" ref="V35" ca="1">(INDEX($K$2:$T$11,ROUNDUP(IF(MOD($A35+INDEX(_xlfn.TEXTSPLIT(V90,",",),0,1)+$A$18,$A$18)=0,$A$18,MOD($A35+INDEX(_xlfn.TEXTSPLIT(V90,",",),0,1)+$A$18,$A$18))/4,0),ROUNDUP(IF(MOD(V$18+INDEX(_xlfn.TEXTSPLIT(V90,",",),0,2)+$A$18,$A$18)=0,$A$18,MOD(V$18+INDEX(_xlfn.TEXTSPLIT(V90,",",),0,2)+$A$18,$A$18))/4,0)))+(INDEX($AD$2:$AK$9,ROUNDUP(IF(MOD($A35+INDEX(_xlfn.TEXTSPLIT(V133,",",),0,1)+$A$18,$A$18)=0,$A$18,MOD($A35+INDEX(_xlfn.TEXTSPLIT(V133,",",),0,1)+$A$18,$A$18))/5,0),ROUNDUP(IF(MOD(V$18+INDEX(_xlfn.TEXTSPLIT(V133,",",),0,2)+$A$18,$A$18)=0,$A$18,MOD(V$18+INDEX(_xlfn.TEXTSPLIT(V133,",",),0,2)+$A$18,$A$18))/5,0)))</f>
        <v>3</v>
      </c>
      <c r="W35" s="1" cm="1">
        <f t="array" aca="1" ref="W35" ca="1">(INDEX($K$2:$T$11,ROUNDUP(IF(MOD($A35+INDEX(_xlfn.TEXTSPLIT(W90,",",),0,1)+$A$18,$A$18)=0,$A$18,MOD($A35+INDEX(_xlfn.TEXTSPLIT(W90,",",),0,1)+$A$18,$A$18))/4,0),ROUNDUP(IF(MOD(W$18+INDEX(_xlfn.TEXTSPLIT(W90,",",),0,2)+$A$18,$A$18)=0,$A$18,MOD(W$18+INDEX(_xlfn.TEXTSPLIT(W90,",",),0,2)+$A$18,$A$18))/4,0)))+(INDEX($AD$2:$AK$9,ROUNDUP(IF(MOD($A35+INDEX(_xlfn.TEXTSPLIT(W133,",",),0,1)+$A$18,$A$18)=0,$A$18,MOD($A35+INDEX(_xlfn.TEXTSPLIT(W133,",",),0,1)+$A$18,$A$18))/5,0),ROUNDUP(IF(MOD(W$18+INDEX(_xlfn.TEXTSPLIT(W133,",",),0,2)+$A$18,$A$18)=0,$A$18,MOD(W$18+INDEX(_xlfn.TEXTSPLIT(W133,",",),0,2)+$A$18,$A$18))/5,0)))</f>
        <v>7</v>
      </c>
      <c r="X35" s="1" cm="1">
        <f t="array" aca="1" ref="X35" ca="1">(INDEX($K$2:$T$11,ROUNDUP(IF(MOD($A35+INDEX(_xlfn.TEXTSPLIT(X90,",",),0,1)+$A$18,$A$18)=0,$A$18,MOD($A35+INDEX(_xlfn.TEXTSPLIT(X90,",",),0,1)+$A$18,$A$18))/4,0),ROUNDUP(IF(MOD(X$18+INDEX(_xlfn.TEXTSPLIT(X90,",",),0,2)+$A$18,$A$18)=0,$A$18,MOD(X$18+INDEX(_xlfn.TEXTSPLIT(X90,",",),0,2)+$A$18,$A$18))/4,0)))+(INDEX($AD$2:$AK$9,ROUNDUP(IF(MOD($A35+INDEX(_xlfn.TEXTSPLIT(X133,",",),0,1)+$A$18,$A$18)=0,$A$18,MOD($A35+INDEX(_xlfn.TEXTSPLIT(X133,",",),0,1)+$A$18,$A$18))/5,0),ROUNDUP(IF(MOD(X$18+INDEX(_xlfn.TEXTSPLIT(X133,",",),0,2)+$A$18,$A$18)=0,$A$18,MOD(X$18+INDEX(_xlfn.TEXTSPLIT(X133,",",),0,2)+$A$18,$A$18))/5,0)))</f>
        <v>3</v>
      </c>
      <c r="Y35" s="1" cm="1">
        <f t="array" aca="1" ref="Y35" ca="1">(INDEX($K$2:$T$11,ROUNDUP(IF(MOD($A35+INDEX(_xlfn.TEXTSPLIT(Y90,",",),0,1)+$A$18,$A$18)=0,$A$18,MOD($A35+INDEX(_xlfn.TEXTSPLIT(Y90,",",),0,1)+$A$18,$A$18))/4,0),ROUNDUP(IF(MOD(Y$18+INDEX(_xlfn.TEXTSPLIT(Y90,",",),0,2)+$A$18,$A$18)=0,$A$18,MOD(Y$18+INDEX(_xlfn.TEXTSPLIT(Y90,",",),0,2)+$A$18,$A$18))/4,0)))+(INDEX($AD$2:$AK$9,ROUNDUP(IF(MOD($A35+INDEX(_xlfn.TEXTSPLIT(Y133,",",),0,1)+$A$18,$A$18)=0,$A$18,MOD($A35+INDEX(_xlfn.TEXTSPLIT(Y133,",",),0,1)+$A$18,$A$18))/5,0),ROUNDUP(IF(MOD(Y$18+INDEX(_xlfn.TEXTSPLIT(Y133,",",),0,2)+$A$18,$A$18)=0,$A$18,MOD(Y$18+INDEX(_xlfn.TEXTSPLIT(Y133,",",),0,2)+$A$18,$A$18))/5,0)))</f>
        <v>7</v>
      </c>
      <c r="Z35" s="1" cm="1">
        <f t="array" aca="1" ref="Z35" ca="1">(INDEX($K$2:$T$11,ROUNDUP(IF(MOD($A35+INDEX(_xlfn.TEXTSPLIT(Z90,",",),0,1)+$A$18,$A$18)=0,$A$18,MOD($A35+INDEX(_xlfn.TEXTSPLIT(Z90,",",),0,1)+$A$18,$A$18))/4,0),ROUNDUP(IF(MOD(Z$18+INDEX(_xlfn.TEXTSPLIT(Z90,",",),0,2)+$A$18,$A$18)=0,$A$18,MOD(Z$18+INDEX(_xlfn.TEXTSPLIT(Z90,",",),0,2)+$A$18,$A$18))/4,0)))+(INDEX($AD$2:$AK$9,ROUNDUP(IF(MOD($A35+INDEX(_xlfn.TEXTSPLIT(Z133,",",),0,1)+$A$18,$A$18)=0,$A$18,MOD($A35+INDEX(_xlfn.TEXTSPLIT(Z133,",",),0,1)+$A$18,$A$18))/5,0),ROUNDUP(IF(MOD(Z$18+INDEX(_xlfn.TEXTSPLIT(Z133,",",),0,2)+$A$18,$A$18)=0,$A$18,MOD(Z$18+INDEX(_xlfn.TEXTSPLIT(Z133,",",),0,2)+$A$18,$A$18))/5,0)))</f>
        <v>7</v>
      </c>
      <c r="AA35" s="1" cm="1">
        <f t="array" aca="1" ref="AA35" ca="1">(INDEX($K$2:$T$11,ROUNDUP(IF(MOD($A35+INDEX(_xlfn.TEXTSPLIT(AA90,",",),0,1)+$A$18,$A$18)=0,$A$18,MOD($A35+INDEX(_xlfn.TEXTSPLIT(AA90,",",),0,1)+$A$18,$A$18))/4,0),ROUNDUP(IF(MOD(AA$18+INDEX(_xlfn.TEXTSPLIT(AA90,",",),0,2)+$A$18,$A$18)=0,$A$18,MOD(AA$18+INDEX(_xlfn.TEXTSPLIT(AA90,",",),0,2)+$A$18,$A$18))/4,0)))+(INDEX($AD$2:$AK$9,ROUNDUP(IF(MOD($A35+INDEX(_xlfn.TEXTSPLIT(AA133,",",),0,1)+$A$18,$A$18)=0,$A$18,MOD($A35+INDEX(_xlfn.TEXTSPLIT(AA133,",",),0,1)+$A$18,$A$18))/5,0),ROUNDUP(IF(MOD(AA$18+INDEX(_xlfn.TEXTSPLIT(AA133,",",),0,2)+$A$18,$A$18)=0,$A$18,MOD(AA$18+INDEX(_xlfn.TEXTSPLIT(AA133,",",),0,2)+$A$18,$A$18))/5,0)))</f>
        <v>8</v>
      </c>
      <c r="AB35" s="1" cm="1">
        <f t="array" aca="1" ref="AB35" ca="1">(INDEX($K$2:$T$11,ROUNDUP(IF(MOD($A35+INDEX(_xlfn.TEXTSPLIT(AB90,",",),0,1)+$A$18,$A$18)=0,$A$18,MOD($A35+INDEX(_xlfn.TEXTSPLIT(AB90,",",),0,1)+$A$18,$A$18))/4,0),ROUNDUP(IF(MOD(AB$18+INDEX(_xlfn.TEXTSPLIT(AB90,",",),0,2)+$A$18,$A$18)=0,$A$18,MOD(AB$18+INDEX(_xlfn.TEXTSPLIT(AB90,",",),0,2)+$A$18,$A$18))/4,0)))+(INDEX($AD$2:$AK$9,ROUNDUP(IF(MOD($A35+INDEX(_xlfn.TEXTSPLIT(AB133,",",),0,1)+$A$18,$A$18)=0,$A$18,MOD($A35+INDEX(_xlfn.TEXTSPLIT(AB133,",",),0,1)+$A$18,$A$18))/5,0),ROUNDUP(IF(MOD(AB$18+INDEX(_xlfn.TEXTSPLIT(AB133,",",),0,2)+$A$18,$A$18)=0,$A$18,MOD(AB$18+INDEX(_xlfn.TEXTSPLIT(AB133,",",),0,2)+$A$18,$A$18))/5,0)))</f>
        <v>8</v>
      </c>
      <c r="AC35" s="1" cm="1">
        <f t="array" aca="1" ref="AC35" ca="1">(INDEX($K$2:$T$11,ROUNDUP(IF(MOD($A35+INDEX(_xlfn.TEXTSPLIT(AC90,",",),0,1)+$A$18,$A$18)=0,$A$18,MOD($A35+INDEX(_xlfn.TEXTSPLIT(AC90,",",),0,1)+$A$18,$A$18))/4,0),ROUNDUP(IF(MOD(AC$18+INDEX(_xlfn.TEXTSPLIT(AC90,",",),0,2)+$A$18,$A$18)=0,$A$18,MOD(AC$18+INDEX(_xlfn.TEXTSPLIT(AC90,",",),0,2)+$A$18,$A$18))/4,0)))+(INDEX($AD$2:$AK$9,ROUNDUP(IF(MOD($A35+INDEX(_xlfn.TEXTSPLIT(AC133,",",),0,1)+$A$18,$A$18)=0,$A$18,MOD($A35+INDEX(_xlfn.TEXTSPLIT(AC133,",",),0,1)+$A$18,$A$18))/5,0),ROUNDUP(IF(MOD(AC$18+INDEX(_xlfn.TEXTSPLIT(AC133,",",),0,2)+$A$18,$A$18)=0,$A$18,MOD(AC$18+INDEX(_xlfn.TEXTSPLIT(AC133,",",),0,2)+$A$18,$A$18))/5,0)))</f>
        <v>8</v>
      </c>
      <c r="AD35" s="1" cm="1">
        <f t="array" aca="1" ref="AD35" ca="1">(INDEX($K$2:$T$11,ROUNDUP(IF(MOD($A35+INDEX(_xlfn.TEXTSPLIT(AD90,",",),0,1)+$A$18,$A$18)=0,$A$18,MOD($A35+INDEX(_xlfn.TEXTSPLIT(AD90,",",),0,1)+$A$18,$A$18))/4,0),ROUNDUP(IF(MOD(AD$18+INDEX(_xlfn.TEXTSPLIT(AD90,",",),0,2)+$A$18,$A$18)=0,$A$18,MOD(AD$18+INDEX(_xlfn.TEXTSPLIT(AD90,",",),0,2)+$A$18,$A$18))/4,0)))+(INDEX($AD$2:$AK$9,ROUNDUP(IF(MOD($A35+INDEX(_xlfn.TEXTSPLIT(AD133,",",),0,1)+$A$18,$A$18)=0,$A$18,MOD($A35+INDEX(_xlfn.TEXTSPLIT(AD133,",",),0,1)+$A$18,$A$18))/5,0),ROUNDUP(IF(MOD(AD$18+INDEX(_xlfn.TEXTSPLIT(AD133,",",),0,2)+$A$18,$A$18)=0,$A$18,MOD(AD$18+INDEX(_xlfn.TEXTSPLIT(AD133,",",),0,2)+$A$18,$A$18))/5,0)))</f>
        <v>8</v>
      </c>
      <c r="AE35" s="1" cm="1">
        <f t="array" aca="1" ref="AE35" ca="1">(INDEX($K$2:$T$11,ROUNDUP(IF(MOD($A35+INDEX(_xlfn.TEXTSPLIT(AE90,",",),0,1)+$A$18,$A$18)=0,$A$18,MOD($A35+INDEX(_xlfn.TEXTSPLIT(AE90,",",),0,1)+$A$18,$A$18))/4,0),ROUNDUP(IF(MOD(AE$18+INDEX(_xlfn.TEXTSPLIT(AE90,",",),0,2)+$A$18,$A$18)=0,$A$18,MOD(AE$18+INDEX(_xlfn.TEXTSPLIT(AE90,",",),0,2)+$A$18,$A$18))/4,0)))+(INDEX($AD$2:$AK$9,ROUNDUP(IF(MOD($A35+INDEX(_xlfn.TEXTSPLIT(AE133,",",),0,1)+$A$18,$A$18)=0,$A$18,MOD($A35+INDEX(_xlfn.TEXTSPLIT(AE133,",",),0,1)+$A$18,$A$18))/5,0),ROUNDUP(IF(MOD(AE$18+INDEX(_xlfn.TEXTSPLIT(AE133,",",),0,2)+$A$18,$A$18)=0,$A$18,MOD(AE$18+INDEX(_xlfn.TEXTSPLIT(AE133,",",),0,2)+$A$18,$A$18))/5,0)))</f>
        <v>8</v>
      </c>
      <c r="AF35" s="1" cm="1">
        <f t="array" aca="1" ref="AF35" ca="1">(INDEX($K$2:$T$11,ROUNDUP(IF(MOD($A35+INDEX(_xlfn.TEXTSPLIT(AF90,",",),0,1)+$A$18,$A$18)=0,$A$18,MOD($A35+INDEX(_xlfn.TEXTSPLIT(AF90,",",),0,1)+$A$18,$A$18))/4,0),ROUNDUP(IF(MOD(AF$18+INDEX(_xlfn.TEXTSPLIT(AF90,",",),0,2)+$A$18,$A$18)=0,$A$18,MOD(AF$18+INDEX(_xlfn.TEXTSPLIT(AF90,",",),0,2)+$A$18,$A$18))/4,0)))+(INDEX($AD$2:$AK$9,ROUNDUP(IF(MOD($A35+INDEX(_xlfn.TEXTSPLIT(AF133,",",),0,1)+$A$18,$A$18)=0,$A$18,MOD($A35+INDEX(_xlfn.TEXTSPLIT(AF133,",",),0,1)+$A$18,$A$18))/5,0),ROUNDUP(IF(MOD(AF$18+INDEX(_xlfn.TEXTSPLIT(AF133,",",),0,2)+$A$18,$A$18)=0,$A$18,MOD(AF$18+INDEX(_xlfn.TEXTSPLIT(AF133,",",),0,2)+$A$18,$A$18))/5,0)))</f>
        <v>8</v>
      </c>
      <c r="AG35" s="1" cm="1">
        <f t="array" aca="1" ref="AG35" ca="1">(INDEX($K$2:$T$11,ROUNDUP(IF(MOD($A35+INDEX(_xlfn.TEXTSPLIT(AG90,",",),0,1)+$A$18,$A$18)=0,$A$18,MOD($A35+INDEX(_xlfn.TEXTSPLIT(AG90,",",),0,1)+$A$18,$A$18))/4,0),ROUNDUP(IF(MOD(AG$18+INDEX(_xlfn.TEXTSPLIT(AG90,",",),0,2)+$A$18,$A$18)=0,$A$18,MOD(AG$18+INDEX(_xlfn.TEXTSPLIT(AG90,",",),0,2)+$A$18,$A$18))/4,0)))+(INDEX($AD$2:$AK$9,ROUNDUP(IF(MOD($A35+INDEX(_xlfn.TEXTSPLIT(AG133,",",),0,1)+$A$18,$A$18)=0,$A$18,MOD($A35+INDEX(_xlfn.TEXTSPLIT(AG133,",",),0,1)+$A$18,$A$18))/5,0),ROUNDUP(IF(MOD(AG$18+INDEX(_xlfn.TEXTSPLIT(AG133,",",),0,2)+$A$18,$A$18)=0,$A$18,MOD(AG$18+INDEX(_xlfn.TEXTSPLIT(AG133,",",),0,2)+$A$18,$A$18))/5,0)))</f>
        <v>7</v>
      </c>
      <c r="AH35" s="1" cm="1">
        <f t="array" aca="1" ref="AH35" ca="1">(INDEX($K$2:$T$11,ROUNDUP(IF(MOD($A35+INDEX(_xlfn.TEXTSPLIT(AH90,",",),0,1)+$A$18,$A$18)=0,$A$18,MOD($A35+INDEX(_xlfn.TEXTSPLIT(AH90,",",),0,1)+$A$18,$A$18))/4,0),ROUNDUP(IF(MOD(AH$18+INDEX(_xlfn.TEXTSPLIT(AH90,",",),0,2)+$A$18,$A$18)=0,$A$18,MOD(AH$18+INDEX(_xlfn.TEXTSPLIT(AH90,",",),0,2)+$A$18,$A$18))/4,0)))+(INDEX($AD$2:$AK$9,ROUNDUP(IF(MOD($A35+INDEX(_xlfn.TEXTSPLIT(AH133,",",),0,1)+$A$18,$A$18)=0,$A$18,MOD($A35+INDEX(_xlfn.TEXTSPLIT(AH133,",",),0,1)+$A$18,$A$18))/5,0),ROUNDUP(IF(MOD(AH$18+INDEX(_xlfn.TEXTSPLIT(AH133,",",),0,2)+$A$18,$A$18)=0,$A$18,MOD(AH$18+INDEX(_xlfn.TEXTSPLIT(AH133,",",),0,2)+$A$18,$A$18))/5,0)))</f>
        <v>7</v>
      </c>
      <c r="AI35" s="1" cm="1">
        <f t="array" aca="1" ref="AI35" ca="1">(INDEX($K$2:$T$11,ROUNDUP(IF(MOD($A35+INDEX(_xlfn.TEXTSPLIT(AI90,",",),0,1)+$A$18,$A$18)=0,$A$18,MOD($A35+INDEX(_xlfn.TEXTSPLIT(AI90,",",),0,1)+$A$18,$A$18))/4,0),ROUNDUP(IF(MOD(AI$18+INDEX(_xlfn.TEXTSPLIT(AI90,",",),0,2)+$A$18,$A$18)=0,$A$18,MOD(AI$18+INDEX(_xlfn.TEXTSPLIT(AI90,",",),0,2)+$A$18,$A$18))/4,0)))+(INDEX($AD$2:$AK$9,ROUNDUP(IF(MOD($A35+INDEX(_xlfn.TEXTSPLIT(AI133,",",),0,1)+$A$18,$A$18)=0,$A$18,MOD($A35+INDEX(_xlfn.TEXTSPLIT(AI133,",",),0,1)+$A$18,$A$18))/5,0),ROUNDUP(IF(MOD(AI$18+INDEX(_xlfn.TEXTSPLIT(AI133,",",),0,2)+$A$18,$A$18)=0,$A$18,MOD(AI$18+INDEX(_xlfn.TEXTSPLIT(AI133,",",),0,2)+$A$18,$A$18))/5,0)))</f>
        <v>7</v>
      </c>
      <c r="AJ35" s="1" cm="1">
        <f t="array" aca="1" ref="AJ35" ca="1">(INDEX($K$2:$T$11,ROUNDUP(IF(MOD($A35+INDEX(_xlfn.TEXTSPLIT(AJ90,",",),0,1)+$A$18,$A$18)=0,$A$18,MOD($A35+INDEX(_xlfn.TEXTSPLIT(AJ90,",",),0,1)+$A$18,$A$18))/4,0),ROUNDUP(IF(MOD(AJ$18+INDEX(_xlfn.TEXTSPLIT(AJ90,",",),0,2)+$A$18,$A$18)=0,$A$18,MOD(AJ$18+INDEX(_xlfn.TEXTSPLIT(AJ90,",",),0,2)+$A$18,$A$18))/4,0)))+(INDEX($AD$2:$AK$9,ROUNDUP(IF(MOD($A35+INDEX(_xlfn.TEXTSPLIT(AJ133,",",),0,1)+$A$18,$A$18)=0,$A$18,MOD($A35+INDEX(_xlfn.TEXTSPLIT(AJ133,",",),0,1)+$A$18,$A$18))/5,0),ROUNDUP(IF(MOD(AJ$18+INDEX(_xlfn.TEXTSPLIT(AJ133,",",),0,2)+$A$18,$A$18)=0,$A$18,MOD(AJ$18+INDEX(_xlfn.TEXTSPLIT(AJ133,",",),0,2)+$A$18,$A$18))/5,0)))</f>
        <v>7</v>
      </c>
      <c r="AK35" s="1" cm="1">
        <f t="array" aca="1" ref="AK35" ca="1">(INDEX($K$2:$T$11,ROUNDUP(IF(MOD($A35+INDEX(_xlfn.TEXTSPLIT(AK90,",",),0,1)+$A$18,$A$18)=0,$A$18,MOD($A35+INDEX(_xlfn.TEXTSPLIT(AK90,",",),0,1)+$A$18,$A$18))/4,0),ROUNDUP(IF(MOD(AK$18+INDEX(_xlfn.TEXTSPLIT(AK90,",",),0,2)+$A$18,$A$18)=0,$A$18,MOD(AK$18+INDEX(_xlfn.TEXTSPLIT(AK90,",",),0,2)+$A$18,$A$18))/4,0)))+(INDEX($AD$2:$AK$9,ROUNDUP(IF(MOD($A35+INDEX(_xlfn.TEXTSPLIT(AK133,",",),0,1)+$A$18,$A$18)=0,$A$18,MOD($A35+INDEX(_xlfn.TEXTSPLIT(AK133,",",),0,1)+$A$18,$A$18))/5,0),ROUNDUP(IF(MOD(AK$18+INDEX(_xlfn.TEXTSPLIT(AK133,",",),0,2)+$A$18,$A$18)=0,$A$18,MOD(AK$18+INDEX(_xlfn.TEXTSPLIT(AK133,",",),0,2)+$A$18,$A$18))/5,0)))</f>
        <v>5</v>
      </c>
      <c r="AL35" s="1" cm="1">
        <f t="array" aca="1" ref="AL35" ca="1">(INDEX($K$2:$T$11,ROUNDUP(IF(MOD($A35+INDEX(_xlfn.TEXTSPLIT(AL90,",",),0,1)+$A$18,$A$18)=0,$A$18,MOD($A35+INDEX(_xlfn.TEXTSPLIT(AL90,",",),0,1)+$A$18,$A$18))/4,0),ROUNDUP(IF(MOD(AL$18+INDEX(_xlfn.TEXTSPLIT(AL90,",",),0,2)+$A$18,$A$18)=0,$A$18,MOD(AL$18+INDEX(_xlfn.TEXTSPLIT(AL90,",",),0,2)+$A$18,$A$18))/4,0)))+(INDEX($AD$2:$AK$9,ROUNDUP(IF(MOD($A35+INDEX(_xlfn.TEXTSPLIT(AL133,",",),0,1)+$A$18,$A$18)=0,$A$18,MOD($A35+INDEX(_xlfn.TEXTSPLIT(AL133,",",),0,1)+$A$18,$A$18))/5,0),ROUNDUP(IF(MOD(AL$18+INDEX(_xlfn.TEXTSPLIT(AL133,",",),0,2)+$A$18,$A$18)=0,$A$18,MOD(AL$18+INDEX(_xlfn.TEXTSPLIT(AL133,",",),0,2)+$A$18,$A$18))/5,0)))</f>
        <v>5</v>
      </c>
      <c r="AM35" s="1" cm="1">
        <f t="array" aca="1" ref="AM35" ca="1">(INDEX($K$2:$T$11,ROUNDUP(IF(MOD($A35+INDEX(_xlfn.TEXTSPLIT(AM90,",",),0,1)+$A$18,$A$18)=0,$A$18,MOD($A35+INDEX(_xlfn.TEXTSPLIT(AM90,",",),0,1)+$A$18,$A$18))/4,0),ROUNDUP(IF(MOD(AM$18+INDEX(_xlfn.TEXTSPLIT(AM90,",",),0,2)+$A$18,$A$18)=0,$A$18,MOD(AM$18+INDEX(_xlfn.TEXTSPLIT(AM90,",",),0,2)+$A$18,$A$18))/4,0)))+(INDEX($AD$2:$AK$9,ROUNDUP(IF(MOD($A35+INDEX(_xlfn.TEXTSPLIT(AM133,",",),0,1)+$A$18,$A$18)=0,$A$18,MOD($A35+INDEX(_xlfn.TEXTSPLIT(AM133,",",),0,1)+$A$18,$A$18))/5,0),ROUNDUP(IF(MOD(AM$18+INDEX(_xlfn.TEXTSPLIT(AM133,",",),0,2)+$A$18,$A$18)=0,$A$18,MOD(AM$18+INDEX(_xlfn.TEXTSPLIT(AM133,",",),0,2)+$A$18,$A$18))/5,0)))</f>
        <v>5</v>
      </c>
      <c r="AN35" s="1" cm="1">
        <f t="array" aca="1" ref="AN35" ca="1">(INDEX($K$2:$T$11,ROUNDUP(IF(MOD($A35+INDEX(_xlfn.TEXTSPLIT(AN90,",",),0,1)+$A$18,$A$18)=0,$A$18,MOD($A35+INDEX(_xlfn.TEXTSPLIT(AN90,",",),0,1)+$A$18,$A$18))/4,0),ROUNDUP(IF(MOD(AN$18+INDEX(_xlfn.TEXTSPLIT(AN90,",",),0,2)+$A$18,$A$18)=0,$A$18,MOD(AN$18+INDEX(_xlfn.TEXTSPLIT(AN90,",",),0,2)+$A$18,$A$18))/4,0)))+(INDEX($AD$2:$AK$9,ROUNDUP(IF(MOD($A35+INDEX(_xlfn.TEXTSPLIT(AN133,",",),0,1)+$A$18,$A$18)=0,$A$18,MOD($A35+INDEX(_xlfn.TEXTSPLIT(AN133,",",),0,1)+$A$18,$A$18))/5,0),ROUNDUP(IF(MOD(AN$18+INDEX(_xlfn.TEXTSPLIT(AN133,",",),0,2)+$A$18,$A$18)=0,$A$18,MOD(AN$18+INDEX(_xlfn.TEXTSPLIT(AN133,",",),0,2)+$A$18,$A$18))/5,0)))</f>
        <v>5</v>
      </c>
      <c r="AO35" s="1" cm="1">
        <f t="array" aca="1" ref="AO35" ca="1">(INDEX($K$2:$T$11,ROUNDUP(IF(MOD($A35+INDEX(_xlfn.TEXTSPLIT(AO90,",",),0,1)+$A$18,$A$18)=0,$A$18,MOD($A35+INDEX(_xlfn.TEXTSPLIT(AO90,",",),0,1)+$A$18,$A$18))/4,0),ROUNDUP(IF(MOD(AO$18+INDEX(_xlfn.TEXTSPLIT(AO90,",",),0,2)+$A$18,$A$18)=0,$A$18,MOD(AO$18+INDEX(_xlfn.TEXTSPLIT(AO90,",",),0,2)+$A$18,$A$18))/4,0)))+(INDEX($AD$2:$AK$9,ROUNDUP(IF(MOD($A35+INDEX(_xlfn.TEXTSPLIT(AO133,",",),0,1)+$A$18,$A$18)=0,$A$18,MOD($A35+INDEX(_xlfn.TEXTSPLIT(AO133,",",),0,1)+$A$18,$A$18))/5,0),ROUNDUP(IF(MOD(AO$18+INDEX(_xlfn.TEXTSPLIT(AO133,",",),0,2)+$A$18,$A$18)=0,$A$18,MOD(AO$18+INDEX(_xlfn.TEXTSPLIT(AO133,",",),0,2)+$A$18,$A$18))/5,0)))</f>
        <v>2</v>
      </c>
    </row>
    <row r="36" spans="1:41" ht="12.75">
      <c r="A36" s="1">
        <v>18</v>
      </c>
      <c r="B36" s="1" cm="1">
        <f t="array" aca="1" ref="B36" ca="1">(INDEX($K$2:$T$11,ROUNDUP(IF(MOD($A36+INDEX(_xlfn.TEXTSPLIT(B91,",",),0,1)+$A$18,$A$18)=0,$A$18,MOD($A36+INDEX(_xlfn.TEXTSPLIT(B91,",",),0,1)+$A$18,$A$18))/4,0),ROUNDUP(IF(MOD(B$18+INDEX(_xlfn.TEXTSPLIT(B91,",",),0,2)+$A$18,$A$18)=0,$A$18,MOD(B$18+INDEX(_xlfn.TEXTSPLIT(B91,",",),0,2)+$A$18,$A$18))/4,0)))+(INDEX($AD$2:$AK$9,ROUNDUP(IF(MOD($A36+INDEX(_xlfn.TEXTSPLIT(B134,",",),0,1)+$A$18,$A$18)=0,$A$18,MOD($A36+INDEX(_xlfn.TEXTSPLIT(B134,",",),0,1)+$A$18,$A$18))/5,0),ROUNDUP(IF(MOD(B$18+INDEX(_xlfn.TEXTSPLIT(B134,",",),0,2)+$A$18,$A$18)=0,$A$18,MOD(B$18+INDEX(_xlfn.TEXTSPLIT(B134,",",),0,2)+$A$18,$A$18))/5,0)))</f>
        <v>6</v>
      </c>
      <c r="C36" s="1" cm="1">
        <f t="array" aca="1" ref="C36" ca="1">(INDEX($K$2:$T$11,ROUNDUP(IF(MOD($A36+INDEX(_xlfn.TEXTSPLIT(C91,",",),0,1)+$A$18,$A$18)=0,$A$18,MOD($A36+INDEX(_xlfn.TEXTSPLIT(C91,",",),0,1)+$A$18,$A$18))/4,0),ROUNDUP(IF(MOD(C$18+INDEX(_xlfn.TEXTSPLIT(C91,",",),0,2)+$A$18,$A$18)=0,$A$18,MOD(C$18+INDEX(_xlfn.TEXTSPLIT(C91,",",),0,2)+$A$18,$A$18))/4,0)))+(INDEX($AD$2:$AK$9,ROUNDUP(IF(MOD($A36+INDEX(_xlfn.TEXTSPLIT(C134,",",),0,1)+$A$18,$A$18)=0,$A$18,MOD($A36+INDEX(_xlfn.TEXTSPLIT(C134,",",),0,1)+$A$18,$A$18))/5,0),ROUNDUP(IF(MOD(C$18+INDEX(_xlfn.TEXTSPLIT(C134,",",),0,2)+$A$18,$A$18)=0,$A$18,MOD(C$18+INDEX(_xlfn.TEXTSPLIT(C134,",",),0,2)+$A$18,$A$18))/5,0)))</f>
        <v>2</v>
      </c>
      <c r="D36" s="1" cm="1">
        <f t="array" aca="1" ref="D36" ca="1">(INDEX($K$2:$T$11,ROUNDUP(IF(MOD($A36+INDEX(_xlfn.TEXTSPLIT(D91,",",),0,1)+$A$18,$A$18)=0,$A$18,MOD($A36+INDEX(_xlfn.TEXTSPLIT(D91,",",),0,1)+$A$18,$A$18))/4,0),ROUNDUP(IF(MOD(D$18+INDEX(_xlfn.TEXTSPLIT(D91,",",),0,2)+$A$18,$A$18)=0,$A$18,MOD(D$18+INDEX(_xlfn.TEXTSPLIT(D91,",",),0,2)+$A$18,$A$18))/4,0)))+(INDEX($AD$2:$AK$9,ROUNDUP(IF(MOD($A36+INDEX(_xlfn.TEXTSPLIT(D134,",",),0,1)+$A$18,$A$18)=0,$A$18,MOD($A36+INDEX(_xlfn.TEXTSPLIT(D134,",",),0,1)+$A$18,$A$18))/5,0),ROUNDUP(IF(MOD(D$18+INDEX(_xlfn.TEXTSPLIT(D134,",",),0,2)+$A$18,$A$18)=0,$A$18,MOD(D$18+INDEX(_xlfn.TEXTSPLIT(D134,",",),0,2)+$A$18,$A$18))/5,0)))</f>
        <v>2</v>
      </c>
      <c r="E36" s="1" cm="1">
        <f t="array" aca="1" ref="E36" ca="1">(INDEX($K$2:$T$11,ROUNDUP(IF(MOD($A36+INDEX(_xlfn.TEXTSPLIT(E91,",",),0,1)+$A$18,$A$18)=0,$A$18,MOD($A36+INDEX(_xlfn.TEXTSPLIT(E91,",",),0,1)+$A$18,$A$18))/4,0),ROUNDUP(IF(MOD(E$18+INDEX(_xlfn.TEXTSPLIT(E91,",",),0,2)+$A$18,$A$18)=0,$A$18,MOD(E$18+INDEX(_xlfn.TEXTSPLIT(E91,",",),0,2)+$A$18,$A$18))/4,0)))+(INDEX($AD$2:$AK$9,ROUNDUP(IF(MOD($A36+INDEX(_xlfn.TEXTSPLIT(E134,",",),0,1)+$A$18,$A$18)=0,$A$18,MOD($A36+INDEX(_xlfn.TEXTSPLIT(E134,",",),0,1)+$A$18,$A$18))/5,0),ROUNDUP(IF(MOD(E$18+INDEX(_xlfn.TEXTSPLIT(E134,",",),0,2)+$A$18,$A$18)=0,$A$18,MOD(E$18+INDEX(_xlfn.TEXTSPLIT(E134,",",),0,2)+$A$18,$A$18))/5,0)))</f>
        <v>2</v>
      </c>
      <c r="F36" s="1" cm="1">
        <f t="array" aca="1" ref="F36" ca="1">(INDEX($K$2:$T$11,ROUNDUP(IF(MOD($A36+INDEX(_xlfn.TEXTSPLIT(F91,",",),0,1)+$A$18,$A$18)=0,$A$18,MOD($A36+INDEX(_xlfn.TEXTSPLIT(F91,",",),0,1)+$A$18,$A$18))/4,0),ROUNDUP(IF(MOD(F$18+INDEX(_xlfn.TEXTSPLIT(F91,",",),0,2)+$A$18,$A$18)=0,$A$18,MOD(F$18+INDEX(_xlfn.TEXTSPLIT(F91,",",),0,2)+$A$18,$A$18))/4,0)))+(INDEX($AD$2:$AK$9,ROUNDUP(IF(MOD($A36+INDEX(_xlfn.TEXTSPLIT(F134,",",),0,1)+$A$18,$A$18)=0,$A$18,MOD($A36+INDEX(_xlfn.TEXTSPLIT(F134,",",),0,1)+$A$18,$A$18))/5,0),ROUNDUP(IF(MOD(F$18+INDEX(_xlfn.TEXTSPLIT(F134,",",),0,2)+$A$18,$A$18)=0,$A$18,MOD(F$18+INDEX(_xlfn.TEXTSPLIT(F134,",",),0,2)+$A$18,$A$18))/5,0)))</f>
        <v>2</v>
      </c>
      <c r="G36" s="1" cm="1">
        <f t="array" aca="1" ref="G36" ca="1">(INDEX($K$2:$T$11,ROUNDUP(IF(MOD($A36+INDEX(_xlfn.TEXTSPLIT(G91,",",),0,1)+$A$18,$A$18)=0,$A$18,MOD($A36+INDEX(_xlfn.TEXTSPLIT(G91,",",),0,1)+$A$18,$A$18))/4,0),ROUNDUP(IF(MOD(G$18+INDEX(_xlfn.TEXTSPLIT(G91,",",),0,2)+$A$18,$A$18)=0,$A$18,MOD(G$18+INDEX(_xlfn.TEXTSPLIT(G91,",",),0,2)+$A$18,$A$18))/4,0)))+(INDEX($AD$2:$AK$9,ROUNDUP(IF(MOD($A36+INDEX(_xlfn.TEXTSPLIT(G134,",",),0,1)+$A$18,$A$18)=0,$A$18,MOD($A36+INDEX(_xlfn.TEXTSPLIT(G134,",",),0,1)+$A$18,$A$18))/5,0),ROUNDUP(IF(MOD(G$18+INDEX(_xlfn.TEXTSPLIT(G134,",",),0,2)+$A$18,$A$18)=0,$A$18,MOD(G$18+INDEX(_xlfn.TEXTSPLIT(G134,",",),0,2)+$A$18,$A$18))/5,0)))</f>
        <v>2</v>
      </c>
      <c r="H36" s="1" cm="1">
        <f t="array" aca="1" ref="H36" ca="1">(INDEX($K$2:$T$11,ROUNDUP(IF(MOD($A36+INDEX(_xlfn.TEXTSPLIT(H91,",",),0,1)+$A$18,$A$18)=0,$A$18,MOD($A36+INDEX(_xlfn.TEXTSPLIT(H91,",",),0,1)+$A$18,$A$18))/4,0),ROUNDUP(IF(MOD(H$18+INDEX(_xlfn.TEXTSPLIT(H91,",",),0,2)+$A$18,$A$18)=0,$A$18,MOD(H$18+INDEX(_xlfn.TEXTSPLIT(H91,",",),0,2)+$A$18,$A$18))/4,0)))+(INDEX($AD$2:$AK$9,ROUNDUP(IF(MOD($A36+INDEX(_xlfn.TEXTSPLIT(H134,",",),0,1)+$A$18,$A$18)=0,$A$18,MOD($A36+INDEX(_xlfn.TEXTSPLIT(H134,",",),0,1)+$A$18,$A$18))/5,0),ROUNDUP(IF(MOD(H$18+INDEX(_xlfn.TEXTSPLIT(H134,",",),0,2)+$A$18,$A$18)=0,$A$18,MOD(H$18+INDEX(_xlfn.TEXTSPLIT(H134,",",),0,2)+$A$18,$A$18))/5,0)))</f>
        <v>2</v>
      </c>
      <c r="I36" s="1" cm="1">
        <f t="array" aca="1" ref="I36" ca="1">(INDEX($K$2:$T$11,ROUNDUP(IF(MOD($A36+INDEX(_xlfn.TEXTSPLIT(I91,",",),0,1)+$A$18,$A$18)=0,$A$18,MOD($A36+INDEX(_xlfn.TEXTSPLIT(I91,",",),0,1)+$A$18,$A$18))/4,0),ROUNDUP(IF(MOD(I$18+INDEX(_xlfn.TEXTSPLIT(I91,",",),0,2)+$A$18,$A$18)=0,$A$18,MOD(I$18+INDEX(_xlfn.TEXTSPLIT(I91,",",),0,2)+$A$18,$A$18))/4,0)))+(INDEX($AD$2:$AK$9,ROUNDUP(IF(MOD($A36+INDEX(_xlfn.TEXTSPLIT(I134,",",),0,1)+$A$18,$A$18)=0,$A$18,MOD($A36+INDEX(_xlfn.TEXTSPLIT(I134,",",),0,1)+$A$18,$A$18))/5,0),ROUNDUP(IF(MOD(I$18+INDEX(_xlfn.TEXTSPLIT(I134,",",),0,2)+$A$18,$A$18)=0,$A$18,MOD(I$18+INDEX(_xlfn.TEXTSPLIT(I134,",",),0,2)+$A$18,$A$18))/5,0)))</f>
        <v>2</v>
      </c>
      <c r="J36" s="1" cm="1">
        <f t="array" aca="1" ref="J36" ca="1">(INDEX($K$2:$T$11,ROUNDUP(IF(MOD($A36+INDEX(_xlfn.TEXTSPLIT(J91,",",),0,1)+$A$18,$A$18)=0,$A$18,MOD($A36+INDEX(_xlfn.TEXTSPLIT(J91,",",),0,1)+$A$18,$A$18))/4,0),ROUNDUP(IF(MOD(J$18+INDEX(_xlfn.TEXTSPLIT(J91,",",),0,2)+$A$18,$A$18)=0,$A$18,MOD(J$18+INDEX(_xlfn.TEXTSPLIT(J91,",",),0,2)+$A$18,$A$18))/4,0)))+(INDEX($AD$2:$AK$9,ROUNDUP(IF(MOD($A36+INDEX(_xlfn.TEXTSPLIT(J134,",",),0,1)+$A$18,$A$18)=0,$A$18,MOD($A36+INDEX(_xlfn.TEXTSPLIT(J134,",",),0,1)+$A$18,$A$18))/5,0),ROUNDUP(IF(MOD(J$18+INDEX(_xlfn.TEXTSPLIT(J134,",",),0,2)+$A$18,$A$18)=0,$A$18,MOD(J$18+INDEX(_xlfn.TEXTSPLIT(J134,",",),0,2)+$A$18,$A$18))/5,0)))</f>
        <v>6</v>
      </c>
      <c r="K36" s="1" cm="1">
        <f t="array" aca="1" ref="K36" ca="1">(INDEX($K$2:$T$11,ROUNDUP(IF(MOD($A36+INDEX(_xlfn.TEXTSPLIT(K91,",",),0,1)+$A$18,$A$18)=0,$A$18,MOD($A36+INDEX(_xlfn.TEXTSPLIT(K91,",",),0,1)+$A$18,$A$18))/4,0),ROUNDUP(IF(MOD(K$18+INDEX(_xlfn.TEXTSPLIT(K91,",",),0,2)+$A$18,$A$18)=0,$A$18,MOD(K$18+INDEX(_xlfn.TEXTSPLIT(K91,",",),0,2)+$A$18,$A$18))/4,0)))+(INDEX($AD$2:$AK$9,ROUNDUP(IF(MOD($A36+INDEX(_xlfn.TEXTSPLIT(K134,",",),0,1)+$A$18,$A$18)=0,$A$18,MOD($A36+INDEX(_xlfn.TEXTSPLIT(K134,",",),0,1)+$A$18,$A$18))/5,0),ROUNDUP(IF(MOD(K$18+INDEX(_xlfn.TEXTSPLIT(K134,",",),0,2)+$A$18,$A$18)=0,$A$18,MOD(K$18+INDEX(_xlfn.TEXTSPLIT(K134,",",),0,2)+$A$18,$A$18))/5,0)))</f>
        <v>6</v>
      </c>
      <c r="L36" s="1" cm="1">
        <f t="array" aca="1" ref="L36" ca="1">(INDEX($K$2:$T$11,ROUNDUP(IF(MOD($A36+INDEX(_xlfn.TEXTSPLIT(L91,",",),0,1)+$A$18,$A$18)=0,$A$18,MOD($A36+INDEX(_xlfn.TEXTSPLIT(L91,",",),0,1)+$A$18,$A$18))/4,0),ROUNDUP(IF(MOD(L$18+INDEX(_xlfn.TEXTSPLIT(L91,",",),0,2)+$A$18,$A$18)=0,$A$18,MOD(L$18+INDEX(_xlfn.TEXTSPLIT(L91,",",),0,2)+$A$18,$A$18))/4,0)))+(INDEX($AD$2:$AK$9,ROUNDUP(IF(MOD($A36+INDEX(_xlfn.TEXTSPLIT(L134,",",),0,1)+$A$18,$A$18)=0,$A$18,MOD($A36+INDEX(_xlfn.TEXTSPLIT(L134,",",),0,1)+$A$18,$A$18))/5,0),ROUNDUP(IF(MOD(L$18+INDEX(_xlfn.TEXTSPLIT(L134,",",),0,2)+$A$18,$A$18)=0,$A$18,MOD(L$18+INDEX(_xlfn.TEXTSPLIT(L134,",",),0,2)+$A$18,$A$18))/5,0)))</f>
        <v>7</v>
      </c>
      <c r="M36" s="1" cm="1">
        <f t="array" aca="1" ref="M36" ca="1">(INDEX($K$2:$T$11,ROUNDUP(IF(MOD($A36+INDEX(_xlfn.TEXTSPLIT(M91,",",),0,1)+$A$18,$A$18)=0,$A$18,MOD($A36+INDEX(_xlfn.TEXTSPLIT(M91,",",),0,1)+$A$18,$A$18))/4,0),ROUNDUP(IF(MOD(M$18+INDEX(_xlfn.TEXTSPLIT(M91,",",),0,2)+$A$18,$A$18)=0,$A$18,MOD(M$18+INDEX(_xlfn.TEXTSPLIT(M91,",",),0,2)+$A$18,$A$18))/4,0)))+(INDEX($AD$2:$AK$9,ROUNDUP(IF(MOD($A36+INDEX(_xlfn.TEXTSPLIT(M134,",",),0,1)+$A$18,$A$18)=0,$A$18,MOD($A36+INDEX(_xlfn.TEXTSPLIT(M134,",",),0,1)+$A$18,$A$18))/5,0),ROUNDUP(IF(MOD(M$18+INDEX(_xlfn.TEXTSPLIT(M134,",",),0,2)+$A$18,$A$18)=0,$A$18,MOD(M$18+INDEX(_xlfn.TEXTSPLIT(M134,",",),0,2)+$A$18,$A$18))/5,0)))</f>
        <v>7</v>
      </c>
      <c r="N36" s="1" cm="1">
        <f t="array" aca="1" ref="N36" ca="1">(INDEX($K$2:$T$11,ROUNDUP(IF(MOD($A36+INDEX(_xlfn.TEXTSPLIT(N91,",",),0,1)+$A$18,$A$18)=0,$A$18,MOD($A36+INDEX(_xlfn.TEXTSPLIT(N91,",",),0,1)+$A$18,$A$18))/4,0),ROUNDUP(IF(MOD(N$18+INDEX(_xlfn.TEXTSPLIT(N91,",",),0,2)+$A$18,$A$18)=0,$A$18,MOD(N$18+INDEX(_xlfn.TEXTSPLIT(N91,",",),0,2)+$A$18,$A$18))/4,0)))+(INDEX($AD$2:$AK$9,ROUNDUP(IF(MOD($A36+INDEX(_xlfn.TEXTSPLIT(N134,",",),0,1)+$A$18,$A$18)=0,$A$18,MOD($A36+INDEX(_xlfn.TEXTSPLIT(N134,",",),0,1)+$A$18,$A$18))/5,0),ROUNDUP(IF(MOD(N$18+INDEX(_xlfn.TEXTSPLIT(N134,",",),0,2)+$A$18,$A$18)=0,$A$18,MOD(N$18+INDEX(_xlfn.TEXTSPLIT(N134,",",),0,2)+$A$18,$A$18))/5,0)))</f>
        <v>7</v>
      </c>
      <c r="O36" s="1" cm="1">
        <f t="array" aca="1" ref="O36" ca="1">(INDEX($K$2:$T$11,ROUNDUP(IF(MOD($A36+INDEX(_xlfn.TEXTSPLIT(O91,",",),0,1)+$A$18,$A$18)=0,$A$18,MOD($A36+INDEX(_xlfn.TEXTSPLIT(O91,",",),0,1)+$A$18,$A$18))/4,0),ROUNDUP(IF(MOD(O$18+INDEX(_xlfn.TEXTSPLIT(O91,",",),0,2)+$A$18,$A$18)=0,$A$18,MOD(O$18+INDEX(_xlfn.TEXTSPLIT(O91,",",),0,2)+$A$18,$A$18))/4,0)))+(INDEX($AD$2:$AK$9,ROUNDUP(IF(MOD($A36+INDEX(_xlfn.TEXTSPLIT(O134,",",),0,1)+$A$18,$A$18)=0,$A$18,MOD($A36+INDEX(_xlfn.TEXTSPLIT(O134,",",),0,1)+$A$18,$A$18))/5,0),ROUNDUP(IF(MOD(O$18+INDEX(_xlfn.TEXTSPLIT(O134,",",),0,2)+$A$18,$A$18)=0,$A$18,MOD(O$18+INDEX(_xlfn.TEXTSPLIT(O134,",",),0,2)+$A$18,$A$18))/5,0)))</f>
        <v>7</v>
      </c>
      <c r="P36" s="1" cm="1">
        <f t="array" aca="1" ref="P36" ca="1">(INDEX($K$2:$T$11,ROUNDUP(IF(MOD($A36+INDEX(_xlfn.TEXTSPLIT(P91,",",),0,1)+$A$18,$A$18)=0,$A$18,MOD($A36+INDEX(_xlfn.TEXTSPLIT(P91,",",),0,1)+$A$18,$A$18))/4,0),ROUNDUP(IF(MOD(P$18+INDEX(_xlfn.TEXTSPLIT(P91,",",),0,2)+$A$18,$A$18)=0,$A$18,MOD(P$18+INDEX(_xlfn.TEXTSPLIT(P91,",",),0,2)+$A$18,$A$18))/4,0)))+(INDEX($AD$2:$AK$9,ROUNDUP(IF(MOD($A36+INDEX(_xlfn.TEXTSPLIT(P134,",",),0,1)+$A$18,$A$18)=0,$A$18,MOD($A36+INDEX(_xlfn.TEXTSPLIT(P134,",",),0,1)+$A$18,$A$18))/5,0),ROUNDUP(IF(MOD(P$18+INDEX(_xlfn.TEXTSPLIT(P134,",",),0,2)+$A$18,$A$18)=0,$A$18,MOD(P$18+INDEX(_xlfn.TEXTSPLIT(P134,",",),0,2)+$A$18,$A$18))/5,0)))</f>
        <v>7</v>
      </c>
      <c r="Q36" s="1" cm="1">
        <f t="array" aca="1" ref="Q36" ca="1">(INDEX($K$2:$T$11,ROUNDUP(IF(MOD($A36+INDEX(_xlfn.TEXTSPLIT(Q91,",",),0,1)+$A$18,$A$18)=0,$A$18,MOD($A36+INDEX(_xlfn.TEXTSPLIT(Q91,",",),0,1)+$A$18,$A$18))/4,0),ROUNDUP(IF(MOD(Q$18+INDEX(_xlfn.TEXTSPLIT(Q91,",",),0,2)+$A$18,$A$18)=0,$A$18,MOD(Q$18+INDEX(_xlfn.TEXTSPLIT(Q91,",",),0,2)+$A$18,$A$18))/4,0)))+(INDEX($AD$2:$AK$9,ROUNDUP(IF(MOD($A36+INDEX(_xlfn.TEXTSPLIT(Q134,",",),0,1)+$A$18,$A$18)=0,$A$18,MOD($A36+INDEX(_xlfn.TEXTSPLIT(Q134,",",),0,1)+$A$18,$A$18))/5,0),ROUNDUP(IF(MOD(Q$18+INDEX(_xlfn.TEXTSPLIT(Q134,",",),0,2)+$A$18,$A$18)=0,$A$18,MOD(Q$18+INDEX(_xlfn.TEXTSPLIT(Q134,",",),0,2)+$A$18,$A$18))/5,0)))</f>
        <v>7</v>
      </c>
      <c r="R36" s="1" cm="1">
        <f t="array" aca="1" ref="R36" ca="1">(INDEX($K$2:$T$11,ROUNDUP(IF(MOD($A36+INDEX(_xlfn.TEXTSPLIT(R91,",",),0,1)+$A$18,$A$18)=0,$A$18,MOD($A36+INDEX(_xlfn.TEXTSPLIT(R91,",",),0,1)+$A$18,$A$18))/4,0),ROUNDUP(IF(MOD(R$18+INDEX(_xlfn.TEXTSPLIT(R91,",",),0,2)+$A$18,$A$18)=0,$A$18,MOD(R$18+INDEX(_xlfn.TEXTSPLIT(R91,",",),0,2)+$A$18,$A$18))/4,0)))+(INDEX($AD$2:$AK$9,ROUNDUP(IF(MOD($A36+INDEX(_xlfn.TEXTSPLIT(R134,",",),0,1)+$A$18,$A$18)=0,$A$18,MOD($A36+INDEX(_xlfn.TEXTSPLIT(R134,",",),0,1)+$A$18,$A$18))/5,0),ROUNDUP(IF(MOD(R$18+INDEX(_xlfn.TEXTSPLIT(R134,",",),0,2)+$A$18,$A$18)=0,$A$18,MOD(R$18+INDEX(_xlfn.TEXTSPLIT(R134,",",),0,2)+$A$18,$A$18))/5,0)))</f>
        <v>7</v>
      </c>
      <c r="S36" s="1" cm="1">
        <f t="array" aca="1" ref="S36" ca="1">(INDEX($K$2:$T$11,ROUNDUP(IF(MOD($A36+INDEX(_xlfn.TEXTSPLIT(S91,",",),0,1)+$A$18,$A$18)=0,$A$18,MOD($A36+INDEX(_xlfn.TEXTSPLIT(S91,",",),0,1)+$A$18,$A$18))/4,0),ROUNDUP(IF(MOD(S$18+INDEX(_xlfn.TEXTSPLIT(S91,",",),0,2)+$A$18,$A$18)=0,$A$18,MOD(S$18+INDEX(_xlfn.TEXTSPLIT(S91,",",),0,2)+$A$18,$A$18))/4,0)))+(INDEX($AD$2:$AK$9,ROUNDUP(IF(MOD($A36+INDEX(_xlfn.TEXTSPLIT(S134,",",),0,1)+$A$18,$A$18)=0,$A$18,MOD($A36+INDEX(_xlfn.TEXTSPLIT(S134,",",),0,1)+$A$18,$A$18))/5,0),ROUNDUP(IF(MOD(S$18+INDEX(_xlfn.TEXTSPLIT(S134,",",),0,2)+$A$18,$A$18)=0,$A$18,MOD(S$18+INDEX(_xlfn.TEXTSPLIT(S134,",",),0,2)+$A$18,$A$18))/5,0)))</f>
        <v>3</v>
      </c>
      <c r="T36" s="1" cm="1">
        <f t="array" aca="1" ref="T36" ca="1">(INDEX($K$2:$T$11,ROUNDUP(IF(MOD($A36+INDEX(_xlfn.TEXTSPLIT(T91,",",),0,1)+$A$18,$A$18)=0,$A$18,MOD($A36+INDEX(_xlfn.TEXTSPLIT(T91,",",),0,1)+$A$18,$A$18))/4,0),ROUNDUP(IF(MOD(T$18+INDEX(_xlfn.TEXTSPLIT(T91,",",),0,2)+$A$18,$A$18)=0,$A$18,MOD(T$18+INDEX(_xlfn.TEXTSPLIT(T91,",",),0,2)+$A$18,$A$18))/4,0)))+(INDEX($AD$2:$AK$9,ROUNDUP(IF(MOD($A36+INDEX(_xlfn.TEXTSPLIT(T134,",",),0,1)+$A$18,$A$18)=0,$A$18,MOD($A36+INDEX(_xlfn.TEXTSPLIT(T134,",",),0,1)+$A$18,$A$18))/5,0),ROUNDUP(IF(MOD(T$18+INDEX(_xlfn.TEXTSPLIT(T134,",",),0,2)+$A$18,$A$18)=0,$A$18,MOD(T$18+INDEX(_xlfn.TEXTSPLIT(T134,",",),0,2)+$A$18,$A$18))/5,0)))</f>
        <v>3</v>
      </c>
      <c r="U36" s="1" cm="1">
        <f t="array" aca="1" ref="U36" ca="1">(INDEX($K$2:$T$11,ROUNDUP(IF(MOD($A36+INDEX(_xlfn.TEXTSPLIT(U91,",",),0,1)+$A$18,$A$18)=0,$A$18,MOD($A36+INDEX(_xlfn.TEXTSPLIT(U91,",",),0,1)+$A$18,$A$18))/4,0),ROUNDUP(IF(MOD(U$18+INDEX(_xlfn.TEXTSPLIT(U91,",",),0,2)+$A$18,$A$18)=0,$A$18,MOD(U$18+INDEX(_xlfn.TEXTSPLIT(U91,",",),0,2)+$A$18,$A$18))/4,0)))+(INDEX($AD$2:$AK$9,ROUNDUP(IF(MOD($A36+INDEX(_xlfn.TEXTSPLIT(U134,",",),0,1)+$A$18,$A$18)=0,$A$18,MOD($A36+INDEX(_xlfn.TEXTSPLIT(U134,",",),0,1)+$A$18,$A$18))/5,0),ROUNDUP(IF(MOD(U$18+INDEX(_xlfn.TEXTSPLIT(U134,",",),0,2)+$A$18,$A$18)=0,$A$18,MOD(U$18+INDEX(_xlfn.TEXTSPLIT(U134,",",),0,2)+$A$18,$A$18))/5,0)))</f>
        <v>3</v>
      </c>
      <c r="V36" s="1" cm="1">
        <f t="array" aca="1" ref="V36" ca="1">(INDEX($K$2:$T$11,ROUNDUP(IF(MOD($A36+INDEX(_xlfn.TEXTSPLIT(V91,",",),0,1)+$A$18,$A$18)=0,$A$18,MOD($A36+INDEX(_xlfn.TEXTSPLIT(V91,",",),0,1)+$A$18,$A$18))/4,0),ROUNDUP(IF(MOD(V$18+INDEX(_xlfn.TEXTSPLIT(V91,",",),0,2)+$A$18,$A$18)=0,$A$18,MOD(V$18+INDEX(_xlfn.TEXTSPLIT(V91,",",),0,2)+$A$18,$A$18))/4,0)))+(INDEX($AD$2:$AK$9,ROUNDUP(IF(MOD($A36+INDEX(_xlfn.TEXTSPLIT(V134,",",),0,1)+$A$18,$A$18)=0,$A$18,MOD($A36+INDEX(_xlfn.TEXTSPLIT(V134,",",),0,1)+$A$18,$A$18))/5,0),ROUNDUP(IF(MOD(V$18+INDEX(_xlfn.TEXTSPLIT(V134,",",),0,2)+$A$18,$A$18)=0,$A$18,MOD(V$18+INDEX(_xlfn.TEXTSPLIT(V134,",",),0,2)+$A$18,$A$18))/5,0)))</f>
        <v>3</v>
      </c>
      <c r="W36" s="1" cm="1">
        <f t="array" aca="1" ref="W36" ca="1">(INDEX($K$2:$T$11,ROUNDUP(IF(MOD($A36+INDEX(_xlfn.TEXTSPLIT(W91,",",),0,1)+$A$18,$A$18)=0,$A$18,MOD($A36+INDEX(_xlfn.TEXTSPLIT(W91,",",),0,1)+$A$18,$A$18))/4,0),ROUNDUP(IF(MOD(W$18+INDEX(_xlfn.TEXTSPLIT(W91,",",),0,2)+$A$18,$A$18)=0,$A$18,MOD(W$18+INDEX(_xlfn.TEXTSPLIT(W91,",",),0,2)+$A$18,$A$18))/4,0)))+(INDEX($AD$2:$AK$9,ROUNDUP(IF(MOD($A36+INDEX(_xlfn.TEXTSPLIT(W134,",",),0,1)+$A$18,$A$18)=0,$A$18,MOD($A36+INDEX(_xlfn.TEXTSPLIT(W134,",",),0,1)+$A$18,$A$18))/5,0),ROUNDUP(IF(MOD(W$18+INDEX(_xlfn.TEXTSPLIT(W134,",",),0,2)+$A$18,$A$18)=0,$A$18,MOD(W$18+INDEX(_xlfn.TEXTSPLIT(W134,",",),0,2)+$A$18,$A$18))/5,0)))</f>
        <v>7</v>
      </c>
      <c r="X36" s="1" cm="1">
        <f t="array" aca="1" ref="X36" ca="1">(INDEX($K$2:$T$11,ROUNDUP(IF(MOD($A36+INDEX(_xlfn.TEXTSPLIT(X91,",",),0,1)+$A$18,$A$18)=0,$A$18,MOD($A36+INDEX(_xlfn.TEXTSPLIT(X91,",",),0,1)+$A$18,$A$18))/4,0),ROUNDUP(IF(MOD(X$18+INDEX(_xlfn.TEXTSPLIT(X91,",",),0,2)+$A$18,$A$18)=0,$A$18,MOD(X$18+INDEX(_xlfn.TEXTSPLIT(X91,",",),0,2)+$A$18,$A$18))/4,0)))+(INDEX($AD$2:$AK$9,ROUNDUP(IF(MOD($A36+INDEX(_xlfn.TEXTSPLIT(X134,",",),0,1)+$A$18,$A$18)=0,$A$18,MOD($A36+INDEX(_xlfn.TEXTSPLIT(X134,",",),0,1)+$A$18,$A$18))/5,0),ROUNDUP(IF(MOD(X$18+INDEX(_xlfn.TEXTSPLIT(X134,",",),0,2)+$A$18,$A$18)=0,$A$18,MOD(X$18+INDEX(_xlfn.TEXTSPLIT(X134,",",),0,2)+$A$18,$A$18))/5,0)))</f>
        <v>7</v>
      </c>
      <c r="Y36" s="1" cm="1">
        <f t="array" aca="1" ref="Y36" ca="1">(INDEX($K$2:$T$11,ROUNDUP(IF(MOD($A36+INDEX(_xlfn.TEXTSPLIT(Y91,",",),0,1)+$A$18,$A$18)=0,$A$18,MOD($A36+INDEX(_xlfn.TEXTSPLIT(Y91,",",),0,1)+$A$18,$A$18))/4,0),ROUNDUP(IF(MOD(Y$18+INDEX(_xlfn.TEXTSPLIT(Y91,",",),0,2)+$A$18,$A$18)=0,$A$18,MOD(Y$18+INDEX(_xlfn.TEXTSPLIT(Y91,",",),0,2)+$A$18,$A$18))/4,0)))+(INDEX($AD$2:$AK$9,ROUNDUP(IF(MOD($A36+INDEX(_xlfn.TEXTSPLIT(Y134,",",),0,1)+$A$18,$A$18)=0,$A$18,MOD($A36+INDEX(_xlfn.TEXTSPLIT(Y134,",",),0,1)+$A$18,$A$18))/5,0),ROUNDUP(IF(MOD(Y$18+INDEX(_xlfn.TEXTSPLIT(Y134,",",),0,2)+$A$18,$A$18)=0,$A$18,MOD(Y$18+INDEX(_xlfn.TEXTSPLIT(Y134,",",),0,2)+$A$18,$A$18))/5,0)))</f>
        <v>7</v>
      </c>
      <c r="Z36" s="1" cm="1">
        <f t="array" aca="1" ref="Z36" ca="1">(INDEX($K$2:$T$11,ROUNDUP(IF(MOD($A36+INDEX(_xlfn.TEXTSPLIT(Z91,",",),0,1)+$A$18,$A$18)=0,$A$18,MOD($A36+INDEX(_xlfn.TEXTSPLIT(Z91,",",),0,1)+$A$18,$A$18))/4,0),ROUNDUP(IF(MOD(Z$18+INDEX(_xlfn.TEXTSPLIT(Z91,",",),0,2)+$A$18,$A$18)=0,$A$18,MOD(Z$18+INDEX(_xlfn.TEXTSPLIT(Z91,",",),0,2)+$A$18,$A$18))/4,0)))+(INDEX($AD$2:$AK$9,ROUNDUP(IF(MOD($A36+INDEX(_xlfn.TEXTSPLIT(Z134,",",),0,1)+$A$18,$A$18)=0,$A$18,MOD($A36+INDEX(_xlfn.TEXTSPLIT(Z134,",",),0,1)+$A$18,$A$18))/5,0),ROUNDUP(IF(MOD(Z$18+INDEX(_xlfn.TEXTSPLIT(Z134,",",),0,2)+$A$18,$A$18)=0,$A$18,MOD(Z$18+INDEX(_xlfn.TEXTSPLIT(Z134,",",),0,2)+$A$18,$A$18))/5,0)))</f>
        <v>8</v>
      </c>
      <c r="AA36" s="1" cm="1">
        <f t="array" aca="1" ref="AA36" ca="1">(INDEX($K$2:$T$11,ROUNDUP(IF(MOD($A36+INDEX(_xlfn.TEXTSPLIT(AA91,",",),0,1)+$A$18,$A$18)=0,$A$18,MOD($A36+INDEX(_xlfn.TEXTSPLIT(AA91,",",),0,1)+$A$18,$A$18))/4,0),ROUNDUP(IF(MOD(AA$18+INDEX(_xlfn.TEXTSPLIT(AA91,",",),0,2)+$A$18,$A$18)=0,$A$18,MOD(AA$18+INDEX(_xlfn.TEXTSPLIT(AA91,",",),0,2)+$A$18,$A$18))/4,0)))+(INDEX($AD$2:$AK$9,ROUNDUP(IF(MOD($A36+INDEX(_xlfn.TEXTSPLIT(AA134,",",),0,1)+$A$18,$A$18)=0,$A$18,MOD($A36+INDEX(_xlfn.TEXTSPLIT(AA134,",",),0,1)+$A$18,$A$18))/5,0),ROUNDUP(IF(MOD(AA$18+INDEX(_xlfn.TEXTSPLIT(AA134,",",),0,2)+$A$18,$A$18)=0,$A$18,MOD(AA$18+INDEX(_xlfn.TEXTSPLIT(AA134,",",),0,2)+$A$18,$A$18))/5,0)))</f>
        <v>8</v>
      </c>
      <c r="AB36" s="1" cm="1">
        <f t="array" aca="1" ref="AB36" ca="1">(INDEX($K$2:$T$11,ROUNDUP(IF(MOD($A36+INDEX(_xlfn.TEXTSPLIT(AB91,",",),0,1)+$A$18,$A$18)=0,$A$18,MOD($A36+INDEX(_xlfn.TEXTSPLIT(AB91,",",),0,1)+$A$18,$A$18))/4,0),ROUNDUP(IF(MOD(AB$18+INDEX(_xlfn.TEXTSPLIT(AB91,",",),0,2)+$A$18,$A$18)=0,$A$18,MOD(AB$18+INDEX(_xlfn.TEXTSPLIT(AB91,",",),0,2)+$A$18,$A$18))/4,0)))+(INDEX($AD$2:$AK$9,ROUNDUP(IF(MOD($A36+INDEX(_xlfn.TEXTSPLIT(AB134,",",),0,1)+$A$18,$A$18)=0,$A$18,MOD($A36+INDEX(_xlfn.TEXTSPLIT(AB134,",",),0,1)+$A$18,$A$18))/5,0),ROUNDUP(IF(MOD(AB$18+INDEX(_xlfn.TEXTSPLIT(AB134,",",),0,2)+$A$18,$A$18)=0,$A$18,MOD(AB$18+INDEX(_xlfn.TEXTSPLIT(AB134,",",),0,2)+$A$18,$A$18))/5,0)))</f>
        <v>8</v>
      </c>
      <c r="AC36" s="1" cm="1">
        <f t="array" aca="1" ref="AC36" ca="1">(INDEX($K$2:$T$11,ROUNDUP(IF(MOD($A36+INDEX(_xlfn.TEXTSPLIT(AC91,",",),0,1)+$A$18,$A$18)=0,$A$18,MOD($A36+INDEX(_xlfn.TEXTSPLIT(AC91,",",),0,1)+$A$18,$A$18))/4,0),ROUNDUP(IF(MOD(AC$18+INDEX(_xlfn.TEXTSPLIT(AC91,",",),0,2)+$A$18,$A$18)=0,$A$18,MOD(AC$18+INDEX(_xlfn.TEXTSPLIT(AC91,",",),0,2)+$A$18,$A$18))/4,0)))+(INDEX($AD$2:$AK$9,ROUNDUP(IF(MOD($A36+INDEX(_xlfn.TEXTSPLIT(AC134,",",),0,1)+$A$18,$A$18)=0,$A$18,MOD($A36+INDEX(_xlfn.TEXTSPLIT(AC134,",",),0,1)+$A$18,$A$18))/5,0),ROUNDUP(IF(MOD(AC$18+INDEX(_xlfn.TEXTSPLIT(AC134,",",),0,2)+$A$18,$A$18)=0,$A$18,MOD(AC$18+INDEX(_xlfn.TEXTSPLIT(AC134,",",),0,2)+$A$18,$A$18))/5,0)))</f>
        <v>8</v>
      </c>
      <c r="AD36" s="1" cm="1">
        <f t="array" aca="1" ref="AD36" ca="1">(INDEX($K$2:$T$11,ROUNDUP(IF(MOD($A36+INDEX(_xlfn.TEXTSPLIT(AD91,",",),0,1)+$A$18,$A$18)=0,$A$18,MOD($A36+INDEX(_xlfn.TEXTSPLIT(AD91,",",),0,1)+$A$18,$A$18))/4,0),ROUNDUP(IF(MOD(AD$18+INDEX(_xlfn.TEXTSPLIT(AD91,",",),0,2)+$A$18,$A$18)=0,$A$18,MOD(AD$18+INDEX(_xlfn.TEXTSPLIT(AD91,",",),0,2)+$A$18,$A$18))/4,0)))+(INDEX($AD$2:$AK$9,ROUNDUP(IF(MOD($A36+INDEX(_xlfn.TEXTSPLIT(AD134,",",),0,1)+$A$18,$A$18)=0,$A$18,MOD($A36+INDEX(_xlfn.TEXTSPLIT(AD134,",",),0,1)+$A$18,$A$18))/5,0),ROUNDUP(IF(MOD(AD$18+INDEX(_xlfn.TEXTSPLIT(AD134,",",),0,2)+$A$18,$A$18)=0,$A$18,MOD(AD$18+INDEX(_xlfn.TEXTSPLIT(AD134,",",),0,2)+$A$18,$A$18))/5,0)))</f>
        <v>8</v>
      </c>
      <c r="AE36" s="1" cm="1">
        <f t="array" aca="1" ref="AE36" ca="1">(INDEX($K$2:$T$11,ROUNDUP(IF(MOD($A36+INDEX(_xlfn.TEXTSPLIT(AE91,",",),0,1)+$A$18,$A$18)=0,$A$18,MOD($A36+INDEX(_xlfn.TEXTSPLIT(AE91,",",),0,1)+$A$18,$A$18))/4,0),ROUNDUP(IF(MOD(AE$18+INDEX(_xlfn.TEXTSPLIT(AE91,",",),0,2)+$A$18,$A$18)=0,$A$18,MOD(AE$18+INDEX(_xlfn.TEXTSPLIT(AE91,",",),0,2)+$A$18,$A$18))/4,0)))+(INDEX($AD$2:$AK$9,ROUNDUP(IF(MOD($A36+INDEX(_xlfn.TEXTSPLIT(AE134,",",),0,1)+$A$18,$A$18)=0,$A$18,MOD($A36+INDEX(_xlfn.TEXTSPLIT(AE134,",",),0,1)+$A$18,$A$18))/5,0),ROUNDUP(IF(MOD(AE$18+INDEX(_xlfn.TEXTSPLIT(AE134,",",),0,2)+$A$18,$A$18)=0,$A$18,MOD(AE$18+INDEX(_xlfn.TEXTSPLIT(AE134,",",),0,2)+$A$18,$A$18))/5,0)))</f>
        <v>8</v>
      </c>
      <c r="AF36" s="1" cm="1">
        <f t="array" aca="1" ref="AF36" ca="1">(INDEX($K$2:$T$11,ROUNDUP(IF(MOD($A36+INDEX(_xlfn.TEXTSPLIT(AF91,",",),0,1)+$A$18,$A$18)=0,$A$18,MOD($A36+INDEX(_xlfn.TEXTSPLIT(AF91,",",),0,1)+$A$18,$A$18))/4,0),ROUNDUP(IF(MOD(AF$18+INDEX(_xlfn.TEXTSPLIT(AF91,",",),0,2)+$A$18,$A$18)=0,$A$18,MOD(AF$18+INDEX(_xlfn.TEXTSPLIT(AF91,",",),0,2)+$A$18,$A$18))/4,0)))+(INDEX($AD$2:$AK$9,ROUNDUP(IF(MOD($A36+INDEX(_xlfn.TEXTSPLIT(AF134,",",),0,1)+$A$18,$A$18)=0,$A$18,MOD($A36+INDEX(_xlfn.TEXTSPLIT(AF134,",",),0,1)+$A$18,$A$18))/5,0),ROUNDUP(IF(MOD(AF$18+INDEX(_xlfn.TEXTSPLIT(AF134,",",),0,2)+$A$18,$A$18)=0,$A$18,MOD(AF$18+INDEX(_xlfn.TEXTSPLIT(AF134,",",),0,2)+$A$18,$A$18))/5,0)))</f>
        <v>8</v>
      </c>
      <c r="AG36" s="1" cm="1">
        <f t="array" aca="1" ref="AG36" ca="1">(INDEX($K$2:$T$11,ROUNDUP(IF(MOD($A36+INDEX(_xlfn.TEXTSPLIT(AG91,",",),0,1)+$A$18,$A$18)=0,$A$18,MOD($A36+INDEX(_xlfn.TEXTSPLIT(AG91,",",),0,1)+$A$18,$A$18))/4,0),ROUNDUP(IF(MOD(AG$18+INDEX(_xlfn.TEXTSPLIT(AG91,",",),0,2)+$A$18,$A$18)=0,$A$18,MOD(AG$18+INDEX(_xlfn.TEXTSPLIT(AG91,",",),0,2)+$A$18,$A$18))/4,0)))+(INDEX($AD$2:$AK$9,ROUNDUP(IF(MOD($A36+INDEX(_xlfn.TEXTSPLIT(AG134,",",),0,1)+$A$18,$A$18)=0,$A$18,MOD($A36+INDEX(_xlfn.TEXTSPLIT(AG134,",",),0,1)+$A$18,$A$18))/5,0),ROUNDUP(IF(MOD(AG$18+INDEX(_xlfn.TEXTSPLIT(AG134,",",),0,2)+$A$18,$A$18)=0,$A$18,MOD(AG$18+INDEX(_xlfn.TEXTSPLIT(AG134,",",),0,2)+$A$18,$A$18))/5,0)))</f>
        <v>7</v>
      </c>
      <c r="AH36" s="1" cm="1">
        <f t="array" aca="1" ref="AH36" ca="1">(INDEX($K$2:$T$11,ROUNDUP(IF(MOD($A36+INDEX(_xlfn.TEXTSPLIT(AH91,",",),0,1)+$A$18,$A$18)=0,$A$18,MOD($A36+INDEX(_xlfn.TEXTSPLIT(AH91,",",),0,1)+$A$18,$A$18))/4,0),ROUNDUP(IF(MOD(AH$18+INDEX(_xlfn.TEXTSPLIT(AH91,",",),0,2)+$A$18,$A$18)=0,$A$18,MOD(AH$18+INDEX(_xlfn.TEXTSPLIT(AH91,",",),0,2)+$A$18,$A$18))/4,0)))+(INDEX($AD$2:$AK$9,ROUNDUP(IF(MOD($A36+INDEX(_xlfn.TEXTSPLIT(AH134,",",),0,1)+$A$18,$A$18)=0,$A$18,MOD($A36+INDEX(_xlfn.TEXTSPLIT(AH134,",",),0,1)+$A$18,$A$18))/5,0),ROUNDUP(IF(MOD(AH$18+INDEX(_xlfn.TEXTSPLIT(AH134,",",),0,2)+$A$18,$A$18)=0,$A$18,MOD(AH$18+INDEX(_xlfn.TEXTSPLIT(AH134,",",),0,2)+$A$18,$A$18))/5,0)))</f>
        <v>7</v>
      </c>
      <c r="AI36" s="1" cm="1">
        <f t="array" aca="1" ref="AI36" ca="1">(INDEX($K$2:$T$11,ROUNDUP(IF(MOD($A36+INDEX(_xlfn.TEXTSPLIT(AI91,",",),0,1)+$A$18,$A$18)=0,$A$18,MOD($A36+INDEX(_xlfn.TEXTSPLIT(AI91,",",),0,1)+$A$18,$A$18))/4,0),ROUNDUP(IF(MOD(AI$18+INDEX(_xlfn.TEXTSPLIT(AI91,",",),0,2)+$A$18,$A$18)=0,$A$18,MOD(AI$18+INDEX(_xlfn.TEXTSPLIT(AI91,",",),0,2)+$A$18,$A$18))/4,0)))+(INDEX($AD$2:$AK$9,ROUNDUP(IF(MOD($A36+INDEX(_xlfn.TEXTSPLIT(AI134,",",),0,1)+$A$18,$A$18)=0,$A$18,MOD($A36+INDEX(_xlfn.TEXTSPLIT(AI134,",",),0,1)+$A$18,$A$18))/5,0),ROUNDUP(IF(MOD(AI$18+INDEX(_xlfn.TEXTSPLIT(AI134,",",),0,2)+$A$18,$A$18)=0,$A$18,MOD(AI$18+INDEX(_xlfn.TEXTSPLIT(AI134,",",),0,2)+$A$18,$A$18))/5,0)))</f>
        <v>7</v>
      </c>
      <c r="AJ36" s="1" cm="1">
        <f t="array" aca="1" ref="AJ36" ca="1">(INDEX($K$2:$T$11,ROUNDUP(IF(MOD($A36+INDEX(_xlfn.TEXTSPLIT(AJ91,",",),0,1)+$A$18,$A$18)=0,$A$18,MOD($A36+INDEX(_xlfn.TEXTSPLIT(AJ91,",",),0,1)+$A$18,$A$18))/4,0),ROUNDUP(IF(MOD(AJ$18+INDEX(_xlfn.TEXTSPLIT(AJ91,",",),0,2)+$A$18,$A$18)=0,$A$18,MOD(AJ$18+INDEX(_xlfn.TEXTSPLIT(AJ91,",",),0,2)+$A$18,$A$18))/4,0)))+(INDEX($AD$2:$AK$9,ROUNDUP(IF(MOD($A36+INDEX(_xlfn.TEXTSPLIT(AJ134,",",),0,1)+$A$18,$A$18)=0,$A$18,MOD($A36+INDEX(_xlfn.TEXTSPLIT(AJ134,",",),0,1)+$A$18,$A$18))/5,0),ROUNDUP(IF(MOD(AJ$18+INDEX(_xlfn.TEXTSPLIT(AJ134,",",),0,2)+$A$18,$A$18)=0,$A$18,MOD(AJ$18+INDEX(_xlfn.TEXTSPLIT(AJ134,",",),0,2)+$A$18,$A$18))/5,0)))</f>
        <v>7</v>
      </c>
      <c r="AK36" s="1" cm="1">
        <f t="array" aca="1" ref="AK36" ca="1">(INDEX($K$2:$T$11,ROUNDUP(IF(MOD($A36+INDEX(_xlfn.TEXTSPLIT(AK91,",",),0,1)+$A$18,$A$18)=0,$A$18,MOD($A36+INDEX(_xlfn.TEXTSPLIT(AK91,",",),0,1)+$A$18,$A$18))/4,0),ROUNDUP(IF(MOD(AK$18+INDEX(_xlfn.TEXTSPLIT(AK91,",",),0,2)+$A$18,$A$18)=0,$A$18,MOD(AK$18+INDEX(_xlfn.TEXTSPLIT(AK91,",",),0,2)+$A$18,$A$18))/4,0)))+(INDEX($AD$2:$AK$9,ROUNDUP(IF(MOD($A36+INDEX(_xlfn.TEXTSPLIT(AK134,",",),0,1)+$A$18,$A$18)=0,$A$18,MOD($A36+INDEX(_xlfn.TEXTSPLIT(AK134,",",),0,1)+$A$18,$A$18))/5,0),ROUNDUP(IF(MOD(AK$18+INDEX(_xlfn.TEXTSPLIT(AK134,",",),0,2)+$A$18,$A$18)=0,$A$18,MOD(AK$18+INDEX(_xlfn.TEXTSPLIT(AK134,",",),0,2)+$A$18,$A$18))/5,0)))</f>
        <v>5</v>
      </c>
      <c r="AL36" s="1" cm="1">
        <f t="array" aca="1" ref="AL36" ca="1">(INDEX($K$2:$T$11,ROUNDUP(IF(MOD($A36+INDEX(_xlfn.TEXTSPLIT(AL91,",",),0,1)+$A$18,$A$18)=0,$A$18,MOD($A36+INDEX(_xlfn.TEXTSPLIT(AL91,",",),0,1)+$A$18,$A$18))/4,0),ROUNDUP(IF(MOD(AL$18+INDEX(_xlfn.TEXTSPLIT(AL91,",",),0,2)+$A$18,$A$18)=0,$A$18,MOD(AL$18+INDEX(_xlfn.TEXTSPLIT(AL91,",",),0,2)+$A$18,$A$18))/4,0)))+(INDEX($AD$2:$AK$9,ROUNDUP(IF(MOD($A36+INDEX(_xlfn.TEXTSPLIT(AL134,",",),0,1)+$A$18,$A$18)=0,$A$18,MOD($A36+INDEX(_xlfn.TEXTSPLIT(AL134,",",),0,1)+$A$18,$A$18))/5,0),ROUNDUP(IF(MOD(AL$18+INDEX(_xlfn.TEXTSPLIT(AL134,",",),0,2)+$A$18,$A$18)=0,$A$18,MOD(AL$18+INDEX(_xlfn.TEXTSPLIT(AL134,",",),0,2)+$A$18,$A$18))/5,0)))</f>
        <v>5</v>
      </c>
      <c r="AM36" s="1" cm="1">
        <f t="array" aca="1" ref="AM36" ca="1">(INDEX($K$2:$T$11,ROUNDUP(IF(MOD($A36+INDEX(_xlfn.TEXTSPLIT(AM91,",",),0,1)+$A$18,$A$18)=0,$A$18,MOD($A36+INDEX(_xlfn.TEXTSPLIT(AM91,",",),0,1)+$A$18,$A$18))/4,0),ROUNDUP(IF(MOD(AM$18+INDEX(_xlfn.TEXTSPLIT(AM91,",",),0,2)+$A$18,$A$18)=0,$A$18,MOD(AM$18+INDEX(_xlfn.TEXTSPLIT(AM91,",",),0,2)+$A$18,$A$18))/4,0)))+(INDEX($AD$2:$AK$9,ROUNDUP(IF(MOD($A36+INDEX(_xlfn.TEXTSPLIT(AM134,",",),0,1)+$A$18,$A$18)=0,$A$18,MOD($A36+INDEX(_xlfn.TEXTSPLIT(AM134,",",),0,1)+$A$18,$A$18))/5,0),ROUNDUP(IF(MOD(AM$18+INDEX(_xlfn.TEXTSPLIT(AM134,",",),0,2)+$A$18,$A$18)=0,$A$18,MOD(AM$18+INDEX(_xlfn.TEXTSPLIT(AM134,",",),0,2)+$A$18,$A$18))/5,0)))</f>
        <v>5</v>
      </c>
      <c r="AN36" s="1" cm="1">
        <f t="array" aca="1" ref="AN36" ca="1">(INDEX($K$2:$T$11,ROUNDUP(IF(MOD($A36+INDEX(_xlfn.TEXTSPLIT(AN91,",",),0,1)+$A$18,$A$18)=0,$A$18,MOD($A36+INDEX(_xlfn.TEXTSPLIT(AN91,",",),0,1)+$A$18,$A$18))/4,0),ROUNDUP(IF(MOD(AN$18+INDEX(_xlfn.TEXTSPLIT(AN91,",",),0,2)+$A$18,$A$18)=0,$A$18,MOD(AN$18+INDEX(_xlfn.TEXTSPLIT(AN91,",",),0,2)+$A$18,$A$18))/4,0)))+(INDEX($AD$2:$AK$9,ROUNDUP(IF(MOD($A36+INDEX(_xlfn.TEXTSPLIT(AN134,",",),0,1)+$A$18,$A$18)=0,$A$18,MOD($A36+INDEX(_xlfn.TEXTSPLIT(AN134,",",),0,1)+$A$18,$A$18))/5,0),ROUNDUP(IF(MOD(AN$18+INDEX(_xlfn.TEXTSPLIT(AN134,",",),0,2)+$A$18,$A$18)=0,$A$18,MOD(AN$18+INDEX(_xlfn.TEXTSPLIT(AN134,",",),0,2)+$A$18,$A$18))/5,0)))</f>
        <v>5</v>
      </c>
      <c r="AO36" s="1" cm="1">
        <f t="array" aca="1" ref="AO36" ca="1">(INDEX($K$2:$T$11,ROUNDUP(IF(MOD($A36+INDEX(_xlfn.TEXTSPLIT(AO91,",",),0,1)+$A$18,$A$18)=0,$A$18,MOD($A36+INDEX(_xlfn.TEXTSPLIT(AO91,",",),0,1)+$A$18,$A$18))/4,0),ROUNDUP(IF(MOD(AO$18+INDEX(_xlfn.TEXTSPLIT(AO91,",",),0,2)+$A$18,$A$18)=0,$A$18,MOD(AO$18+INDEX(_xlfn.TEXTSPLIT(AO91,",",),0,2)+$A$18,$A$18))/4,0)))+(INDEX($AD$2:$AK$9,ROUNDUP(IF(MOD($A36+INDEX(_xlfn.TEXTSPLIT(AO134,",",),0,1)+$A$18,$A$18)=0,$A$18,MOD($A36+INDEX(_xlfn.TEXTSPLIT(AO134,",",),0,1)+$A$18,$A$18))/5,0),ROUNDUP(IF(MOD(AO$18+INDEX(_xlfn.TEXTSPLIT(AO134,",",),0,2)+$A$18,$A$18)=0,$A$18,MOD(AO$18+INDEX(_xlfn.TEXTSPLIT(AO134,",",),0,2)+$A$18,$A$18))/5,0)))</f>
        <v>2</v>
      </c>
    </row>
    <row r="37" spans="1:41" ht="12.75">
      <c r="A37" s="1">
        <v>19</v>
      </c>
      <c r="B37" s="1" cm="1">
        <f t="array" aca="1" ref="B37" ca="1">(INDEX($K$2:$T$11,ROUNDUP(IF(MOD($A37+INDEX(_xlfn.TEXTSPLIT(B92,",",),0,1)+$A$18,$A$18)=0,$A$18,MOD($A37+INDEX(_xlfn.TEXTSPLIT(B92,",",),0,1)+$A$18,$A$18))/4,0),ROUNDUP(IF(MOD(B$18+INDEX(_xlfn.TEXTSPLIT(B92,",",),0,2)+$A$18,$A$18)=0,$A$18,MOD(B$18+INDEX(_xlfn.TEXTSPLIT(B92,",",),0,2)+$A$18,$A$18))/4,0)))+(INDEX($AD$2:$AK$9,ROUNDUP(IF(MOD($A37+INDEX(_xlfn.TEXTSPLIT(B135,",",),0,1)+$A$18,$A$18)=0,$A$18,MOD($A37+INDEX(_xlfn.TEXTSPLIT(B135,",",),0,1)+$A$18,$A$18))/5,0),ROUNDUP(IF(MOD(B$18+INDEX(_xlfn.TEXTSPLIT(B135,",",),0,2)+$A$18,$A$18)=0,$A$18,MOD(B$18+INDEX(_xlfn.TEXTSPLIT(B135,",",),0,2)+$A$18,$A$18))/5,0)))</f>
        <v>2</v>
      </c>
      <c r="C37" s="1" cm="1">
        <f t="array" aca="1" ref="C37" ca="1">(INDEX($K$2:$T$11,ROUNDUP(IF(MOD($A37+INDEX(_xlfn.TEXTSPLIT(C92,",",),0,1)+$A$18,$A$18)=0,$A$18,MOD($A37+INDEX(_xlfn.TEXTSPLIT(C92,",",),0,1)+$A$18,$A$18))/4,0),ROUNDUP(IF(MOD(C$18+INDEX(_xlfn.TEXTSPLIT(C92,",",),0,2)+$A$18,$A$18)=0,$A$18,MOD(C$18+INDEX(_xlfn.TEXTSPLIT(C92,",",),0,2)+$A$18,$A$18))/4,0)))+(INDEX($AD$2:$AK$9,ROUNDUP(IF(MOD($A37+INDEX(_xlfn.TEXTSPLIT(C135,",",),0,1)+$A$18,$A$18)=0,$A$18,MOD($A37+INDEX(_xlfn.TEXTSPLIT(C135,",",),0,1)+$A$18,$A$18))/5,0),ROUNDUP(IF(MOD(C$18+INDEX(_xlfn.TEXTSPLIT(C135,",",),0,2)+$A$18,$A$18)=0,$A$18,MOD(C$18+INDEX(_xlfn.TEXTSPLIT(C135,",",),0,2)+$A$18,$A$18))/5,0)))</f>
        <v>2</v>
      </c>
      <c r="D37" s="1" cm="1">
        <f t="array" aca="1" ref="D37" ca="1">(INDEX($K$2:$T$11,ROUNDUP(IF(MOD($A37+INDEX(_xlfn.TEXTSPLIT(D92,",",),0,1)+$A$18,$A$18)=0,$A$18,MOD($A37+INDEX(_xlfn.TEXTSPLIT(D92,",",),0,1)+$A$18,$A$18))/4,0),ROUNDUP(IF(MOD(D$18+INDEX(_xlfn.TEXTSPLIT(D92,",",),0,2)+$A$18,$A$18)=0,$A$18,MOD(D$18+INDEX(_xlfn.TEXTSPLIT(D92,",",),0,2)+$A$18,$A$18))/4,0)))+(INDEX($AD$2:$AK$9,ROUNDUP(IF(MOD($A37+INDEX(_xlfn.TEXTSPLIT(D135,",",),0,1)+$A$18,$A$18)=0,$A$18,MOD($A37+INDEX(_xlfn.TEXTSPLIT(D135,",",),0,1)+$A$18,$A$18))/5,0),ROUNDUP(IF(MOD(D$18+INDEX(_xlfn.TEXTSPLIT(D135,",",),0,2)+$A$18,$A$18)=0,$A$18,MOD(D$18+INDEX(_xlfn.TEXTSPLIT(D135,",",),0,2)+$A$18,$A$18))/5,0)))</f>
        <v>2</v>
      </c>
      <c r="E37" s="1" cm="1">
        <f t="array" aca="1" ref="E37" ca="1">(INDEX($K$2:$T$11,ROUNDUP(IF(MOD($A37+INDEX(_xlfn.TEXTSPLIT(E92,",",),0,1)+$A$18,$A$18)=0,$A$18,MOD($A37+INDEX(_xlfn.TEXTSPLIT(E92,",",),0,1)+$A$18,$A$18))/4,0),ROUNDUP(IF(MOD(E$18+INDEX(_xlfn.TEXTSPLIT(E92,",",),0,2)+$A$18,$A$18)=0,$A$18,MOD(E$18+INDEX(_xlfn.TEXTSPLIT(E92,",",),0,2)+$A$18,$A$18))/4,0)))+(INDEX($AD$2:$AK$9,ROUNDUP(IF(MOD($A37+INDEX(_xlfn.TEXTSPLIT(E135,",",),0,1)+$A$18,$A$18)=0,$A$18,MOD($A37+INDEX(_xlfn.TEXTSPLIT(E135,",",),0,1)+$A$18,$A$18))/5,0),ROUNDUP(IF(MOD(E$18+INDEX(_xlfn.TEXTSPLIT(E135,",",),0,2)+$A$18,$A$18)=0,$A$18,MOD(E$18+INDEX(_xlfn.TEXTSPLIT(E135,",",),0,2)+$A$18,$A$18))/5,0)))</f>
        <v>2</v>
      </c>
      <c r="F37" s="1" cm="1">
        <f t="array" aca="1" ref="F37" ca="1">(INDEX($K$2:$T$11,ROUNDUP(IF(MOD($A37+INDEX(_xlfn.TEXTSPLIT(F92,",",),0,1)+$A$18,$A$18)=0,$A$18,MOD($A37+INDEX(_xlfn.TEXTSPLIT(F92,",",),0,1)+$A$18,$A$18))/4,0),ROUNDUP(IF(MOD(F$18+INDEX(_xlfn.TEXTSPLIT(F92,",",),0,2)+$A$18,$A$18)=0,$A$18,MOD(F$18+INDEX(_xlfn.TEXTSPLIT(F92,",",),0,2)+$A$18,$A$18))/4,0)))+(INDEX($AD$2:$AK$9,ROUNDUP(IF(MOD($A37+INDEX(_xlfn.TEXTSPLIT(F135,",",),0,1)+$A$18,$A$18)=0,$A$18,MOD($A37+INDEX(_xlfn.TEXTSPLIT(F135,",",),0,1)+$A$18,$A$18))/5,0),ROUNDUP(IF(MOD(F$18+INDEX(_xlfn.TEXTSPLIT(F135,",",),0,2)+$A$18,$A$18)=0,$A$18,MOD(F$18+INDEX(_xlfn.TEXTSPLIT(F135,",",),0,2)+$A$18,$A$18))/5,0)))</f>
        <v>2</v>
      </c>
      <c r="G37" s="1" cm="1">
        <f t="array" aca="1" ref="G37" ca="1">(INDEX($K$2:$T$11,ROUNDUP(IF(MOD($A37+INDEX(_xlfn.TEXTSPLIT(G92,",",),0,1)+$A$18,$A$18)=0,$A$18,MOD($A37+INDEX(_xlfn.TEXTSPLIT(G92,",",),0,1)+$A$18,$A$18))/4,0),ROUNDUP(IF(MOD(G$18+INDEX(_xlfn.TEXTSPLIT(G92,",",),0,2)+$A$18,$A$18)=0,$A$18,MOD(G$18+INDEX(_xlfn.TEXTSPLIT(G92,",",),0,2)+$A$18,$A$18))/4,0)))+(INDEX($AD$2:$AK$9,ROUNDUP(IF(MOD($A37+INDEX(_xlfn.TEXTSPLIT(G135,",",),0,1)+$A$18,$A$18)=0,$A$18,MOD($A37+INDEX(_xlfn.TEXTSPLIT(G135,",",),0,1)+$A$18,$A$18))/5,0),ROUNDUP(IF(MOD(G$18+INDEX(_xlfn.TEXTSPLIT(G135,",",),0,2)+$A$18,$A$18)=0,$A$18,MOD(G$18+INDEX(_xlfn.TEXTSPLIT(G135,",",),0,2)+$A$18,$A$18))/5,0)))</f>
        <v>2</v>
      </c>
      <c r="H37" s="1" cm="1">
        <f t="array" aca="1" ref="H37" ca="1">(INDEX($K$2:$T$11,ROUNDUP(IF(MOD($A37+INDEX(_xlfn.TEXTSPLIT(H92,",",),0,1)+$A$18,$A$18)=0,$A$18,MOD($A37+INDEX(_xlfn.TEXTSPLIT(H92,",",),0,1)+$A$18,$A$18))/4,0),ROUNDUP(IF(MOD(H$18+INDEX(_xlfn.TEXTSPLIT(H92,",",),0,2)+$A$18,$A$18)=0,$A$18,MOD(H$18+INDEX(_xlfn.TEXTSPLIT(H92,",",),0,2)+$A$18,$A$18))/4,0)))+(INDEX($AD$2:$AK$9,ROUNDUP(IF(MOD($A37+INDEX(_xlfn.TEXTSPLIT(H135,",",),0,1)+$A$18,$A$18)=0,$A$18,MOD($A37+INDEX(_xlfn.TEXTSPLIT(H135,",",),0,1)+$A$18,$A$18))/5,0),ROUNDUP(IF(MOD(H$18+INDEX(_xlfn.TEXTSPLIT(H135,",",),0,2)+$A$18,$A$18)=0,$A$18,MOD(H$18+INDEX(_xlfn.TEXTSPLIT(H135,",",),0,2)+$A$18,$A$18))/5,0)))</f>
        <v>2</v>
      </c>
      <c r="I37" s="1" cm="1">
        <f t="array" aca="1" ref="I37" ca="1">(INDEX($K$2:$T$11,ROUNDUP(IF(MOD($A37+INDEX(_xlfn.TEXTSPLIT(I92,",",),0,1)+$A$18,$A$18)=0,$A$18,MOD($A37+INDEX(_xlfn.TEXTSPLIT(I92,",",),0,1)+$A$18,$A$18))/4,0),ROUNDUP(IF(MOD(I$18+INDEX(_xlfn.TEXTSPLIT(I92,",",),0,2)+$A$18,$A$18)=0,$A$18,MOD(I$18+INDEX(_xlfn.TEXTSPLIT(I92,",",),0,2)+$A$18,$A$18))/4,0)))+(INDEX($AD$2:$AK$9,ROUNDUP(IF(MOD($A37+INDEX(_xlfn.TEXTSPLIT(I135,",",),0,1)+$A$18,$A$18)=0,$A$18,MOD($A37+INDEX(_xlfn.TEXTSPLIT(I135,",",),0,1)+$A$18,$A$18))/5,0),ROUNDUP(IF(MOD(I$18+INDEX(_xlfn.TEXTSPLIT(I135,",",),0,2)+$A$18,$A$18)=0,$A$18,MOD(I$18+INDEX(_xlfn.TEXTSPLIT(I135,",",),0,2)+$A$18,$A$18))/5,0)))</f>
        <v>2</v>
      </c>
      <c r="J37" s="1" cm="1">
        <f t="array" aca="1" ref="J37" ca="1">(INDEX($K$2:$T$11,ROUNDUP(IF(MOD($A37+INDEX(_xlfn.TEXTSPLIT(J92,",",),0,1)+$A$18,$A$18)=0,$A$18,MOD($A37+INDEX(_xlfn.TEXTSPLIT(J92,",",),0,1)+$A$18,$A$18))/4,0),ROUNDUP(IF(MOD(J$18+INDEX(_xlfn.TEXTSPLIT(J92,",",),0,2)+$A$18,$A$18)=0,$A$18,MOD(J$18+INDEX(_xlfn.TEXTSPLIT(J92,",",),0,2)+$A$18,$A$18))/4,0)))+(INDEX($AD$2:$AK$9,ROUNDUP(IF(MOD($A37+INDEX(_xlfn.TEXTSPLIT(J135,",",),0,1)+$A$18,$A$18)=0,$A$18,MOD($A37+INDEX(_xlfn.TEXTSPLIT(J135,",",),0,1)+$A$18,$A$18))/5,0),ROUNDUP(IF(MOD(J$18+INDEX(_xlfn.TEXTSPLIT(J135,",",),0,2)+$A$18,$A$18)=0,$A$18,MOD(J$18+INDEX(_xlfn.TEXTSPLIT(J135,",",),0,2)+$A$18,$A$18))/5,0)))</f>
        <v>6</v>
      </c>
      <c r="K37" s="1" cm="1">
        <f t="array" aca="1" ref="K37" ca="1">(INDEX($K$2:$T$11,ROUNDUP(IF(MOD($A37+INDEX(_xlfn.TEXTSPLIT(K92,",",),0,1)+$A$18,$A$18)=0,$A$18,MOD($A37+INDEX(_xlfn.TEXTSPLIT(K92,",",),0,1)+$A$18,$A$18))/4,0),ROUNDUP(IF(MOD(K$18+INDEX(_xlfn.TEXTSPLIT(K92,",",),0,2)+$A$18,$A$18)=0,$A$18,MOD(K$18+INDEX(_xlfn.TEXTSPLIT(K92,",",),0,2)+$A$18,$A$18))/4,0)))+(INDEX($AD$2:$AK$9,ROUNDUP(IF(MOD($A37+INDEX(_xlfn.TEXTSPLIT(K135,",",),0,1)+$A$18,$A$18)=0,$A$18,MOD($A37+INDEX(_xlfn.TEXTSPLIT(K135,",",),0,1)+$A$18,$A$18))/5,0),ROUNDUP(IF(MOD(K$18+INDEX(_xlfn.TEXTSPLIT(K135,",",),0,2)+$A$18,$A$18)=0,$A$18,MOD(K$18+INDEX(_xlfn.TEXTSPLIT(K135,",",),0,2)+$A$18,$A$18))/5,0)))</f>
        <v>6</v>
      </c>
      <c r="L37" s="1" cm="1">
        <f t="array" aca="1" ref="L37" ca="1">(INDEX($K$2:$T$11,ROUNDUP(IF(MOD($A37+INDEX(_xlfn.TEXTSPLIT(L92,",",),0,1)+$A$18,$A$18)=0,$A$18,MOD($A37+INDEX(_xlfn.TEXTSPLIT(L92,",",),0,1)+$A$18,$A$18))/4,0),ROUNDUP(IF(MOD(L$18+INDEX(_xlfn.TEXTSPLIT(L92,",",),0,2)+$A$18,$A$18)=0,$A$18,MOD(L$18+INDEX(_xlfn.TEXTSPLIT(L92,",",),0,2)+$A$18,$A$18))/4,0)))+(INDEX($AD$2:$AK$9,ROUNDUP(IF(MOD($A37+INDEX(_xlfn.TEXTSPLIT(L135,",",),0,1)+$A$18,$A$18)=0,$A$18,MOD($A37+INDEX(_xlfn.TEXTSPLIT(L135,",",),0,1)+$A$18,$A$18))/5,0),ROUNDUP(IF(MOD(L$18+INDEX(_xlfn.TEXTSPLIT(L135,",",),0,2)+$A$18,$A$18)=0,$A$18,MOD(L$18+INDEX(_xlfn.TEXTSPLIT(L135,",",),0,2)+$A$18,$A$18))/5,0)))</f>
        <v>6</v>
      </c>
      <c r="M37" s="1" cm="1">
        <f t="array" aca="1" ref="M37" ca="1">(INDEX($K$2:$T$11,ROUNDUP(IF(MOD($A37+INDEX(_xlfn.TEXTSPLIT(M92,",",),0,1)+$A$18,$A$18)=0,$A$18,MOD($A37+INDEX(_xlfn.TEXTSPLIT(M92,",",),0,1)+$A$18,$A$18))/4,0),ROUNDUP(IF(MOD(M$18+INDEX(_xlfn.TEXTSPLIT(M92,",",),0,2)+$A$18,$A$18)=0,$A$18,MOD(M$18+INDEX(_xlfn.TEXTSPLIT(M92,",",),0,2)+$A$18,$A$18))/4,0)))+(INDEX($AD$2:$AK$9,ROUNDUP(IF(MOD($A37+INDEX(_xlfn.TEXTSPLIT(M135,",",),0,1)+$A$18,$A$18)=0,$A$18,MOD($A37+INDEX(_xlfn.TEXTSPLIT(M135,",",),0,1)+$A$18,$A$18))/5,0),ROUNDUP(IF(MOD(M$18+INDEX(_xlfn.TEXTSPLIT(M135,",",),0,2)+$A$18,$A$18)=0,$A$18,MOD(M$18+INDEX(_xlfn.TEXTSPLIT(M135,",",),0,2)+$A$18,$A$18))/5,0)))</f>
        <v>7</v>
      </c>
      <c r="N37" s="1" cm="1">
        <f t="array" aca="1" ref="N37" ca="1">(INDEX($K$2:$T$11,ROUNDUP(IF(MOD($A37+INDEX(_xlfn.TEXTSPLIT(N92,",",),0,1)+$A$18,$A$18)=0,$A$18,MOD($A37+INDEX(_xlfn.TEXTSPLIT(N92,",",),0,1)+$A$18,$A$18))/4,0),ROUNDUP(IF(MOD(N$18+INDEX(_xlfn.TEXTSPLIT(N92,",",),0,2)+$A$18,$A$18)=0,$A$18,MOD(N$18+INDEX(_xlfn.TEXTSPLIT(N92,",",),0,2)+$A$18,$A$18))/4,0)))+(INDEX($AD$2:$AK$9,ROUNDUP(IF(MOD($A37+INDEX(_xlfn.TEXTSPLIT(N135,",",),0,1)+$A$18,$A$18)=0,$A$18,MOD($A37+INDEX(_xlfn.TEXTSPLIT(N135,",",),0,1)+$A$18,$A$18))/5,0),ROUNDUP(IF(MOD(N$18+INDEX(_xlfn.TEXTSPLIT(N135,",",),0,2)+$A$18,$A$18)=0,$A$18,MOD(N$18+INDEX(_xlfn.TEXTSPLIT(N135,",",),0,2)+$A$18,$A$18))/5,0)))</f>
        <v>7</v>
      </c>
      <c r="O37" s="1" cm="1">
        <f t="array" aca="1" ref="O37" ca="1">(INDEX($K$2:$T$11,ROUNDUP(IF(MOD($A37+INDEX(_xlfn.TEXTSPLIT(O92,",",),0,1)+$A$18,$A$18)=0,$A$18,MOD($A37+INDEX(_xlfn.TEXTSPLIT(O92,",",),0,1)+$A$18,$A$18))/4,0),ROUNDUP(IF(MOD(O$18+INDEX(_xlfn.TEXTSPLIT(O92,",",),0,2)+$A$18,$A$18)=0,$A$18,MOD(O$18+INDEX(_xlfn.TEXTSPLIT(O92,",",),0,2)+$A$18,$A$18))/4,0)))+(INDEX($AD$2:$AK$9,ROUNDUP(IF(MOD($A37+INDEX(_xlfn.TEXTSPLIT(O135,",",),0,1)+$A$18,$A$18)=0,$A$18,MOD($A37+INDEX(_xlfn.TEXTSPLIT(O135,",",),0,1)+$A$18,$A$18))/5,0),ROUNDUP(IF(MOD(O$18+INDEX(_xlfn.TEXTSPLIT(O135,",",),0,2)+$A$18,$A$18)=0,$A$18,MOD(O$18+INDEX(_xlfn.TEXTSPLIT(O135,",",),0,2)+$A$18,$A$18))/5,0)))</f>
        <v>7</v>
      </c>
      <c r="P37" s="1" cm="1">
        <f t="array" aca="1" ref="P37" ca="1">(INDEX($K$2:$T$11,ROUNDUP(IF(MOD($A37+INDEX(_xlfn.TEXTSPLIT(P92,",",),0,1)+$A$18,$A$18)=0,$A$18,MOD($A37+INDEX(_xlfn.TEXTSPLIT(P92,",",),0,1)+$A$18,$A$18))/4,0),ROUNDUP(IF(MOD(P$18+INDEX(_xlfn.TEXTSPLIT(P92,",",),0,2)+$A$18,$A$18)=0,$A$18,MOD(P$18+INDEX(_xlfn.TEXTSPLIT(P92,",",),0,2)+$A$18,$A$18))/4,0)))+(INDEX($AD$2:$AK$9,ROUNDUP(IF(MOD($A37+INDEX(_xlfn.TEXTSPLIT(P135,",",),0,1)+$A$18,$A$18)=0,$A$18,MOD($A37+INDEX(_xlfn.TEXTSPLIT(P135,",",),0,1)+$A$18,$A$18))/5,0),ROUNDUP(IF(MOD(P$18+INDEX(_xlfn.TEXTSPLIT(P135,",",),0,2)+$A$18,$A$18)=0,$A$18,MOD(P$18+INDEX(_xlfn.TEXTSPLIT(P135,",",),0,2)+$A$18,$A$18))/5,0)))</f>
        <v>7</v>
      </c>
      <c r="Q37" s="1" cm="1">
        <f t="array" aca="1" ref="Q37" ca="1">(INDEX($K$2:$T$11,ROUNDUP(IF(MOD($A37+INDEX(_xlfn.TEXTSPLIT(Q92,",",),0,1)+$A$18,$A$18)=0,$A$18,MOD($A37+INDEX(_xlfn.TEXTSPLIT(Q92,",",),0,1)+$A$18,$A$18))/4,0),ROUNDUP(IF(MOD(Q$18+INDEX(_xlfn.TEXTSPLIT(Q92,",",),0,2)+$A$18,$A$18)=0,$A$18,MOD(Q$18+INDEX(_xlfn.TEXTSPLIT(Q92,",",),0,2)+$A$18,$A$18))/4,0)))+(INDEX($AD$2:$AK$9,ROUNDUP(IF(MOD($A37+INDEX(_xlfn.TEXTSPLIT(Q135,",",),0,1)+$A$18,$A$18)=0,$A$18,MOD($A37+INDEX(_xlfn.TEXTSPLIT(Q135,",",),0,1)+$A$18,$A$18))/5,0),ROUNDUP(IF(MOD(Q$18+INDEX(_xlfn.TEXTSPLIT(Q135,",",),0,2)+$A$18,$A$18)=0,$A$18,MOD(Q$18+INDEX(_xlfn.TEXTSPLIT(Q135,",",),0,2)+$A$18,$A$18))/5,0)))</f>
        <v>7</v>
      </c>
      <c r="R37" s="1" cm="1">
        <f t="array" aca="1" ref="R37" ca="1">(INDEX($K$2:$T$11,ROUNDUP(IF(MOD($A37+INDEX(_xlfn.TEXTSPLIT(R92,",",),0,1)+$A$18,$A$18)=0,$A$18,MOD($A37+INDEX(_xlfn.TEXTSPLIT(R92,",",),0,1)+$A$18,$A$18))/4,0),ROUNDUP(IF(MOD(R$18+INDEX(_xlfn.TEXTSPLIT(R92,",",),0,2)+$A$18,$A$18)=0,$A$18,MOD(R$18+INDEX(_xlfn.TEXTSPLIT(R92,",",),0,2)+$A$18,$A$18))/4,0)))+(INDEX($AD$2:$AK$9,ROUNDUP(IF(MOD($A37+INDEX(_xlfn.TEXTSPLIT(R135,",",),0,1)+$A$18,$A$18)=0,$A$18,MOD($A37+INDEX(_xlfn.TEXTSPLIT(R135,",",),0,1)+$A$18,$A$18))/5,0),ROUNDUP(IF(MOD(R$18+INDEX(_xlfn.TEXTSPLIT(R135,",",),0,2)+$A$18,$A$18)=0,$A$18,MOD(R$18+INDEX(_xlfn.TEXTSPLIT(R135,",",),0,2)+$A$18,$A$18))/5,0)))</f>
        <v>7</v>
      </c>
      <c r="S37" s="1" cm="1">
        <f t="array" aca="1" ref="S37" ca="1">(INDEX($K$2:$T$11,ROUNDUP(IF(MOD($A37+INDEX(_xlfn.TEXTSPLIT(S92,",",),0,1)+$A$18,$A$18)=0,$A$18,MOD($A37+INDEX(_xlfn.TEXTSPLIT(S92,",",),0,1)+$A$18,$A$18))/4,0),ROUNDUP(IF(MOD(S$18+INDEX(_xlfn.TEXTSPLIT(S92,",",),0,2)+$A$18,$A$18)=0,$A$18,MOD(S$18+INDEX(_xlfn.TEXTSPLIT(S92,",",),0,2)+$A$18,$A$18))/4,0)))+(INDEX($AD$2:$AK$9,ROUNDUP(IF(MOD($A37+INDEX(_xlfn.TEXTSPLIT(S135,",",),0,1)+$A$18,$A$18)=0,$A$18,MOD($A37+INDEX(_xlfn.TEXTSPLIT(S135,",",),0,1)+$A$18,$A$18))/5,0),ROUNDUP(IF(MOD(S$18+INDEX(_xlfn.TEXTSPLIT(S135,",",),0,2)+$A$18,$A$18)=0,$A$18,MOD(S$18+INDEX(_xlfn.TEXTSPLIT(S135,",",),0,2)+$A$18,$A$18))/5,0)))</f>
        <v>3</v>
      </c>
      <c r="T37" s="1" cm="1">
        <f t="array" aca="1" ref="T37" ca="1">(INDEX($K$2:$T$11,ROUNDUP(IF(MOD($A37+INDEX(_xlfn.TEXTSPLIT(T92,",",),0,1)+$A$18,$A$18)=0,$A$18,MOD($A37+INDEX(_xlfn.TEXTSPLIT(T92,",",),0,1)+$A$18,$A$18))/4,0),ROUNDUP(IF(MOD(T$18+INDEX(_xlfn.TEXTSPLIT(T92,",",),0,2)+$A$18,$A$18)=0,$A$18,MOD(T$18+INDEX(_xlfn.TEXTSPLIT(T92,",",),0,2)+$A$18,$A$18))/4,0)))+(INDEX($AD$2:$AK$9,ROUNDUP(IF(MOD($A37+INDEX(_xlfn.TEXTSPLIT(T135,",",),0,1)+$A$18,$A$18)=0,$A$18,MOD($A37+INDEX(_xlfn.TEXTSPLIT(T135,",",),0,1)+$A$18,$A$18))/5,0),ROUNDUP(IF(MOD(T$18+INDEX(_xlfn.TEXTSPLIT(T135,",",),0,2)+$A$18,$A$18)=0,$A$18,MOD(T$18+INDEX(_xlfn.TEXTSPLIT(T135,",",),0,2)+$A$18,$A$18))/5,0)))</f>
        <v>3</v>
      </c>
      <c r="U37" s="1" cm="1">
        <f t="array" aca="1" ref="U37" ca="1">(INDEX($K$2:$T$11,ROUNDUP(IF(MOD($A37+INDEX(_xlfn.TEXTSPLIT(U92,",",),0,1)+$A$18,$A$18)=0,$A$18,MOD($A37+INDEX(_xlfn.TEXTSPLIT(U92,",",),0,1)+$A$18,$A$18))/4,0),ROUNDUP(IF(MOD(U$18+INDEX(_xlfn.TEXTSPLIT(U92,",",),0,2)+$A$18,$A$18)=0,$A$18,MOD(U$18+INDEX(_xlfn.TEXTSPLIT(U92,",",),0,2)+$A$18,$A$18))/4,0)))+(INDEX($AD$2:$AK$9,ROUNDUP(IF(MOD($A37+INDEX(_xlfn.TEXTSPLIT(U135,",",),0,1)+$A$18,$A$18)=0,$A$18,MOD($A37+INDEX(_xlfn.TEXTSPLIT(U135,",",),0,1)+$A$18,$A$18))/5,0),ROUNDUP(IF(MOD(U$18+INDEX(_xlfn.TEXTSPLIT(U135,",",),0,2)+$A$18,$A$18)=0,$A$18,MOD(U$18+INDEX(_xlfn.TEXTSPLIT(U135,",",),0,2)+$A$18,$A$18))/5,0)))</f>
        <v>7</v>
      </c>
      <c r="V37" s="1" cm="1">
        <f t="array" aca="1" ref="V37" ca="1">(INDEX($K$2:$T$11,ROUNDUP(IF(MOD($A37+INDEX(_xlfn.TEXTSPLIT(V92,",",),0,1)+$A$18,$A$18)=0,$A$18,MOD($A37+INDEX(_xlfn.TEXTSPLIT(V92,",",),0,1)+$A$18,$A$18))/4,0),ROUNDUP(IF(MOD(V$18+INDEX(_xlfn.TEXTSPLIT(V92,",",),0,2)+$A$18,$A$18)=0,$A$18,MOD(V$18+INDEX(_xlfn.TEXTSPLIT(V92,",",),0,2)+$A$18,$A$18))/4,0)))+(INDEX($AD$2:$AK$9,ROUNDUP(IF(MOD($A37+INDEX(_xlfn.TEXTSPLIT(V135,",",),0,1)+$A$18,$A$18)=0,$A$18,MOD($A37+INDEX(_xlfn.TEXTSPLIT(V135,",",),0,1)+$A$18,$A$18))/5,0),ROUNDUP(IF(MOD(V$18+INDEX(_xlfn.TEXTSPLIT(V135,",",),0,2)+$A$18,$A$18)=0,$A$18,MOD(V$18+INDEX(_xlfn.TEXTSPLIT(V135,",",),0,2)+$A$18,$A$18))/5,0)))</f>
        <v>3</v>
      </c>
      <c r="W37" s="1" cm="1">
        <f t="array" aca="1" ref="W37" ca="1">(INDEX($K$2:$T$11,ROUNDUP(IF(MOD($A37+INDEX(_xlfn.TEXTSPLIT(W92,",",),0,1)+$A$18,$A$18)=0,$A$18,MOD($A37+INDEX(_xlfn.TEXTSPLIT(W92,",",),0,1)+$A$18,$A$18))/4,0),ROUNDUP(IF(MOD(W$18+INDEX(_xlfn.TEXTSPLIT(W92,",",),0,2)+$A$18,$A$18)=0,$A$18,MOD(W$18+INDEX(_xlfn.TEXTSPLIT(W92,",",),0,2)+$A$18,$A$18))/4,0)))+(INDEX($AD$2:$AK$9,ROUNDUP(IF(MOD($A37+INDEX(_xlfn.TEXTSPLIT(W135,",",),0,1)+$A$18,$A$18)=0,$A$18,MOD($A37+INDEX(_xlfn.TEXTSPLIT(W135,",",),0,1)+$A$18,$A$18))/5,0),ROUNDUP(IF(MOD(W$18+INDEX(_xlfn.TEXTSPLIT(W135,",",),0,2)+$A$18,$A$18)=0,$A$18,MOD(W$18+INDEX(_xlfn.TEXTSPLIT(W135,",",),0,2)+$A$18,$A$18))/5,0)))</f>
        <v>7</v>
      </c>
      <c r="X37" s="1" cm="1">
        <f t="array" aca="1" ref="X37" ca="1">(INDEX($K$2:$T$11,ROUNDUP(IF(MOD($A37+INDEX(_xlfn.TEXTSPLIT(X92,",",),0,1)+$A$18,$A$18)=0,$A$18,MOD($A37+INDEX(_xlfn.TEXTSPLIT(X92,",",),0,1)+$A$18,$A$18))/4,0),ROUNDUP(IF(MOD(X$18+INDEX(_xlfn.TEXTSPLIT(X92,",",),0,2)+$A$18,$A$18)=0,$A$18,MOD(X$18+INDEX(_xlfn.TEXTSPLIT(X92,",",),0,2)+$A$18,$A$18))/4,0)))+(INDEX($AD$2:$AK$9,ROUNDUP(IF(MOD($A37+INDEX(_xlfn.TEXTSPLIT(X135,",",),0,1)+$A$18,$A$18)=0,$A$18,MOD($A37+INDEX(_xlfn.TEXTSPLIT(X135,",",),0,1)+$A$18,$A$18))/5,0),ROUNDUP(IF(MOD(X$18+INDEX(_xlfn.TEXTSPLIT(X135,",",),0,2)+$A$18,$A$18)=0,$A$18,MOD(X$18+INDEX(_xlfn.TEXTSPLIT(X135,",",),0,2)+$A$18,$A$18))/5,0)))</f>
        <v>7</v>
      </c>
      <c r="Y37" s="1" cm="1">
        <f t="array" aca="1" ref="Y37" ca="1">(INDEX($K$2:$T$11,ROUNDUP(IF(MOD($A37+INDEX(_xlfn.TEXTSPLIT(Y92,",",),0,1)+$A$18,$A$18)=0,$A$18,MOD($A37+INDEX(_xlfn.TEXTSPLIT(Y92,",",),0,1)+$A$18,$A$18))/4,0),ROUNDUP(IF(MOD(Y$18+INDEX(_xlfn.TEXTSPLIT(Y92,",",),0,2)+$A$18,$A$18)=0,$A$18,MOD(Y$18+INDEX(_xlfn.TEXTSPLIT(Y92,",",),0,2)+$A$18,$A$18))/4,0)))+(INDEX($AD$2:$AK$9,ROUNDUP(IF(MOD($A37+INDEX(_xlfn.TEXTSPLIT(Y135,",",),0,1)+$A$18,$A$18)=0,$A$18,MOD($A37+INDEX(_xlfn.TEXTSPLIT(Y135,",",),0,1)+$A$18,$A$18))/5,0),ROUNDUP(IF(MOD(Y$18+INDEX(_xlfn.TEXTSPLIT(Y135,",",),0,2)+$A$18,$A$18)=0,$A$18,MOD(Y$18+INDEX(_xlfn.TEXTSPLIT(Y135,",",),0,2)+$A$18,$A$18))/5,0)))</f>
        <v>7</v>
      </c>
      <c r="Z37" s="1" cm="1">
        <f t="array" aca="1" ref="Z37" ca="1">(INDEX($K$2:$T$11,ROUNDUP(IF(MOD($A37+INDEX(_xlfn.TEXTSPLIT(Z92,",",),0,1)+$A$18,$A$18)=0,$A$18,MOD($A37+INDEX(_xlfn.TEXTSPLIT(Z92,",",),0,1)+$A$18,$A$18))/4,0),ROUNDUP(IF(MOD(Z$18+INDEX(_xlfn.TEXTSPLIT(Z92,",",),0,2)+$A$18,$A$18)=0,$A$18,MOD(Z$18+INDEX(_xlfn.TEXTSPLIT(Z92,",",),0,2)+$A$18,$A$18))/4,0)))+(INDEX($AD$2:$AK$9,ROUNDUP(IF(MOD($A37+INDEX(_xlfn.TEXTSPLIT(Z135,",",),0,1)+$A$18,$A$18)=0,$A$18,MOD($A37+INDEX(_xlfn.TEXTSPLIT(Z135,",",),0,1)+$A$18,$A$18))/5,0),ROUNDUP(IF(MOD(Z$18+INDEX(_xlfn.TEXTSPLIT(Z135,",",),0,2)+$A$18,$A$18)=0,$A$18,MOD(Z$18+INDEX(_xlfn.TEXTSPLIT(Z135,",",),0,2)+$A$18,$A$18))/5,0)))</f>
        <v>7</v>
      </c>
      <c r="AA37" s="1" cm="1">
        <f t="array" aca="1" ref="AA37" ca="1">(INDEX($K$2:$T$11,ROUNDUP(IF(MOD($A37+INDEX(_xlfn.TEXTSPLIT(AA92,",",),0,1)+$A$18,$A$18)=0,$A$18,MOD($A37+INDEX(_xlfn.TEXTSPLIT(AA92,",",),0,1)+$A$18,$A$18))/4,0),ROUNDUP(IF(MOD(AA$18+INDEX(_xlfn.TEXTSPLIT(AA92,",",),0,2)+$A$18,$A$18)=0,$A$18,MOD(AA$18+INDEX(_xlfn.TEXTSPLIT(AA92,",",),0,2)+$A$18,$A$18))/4,0)))+(INDEX($AD$2:$AK$9,ROUNDUP(IF(MOD($A37+INDEX(_xlfn.TEXTSPLIT(AA135,",",),0,1)+$A$18,$A$18)=0,$A$18,MOD($A37+INDEX(_xlfn.TEXTSPLIT(AA135,",",),0,1)+$A$18,$A$18))/5,0),ROUNDUP(IF(MOD(AA$18+INDEX(_xlfn.TEXTSPLIT(AA135,",",),0,2)+$A$18,$A$18)=0,$A$18,MOD(AA$18+INDEX(_xlfn.TEXTSPLIT(AA135,",",),0,2)+$A$18,$A$18))/5,0)))</f>
        <v>8</v>
      </c>
      <c r="AB37" s="1" cm="1">
        <f t="array" aca="1" ref="AB37" ca="1">(INDEX($K$2:$T$11,ROUNDUP(IF(MOD($A37+INDEX(_xlfn.TEXTSPLIT(AB92,",",),0,1)+$A$18,$A$18)=0,$A$18,MOD($A37+INDEX(_xlfn.TEXTSPLIT(AB92,",",),0,1)+$A$18,$A$18))/4,0),ROUNDUP(IF(MOD(AB$18+INDEX(_xlfn.TEXTSPLIT(AB92,",",),0,2)+$A$18,$A$18)=0,$A$18,MOD(AB$18+INDEX(_xlfn.TEXTSPLIT(AB92,",",),0,2)+$A$18,$A$18))/4,0)))+(INDEX($AD$2:$AK$9,ROUNDUP(IF(MOD($A37+INDEX(_xlfn.TEXTSPLIT(AB135,",",),0,1)+$A$18,$A$18)=0,$A$18,MOD($A37+INDEX(_xlfn.TEXTSPLIT(AB135,",",),0,1)+$A$18,$A$18))/5,0),ROUNDUP(IF(MOD(AB$18+INDEX(_xlfn.TEXTSPLIT(AB135,",",),0,2)+$A$18,$A$18)=0,$A$18,MOD(AB$18+INDEX(_xlfn.TEXTSPLIT(AB135,",",),0,2)+$A$18,$A$18))/5,0)))</f>
        <v>8</v>
      </c>
      <c r="AC37" s="1" cm="1">
        <f t="array" aca="1" ref="AC37" ca="1">(INDEX($K$2:$T$11,ROUNDUP(IF(MOD($A37+INDEX(_xlfn.TEXTSPLIT(AC92,",",),0,1)+$A$18,$A$18)=0,$A$18,MOD($A37+INDEX(_xlfn.TEXTSPLIT(AC92,",",),0,1)+$A$18,$A$18))/4,0),ROUNDUP(IF(MOD(AC$18+INDEX(_xlfn.TEXTSPLIT(AC92,",",),0,2)+$A$18,$A$18)=0,$A$18,MOD(AC$18+INDEX(_xlfn.TEXTSPLIT(AC92,",",),0,2)+$A$18,$A$18))/4,0)))+(INDEX($AD$2:$AK$9,ROUNDUP(IF(MOD($A37+INDEX(_xlfn.TEXTSPLIT(AC135,",",),0,1)+$A$18,$A$18)=0,$A$18,MOD($A37+INDEX(_xlfn.TEXTSPLIT(AC135,",",),0,1)+$A$18,$A$18))/5,0),ROUNDUP(IF(MOD(AC$18+INDEX(_xlfn.TEXTSPLIT(AC135,",",),0,2)+$A$18,$A$18)=0,$A$18,MOD(AC$18+INDEX(_xlfn.TEXTSPLIT(AC135,",",),0,2)+$A$18,$A$18))/5,0)))</f>
        <v>8</v>
      </c>
      <c r="AD37" s="1" cm="1">
        <f t="array" aca="1" ref="AD37" ca="1">(INDEX($K$2:$T$11,ROUNDUP(IF(MOD($A37+INDEX(_xlfn.TEXTSPLIT(AD92,",",),0,1)+$A$18,$A$18)=0,$A$18,MOD($A37+INDEX(_xlfn.TEXTSPLIT(AD92,",",),0,1)+$A$18,$A$18))/4,0),ROUNDUP(IF(MOD(AD$18+INDEX(_xlfn.TEXTSPLIT(AD92,",",),0,2)+$A$18,$A$18)=0,$A$18,MOD(AD$18+INDEX(_xlfn.TEXTSPLIT(AD92,",",),0,2)+$A$18,$A$18))/4,0)))+(INDEX($AD$2:$AK$9,ROUNDUP(IF(MOD($A37+INDEX(_xlfn.TEXTSPLIT(AD135,",",),0,1)+$A$18,$A$18)=0,$A$18,MOD($A37+INDEX(_xlfn.TEXTSPLIT(AD135,",",),0,1)+$A$18,$A$18))/5,0),ROUNDUP(IF(MOD(AD$18+INDEX(_xlfn.TEXTSPLIT(AD135,",",),0,2)+$A$18,$A$18)=0,$A$18,MOD(AD$18+INDEX(_xlfn.TEXTSPLIT(AD135,",",),0,2)+$A$18,$A$18))/5,0)))</f>
        <v>8</v>
      </c>
      <c r="AE37" s="1" cm="1">
        <f t="array" aca="1" ref="AE37" ca="1">(INDEX($K$2:$T$11,ROUNDUP(IF(MOD($A37+INDEX(_xlfn.TEXTSPLIT(AE92,",",),0,1)+$A$18,$A$18)=0,$A$18,MOD($A37+INDEX(_xlfn.TEXTSPLIT(AE92,",",),0,1)+$A$18,$A$18))/4,0),ROUNDUP(IF(MOD(AE$18+INDEX(_xlfn.TEXTSPLIT(AE92,",",),0,2)+$A$18,$A$18)=0,$A$18,MOD(AE$18+INDEX(_xlfn.TEXTSPLIT(AE92,",",),0,2)+$A$18,$A$18))/4,0)))+(INDEX($AD$2:$AK$9,ROUNDUP(IF(MOD($A37+INDEX(_xlfn.TEXTSPLIT(AE135,",",),0,1)+$A$18,$A$18)=0,$A$18,MOD($A37+INDEX(_xlfn.TEXTSPLIT(AE135,",",),0,1)+$A$18,$A$18))/5,0),ROUNDUP(IF(MOD(AE$18+INDEX(_xlfn.TEXTSPLIT(AE135,",",),0,2)+$A$18,$A$18)=0,$A$18,MOD(AE$18+INDEX(_xlfn.TEXTSPLIT(AE135,",",),0,2)+$A$18,$A$18))/5,0)))</f>
        <v>8</v>
      </c>
      <c r="AF37" s="1" cm="1">
        <f t="array" aca="1" ref="AF37" ca="1">(INDEX($K$2:$T$11,ROUNDUP(IF(MOD($A37+INDEX(_xlfn.TEXTSPLIT(AF92,",",),0,1)+$A$18,$A$18)=0,$A$18,MOD($A37+INDEX(_xlfn.TEXTSPLIT(AF92,",",),0,1)+$A$18,$A$18))/4,0),ROUNDUP(IF(MOD(AF$18+INDEX(_xlfn.TEXTSPLIT(AF92,",",),0,2)+$A$18,$A$18)=0,$A$18,MOD(AF$18+INDEX(_xlfn.TEXTSPLIT(AF92,",",),0,2)+$A$18,$A$18))/4,0)))+(INDEX($AD$2:$AK$9,ROUNDUP(IF(MOD($A37+INDEX(_xlfn.TEXTSPLIT(AF135,",",),0,1)+$A$18,$A$18)=0,$A$18,MOD($A37+INDEX(_xlfn.TEXTSPLIT(AF135,",",),0,1)+$A$18,$A$18))/5,0),ROUNDUP(IF(MOD(AF$18+INDEX(_xlfn.TEXTSPLIT(AF135,",",),0,2)+$A$18,$A$18)=0,$A$18,MOD(AF$18+INDEX(_xlfn.TEXTSPLIT(AF135,",",),0,2)+$A$18,$A$18))/5,0)))</f>
        <v>8</v>
      </c>
      <c r="AG37" s="1" cm="1">
        <f t="array" aca="1" ref="AG37" ca="1">(INDEX($K$2:$T$11,ROUNDUP(IF(MOD($A37+INDEX(_xlfn.TEXTSPLIT(AG92,",",),0,1)+$A$18,$A$18)=0,$A$18,MOD($A37+INDEX(_xlfn.TEXTSPLIT(AG92,",",),0,1)+$A$18,$A$18))/4,0),ROUNDUP(IF(MOD(AG$18+INDEX(_xlfn.TEXTSPLIT(AG92,",",),0,2)+$A$18,$A$18)=0,$A$18,MOD(AG$18+INDEX(_xlfn.TEXTSPLIT(AG92,",",),0,2)+$A$18,$A$18))/4,0)))+(INDEX($AD$2:$AK$9,ROUNDUP(IF(MOD($A37+INDEX(_xlfn.TEXTSPLIT(AG135,",",),0,1)+$A$18,$A$18)=0,$A$18,MOD($A37+INDEX(_xlfn.TEXTSPLIT(AG135,",",),0,1)+$A$18,$A$18))/5,0),ROUNDUP(IF(MOD(AG$18+INDEX(_xlfn.TEXTSPLIT(AG135,",",),0,2)+$A$18,$A$18)=0,$A$18,MOD(AG$18+INDEX(_xlfn.TEXTSPLIT(AG135,",",),0,2)+$A$18,$A$18))/5,0)))</f>
        <v>7</v>
      </c>
      <c r="AH37" s="1" cm="1">
        <f t="array" aca="1" ref="AH37" ca="1">(INDEX($K$2:$T$11,ROUNDUP(IF(MOD($A37+INDEX(_xlfn.TEXTSPLIT(AH92,",",),0,1)+$A$18,$A$18)=0,$A$18,MOD($A37+INDEX(_xlfn.TEXTSPLIT(AH92,",",),0,1)+$A$18,$A$18))/4,0),ROUNDUP(IF(MOD(AH$18+INDEX(_xlfn.TEXTSPLIT(AH92,",",),0,2)+$A$18,$A$18)=0,$A$18,MOD(AH$18+INDEX(_xlfn.TEXTSPLIT(AH92,",",),0,2)+$A$18,$A$18))/4,0)))+(INDEX($AD$2:$AK$9,ROUNDUP(IF(MOD($A37+INDEX(_xlfn.TEXTSPLIT(AH135,",",),0,1)+$A$18,$A$18)=0,$A$18,MOD($A37+INDEX(_xlfn.TEXTSPLIT(AH135,",",),0,1)+$A$18,$A$18))/5,0),ROUNDUP(IF(MOD(AH$18+INDEX(_xlfn.TEXTSPLIT(AH135,",",),0,2)+$A$18,$A$18)=0,$A$18,MOD(AH$18+INDEX(_xlfn.TEXTSPLIT(AH135,",",),0,2)+$A$18,$A$18))/5,0)))</f>
        <v>7</v>
      </c>
      <c r="AI37" s="1" cm="1">
        <f t="array" aca="1" ref="AI37" ca="1">(INDEX($K$2:$T$11,ROUNDUP(IF(MOD($A37+INDEX(_xlfn.TEXTSPLIT(AI92,",",),0,1)+$A$18,$A$18)=0,$A$18,MOD($A37+INDEX(_xlfn.TEXTSPLIT(AI92,",",),0,1)+$A$18,$A$18))/4,0),ROUNDUP(IF(MOD(AI$18+INDEX(_xlfn.TEXTSPLIT(AI92,",",),0,2)+$A$18,$A$18)=0,$A$18,MOD(AI$18+INDEX(_xlfn.TEXTSPLIT(AI92,",",),0,2)+$A$18,$A$18))/4,0)))+(INDEX($AD$2:$AK$9,ROUNDUP(IF(MOD($A37+INDEX(_xlfn.TEXTSPLIT(AI135,",",),0,1)+$A$18,$A$18)=0,$A$18,MOD($A37+INDEX(_xlfn.TEXTSPLIT(AI135,",",),0,1)+$A$18,$A$18))/5,0),ROUNDUP(IF(MOD(AI$18+INDEX(_xlfn.TEXTSPLIT(AI135,",",),0,2)+$A$18,$A$18)=0,$A$18,MOD(AI$18+INDEX(_xlfn.TEXTSPLIT(AI135,",",),0,2)+$A$18,$A$18))/5,0)))</f>
        <v>7</v>
      </c>
      <c r="AJ37" s="1" cm="1">
        <f t="array" aca="1" ref="AJ37" ca="1">(INDEX($K$2:$T$11,ROUNDUP(IF(MOD($A37+INDEX(_xlfn.TEXTSPLIT(AJ92,",",),0,1)+$A$18,$A$18)=0,$A$18,MOD($A37+INDEX(_xlfn.TEXTSPLIT(AJ92,",",),0,1)+$A$18,$A$18))/4,0),ROUNDUP(IF(MOD(AJ$18+INDEX(_xlfn.TEXTSPLIT(AJ92,",",),0,2)+$A$18,$A$18)=0,$A$18,MOD(AJ$18+INDEX(_xlfn.TEXTSPLIT(AJ92,",",),0,2)+$A$18,$A$18))/4,0)))+(INDEX($AD$2:$AK$9,ROUNDUP(IF(MOD($A37+INDEX(_xlfn.TEXTSPLIT(AJ135,",",),0,1)+$A$18,$A$18)=0,$A$18,MOD($A37+INDEX(_xlfn.TEXTSPLIT(AJ135,",",),0,1)+$A$18,$A$18))/5,0),ROUNDUP(IF(MOD(AJ$18+INDEX(_xlfn.TEXTSPLIT(AJ135,",",),0,2)+$A$18,$A$18)=0,$A$18,MOD(AJ$18+INDEX(_xlfn.TEXTSPLIT(AJ135,",",),0,2)+$A$18,$A$18))/5,0)))</f>
        <v>5</v>
      </c>
      <c r="AK37" s="1" cm="1">
        <f t="array" aca="1" ref="AK37" ca="1">(INDEX($K$2:$T$11,ROUNDUP(IF(MOD($A37+INDEX(_xlfn.TEXTSPLIT(AK92,",",),0,1)+$A$18,$A$18)=0,$A$18,MOD($A37+INDEX(_xlfn.TEXTSPLIT(AK92,",",),0,1)+$A$18,$A$18))/4,0),ROUNDUP(IF(MOD(AK$18+INDEX(_xlfn.TEXTSPLIT(AK92,",",),0,2)+$A$18,$A$18)=0,$A$18,MOD(AK$18+INDEX(_xlfn.TEXTSPLIT(AK92,",",),0,2)+$A$18,$A$18))/4,0)))+(INDEX($AD$2:$AK$9,ROUNDUP(IF(MOD($A37+INDEX(_xlfn.TEXTSPLIT(AK135,",",),0,1)+$A$18,$A$18)=0,$A$18,MOD($A37+INDEX(_xlfn.TEXTSPLIT(AK135,",",),0,1)+$A$18,$A$18))/5,0),ROUNDUP(IF(MOD(AK$18+INDEX(_xlfn.TEXTSPLIT(AK135,",",),0,2)+$A$18,$A$18)=0,$A$18,MOD(AK$18+INDEX(_xlfn.TEXTSPLIT(AK135,",",),0,2)+$A$18,$A$18))/5,0)))</f>
        <v>5</v>
      </c>
      <c r="AL37" s="1" cm="1">
        <f t="array" aca="1" ref="AL37" ca="1">(INDEX($K$2:$T$11,ROUNDUP(IF(MOD($A37+INDEX(_xlfn.TEXTSPLIT(AL92,",",),0,1)+$A$18,$A$18)=0,$A$18,MOD($A37+INDEX(_xlfn.TEXTSPLIT(AL92,",",),0,1)+$A$18,$A$18))/4,0),ROUNDUP(IF(MOD(AL$18+INDEX(_xlfn.TEXTSPLIT(AL92,",",),0,2)+$A$18,$A$18)=0,$A$18,MOD(AL$18+INDEX(_xlfn.TEXTSPLIT(AL92,",",),0,2)+$A$18,$A$18))/4,0)))+(INDEX($AD$2:$AK$9,ROUNDUP(IF(MOD($A37+INDEX(_xlfn.TEXTSPLIT(AL135,",",),0,1)+$A$18,$A$18)=0,$A$18,MOD($A37+INDEX(_xlfn.TEXTSPLIT(AL135,",",),0,1)+$A$18,$A$18))/5,0),ROUNDUP(IF(MOD(AL$18+INDEX(_xlfn.TEXTSPLIT(AL135,",",),0,2)+$A$18,$A$18)=0,$A$18,MOD(AL$18+INDEX(_xlfn.TEXTSPLIT(AL135,",",),0,2)+$A$18,$A$18))/5,0)))</f>
        <v>5</v>
      </c>
      <c r="AM37" s="1" cm="1">
        <f t="array" aca="1" ref="AM37" ca="1">(INDEX($K$2:$T$11,ROUNDUP(IF(MOD($A37+INDEX(_xlfn.TEXTSPLIT(AM92,",",),0,1)+$A$18,$A$18)=0,$A$18,MOD($A37+INDEX(_xlfn.TEXTSPLIT(AM92,",",),0,1)+$A$18,$A$18))/4,0),ROUNDUP(IF(MOD(AM$18+INDEX(_xlfn.TEXTSPLIT(AM92,",",),0,2)+$A$18,$A$18)=0,$A$18,MOD(AM$18+INDEX(_xlfn.TEXTSPLIT(AM92,",",),0,2)+$A$18,$A$18))/4,0)))+(INDEX($AD$2:$AK$9,ROUNDUP(IF(MOD($A37+INDEX(_xlfn.TEXTSPLIT(AM135,",",),0,1)+$A$18,$A$18)=0,$A$18,MOD($A37+INDEX(_xlfn.TEXTSPLIT(AM135,",",),0,1)+$A$18,$A$18))/5,0),ROUNDUP(IF(MOD(AM$18+INDEX(_xlfn.TEXTSPLIT(AM135,",",),0,2)+$A$18,$A$18)=0,$A$18,MOD(AM$18+INDEX(_xlfn.TEXTSPLIT(AM135,",",),0,2)+$A$18,$A$18))/5,0)))</f>
        <v>5</v>
      </c>
      <c r="AN37" s="1" cm="1">
        <f t="array" aca="1" ref="AN37" ca="1">(INDEX($K$2:$T$11,ROUNDUP(IF(MOD($A37+INDEX(_xlfn.TEXTSPLIT(AN92,",",),0,1)+$A$18,$A$18)=0,$A$18,MOD($A37+INDEX(_xlfn.TEXTSPLIT(AN92,",",),0,1)+$A$18,$A$18))/4,0),ROUNDUP(IF(MOD(AN$18+INDEX(_xlfn.TEXTSPLIT(AN92,",",),0,2)+$A$18,$A$18)=0,$A$18,MOD(AN$18+INDEX(_xlfn.TEXTSPLIT(AN92,",",),0,2)+$A$18,$A$18))/4,0)))+(INDEX($AD$2:$AK$9,ROUNDUP(IF(MOD($A37+INDEX(_xlfn.TEXTSPLIT(AN135,",",),0,1)+$A$18,$A$18)=0,$A$18,MOD($A37+INDEX(_xlfn.TEXTSPLIT(AN135,",",),0,1)+$A$18,$A$18))/5,0),ROUNDUP(IF(MOD(AN$18+INDEX(_xlfn.TEXTSPLIT(AN135,",",),0,2)+$A$18,$A$18)=0,$A$18,MOD(AN$18+INDEX(_xlfn.TEXTSPLIT(AN135,",",),0,2)+$A$18,$A$18))/5,0)))</f>
        <v>5</v>
      </c>
      <c r="AO37" s="1" cm="1">
        <f t="array" aca="1" ref="AO37" ca="1">(INDEX($K$2:$T$11,ROUNDUP(IF(MOD($A37+INDEX(_xlfn.TEXTSPLIT(AO92,",",),0,1)+$A$18,$A$18)=0,$A$18,MOD($A37+INDEX(_xlfn.TEXTSPLIT(AO92,",",),0,1)+$A$18,$A$18))/4,0),ROUNDUP(IF(MOD(AO$18+INDEX(_xlfn.TEXTSPLIT(AO92,",",),0,2)+$A$18,$A$18)=0,$A$18,MOD(AO$18+INDEX(_xlfn.TEXTSPLIT(AO92,",",),0,2)+$A$18,$A$18))/4,0)))+(INDEX($AD$2:$AK$9,ROUNDUP(IF(MOD($A37+INDEX(_xlfn.TEXTSPLIT(AO135,",",),0,1)+$A$18,$A$18)=0,$A$18,MOD($A37+INDEX(_xlfn.TEXTSPLIT(AO135,",",),0,1)+$A$18,$A$18))/5,0),ROUNDUP(IF(MOD(AO$18+INDEX(_xlfn.TEXTSPLIT(AO135,",",),0,2)+$A$18,$A$18)=0,$A$18,MOD(AO$18+INDEX(_xlfn.TEXTSPLIT(AO135,",",),0,2)+$A$18,$A$18))/5,0)))</f>
        <v>1</v>
      </c>
    </row>
    <row r="38" spans="1:41" ht="12.75">
      <c r="A38" s="1">
        <v>20</v>
      </c>
      <c r="B38" s="1" cm="1">
        <f t="array" aca="1" ref="B38" ca="1">(INDEX($K$2:$T$11,ROUNDUP(IF(MOD($A38+INDEX(_xlfn.TEXTSPLIT(B93,",",),0,1)+$A$18,$A$18)=0,$A$18,MOD($A38+INDEX(_xlfn.TEXTSPLIT(B93,",",),0,1)+$A$18,$A$18))/4,0),ROUNDUP(IF(MOD(B$18+INDEX(_xlfn.TEXTSPLIT(B93,",",),0,2)+$A$18,$A$18)=0,$A$18,MOD(B$18+INDEX(_xlfn.TEXTSPLIT(B93,",",),0,2)+$A$18,$A$18))/4,0)))+(INDEX($AD$2:$AK$9,ROUNDUP(IF(MOD($A38+INDEX(_xlfn.TEXTSPLIT(B136,",",),0,1)+$A$18,$A$18)=0,$A$18,MOD($A38+INDEX(_xlfn.TEXTSPLIT(B136,",",),0,1)+$A$18,$A$18))/5,0),ROUNDUP(IF(MOD(B$18+INDEX(_xlfn.TEXTSPLIT(B136,",",),0,2)+$A$18,$A$18)=0,$A$18,MOD(B$18+INDEX(_xlfn.TEXTSPLIT(B136,",",),0,2)+$A$18,$A$18))/5,0)))</f>
        <v>8</v>
      </c>
      <c r="C38" s="1" cm="1">
        <f t="array" aca="1" ref="C38" ca="1">(INDEX($K$2:$T$11,ROUNDUP(IF(MOD($A38+INDEX(_xlfn.TEXTSPLIT(C93,",",),0,1)+$A$18,$A$18)=0,$A$18,MOD($A38+INDEX(_xlfn.TEXTSPLIT(C93,",",),0,1)+$A$18,$A$18))/4,0),ROUNDUP(IF(MOD(C$18+INDEX(_xlfn.TEXTSPLIT(C93,",",),0,2)+$A$18,$A$18)=0,$A$18,MOD(C$18+INDEX(_xlfn.TEXTSPLIT(C93,",",),0,2)+$A$18,$A$18))/4,0)))+(INDEX($AD$2:$AK$9,ROUNDUP(IF(MOD($A38+INDEX(_xlfn.TEXTSPLIT(C136,",",),0,1)+$A$18,$A$18)=0,$A$18,MOD($A38+INDEX(_xlfn.TEXTSPLIT(C136,",",),0,1)+$A$18,$A$18))/5,0),ROUNDUP(IF(MOD(C$18+INDEX(_xlfn.TEXTSPLIT(C136,",",),0,2)+$A$18,$A$18)=0,$A$18,MOD(C$18+INDEX(_xlfn.TEXTSPLIT(C136,",",),0,2)+$A$18,$A$18))/5,0)))</f>
        <v>1</v>
      </c>
      <c r="D38" s="1" cm="1">
        <f t="array" aca="1" ref="D38" ca="1">(INDEX($K$2:$T$11,ROUNDUP(IF(MOD($A38+INDEX(_xlfn.TEXTSPLIT(D93,",",),0,1)+$A$18,$A$18)=0,$A$18,MOD($A38+INDEX(_xlfn.TEXTSPLIT(D93,",",),0,1)+$A$18,$A$18))/4,0),ROUNDUP(IF(MOD(D$18+INDEX(_xlfn.TEXTSPLIT(D93,",",),0,2)+$A$18,$A$18)=0,$A$18,MOD(D$18+INDEX(_xlfn.TEXTSPLIT(D93,",",),0,2)+$A$18,$A$18))/4,0)))+(INDEX($AD$2:$AK$9,ROUNDUP(IF(MOD($A38+INDEX(_xlfn.TEXTSPLIT(D136,",",),0,1)+$A$18,$A$18)=0,$A$18,MOD($A38+INDEX(_xlfn.TEXTSPLIT(D136,",",),0,1)+$A$18,$A$18))/5,0),ROUNDUP(IF(MOD(D$18+INDEX(_xlfn.TEXTSPLIT(D136,",",),0,2)+$A$18,$A$18)=0,$A$18,MOD(D$18+INDEX(_xlfn.TEXTSPLIT(D136,",",),0,2)+$A$18,$A$18))/5,0)))</f>
        <v>2</v>
      </c>
      <c r="E38" s="1" cm="1">
        <f t="array" aca="1" ref="E38" ca="1">(INDEX($K$2:$T$11,ROUNDUP(IF(MOD($A38+INDEX(_xlfn.TEXTSPLIT(E93,",",),0,1)+$A$18,$A$18)=0,$A$18,MOD($A38+INDEX(_xlfn.TEXTSPLIT(E93,",",),0,1)+$A$18,$A$18))/4,0),ROUNDUP(IF(MOD(E$18+INDEX(_xlfn.TEXTSPLIT(E93,",",),0,2)+$A$18,$A$18)=0,$A$18,MOD(E$18+INDEX(_xlfn.TEXTSPLIT(E93,",",),0,2)+$A$18,$A$18))/4,0)))+(INDEX($AD$2:$AK$9,ROUNDUP(IF(MOD($A38+INDEX(_xlfn.TEXTSPLIT(E136,",",),0,1)+$A$18,$A$18)=0,$A$18,MOD($A38+INDEX(_xlfn.TEXTSPLIT(E136,",",),0,1)+$A$18,$A$18))/5,0),ROUNDUP(IF(MOD(E$18+INDEX(_xlfn.TEXTSPLIT(E136,",",),0,2)+$A$18,$A$18)=0,$A$18,MOD(E$18+INDEX(_xlfn.TEXTSPLIT(E136,",",),0,2)+$A$18,$A$18))/5,0)))</f>
        <v>2</v>
      </c>
      <c r="F38" s="1" cm="1">
        <f t="array" aca="1" ref="F38" ca="1">(INDEX($K$2:$T$11,ROUNDUP(IF(MOD($A38+INDEX(_xlfn.TEXTSPLIT(F93,",",),0,1)+$A$18,$A$18)=0,$A$18,MOD($A38+INDEX(_xlfn.TEXTSPLIT(F93,",",),0,1)+$A$18,$A$18))/4,0),ROUNDUP(IF(MOD(F$18+INDEX(_xlfn.TEXTSPLIT(F93,",",),0,2)+$A$18,$A$18)=0,$A$18,MOD(F$18+INDEX(_xlfn.TEXTSPLIT(F93,",",),0,2)+$A$18,$A$18))/4,0)))+(INDEX($AD$2:$AK$9,ROUNDUP(IF(MOD($A38+INDEX(_xlfn.TEXTSPLIT(F136,",",),0,1)+$A$18,$A$18)=0,$A$18,MOD($A38+INDEX(_xlfn.TEXTSPLIT(F136,",",),0,1)+$A$18,$A$18))/5,0),ROUNDUP(IF(MOD(F$18+INDEX(_xlfn.TEXTSPLIT(F136,",",),0,2)+$A$18,$A$18)=0,$A$18,MOD(F$18+INDEX(_xlfn.TEXTSPLIT(F136,",",),0,2)+$A$18,$A$18))/5,0)))</f>
        <v>3</v>
      </c>
      <c r="G38" s="1" cm="1">
        <f t="array" aca="1" ref="G38" ca="1">(INDEX($K$2:$T$11,ROUNDUP(IF(MOD($A38+INDEX(_xlfn.TEXTSPLIT(G93,",",),0,1)+$A$18,$A$18)=0,$A$18,MOD($A38+INDEX(_xlfn.TEXTSPLIT(G93,",",),0,1)+$A$18,$A$18))/4,0),ROUNDUP(IF(MOD(G$18+INDEX(_xlfn.TEXTSPLIT(G93,",",),0,2)+$A$18,$A$18)=0,$A$18,MOD(G$18+INDEX(_xlfn.TEXTSPLIT(G93,",",),0,2)+$A$18,$A$18))/4,0)))+(INDEX($AD$2:$AK$9,ROUNDUP(IF(MOD($A38+INDEX(_xlfn.TEXTSPLIT(G136,",",),0,1)+$A$18,$A$18)=0,$A$18,MOD($A38+INDEX(_xlfn.TEXTSPLIT(G136,",",),0,1)+$A$18,$A$18))/5,0),ROUNDUP(IF(MOD(G$18+INDEX(_xlfn.TEXTSPLIT(G136,",",),0,2)+$A$18,$A$18)=0,$A$18,MOD(G$18+INDEX(_xlfn.TEXTSPLIT(G136,",",),0,2)+$A$18,$A$18))/5,0)))</f>
        <v>2</v>
      </c>
      <c r="H38" s="1" cm="1">
        <f t="array" aca="1" ref="H38" ca="1">(INDEX($K$2:$T$11,ROUNDUP(IF(MOD($A38+INDEX(_xlfn.TEXTSPLIT(H93,",",),0,1)+$A$18,$A$18)=0,$A$18,MOD($A38+INDEX(_xlfn.TEXTSPLIT(H93,",",),0,1)+$A$18,$A$18))/4,0),ROUNDUP(IF(MOD(H$18+INDEX(_xlfn.TEXTSPLIT(H93,",",),0,2)+$A$18,$A$18)=0,$A$18,MOD(H$18+INDEX(_xlfn.TEXTSPLIT(H93,",",),0,2)+$A$18,$A$18))/4,0)))+(INDEX($AD$2:$AK$9,ROUNDUP(IF(MOD($A38+INDEX(_xlfn.TEXTSPLIT(H136,",",),0,1)+$A$18,$A$18)=0,$A$18,MOD($A38+INDEX(_xlfn.TEXTSPLIT(H136,",",),0,1)+$A$18,$A$18))/5,0),ROUNDUP(IF(MOD(H$18+INDEX(_xlfn.TEXTSPLIT(H136,",",),0,2)+$A$18,$A$18)=0,$A$18,MOD(H$18+INDEX(_xlfn.TEXTSPLIT(H136,",",),0,2)+$A$18,$A$18))/5,0)))</f>
        <v>3</v>
      </c>
      <c r="I38" s="1" cm="1">
        <f t="array" aca="1" ref="I38" ca="1">(INDEX($K$2:$T$11,ROUNDUP(IF(MOD($A38+INDEX(_xlfn.TEXTSPLIT(I93,",",),0,1)+$A$18,$A$18)=0,$A$18,MOD($A38+INDEX(_xlfn.TEXTSPLIT(I93,",",),0,1)+$A$18,$A$18))/4,0),ROUNDUP(IF(MOD(I$18+INDEX(_xlfn.TEXTSPLIT(I93,",",),0,2)+$A$18,$A$18)=0,$A$18,MOD(I$18+INDEX(_xlfn.TEXTSPLIT(I93,",",),0,2)+$A$18,$A$18))/4,0)))+(INDEX($AD$2:$AK$9,ROUNDUP(IF(MOD($A38+INDEX(_xlfn.TEXTSPLIT(I136,",",),0,1)+$A$18,$A$18)=0,$A$18,MOD($A38+INDEX(_xlfn.TEXTSPLIT(I136,",",),0,1)+$A$18,$A$18))/5,0),ROUNDUP(IF(MOD(I$18+INDEX(_xlfn.TEXTSPLIT(I136,",",),0,2)+$A$18,$A$18)=0,$A$18,MOD(I$18+INDEX(_xlfn.TEXTSPLIT(I136,",",),0,2)+$A$18,$A$18))/5,0)))</f>
        <v>7</v>
      </c>
      <c r="J38" s="1" cm="1">
        <f t="array" aca="1" ref="J38" ca="1">(INDEX($K$2:$T$11,ROUNDUP(IF(MOD($A38+INDEX(_xlfn.TEXTSPLIT(J93,",",),0,1)+$A$18,$A$18)=0,$A$18,MOD($A38+INDEX(_xlfn.TEXTSPLIT(J93,",",),0,1)+$A$18,$A$18))/4,0),ROUNDUP(IF(MOD(J$18+INDEX(_xlfn.TEXTSPLIT(J93,",",),0,2)+$A$18,$A$18)=0,$A$18,MOD(J$18+INDEX(_xlfn.TEXTSPLIT(J93,",",),0,2)+$A$18,$A$18))/4,0)))+(INDEX($AD$2:$AK$9,ROUNDUP(IF(MOD($A38+INDEX(_xlfn.TEXTSPLIT(J136,",",),0,1)+$A$18,$A$18)=0,$A$18,MOD($A38+INDEX(_xlfn.TEXTSPLIT(J136,",",),0,1)+$A$18,$A$18))/5,0),ROUNDUP(IF(MOD(J$18+INDEX(_xlfn.TEXTSPLIT(J136,",",),0,2)+$A$18,$A$18)=0,$A$18,MOD(J$18+INDEX(_xlfn.TEXTSPLIT(J136,",",),0,2)+$A$18,$A$18))/5,0)))</f>
        <v>3</v>
      </c>
      <c r="K38" s="1" cm="1">
        <f t="array" aca="1" ref="K38" ca="1">(INDEX($K$2:$T$11,ROUNDUP(IF(MOD($A38+INDEX(_xlfn.TEXTSPLIT(K93,",",),0,1)+$A$18,$A$18)=0,$A$18,MOD($A38+INDEX(_xlfn.TEXTSPLIT(K93,",",),0,1)+$A$18,$A$18))/4,0),ROUNDUP(IF(MOD(K$18+INDEX(_xlfn.TEXTSPLIT(K93,",",),0,2)+$A$18,$A$18)=0,$A$18,MOD(K$18+INDEX(_xlfn.TEXTSPLIT(K93,",",),0,2)+$A$18,$A$18))/4,0)))+(INDEX($AD$2:$AK$9,ROUNDUP(IF(MOD($A38+INDEX(_xlfn.TEXTSPLIT(K136,",",),0,1)+$A$18,$A$18)=0,$A$18,MOD($A38+INDEX(_xlfn.TEXTSPLIT(K136,",",),0,1)+$A$18,$A$18))/5,0),ROUNDUP(IF(MOD(K$18+INDEX(_xlfn.TEXTSPLIT(K136,",",),0,2)+$A$18,$A$18)=0,$A$18,MOD(K$18+INDEX(_xlfn.TEXTSPLIT(K136,",",),0,2)+$A$18,$A$18))/5,0)))</f>
        <v>6</v>
      </c>
      <c r="L38" s="1" cm="1">
        <f t="array" aca="1" ref="L38" ca="1">(INDEX($K$2:$T$11,ROUNDUP(IF(MOD($A38+INDEX(_xlfn.TEXTSPLIT(L93,",",),0,1)+$A$18,$A$18)=0,$A$18,MOD($A38+INDEX(_xlfn.TEXTSPLIT(L93,",",),0,1)+$A$18,$A$18))/4,0),ROUNDUP(IF(MOD(L$18+INDEX(_xlfn.TEXTSPLIT(L93,",",),0,2)+$A$18,$A$18)=0,$A$18,MOD(L$18+INDEX(_xlfn.TEXTSPLIT(L93,",",),0,2)+$A$18,$A$18))/4,0)))+(INDEX($AD$2:$AK$9,ROUNDUP(IF(MOD($A38+INDEX(_xlfn.TEXTSPLIT(L136,",",),0,1)+$A$18,$A$18)=0,$A$18,MOD($A38+INDEX(_xlfn.TEXTSPLIT(L136,",",),0,1)+$A$18,$A$18))/5,0),ROUNDUP(IF(MOD(L$18+INDEX(_xlfn.TEXTSPLIT(L136,",",),0,2)+$A$18,$A$18)=0,$A$18,MOD(L$18+INDEX(_xlfn.TEXTSPLIT(L136,",",),0,2)+$A$18,$A$18))/5,0)))</f>
        <v>7</v>
      </c>
      <c r="M38" s="1" cm="1">
        <f t="array" aca="1" ref="M38" ca="1">(INDEX($K$2:$T$11,ROUNDUP(IF(MOD($A38+INDEX(_xlfn.TEXTSPLIT(M93,",",),0,1)+$A$18,$A$18)=0,$A$18,MOD($A38+INDEX(_xlfn.TEXTSPLIT(M93,",",),0,1)+$A$18,$A$18))/4,0),ROUNDUP(IF(MOD(M$18+INDEX(_xlfn.TEXTSPLIT(M93,",",),0,2)+$A$18,$A$18)=0,$A$18,MOD(M$18+INDEX(_xlfn.TEXTSPLIT(M93,",",),0,2)+$A$18,$A$18))/4,0)))+(INDEX($AD$2:$AK$9,ROUNDUP(IF(MOD($A38+INDEX(_xlfn.TEXTSPLIT(M136,",",),0,1)+$A$18,$A$18)=0,$A$18,MOD($A38+INDEX(_xlfn.TEXTSPLIT(M136,",",),0,1)+$A$18,$A$18))/5,0),ROUNDUP(IF(MOD(M$18+INDEX(_xlfn.TEXTSPLIT(M136,",",),0,2)+$A$18,$A$18)=0,$A$18,MOD(M$18+INDEX(_xlfn.TEXTSPLIT(M136,",",),0,2)+$A$18,$A$18))/5,0)))</f>
        <v>7</v>
      </c>
      <c r="N38" s="1" cm="1">
        <f t="array" aca="1" ref="N38" ca="1">(INDEX($K$2:$T$11,ROUNDUP(IF(MOD($A38+INDEX(_xlfn.TEXTSPLIT(N93,",",),0,1)+$A$18,$A$18)=0,$A$18,MOD($A38+INDEX(_xlfn.TEXTSPLIT(N93,",",),0,1)+$A$18,$A$18))/4,0),ROUNDUP(IF(MOD(N$18+INDEX(_xlfn.TEXTSPLIT(N93,",",),0,2)+$A$18,$A$18)=0,$A$18,MOD(N$18+INDEX(_xlfn.TEXTSPLIT(N93,",",),0,2)+$A$18,$A$18))/4,0)))+(INDEX($AD$2:$AK$9,ROUNDUP(IF(MOD($A38+INDEX(_xlfn.TEXTSPLIT(N136,",",),0,1)+$A$18,$A$18)=0,$A$18,MOD($A38+INDEX(_xlfn.TEXTSPLIT(N136,",",),0,1)+$A$18,$A$18))/5,0),ROUNDUP(IF(MOD(N$18+INDEX(_xlfn.TEXTSPLIT(N136,",",),0,2)+$A$18,$A$18)=0,$A$18,MOD(N$18+INDEX(_xlfn.TEXTSPLIT(N136,",",),0,2)+$A$18,$A$18))/5,0)))</f>
        <v>7</v>
      </c>
      <c r="O38" s="1" cm="1">
        <f t="array" aca="1" ref="O38" ca="1">(INDEX($K$2:$T$11,ROUNDUP(IF(MOD($A38+INDEX(_xlfn.TEXTSPLIT(O93,",",),0,1)+$A$18,$A$18)=0,$A$18,MOD($A38+INDEX(_xlfn.TEXTSPLIT(O93,",",),0,1)+$A$18,$A$18))/4,0),ROUNDUP(IF(MOD(O$18+INDEX(_xlfn.TEXTSPLIT(O93,",",),0,2)+$A$18,$A$18)=0,$A$18,MOD(O$18+INDEX(_xlfn.TEXTSPLIT(O93,",",),0,2)+$A$18,$A$18))/4,0)))+(INDEX($AD$2:$AK$9,ROUNDUP(IF(MOD($A38+INDEX(_xlfn.TEXTSPLIT(O136,",",),0,1)+$A$18,$A$18)=0,$A$18,MOD($A38+INDEX(_xlfn.TEXTSPLIT(O136,",",),0,1)+$A$18,$A$18))/5,0),ROUNDUP(IF(MOD(O$18+INDEX(_xlfn.TEXTSPLIT(O136,",",),0,2)+$A$18,$A$18)=0,$A$18,MOD(O$18+INDEX(_xlfn.TEXTSPLIT(O136,",",),0,2)+$A$18,$A$18))/5,0)))</f>
        <v>7</v>
      </c>
      <c r="P38" s="1" cm="1">
        <f t="array" aca="1" ref="P38" ca="1">(INDEX($K$2:$T$11,ROUNDUP(IF(MOD($A38+INDEX(_xlfn.TEXTSPLIT(P93,",",),0,1)+$A$18,$A$18)=0,$A$18,MOD($A38+INDEX(_xlfn.TEXTSPLIT(P93,",",),0,1)+$A$18,$A$18))/4,0),ROUNDUP(IF(MOD(P$18+INDEX(_xlfn.TEXTSPLIT(P93,",",),0,2)+$A$18,$A$18)=0,$A$18,MOD(P$18+INDEX(_xlfn.TEXTSPLIT(P93,",",),0,2)+$A$18,$A$18))/4,0)))+(INDEX($AD$2:$AK$9,ROUNDUP(IF(MOD($A38+INDEX(_xlfn.TEXTSPLIT(P136,",",),0,1)+$A$18,$A$18)=0,$A$18,MOD($A38+INDEX(_xlfn.TEXTSPLIT(P136,",",),0,1)+$A$18,$A$18))/5,0),ROUNDUP(IF(MOD(P$18+INDEX(_xlfn.TEXTSPLIT(P136,",",),0,2)+$A$18,$A$18)=0,$A$18,MOD(P$18+INDEX(_xlfn.TEXTSPLIT(P136,",",),0,2)+$A$18,$A$18))/5,0)))</f>
        <v>7</v>
      </c>
      <c r="Q38" s="1" cm="1">
        <f t="array" aca="1" ref="Q38" ca="1">(INDEX($K$2:$T$11,ROUNDUP(IF(MOD($A38+INDEX(_xlfn.TEXTSPLIT(Q93,",",),0,1)+$A$18,$A$18)=0,$A$18,MOD($A38+INDEX(_xlfn.TEXTSPLIT(Q93,",",),0,1)+$A$18,$A$18))/4,0),ROUNDUP(IF(MOD(Q$18+INDEX(_xlfn.TEXTSPLIT(Q93,",",),0,2)+$A$18,$A$18)=0,$A$18,MOD(Q$18+INDEX(_xlfn.TEXTSPLIT(Q93,",",),0,2)+$A$18,$A$18))/4,0)))+(INDEX($AD$2:$AK$9,ROUNDUP(IF(MOD($A38+INDEX(_xlfn.TEXTSPLIT(Q136,",",),0,1)+$A$18,$A$18)=0,$A$18,MOD($A38+INDEX(_xlfn.TEXTSPLIT(Q136,",",),0,1)+$A$18,$A$18))/5,0),ROUNDUP(IF(MOD(Q$18+INDEX(_xlfn.TEXTSPLIT(Q136,",",),0,2)+$A$18,$A$18)=0,$A$18,MOD(Q$18+INDEX(_xlfn.TEXTSPLIT(Q136,",",),0,2)+$A$18,$A$18))/5,0)))</f>
        <v>7</v>
      </c>
      <c r="R38" s="1" cm="1">
        <f t="array" aca="1" ref="R38" ca="1">(INDEX($K$2:$T$11,ROUNDUP(IF(MOD($A38+INDEX(_xlfn.TEXTSPLIT(R93,",",),0,1)+$A$18,$A$18)=0,$A$18,MOD($A38+INDEX(_xlfn.TEXTSPLIT(R93,",",),0,1)+$A$18,$A$18))/4,0),ROUNDUP(IF(MOD(R$18+INDEX(_xlfn.TEXTSPLIT(R93,",",),0,2)+$A$18,$A$18)=0,$A$18,MOD(R$18+INDEX(_xlfn.TEXTSPLIT(R93,",",),0,2)+$A$18,$A$18))/4,0)))+(INDEX($AD$2:$AK$9,ROUNDUP(IF(MOD($A38+INDEX(_xlfn.TEXTSPLIT(R136,",",),0,1)+$A$18,$A$18)=0,$A$18,MOD($A38+INDEX(_xlfn.TEXTSPLIT(R136,",",),0,1)+$A$18,$A$18))/5,0),ROUNDUP(IF(MOD(R$18+INDEX(_xlfn.TEXTSPLIT(R136,",",),0,2)+$A$18,$A$18)=0,$A$18,MOD(R$18+INDEX(_xlfn.TEXTSPLIT(R136,",",),0,2)+$A$18,$A$18))/5,0)))</f>
        <v>7</v>
      </c>
      <c r="S38" s="1" cm="1">
        <f t="array" aca="1" ref="S38" ca="1">(INDEX($K$2:$T$11,ROUNDUP(IF(MOD($A38+INDEX(_xlfn.TEXTSPLIT(S93,",",),0,1)+$A$18,$A$18)=0,$A$18,MOD($A38+INDEX(_xlfn.TEXTSPLIT(S93,",",),0,1)+$A$18,$A$18))/4,0),ROUNDUP(IF(MOD(S$18+INDEX(_xlfn.TEXTSPLIT(S93,",",),0,2)+$A$18,$A$18)=0,$A$18,MOD(S$18+INDEX(_xlfn.TEXTSPLIT(S93,",",),0,2)+$A$18,$A$18))/4,0)))+(INDEX($AD$2:$AK$9,ROUNDUP(IF(MOD($A38+INDEX(_xlfn.TEXTSPLIT(S136,",",),0,1)+$A$18,$A$18)=0,$A$18,MOD($A38+INDEX(_xlfn.TEXTSPLIT(S136,",",),0,1)+$A$18,$A$18))/5,0),ROUNDUP(IF(MOD(S$18+INDEX(_xlfn.TEXTSPLIT(S136,",",),0,2)+$A$18,$A$18)=0,$A$18,MOD(S$18+INDEX(_xlfn.TEXTSPLIT(S136,",",),0,2)+$A$18,$A$18))/5,0)))</f>
        <v>3</v>
      </c>
      <c r="T38" s="1" cm="1">
        <f t="array" aca="1" ref="T38" ca="1">(INDEX($K$2:$T$11,ROUNDUP(IF(MOD($A38+INDEX(_xlfn.TEXTSPLIT(T93,",",),0,1)+$A$18,$A$18)=0,$A$18,MOD($A38+INDEX(_xlfn.TEXTSPLIT(T93,",",),0,1)+$A$18,$A$18))/4,0),ROUNDUP(IF(MOD(T$18+INDEX(_xlfn.TEXTSPLIT(T93,",",),0,2)+$A$18,$A$18)=0,$A$18,MOD(T$18+INDEX(_xlfn.TEXTSPLIT(T93,",",),0,2)+$A$18,$A$18))/4,0)))+(INDEX($AD$2:$AK$9,ROUNDUP(IF(MOD($A38+INDEX(_xlfn.TEXTSPLIT(T136,",",),0,1)+$A$18,$A$18)=0,$A$18,MOD($A38+INDEX(_xlfn.TEXTSPLIT(T136,",",),0,1)+$A$18,$A$18))/5,0),ROUNDUP(IF(MOD(T$18+INDEX(_xlfn.TEXTSPLIT(T136,",",),0,2)+$A$18,$A$18)=0,$A$18,MOD(T$18+INDEX(_xlfn.TEXTSPLIT(T136,",",),0,2)+$A$18,$A$18))/5,0)))</f>
        <v>7</v>
      </c>
      <c r="U38" s="1" cm="1">
        <f t="array" aca="1" ref="U38" ca="1">(INDEX($K$2:$T$11,ROUNDUP(IF(MOD($A38+INDEX(_xlfn.TEXTSPLIT(U93,",",),0,1)+$A$18,$A$18)=0,$A$18,MOD($A38+INDEX(_xlfn.TEXTSPLIT(U93,",",),0,1)+$A$18,$A$18))/4,0),ROUNDUP(IF(MOD(U$18+INDEX(_xlfn.TEXTSPLIT(U93,",",),0,2)+$A$18,$A$18)=0,$A$18,MOD(U$18+INDEX(_xlfn.TEXTSPLIT(U93,",",),0,2)+$A$18,$A$18))/4,0)))+(INDEX($AD$2:$AK$9,ROUNDUP(IF(MOD($A38+INDEX(_xlfn.TEXTSPLIT(U136,",",),0,1)+$A$18,$A$18)=0,$A$18,MOD($A38+INDEX(_xlfn.TEXTSPLIT(U136,",",),0,1)+$A$18,$A$18))/5,0),ROUNDUP(IF(MOD(U$18+INDEX(_xlfn.TEXTSPLIT(U136,",",),0,2)+$A$18,$A$18)=0,$A$18,MOD(U$18+INDEX(_xlfn.TEXTSPLIT(U136,",",),0,2)+$A$18,$A$18))/5,0)))</f>
        <v>7</v>
      </c>
      <c r="V38" s="1" cm="1">
        <f t="array" aca="1" ref="V38" ca="1">(INDEX($K$2:$T$11,ROUNDUP(IF(MOD($A38+INDEX(_xlfn.TEXTSPLIT(V93,",",),0,1)+$A$18,$A$18)=0,$A$18,MOD($A38+INDEX(_xlfn.TEXTSPLIT(V93,",",),0,1)+$A$18,$A$18))/4,0),ROUNDUP(IF(MOD(V$18+INDEX(_xlfn.TEXTSPLIT(V93,",",),0,2)+$A$18,$A$18)=0,$A$18,MOD(V$18+INDEX(_xlfn.TEXTSPLIT(V93,",",),0,2)+$A$18,$A$18))/4,0)))+(INDEX($AD$2:$AK$9,ROUNDUP(IF(MOD($A38+INDEX(_xlfn.TEXTSPLIT(V136,",",),0,1)+$A$18,$A$18)=0,$A$18,MOD($A38+INDEX(_xlfn.TEXTSPLIT(V136,",",),0,1)+$A$18,$A$18))/5,0),ROUNDUP(IF(MOD(V$18+INDEX(_xlfn.TEXTSPLIT(V136,",",),0,2)+$A$18,$A$18)=0,$A$18,MOD(V$18+INDEX(_xlfn.TEXTSPLIT(V136,",",),0,2)+$A$18,$A$18))/5,0)))</f>
        <v>3</v>
      </c>
      <c r="W38" s="1" cm="1">
        <f t="array" aca="1" ref="W38" ca="1">(INDEX($K$2:$T$11,ROUNDUP(IF(MOD($A38+INDEX(_xlfn.TEXTSPLIT(W93,",",),0,1)+$A$18,$A$18)=0,$A$18,MOD($A38+INDEX(_xlfn.TEXTSPLIT(W93,",",),0,1)+$A$18,$A$18))/4,0),ROUNDUP(IF(MOD(W$18+INDEX(_xlfn.TEXTSPLIT(W93,",",),0,2)+$A$18,$A$18)=0,$A$18,MOD(W$18+INDEX(_xlfn.TEXTSPLIT(W93,",",),0,2)+$A$18,$A$18))/4,0)))+(INDEX($AD$2:$AK$9,ROUNDUP(IF(MOD($A38+INDEX(_xlfn.TEXTSPLIT(W136,",",),0,1)+$A$18,$A$18)=0,$A$18,MOD($A38+INDEX(_xlfn.TEXTSPLIT(W136,",",),0,1)+$A$18,$A$18))/5,0),ROUNDUP(IF(MOD(W$18+INDEX(_xlfn.TEXTSPLIT(W136,",",),0,2)+$A$18,$A$18)=0,$A$18,MOD(W$18+INDEX(_xlfn.TEXTSPLIT(W136,",",),0,2)+$A$18,$A$18))/5,0)))</f>
        <v>7</v>
      </c>
      <c r="X38" s="1" cm="1">
        <f t="array" aca="1" ref="X38" ca="1">(INDEX($K$2:$T$11,ROUNDUP(IF(MOD($A38+INDEX(_xlfn.TEXTSPLIT(X93,",",),0,1)+$A$18,$A$18)=0,$A$18,MOD($A38+INDEX(_xlfn.TEXTSPLIT(X93,",",),0,1)+$A$18,$A$18))/4,0),ROUNDUP(IF(MOD(X$18+INDEX(_xlfn.TEXTSPLIT(X93,",",),0,2)+$A$18,$A$18)=0,$A$18,MOD(X$18+INDEX(_xlfn.TEXTSPLIT(X93,",",),0,2)+$A$18,$A$18))/4,0)))+(INDEX($AD$2:$AK$9,ROUNDUP(IF(MOD($A38+INDEX(_xlfn.TEXTSPLIT(X136,",",),0,1)+$A$18,$A$18)=0,$A$18,MOD($A38+INDEX(_xlfn.TEXTSPLIT(X136,",",),0,1)+$A$18,$A$18))/5,0),ROUNDUP(IF(MOD(X$18+INDEX(_xlfn.TEXTSPLIT(X136,",",),0,2)+$A$18,$A$18)=0,$A$18,MOD(X$18+INDEX(_xlfn.TEXTSPLIT(X136,",",),0,2)+$A$18,$A$18))/5,0)))</f>
        <v>7</v>
      </c>
      <c r="Y38" s="1" cm="1">
        <f t="array" aca="1" ref="Y38" ca="1">(INDEX($K$2:$T$11,ROUNDUP(IF(MOD($A38+INDEX(_xlfn.TEXTSPLIT(Y93,",",),0,1)+$A$18,$A$18)=0,$A$18,MOD($A38+INDEX(_xlfn.TEXTSPLIT(Y93,",",),0,1)+$A$18,$A$18))/4,0),ROUNDUP(IF(MOD(Y$18+INDEX(_xlfn.TEXTSPLIT(Y93,",",),0,2)+$A$18,$A$18)=0,$A$18,MOD(Y$18+INDEX(_xlfn.TEXTSPLIT(Y93,",",),0,2)+$A$18,$A$18))/4,0)))+(INDEX($AD$2:$AK$9,ROUNDUP(IF(MOD($A38+INDEX(_xlfn.TEXTSPLIT(Y136,",",),0,1)+$A$18,$A$18)=0,$A$18,MOD($A38+INDEX(_xlfn.TEXTSPLIT(Y136,",",),0,1)+$A$18,$A$18))/5,0),ROUNDUP(IF(MOD(Y$18+INDEX(_xlfn.TEXTSPLIT(Y136,",",),0,2)+$A$18,$A$18)=0,$A$18,MOD(Y$18+INDEX(_xlfn.TEXTSPLIT(Y136,",",),0,2)+$A$18,$A$18))/5,0)))</f>
        <v>7</v>
      </c>
      <c r="Z38" s="1" cm="1">
        <f t="array" aca="1" ref="Z38" ca="1">(INDEX($K$2:$T$11,ROUNDUP(IF(MOD($A38+INDEX(_xlfn.TEXTSPLIT(Z93,",",),0,1)+$A$18,$A$18)=0,$A$18,MOD($A38+INDEX(_xlfn.TEXTSPLIT(Z93,",",),0,1)+$A$18,$A$18))/4,0),ROUNDUP(IF(MOD(Z$18+INDEX(_xlfn.TEXTSPLIT(Z93,",",),0,2)+$A$18,$A$18)=0,$A$18,MOD(Z$18+INDEX(_xlfn.TEXTSPLIT(Z93,",",),0,2)+$A$18,$A$18))/4,0)))+(INDEX($AD$2:$AK$9,ROUNDUP(IF(MOD($A38+INDEX(_xlfn.TEXTSPLIT(Z136,",",),0,1)+$A$18,$A$18)=0,$A$18,MOD($A38+INDEX(_xlfn.TEXTSPLIT(Z136,",",),0,1)+$A$18,$A$18))/5,0),ROUNDUP(IF(MOD(Z$18+INDEX(_xlfn.TEXTSPLIT(Z136,",",),0,2)+$A$18,$A$18)=0,$A$18,MOD(Z$18+INDEX(_xlfn.TEXTSPLIT(Z136,",",),0,2)+$A$18,$A$18))/5,0)))</f>
        <v>7</v>
      </c>
      <c r="AA38" s="1" cm="1">
        <f t="array" aca="1" ref="AA38" ca="1">(INDEX($K$2:$T$11,ROUNDUP(IF(MOD($A38+INDEX(_xlfn.TEXTSPLIT(AA93,",",),0,1)+$A$18,$A$18)=0,$A$18,MOD($A38+INDEX(_xlfn.TEXTSPLIT(AA93,",",),0,1)+$A$18,$A$18))/4,0),ROUNDUP(IF(MOD(AA$18+INDEX(_xlfn.TEXTSPLIT(AA93,",",),0,2)+$A$18,$A$18)=0,$A$18,MOD(AA$18+INDEX(_xlfn.TEXTSPLIT(AA93,",",),0,2)+$A$18,$A$18))/4,0)))+(INDEX($AD$2:$AK$9,ROUNDUP(IF(MOD($A38+INDEX(_xlfn.TEXTSPLIT(AA136,",",),0,1)+$A$18,$A$18)=0,$A$18,MOD($A38+INDEX(_xlfn.TEXTSPLIT(AA136,",",),0,1)+$A$18,$A$18))/5,0),ROUNDUP(IF(MOD(AA$18+INDEX(_xlfn.TEXTSPLIT(AA136,",",),0,2)+$A$18,$A$18)=0,$A$18,MOD(AA$18+INDEX(_xlfn.TEXTSPLIT(AA136,",",),0,2)+$A$18,$A$18))/5,0)))</f>
        <v>8</v>
      </c>
      <c r="AB38" s="1" cm="1">
        <f t="array" aca="1" ref="AB38" ca="1">(INDEX($K$2:$T$11,ROUNDUP(IF(MOD($A38+INDEX(_xlfn.TEXTSPLIT(AB93,",",),0,1)+$A$18,$A$18)=0,$A$18,MOD($A38+INDEX(_xlfn.TEXTSPLIT(AB93,",",),0,1)+$A$18,$A$18))/4,0),ROUNDUP(IF(MOD(AB$18+INDEX(_xlfn.TEXTSPLIT(AB93,",",),0,2)+$A$18,$A$18)=0,$A$18,MOD(AB$18+INDEX(_xlfn.TEXTSPLIT(AB93,",",),0,2)+$A$18,$A$18))/4,0)))+(INDEX($AD$2:$AK$9,ROUNDUP(IF(MOD($A38+INDEX(_xlfn.TEXTSPLIT(AB136,",",),0,1)+$A$18,$A$18)=0,$A$18,MOD($A38+INDEX(_xlfn.TEXTSPLIT(AB136,",",),0,1)+$A$18,$A$18))/5,0),ROUNDUP(IF(MOD(AB$18+INDEX(_xlfn.TEXTSPLIT(AB136,",",),0,2)+$A$18,$A$18)=0,$A$18,MOD(AB$18+INDEX(_xlfn.TEXTSPLIT(AB136,",",),0,2)+$A$18,$A$18))/5,0)))</f>
        <v>8</v>
      </c>
      <c r="AC38" s="1" cm="1">
        <f t="array" aca="1" ref="AC38" ca="1">(INDEX($K$2:$T$11,ROUNDUP(IF(MOD($A38+INDEX(_xlfn.TEXTSPLIT(AC93,",",),0,1)+$A$18,$A$18)=0,$A$18,MOD($A38+INDEX(_xlfn.TEXTSPLIT(AC93,",",),0,1)+$A$18,$A$18))/4,0),ROUNDUP(IF(MOD(AC$18+INDEX(_xlfn.TEXTSPLIT(AC93,",",),0,2)+$A$18,$A$18)=0,$A$18,MOD(AC$18+INDEX(_xlfn.TEXTSPLIT(AC93,",",),0,2)+$A$18,$A$18))/4,0)))+(INDEX($AD$2:$AK$9,ROUNDUP(IF(MOD($A38+INDEX(_xlfn.TEXTSPLIT(AC136,",",),0,1)+$A$18,$A$18)=0,$A$18,MOD($A38+INDEX(_xlfn.TEXTSPLIT(AC136,",",),0,1)+$A$18,$A$18))/5,0),ROUNDUP(IF(MOD(AC$18+INDEX(_xlfn.TEXTSPLIT(AC136,",",),0,2)+$A$18,$A$18)=0,$A$18,MOD(AC$18+INDEX(_xlfn.TEXTSPLIT(AC136,",",),0,2)+$A$18,$A$18))/5,0)))</f>
        <v>8</v>
      </c>
      <c r="AD38" s="1" cm="1">
        <f t="array" aca="1" ref="AD38" ca="1">(INDEX($K$2:$T$11,ROUNDUP(IF(MOD($A38+INDEX(_xlfn.TEXTSPLIT(AD93,",",),0,1)+$A$18,$A$18)=0,$A$18,MOD($A38+INDEX(_xlfn.TEXTSPLIT(AD93,",",),0,1)+$A$18,$A$18))/4,0),ROUNDUP(IF(MOD(AD$18+INDEX(_xlfn.TEXTSPLIT(AD93,",",),0,2)+$A$18,$A$18)=0,$A$18,MOD(AD$18+INDEX(_xlfn.TEXTSPLIT(AD93,",",),0,2)+$A$18,$A$18))/4,0)))+(INDEX($AD$2:$AK$9,ROUNDUP(IF(MOD($A38+INDEX(_xlfn.TEXTSPLIT(AD136,",",),0,1)+$A$18,$A$18)=0,$A$18,MOD($A38+INDEX(_xlfn.TEXTSPLIT(AD136,",",),0,1)+$A$18,$A$18))/5,0),ROUNDUP(IF(MOD(AD$18+INDEX(_xlfn.TEXTSPLIT(AD136,",",),0,2)+$A$18,$A$18)=0,$A$18,MOD(AD$18+INDEX(_xlfn.TEXTSPLIT(AD136,",",),0,2)+$A$18,$A$18))/5,0)))</f>
        <v>8</v>
      </c>
      <c r="AE38" s="1" cm="1">
        <f t="array" aca="1" ref="AE38" ca="1">(INDEX($K$2:$T$11,ROUNDUP(IF(MOD($A38+INDEX(_xlfn.TEXTSPLIT(AE93,",",),0,1)+$A$18,$A$18)=0,$A$18,MOD($A38+INDEX(_xlfn.TEXTSPLIT(AE93,",",),0,1)+$A$18,$A$18))/4,0),ROUNDUP(IF(MOD(AE$18+INDEX(_xlfn.TEXTSPLIT(AE93,",",),0,2)+$A$18,$A$18)=0,$A$18,MOD(AE$18+INDEX(_xlfn.TEXTSPLIT(AE93,",",),0,2)+$A$18,$A$18))/4,0)))+(INDEX($AD$2:$AK$9,ROUNDUP(IF(MOD($A38+INDEX(_xlfn.TEXTSPLIT(AE136,",",),0,1)+$A$18,$A$18)=0,$A$18,MOD($A38+INDEX(_xlfn.TEXTSPLIT(AE136,",",),0,1)+$A$18,$A$18))/5,0),ROUNDUP(IF(MOD(AE$18+INDEX(_xlfn.TEXTSPLIT(AE136,",",),0,2)+$A$18,$A$18)=0,$A$18,MOD(AE$18+INDEX(_xlfn.TEXTSPLIT(AE136,",",),0,2)+$A$18,$A$18))/5,0)))</f>
        <v>7</v>
      </c>
      <c r="AF38" s="1" cm="1">
        <f t="array" aca="1" ref="AF38" ca="1">(INDEX($K$2:$T$11,ROUNDUP(IF(MOD($A38+INDEX(_xlfn.TEXTSPLIT(AF93,",",),0,1)+$A$18,$A$18)=0,$A$18,MOD($A38+INDEX(_xlfn.TEXTSPLIT(AF93,",",),0,1)+$A$18,$A$18))/4,0),ROUNDUP(IF(MOD(AF$18+INDEX(_xlfn.TEXTSPLIT(AF93,",",),0,2)+$A$18,$A$18)=0,$A$18,MOD(AF$18+INDEX(_xlfn.TEXTSPLIT(AF93,",",),0,2)+$A$18,$A$18))/4,0)))+(INDEX($AD$2:$AK$9,ROUNDUP(IF(MOD($A38+INDEX(_xlfn.TEXTSPLIT(AF136,",",),0,1)+$A$18,$A$18)=0,$A$18,MOD($A38+INDEX(_xlfn.TEXTSPLIT(AF136,",",),0,1)+$A$18,$A$18))/5,0),ROUNDUP(IF(MOD(AF$18+INDEX(_xlfn.TEXTSPLIT(AF136,",",),0,2)+$A$18,$A$18)=0,$A$18,MOD(AF$18+INDEX(_xlfn.TEXTSPLIT(AF136,",",),0,2)+$A$18,$A$18))/5,0)))</f>
        <v>8</v>
      </c>
      <c r="AG38" s="1" cm="1">
        <f t="array" aca="1" ref="AG38" ca="1">(INDEX($K$2:$T$11,ROUNDUP(IF(MOD($A38+INDEX(_xlfn.TEXTSPLIT(AG93,",",),0,1)+$A$18,$A$18)=0,$A$18,MOD($A38+INDEX(_xlfn.TEXTSPLIT(AG93,",",),0,1)+$A$18,$A$18))/4,0),ROUNDUP(IF(MOD(AG$18+INDEX(_xlfn.TEXTSPLIT(AG93,",",),0,2)+$A$18,$A$18)=0,$A$18,MOD(AG$18+INDEX(_xlfn.TEXTSPLIT(AG93,",",),0,2)+$A$18,$A$18))/4,0)))+(INDEX($AD$2:$AK$9,ROUNDUP(IF(MOD($A38+INDEX(_xlfn.TEXTSPLIT(AG136,",",),0,1)+$A$18,$A$18)=0,$A$18,MOD($A38+INDEX(_xlfn.TEXTSPLIT(AG136,",",),0,1)+$A$18,$A$18))/5,0),ROUNDUP(IF(MOD(AG$18+INDEX(_xlfn.TEXTSPLIT(AG136,",",),0,2)+$A$18,$A$18)=0,$A$18,MOD(AG$18+INDEX(_xlfn.TEXTSPLIT(AG136,",",),0,2)+$A$18,$A$18))/5,0)))</f>
        <v>7</v>
      </c>
      <c r="AH38" s="1" cm="1">
        <f t="array" aca="1" ref="AH38" ca="1">(INDEX($K$2:$T$11,ROUNDUP(IF(MOD($A38+INDEX(_xlfn.TEXTSPLIT(AH93,",",),0,1)+$A$18,$A$18)=0,$A$18,MOD($A38+INDEX(_xlfn.TEXTSPLIT(AH93,",",),0,1)+$A$18,$A$18))/4,0),ROUNDUP(IF(MOD(AH$18+INDEX(_xlfn.TEXTSPLIT(AH93,",",),0,2)+$A$18,$A$18)=0,$A$18,MOD(AH$18+INDEX(_xlfn.TEXTSPLIT(AH93,",",),0,2)+$A$18,$A$18))/4,0)))+(INDEX($AD$2:$AK$9,ROUNDUP(IF(MOD($A38+INDEX(_xlfn.TEXTSPLIT(AH136,",",),0,1)+$A$18,$A$18)=0,$A$18,MOD($A38+INDEX(_xlfn.TEXTSPLIT(AH136,",",),0,1)+$A$18,$A$18))/5,0),ROUNDUP(IF(MOD(AH$18+INDEX(_xlfn.TEXTSPLIT(AH136,",",),0,2)+$A$18,$A$18)=0,$A$18,MOD(AH$18+INDEX(_xlfn.TEXTSPLIT(AH136,",",),0,2)+$A$18,$A$18))/5,0)))</f>
        <v>7</v>
      </c>
      <c r="AI38" s="1" cm="1">
        <f t="array" aca="1" ref="AI38" ca="1">(INDEX($K$2:$T$11,ROUNDUP(IF(MOD($A38+INDEX(_xlfn.TEXTSPLIT(AI93,",",),0,1)+$A$18,$A$18)=0,$A$18,MOD($A38+INDEX(_xlfn.TEXTSPLIT(AI93,",",),0,1)+$A$18,$A$18))/4,0),ROUNDUP(IF(MOD(AI$18+INDEX(_xlfn.TEXTSPLIT(AI93,",",),0,2)+$A$18,$A$18)=0,$A$18,MOD(AI$18+INDEX(_xlfn.TEXTSPLIT(AI93,",",),0,2)+$A$18,$A$18))/4,0)))+(INDEX($AD$2:$AK$9,ROUNDUP(IF(MOD($A38+INDEX(_xlfn.TEXTSPLIT(AI136,",",),0,1)+$A$18,$A$18)=0,$A$18,MOD($A38+INDEX(_xlfn.TEXTSPLIT(AI136,",",),0,1)+$A$18,$A$18))/5,0),ROUNDUP(IF(MOD(AI$18+INDEX(_xlfn.TEXTSPLIT(AI136,",",),0,2)+$A$18,$A$18)=0,$A$18,MOD(AI$18+INDEX(_xlfn.TEXTSPLIT(AI136,",",),0,2)+$A$18,$A$18))/5,0)))</f>
        <v>7</v>
      </c>
      <c r="AJ38" s="1" cm="1">
        <f t="array" aca="1" ref="AJ38" ca="1">(INDEX($K$2:$T$11,ROUNDUP(IF(MOD($A38+INDEX(_xlfn.TEXTSPLIT(AJ93,",",),0,1)+$A$18,$A$18)=0,$A$18,MOD($A38+INDEX(_xlfn.TEXTSPLIT(AJ93,",",),0,1)+$A$18,$A$18))/4,0),ROUNDUP(IF(MOD(AJ$18+INDEX(_xlfn.TEXTSPLIT(AJ93,",",),0,2)+$A$18,$A$18)=0,$A$18,MOD(AJ$18+INDEX(_xlfn.TEXTSPLIT(AJ93,",",),0,2)+$A$18,$A$18))/4,0)))+(INDEX($AD$2:$AK$9,ROUNDUP(IF(MOD($A38+INDEX(_xlfn.TEXTSPLIT(AJ136,",",),0,1)+$A$18,$A$18)=0,$A$18,MOD($A38+INDEX(_xlfn.TEXTSPLIT(AJ136,",",),0,1)+$A$18,$A$18))/5,0),ROUNDUP(IF(MOD(AJ$18+INDEX(_xlfn.TEXTSPLIT(AJ136,",",),0,2)+$A$18,$A$18)=0,$A$18,MOD(AJ$18+INDEX(_xlfn.TEXTSPLIT(AJ136,",",),0,2)+$A$18,$A$18))/5,0)))</f>
        <v>7</v>
      </c>
      <c r="AK38" s="1" cm="1">
        <f t="array" aca="1" ref="AK38" ca="1">(INDEX($K$2:$T$11,ROUNDUP(IF(MOD($A38+INDEX(_xlfn.TEXTSPLIT(AK93,",",),0,1)+$A$18,$A$18)=0,$A$18,MOD($A38+INDEX(_xlfn.TEXTSPLIT(AK93,",",),0,1)+$A$18,$A$18))/4,0),ROUNDUP(IF(MOD(AK$18+INDEX(_xlfn.TEXTSPLIT(AK93,",",),0,2)+$A$18,$A$18)=0,$A$18,MOD(AK$18+INDEX(_xlfn.TEXTSPLIT(AK93,",",),0,2)+$A$18,$A$18))/4,0)))+(INDEX($AD$2:$AK$9,ROUNDUP(IF(MOD($A38+INDEX(_xlfn.TEXTSPLIT(AK136,",",),0,1)+$A$18,$A$18)=0,$A$18,MOD($A38+INDEX(_xlfn.TEXTSPLIT(AK136,",",),0,1)+$A$18,$A$18))/5,0),ROUNDUP(IF(MOD(AK$18+INDEX(_xlfn.TEXTSPLIT(AK136,",",),0,2)+$A$18,$A$18)=0,$A$18,MOD(AK$18+INDEX(_xlfn.TEXTSPLIT(AK136,",",),0,2)+$A$18,$A$18))/5,0)))</f>
        <v>5</v>
      </c>
      <c r="AL38" s="1" cm="1">
        <f t="array" aca="1" ref="AL38" ca="1">(INDEX($K$2:$T$11,ROUNDUP(IF(MOD($A38+INDEX(_xlfn.TEXTSPLIT(AL93,",",),0,1)+$A$18,$A$18)=0,$A$18,MOD($A38+INDEX(_xlfn.TEXTSPLIT(AL93,",",),0,1)+$A$18,$A$18))/4,0),ROUNDUP(IF(MOD(AL$18+INDEX(_xlfn.TEXTSPLIT(AL93,",",),0,2)+$A$18,$A$18)=0,$A$18,MOD(AL$18+INDEX(_xlfn.TEXTSPLIT(AL93,",",),0,2)+$A$18,$A$18))/4,0)))+(INDEX($AD$2:$AK$9,ROUNDUP(IF(MOD($A38+INDEX(_xlfn.TEXTSPLIT(AL136,",",),0,1)+$A$18,$A$18)=0,$A$18,MOD($A38+INDEX(_xlfn.TEXTSPLIT(AL136,",",),0,1)+$A$18,$A$18))/5,0),ROUNDUP(IF(MOD(AL$18+INDEX(_xlfn.TEXTSPLIT(AL136,",",),0,2)+$A$18,$A$18)=0,$A$18,MOD(AL$18+INDEX(_xlfn.TEXTSPLIT(AL136,",",),0,2)+$A$18,$A$18))/5,0)))</f>
        <v>5</v>
      </c>
      <c r="AM38" s="1" cm="1">
        <f t="array" aca="1" ref="AM38" ca="1">(INDEX($K$2:$T$11,ROUNDUP(IF(MOD($A38+INDEX(_xlfn.TEXTSPLIT(AM93,",",),0,1)+$A$18,$A$18)=0,$A$18,MOD($A38+INDEX(_xlfn.TEXTSPLIT(AM93,",",),0,1)+$A$18,$A$18))/4,0),ROUNDUP(IF(MOD(AM$18+INDEX(_xlfn.TEXTSPLIT(AM93,",",),0,2)+$A$18,$A$18)=0,$A$18,MOD(AM$18+INDEX(_xlfn.TEXTSPLIT(AM93,",",),0,2)+$A$18,$A$18))/4,0)))+(INDEX($AD$2:$AK$9,ROUNDUP(IF(MOD($A38+INDEX(_xlfn.TEXTSPLIT(AM136,",",),0,1)+$A$18,$A$18)=0,$A$18,MOD($A38+INDEX(_xlfn.TEXTSPLIT(AM136,",",),0,1)+$A$18,$A$18))/5,0),ROUNDUP(IF(MOD(AM$18+INDEX(_xlfn.TEXTSPLIT(AM136,",",),0,2)+$A$18,$A$18)=0,$A$18,MOD(AM$18+INDEX(_xlfn.TEXTSPLIT(AM136,",",),0,2)+$A$18,$A$18))/5,0)))</f>
        <v>8</v>
      </c>
      <c r="AN38" s="1" cm="1">
        <f t="array" aca="1" ref="AN38" ca="1">(INDEX($K$2:$T$11,ROUNDUP(IF(MOD($A38+INDEX(_xlfn.TEXTSPLIT(AN93,",",),0,1)+$A$18,$A$18)=0,$A$18,MOD($A38+INDEX(_xlfn.TEXTSPLIT(AN93,",",),0,1)+$A$18,$A$18))/4,0),ROUNDUP(IF(MOD(AN$18+INDEX(_xlfn.TEXTSPLIT(AN93,",",),0,2)+$A$18,$A$18)=0,$A$18,MOD(AN$18+INDEX(_xlfn.TEXTSPLIT(AN93,",",),0,2)+$A$18,$A$18))/4,0)))+(INDEX($AD$2:$AK$9,ROUNDUP(IF(MOD($A38+INDEX(_xlfn.TEXTSPLIT(AN136,",",),0,1)+$A$18,$A$18)=0,$A$18,MOD($A38+INDEX(_xlfn.TEXTSPLIT(AN136,",",),0,1)+$A$18,$A$18))/5,0),ROUNDUP(IF(MOD(AN$18+INDEX(_xlfn.TEXTSPLIT(AN136,",",),0,2)+$A$18,$A$18)=0,$A$18,MOD(AN$18+INDEX(_xlfn.TEXTSPLIT(AN136,",",),0,2)+$A$18,$A$18))/5,0)))</f>
        <v>5</v>
      </c>
      <c r="AO38" s="1" cm="1">
        <f t="array" aca="1" ref="AO38" ca="1">(INDEX($K$2:$T$11,ROUNDUP(IF(MOD($A38+INDEX(_xlfn.TEXTSPLIT(AO93,",",),0,1)+$A$18,$A$18)=0,$A$18,MOD($A38+INDEX(_xlfn.TEXTSPLIT(AO93,",",),0,1)+$A$18,$A$18))/4,0),ROUNDUP(IF(MOD(AO$18+INDEX(_xlfn.TEXTSPLIT(AO93,",",),0,2)+$A$18,$A$18)=0,$A$18,MOD(AO$18+INDEX(_xlfn.TEXTSPLIT(AO93,",",),0,2)+$A$18,$A$18))/4,0)))+(INDEX($AD$2:$AK$9,ROUNDUP(IF(MOD($A38+INDEX(_xlfn.TEXTSPLIT(AO136,",",),0,1)+$A$18,$A$18)=0,$A$18,MOD($A38+INDEX(_xlfn.TEXTSPLIT(AO136,",",),0,1)+$A$18,$A$18))/5,0),ROUNDUP(IF(MOD(AO$18+INDEX(_xlfn.TEXTSPLIT(AO136,",",),0,2)+$A$18,$A$18)=0,$A$18,MOD(AO$18+INDEX(_xlfn.TEXTSPLIT(AO136,",",),0,2)+$A$18,$A$18))/5,0)))</f>
        <v>8</v>
      </c>
    </row>
    <row r="39" spans="1:41" ht="12.75">
      <c r="A39" s="1">
        <v>21</v>
      </c>
      <c r="B39" s="1" cm="1">
        <f t="array" aca="1" ref="B39" ca="1">(INDEX($K$2:$T$11,ROUNDUP(IF(MOD($A39+INDEX(_xlfn.TEXTSPLIT(B94,",",),0,1)+$A$18,$A$18)=0,$A$18,MOD($A39+INDEX(_xlfn.TEXTSPLIT(B94,",",),0,1)+$A$18,$A$18))/4,0),ROUNDUP(IF(MOD(B$18+INDEX(_xlfn.TEXTSPLIT(B94,",",),0,2)+$A$18,$A$18)=0,$A$18,MOD(B$18+INDEX(_xlfn.TEXTSPLIT(B94,",",),0,2)+$A$18,$A$18))/4,0)))+(INDEX($AD$2:$AK$9,ROUNDUP(IF(MOD($A39+INDEX(_xlfn.TEXTSPLIT(B137,",",),0,1)+$A$18,$A$18)=0,$A$18,MOD($A39+INDEX(_xlfn.TEXTSPLIT(B137,",",),0,1)+$A$18,$A$18))/5,0),ROUNDUP(IF(MOD(B$18+INDEX(_xlfn.TEXTSPLIT(B137,",",),0,2)+$A$18,$A$18)=0,$A$18,MOD(B$18+INDEX(_xlfn.TEXTSPLIT(B137,",",),0,2)+$A$18,$A$18))/5,0)))</f>
        <v>1</v>
      </c>
      <c r="C39" s="1" cm="1">
        <f t="array" aca="1" ref="C39" ca="1">(INDEX($K$2:$T$11,ROUNDUP(IF(MOD($A39+INDEX(_xlfn.TEXTSPLIT(C94,",",),0,1)+$A$18,$A$18)=0,$A$18,MOD($A39+INDEX(_xlfn.TEXTSPLIT(C94,",",),0,1)+$A$18,$A$18))/4,0),ROUNDUP(IF(MOD(C$18+INDEX(_xlfn.TEXTSPLIT(C94,",",),0,2)+$A$18,$A$18)=0,$A$18,MOD(C$18+INDEX(_xlfn.TEXTSPLIT(C94,",",),0,2)+$A$18,$A$18))/4,0)))+(INDEX($AD$2:$AK$9,ROUNDUP(IF(MOD($A39+INDEX(_xlfn.TEXTSPLIT(C137,",",),0,1)+$A$18,$A$18)=0,$A$18,MOD($A39+INDEX(_xlfn.TEXTSPLIT(C137,",",),0,1)+$A$18,$A$18))/5,0),ROUNDUP(IF(MOD(C$18+INDEX(_xlfn.TEXTSPLIT(C137,",",),0,2)+$A$18,$A$18)=0,$A$18,MOD(C$18+INDEX(_xlfn.TEXTSPLIT(C137,",",),0,2)+$A$18,$A$18))/5,0)))</f>
        <v>1</v>
      </c>
      <c r="D39" s="1" cm="1">
        <f t="array" aca="1" ref="D39" ca="1">(INDEX($K$2:$T$11,ROUNDUP(IF(MOD($A39+INDEX(_xlfn.TEXTSPLIT(D94,",",),0,1)+$A$18,$A$18)=0,$A$18,MOD($A39+INDEX(_xlfn.TEXTSPLIT(D94,",",),0,1)+$A$18,$A$18))/4,0),ROUNDUP(IF(MOD(D$18+INDEX(_xlfn.TEXTSPLIT(D94,",",),0,2)+$A$18,$A$18)=0,$A$18,MOD(D$18+INDEX(_xlfn.TEXTSPLIT(D94,",",),0,2)+$A$18,$A$18))/4,0)))+(INDEX($AD$2:$AK$9,ROUNDUP(IF(MOD($A39+INDEX(_xlfn.TEXTSPLIT(D137,",",),0,1)+$A$18,$A$18)=0,$A$18,MOD($A39+INDEX(_xlfn.TEXTSPLIT(D137,",",),0,1)+$A$18,$A$18))/5,0),ROUNDUP(IF(MOD(D$18+INDEX(_xlfn.TEXTSPLIT(D137,",",),0,2)+$A$18,$A$18)=0,$A$18,MOD(D$18+INDEX(_xlfn.TEXTSPLIT(D137,",",),0,2)+$A$18,$A$18))/5,0)))</f>
        <v>1</v>
      </c>
      <c r="E39" s="1" cm="1">
        <f t="array" aca="1" ref="E39" ca="1">(INDEX($K$2:$T$11,ROUNDUP(IF(MOD($A39+INDEX(_xlfn.TEXTSPLIT(E94,",",),0,1)+$A$18,$A$18)=0,$A$18,MOD($A39+INDEX(_xlfn.TEXTSPLIT(E94,",",),0,1)+$A$18,$A$18))/4,0),ROUNDUP(IF(MOD(E$18+INDEX(_xlfn.TEXTSPLIT(E94,",",),0,2)+$A$18,$A$18)=0,$A$18,MOD(E$18+INDEX(_xlfn.TEXTSPLIT(E94,",",),0,2)+$A$18,$A$18))/4,0)))+(INDEX($AD$2:$AK$9,ROUNDUP(IF(MOD($A39+INDEX(_xlfn.TEXTSPLIT(E137,",",),0,1)+$A$18,$A$18)=0,$A$18,MOD($A39+INDEX(_xlfn.TEXTSPLIT(E137,",",),0,1)+$A$18,$A$18))/5,0),ROUNDUP(IF(MOD(E$18+INDEX(_xlfn.TEXTSPLIT(E137,",",),0,2)+$A$18,$A$18)=0,$A$18,MOD(E$18+INDEX(_xlfn.TEXTSPLIT(E137,",",),0,2)+$A$18,$A$18))/5,0)))</f>
        <v>1</v>
      </c>
      <c r="F39" s="1" cm="1">
        <f t="array" aca="1" ref="F39" ca="1">(INDEX($K$2:$T$11,ROUNDUP(IF(MOD($A39+INDEX(_xlfn.TEXTSPLIT(F94,",",),0,1)+$A$18,$A$18)=0,$A$18,MOD($A39+INDEX(_xlfn.TEXTSPLIT(F94,",",),0,1)+$A$18,$A$18))/4,0),ROUNDUP(IF(MOD(F$18+INDEX(_xlfn.TEXTSPLIT(F94,",",),0,2)+$A$18,$A$18)=0,$A$18,MOD(F$18+INDEX(_xlfn.TEXTSPLIT(F94,",",),0,2)+$A$18,$A$18))/4,0)))+(INDEX($AD$2:$AK$9,ROUNDUP(IF(MOD($A39+INDEX(_xlfn.TEXTSPLIT(F137,",",),0,1)+$A$18,$A$18)=0,$A$18,MOD($A39+INDEX(_xlfn.TEXTSPLIT(F137,",",),0,1)+$A$18,$A$18))/5,0),ROUNDUP(IF(MOD(F$18+INDEX(_xlfn.TEXTSPLIT(F137,",",),0,2)+$A$18,$A$18)=0,$A$18,MOD(F$18+INDEX(_xlfn.TEXTSPLIT(F137,",",),0,2)+$A$18,$A$18))/5,0)))</f>
        <v>3</v>
      </c>
      <c r="G39" s="1" cm="1">
        <f t="array" aca="1" ref="G39" ca="1">(INDEX($K$2:$T$11,ROUNDUP(IF(MOD($A39+INDEX(_xlfn.TEXTSPLIT(G94,",",),0,1)+$A$18,$A$18)=0,$A$18,MOD($A39+INDEX(_xlfn.TEXTSPLIT(G94,",",),0,1)+$A$18,$A$18))/4,0),ROUNDUP(IF(MOD(G$18+INDEX(_xlfn.TEXTSPLIT(G94,",",),0,2)+$A$18,$A$18)=0,$A$18,MOD(G$18+INDEX(_xlfn.TEXTSPLIT(G94,",",),0,2)+$A$18,$A$18))/4,0)))+(INDEX($AD$2:$AK$9,ROUNDUP(IF(MOD($A39+INDEX(_xlfn.TEXTSPLIT(G137,",",),0,1)+$A$18,$A$18)=0,$A$18,MOD($A39+INDEX(_xlfn.TEXTSPLIT(G137,",",),0,1)+$A$18,$A$18))/5,0),ROUNDUP(IF(MOD(G$18+INDEX(_xlfn.TEXTSPLIT(G137,",",),0,2)+$A$18,$A$18)=0,$A$18,MOD(G$18+INDEX(_xlfn.TEXTSPLIT(G137,",",),0,2)+$A$18,$A$18))/5,0)))</f>
        <v>2</v>
      </c>
      <c r="H39" s="1" cm="1">
        <f t="array" aca="1" ref="H39" ca="1">(INDEX($K$2:$T$11,ROUNDUP(IF(MOD($A39+INDEX(_xlfn.TEXTSPLIT(H94,",",),0,1)+$A$18,$A$18)=0,$A$18,MOD($A39+INDEX(_xlfn.TEXTSPLIT(H94,",",),0,1)+$A$18,$A$18))/4,0),ROUNDUP(IF(MOD(H$18+INDEX(_xlfn.TEXTSPLIT(H94,",",),0,2)+$A$18,$A$18)=0,$A$18,MOD(H$18+INDEX(_xlfn.TEXTSPLIT(H94,",",),0,2)+$A$18,$A$18))/4,0)))+(INDEX($AD$2:$AK$9,ROUNDUP(IF(MOD($A39+INDEX(_xlfn.TEXTSPLIT(H137,",",),0,1)+$A$18,$A$18)=0,$A$18,MOD($A39+INDEX(_xlfn.TEXTSPLIT(H137,",",),0,1)+$A$18,$A$18))/5,0),ROUNDUP(IF(MOD(H$18+INDEX(_xlfn.TEXTSPLIT(H137,",",),0,2)+$A$18,$A$18)=0,$A$18,MOD(H$18+INDEX(_xlfn.TEXTSPLIT(H137,",",),0,2)+$A$18,$A$18))/5,0)))</f>
        <v>3</v>
      </c>
      <c r="I39" s="1" cm="1">
        <f t="array" aca="1" ref="I39" ca="1">(INDEX($K$2:$T$11,ROUNDUP(IF(MOD($A39+INDEX(_xlfn.TEXTSPLIT(I94,",",),0,1)+$A$18,$A$18)=0,$A$18,MOD($A39+INDEX(_xlfn.TEXTSPLIT(I94,",",),0,1)+$A$18,$A$18))/4,0),ROUNDUP(IF(MOD(I$18+INDEX(_xlfn.TEXTSPLIT(I94,",",),0,2)+$A$18,$A$18)=0,$A$18,MOD(I$18+INDEX(_xlfn.TEXTSPLIT(I94,",",),0,2)+$A$18,$A$18))/4,0)))+(INDEX($AD$2:$AK$9,ROUNDUP(IF(MOD($A39+INDEX(_xlfn.TEXTSPLIT(I137,",",),0,1)+$A$18,$A$18)=0,$A$18,MOD($A39+INDEX(_xlfn.TEXTSPLIT(I137,",",),0,1)+$A$18,$A$18))/5,0),ROUNDUP(IF(MOD(I$18+INDEX(_xlfn.TEXTSPLIT(I137,",",),0,2)+$A$18,$A$18)=0,$A$18,MOD(I$18+INDEX(_xlfn.TEXTSPLIT(I137,",",),0,2)+$A$18,$A$18))/5,0)))</f>
        <v>3</v>
      </c>
      <c r="J39" s="1" cm="1">
        <f t="array" aca="1" ref="J39" ca="1">(INDEX($K$2:$T$11,ROUNDUP(IF(MOD($A39+INDEX(_xlfn.TEXTSPLIT(J94,",",),0,1)+$A$18,$A$18)=0,$A$18,MOD($A39+INDEX(_xlfn.TEXTSPLIT(J94,",",),0,1)+$A$18,$A$18))/4,0),ROUNDUP(IF(MOD(J$18+INDEX(_xlfn.TEXTSPLIT(J94,",",),0,2)+$A$18,$A$18)=0,$A$18,MOD(J$18+INDEX(_xlfn.TEXTSPLIT(J94,",",),0,2)+$A$18,$A$18))/4,0)))+(INDEX($AD$2:$AK$9,ROUNDUP(IF(MOD($A39+INDEX(_xlfn.TEXTSPLIT(J137,",",),0,1)+$A$18,$A$18)=0,$A$18,MOD($A39+INDEX(_xlfn.TEXTSPLIT(J137,",",),0,1)+$A$18,$A$18))/5,0),ROUNDUP(IF(MOD(J$18+INDEX(_xlfn.TEXTSPLIT(J137,",",),0,2)+$A$18,$A$18)=0,$A$18,MOD(J$18+INDEX(_xlfn.TEXTSPLIT(J137,",",),0,2)+$A$18,$A$18))/5,0)))</f>
        <v>3</v>
      </c>
      <c r="K39" s="1" cm="1">
        <f t="array" aca="1" ref="K39" ca="1">(INDEX($K$2:$T$11,ROUNDUP(IF(MOD($A39+INDEX(_xlfn.TEXTSPLIT(K94,",",),0,1)+$A$18,$A$18)=0,$A$18,MOD($A39+INDEX(_xlfn.TEXTSPLIT(K94,",",),0,1)+$A$18,$A$18))/4,0),ROUNDUP(IF(MOD(K$18+INDEX(_xlfn.TEXTSPLIT(K94,",",),0,2)+$A$18,$A$18)=0,$A$18,MOD(K$18+INDEX(_xlfn.TEXTSPLIT(K94,",",),0,2)+$A$18,$A$18))/4,0)))+(INDEX($AD$2:$AK$9,ROUNDUP(IF(MOD($A39+INDEX(_xlfn.TEXTSPLIT(K137,",",),0,1)+$A$18,$A$18)=0,$A$18,MOD($A39+INDEX(_xlfn.TEXTSPLIT(K137,",",),0,1)+$A$18,$A$18))/5,0),ROUNDUP(IF(MOD(K$18+INDEX(_xlfn.TEXTSPLIT(K137,",",),0,2)+$A$18,$A$18)=0,$A$18,MOD(K$18+INDEX(_xlfn.TEXTSPLIT(K137,",",),0,2)+$A$18,$A$18))/5,0)))</f>
        <v>7</v>
      </c>
      <c r="L39" s="1" cm="1">
        <f t="array" aca="1" ref="L39" ca="1">(INDEX($K$2:$T$11,ROUNDUP(IF(MOD($A39+INDEX(_xlfn.TEXTSPLIT(L94,",",),0,1)+$A$18,$A$18)=0,$A$18,MOD($A39+INDEX(_xlfn.TEXTSPLIT(L94,",",),0,1)+$A$18,$A$18))/4,0),ROUNDUP(IF(MOD(L$18+INDEX(_xlfn.TEXTSPLIT(L94,",",),0,2)+$A$18,$A$18)=0,$A$18,MOD(L$18+INDEX(_xlfn.TEXTSPLIT(L94,",",),0,2)+$A$18,$A$18))/4,0)))+(INDEX($AD$2:$AK$9,ROUNDUP(IF(MOD($A39+INDEX(_xlfn.TEXTSPLIT(L137,",",),0,1)+$A$18,$A$18)=0,$A$18,MOD($A39+INDEX(_xlfn.TEXTSPLIT(L137,",",),0,1)+$A$18,$A$18))/5,0),ROUNDUP(IF(MOD(L$18+INDEX(_xlfn.TEXTSPLIT(L137,",",),0,2)+$A$18,$A$18)=0,$A$18,MOD(L$18+INDEX(_xlfn.TEXTSPLIT(L137,",",),0,2)+$A$18,$A$18))/5,0)))</f>
        <v>7</v>
      </c>
      <c r="M39" s="1" cm="1">
        <f t="array" aca="1" ref="M39" ca="1">(INDEX($K$2:$T$11,ROUNDUP(IF(MOD($A39+INDEX(_xlfn.TEXTSPLIT(M94,",",),0,1)+$A$18,$A$18)=0,$A$18,MOD($A39+INDEX(_xlfn.TEXTSPLIT(M94,",",),0,1)+$A$18,$A$18))/4,0),ROUNDUP(IF(MOD(M$18+INDEX(_xlfn.TEXTSPLIT(M94,",",),0,2)+$A$18,$A$18)=0,$A$18,MOD(M$18+INDEX(_xlfn.TEXTSPLIT(M94,",",),0,2)+$A$18,$A$18))/4,0)))+(INDEX($AD$2:$AK$9,ROUNDUP(IF(MOD($A39+INDEX(_xlfn.TEXTSPLIT(M137,",",),0,1)+$A$18,$A$18)=0,$A$18,MOD($A39+INDEX(_xlfn.TEXTSPLIT(M137,",",),0,1)+$A$18,$A$18))/5,0),ROUNDUP(IF(MOD(M$18+INDEX(_xlfn.TEXTSPLIT(M137,",",),0,2)+$A$18,$A$18)=0,$A$18,MOD(M$18+INDEX(_xlfn.TEXTSPLIT(M137,",",),0,2)+$A$18,$A$18))/5,0)))</f>
        <v>7</v>
      </c>
      <c r="N39" s="1" cm="1">
        <f t="array" aca="1" ref="N39" ca="1">(INDEX($K$2:$T$11,ROUNDUP(IF(MOD($A39+INDEX(_xlfn.TEXTSPLIT(N94,",",),0,1)+$A$18,$A$18)=0,$A$18,MOD($A39+INDEX(_xlfn.TEXTSPLIT(N94,",",),0,1)+$A$18,$A$18))/4,0),ROUNDUP(IF(MOD(N$18+INDEX(_xlfn.TEXTSPLIT(N94,",",),0,2)+$A$18,$A$18)=0,$A$18,MOD(N$18+INDEX(_xlfn.TEXTSPLIT(N94,",",),0,2)+$A$18,$A$18))/4,0)))+(INDEX($AD$2:$AK$9,ROUNDUP(IF(MOD($A39+INDEX(_xlfn.TEXTSPLIT(N137,",",),0,1)+$A$18,$A$18)=0,$A$18,MOD($A39+INDEX(_xlfn.TEXTSPLIT(N137,",",),0,1)+$A$18,$A$18))/5,0),ROUNDUP(IF(MOD(N$18+INDEX(_xlfn.TEXTSPLIT(N137,",",),0,2)+$A$18,$A$18)=0,$A$18,MOD(N$18+INDEX(_xlfn.TEXTSPLIT(N137,",",),0,2)+$A$18,$A$18))/5,0)))</f>
        <v>7</v>
      </c>
      <c r="O39" s="1" cm="1">
        <f t="array" aca="1" ref="O39" ca="1">(INDEX($K$2:$T$11,ROUNDUP(IF(MOD($A39+INDEX(_xlfn.TEXTSPLIT(O94,",",),0,1)+$A$18,$A$18)=0,$A$18,MOD($A39+INDEX(_xlfn.TEXTSPLIT(O94,",",),0,1)+$A$18,$A$18))/4,0),ROUNDUP(IF(MOD(O$18+INDEX(_xlfn.TEXTSPLIT(O94,",",),0,2)+$A$18,$A$18)=0,$A$18,MOD(O$18+INDEX(_xlfn.TEXTSPLIT(O94,",",),0,2)+$A$18,$A$18))/4,0)))+(INDEX($AD$2:$AK$9,ROUNDUP(IF(MOD($A39+INDEX(_xlfn.TEXTSPLIT(O137,",",),0,1)+$A$18,$A$18)=0,$A$18,MOD($A39+INDEX(_xlfn.TEXTSPLIT(O137,",",),0,1)+$A$18,$A$18))/5,0),ROUNDUP(IF(MOD(O$18+INDEX(_xlfn.TEXTSPLIT(O137,",",),0,2)+$A$18,$A$18)=0,$A$18,MOD(O$18+INDEX(_xlfn.TEXTSPLIT(O137,",",),0,2)+$A$18,$A$18))/5,0)))</f>
        <v>7</v>
      </c>
      <c r="P39" s="1" cm="1">
        <f t="array" aca="1" ref="P39" ca="1">(INDEX($K$2:$T$11,ROUNDUP(IF(MOD($A39+INDEX(_xlfn.TEXTSPLIT(P94,",",),0,1)+$A$18,$A$18)=0,$A$18,MOD($A39+INDEX(_xlfn.TEXTSPLIT(P94,",",),0,1)+$A$18,$A$18))/4,0),ROUNDUP(IF(MOD(P$18+INDEX(_xlfn.TEXTSPLIT(P94,",",),0,2)+$A$18,$A$18)=0,$A$18,MOD(P$18+INDEX(_xlfn.TEXTSPLIT(P94,",",),0,2)+$A$18,$A$18))/4,0)))+(INDEX($AD$2:$AK$9,ROUNDUP(IF(MOD($A39+INDEX(_xlfn.TEXTSPLIT(P137,",",),0,1)+$A$18,$A$18)=0,$A$18,MOD($A39+INDEX(_xlfn.TEXTSPLIT(P137,",",),0,1)+$A$18,$A$18))/5,0),ROUNDUP(IF(MOD(P$18+INDEX(_xlfn.TEXTSPLIT(P137,",",),0,2)+$A$18,$A$18)=0,$A$18,MOD(P$18+INDEX(_xlfn.TEXTSPLIT(P137,",",),0,2)+$A$18,$A$18))/5,0)))</f>
        <v>7</v>
      </c>
      <c r="Q39" s="1" cm="1">
        <f t="array" aca="1" ref="Q39" ca="1">(INDEX($K$2:$T$11,ROUNDUP(IF(MOD($A39+INDEX(_xlfn.TEXTSPLIT(Q94,",",),0,1)+$A$18,$A$18)=0,$A$18,MOD($A39+INDEX(_xlfn.TEXTSPLIT(Q94,",",),0,1)+$A$18,$A$18))/4,0),ROUNDUP(IF(MOD(Q$18+INDEX(_xlfn.TEXTSPLIT(Q94,",",),0,2)+$A$18,$A$18)=0,$A$18,MOD(Q$18+INDEX(_xlfn.TEXTSPLIT(Q94,",",),0,2)+$A$18,$A$18))/4,0)))+(INDEX($AD$2:$AK$9,ROUNDUP(IF(MOD($A39+INDEX(_xlfn.TEXTSPLIT(Q137,",",),0,1)+$A$18,$A$18)=0,$A$18,MOD($A39+INDEX(_xlfn.TEXTSPLIT(Q137,",",),0,1)+$A$18,$A$18))/5,0),ROUNDUP(IF(MOD(Q$18+INDEX(_xlfn.TEXTSPLIT(Q137,",",),0,2)+$A$18,$A$18)=0,$A$18,MOD(Q$18+INDEX(_xlfn.TEXTSPLIT(Q137,",",),0,2)+$A$18,$A$18))/5,0)))</f>
        <v>7</v>
      </c>
      <c r="R39" s="1" cm="1">
        <f t="array" aca="1" ref="R39" ca="1">(INDEX($K$2:$T$11,ROUNDUP(IF(MOD($A39+INDEX(_xlfn.TEXTSPLIT(R94,",",),0,1)+$A$18,$A$18)=0,$A$18,MOD($A39+INDEX(_xlfn.TEXTSPLIT(R94,",",),0,1)+$A$18,$A$18))/4,0),ROUNDUP(IF(MOD(R$18+INDEX(_xlfn.TEXTSPLIT(R94,",",),0,2)+$A$18,$A$18)=0,$A$18,MOD(R$18+INDEX(_xlfn.TEXTSPLIT(R94,",",),0,2)+$A$18,$A$18))/4,0)))+(INDEX($AD$2:$AK$9,ROUNDUP(IF(MOD($A39+INDEX(_xlfn.TEXTSPLIT(R137,",",),0,1)+$A$18,$A$18)=0,$A$18,MOD($A39+INDEX(_xlfn.TEXTSPLIT(R137,",",),0,1)+$A$18,$A$18))/5,0),ROUNDUP(IF(MOD(R$18+INDEX(_xlfn.TEXTSPLIT(R137,",",),0,2)+$A$18,$A$18)=0,$A$18,MOD(R$18+INDEX(_xlfn.TEXTSPLIT(R137,",",),0,2)+$A$18,$A$18))/5,0)))</f>
        <v>7</v>
      </c>
      <c r="S39" s="1" cm="1">
        <f t="array" aca="1" ref="S39" ca="1">(INDEX($K$2:$T$11,ROUNDUP(IF(MOD($A39+INDEX(_xlfn.TEXTSPLIT(S94,",",),0,1)+$A$18,$A$18)=0,$A$18,MOD($A39+INDEX(_xlfn.TEXTSPLIT(S94,",",),0,1)+$A$18,$A$18))/4,0),ROUNDUP(IF(MOD(S$18+INDEX(_xlfn.TEXTSPLIT(S94,",",),0,2)+$A$18,$A$18)=0,$A$18,MOD(S$18+INDEX(_xlfn.TEXTSPLIT(S94,",",),0,2)+$A$18,$A$18))/4,0)))+(INDEX($AD$2:$AK$9,ROUNDUP(IF(MOD($A39+INDEX(_xlfn.TEXTSPLIT(S137,",",),0,1)+$A$18,$A$18)=0,$A$18,MOD($A39+INDEX(_xlfn.TEXTSPLIT(S137,",",),0,1)+$A$18,$A$18))/5,0),ROUNDUP(IF(MOD(S$18+INDEX(_xlfn.TEXTSPLIT(S137,",",),0,2)+$A$18,$A$18)=0,$A$18,MOD(S$18+INDEX(_xlfn.TEXTSPLIT(S137,",",),0,2)+$A$18,$A$18))/5,0)))</f>
        <v>7</v>
      </c>
      <c r="T39" s="1" cm="1">
        <f t="array" aca="1" ref="T39" ca="1">(INDEX($K$2:$T$11,ROUNDUP(IF(MOD($A39+INDEX(_xlfn.TEXTSPLIT(T94,",",),0,1)+$A$18,$A$18)=0,$A$18,MOD($A39+INDEX(_xlfn.TEXTSPLIT(T94,",",),0,1)+$A$18,$A$18))/4,0),ROUNDUP(IF(MOD(T$18+INDEX(_xlfn.TEXTSPLIT(T94,",",),0,2)+$A$18,$A$18)=0,$A$18,MOD(T$18+INDEX(_xlfn.TEXTSPLIT(T94,",",),0,2)+$A$18,$A$18))/4,0)))+(INDEX($AD$2:$AK$9,ROUNDUP(IF(MOD($A39+INDEX(_xlfn.TEXTSPLIT(T137,",",),0,1)+$A$18,$A$18)=0,$A$18,MOD($A39+INDEX(_xlfn.TEXTSPLIT(T137,",",),0,1)+$A$18,$A$18))/5,0),ROUNDUP(IF(MOD(T$18+INDEX(_xlfn.TEXTSPLIT(T137,",",),0,2)+$A$18,$A$18)=0,$A$18,MOD(T$18+INDEX(_xlfn.TEXTSPLIT(T137,",",),0,2)+$A$18,$A$18))/5,0)))</f>
        <v>3</v>
      </c>
      <c r="U39" s="1" cm="1">
        <f t="array" aca="1" ref="U39" ca="1">(INDEX($K$2:$T$11,ROUNDUP(IF(MOD($A39+INDEX(_xlfn.TEXTSPLIT(U94,",",),0,1)+$A$18,$A$18)=0,$A$18,MOD($A39+INDEX(_xlfn.TEXTSPLIT(U94,",",),0,1)+$A$18,$A$18))/4,0),ROUNDUP(IF(MOD(U$18+INDEX(_xlfn.TEXTSPLIT(U94,",",),0,2)+$A$18,$A$18)=0,$A$18,MOD(U$18+INDEX(_xlfn.TEXTSPLIT(U94,",",),0,2)+$A$18,$A$18))/4,0)))+(INDEX($AD$2:$AK$9,ROUNDUP(IF(MOD($A39+INDEX(_xlfn.TEXTSPLIT(U137,",",),0,1)+$A$18,$A$18)=0,$A$18,MOD($A39+INDEX(_xlfn.TEXTSPLIT(U137,",",),0,1)+$A$18,$A$18))/5,0),ROUNDUP(IF(MOD(U$18+INDEX(_xlfn.TEXTSPLIT(U137,",",),0,2)+$A$18,$A$18)=0,$A$18,MOD(U$18+INDEX(_xlfn.TEXTSPLIT(U137,",",),0,2)+$A$18,$A$18))/5,0)))</f>
        <v>7</v>
      </c>
      <c r="V39" s="1" cm="1">
        <f t="array" aca="1" ref="V39" ca="1">(INDEX($K$2:$T$11,ROUNDUP(IF(MOD($A39+INDEX(_xlfn.TEXTSPLIT(V94,",",),0,1)+$A$18,$A$18)=0,$A$18,MOD($A39+INDEX(_xlfn.TEXTSPLIT(V94,",",),0,1)+$A$18,$A$18))/4,0),ROUNDUP(IF(MOD(V$18+INDEX(_xlfn.TEXTSPLIT(V94,",",),0,2)+$A$18,$A$18)=0,$A$18,MOD(V$18+INDEX(_xlfn.TEXTSPLIT(V94,",",),0,2)+$A$18,$A$18))/4,0)))+(INDEX($AD$2:$AK$9,ROUNDUP(IF(MOD($A39+INDEX(_xlfn.TEXTSPLIT(V137,",",),0,1)+$A$18,$A$18)=0,$A$18,MOD($A39+INDEX(_xlfn.TEXTSPLIT(V137,",",),0,1)+$A$18,$A$18))/5,0),ROUNDUP(IF(MOD(V$18+INDEX(_xlfn.TEXTSPLIT(V137,",",),0,2)+$A$18,$A$18)=0,$A$18,MOD(V$18+INDEX(_xlfn.TEXTSPLIT(V137,",",),0,2)+$A$18,$A$18))/5,0)))</f>
        <v>7</v>
      </c>
      <c r="W39" s="1" cm="1">
        <f t="array" aca="1" ref="W39" ca="1">(INDEX($K$2:$T$11,ROUNDUP(IF(MOD($A39+INDEX(_xlfn.TEXTSPLIT(W94,",",),0,1)+$A$18,$A$18)=0,$A$18,MOD($A39+INDEX(_xlfn.TEXTSPLIT(W94,",",),0,1)+$A$18,$A$18))/4,0),ROUNDUP(IF(MOD(W$18+INDEX(_xlfn.TEXTSPLIT(W94,",",),0,2)+$A$18,$A$18)=0,$A$18,MOD(W$18+INDEX(_xlfn.TEXTSPLIT(W94,",",),0,2)+$A$18,$A$18))/4,0)))+(INDEX($AD$2:$AK$9,ROUNDUP(IF(MOD($A39+INDEX(_xlfn.TEXTSPLIT(W137,",",),0,1)+$A$18,$A$18)=0,$A$18,MOD($A39+INDEX(_xlfn.TEXTSPLIT(W137,",",),0,1)+$A$18,$A$18))/5,0),ROUNDUP(IF(MOD(W$18+INDEX(_xlfn.TEXTSPLIT(W137,",",),0,2)+$A$18,$A$18)=0,$A$18,MOD(W$18+INDEX(_xlfn.TEXTSPLIT(W137,",",),0,2)+$A$18,$A$18))/5,0)))</f>
        <v>7</v>
      </c>
      <c r="X39" s="1" cm="1">
        <f t="array" aca="1" ref="X39" ca="1">(INDEX($K$2:$T$11,ROUNDUP(IF(MOD($A39+INDEX(_xlfn.TEXTSPLIT(X94,",",),0,1)+$A$18,$A$18)=0,$A$18,MOD($A39+INDEX(_xlfn.TEXTSPLIT(X94,",",),0,1)+$A$18,$A$18))/4,0),ROUNDUP(IF(MOD(X$18+INDEX(_xlfn.TEXTSPLIT(X94,",",),0,2)+$A$18,$A$18)=0,$A$18,MOD(X$18+INDEX(_xlfn.TEXTSPLIT(X94,",",),0,2)+$A$18,$A$18))/4,0)))+(INDEX($AD$2:$AK$9,ROUNDUP(IF(MOD($A39+INDEX(_xlfn.TEXTSPLIT(X137,",",),0,1)+$A$18,$A$18)=0,$A$18,MOD($A39+INDEX(_xlfn.TEXTSPLIT(X137,",",),0,1)+$A$18,$A$18))/5,0),ROUNDUP(IF(MOD(X$18+INDEX(_xlfn.TEXTSPLIT(X137,",",),0,2)+$A$18,$A$18)=0,$A$18,MOD(X$18+INDEX(_xlfn.TEXTSPLIT(X137,",",),0,2)+$A$18,$A$18))/5,0)))</f>
        <v>7</v>
      </c>
      <c r="Y39" s="1" cm="1">
        <f t="array" aca="1" ref="Y39" ca="1">(INDEX($K$2:$T$11,ROUNDUP(IF(MOD($A39+INDEX(_xlfn.TEXTSPLIT(Y94,",",),0,1)+$A$18,$A$18)=0,$A$18,MOD($A39+INDEX(_xlfn.TEXTSPLIT(Y94,",",),0,1)+$A$18,$A$18))/4,0),ROUNDUP(IF(MOD(Y$18+INDEX(_xlfn.TEXTSPLIT(Y94,",",),0,2)+$A$18,$A$18)=0,$A$18,MOD(Y$18+INDEX(_xlfn.TEXTSPLIT(Y94,",",),0,2)+$A$18,$A$18))/4,0)))+(INDEX($AD$2:$AK$9,ROUNDUP(IF(MOD($A39+INDEX(_xlfn.TEXTSPLIT(Y137,",",),0,1)+$A$18,$A$18)=0,$A$18,MOD($A39+INDEX(_xlfn.TEXTSPLIT(Y137,",",),0,1)+$A$18,$A$18))/5,0),ROUNDUP(IF(MOD(Y$18+INDEX(_xlfn.TEXTSPLIT(Y137,",",),0,2)+$A$18,$A$18)=0,$A$18,MOD(Y$18+INDEX(_xlfn.TEXTSPLIT(Y137,",",),0,2)+$A$18,$A$18))/5,0)))</f>
        <v>7</v>
      </c>
      <c r="Z39" s="1" cm="1">
        <f t="array" aca="1" ref="Z39" ca="1">(INDEX($K$2:$T$11,ROUNDUP(IF(MOD($A39+INDEX(_xlfn.TEXTSPLIT(Z94,",",),0,1)+$A$18,$A$18)=0,$A$18,MOD($A39+INDEX(_xlfn.TEXTSPLIT(Z94,",",),0,1)+$A$18,$A$18))/4,0),ROUNDUP(IF(MOD(Z$18+INDEX(_xlfn.TEXTSPLIT(Z94,",",),0,2)+$A$18,$A$18)=0,$A$18,MOD(Z$18+INDEX(_xlfn.TEXTSPLIT(Z94,",",),0,2)+$A$18,$A$18))/4,0)))+(INDEX($AD$2:$AK$9,ROUNDUP(IF(MOD($A39+INDEX(_xlfn.TEXTSPLIT(Z137,",",),0,1)+$A$18,$A$18)=0,$A$18,MOD($A39+INDEX(_xlfn.TEXTSPLIT(Z137,",",),0,1)+$A$18,$A$18))/5,0),ROUNDUP(IF(MOD(Z$18+INDEX(_xlfn.TEXTSPLIT(Z137,",",),0,2)+$A$18,$A$18)=0,$A$18,MOD(Z$18+INDEX(_xlfn.TEXTSPLIT(Z137,",",),0,2)+$A$18,$A$18))/5,0)))</f>
        <v>7</v>
      </c>
      <c r="AA39" s="1" cm="1">
        <f t="array" aca="1" ref="AA39" ca="1">(INDEX($K$2:$T$11,ROUNDUP(IF(MOD($A39+INDEX(_xlfn.TEXTSPLIT(AA94,",",),0,1)+$A$18,$A$18)=0,$A$18,MOD($A39+INDEX(_xlfn.TEXTSPLIT(AA94,",",),0,1)+$A$18,$A$18))/4,0),ROUNDUP(IF(MOD(AA$18+INDEX(_xlfn.TEXTSPLIT(AA94,",",),0,2)+$A$18,$A$18)=0,$A$18,MOD(AA$18+INDEX(_xlfn.TEXTSPLIT(AA94,",",),0,2)+$A$18,$A$18))/4,0)))+(INDEX($AD$2:$AK$9,ROUNDUP(IF(MOD($A39+INDEX(_xlfn.TEXTSPLIT(AA137,",",),0,1)+$A$18,$A$18)=0,$A$18,MOD($A39+INDEX(_xlfn.TEXTSPLIT(AA137,",",),0,1)+$A$18,$A$18))/5,0),ROUNDUP(IF(MOD(AA$18+INDEX(_xlfn.TEXTSPLIT(AA137,",",),0,2)+$A$18,$A$18)=0,$A$18,MOD(AA$18+INDEX(_xlfn.TEXTSPLIT(AA137,",",),0,2)+$A$18,$A$18))/5,0)))</f>
        <v>8</v>
      </c>
      <c r="AB39" s="1" cm="1">
        <f t="array" aca="1" ref="AB39" ca="1">(INDEX($K$2:$T$11,ROUNDUP(IF(MOD($A39+INDEX(_xlfn.TEXTSPLIT(AB94,",",),0,1)+$A$18,$A$18)=0,$A$18,MOD($A39+INDEX(_xlfn.TEXTSPLIT(AB94,",",),0,1)+$A$18,$A$18))/4,0),ROUNDUP(IF(MOD(AB$18+INDEX(_xlfn.TEXTSPLIT(AB94,",",),0,2)+$A$18,$A$18)=0,$A$18,MOD(AB$18+INDEX(_xlfn.TEXTSPLIT(AB94,",",),0,2)+$A$18,$A$18))/4,0)))+(INDEX($AD$2:$AK$9,ROUNDUP(IF(MOD($A39+INDEX(_xlfn.TEXTSPLIT(AB137,",",),0,1)+$A$18,$A$18)=0,$A$18,MOD($A39+INDEX(_xlfn.TEXTSPLIT(AB137,",",),0,1)+$A$18,$A$18))/5,0),ROUNDUP(IF(MOD(AB$18+INDEX(_xlfn.TEXTSPLIT(AB137,",",),0,2)+$A$18,$A$18)=0,$A$18,MOD(AB$18+INDEX(_xlfn.TEXTSPLIT(AB137,",",),0,2)+$A$18,$A$18))/5,0)))</f>
        <v>8</v>
      </c>
      <c r="AC39" s="1" cm="1">
        <f t="array" aca="1" ref="AC39" ca="1">(INDEX($K$2:$T$11,ROUNDUP(IF(MOD($A39+INDEX(_xlfn.TEXTSPLIT(AC94,",",),0,1)+$A$18,$A$18)=0,$A$18,MOD($A39+INDEX(_xlfn.TEXTSPLIT(AC94,",",),0,1)+$A$18,$A$18))/4,0),ROUNDUP(IF(MOD(AC$18+INDEX(_xlfn.TEXTSPLIT(AC94,",",),0,2)+$A$18,$A$18)=0,$A$18,MOD(AC$18+INDEX(_xlfn.TEXTSPLIT(AC94,",",),0,2)+$A$18,$A$18))/4,0)))+(INDEX($AD$2:$AK$9,ROUNDUP(IF(MOD($A39+INDEX(_xlfn.TEXTSPLIT(AC137,",",),0,1)+$A$18,$A$18)=0,$A$18,MOD($A39+INDEX(_xlfn.TEXTSPLIT(AC137,",",),0,1)+$A$18,$A$18))/5,0),ROUNDUP(IF(MOD(AC$18+INDEX(_xlfn.TEXTSPLIT(AC137,",",),0,2)+$A$18,$A$18)=0,$A$18,MOD(AC$18+INDEX(_xlfn.TEXTSPLIT(AC137,",",),0,2)+$A$18,$A$18))/5,0)))</f>
        <v>8</v>
      </c>
      <c r="AD39" s="1" cm="1">
        <f t="array" aca="1" ref="AD39" ca="1">(INDEX($K$2:$T$11,ROUNDUP(IF(MOD($A39+INDEX(_xlfn.TEXTSPLIT(AD94,",",),0,1)+$A$18,$A$18)=0,$A$18,MOD($A39+INDEX(_xlfn.TEXTSPLIT(AD94,",",),0,1)+$A$18,$A$18))/4,0),ROUNDUP(IF(MOD(AD$18+INDEX(_xlfn.TEXTSPLIT(AD94,",",),0,2)+$A$18,$A$18)=0,$A$18,MOD(AD$18+INDEX(_xlfn.TEXTSPLIT(AD94,",",),0,2)+$A$18,$A$18))/4,0)))+(INDEX($AD$2:$AK$9,ROUNDUP(IF(MOD($A39+INDEX(_xlfn.TEXTSPLIT(AD137,",",),0,1)+$A$18,$A$18)=0,$A$18,MOD($A39+INDEX(_xlfn.TEXTSPLIT(AD137,",",),0,1)+$A$18,$A$18))/5,0),ROUNDUP(IF(MOD(AD$18+INDEX(_xlfn.TEXTSPLIT(AD137,",",),0,2)+$A$18,$A$18)=0,$A$18,MOD(AD$18+INDEX(_xlfn.TEXTSPLIT(AD137,",",),0,2)+$A$18,$A$18))/5,0)))</f>
        <v>8</v>
      </c>
      <c r="AE39" s="1" cm="1">
        <f t="array" aca="1" ref="AE39" ca="1">(INDEX($K$2:$T$11,ROUNDUP(IF(MOD($A39+INDEX(_xlfn.TEXTSPLIT(AE94,",",),0,1)+$A$18,$A$18)=0,$A$18,MOD($A39+INDEX(_xlfn.TEXTSPLIT(AE94,",",),0,1)+$A$18,$A$18))/4,0),ROUNDUP(IF(MOD(AE$18+INDEX(_xlfn.TEXTSPLIT(AE94,",",),0,2)+$A$18,$A$18)=0,$A$18,MOD(AE$18+INDEX(_xlfn.TEXTSPLIT(AE94,",",),0,2)+$A$18,$A$18))/4,0)))+(INDEX($AD$2:$AK$9,ROUNDUP(IF(MOD($A39+INDEX(_xlfn.TEXTSPLIT(AE137,",",),0,1)+$A$18,$A$18)=0,$A$18,MOD($A39+INDEX(_xlfn.TEXTSPLIT(AE137,",",),0,1)+$A$18,$A$18))/5,0),ROUNDUP(IF(MOD(AE$18+INDEX(_xlfn.TEXTSPLIT(AE137,",",),0,2)+$A$18,$A$18)=0,$A$18,MOD(AE$18+INDEX(_xlfn.TEXTSPLIT(AE137,",",),0,2)+$A$18,$A$18))/5,0)))</f>
        <v>8</v>
      </c>
      <c r="AF39" s="1" cm="1">
        <f t="array" aca="1" ref="AF39" ca="1">(INDEX($K$2:$T$11,ROUNDUP(IF(MOD($A39+INDEX(_xlfn.TEXTSPLIT(AF94,",",),0,1)+$A$18,$A$18)=0,$A$18,MOD($A39+INDEX(_xlfn.TEXTSPLIT(AF94,",",),0,1)+$A$18,$A$18))/4,0),ROUNDUP(IF(MOD(AF$18+INDEX(_xlfn.TEXTSPLIT(AF94,",",),0,2)+$A$18,$A$18)=0,$A$18,MOD(AF$18+INDEX(_xlfn.TEXTSPLIT(AF94,",",),0,2)+$A$18,$A$18))/4,0)))+(INDEX($AD$2:$AK$9,ROUNDUP(IF(MOD($A39+INDEX(_xlfn.TEXTSPLIT(AF137,",",),0,1)+$A$18,$A$18)=0,$A$18,MOD($A39+INDEX(_xlfn.TEXTSPLIT(AF137,",",),0,1)+$A$18,$A$18))/5,0),ROUNDUP(IF(MOD(AF$18+INDEX(_xlfn.TEXTSPLIT(AF137,",",),0,2)+$A$18,$A$18)=0,$A$18,MOD(AF$18+INDEX(_xlfn.TEXTSPLIT(AF137,",",),0,2)+$A$18,$A$18))/5,0)))</f>
        <v>7</v>
      </c>
      <c r="AG39" s="1" cm="1">
        <f t="array" aca="1" ref="AG39" ca="1">(INDEX($K$2:$T$11,ROUNDUP(IF(MOD($A39+INDEX(_xlfn.TEXTSPLIT(AG94,",",),0,1)+$A$18,$A$18)=0,$A$18,MOD($A39+INDEX(_xlfn.TEXTSPLIT(AG94,",",),0,1)+$A$18,$A$18))/4,0),ROUNDUP(IF(MOD(AG$18+INDEX(_xlfn.TEXTSPLIT(AG94,",",),0,2)+$A$18,$A$18)=0,$A$18,MOD(AG$18+INDEX(_xlfn.TEXTSPLIT(AG94,",",),0,2)+$A$18,$A$18))/4,0)))+(INDEX($AD$2:$AK$9,ROUNDUP(IF(MOD($A39+INDEX(_xlfn.TEXTSPLIT(AG137,",",),0,1)+$A$18,$A$18)=0,$A$18,MOD($A39+INDEX(_xlfn.TEXTSPLIT(AG137,",",),0,1)+$A$18,$A$18))/5,0),ROUNDUP(IF(MOD(AG$18+INDEX(_xlfn.TEXTSPLIT(AG137,",",),0,2)+$A$18,$A$18)=0,$A$18,MOD(AG$18+INDEX(_xlfn.TEXTSPLIT(AG137,",",),0,2)+$A$18,$A$18))/5,0)))</f>
        <v>7</v>
      </c>
      <c r="AH39" s="1" cm="1">
        <f t="array" aca="1" ref="AH39" ca="1">(INDEX($K$2:$T$11,ROUNDUP(IF(MOD($A39+INDEX(_xlfn.TEXTSPLIT(AH94,",",),0,1)+$A$18,$A$18)=0,$A$18,MOD($A39+INDEX(_xlfn.TEXTSPLIT(AH94,",",),0,1)+$A$18,$A$18))/4,0),ROUNDUP(IF(MOD(AH$18+INDEX(_xlfn.TEXTSPLIT(AH94,",",),0,2)+$A$18,$A$18)=0,$A$18,MOD(AH$18+INDEX(_xlfn.TEXTSPLIT(AH94,",",),0,2)+$A$18,$A$18))/4,0)))+(INDEX($AD$2:$AK$9,ROUNDUP(IF(MOD($A39+INDEX(_xlfn.TEXTSPLIT(AH137,",",),0,1)+$A$18,$A$18)=0,$A$18,MOD($A39+INDEX(_xlfn.TEXTSPLIT(AH137,",",),0,1)+$A$18,$A$18))/5,0),ROUNDUP(IF(MOD(AH$18+INDEX(_xlfn.TEXTSPLIT(AH137,",",),0,2)+$A$18,$A$18)=0,$A$18,MOD(AH$18+INDEX(_xlfn.TEXTSPLIT(AH137,",",),0,2)+$A$18,$A$18))/5,0)))</f>
        <v>7</v>
      </c>
      <c r="AI39" s="1" cm="1">
        <f t="array" aca="1" ref="AI39" ca="1">(INDEX($K$2:$T$11,ROUNDUP(IF(MOD($A39+INDEX(_xlfn.TEXTSPLIT(AI94,",",),0,1)+$A$18,$A$18)=0,$A$18,MOD($A39+INDEX(_xlfn.TEXTSPLIT(AI94,",",),0,1)+$A$18,$A$18))/4,0),ROUNDUP(IF(MOD(AI$18+INDEX(_xlfn.TEXTSPLIT(AI94,",",),0,2)+$A$18,$A$18)=0,$A$18,MOD(AI$18+INDEX(_xlfn.TEXTSPLIT(AI94,",",),0,2)+$A$18,$A$18))/4,0)))+(INDEX($AD$2:$AK$9,ROUNDUP(IF(MOD($A39+INDEX(_xlfn.TEXTSPLIT(AI137,",",),0,1)+$A$18,$A$18)=0,$A$18,MOD($A39+INDEX(_xlfn.TEXTSPLIT(AI137,",",),0,1)+$A$18,$A$18))/5,0),ROUNDUP(IF(MOD(AI$18+INDEX(_xlfn.TEXTSPLIT(AI137,",",),0,2)+$A$18,$A$18)=0,$A$18,MOD(AI$18+INDEX(_xlfn.TEXTSPLIT(AI137,",",),0,2)+$A$18,$A$18))/5,0)))</f>
        <v>7</v>
      </c>
      <c r="AJ39" s="1" cm="1">
        <f t="array" aca="1" ref="AJ39" ca="1">(INDEX($K$2:$T$11,ROUNDUP(IF(MOD($A39+INDEX(_xlfn.TEXTSPLIT(AJ94,",",),0,1)+$A$18,$A$18)=0,$A$18,MOD($A39+INDEX(_xlfn.TEXTSPLIT(AJ94,",",),0,1)+$A$18,$A$18))/4,0),ROUNDUP(IF(MOD(AJ$18+INDEX(_xlfn.TEXTSPLIT(AJ94,",",),0,2)+$A$18,$A$18)=0,$A$18,MOD(AJ$18+INDEX(_xlfn.TEXTSPLIT(AJ94,",",),0,2)+$A$18,$A$18))/4,0)))+(INDEX($AD$2:$AK$9,ROUNDUP(IF(MOD($A39+INDEX(_xlfn.TEXTSPLIT(AJ137,",",),0,1)+$A$18,$A$18)=0,$A$18,MOD($A39+INDEX(_xlfn.TEXTSPLIT(AJ137,",",),0,1)+$A$18,$A$18))/5,0),ROUNDUP(IF(MOD(AJ$18+INDEX(_xlfn.TEXTSPLIT(AJ137,",",),0,2)+$A$18,$A$18)=0,$A$18,MOD(AJ$18+INDEX(_xlfn.TEXTSPLIT(AJ137,",",),0,2)+$A$18,$A$18))/5,0)))</f>
        <v>7</v>
      </c>
      <c r="AK39" s="1" cm="1">
        <f t="array" aca="1" ref="AK39" ca="1">(INDEX($K$2:$T$11,ROUNDUP(IF(MOD($A39+INDEX(_xlfn.TEXTSPLIT(AK94,",",),0,1)+$A$18,$A$18)=0,$A$18,MOD($A39+INDEX(_xlfn.TEXTSPLIT(AK94,",",),0,1)+$A$18,$A$18))/4,0),ROUNDUP(IF(MOD(AK$18+INDEX(_xlfn.TEXTSPLIT(AK94,",",),0,2)+$A$18,$A$18)=0,$A$18,MOD(AK$18+INDEX(_xlfn.TEXTSPLIT(AK94,",",),0,2)+$A$18,$A$18))/4,0)))+(INDEX($AD$2:$AK$9,ROUNDUP(IF(MOD($A39+INDEX(_xlfn.TEXTSPLIT(AK137,",",),0,1)+$A$18,$A$18)=0,$A$18,MOD($A39+INDEX(_xlfn.TEXTSPLIT(AK137,",",),0,1)+$A$18,$A$18))/5,0),ROUNDUP(IF(MOD(AK$18+INDEX(_xlfn.TEXTSPLIT(AK137,",",),0,2)+$A$18,$A$18)=0,$A$18,MOD(AK$18+INDEX(_xlfn.TEXTSPLIT(AK137,",",),0,2)+$A$18,$A$18))/5,0)))</f>
        <v>7</v>
      </c>
      <c r="AL39" s="1" cm="1">
        <f t="array" aca="1" ref="AL39" ca="1">(INDEX($K$2:$T$11,ROUNDUP(IF(MOD($A39+INDEX(_xlfn.TEXTSPLIT(AL94,",",),0,1)+$A$18,$A$18)=0,$A$18,MOD($A39+INDEX(_xlfn.TEXTSPLIT(AL94,",",),0,1)+$A$18,$A$18))/4,0),ROUNDUP(IF(MOD(AL$18+INDEX(_xlfn.TEXTSPLIT(AL94,",",),0,2)+$A$18,$A$18)=0,$A$18,MOD(AL$18+INDEX(_xlfn.TEXTSPLIT(AL94,",",),0,2)+$A$18,$A$18))/4,0)))+(INDEX($AD$2:$AK$9,ROUNDUP(IF(MOD($A39+INDEX(_xlfn.TEXTSPLIT(AL137,",",),0,1)+$A$18,$A$18)=0,$A$18,MOD($A39+INDEX(_xlfn.TEXTSPLIT(AL137,",",),0,1)+$A$18,$A$18))/5,0),ROUNDUP(IF(MOD(AL$18+INDEX(_xlfn.TEXTSPLIT(AL137,",",),0,2)+$A$18,$A$18)=0,$A$18,MOD(AL$18+INDEX(_xlfn.TEXTSPLIT(AL137,",",),0,2)+$A$18,$A$18))/5,0)))</f>
        <v>8</v>
      </c>
      <c r="AM39" s="1" cm="1">
        <f t="array" aca="1" ref="AM39" ca="1">(INDEX($K$2:$T$11,ROUNDUP(IF(MOD($A39+INDEX(_xlfn.TEXTSPLIT(AM94,",",),0,1)+$A$18,$A$18)=0,$A$18,MOD($A39+INDEX(_xlfn.TEXTSPLIT(AM94,",",),0,1)+$A$18,$A$18))/4,0),ROUNDUP(IF(MOD(AM$18+INDEX(_xlfn.TEXTSPLIT(AM94,",",),0,2)+$A$18,$A$18)=0,$A$18,MOD(AM$18+INDEX(_xlfn.TEXTSPLIT(AM94,",",),0,2)+$A$18,$A$18))/4,0)))+(INDEX($AD$2:$AK$9,ROUNDUP(IF(MOD($A39+INDEX(_xlfn.TEXTSPLIT(AM137,",",),0,1)+$A$18,$A$18)=0,$A$18,MOD($A39+INDEX(_xlfn.TEXTSPLIT(AM137,",",),0,1)+$A$18,$A$18))/5,0),ROUNDUP(IF(MOD(AM$18+INDEX(_xlfn.TEXTSPLIT(AM137,",",),0,2)+$A$18,$A$18)=0,$A$18,MOD(AM$18+INDEX(_xlfn.TEXTSPLIT(AM137,",",),0,2)+$A$18,$A$18))/5,0)))</f>
        <v>8</v>
      </c>
      <c r="AN39" s="1" cm="1">
        <f t="array" aca="1" ref="AN39" ca="1">(INDEX($K$2:$T$11,ROUNDUP(IF(MOD($A39+INDEX(_xlfn.TEXTSPLIT(AN94,",",),0,1)+$A$18,$A$18)=0,$A$18,MOD($A39+INDEX(_xlfn.TEXTSPLIT(AN94,",",),0,1)+$A$18,$A$18))/4,0),ROUNDUP(IF(MOD(AN$18+INDEX(_xlfn.TEXTSPLIT(AN94,",",),0,2)+$A$18,$A$18)=0,$A$18,MOD(AN$18+INDEX(_xlfn.TEXTSPLIT(AN94,",",),0,2)+$A$18,$A$18))/4,0)))+(INDEX($AD$2:$AK$9,ROUNDUP(IF(MOD($A39+INDEX(_xlfn.TEXTSPLIT(AN137,",",),0,1)+$A$18,$A$18)=0,$A$18,MOD($A39+INDEX(_xlfn.TEXTSPLIT(AN137,",",),0,1)+$A$18,$A$18))/5,0),ROUNDUP(IF(MOD(AN$18+INDEX(_xlfn.TEXTSPLIT(AN137,",",),0,2)+$A$18,$A$18)=0,$A$18,MOD(AN$18+INDEX(_xlfn.TEXTSPLIT(AN137,",",),0,2)+$A$18,$A$18))/5,0)))</f>
        <v>8</v>
      </c>
      <c r="AO39" s="1" cm="1">
        <f t="array" aca="1" ref="AO39" ca="1">(INDEX($K$2:$T$11,ROUNDUP(IF(MOD($A39+INDEX(_xlfn.TEXTSPLIT(AO94,",",),0,1)+$A$18,$A$18)=0,$A$18,MOD($A39+INDEX(_xlfn.TEXTSPLIT(AO94,",",),0,1)+$A$18,$A$18))/4,0),ROUNDUP(IF(MOD(AO$18+INDEX(_xlfn.TEXTSPLIT(AO94,",",),0,2)+$A$18,$A$18)=0,$A$18,MOD(AO$18+INDEX(_xlfn.TEXTSPLIT(AO94,",",),0,2)+$A$18,$A$18))/4,0)))+(INDEX($AD$2:$AK$9,ROUNDUP(IF(MOD($A39+INDEX(_xlfn.TEXTSPLIT(AO137,",",),0,1)+$A$18,$A$18)=0,$A$18,MOD($A39+INDEX(_xlfn.TEXTSPLIT(AO137,",",),0,1)+$A$18,$A$18))/5,0),ROUNDUP(IF(MOD(AO$18+INDEX(_xlfn.TEXTSPLIT(AO137,",",),0,2)+$A$18,$A$18)=0,$A$18,MOD(AO$18+INDEX(_xlfn.TEXTSPLIT(AO137,",",),0,2)+$A$18,$A$18))/5,0)))</f>
        <v>8</v>
      </c>
    </row>
    <row r="40" spans="1:41" ht="12.75">
      <c r="A40" s="1">
        <v>22</v>
      </c>
      <c r="B40" s="1" cm="1">
        <f t="array" aca="1" ref="B40" ca="1">(INDEX($K$2:$T$11,ROUNDUP(IF(MOD($A40+INDEX(_xlfn.TEXTSPLIT(B95,",",),0,1)+$A$18,$A$18)=0,$A$18,MOD($A40+INDEX(_xlfn.TEXTSPLIT(B95,",",),0,1)+$A$18,$A$18))/4,0),ROUNDUP(IF(MOD(B$18+INDEX(_xlfn.TEXTSPLIT(B95,",",),0,2)+$A$18,$A$18)=0,$A$18,MOD(B$18+INDEX(_xlfn.TEXTSPLIT(B95,",",),0,2)+$A$18,$A$18))/4,0)))+(INDEX($AD$2:$AK$9,ROUNDUP(IF(MOD($A40+INDEX(_xlfn.TEXTSPLIT(B138,",",),0,1)+$A$18,$A$18)=0,$A$18,MOD($A40+INDEX(_xlfn.TEXTSPLIT(B138,",",),0,1)+$A$18,$A$18))/5,0),ROUNDUP(IF(MOD(B$18+INDEX(_xlfn.TEXTSPLIT(B138,",",),0,2)+$A$18,$A$18)=0,$A$18,MOD(B$18+INDEX(_xlfn.TEXTSPLIT(B138,",",),0,2)+$A$18,$A$18))/5,0)))</f>
        <v>1</v>
      </c>
      <c r="C40" s="1" cm="1">
        <f t="array" aca="1" ref="C40" ca="1">(INDEX($K$2:$T$11,ROUNDUP(IF(MOD($A40+INDEX(_xlfn.TEXTSPLIT(C95,",",),0,1)+$A$18,$A$18)=0,$A$18,MOD($A40+INDEX(_xlfn.TEXTSPLIT(C95,",",),0,1)+$A$18,$A$18))/4,0),ROUNDUP(IF(MOD(C$18+INDEX(_xlfn.TEXTSPLIT(C95,",",),0,2)+$A$18,$A$18)=0,$A$18,MOD(C$18+INDEX(_xlfn.TEXTSPLIT(C95,",",),0,2)+$A$18,$A$18))/4,0)))+(INDEX($AD$2:$AK$9,ROUNDUP(IF(MOD($A40+INDEX(_xlfn.TEXTSPLIT(C138,",",),0,1)+$A$18,$A$18)=0,$A$18,MOD($A40+INDEX(_xlfn.TEXTSPLIT(C138,",",),0,1)+$A$18,$A$18))/5,0),ROUNDUP(IF(MOD(C$18+INDEX(_xlfn.TEXTSPLIT(C138,",",),0,2)+$A$18,$A$18)=0,$A$18,MOD(C$18+INDEX(_xlfn.TEXTSPLIT(C138,",",),0,2)+$A$18,$A$18))/5,0)))</f>
        <v>1</v>
      </c>
      <c r="D40" s="1" cm="1">
        <f t="array" aca="1" ref="D40" ca="1">(INDEX($K$2:$T$11,ROUNDUP(IF(MOD($A40+INDEX(_xlfn.TEXTSPLIT(D95,",",),0,1)+$A$18,$A$18)=0,$A$18,MOD($A40+INDEX(_xlfn.TEXTSPLIT(D95,",",),0,1)+$A$18,$A$18))/4,0),ROUNDUP(IF(MOD(D$18+INDEX(_xlfn.TEXTSPLIT(D95,",",),0,2)+$A$18,$A$18)=0,$A$18,MOD(D$18+INDEX(_xlfn.TEXTSPLIT(D95,",",),0,2)+$A$18,$A$18))/4,0)))+(INDEX($AD$2:$AK$9,ROUNDUP(IF(MOD($A40+INDEX(_xlfn.TEXTSPLIT(D138,",",),0,1)+$A$18,$A$18)=0,$A$18,MOD($A40+INDEX(_xlfn.TEXTSPLIT(D138,",",),0,1)+$A$18,$A$18))/5,0),ROUNDUP(IF(MOD(D$18+INDEX(_xlfn.TEXTSPLIT(D138,",",),0,2)+$A$18,$A$18)=0,$A$18,MOD(D$18+INDEX(_xlfn.TEXTSPLIT(D138,",",),0,2)+$A$18,$A$18))/5,0)))</f>
        <v>1</v>
      </c>
      <c r="E40" s="1" cm="1">
        <f t="array" aca="1" ref="E40" ca="1">(INDEX($K$2:$T$11,ROUNDUP(IF(MOD($A40+INDEX(_xlfn.TEXTSPLIT(E95,",",),0,1)+$A$18,$A$18)=0,$A$18,MOD($A40+INDEX(_xlfn.TEXTSPLIT(E95,",",),0,1)+$A$18,$A$18))/4,0),ROUNDUP(IF(MOD(E$18+INDEX(_xlfn.TEXTSPLIT(E95,",",),0,2)+$A$18,$A$18)=0,$A$18,MOD(E$18+INDEX(_xlfn.TEXTSPLIT(E95,",",),0,2)+$A$18,$A$18))/4,0)))+(INDEX($AD$2:$AK$9,ROUNDUP(IF(MOD($A40+INDEX(_xlfn.TEXTSPLIT(E138,",",),0,1)+$A$18,$A$18)=0,$A$18,MOD($A40+INDEX(_xlfn.TEXTSPLIT(E138,",",),0,1)+$A$18,$A$18))/5,0),ROUNDUP(IF(MOD(E$18+INDEX(_xlfn.TEXTSPLIT(E138,",",),0,2)+$A$18,$A$18)=0,$A$18,MOD(E$18+INDEX(_xlfn.TEXTSPLIT(E138,",",),0,2)+$A$18,$A$18))/5,0)))</f>
        <v>1</v>
      </c>
      <c r="F40" s="1" cm="1">
        <f t="array" aca="1" ref="F40" ca="1">(INDEX($K$2:$T$11,ROUNDUP(IF(MOD($A40+INDEX(_xlfn.TEXTSPLIT(F95,",",),0,1)+$A$18,$A$18)=0,$A$18,MOD($A40+INDEX(_xlfn.TEXTSPLIT(F95,",",),0,1)+$A$18,$A$18))/4,0),ROUNDUP(IF(MOD(F$18+INDEX(_xlfn.TEXTSPLIT(F95,",",),0,2)+$A$18,$A$18)=0,$A$18,MOD(F$18+INDEX(_xlfn.TEXTSPLIT(F95,",",),0,2)+$A$18,$A$18))/4,0)))+(INDEX($AD$2:$AK$9,ROUNDUP(IF(MOD($A40+INDEX(_xlfn.TEXTSPLIT(F138,",",),0,1)+$A$18,$A$18)=0,$A$18,MOD($A40+INDEX(_xlfn.TEXTSPLIT(F138,",",),0,1)+$A$18,$A$18))/5,0),ROUNDUP(IF(MOD(F$18+INDEX(_xlfn.TEXTSPLIT(F138,",",),0,2)+$A$18,$A$18)=0,$A$18,MOD(F$18+INDEX(_xlfn.TEXTSPLIT(F138,",",),0,2)+$A$18,$A$18))/5,0)))</f>
        <v>1</v>
      </c>
      <c r="G40" s="1" cm="1">
        <f t="array" aca="1" ref="G40" ca="1">(INDEX($K$2:$T$11,ROUNDUP(IF(MOD($A40+INDEX(_xlfn.TEXTSPLIT(G95,",",),0,1)+$A$18,$A$18)=0,$A$18,MOD($A40+INDEX(_xlfn.TEXTSPLIT(G95,",",),0,1)+$A$18,$A$18))/4,0),ROUNDUP(IF(MOD(G$18+INDEX(_xlfn.TEXTSPLIT(G95,",",),0,2)+$A$18,$A$18)=0,$A$18,MOD(G$18+INDEX(_xlfn.TEXTSPLIT(G95,",",),0,2)+$A$18,$A$18))/4,0)))+(INDEX($AD$2:$AK$9,ROUNDUP(IF(MOD($A40+INDEX(_xlfn.TEXTSPLIT(G138,",",),0,1)+$A$18,$A$18)=0,$A$18,MOD($A40+INDEX(_xlfn.TEXTSPLIT(G138,",",),0,1)+$A$18,$A$18))/5,0),ROUNDUP(IF(MOD(G$18+INDEX(_xlfn.TEXTSPLIT(G138,",",),0,2)+$A$18,$A$18)=0,$A$18,MOD(G$18+INDEX(_xlfn.TEXTSPLIT(G138,",",),0,2)+$A$18,$A$18))/5,0)))</f>
        <v>3</v>
      </c>
      <c r="H40" s="1" cm="1">
        <f t="array" aca="1" ref="H40" ca="1">(INDEX($K$2:$T$11,ROUNDUP(IF(MOD($A40+INDEX(_xlfn.TEXTSPLIT(H95,",",),0,1)+$A$18,$A$18)=0,$A$18,MOD($A40+INDEX(_xlfn.TEXTSPLIT(H95,",",),0,1)+$A$18,$A$18))/4,0),ROUNDUP(IF(MOD(H$18+INDEX(_xlfn.TEXTSPLIT(H95,",",),0,2)+$A$18,$A$18)=0,$A$18,MOD(H$18+INDEX(_xlfn.TEXTSPLIT(H95,",",),0,2)+$A$18,$A$18))/4,0)))+(INDEX($AD$2:$AK$9,ROUNDUP(IF(MOD($A40+INDEX(_xlfn.TEXTSPLIT(H138,",",),0,1)+$A$18,$A$18)=0,$A$18,MOD($A40+INDEX(_xlfn.TEXTSPLIT(H138,",",),0,1)+$A$18,$A$18))/5,0),ROUNDUP(IF(MOD(H$18+INDEX(_xlfn.TEXTSPLIT(H138,",",),0,2)+$A$18,$A$18)=0,$A$18,MOD(H$18+INDEX(_xlfn.TEXTSPLIT(H138,",",),0,2)+$A$18,$A$18))/5,0)))</f>
        <v>3</v>
      </c>
      <c r="I40" s="1" cm="1">
        <f t="array" aca="1" ref="I40" ca="1">(INDEX($K$2:$T$11,ROUNDUP(IF(MOD($A40+INDEX(_xlfn.TEXTSPLIT(I95,",",),0,1)+$A$18,$A$18)=0,$A$18,MOD($A40+INDEX(_xlfn.TEXTSPLIT(I95,",",),0,1)+$A$18,$A$18))/4,0),ROUNDUP(IF(MOD(I$18+INDEX(_xlfn.TEXTSPLIT(I95,",",),0,2)+$A$18,$A$18)=0,$A$18,MOD(I$18+INDEX(_xlfn.TEXTSPLIT(I95,",",),0,2)+$A$18,$A$18))/4,0)))+(INDEX($AD$2:$AK$9,ROUNDUP(IF(MOD($A40+INDEX(_xlfn.TEXTSPLIT(I138,",",),0,1)+$A$18,$A$18)=0,$A$18,MOD($A40+INDEX(_xlfn.TEXTSPLIT(I138,",",),0,1)+$A$18,$A$18))/5,0),ROUNDUP(IF(MOD(I$18+INDEX(_xlfn.TEXTSPLIT(I138,",",),0,2)+$A$18,$A$18)=0,$A$18,MOD(I$18+INDEX(_xlfn.TEXTSPLIT(I138,",",),0,2)+$A$18,$A$18))/5,0)))</f>
        <v>3</v>
      </c>
      <c r="J40" s="1" cm="1">
        <f t="array" aca="1" ref="J40" ca="1">(INDEX($K$2:$T$11,ROUNDUP(IF(MOD($A40+INDEX(_xlfn.TEXTSPLIT(J95,",",),0,1)+$A$18,$A$18)=0,$A$18,MOD($A40+INDEX(_xlfn.TEXTSPLIT(J95,",",),0,1)+$A$18,$A$18))/4,0),ROUNDUP(IF(MOD(J$18+INDEX(_xlfn.TEXTSPLIT(J95,",",),0,2)+$A$18,$A$18)=0,$A$18,MOD(J$18+INDEX(_xlfn.TEXTSPLIT(J95,",",),0,2)+$A$18,$A$18))/4,0)))+(INDEX($AD$2:$AK$9,ROUNDUP(IF(MOD($A40+INDEX(_xlfn.TEXTSPLIT(J138,",",),0,1)+$A$18,$A$18)=0,$A$18,MOD($A40+INDEX(_xlfn.TEXTSPLIT(J138,",",),0,1)+$A$18,$A$18))/5,0),ROUNDUP(IF(MOD(J$18+INDEX(_xlfn.TEXTSPLIT(J138,",",),0,2)+$A$18,$A$18)=0,$A$18,MOD(J$18+INDEX(_xlfn.TEXTSPLIT(J138,",",),0,2)+$A$18,$A$18))/5,0)))</f>
        <v>3</v>
      </c>
      <c r="K40" s="1" cm="1">
        <f t="array" aca="1" ref="K40" ca="1">(INDEX($K$2:$T$11,ROUNDUP(IF(MOD($A40+INDEX(_xlfn.TEXTSPLIT(K95,",",),0,1)+$A$18,$A$18)=0,$A$18,MOD($A40+INDEX(_xlfn.TEXTSPLIT(K95,",",),0,1)+$A$18,$A$18))/4,0),ROUNDUP(IF(MOD(K$18+INDEX(_xlfn.TEXTSPLIT(K95,",",),0,2)+$A$18,$A$18)=0,$A$18,MOD(K$18+INDEX(_xlfn.TEXTSPLIT(K95,",",),0,2)+$A$18,$A$18))/4,0)))+(INDEX($AD$2:$AK$9,ROUNDUP(IF(MOD($A40+INDEX(_xlfn.TEXTSPLIT(K138,",",),0,1)+$A$18,$A$18)=0,$A$18,MOD($A40+INDEX(_xlfn.TEXTSPLIT(K138,",",),0,1)+$A$18,$A$18))/5,0),ROUNDUP(IF(MOD(K$18+INDEX(_xlfn.TEXTSPLIT(K138,",",),0,2)+$A$18,$A$18)=0,$A$18,MOD(K$18+INDEX(_xlfn.TEXTSPLIT(K138,",",),0,2)+$A$18,$A$18))/5,0)))</f>
        <v>7</v>
      </c>
      <c r="L40" s="1" cm="1">
        <f t="array" aca="1" ref="L40" ca="1">(INDEX($K$2:$T$11,ROUNDUP(IF(MOD($A40+INDEX(_xlfn.TEXTSPLIT(L95,",",),0,1)+$A$18,$A$18)=0,$A$18,MOD($A40+INDEX(_xlfn.TEXTSPLIT(L95,",",),0,1)+$A$18,$A$18))/4,0),ROUNDUP(IF(MOD(L$18+INDEX(_xlfn.TEXTSPLIT(L95,",",),0,2)+$A$18,$A$18)=0,$A$18,MOD(L$18+INDEX(_xlfn.TEXTSPLIT(L95,",",),0,2)+$A$18,$A$18))/4,0)))+(INDEX($AD$2:$AK$9,ROUNDUP(IF(MOD($A40+INDEX(_xlfn.TEXTSPLIT(L138,",",),0,1)+$A$18,$A$18)=0,$A$18,MOD($A40+INDEX(_xlfn.TEXTSPLIT(L138,",",),0,1)+$A$18,$A$18))/5,0),ROUNDUP(IF(MOD(L$18+INDEX(_xlfn.TEXTSPLIT(L138,",",),0,2)+$A$18,$A$18)=0,$A$18,MOD(L$18+INDEX(_xlfn.TEXTSPLIT(L138,",",),0,2)+$A$18,$A$18))/5,0)))</f>
        <v>7</v>
      </c>
      <c r="M40" s="1" cm="1">
        <f t="array" aca="1" ref="M40" ca="1">(INDEX($K$2:$T$11,ROUNDUP(IF(MOD($A40+INDEX(_xlfn.TEXTSPLIT(M95,",",),0,1)+$A$18,$A$18)=0,$A$18,MOD($A40+INDEX(_xlfn.TEXTSPLIT(M95,",",),0,1)+$A$18,$A$18))/4,0),ROUNDUP(IF(MOD(M$18+INDEX(_xlfn.TEXTSPLIT(M95,",",),0,2)+$A$18,$A$18)=0,$A$18,MOD(M$18+INDEX(_xlfn.TEXTSPLIT(M95,",",),0,2)+$A$18,$A$18))/4,0)))+(INDEX($AD$2:$AK$9,ROUNDUP(IF(MOD($A40+INDEX(_xlfn.TEXTSPLIT(M138,",",),0,1)+$A$18,$A$18)=0,$A$18,MOD($A40+INDEX(_xlfn.TEXTSPLIT(M138,",",),0,1)+$A$18,$A$18))/5,0),ROUNDUP(IF(MOD(M$18+INDEX(_xlfn.TEXTSPLIT(M138,",",),0,2)+$A$18,$A$18)=0,$A$18,MOD(M$18+INDEX(_xlfn.TEXTSPLIT(M138,",",),0,2)+$A$18,$A$18))/5,0)))</f>
        <v>7</v>
      </c>
      <c r="N40" s="1" cm="1">
        <f t="array" aca="1" ref="N40" ca="1">(INDEX($K$2:$T$11,ROUNDUP(IF(MOD($A40+INDEX(_xlfn.TEXTSPLIT(N95,",",),0,1)+$A$18,$A$18)=0,$A$18,MOD($A40+INDEX(_xlfn.TEXTSPLIT(N95,",",),0,1)+$A$18,$A$18))/4,0),ROUNDUP(IF(MOD(N$18+INDEX(_xlfn.TEXTSPLIT(N95,",",),0,2)+$A$18,$A$18)=0,$A$18,MOD(N$18+INDEX(_xlfn.TEXTSPLIT(N95,",",),0,2)+$A$18,$A$18))/4,0)))+(INDEX($AD$2:$AK$9,ROUNDUP(IF(MOD($A40+INDEX(_xlfn.TEXTSPLIT(N138,",",),0,1)+$A$18,$A$18)=0,$A$18,MOD($A40+INDEX(_xlfn.TEXTSPLIT(N138,",",),0,1)+$A$18,$A$18))/5,0),ROUNDUP(IF(MOD(N$18+INDEX(_xlfn.TEXTSPLIT(N138,",",),0,2)+$A$18,$A$18)=0,$A$18,MOD(N$18+INDEX(_xlfn.TEXTSPLIT(N138,",",),0,2)+$A$18,$A$18))/5,0)))</f>
        <v>7</v>
      </c>
      <c r="O40" s="1" cm="1">
        <f t="array" aca="1" ref="O40" ca="1">(INDEX($K$2:$T$11,ROUNDUP(IF(MOD($A40+INDEX(_xlfn.TEXTSPLIT(O95,",",),0,1)+$A$18,$A$18)=0,$A$18,MOD($A40+INDEX(_xlfn.TEXTSPLIT(O95,",",),0,1)+$A$18,$A$18))/4,0),ROUNDUP(IF(MOD(O$18+INDEX(_xlfn.TEXTSPLIT(O95,",",),0,2)+$A$18,$A$18)=0,$A$18,MOD(O$18+INDEX(_xlfn.TEXTSPLIT(O95,",",),0,2)+$A$18,$A$18))/4,0)))+(INDEX($AD$2:$AK$9,ROUNDUP(IF(MOD($A40+INDEX(_xlfn.TEXTSPLIT(O138,",",),0,1)+$A$18,$A$18)=0,$A$18,MOD($A40+INDEX(_xlfn.TEXTSPLIT(O138,",",),0,1)+$A$18,$A$18))/5,0),ROUNDUP(IF(MOD(O$18+INDEX(_xlfn.TEXTSPLIT(O138,",",),0,2)+$A$18,$A$18)=0,$A$18,MOD(O$18+INDEX(_xlfn.TEXTSPLIT(O138,",",),0,2)+$A$18,$A$18))/5,0)))</f>
        <v>7</v>
      </c>
      <c r="P40" s="1" cm="1">
        <f t="array" aca="1" ref="P40" ca="1">(INDEX($K$2:$T$11,ROUNDUP(IF(MOD($A40+INDEX(_xlfn.TEXTSPLIT(P95,",",),0,1)+$A$18,$A$18)=0,$A$18,MOD($A40+INDEX(_xlfn.TEXTSPLIT(P95,",",),0,1)+$A$18,$A$18))/4,0),ROUNDUP(IF(MOD(P$18+INDEX(_xlfn.TEXTSPLIT(P95,",",),0,2)+$A$18,$A$18)=0,$A$18,MOD(P$18+INDEX(_xlfn.TEXTSPLIT(P95,",",),0,2)+$A$18,$A$18))/4,0)))+(INDEX($AD$2:$AK$9,ROUNDUP(IF(MOD($A40+INDEX(_xlfn.TEXTSPLIT(P138,",",),0,1)+$A$18,$A$18)=0,$A$18,MOD($A40+INDEX(_xlfn.TEXTSPLIT(P138,",",),0,1)+$A$18,$A$18))/5,0),ROUNDUP(IF(MOD(P$18+INDEX(_xlfn.TEXTSPLIT(P138,",",),0,2)+$A$18,$A$18)=0,$A$18,MOD(P$18+INDEX(_xlfn.TEXTSPLIT(P138,",",),0,2)+$A$18,$A$18))/5,0)))</f>
        <v>7</v>
      </c>
      <c r="Q40" s="1" cm="1">
        <f t="array" aca="1" ref="Q40" ca="1">(INDEX($K$2:$T$11,ROUNDUP(IF(MOD($A40+INDEX(_xlfn.TEXTSPLIT(Q95,",",),0,1)+$A$18,$A$18)=0,$A$18,MOD($A40+INDEX(_xlfn.TEXTSPLIT(Q95,",",),0,1)+$A$18,$A$18))/4,0),ROUNDUP(IF(MOD(Q$18+INDEX(_xlfn.TEXTSPLIT(Q95,",",),0,2)+$A$18,$A$18)=0,$A$18,MOD(Q$18+INDEX(_xlfn.TEXTSPLIT(Q95,",",),0,2)+$A$18,$A$18))/4,0)))+(INDEX($AD$2:$AK$9,ROUNDUP(IF(MOD($A40+INDEX(_xlfn.TEXTSPLIT(Q138,",",),0,1)+$A$18,$A$18)=0,$A$18,MOD($A40+INDEX(_xlfn.TEXTSPLIT(Q138,",",),0,1)+$A$18,$A$18))/5,0),ROUNDUP(IF(MOD(Q$18+INDEX(_xlfn.TEXTSPLIT(Q138,",",),0,2)+$A$18,$A$18)=0,$A$18,MOD(Q$18+INDEX(_xlfn.TEXTSPLIT(Q138,",",),0,2)+$A$18,$A$18))/5,0)))</f>
        <v>7</v>
      </c>
      <c r="R40" s="1" cm="1">
        <f t="array" aca="1" ref="R40" ca="1">(INDEX($K$2:$T$11,ROUNDUP(IF(MOD($A40+INDEX(_xlfn.TEXTSPLIT(R95,",",),0,1)+$A$18,$A$18)=0,$A$18,MOD($A40+INDEX(_xlfn.TEXTSPLIT(R95,",",),0,1)+$A$18,$A$18))/4,0),ROUNDUP(IF(MOD(R$18+INDEX(_xlfn.TEXTSPLIT(R95,",",),0,2)+$A$18,$A$18)=0,$A$18,MOD(R$18+INDEX(_xlfn.TEXTSPLIT(R95,",",),0,2)+$A$18,$A$18))/4,0)))+(INDEX($AD$2:$AK$9,ROUNDUP(IF(MOD($A40+INDEX(_xlfn.TEXTSPLIT(R138,",",),0,1)+$A$18,$A$18)=0,$A$18,MOD($A40+INDEX(_xlfn.TEXTSPLIT(R138,",",),0,1)+$A$18,$A$18))/5,0),ROUNDUP(IF(MOD(R$18+INDEX(_xlfn.TEXTSPLIT(R138,",",),0,2)+$A$18,$A$18)=0,$A$18,MOD(R$18+INDEX(_xlfn.TEXTSPLIT(R138,",",),0,2)+$A$18,$A$18))/5,0)))</f>
        <v>7</v>
      </c>
      <c r="S40" s="1" cm="1">
        <f t="array" aca="1" ref="S40" ca="1">(INDEX($K$2:$T$11,ROUNDUP(IF(MOD($A40+INDEX(_xlfn.TEXTSPLIT(S95,",",),0,1)+$A$18,$A$18)=0,$A$18,MOD($A40+INDEX(_xlfn.TEXTSPLIT(S95,",",),0,1)+$A$18,$A$18))/4,0),ROUNDUP(IF(MOD(S$18+INDEX(_xlfn.TEXTSPLIT(S95,",",),0,2)+$A$18,$A$18)=0,$A$18,MOD(S$18+INDEX(_xlfn.TEXTSPLIT(S95,",",),0,2)+$A$18,$A$18))/4,0)))+(INDEX($AD$2:$AK$9,ROUNDUP(IF(MOD($A40+INDEX(_xlfn.TEXTSPLIT(S138,",",),0,1)+$A$18,$A$18)=0,$A$18,MOD($A40+INDEX(_xlfn.TEXTSPLIT(S138,",",),0,1)+$A$18,$A$18))/5,0),ROUNDUP(IF(MOD(S$18+INDEX(_xlfn.TEXTSPLIT(S138,",",),0,2)+$A$18,$A$18)=0,$A$18,MOD(S$18+INDEX(_xlfn.TEXTSPLIT(S138,",",),0,2)+$A$18,$A$18))/5,0)))</f>
        <v>7</v>
      </c>
      <c r="T40" s="1" cm="1">
        <f t="array" aca="1" ref="T40" ca="1">(INDEX($K$2:$T$11,ROUNDUP(IF(MOD($A40+INDEX(_xlfn.TEXTSPLIT(T95,",",),0,1)+$A$18,$A$18)=0,$A$18,MOD($A40+INDEX(_xlfn.TEXTSPLIT(T95,",",),0,1)+$A$18,$A$18))/4,0),ROUNDUP(IF(MOD(T$18+INDEX(_xlfn.TEXTSPLIT(T95,",",),0,2)+$A$18,$A$18)=0,$A$18,MOD(T$18+INDEX(_xlfn.TEXTSPLIT(T95,",",),0,2)+$A$18,$A$18))/4,0)))+(INDEX($AD$2:$AK$9,ROUNDUP(IF(MOD($A40+INDEX(_xlfn.TEXTSPLIT(T138,",",),0,1)+$A$18,$A$18)=0,$A$18,MOD($A40+INDEX(_xlfn.TEXTSPLIT(T138,",",),0,1)+$A$18,$A$18))/5,0),ROUNDUP(IF(MOD(T$18+INDEX(_xlfn.TEXTSPLIT(T138,",",),0,2)+$A$18,$A$18)=0,$A$18,MOD(T$18+INDEX(_xlfn.TEXTSPLIT(T138,",",),0,2)+$A$18,$A$18))/5,0)))</f>
        <v>7</v>
      </c>
      <c r="U40" s="1" cm="1">
        <f t="array" aca="1" ref="U40" ca="1">(INDEX($K$2:$T$11,ROUNDUP(IF(MOD($A40+INDEX(_xlfn.TEXTSPLIT(U95,",",),0,1)+$A$18,$A$18)=0,$A$18,MOD($A40+INDEX(_xlfn.TEXTSPLIT(U95,",",),0,1)+$A$18,$A$18))/4,0),ROUNDUP(IF(MOD(U$18+INDEX(_xlfn.TEXTSPLIT(U95,",",),0,2)+$A$18,$A$18)=0,$A$18,MOD(U$18+INDEX(_xlfn.TEXTSPLIT(U95,",",),0,2)+$A$18,$A$18))/4,0)))+(INDEX($AD$2:$AK$9,ROUNDUP(IF(MOD($A40+INDEX(_xlfn.TEXTSPLIT(U138,",",),0,1)+$A$18,$A$18)=0,$A$18,MOD($A40+INDEX(_xlfn.TEXTSPLIT(U138,",",),0,1)+$A$18,$A$18))/5,0),ROUNDUP(IF(MOD(U$18+INDEX(_xlfn.TEXTSPLIT(U138,",",),0,2)+$A$18,$A$18)=0,$A$18,MOD(U$18+INDEX(_xlfn.TEXTSPLIT(U138,",",),0,2)+$A$18,$A$18))/5,0)))</f>
        <v>7</v>
      </c>
      <c r="V40" s="1" cm="1">
        <f t="array" aca="1" ref="V40" ca="1">(INDEX($K$2:$T$11,ROUNDUP(IF(MOD($A40+INDEX(_xlfn.TEXTSPLIT(V95,",",),0,1)+$A$18,$A$18)=0,$A$18,MOD($A40+INDEX(_xlfn.TEXTSPLIT(V95,",",),0,1)+$A$18,$A$18))/4,0),ROUNDUP(IF(MOD(V$18+INDEX(_xlfn.TEXTSPLIT(V95,",",),0,2)+$A$18,$A$18)=0,$A$18,MOD(V$18+INDEX(_xlfn.TEXTSPLIT(V95,",",),0,2)+$A$18,$A$18))/4,0)))+(INDEX($AD$2:$AK$9,ROUNDUP(IF(MOD($A40+INDEX(_xlfn.TEXTSPLIT(V138,",",),0,1)+$A$18,$A$18)=0,$A$18,MOD($A40+INDEX(_xlfn.TEXTSPLIT(V138,",",),0,1)+$A$18,$A$18))/5,0),ROUNDUP(IF(MOD(V$18+INDEX(_xlfn.TEXTSPLIT(V138,",",),0,2)+$A$18,$A$18)=0,$A$18,MOD(V$18+INDEX(_xlfn.TEXTSPLIT(V138,",",),0,2)+$A$18,$A$18))/5,0)))</f>
        <v>7</v>
      </c>
      <c r="W40" s="1" cm="1">
        <f t="array" aca="1" ref="W40" ca="1">(INDEX($K$2:$T$11,ROUNDUP(IF(MOD($A40+INDEX(_xlfn.TEXTSPLIT(W95,",",),0,1)+$A$18,$A$18)=0,$A$18,MOD($A40+INDEX(_xlfn.TEXTSPLIT(W95,",",),0,1)+$A$18,$A$18))/4,0),ROUNDUP(IF(MOD(W$18+INDEX(_xlfn.TEXTSPLIT(W95,",",),0,2)+$A$18,$A$18)=0,$A$18,MOD(W$18+INDEX(_xlfn.TEXTSPLIT(W95,",",),0,2)+$A$18,$A$18))/4,0)))+(INDEX($AD$2:$AK$9,ROUNDUP(IF(MOD($A40+INDEX(_xlfn.TEXTSPLIT(W138,",",),0,1)+$A$18,$A$18)=0,$A$18,MOD($A40+INDEX(_xlfn.TEXTSPLIT(W138,",",),0,1)+$A$18,$A$18))/5,0),ROUNDUP(IF(MOD(W$18+INDEX(_xlfn.TEXTSPLIT(W138,",",),0,2)+$A$18,$A$18)=0,$A$18,MOD(W$18+INDEX(_xlfn.TEXTSPLIT(W138,",",),0,2)+$A$18,$A$18))/5,0)))</f>
        <v>7</v>
      </c>
      <c r="X40" s="1" cm="1">
        <f t="array" aca="1" ref="X40" ca="1">(INDEX($K$2:$T$11,ROUNDUP(IF(MOD($A40+INDEX(_xlfn.TEXTSPLIT(X95,",",),0,1)+$A$18,$A$18)=0,$A$18,MOD($A40+INDEX(_xlfn.TEXTSPLIT(X95,",",),0,1)+$A$18,$A$18))/4,0),ROUNDUP(IF(MOD(X$18+INDEX(_xlfn.TEXTSPLIT(X95,",",),0,2)+$A$18,$A$18)=0,$A$18,MOD(X$18+INDEX(_xlfn.TEXTSPLIT(X95,",",),0,2)+$A$18,$A$18))/4,0)))+(INDEX($AD$2:$AK$9,ROUNDUP(IF(MOD($A40+INDEX(_xlfn.TEXTSPLIT(X138,",",),0,1)+$A$18,$A$18)=0,$A$18,MOD($A40+INDEX(_xlfn.TEXTSPLIT(X138,",",),0,1)+$A$18,$A$18))/5,0),ROUNDUP(IF(MOD(X$18+INDEX(_xlfn.TEXTSPLIT(X138,",",),0,2)+$A$18,$A$18)=0,$A$18,MOD(X$18+INDEX(_xlfn.TEXTSPLIT(X138,",",),0,2)+$A$18,$A$18))/5,0)))</f>
        <v>7</v>
      </c>
      <c r="Y40" s="1" cm="1">
        <f t="array" aca="1" ref="Y40" ca="1">(INDEX($K$2:$T$11,ROUNDUP(IF(MOD($A40+INDEX(_xlfn.TEXTSPLIT(Y95,",",),0,1)+$A$18,$A$18)=0,$A$18,MOD($A40+INDEX(_xlfn.TEXTSPLIT(Y95,",",),0,1)+$A$18,$A$18))/4,0),ROUNDUP(IF(MOD(Y$18+INDEX(_xlfn.TEXTSPLIT(Y95,",",),0,2)+$A$18,$A$18)=0,$A$18,MOD(Y$18+INDEX(_xlfn.TEXTSPLIT(Y95,",",),0,2)+$A$18,$A$18))/4,0)))+(INDEX($AD$2:$AK$9,ROUNDUP(IF(MOD($A40+INDEX(_xlfn.TEXTSPLIT(Y138,",",),0,1)+$A$18,$A$18)=0,$A$18,MOD($A40+INDEX(_xlfn.TEXTSPLIT(Y138,",",),0,1)+$A$18,$A$18))/5,0),ROUNDUP(IF(MOD(Y$18+INDEX(_xlfn.TEXTSPLIT(Y138,",",),0,2)+$A$18,$A$18)=0,$A$18,MOD(Y$18+INDEX(_xlfn.TEXTSPLIT(Y138,",",),0,2)+$A$18,$A$18))/5,0)))</f>
        <v>7</v>
      </c>
      <c r="Z40" s="1" cm="1">
        <f t="array" aca="1" ref="Z40" ca="1">(INDEX($K$2:$T$11,ROUNDUP(IF(MOD($A40+INDEX(_xlfn.TEXTSPLIT(Z95,",",),0,1)+$A$18,$A$18)=0,$A$18,MOD($A40+INDEX(_xlfn.TEXTSPLIT(Z95,",",),0,1)+$A$18,$A$18))/4,0),ROUNDUP(IF(MOD(Z$18+INDEX(_xlfn.TEXTSPLIT(Z95,",",),0,2)+$A$18,$A$18)=0,$A$18,MOD(Z$18+INDEX(_xlfn.TEXTSPLIT(Z95,",",),0,2)+$A$18,$A$18))/4,0)))+(INDEX($AD$2:$AK$9,ROUNDUP(IF(MOD($A40+INDEX(_xlfn.TEXTSPLIT(Z138,",",),0,1)+$A$18,$A$18)=0,$A$18,MOD($A40+INDEX(_xlfn.TEXTSPLIT(Z138,",",),0,1)+$A$18,$A$18))/5,0),ROUNDUP(IF(MOD(Z$18+INDEX(_xlfn.TEXTSPLIT(Z138,",",),0,2)+$A$18,$A$18)=0,$A$18,MOD(Z$18+INDEX(_xlfn.TEXTSPLIT(Z138,",",),0,2)+$A$18,$A$18))/5,0)))</f>
        <v>7</v>
      </c>
      <c r="AA40" s="1" cm="1">
        <f t="array" aca="1" ref="AA40" ca="1">(INDEX($K$2:$T$11,ROUNDUP(IF(MOD($A40+INDEX(_xlfn.TEXTSPLIT(AA95,",",),0,1)+$A$18,$A$18)=0,$A$18,MOD($A40+INDEX(_xlfn.TEXTSPLIT(AA95,",",),0,1)+$A$18,$A$18))/4,0),ROUNDUP(IF(MOD(AA$18+INDEX(_xlfn.TEXTSPLIT(AA95,",",),0,2)+$A$18,$A$18)=0,$A$18,MOD(AA$18+INDEX(_xlfn.TEXTSPLIT(AA95,",",),0,2)+$A$18,$A$18))/4,0)))+(INDEX($AD$2:$AK$9,ROUNDUP(IF(MOD($A40+INDEX(_xlfn.TEXTSPLIT(AA138,",",),0,1)+$A$18,$A$18)=0,$A$18,MOD($A40+INDEX(_xlfn.TEXTSPLIT(AA138,",",),0,1)+$A$18,$A$18))/5,0),ROUNDUP(IF(MOD(AA$18+INDEX(_xlfn.TEXTSPLIT(AA138,",",),0,2)+$A$18,$A$18)=0,$A$18,MOD(AA$18+INDEX(_xlfn.TEXTSPLIT(AA138,",",),0,2)+$A$18,$A$18))/5,0)))</f>
        <v>7</v>
      </c>
      <c r="AB40" s="1" cm="1">
        <f t="array" aca="1" ref="AB40" ca="1">(INDEX($K$2:$T$11,ROUNDUP(IF(MOD($A40+INDEX(_xlfn.TEXTSPLIT(AB95,",",),0,1)+$A$18,$A$18)=0,$A$18,MOD($A40+INDEX(_xlfn.TEXTSPLIT(AB95,",",),0,1)+$A$18,$A$18))/4,0),ROUNDUP(IF(MOD(AB$18+INDEX(_xlfn.TEXTSPLIT(AB95,",",),0,2)+$A$18,$A$18)=0,$A$18,MOD(AB$18+INDEX(_xlfn.TEXTSPLIT(AB95,",",),0,2)+$A$18,$A$18))/4,0)))+(INDEX($AD$2:$AK$9,ROUNDUP(IF(MOD($A40+INDEX(_xlfn.TEXTSPLIT(AB138,",",),0,1)+$A$18,$A$18)=0,$A$18,MOD($A40+INDEX(_xlfn.TEXTSPLIT(AB138,",",),0,1)+$A$18,$A$18))/5,0),ROUNDUP(IF(MOD(AB$18+INDEX(_xlfn.TEXTSPLIT(AB138,",",),0,2)+$A$18,$A$18)=0,$A$18,MOD(AB$18+INDEX(_xlfn.TEXTSPLIT(AB138,",",),0,2)+$A$18,$A$18))/5,0)))</f>
        <v>8</v>
      </c>
      <c r="AC40" s="1" cm="1">
        <f t="array" aca="1" ref="AC40" ca="1">(INDEX($K$2:$T$11,ROUNDUP(IF(MOD($A40+INDEX(_xlfn.TEXTSPLIT(AC95,",",),0,1)+$A$18,$A$18)=0,$A$18,MOD($A40+INDEX(_xlfn.TEXTSPLIT(AC95,",",),0,1)+$A$18,$A$18))/4,0),ROUNDUP(IF(MOD(AC$18+INDEX(_xlfn.TEXTSPLIT(AC95,",",),0,2)+$A$18,$A$18)=0,$A$18,MOD(AC$18+INDEX(_xlfn.TEXTSPLIT(AC95,",",),0,2)+$A$18,$A$18))/4,0)))+(INDEX($AD$2:$AK$9,ROUNDUP(IF(MOD($A40+INDEX(_xlfn.TEXTSPLIT(AC138,",",),0,1)+$A$18,$A$18)=0,$A$18,MOD($A40+INDEX(_xlfn.TEXTSPLIT(AC138,",",),0,1)+$A$18,$A$18))/5,0),ROUNDUP(IF(MOD(AC$18+INDEX(_xlfn.TEXTSPLIT(AC138,",",),0,2)+$A$18,$A$18)=0,$A$18,MOD(AC$18+INDEX(_xlfn.TEXTSPLIT(AC138,",",),0,2)+$A$18,$A$18))/5,0)))</f>
        <v>8</v>
      </c>
      <c r="AD40" s="1" cm="1">
        <f t="array" aca="1" ref="AD40" ca="1">(INDEX($K$2:$T$11,ROUNDUP(IF(MOD($A40+INDEX(_xlfn.TEXTSPLIT(AD95,",",),0,1)+$A$18,$A$18)=0,$A$18,MOD($A40+INDEX(_xlfn.TEXTSPLIT(AD95,",",),0,1)+$A$18,$A$18))/4,0),ROUNDUP(IF(MOD(AD$18+INDEX(_xlfn.TEXTSPLIT(AD95,",",),0,2)+$A$18,$A$18)=0,$A$18,MOD(AD$18+INDEX(_xlfn.TEXTSPLIT(AD95,",",),0,2)+$A$18,$A$18))/4,0)))+(INDEX($AD$2:$AK$9,ROUNDUP(IF(MOD($A40+INDEX(_xlfn.TEXTSPLIT(AD138,",",),0,1)+$A$18,$A$18)=0,$A$18,MOD($A40+INDEX(_xlfn.TEXTSPLIT(AD138,",",),0,1)+$A$18,$A$18))/5,0),ROUNDUP(IF(MOD(AD$18+INDEX(_xlfn.TEXTSPLIT(AD138,",",),0,2)+$A$18,$A$18)=0,$A$18,MOD(AD$18+INDEX(_xlfn.TEXTSPLIT(AD138,",",),0,2)+$A$18,$A$18))/5,0)))</f>
        <v>8</v>
      </c>
      <c r="AE40" s="1" cm="1">
        <f t="array" aca="1" ref="AE40" ca="1">(INDEX($K$2:$T$11,ROUNDUP(IF(MOD($A40+INDEX(_xlfn.TEXTSPLIT(AE95,",",),0,1)+$A$18,$A$18)=0,$A$18,MOD($A40+INDEX(_xlfn.TEXTSPLIT(AE95,",",),0,1)+$A$18,$A$18))/4,0),ROUNDUP(IF(MOD(AE$18+INDEX(_xlfn.TEXTSPLIT(AE95,",",),0,2)+$A$18,$A$18)=0,$A$18,MOD(AE$18+INDEX(_xlfn.TEXTSPLIT(AE95,",",),0,2)+$A$18,$A$18))/4,0)))+(INDEX($AD$2:$AK$9,ROUNDUP(IF(MOD($A40+INDEX(_xlfn.TEXTSPLIT(AE138,",",),0,1)+$A$18,$A$18)=0,$A$18,MOD($A40+INDEX(_xlfn.TEXTSPLIT(AE138,",",),0,1)+$A$18,$A$18))/5,0),ROUNDUP(IF(MOD(AE$18+INDEX(_xlfn.TEXTSPLIT(AE138,",",),0,2)+$A$18,$A$18)=0,$A$18,MOD(AE$18+INDEX(_xlfn.TEXTSPLIT(AE138,",",),0,2)+$A$18,$A$18))/5,0)))</f>
        <v>8</v>
      </c>
      <c r="AF40" s="1" cm="1">
        <f t="array" aca="1" ref="AF40" ca="1">(INDEX($K$2:$T$11,ROUNDUP(IF(MOD($A40+INDEX(_xlfn.TEXTSPLIT(AF95,",",),0,1)+$A$18,$A$18)=0,$A$18,MOD($A40+INDEX(_xlfn.TEXTSPLIT(AF95,",",),0,1)+$A$18,$A$18))/4,0),ROUNDUP(IF(MOD(AF$18+INDEX(_xlfn.TEXTSPLIT(AF95,",",),0,2)+$A$18,$A$18)=0,$A$18,MOD(AF$18+INDEX(_xlfn.TEXTSPLIT(AF95,",",),0,2)+$A$18,$A$18))/4,0)))+(INDEX($AD$2:$AK$9,ROUNDUP(IF(MOD($A40+INDEX(_xlfn.TEXTSPLIT(AF138,",",),0,1)+$A$18,$A$18)=0,$A$18,MOD($A40+INDEX(_xlfn.TEXTSPLIT(AF138,",",),0,1)+$A$18,$A$18))/5,0),ROUNDUP(IF(MOD(AF$18+INDEX(_xlfn.TEXTSPLIT(AF138,",",),0,2)+$A$18,$A$18)=0,$A$18,MOD(AF$18+INDEX(_xlfn.TEXTSPLIT(AF138,",",),0,2)+$A$18,$A$18))/5,0)))</f>
        <v>8</v>
      </c>
      <c r="AG40" s="1" cm="1">
        <f t="array" aca="1" ref="AG40" ca="1">(INDEX($K$2:$T$11,ROUNDUP(IF(MOD($A40+INDEX(_xlfn.TEXTSPLIT(AG95,",",),0,1)+$A$18,$A$18)=0,$A$18,MOD($A40+INDEX(_xlfn.TEXTSPLIT(AG95,",",),0,1)+$A$18,$A$18))/4,0),ROUNDUP(IF(MOD(AG$18+INDEX(_xlfn.TEXTSPLIT(AG95,",",),0,2)+$A$18,$A$18)=0,$A$18,MOD(AG$18+INDEX(_xlfn.TEXTSPLIT(AG95,",",),0,2)+$A$18,$A$18))/4,0)))+(INDEX($AD$2:$AK$9,ROUNDUP(IF(MOD($A40+INDEX(_xlfn.TEXTSPLIT(AG138,",",),0,1)+$A$18,$A$18)=0,$A$18,MOD($A40+INDEX(_xlfn.TEXTSPLIT(AG138,",",),0,1)+$A$18,$A$18))/5,0),ROUNDUP(IF(MOD(AG$18+INDEX(_xlfn.TEXTSPLIT(AG138,",",),0,2)+$A$18,$A$18)=0,$A$18,MOD(AG$18+INDEX(_xlfn.TEXTSPLIT(AG138,",",),0,2)+$A$18,$A$18))/5,0)))</f>
        <v>7</v>
      </c>
      <c r="AH40" s="1" cm="1">
        <f t="array" aca="1" ref="AH40" ca="1">(INDEX($K$2:$T$11,ROUNDUP(IF(MOD($A40+INDEX(_xlfn.TEXTSPLIT(AH95,",",),0,1)+$A$18,$A$18)=0,$A$18,MOD($A40+INDEX(_xlfn.TEXTSPLIT(AH95,",",),0,1)+$A$18,$A$18))/4,0),ROUNDUP(IF(MOD(AH$18+INDEX(_xlfn.TEXTSPLIT(AH95,",",),0,2)+$A$18,$A$18)=0,$A$18,MOD(AH$18+INDEX(_xlfn.TEXTSPLIT(AH95,",",),0,2)+$A$18,$A$18))/4,0)))+(INDEX($AD$2:$AK$9,ROUNDUP(IF(MOD($A40+INDEX(_xlfn.TEXTSPLIT(AH138,",",),0,1)+$A$18,$A$18)=0,$A$18,MOD($A40+INDEX(_xlfn.TEXTSPLIT(AH138,",",),0,1)+$A$18,$A$18))/5,0),ROUNDUP(IF(MOD(AH$18+INDEX(_xlfn.TEXTSPLIT(AH138,",",),0,2)+$A$18,$A$18)=0,$A$18,MOD(AH$18+INDEX(_xlfn.TEXTSPLIT(AH138,",",),0,2)+$A$18,$A$18))/5,0)))</f>
        <v>7</v>
      </c>
      <c r="AI40" s="1" cm="1">
        <f t="array" aca="1" ref="AI40" ca="1">(INDEX($K$2:$T$11,ROUNDUP(IF(MOD($A40+INDEX(_xlfn.TEXTSPLIT(AI95,",",),0,1)+$A$18,$A$18)=0,$A$18,MOD($A40+INDEX(_xlfn.TEXTSPLIT(AI95,",",),0,1)+$A$18,$A$18))/4,0),ROUNDUP(IF(MOD(AI$18+INDEX(_xlfn.TEXTSPLIT(AI95,",",),0,2)+$A$18,$A$18)=0,$A$18,MOD(AI$18+INDEX(_xlfn.TEXTSPLIT(AI95,",",),0,2)+$A$18,$A$18))/4,0)))+(INDEX($AD$2:$AK$9,ROUNDUP(IF(MOD($A40+INDEX(_xlfn.TEXTSPLIT(AI138,",",),0,1)+$A$18,$A$18)=0,$A$18,MOD($A40+INDEX(_xlfn.TEXTSPLIT(AI138,",",),0,1)+$A$18,$A$18))/5,0),ROUNDUP(IF(MOD(AI$18+INDEX(_xlfn.TEXTSPLIT(AI138,",",),0,2)+$A$18,$A$18)=0,$A$18,MOD(AI$18+INDEX(_xlfn.TEXTSPLIT(AI138,",",),0,2)+$A$18,$A$18))/5,0)))</f>
        <v>7</v>
      </c>
      <c r="AJ40" s="1" cm="1">
        <f t="array" aca="1" ref="AJ40" ca="1">(INDEX($K$2:$T$11,ROUNDUP(IF(MOD($A40+INDEX(_xlfn.TEXTSPLIT(AJ95,",",),0,1)+$A$18,$A$18)=0,$A$18,MOD($A40+INDEX(_xlfn.TEXTSPLIT(AJ95,",",),0,1)+$A$18,$A$18))/4,0),ROUNDUP(IF(MOD(AJ$18+INDEX(_xlfn.TEXTSPLIT(AJ95,",",),0,2)+$A$18,$A$18)=0,$A$18,MOD(AJ$18+INDEX(_xlfn.TEXTSPLIT(AJ95,",",),0,2)+$A$18,$A$18))/4,0)))+(INDEX($AD$2:$AK$9,ROUNDUP(IF(MOD($A40+INDEX(_xlfn.TEXTSPLIT(AJ138,",",),0,1)+$A$18,$A$18)=0,$A$18,MOD($A40+INDEX(_xlfn.TEXTSPLIT(AJ138,",",),0,1)+$A$18,$A$18))/5,0),ROUNDUP(IF(MOD(AJ$18+INDEX(_xlfn.TEXTSPLIT(AJ138,",",),0,2)+$A$18,$A$18)=0,$A$18,MOD(AJ$18+INDEX(_xlfn.TEXTSPLIT(AJ138,",",),0,2)+$A$18,$A$18))/5,0)))</f>
        <v>8</v>
      </c>
      <c r="AK40" s="1" cm="1">
        <f t="array" aca="1" ref="AK40" ca="1">(INDEX($K$2:$T$11,ROUNDUP(IF(MOD($A40+INDEX(_xlfn.TEXTSPLIT(AK95,",",),0,1)+$A$18,$A$18)=0,$A$18,MOD($A40+INDEX(_xlfn.TEXTSPLIT(AK95,",",),0,1)+$A$18,$A$18))/4,0),ROUNDUP(IF(MOD(AK$18+INDEX(_xlfn.TEXTSPLIT(AK95,",",),0,2)+$A$18,$A$18)=0,$A$18,MOD(AK$18+INDEX(_xlfn.TEXTSPLIT(AK95,",",),0,2)+$A$18,$A$18))/4,0)))+(INDEX($AD$2:$AK$9,ROUNDUP(IF(MOD($A40+INDEX(_xlfn.TEXTSPLIT(AK138,",",),0,1)+$A$18,$A$18)=0,$A$18,MOD($A40+INDEX(_xlfn.TEXTSPLIT(AK138,",",),0,1)+$A$18,$A$18))/5,0),ROUNDUP(IF(MOD(AK$18+INDEX(_xlfn.TEXTSPLIT(AK138,",",),0,2)+$A$18,$A$18)=0,$A$18,MOD(AK$18+INDEX(_xlfn.TEXTSPLIT(AK138,",",),0,2)+$A$18,$A$18))/5,0)))</f>
        <v>8</v>
      </c>
      <c r="AL40" s="1" cm="1">
        <f t="array" aca="1" ref="AL40" ca="1">(INDEX($K$2:$T$11,ROUNDUP(IF(MOD($A40+INDEX(_xlfn.TEXTSPLIT(AL95,",",),0,1)+$A$18,$A$18)=0,$A$18,MOD($A40+INDEX(_xlfn.TEXTSPLIT(AL95,",",),0,1)+$A$18,$A$18))/4,0),ROUNDUP(IF(MOD(AL$18+INDEX(_xlfn.TEXTSPLIT(AL95,",",),0,2)+$A$18,$A$18)=0,$A$18,MOD(AL$18+INDEX(_xlfn.TEXTSPLIT(AL95,",",),0,2)+$A$18,$A$18))/4,0)))+(INDEX($AD$2:$AK$9,ROUNDUP(IF(MOD($A40+INDEX(_xlfn.TEXTSPLIT(AL138,",",),0,1)+$A$18,$A$18)=0,$A$18,MOD($A40+INDEX(_xlfn.TEXTSPLIT(AL138,",",),0,1)+$A$18,$A$18))/5,0),ROUNDUP(IF(MOD(AL$18+INDEX(_xlfn.TEXTSPLIT(AL138,",",),0,2)+$A$18,$A$18)=0,$A$18,MOD(AL$18+INDEX(_xlfn.TEXTSPLIT(AL138,",",),0,2)+$A$18,$A$18))/5,0)))</f>
        <v>8</v>
      </c>
      <c r="AM40" s="1" cm="1">
        <f t="array" aca="1" ref="AM40" ca="1">(INDEX($K$2:$T$11,ROUNDUP(IF(MOD($A40+INDEX(_xlfn.TEXTSPLIT(AM95,",",),0,1)+$A$18,$A$18)=0,$A$18,MOD($A40+INDEX(_xlfn.TEXTSPLIT(AM95,",",),0,1)+$A$18,$A$18))/4,0),ROUNDUP(IF(MOD(AM$18+INDEX(_xlfn.TEXTSPLIT(AM95,",",),0,2)+$A$18,$A$18)=0,$A$18,MOD(AM$18+INDEX(_xlfn.TEXTSPLIT(AM95,",",),0,2)+$A$18,$A$18))/4,0)))+(INDEX($AD$2:$AK$9,ROUNDUP(IF(MOD($A40+INDEX(_xlfn.TEXTSPLIT(AM138,",",),0,1)+$A$18,$A$18)=0,$A$18,MOD($A40+INDEX(_xlfn.TEXTSPLIT(AM138,",",),0,1)+$A$18,$A$18))/5,0),ROUNDUP(IF(MOD(AM$18+INDEX(_xlfn.TEXTSPLIT(AM138,",",),0,2)+$A$18,$A$18)=0,$A$18,MOD(AM$18+INDEX(_xlfn.TEXTSPLIT(AM138,",",),0,2)+$A$18,$A$18))/5,0)))</f>
        <v>8</v>
      </c>
      <c r="AN40" s="1" cm="1">
        <f t="array" aca="1" ref="AN40" ca="1">(INDEX($K$2:$T$11,ROUNDUP(IF(MOD($A40+INDEX(_xlfn.TEXTSPLIT(AN95,",",),0,1)+$A$18,$A$18)=0,$A$18,MOD($A40+INDEX(_xlfn.TEXTSPLIT(AN95,",",),0,1)+$A$18,$A$18))/4,0),ROUNDUP(IF(MOD(AN$18+INDEX(_xlfn.TEXTSPLIT(AN95,",",),0,2)+$A$18,$A$18)=0,$A$18,MOD(AN$18+INDEX(_xlfn.TEXTSPLIT(AN95,",",),0,2)+$A$18,$A$18))/4,0)))+(INDEX($AD$2:$AK$9,ROUNDUP(IF(MOD($A40+INDEX(_xlfn.TEXTSPLIT(AN138,",",),0,1)+$A$18,$A$18)=0,$A$18,MOD($A40+INDEX(_xlfn.TEXTSPLIT(AN138,",",),0,1)+$A$18,$A$18))/5,0),ROUNDUP(IF(MOD(AN$18+INDEX(_xlfn.TEXTSPLIT(AN138,",",),0,2)+$A$18,$A$18)=0,$A$18,MOD(AN$18+INDEX(_xlfn.TEXTSPLIT(AN138,",",),0,2)+$A$18,$A$18))/5,0)))</f>
        <v>8</v>
      </c>
      <c r="AO40" s="1" cm="1">
        <f t="array" aca="1" ref="AO40" ca="1">(INDEX($K$2:$T$11,ROUNDUP(IF(MOD($A40+INDEX(_xlfn.TEXTSPLIT(AO95,",",),0,1)+$A$18,$A$18)=0,$A$18,MOD($A40+INDEX(_xlfn.TEXTSPLIT(AO95,",",),0,1)+$A$18,$A$18))/4,0),ROUNDUP(IF(MOD(AO$18+INDEX(_xlfn.TEXTSPLIT(AO95,",",),0,2)+$A$18,$A$18)=0,$A$18,MOD(AO$18+INDEX(_xlfn.TEXTSPLIT(AO95,",",),0,2)+$A$18,$A$18))/4,0)))+(INDEX($AD$2:$AK$9,ROUNDUP(IF(MOD($A40+INDEX(_xlfn.TEXTSPLIT(AO138,",",),0,1)+$A$18,$A$18)=0,$A$18,MOD($A40+INDEX(_xlfn.TEXTSPLIT(AO138,",",),0,1)+$A$18,$A$18))/5,0),ROUNDUP(IF(MOD(AO$18+INDEX(_xlfn.TEXTSPLIT(AO138,",",),0,2)+$A$18,$A$18)=0,$A$18,MOD(AO$18+INDEX(_xlfn.TEXTSPLIT(AO138,",",),0,2)+$A$18,$A$18))/5,0)))</f>
        <v>8</v>
      </c>
    </row>
    <row r="41" spans="1:41" ht="12.75">
      <c r="A41" s="1">
        <v>23</v>
      </c>
      <c r="B41" s="1" cm="1">
        <f t="array" aca="1" ref="B41" ca="1">(INDEX($K$2:$T$11,ROUNDUP(IF(MOD($A41+INDEX(_xlfn.TEXTSPLIT(B96,",",),0,1)+$A$18,$A$18)=0,$A$18,MOD($A41+INDEX(_xlfn.TEXTSPLIT(B96,",",),0,1)+$A$18,$A$18))/4,0),ROUNDUP(IF(MOD(B$18+INDEX(_xlfn.TEXTSPLIT(B96,",",),0,2)+$A$18,$A$18)=0,$A$18,MOD(B$18+INDEX(_xlfn.TEXTSPLIT(B96,",",),0,2)+$A$18,$A$18))/4,0)))+(INDEX($AD$2:$AK$9,ROUNDUP(IF(MOD($A41+INDEX(_xlfn.TEXTSPLIT(B139,",",),0,1)+$A$18,$A$18)=0,$A$18,MOD($A41+INDEX(_xlfn.TEXTSPLIT(B139,",",),0,1)+$A$18,$A$18))/5,0),ROUNDUP(IF(MOD(B$18+INDEX(_xlfn.TEXTSPLIT(B139,",",),0,2)+$A$18,$A$18)=0,$A$18,MOD(B$18+INDEX(_xlfn.TEXTSPLIT(B139,",",),0,2)+$A$18,$A$18))/5,0)))</f>
        <v>8</v>
      </c>
      <c r="C41" s="1" cm="1">
        <f t="array" aca="1" ref="C41" ca="1">(INDEX($K$2:$T$11,ROUNDUP(IF(MOD($A41+INDEX(_xlfn.TEXTSPLIT(C96,",",),0,1)+$A$18,$A$18)=0,$A$18,MOD($A41+INDEX(_xlfn.TEXTSPLIT(C96,",",),0,1)+$A$18,$A$18))/4,0),ROUNDUP(IF(MOD(C$18+INDEX(_xlfn.TEXTSPLIT(C96,",",),0,2)+$A$18,$A$18)=0,$A$18,MOD(C$18+INDEX(_xlfn.TEXTSPLIT(C96,",",),0,2)+$A$18,$A$18))/4,0)))+(INDEX($AD$2:$AK$9,ROUNDUP(IF(MOD($A41+INDEX(_xlfn.TEXTSPLIT(C139,",",),0,1)+$A$18,$A$18)=0,$A$18,MOD($A41+INDEX(_xlfn.TEXTSPLIT(C139,",",),0,1)+$A$18,$A$18))/5,0),ROUNDUP(IF(MOD(C$18+INDEX(_xlfn.TEXTSPLIT(C139,",",),0,2)+$A$18,$A$18)=0,$A$18,MOD(C$18+INDEX(_xlfn.TEXTSPLIT(C139,",",),0,2)+$A$18,$A$18))/5,0)))</f>
        <v>1</v>
      </c>
      <c r="D41" s="1" cm="1">
        <f t="array" aca="1" ref="D41" ca="1">(INDEX($K$2:$T$11,ROUNDUP(IF(MOD($A41+INDEX(_xlfn.TEXTSPLIT(D96,",",),0,1)+$A$18,$A$18)=0,$A$18,MOD($A41+INDEX(_xlfn.TEXTSPLIT(D96,",",),0,1)+$A$18,$A$18))/4,0),ROUNDUP(IF(MOD(D$18+INDEX(_xlfn.TEXTSPLIT(D96,",",),0,2)+$A$18,$A$18)=0,$A$18,MOD(D$18+INDEX(_xlfn.TEXTSPLIT(D96,",",),0,2)+$A$18,$A$18))/4,0)))+(INDEX($AD$2:$AK$9,ROUNDUP(IF(MOD($A41+INDEX(_xlfn.TEXTSPLIT(D139,",",),0,1)+$A$18,$A$18)=0,$A$18,MOD($A41+INDEX(_xlfn.TEXTSPLIT(D139,",",),0,1)+$A$18,$A$18))/5,0),ROUNDUP(IF(MOD(D$18+INDEX(_xlfn.TEXTSPLIT(D139,",",),0,2)+$A$18,$A$18)=0,$A$18,MOD(D$18+INDEX(_xlfn.TEXTSPLIT(D139,",",),0,2)+$A$18,$A$18))/5,0)))</f>
        <v>1</v>
      </c>
      <c r="E41" s="1" cm="1">
        <f t="array" aca="1" ref="E41" ca="1">(INDEX($K$2:$T$11,ROUNDUP(IF(MOD($A41+INDEX(_xlfn.TEXTSPLIT(E96,",",),0,1)+$A$18,$A$18)=0,$A$18,MOD($A41+INDEX(_xlfn.TEXTSPLIT(E96,",",),0,1)+$A$18,$A$18))/4,0),ROUNDUP(IF(MOD(E$18+INDEX(_xlfn.TEXTSPLIT(E96,",",),0,2)+$A$18,$A$18)=0,$A$18,MOD(E$18+INDEX(_xlfn.TEXTSPLIT(E96,",",),0,2)+$A$18,$A$18))/4,0)))+(INDEX($AD$2:$AK$9,ROUNDUP(IF(MOD($A41+INDEX(_xlfn.TEXTSPLIT(E139,",",),0,1)+$A$18,$A$18)=0,$A$18,MOD($A41+INDEX(_xlfn.TEXTSPLIT(E139,",",),0,1)+$A$18,$A$18))/5,0),ROUNDUP(IF(MOD(E$18+INDEX(_xlfn.TEXTSPLIT(E139,",",),0,2)+$A$18,$A$18)=0,$A$18,MOD(E$18+INDEX(_xlfn.TEXTSPLIT(E139,",",),0,2)+$A$18,$A$18))/5,0)))</f>
        <v>1</v>
      </c>
      <c r="F41" s="1" cm="1">
        <f t="array" aca="1" ref="F41" ca="1">(INDEX($K$2:$T$11,ROUNDUP(IF(MOD($A41+INDEX(_xlfn.TEXTSPLIT(F96,",",),0,1)+$A$18,$A$18)=0,$A$18,MOD($A41+INDEX(_xlfn.TEXTSPLIT(F96,",",),0,1)+$A$18,$A$18))/4,0),ROUNDUP(IF(MOD(F$18+INDEX(_xlfn.TEXTSPLIT(F96,",",),0,2)+$A$18,$A$18)=0,$A$18,MOD(F$18+INDEX(_xlfn.TEXTSPLIT(F96,",",),0,2)+$A$18,$A$18))/4,0)))+(INDEX($AD$2:$AK$9,ROUNDUP(IF(MOD($A41+INDEX(_xlfn.TEXTSPLIT(F139,",",),0,1)+$A$18,$A$18)=0,$A$18,MOD($A41+INDEX(_xlfn.TEXTSPLIT(F139,",",),0,1)+$A$18,$A$18))/5,0),ROUNDUP(IF(MOD(F$18+INDEX(_xlfn.TEXTSPLIT(F139,",",),0,2)+$A$18,$A$18)=0,$A$18,MOD(F$18+INDEX(_xlfn.TEXTSPLIT(F139,",",),0,2)+$A$18,$A$18))/5,0)))</f>
        <v>1</v>
      </c>
      <c r="G41" s="1" cm="1">
        <f t="array" aca="1" ref="G41" ca="1">(INDEX($K$2:$T$11,ROUNDUP(IF(MOD($A41+INDEX(_xlfn.TEXTSPLIT(G96,",",),0,1)+$A$18,$A$18)=0,$A$18,MOD($A41+INDEX(_xlfn.TEXTSPLIT(G96,",",),0,1)+$A$18,$A$18))/4,0),ROUNDUP(IF(MOD(G$18+INDEX(_xlfn.TEXTSPLIT(G96,",",),0,2)+$A$18,$A$18)=0,$A$18,MOD(G$18+INDEX(_xlfn.TEXTSPLIT(G96,",",),0,2)+$A$18,$A$18))/4,0)))+(INDEX($AD$2:$AK$9,ROUNDUP(IF(MOD($A41+INDEX(_xlfn.TEXTSPLIT(G139,",",),0,1)+$A$18,$A$18)=0,$A$18,MOD($A41+INDEX(_xlfn.TEXTSPLIT(G139,",",),0,1)+$A$18,$A$18))/5,0),ROUNDUP(IF(MOD(G$18+INDEX(_xlfn.TEXTSPLIT(G139,",",),0,2)+$A$18,$A$18)=0,$A$18,MOD(G$18+INDEX(_xlfn.TEXTSPLIT(G139,",",),0,2)+$A$18,$A$18))/5,0)))</f>
        <v>3</v>
      </c>
      <c r="H41" s="1" cm="1">
        <f t="array" aca="1" ref="H41" ca="1">(INDEX($K$2:$T$11,ROUNDUP(IF(MOD($A41+INDEX(_xlfn.TEXTSPLIT(H96,",",),0,1)+$A$18,$A$18)=0,$A$18,MOD($A41+INDEX(_xlfn.TEXTSPLIT(H96,",",),0,1)+$A$18,$A$18))/4,0),ROUNDUP(IF(MOD(H$18+INDEX(_xlfn.TEXTSPLIT(H96,",",),0,2)+$A$18,$A$18)=0,$A$18,MOD(H$18+INDEX(_xlfn.TEXTSPLIT(H96,",",),0,2)+$A$18,$A$18))/4,0)))+(INDEX($AD$2:$AK$9,ROUNDUP(IF(MOD($A41+INDEX(_xlfn.TEXTSPLIT(H139,",",),0,1)+$A$18,$A$18)=0,$A$18,MOD($A41+INDEX(_xlfn.TEXTSPLIT(H139,",",),0,1)+$A$18,$A$18))/5,0),ROUNDUP(IF(MOD(H$18+INDEX(_xlfn.TEXTSPLIT(H139,",",),0,2)+$A$18,$A$18)=0,$A$18,MOD(H$18+INDEX(_xlfn.TEXTSPLIT(H139,",",),0,2)+$A$18,$A$18))/5,0)))</f>
        <v>3</v>
      </c>
      <c r="I41" s="1" cm="1">
        <f t="array" aca="1" ref="I41" ca="1">(INDEX($K$2:$T$11,ROUNDUP(IF(MOD($A41+INDEX(_xlfn.TEXTSPLIT(I96,",",),0,1)+$A$18,$A$18)=0,$A$18,MOD($A41+INDEX(_xlfn.TEXTSPLIT(I96,",",),0,1)+$A$18,$A$18))/4,0),ROUNDUP(IF(MOD(I$18+INDEX(_xlfn.TEXTSPLIT(I96,",",),0,2)+$A$18,$A$18)=0,$A$18,MOD(I$18+INDEX(_xlfn.TEXTSPLIT(I96,",",),0,2)+$A$18,$A$18))/4,0)))+(INDEX($AD$2:$AK$9,ROUNDUP(IF(MOD($A41+INDEX(_xlfn.TEXTSPLIT(I139,",",),0,1)+$A$18,$A$18)=0,$A$18,MOD($A41+INDEX(_xlfn.TEXTSPLIT(I139,",",),0,1)+$A$18,$A$18))/5,0),ROUNDUP(IF(MOD(I$18+INDEX(_xlfn.TEXTSPLIT(I139,",",),0,2)+$A$18,$A$18)=0,$A$18,MOD(I$18+INDEX(_xlfn.TEXTSPLIT(I139,",",),0,2)+$A$18,$A$18))/5,0)))</f>
        <v>3</v>
      </c>
      <c r="J41" s="1" cm="1">
        <f t="array" aca="1" ref="J41" ca="1">(INDEX($K$2:$T$11,ROUNDUP(IF(MOD($A41+INDEX(_xlfn.TEXTSPLIT(J96,",",),0,1)+$A$18,$A$18)=0,$A$18,MOD($A41+INDEX(_xlfn.TEXTSPLIT(J96,",",),0,1)+$A$18,$A$18))/4,0),ROUNDUP(IF(MOD(J$18+INDEX(_xlfn.TEXTSPLIT(J96,",",),0,2)+$A$18,$A$18)=0,$A$18,MOD(J$18+INDEX(_xlfn.TEXTSPLIT(J96,",",),0,2)+$A$18,$A$18))/4,0)))+(INDEX($AD$2:$AK$9,ROUNDUP(IF(MOD($A41+INDEX(_xlfn.TEXTSPLIT(J139,",",),0,1)+$A$18,$A$18)=0,$A$18,MOD($A41+INDEX(_xlfn.TEXTSPLIT(J139,",",),0,1)+$A$18,$A$18))/5,0),ROUNDUP(IF(MOD(J$18+INDEX(_xlfn.TEXTSPLIT(J139,",",),0,2)+$A$18,$A$18)=0,$A$18,MOD(J$18+INDEX(_xlfn.TEXTSPLIT(J139,",",),0,2)+$A$18,$A$18))/5,0)))</f>
        <v>7</v>
      </c>
      <c r="K41" s="1" cm="1">
        <f t="array" aca="1" ref="K41" ca="1">(INDEX($K$2:$T$11,ROUNDUP(IF(MOD($A41+INDEX(_xlfn.TEXTSPLIT(K96,",",),0,1)+$A$18,$A$18)=0,$A$18,MOD($A41+INDEX(_xlfn.TEXTSPLIT(K96,",",),0,1)+$A$18,$A$18))/4,0),ROUNDUP(IF(MOD(K$18+INDEX(_xlfn.TEXTSPLIT(K96,",",),0,2)+$A$18,$A$18)=0,$A$18,MOD(K$18+INDEX(_xlfn.TEXTSPLIT(K96,",",),0,2)+$A$18,$A$18))/4,0)))+(INDEX($AD$2:$AK$9,ROUNDUP(IF(MOD($A41+INDEX(_xlfn.TEXTSPLIT(K139,",",),0,1)+$A$18,$A$18)=0,$A$18,MOD($A41+INDEX(_xlfn.TEXTSPLIT(K139,",",),0,1)+$A$18,$A$18))/5,0),ROUNDUP(IF(MOD(K$18+INDEX(_xlfn.TEXTSPLIT(K139,",",),0,2)+$A$18,$A$18)=0,$A$18,MOD(K$18+INDEX(_xlfn.TEXTSPLIT(K139,",",),0,2)+$A$18,$A$18))/5,0)))</f>
        <v>7</v>
      </c>
      <c r="L41" s="1" cm="1">
        <f t="array" aca="1" ref="L41" ca="1">(INDEX($K$2:$T$11,ROUNDUP(IF(MOD($A41+INDEX(_xlfn.TEXTSPLIT(L96,",",),0,1)+$A$18,$A$18)=0,$A$18,MOD($A41+INDEX(_xlfn.TEXTSPLIT(L96,",",),0,1)+$A$18,$A$18))/4,0),ROUNDUP(IF(MOD(L$18+INDEX(_xlfn.TEXTSPLIT(L96,",",),0,2)+$A$18,$A$18)=0,$A$18,MOD(L$18+INDEX(_xlfn.TEXTSPLIT(L96,",",),0,2)+$A$18,$A$18))/4,0)))+(INDEX($AD$2:$AK$9,ROUNDUP(IF(MOD($A41+INDEX(_xlfn.TEXTSPLIT(L139,",",),0,1)+$A$18,$A$18)=0,$A$18,MOD($A41+INDEX(_xlfn.TEXTSPLIT(L139,",",),0,1)+$A$18,$A$18))/5,0),ROUNDUP(IF(MOD(L$18+INDEX(_xlfn.TEXTSPLIT(L139,",",),0,2)+$A$18,$A$18)=0,$A$18,MOD(L$18+INDEX(_xlfn.TEXTSPLIT(L139,",",),0,2)+$A$18,$A$18))/5,0)))</f>
        <v>7</v>
      </c>
      <c r="M41" s="1" cm="1">
        <f t="array" aca="1" ref="M41" ca="1">(INDEX($K$2:$T$11,ROUNDUP(IF(MOD($A41+INDEX(_xlfn.TEXTSPLIT(M96,",",),0,1)+$A$18,$A$18)=0,$A$18,MOD($A41+INDEX(_xlfn.TEXTSPLIT(M96,",",),0,1)+$A$18,$A$18))/4,0),ROUNDUP(IF(MOD(M$18+INDEX(_xlfn.TEXTSPLIT(M96,",",),0,2)+$A$18,$A$18)=0,$A$18,MOD(M$18+INDEX(_xlfn.TEXTSPLIT(M96,",",),0,2)+$A$18,$A$18))/4,0)))+(INDEX($AD$2:$AK$9,ROUNDUP(IF(MOD($A41+INDEX(_xlfn.TEXTSPLIT(M139,",",),0,1)+$A$18,$A$18)=0,$A$18,MOD($A41+INDEX(_xlfn.TEXTSPLIT(M139,",",),0,1)+$A$18,$A$18))/5,0),ROUNDUP(IF(MOD(M$18+INDEX(_xlfn.TEXTSPLIT(M139,",",),0,2)+$A$18,$A$18)=0,$A$18,MOD(M$18+INDEX(_xlfn.TEXTSPLIT(M139,",",),0,2)+$A$18,$A$18))/5,0)))</f>
        <v>7</v>
      </c>
      <c r="N41" s="1" cm="1">
        <f t="array" aca="1" ref="N41" ca="1">(INDEX($K$2:$T$11,ROUNDUP(IF(MOD($A41+INDEX(_xlfn.TEXTSPLIT(N96,",",),0,1)+$A$18,$A$18)=0,$A$18,MOD($A41+INDEX(_xlfn.TEXTSPLIT(N96,",",),0,1)+$A$18,$A$18))/4,0),ROUNDUP(IF(MOD(N$18+INDEX(_xlfn.TEXTSPLIT(N96,",",),0,2)+$A$18,$A$18)=0,$A$18,MOD(N$18+INDEX(_xlfn.TEXTSPLIT(N96,",",),0,2)+$A$18,$A$18))/4,0)))+(INDEX($AD$2:$AK$9,ROUNDUP(IF(MOD($A41+INDEX(_xlfn.TEXTSPLIT(N139,",",),0,1)+$A$18,$A$18)=0,$A$18,MOD($A41+INDEX(_xlfn.TEXTSPLIT(N139,",",),0,1)+$A$18,$A$18))/5,0),ROUNDUP(IF(MOD(N$18+INDEX(_xlfn.TEXTSPLIT(N139,",",),0,2)+$A$18,$A$18)=0,$A$18,MOD(N$18+INDEX(_xlfn.TEXTSPLIT(N139,",",),0,2)+$A$18,$A$18))/5,0)))</f>
        <v>7</v>
      </c>
      <c r="O41" s="1" cm="1">
        <f t="array" aca="1" ref="O41" ca="1">(INDEX($K$2:$T$11,ROUNDUP(IF(MOD($A41+INDEX(_xlfn.TEXTSPLIT(O96,",",),0,1)+$A$18,$A$18)=0,$A$18,MOD($A41+INDEX(_xlfn.TEXTSPLIT(O96,",",),0,1)+$A$18,$A$18))/4,0),ROUNDUP(IF(MOD(O$18+INDEX(_xlfn.TEXTSPLIT(O96,",",),0,2)+$A$18,$A$18)=0,$A$18,MOD(O$18+INDEX(_xlfn.TEXTSPLIT(O96,",",),0,2)+$A$18,$A$18))/4,0)))+(INDEX($AD$2:$AK$9,ROUNDUP(IF(MOD($A41+INDEX(_xlfn.TEXTSPLIT(O139,",",),0,1)+$A$18,$A$18)=0,$A$18,MOD($A41+INDEX(_xlfn.TEXTSPLIT(O139,",",),0,1)+$A$18,$A$18))/5,0),ROUNDUP(IF(MOD(O$18+INDEX(_xlfn.TEXTSPLIT(O139,",",),0,2)+$A$18,$A$18)=0,$A$18,MOD(O$18+INDEX(_xlfn.TEXTSPLIT(O139,",",),0,2)+$A$18,$A$18))/5,0)))</f>
        <v>7</v>
      </c>
      <c r="P41" s="1" cm="1">
        <f t="array" aca="1" ref="P41" ca="1">(INDEX($K$2:$T$11,ROUNDUP(IF(MOD($A41+INDEX(_xlfn.TEXTSPLIT(P96,",",),0,1)+$A$18,$A$18)=0,$A$18,MOD($A41+INDEX(_xlfn.TEXTSPLIT(P96,",",),0,1)+$A$18,$A$18))/4,0),ROUNDUP(IF(MOD(P$18+INDEX(_xlfn.TEXTSPLIT(P96,",",),0,2)+$A$18,$A$18)=0,$A$18,MOD(P$18+INDEX(_xlfn.TEXTSPLIT(P96,",",),0,2)+$A$18,$A$18))/4,0)))+(INDEX($AD$2:$AK$9,ROUNDUP(IF(MOD($A41+INDEX(_xlfn.TEXTSPLIT(P139,",",),0,1)+$A$18,$A$18)=0,$A$18,MOD($A41+INDEX(_xlfn.TEXTSPLIT(P139,",",),0,1)+$A$18,$A$18))/5,0),ROUNDUP(IF(MOD(P$18+INDEX(_xlfn.TEXTSPLIT(P139,",",),0,2)+$A$18,$A$18)=0,$A$18,MOD(P$18+INDEX(_xlfn.TEXTSPLIT(P139,",",),0,2)+$A$18,$A$18))/5,0)))</f>
        <v>7</v>
      </c>
      <c r="Q41" s="1" cm="1">
        <f t="array" aca="1" ref="Q41" ca="1">(INDEX($K$2:$T$11,ROUNDUP(IF(MOD($A41+INDEX(_xlfn.TEXTSPLIT(Q96,",",),0,1)+$A$18,$A$18)=0,$A$18,MOD($A41+INDEX(_xlfn.TEXTSPLIT(Q96,",",),0,1)+$A$18,$A$18))/4,0),ROUNDUP(IF(MOD(Q$18+INDEX(_xlfn.TEXTSPLIT(Q96,",",),0,2)+$A$18,$A$18)=0,$A$18,MOD(Q$18+INDEX(_xlfn.TEXTSPLIT(Q96,",",),0,2)+$A$18,$A$18))/4,0)))+(INDEX($AD$2:$AK$9,ROUNDUP(IF(MOD($A41+INDEX(_xlfn.TEXTSPLIT(Q139,",",),0,1)+$A$18,$A$18)=0,$A$18,MOD($A41+INDEX(_xlfn.TEXTSPLIT(Q139,",",),0,1)+$A$18,$A$18))/5,0),ROUNDUP(IF(MOD(Q$18+INDEX(_xlfn.TEXTSPLIT(Q139,",",),0,2)+$A$18,$A$18)=0,$A$18,MOD(Q$18+INDEX(_xlfn.TEXTSPLIT(Q139,",",),0,2)+$A$18,$A$18))/5,0)))</f>
        <v>7</v>
      </c>
      <c r="R41" s="1" cm="1">
        <f t="array" aca="1" ref="R41" ca="1">(INDEX($K$2:$T$11,ROUNDUP(IF(MOD($A41+INDEX(_xlfn.TEXTSPLIT(R96,",",),0,1)+$A$18,$A$18)=0,$A$18,MOD($A41+INDEX(_xlfn.TEXTSPLIT(R96,",",),0,1)+$A$18,$A$18))/4,0),ROUNDUP(IF(MOD(R$18+INDEX(_xlfn.TEXTSPLIT(R96,",",),0,2)+$A$18,$A$18)=0,$A$18,MOD(R$18+INDEX(_xlfn.TEXTSPLIT(R96,",",),0,2)+$A$18,$A$18))/4,0)))+(INDEX($AD$2:$AK$9,ROUNDUP(IF(MOD($A41+INDEX(_xlfn.TEXTSPLIT(R139,",",),0,1)+$A$18,$A$18)=0,$A$18,MOD($A41+INDEX(_xlfn.TEXTSPLIT(R139,",",),0,1)+$A$18,$A$18))/5,0),ROUNDUP(IF(MOD(R$18+INDEX(_xlfn.TEXTSPLIT(R139,",",),0,2)+$A$18,$A$18)=0,$A$18,MOD(R$18+INDEX(_xlfn.TEXTSPLIT(R139,",",),0,2)+$A$18,$A$18))/5,0)))</f>
        <v>7</v>
      </c>
      <c r="S41" s="1" cm="1">
        <f t="array" aca="1" ref="S41" ca="1">(INDEX($K$2:$T$11,ROUNDUP(IF(MOD($A41+INDEX(_xlfn.TEXTSPLIT(S96,",",),0,1)+$A$18,$A$18)=0,$A$18,MOD($A41+INDEX(_xlfn.TEXTSPLIT(S96,",",),0,1)+$A$18,$A$18))/4,0),ROUNDUP(IF(MOD(S$18+INDEX(_xlfn.TEXTSPLIT(S96,",",),0,2)+$A$18,$A$18)=0,$A$18,MOD(S$18+INDEX(_xlfn.TEXTSPLIT(S96,",",),0,2)+$A$18,$A$18))/4,0)))+(INDEX($AD$2:$AK$9,ROUNDUP(IF(MOD($A41+INDEX(_xlfn.TEXTSPLIT(S139,",",),0,1)+$A$18,$A$18)=0,$A$18,MOD($A41+INDEX(_xlfn.TEXTSPLIT(S139,",",),0,1)+$A$18,$A$18))/5,0),ROUNDUP(IF(MOD(S$18+INDEX(_xlfn.TEXTSPLIT(S139,",",),0,2)+$A$18,$A$18)=0,$A$18,MOD(S$18+INDEX(_xlfn.TEXTSPLIT(S139,",",),0,2)+$A$18,$A$18))/5,0)))</f>
        <v>7</v>
      </c>
      <c r="T41" s="1" cm="1">
        <f t="array" aca="1" ref="T41" ca="1">(INDEX($K$2:$T$11,ROUNDUP(IF(MOD($A41+INDEX(_xlfn.TEXTSPLIT(T96,",",),0,1)+$A$18,$A$18)=0,$A$18,MOD($A41+INDEX(_xlfn.TEXTSPLIT(T96,",",),0,1)+$A$18,$A$18))/4,0),ROUNDUP(IF(MOD(T$18+INDEX(_xlfn.TEXTSPLIT(T96,",",),0,2)+$A$18,$A$18)=0,$A$18,MOD(T$18+INDEX(_xlfn.TEXTSPLIT(T96,",",),0,2)+$A$18,$A$18))/4,0)))+(INDEX($AD$2:$AK$9,ROUNDUP(IF(MOD($A41+INDEX(_xlfn.TEXTSPLIT(T139,",",),0,1)+$A$18,$A$18)=0,$A$18,MOD($A41+INDEX(_xlfn.TEXTSPLIT(T139,",",),0,1)+$A$18,$A$18))/5,0),ROUNDUP(IF(MOD(T$18+INDEX(_xlfn.TEXTSPLIT(T139,",",),0,2)+$A$18,$A$18)=0,$A$18,MOD(T$18+INDEX(_xlfn.TEXTSPLIT(T139,",",),0,2)+$A$18,$A$18))/5,0)))</f>
        <v>7</v>
      </c>
      <c r="U41" s="1" cm="1">
        <f t="array" aca="1" ref="U41" ca="1">(INDEX($K$2:$T$11,ROUNDUP(IF(MOD($A41+INDEX(_xlfn.TEXTSPLIT(U96,",",),0,1)+$A$18,$A$18)=0,$A$18,MOD($A41+INDEX(_xlfn.TEXTSPLIT(U96,",",),0,1)+$A$18,$A$18))/4,0),ROUNDUP(IF(MOD(U$18+INDEX(_xlfn.TEXTSPLIT(U96,",",),0,2)+$A$18,$A$18)=0,$A$18,MOD(U$18+INDEX(_xlfn.TEXTSPLIT(U96,",",),0,2)+$A$18,$A$18))/4,0)))+(INDEX($AD$2:$AK$9,ROUNDUP(IF(MOD($A41+INDEX(_xlfn.TEXTSPLIT(U139,",",),0,1)+$A$18,$A$18)=0,$A$18,MOD($A41+INDEX(_xlfn.TEXTSPLIT(U139,",",),0,1)+$A$18,$A$18))/5,0),ROUNDUP(IF(MOD(U$18+INDEX(_xlfn.TEXTSPLIT(U139,",",),0,2)+$A$18,$A$18)=0,$A$18,MOD(U$18+INDEX(_xlfn.TEXTSPLIT(U139,",",),0,2)+$A$18,$A$18))/5,0)))</f>
        <v>7</v>
      </c>
      <c r="V41" s="1" cm="1">
        <f t="array" aca="1" ref="V41" ca="1">(INDEX($K$2:$T$11,ROUNDUP(IF(MOD($A41+INDEX(_xlfn.TEXTSPLIT(V96,",",),0,1)+$A$18,$A$18)=0,$A$18,MOD($A41+INDEX(_xlfn.TEXTSPLIT(V96,",",),0,1)+$A$18,$A$18))/4,0),ROUNDUP(IF(MOD(V$18+INDEX(_xlfn.TEXTSPLIT(V96,",",),0,2)+$A$18,$A$18)=0,$A$18,MOD(V$18+INDEX(_xlfn.TEXTSPLIT(V96,",",),0,2)+$A$18,$A$18))/4,0)))+(INDEX($AD$2:$AK$9,ROUNDUP(IF(MOD($A41+INDEX(_xlfn.TEXTSPLIT(V139,",",),0,1)+$A$18,$A$18)=0,$A$18,MOD($A41+INDEX(_xlfn.TEXTSPLIT(V139,",",),0,1)+$A$18,$A$18))/5,0),ROUNDUP(IF(MOD(V$18+INDEX(_xlfn.TEXTSPLIT(V139,",",),0,2)+$A$18,$A$18)=0,$A$18,MOD(V$18+INDEX(_xlfn.TEXTSPLIT(V139,",",),0,2)+$A$18,$A$18))/5,0)))</f>
        <v>7</v>
      </c>
      <c r="W41" s="1" cm="1">
        <f t="array" aca="1" ref="W41" ca="1">(INDEX($K$2:$T$11,ROUNDUP(IF(MOD($A41+INDEX(_xlfn.TEXTSPLIT(W96,",",),0,1)+$A$18,$A$18)=0,$A$18,MOD($A41+INDEX(_xlfn.TEXTSPLIT(W96,",",),0,1)+$A$18,$A$18))/4,0),ROUNDUP(IF(MOD(W$18+INDEX(_xlfn.TEXTSPLIT(W96,",",),0,2)+$A$18,$A$18)=0,$A$18,MOD(W$18+INDEX(_xlfn.TEXTSPLIT(W96,",",),0,2)+$A$18,$A$18))/4,0)))+(INDEX($AD$2:$AK$9,ROUNDUP(IF(MOD($A41+INDEX(_xlfn.TEXTSPLIT(W139,",",),0,1)+$A$18,$A$18)=0,$A$18,MOD($A41+INDEX(_xlfn.TEXTSPLIT(W139,",",),0,1)+$A$18,$A$18))/5,0),ROUNDUP(IF(MOD(W$18+INDEX(_xlfn.TEXTSPLIT(W139,",",),0,2)+$A$18,$A$18)=0,$A$18,MOD(W$18+INDEX(_xlfn.TEXTSPLIT(W139,",",),0,2)+$A$18,$A$18))/5,0)))</f>
        <v>7</v>
      </c>
      <c r="X41" s="1" cm="1">
        <f t="array" aca="1" ref="X41" ca="1">(INDEX($K$2:$T$11,ROUNDUP(IF(MOD($A41+INDEX(_xlfn.TEXTSPLIT(X96,",",),0,1)+$A$18,$A$18)=0,$A$18,MOD($A41+INDEX(_xlfn.TEXTSPLIT(X96,",",),0,1)+$A$18,$A$18))/4,0),ROUNDUP(IF(MOD(X$18+INDEX(_xlfn.TEXTSPLIT(X96,",",),0,2)+$A$18,$A$18)=0,$A$18,MOD(X$18+INDEX(_xlfn.TEXTSPLIT(X96,",",),0,2)+$A$18,$A$18))/4,0)))+(INDEX($AD$2:$AK$9,ROUNDUP(IF(MOD($A41+INDEX(_xlfn.TEXTSPLIT(X139,",",),0,1)+$A$18,$A$18)=0,$A$18,MOD($A41+INDEX(_xlfn.TEXTSPLIT(X139,",",),0,1)+$A$18,$A$18))/5,0),ROUNDUP(IF(MOD(X$18+INDEX(_xlfn.TEXTSPLIT(X139,",",),0,2)+$A$18,$A$18)=0,$A$18,MOD(X$18+INDEX(_xlfn.TEXTSPLIT(X139,",",),0,2)+$A$18,$A$18))/5,0)))</f>
        <v>7</v>
      </c>
      <c r="Y41" s="1" cm="1">
        <f t="array" aca="1" ref="Y41" ca="1">(INDEX($K$2:$T$11,ROUNDUP(IF(MOD($A41+INDEX(_xlfn.TEXTSPLIT(Y96,",",),0,1)+$A$18,$A$18)=0,$A$18,MOD($A41+INDEX(_xlfn.TEXTSPLIT(Y96,",",),0,1)+$A$18,$A$18))/4,0),ROUNDUP(IF(MOD(Y$18+INDEX(_xlfn.TEXTSPLIT(Y96,",",),0,2)+$A$18,$A$18)=0,$A$18,MOD(Y$18+INDEX(_xlfn.TEXTSPLIT(Y96,",",),0,2)+$A$18,$A$18))/4,0)))+(INDEX($AD$2:$AK$9,ROUNDUP(IF(MOD($A41+INDEX(_xlfn.TEXTSPLIT(Y139,",",),0,1)+$A$18,$A$18)=0,$A$18,MOD($A41+INDEX(_xlfn.TEXTSPLIT(Y139,",",),0,1)+$A$18,$A$18))/5,0),ROUNDUP(IF(MOD(Y$18+INDEX(_xlfn.TEXTSPLIT(Y139,",",),0,2)+$A$18,$A$18)=0,$A$18,MOD(Y$18+INDEX(_xlfn.TEXTSPLIT(Y139,",",),0,2)+$A$18,$A$18))/5,0)))</f>
        <v>7</v>
      </c>
      <c r="Z41" s="1" cm="1">
        <f t="array" aca="1" ref="Z41" ca="1">(INDEX($K$2:$T$11,ROUNDUP(IF(MOD($A41+INDEX(_xlfn.TEXTSPLIT(Z96,",",),0,1)+$A$18,$A$18)=0,$A$18,MOD($A41+INDEX(_xlfn.TEXTSPLIT(Z96,",",),0,1)+$A$18,$A$18))/4,0),ROUNDUP(IF(MOD(Z$18+INDEX(_xlfn.TEXTSPLIT(Z96,",",),0,2)+$A$18,$A$18)=0,$A$18,MOD(Z$18+INDEX(_xlfn.TEXTSPLIT(Z96,",",),0,2)+$A$18,$A$18))/4,0)))+(INDEX($AD$2:$AK$9,ROUNDUP(IF(MOD($A41+INDEX(_xlfn.TEXTSPLIT(Z139,",",),0,1)+$A$18,$A$18)=0,$A$18,MOD($A41+INDEX(_xlfn.TEXTSPLIT(Z139,",",),0,1)+$A$18,$A$18))/5,0),ROUNDUP(IF(MOD(Z$18+INDEX(_xlfn.TEXTSPLIT(Z139,",",),0,2)+$A$18,$A$18)=0,$A$18,MOD(Z$18+INDEX(_xlfn.TEXTSPLIT(Z139,",",),0,2)+$A$18,$A$18))/5,0)))</f>
        <v>8</v>
      </c>
      <c r="AA41" s="1" cm="1">
        <f t="array" aca="1" ref="AA41" ca="1">(INDEX($K$2:$T$11,ROUNDUP(IF(MOD($A41+INDEX(_xlfn.TEXTSPLIT(AA96,",",),0,1)+$A$18,$A$18)=0,$A$18,MOD($A41+INDEX(_xlfn.TEXTSPLIT(AA96,",",),0,1)+$A$18,$A$18))/4,0),ROUNDUP(IF(MOD(AA$18+INDEX(_xlfn.TEXTSPLIT(AA96,",",),0,2)+$A$18,$A$18)=0,$A$18,MOD(AA$18+INDEX(_xlfn.TEXTSPLIT(AA96,",",),0,2)+$A$18,$A$18))/4,0)))+(INDEX($AD$2:$AK$9,ROUNDUP(IF(MOD($A41+INDEX(_xlfn.TEXTSPLIT(AA139,",",),0,1)+$A$18,$A$18)=0,$A$18,MOD($A41+INDEX(_xlfn.TEXTSPLIT(AA139,",",),0,1)+$A$18,$A$18))/5,0),ROUNDUP(IF(MOD(AA$18+INDEX(_xlfn.TEXTSPLIT(AA139,",",),0,2)+$A$18,$A$18)=0,$A$18,MOD(AA$18+INDEX(_xlfn.TEXTSPLIT(AA139,",",),0,2)+$A$18,$A$18))/5,0)))</f>
        <v>8</v>
      </c>
      <c r="AB41" s="1" cm="1">
        <f t="array" aca="1" ref="AB41" ca="1">(INDEX($K$2:$T$11,ROUNDUP(IF(MOD($A41+INDEX(_xlfn.TEXTSPLIT(AB96,",",),0,1)+$A$18,$A$18)=0,$A$18,MOD($A41+INDEX(_xlfn.TEXTSPLIT(AB96,",",),0,1)+$A$18,$A$18))/4,0),ROUNDUP(IF(MOD(AB$18+INDEX(_xlfn.TEXTSPLIT(AB96,",",),0,2)+$A$18,$A$18)=0,$A$18,MOD(AB$18+INDEX(_xlfn.TEXTSPLIT(AB96,",",),0,2)+$A$18,$A$18))/4,0)))+(INDEX($AD$2:$AK$9,ROUNDUP(IF(MOD($A41+INDEX(_xlfn.TEXTSPLIT(AB139,",",),0,1)+$A$18,$A$18)=0,$A$18,MOD($A41+INDEX(_xlfn.TEXTSPLIT(AB139,",",),0,1)+$A$18,$A$18))/5,0),ROUNDUP(IF(MOD(AB$18+INDEX(_xlfn.TEXTSPLIT(AB139,",",),0,2)+$A$18,$A$18)=0,$A$18,MOD(AB$18+INDEX(_xlfn.TEXTSPLIT(AB139,",",),0,2)+$A$18,$A$18))/5,0)))</f>
        <v>8</v>
      </c>
      <c r="AC41" s="1" cm="1">
        <f t="array" aca="1" ref="AC41" ca="1">(INDEX($K$2:$T$11,ROUNDUP(IF(MOD($A41+INDEX(_xlfn.TEXTSPLIT(AC96,",",),0,1)+$A$18,$A$18)=0,$A$18,MOD($A41+INDEX(_xlfn.TEXTSPLIT(AC96,",",),0,1)+$A$18,$A$18))/4,0),ROUNDUP(IF(MOD(AC$18+INDEX(_xlfn.TEXTSPLIT(AC96,",",),0,2)+$A$18,$A$18)=0,$A$18,MOD(AC$18+INDEX(_xlfn.TEXTSPLIT(AC96,",",),0,2)+$A$18,$A$18))/4,0)))+(INDEX($AD$2:$AK$9,ROUNDUP(IF(MOD($A41+INDEX(_xlfn.TEXTSPLIT(AC139,",",),0,1)+$A$18,$A$18)=0,$A$18,MOD($A41+INDEX(_xlfn.TEXTSPLIT(AC139,",",),0,1)+$A$18,$A$18))/5,0),ROUNDUP(IF(MOD(AC$18+INDEX(_xlfn.TEXTSPLIT(AC139,",",),0,2)+$A$18,$A$18)=0,$A$18,MOD(AC$18+INDEX(_xlfn.TEXTSPLIT(AC139,",",),0,2)+$A$18,$A$18))/5,0)))</f>
        <v>8</v>
      </c>
      <c r="AD41" s="1" cm="1">
        <f t="array" aca="1" ref="AD41" ca="1">(INDEX($K$2:$T$11,ROUNDUP(IF(MOD($A41+INDEX(_xlfn.TEXTSPLIT(AD96,",",),0,1)+$A$18,$A$18)=0,$A$18,MOD($A41+INDEX(_xlfn.TEXTSPLIT(AD96,",",),0,1)+$A$18,$A$18))/4,0),ROUNDUP(IF(MOD(AD$18+INDEX(_xlfn.TEXTSPLIT(AD96,",",),0,2)+$A$18,$A$18)=0,$A$18,MOD(AD$18+INDEX(_xlfn.TEXTSPLIT(AD96,",",),0,2)+$A$18,$A$18))/4,0)))+(INDEX($AD$2:$AK$9,ROUNDUP(IF(MOD($A41+INDEX(_xlfn.TEXTSPLIT(AD139,",",),0,1)+$A$18,$A$18)=0,$A$18,MOD($A41+INDEX(_xlfn.TEXTSPLIT(AD139,",",),0,1)+$A$18,$A$18))/5,0),ROUNDUP(IF(MOD(AD$18+INDEX(_xlfn.TEXTSPLIT(AD139,",",),0,2)+$A$18,$A$18)=0,$A$18,MOD(AD$18+INDEX(_xlfn.TEXTSPLIT(AD139,",",),0,2)+$A$18,$A$18))/5,0)))</f>
        <v>8</v>
      </c>
      <c r="AE41" s="1" cm="1">
        <f t="array" aca="1" ref="AE41" ca="1">(INDEX($K$2:$T$11,ROUNDUP(IF(MOD($A41+INDEX(_xlfn.TEXTSPLIT(AE96,",",),0,1)+$A$18,$A$18)=0,$A$18,MOD($A41+INDEX(_xlfn.TEXTSPLIT(AE96,",",),0,1)+$A$18,$A$18))/4,0),ROUNDUP(IF(MOD(AE$18+INDEX(_xlfn.TEXTSPLIT(AE96,",",),0,2)+$A$18,$A$18)=0,$A$18,MOD(AE$18+INDEX(_xlfn.TEXTSPLIT(AE96,",",),0,2)+$A$18,$A$18))/4,0)))+(INDEX($AD$2:$AK$9,ROUNDUP(IF(MOD($A41+INDEX(_xlfn.TEXTSPLIT(AE139,",",),0,1)+$A$18,$A$18)=0,$A$18,MOD($A41+INDEX(_xlfn.TEXTSPLIT(AE139,",",),0,1)+$A$18,$A$18))/5,0),ROUNDUP(IF(MOD(AE$18+INDEX(_xlfn.TEXTSPLIT(AE139,",",),0,2)+$A$18,$A$18)=0,$A$18,MOD(AE$18+INDEX(_xlfn.TEXTSPLIT(AE139,",",),0,2)+$A$18,$A$18))/5,0)))</f>
        <v>7</v>
      </c>
      <c r="AF41" s="1" cm="1">
        <f t="array" aca="1" ref="AF41" ca="1">(INDEX($K$2:$T$11,ROUNDUP(IF(MOD($A41+INDEX(_xlfn.TEXTSPLIT(AF96,",",),0,1)+$A$18,$A$18)=0,$A$18,MOD($A41+INDEX(_xlfn.TEXTSPLIT(AF96,",",),0,1)+$A$18,$A$18))/4,0),ROUNDUP(IF(MOD(AF$18+INDEX(_xlfn.TEXTSPLIT(AF96,",",),0,2)+$A$18,$A$18)=0,$A$18,MOD(AF$18+INDEX(_xlfn.TEXTSPLIT(AF96,",",),0,2)+$A$18,$A$18))/4,0)))+(INDEX($AD$2:$AK$9,ROUNDUP(IF(MOD($A41+INDEX(_xlfn.TEXTSPLIT(AF139,",",),0,1)+$A$18,$A$18)=0,$A$18,MOD($A41+INDEX(_xlfn.TEXTSPLIT(AF139,",",),0,1)+$A$18,$A$18))/5,0),ROUNDUP(IF(MOD(AF$18+INDEX(_xlfn.TEXTSPLIT(AF139,",",),0,2)+$A$18,$A$18)=0,$A$18,MOD(AF$18+INDEX(_xlfn.TEXTSPLIT(AF139,",",),0,2)+$A$18,$A$18))/5,0)))</f>
        <v>8</v>
      </c>
      <c r="AG41" s="1" cm="1">
        <f t="array" aca="1" ref="AG41" ca="1">(INDEX($K$2:$T$11,ROUNDUP(IF(MOD($A41+INDEX(_xlfn.TEXTSPLIT(AG96,",",),0,1)+$A$18,$A$18)=0,$A$18,MOD($A41+INDEX(_xlfn.TEXTSPLIT(AG96,",",),0,1)+$A$18,$A$18))/4,0),ROUNDUP(IF(MOD(AG$18+INDEX(_xlfn.TEXTSPLIT(AG96,",",),0,2)+$A$18,$A$18)=0,$A$18,MOD(AG$18+INDEX(_xlfn.TEXTSPLIT(AG96,",",),0,2)+$A$18,$A$18))/4,0)))+(INDEX($AD$2:$AK$9,ROUNDUP(IF(MOD($A41+INDEX(_xlfn.TEXTSPLIT(AG139,",",),0,1)+$A$18,$A$18)=0,$A$18,MOD($A41+INDEX(_xlfn.TEXTSPLIT(AG139,",",),0,1)+$A$18,$A$18))/5,0),ROUNDUP(IF(MOD(AG$18+INDEX(_xlfn.TEXTSPLIT(AG139,",",),0,2)+$A$18,$A$18)=0,$A$18,MOD(AG$18+INDEX(_xlfn.TEXTSPLIT(AG139,",",),0,2)+$A$18,$A$18))/5,0)))</f>
        <v>7</v>
      </c>
      <c r="AH41" s="1" cm="1">
        <f t="array" aca="1" ref="AH41" ca="1">(INDEX($K$2:$T$11,ROUNDUP(IF(MOD($A41+INDEX(_xlfn.TEXTSPLIT(AH96,",",),0,1)+$A$18,$A$18)=0,$A$18,MOD($A41+INDEX(_xlfn.TEXTSPLIT(AH96,",",),0,1)+$A$18,$A$18))/4,0),ROUNDUP(IF(MOD(AH$18+INDEX(_xlfn.TEXTSPLIT(AH96,",",),0,2)+$A$18,$A$18)=0,$A$18,MOD(AH$18+INDEX(_xlfn.TEXTSPLIT(AH96,",",),0,2)+$A$18,$A$18))/4,0)))+(INDEX($AD$2:$AK$9,ROUNDUP(IF(MOD($A41+INDEX(_xlfn.TEXTSPLIT(AH139,",",),0,1)+$A$18,$A$18)=0,$A$18,MOD($A41+INDEX(_xlfn.TEXTSPLIT(AH139,",",),0,1)+$A$18,$A$18))/5,0),ROUNDUP(IF(MOD(AH$18+INDEX(_xlfn.TEXTSPLIT(AH139,",",),0,2)+$A$18,$A$18)=0,$A$18,MOD(AH$18+INDEX(_xlfn.TEXTSPLIT(AH139,",",),0,2)+$A$18,$A$18))/5,0)))</f>
        <v>7</v>
      </c>
      <c r="AI41" s="1" cm="1">
        <f t="array" aca="1" ref="AI41" ca="1">(INDEX($K$2:$T$11,ROUNDUP(IF(MOD($A41+INDEX(_xlfn.TEXTSPLIT(AI96,",",),0,1)+$A$18,$A$18)=0,$A$18,MOD($A41+INDEX(_xlfn.TEXTSPLIT(AI96,",",),0,1)+$A$18,$A$18))/4,0),ROUNDUP(IF(MOD(AI$18+INDEX(_xlfn.TEXTSPLIT(AI96,",",),0,2)+$A$18,$A$18)=0,$A$18,MOD(AI$18+INDEX(_xlfn.TEXTSPLIT(AI96,",",),0,2)+$A$18,$A$18))/4,0)))+(INDEX($AD$2:$AK$9,ROUNDUP(IF(MOD($A41+INDEX(_xlfn.TEXTSPLIT(AI139,",",),0,1)+$A$18,$A$18)=0,$A$18,MOD($A41+INDEX(_xlfn.TEXTSPLIT(AI139,",",),0,1)+$A$18,$A$18))/5,0),ROUNDUP(IF(MOD(AI$18+INDEX(_xlfn.TEXTSPLIT(AI139,",",),0,2)+$A$18,$A$18)=0,$A$18,MOD(AI$18+INDEX(_xlfn.TEXTSPLIT(AI139,",",),0,2)+$A$18,$A$18))/5,0)))</f>
        <v>7</v>
      </c>
      <c r="AJ41" s="1" cm="1">
        <f t="array" aca="1" ref="AJ41" ca="1">(INDEX($K$2:$T$11,ROUNDUP(IF(MOD($A41+INDEX(_xlfn.TEXTSPLIT(AJ96,",",),0,1)+$A$18,$A$18)=0,$A$18,MOD($A41+INDEX(_xlfn.TEXTSPLIT(AJ96,",",),0,1)+$A$18,$A$18))/4,0),ROUNDUP(IF(MOD(AJ$18+INDEX(_xlfn.TEXTSPLIT(AJ96,",",),0,2)+$A$18,$A$18)=0,$A$18,MOD(AJ$18+INDEX(_xlfn.TEXTSPLIT(AJ96,",",),0,2)+$A$18,$A$18))/4,0)))+(INDEX($AD$2:$AK$9,ROUNDUP(IF(MOD($A41+INDEX(_xlfn.TEXTSPLIT(AJ139,",",),0,1)+$A$18,$A$18)=0,$A$18,MOD($A41+INDEX(_xlfn.TEXTSPLIT(AJ139,",",),0,1)+$A$18,$A$18))/5,0),ROUNDUP(IF(MOD(AJ$18+INDEX(_xlfn.TEXTSPLIT(AJ139,",",),0,2)+$A$18,$A$18)=0,$A$18,MOD(AJ$18+INDEX(_xlfn.TEXTSPLIT(AJ139,",",),0,2)+$A$18,$A$18))/5,0)))</f>
        <v>7</v>
      </c>
      <c r="AK41" s="1" cm="1">
        <f t="array" aca="1" ref="AK41" ca="1">(INDEX($K$2:$T$11,ROUNDUP(IF(MOD($A41+INDEX(_xlfn.TEXTSPLIT(AK96,",",),0,1)+$A$18,$A$18)=0,$A$18,MOD($A41+INDEX(_xlfn.TEXTSPLIT(AK96,",",),0,1)+$A$18,$A$18))/4,0),ROUNDUP(IF(MOD(AK$18+INDEX(_xlfn.TEXTSPLIT(AK96,",",),0,2)+$A$18,$A$18)=0,$A$18,MOD(AK$18+INDEX(_xlfn.TEXTSPLIT(AK96,",",),0,2)+$A$18,$A$18))/4,0)))+(INDEX($AD$2:$AK$9,ROUNDUP(IF(MOD($A41+INDEX(_xlfn.TEXTSPLIT(AK139,",",),0,1)+$A$18,$A$18)=0,$A$18,MOD($A41+INDEX(_xlfn.TEXTSPLIT(AK139,",",),0,1)+$A$18,$A$18))/5,0),ROUNDUP(IF(MOD(AK$18+INDEX(_xlfn.TEXTSPLIT(AK139,",",),0,2)+$A$18,$A$18)=0,$A$18,MOD(AK$18+INDEX(_xlfn.TEXTSPLIT(AK139,",",),0,2)+$A$18,$A$18))/5,0)))</f>
        <v>7</v>
      </c>
      <c r="AL41" s="1" cm="1">
        <f t="array" aca="1" ref="AL41" ca="1">(INDEX($K$2:$T$11,ROUNDUP(IF(MOD($A41+INDEX(_xlfn.TEXTSPLIT(AL96,",",),0,1)+$A$18,$A$18)=0,$A$18,MOD($A41+INDEX(_xlfn.TEXTSPLIT(AL96,",",),0,1)+$A$18,$A$18))/4,0),ROUNDUP(IF(MOD(AL$18+INDEX(_xlfn.TEXTSPLIT(AL96,",",),0,2)+$A$18,$A$18)=0,$A$18,MOD(AL$18+INDEX(_xlfn.TEXTSPLIT(AL96,",",),0,2)+$A$18,$A$18))/4,0)))+(INDEX($AD$2:$AK$9,ROUNDUP(IF(MOD($A41+INDEX(_xlfn.TEXTSPLIT(AL139,",",),0,1)+$A$18,$A$18)=0,$A$18,MOD($A41+INDEX(_xlfn.TEXTSPLIT(AL139,",",),0,1)+$A$18,$A$18))/5,0),ROUNDUP(IF(MOD(AL$18+INDEX(_xlfn.TEXTSPLIT(AL139,",",),0,2)+$A$18,$A$18)=0,$A$18,MOD(AL$18+INDEX(_xlfn.TEXTSPLIT(AL139,",",),0,2)+$A$18,$A$18))/5,0)))</f>
        <v>8</v>
      </c>
      <c r="AM41" s="1" cm="1">
        <f t="array" aca="1" ref="AM41" ca="1">(INDEX($K$2:$T$11,ROUNDUP(IF(MOD($A41+INDEX(_xlfn.TEXTSPLIT(AM96,",",),0,1)+$A$18,$A$18)=0,$A$18,MOD($A41+INDEX(_xlfn.TEXTSPLIT(AM96,",",),0,1)+$A$18,$A$18))/4,0),ROUNDUP(IF(MOD(AM$18+INDEX(_xlfn.TEXTSPLIT(AM96,",",),0,2)+$A$18,$A$18)=0,$A$18,MOD(AM$18+INDEX(_xlfn.TEXTSPLIT(AM96,",",),0,2)+$A$18,$A$18))/4,0)))+(INDEX($AD$2:$AK$9,ROUNDUP(IF(MOD($A41+INDEX(_xlfn.TEXTSPLIT(AM139,",",),0,1)+$A$18,$A$18)=0,$A$18,MOD($A41+INDEX(_xlfn.TEXTSPLIT(AM139,",",),0,1)+$A$18,$A$18))/5,0),ROUNDUP(IF(MOD(AM$18+INDEX(_xlfn.TEXTSPLIT(AM139,",",),0,2)+$A$18,$A$18)=0,$A$18,MOD(AM$18+INDEX(_xlfn.TEXTSPLIT(AM139,",",),0,2)+$A$18,$A$18))/5,0)))</f>
        <v>8</v>
      </c>
      <c r="AN41" s="1" cm="1">
        <f t="array" aca="1" ref="AN41" ca="1">(INDEX($K$2:$T$11,ROUNDUP(IF(MOD($A41+INDEX(_xlfn.TEXTSPLIT(AN96,",",),0,1)+$A$18,$A$18)=0,$A$18,MOD($A41+INDEX(_xlfn.TEXTSPLIT(AN96,",",),0,1)+$A$18,$A$18))/4,0),ROUNDUP(IF(MOD(AN$18+INDEX(_xlfn.TEXTSPLIT(AN96,",",),0,2)+$A$18,$A$18)=0,$A$18,MOD(AN$18+INDEX(_xlfn.TEXTSPLIT(AN96,",",),0,2)+$A$18,$A$18))/4,0)))+(INDEX($AD$2:$AK$9,ROUNDUP(IF(MOD($A41+INDEX(_xlfn.TEXTSPLIT(AN139,",",),0,1)+$A$18,$A$18)=0,$A$18,MOD($A41+INDEX(_xlfn.TEXTSPLIT(AN139,",",),0,1)+$A$18,$A$18))/5,0),ROUNDUP(IF(MOD(AN$18+INDEX(_xlfn.TEXTSPLIT(AN139,",",),0,2)+$A$18,$A$18)=0,$A$18,MOD(AN$18+INDEX(_xlfn.TEXTSPLIT(AN139,",",),0,2)+$A$18,$A$18))/5,0)))</f>
        <v>8</v>
      </c>
      <c r="AO41" s="1" cm="1">
        <f t="array" aca="1" ref="AO41" ca="1">(INDEX($K$2:$T$11,ROUNDUP(IF(MOD($A41+INDEX(_xlfn.TEXTSPLIT(AO96,",",),0,1)+$A$18,$A$18)=0,$A$18,MOD($A41+INDEX(_xlfn.TEXTSPLIT(AO96,",",),0,1)+$A$18,$A$18))/4,0),ROUNDUP(IF(MOD(AO$18+INDEX(_xlfn.TEXTSPLIT(AO96,",",),0,2)+$A$18,$A$18)=0,$A$18,MOD(AO$18+INDEX(_xlfn.TEXTSPLIT(AO96,",",),0,2)+$A$18,$A$18))/4,0)))+(INDEX($AD$2:$AK$9,ROUNDUP(IF(MOD($A41+INDEX(_xlfn.TEXTSPLIT(AO139,",",),0,1)+$A$18,$A$18)=0,$A$18,MOD($A41+INDEX(_xlfn.TEXTSPLIT(AO139,",",),0,1)+$A$18,$A$18))/5,0),ROUNDUP(IF(MOD(AO$18+INDEX(_xlfn.TEXTSPLIT(AO139,",",),0,2)+$A$18,$A$18)=0,$A$18,MOD(AO$18+INDEX(_xlfn.TEXTSPLIT(AO139,",",),0,2)+$A$18,$A$18))/5,0)))</f>
        <v>8</v>
      </c>
    </row>
    <row r="42" spans="1:41" ht="12.75">
      <c r="A42" s="1">
        <v>24</v>
      </c>
      <c r="B42" s="1" cm="1">
        <f t="array" aca="1" ref="B42" ca="1">(INDEX($K$2:$T$11,ROUNDUP(IF(MOD($A42+INDEX(_xlfn.TEXTSPLIT(B97,",",),0,1)+$A$18,$A$18)=0,$A$18,MOD($A42+INDEX(_xlfn.TEXTSPLIT(B97,",",),0,1)+$A$18,$A$18))/4,0),ROUNDUP(IF(MOD(B$18+INDEX(_xlfn.TEXTSPLIT(B97,",",),0,2)+$A$18,$A$18)=0,$A$18,MOD(B$18+INDEX(_xlfn.TEXTSPLIT(B97,",",),0,2)+$A$18,$A$18))/4,0)))+(INDEX($AD$2:$AK$9,ROUNDUP(IF(MOD($A42+INDEX(_xlfn.TEXTSPLIT(B140,",",),0,1)+$A$18,$A$18)=0,$A$18,MOD($A42+INDEX(_xlfn.TEXTSPLIT(B140,",",),0,1)+$A$18,$A$18))/5,0),ROUNDUP(IF(MOD(B$18+INDEX(_xlfn.TEXTSPLIT(B140,",",),0,2)+$A$18,$A$18)=0,$A$18,MOD(B$18+INDEX(_xlfn.TEXTSPLIT(B140,",",),0,2)+$A$18,$A$18))/5,0)))</f>
        <v>5</v>
      </c>
      <c r="C42" s="1" cm="1">
        <f t="array" aca="1" ref="C42" ca="1">(INDEX($K$2:$T$11,ROUNDUP(IF(MOD($A42+INDEX(_xlfn.TEXTSPLIT(C97,",",),0,1)+$A$18,$A$18)=0,$A$18,MOD($A42+INDEX(_xlfn.TEXTSPLIT(C97,",",),0,1)+$A$18,$A$18))/4,0),ROUNDUP(IF(MOD(C$18+INDEX(_xlfn.TEXTSPLIT(C97,",",),0,2)+$A$18,$A$18)=0,$A$18,MOD(C$18+INDEX(_xlfn.TEXTSPLIT(C97,",",),0,2)+$A$18,$A$18))/4,0)))+(INDEX($AD$2:$AK$9,ROUNDUP(IF(MOD($A42+INDEX(_xlfn.TEXTSPLIT(C140,",",),0,1)+$A$18,$A$18)=0,$A$18,MOD($A42+INDEX(_xlfn.TEXTSPLIT(C140,",",),0,1)+$A$18,$A$18))/5,0),ROUNDUP(IF(MOD(C$18+INDEX(_xlfn.TEXTSPLIT(C140,",",),0,2)+$A$18,$A$18)=0,$A$18,MOD(C$18+INDEX(_xlfn.TEXTSPLIT(C140,",",),0,2)+$A$18,$A$18))/5,0)))</f>
        <v>1</v>
      </c>
      <c r="D42" s="1" cm="1">
        <f t="array" aca="1" ref="D42" ca="1">(INDEX($K$2:$T$11,ROUNDUP(IF(MOD($A42+INDEX(_xlfn.TEXTSPLIT(D97,",",),0,1)+$A$18,$A$18)=0,$A$18,MOD($A42+INDEX(_xlfn.TEXTSPLIT(D97,",",),0,1)+$A$18,$A$18))/4,0),ROUNDUP(IF(MOD(D$18+INDEX(_xlfn.TEXTSPLIT(D97,",",),0,2)+$A$18,$A$18)=0,$A$18,MOD(D$18+INDEX(_xlfn.TEXTSPLIT(D97,",",),0,2)+$A$18,$A$18))/4,0)))+(INDEX($AD$2:$AK$9,ROUNDUP(IF(MOD($A42+INDEX(_xlfn.TEXTSPLIT(D140,",",),0,1)+$A$18,$A$18)=0,$A$18,MOD($A42+INDEX(_xlfn.TEXTSPLIT(D140,",",),0,1)+$A$18,$A$18))/5,0),ROUNDUP(IF(MOD(D$18+INDEX(_xlfn.TEXTSPLIT(D140,",",),0,2)+$A$18,$A$18)=0,$A$18,MOD(D$18+INDEX(_xlfn.TEXTSPLIT(D140,",",),0,2)+$A$18,$A$18))/5,0)))</f>
        <v>5</v>
      </c>
      <c r="E42" s="1" cm="1">
        <f t="array" aca="1" ref="E42" ca="1">(INDEX($K$2:$T$11,ROUNDUP(IF(MOD($A42+INDEX(_xlfn.TEXTSPLIT(E97,",",),0,1)+$A$18,$A$18)=0,$A$18,MOD($A42+INDEX(_xlfn.TEXTSPLIT(E97,",",),0,1)+$A$18,$A$18))/4,0),ROUNDUP(IF(MOD(E$18+INDEX(_xlfn.TEXTSPLIT(E97,",",),0,2)+$A$18,$A$18)=0,$A$18,MOD(E$18+INDEX(_xlfn.TEXTSPLIT(E97,",",),0,2)+$A$18,$A$18))/4,0)))+(INDEX($AD$2:$AK$9,ROUNDUP(IF(MOD($A42+INDEX(_xlfn.TEXTSPLIT(E140,",",),0,1)+$A$18,$A$18)=0,$A$18,MOD($A42+INDEX(_xlfn.TEXTSPLIT(E140,",",),0,1)+$A$18,$A$18))/5,0),ROUNDUP(IF(MOD(E$18+INDEX(_xlfn.TEXTSPLIT(E140,",",),0,2)+$A$18,$A$18)=0,$A$18,MOD(E$18+INDEX(_xlfn.TEXTSPLIT(E140,",",),0,2)+$A$18,$A$18))/5,0)))</f>
        <v>1</v>
      </c>
      <c r="F42" s="1" cm="1">
        <f t="array" aca="1" ref="F42" ca="1">(INDEX($K$2:$T$11,ROUNDUP(IF(MOD($A42+INDEX(_xlfn.TEXTSPLIT(F97,",",),0,1)+$A$18,$A$18)=0,$A$18,MOD($A42+INDEX(_xlfn.TEXTSPLIT(F97,",",),0,1)+$A$18,$A$18))/4,0),ROUNDUP(IF(MOD(F$18+INDEX(_xlfn.TEXTSPLIT(F97,",",),0,2)+$A$18,$A$18)=0,$A$18,MOD(F$18+INDEX(_xlfn.TEXTSPLIT(F97,",",),0,2)+$A$18,$A$18))/4,0)))+(INDEX($AD$2:$AK$9,ROUNDUP(IF(MOD($A42+INDEX(_xlfn.TEXTSPLIT(F140,",",),0,1)+$A$18,$A$18)=0,$A$18,MOD($A42+INDEX(_xlfn.TEXTSPLIT(F140,",",),0,1)+$A$18,$A$18))/5,0),ROUNDUP(IF(MOD(F$18+INDEX(_xlfn.TEXTSPLIT(F140,",",),0,2)+$A$18,$A$18)=0,$A$18,MOD(F$18+INDEX(_xlfn.TEXTSPLIT(F140,",",),0,2)+$A$18,$A$18))/5,0)))</f>
        <v>5</v>
      </c>
      <c r="G42" s="1" cm="1">
        <f t="array" aca="1" ref="G42" ca="1">(INDEX($K$2:$T$11,ROUNDUP(IF(MOD($A42+INDEX(_xlfn.TEXTSPLIT(G97,",",),0,1)+$A$18,$A$18)=0,$A$18,MOD($A42+INDEX(_xlfn.TEXTSPLIT(G97,",",),0,1)+$A$18,$A$18))/4,0),ROUNDUP(IF(MOD(G$18+INDEX(_xlfn.TEXTSPLIT(G97,",",),0,2)+$A$18,$A$18)=0,$A$18,MOD(G$18+INDEX(_xlfn.TEXTSPLIT(G97,",",),0,2)+$A$18,$A$18))/4,0)))+(INDEX($AD$2:$AK$9,ROUNDUP(IF(MOD($A42+INDEX(_xlfn.TEXTSPLIT(G140,",",),0,1)+$A$18,$A$18)=0,$A$18,MOD($A42+INDEX(_xlfn.TEXTSPLIT(G140,",",),0,1)+$A$18,$A$18))/5,0),ROUNDUP(IF(MOD(G$18+INDEX(_xlfn.TEXTSPLIT(G140,",",),0,2)+$A$18,$A$18)=0,$A$18,MOD(G$18+INDEX(_xlfn.TEXTSPLIT(G140,",",),0,2)+$A$18,$A$18))/5,0)))</f>
        <v>1</v>
      </c>
      <c r="H42" s="1" cm="1">
        <f t="array" aca="1" ref="H42" ca="1">(INDEX($K$2:$T$11,ROUNDUP(IF(MOD($A42+INDEX(_xlfn.TEXTSPLIT(H97,",",),0,1)+$A$18,$A$18)=0,$A$18,MOD($A42+INDEX(_xlfn.TEXTSPLIT(H97,",",),0,1)+$A$18,$A$18))/4,0),ROUNDUP(IF(MOD(H$18+INDEX(_xlfn.TEXTSPLIT(H97,",",),0,2)+$A$18,$A$18)=0,$A$18,MOD(H$18+INDEX(_xlfn.TEXTSPLIT(H97,",",),0,2)+$A$18,$A$18))/4,0)))+(INDEX($AD$2:$AK$9,ROUNDUP(IF(MOD($A42+INDEX(_xlfn.TEXTSPLIT(H140,",",),0,1)+$A$18,$A$18)=0,$A$18,MOD($A42+INDEX(_xlfn.TEXTSPLIT(H140,",",),0,1)+$A$18,$A$18))/5,0),ROUNDUP(IF(MOD(H$18+INDEX(_xlfn.TEXTSPLIT(H140,",",),0,2)+$A$18,$A$18)=0,$A$18,MOD(H$18+INDEX(_xlfn.TEXTSPLIT(H140,",",),0,2)+$A$18,$A$18))/5,0)))</f>
        <v>3</v>
      </c>
      <c r="I42" s="1" cm="1">
        <f t="array" aca="1" ref="I42" ca="1">(INDEX($K$2:$T$11,ROUNDUP(IF(MOD($A42+INDEX(_xlfn.TEXTSPLIT(I97,",",),0,1)+$A$18,$A$18)=0,$A$18,MOD($A42+INDEX(_xlfn.TEXTSPLIT(I97,",",),0,1)+$A$18,$A$18))/4,0),ROUNDUP(IF(MOD(I$18+INDEX(_xlfn.TEXTSPLIT(I97,",",),0,2)+$A$18,$A$18)=0,$A$18,MOD(I$18+INDEX(_xlfn.TEXTSPLIT(I97,",",),0,2)+$A$18,$A$18))/4,0)))+(INDEX($AD$2:$AK$9,ROUNDUP(IF(MOD($A42+INDEX(_xlfn.TEXTSPLIT(I140,",",),0,1)+$A$18,$A$18)=0,$A$18,MOD($A42+INDEX(_xlfn.TEXTSPLIT(I140,",",),0,1)+$A$18,$A$18))/5,0),ROUNDUP(IF(MOD(I$18+INDEX(_xlfn.TEXTSPLIT(I140,",",),0,2)+$A$18,$A$18)=0,$A$18,MOD(I$18+INDEX(_xlfn.TEXTSPLIT(I140,",",),0,2)+$A$18,$A$18))/5,0)))</f>
        <v>7</v>
      </c>
      <c r="J42" s="1" cm="1">
        <f t="array" aca="1" ref="J42" ca="1">(INDEX($K$2:$T$11,ROUNDUP(IF(MOD($A42+INDEX(_xlfn.TEXTSPLIT(J97,",",),0,1)+$A$18,$A$18)=0,$A$18,MOD($A42+INDEX(_xlfn.TEXTSPLIT(J97,",",),0,1)+$A$18,$A$18))/4,0),ROUNDUP(IF(MOD(J$18+INDEX(_xlfn.TEXTSPLIT(J97,",",),0,2)+$A$18,$A$18)=0,$A$18,MOD(J$18+INDEX(_xlfn.TEXTSPLIT(J97,",",),0,2)+$A$18,$A$18))/4,0)))+(INDEX($AD$2:$AK$9,ROUNDUP(IF(MOD($A42+INDEX(_xlfn.TEXTSPLIT(J140,",",),0,1)+$A$18,$A$18)=0,$A$18,MOD($A42+INDEX(_xlfn.TEXTSPLIT(J140,",",),0,1)+$A$18,$A$18))/5,0),ROUNDUP(IF(MOD(J$18+INDEX(_xlfn.TEXTSPLIT(J140,",",),0,2)+$A$18,$A$18)=0,$A$18,MOD(J$18+INDEX(_xlfn.TEXTSPLIT(J140,",",),0,2)+$A$18,$A$18))/5,0)))</f>
        <v>7</v>
      </c>
      <c r="K42" s="1" cm="1">
        <f t="array" aca="1" ref="K42" ca="1">(INDEX($K$2:$T$11,ROUNDUP(IF(MOD($A42+INDEX(_xlfn.TEXTSPLIT(K97,",",),0,1)+$A$18,$A$18)=0,$A$18,MOD($A42+INDEX(_xlfn.TEXTSPLIT(K97,",",),0,1)+$A$18,$A$18))/4,0),ROUNDUP(IF(MOD(K$18+INDEX(_xlfn.TEXTSPLIT(K97,",",),0,2)+$A$18,$A$18)=0,$A$18,MOD(K$18+INDEX(_xlfn.TEXTSPLIT(K97,",",),0,2)+$A$18,$A$18))/4,0)))+(INDEX($AD$2:$AK$9,ROUNDUP(IF(MOD($A42+INDEX(_xlfn.TEXTSPLIT(K140,",",),0,1)+$A$18,$A$18)=0,$A$18,MOD($A42+INDEX(_xlfn.TEXTSPLIT(K140,",",),0,1)+$A$18,$A$18))/5,0),ROUNDUP(IF(MOD(K$18+INDEX(_xlfn.TEXTSPLIT(K140,",",),0,2)+$A$18,$A$18)=0,$A$18,MOD(K$18+INDEX(_xlfn.TEXTSPLIT(K140,",",),0,2)+$A$18,$A$18))/5,0)))</f>
        <v>7</v>
      </c>
      <c r="L42" s="1" cm="1">
        <f t="array" aca="1" ref="L42" ca="1">(INDEX($K$2:$T$11,ROUNDUP(IF(MOD($A42+INDEX(_xlfn.TEXTSPLIT(L97,",",),0,1)+$A$18,$A$18)=0,$A$18,MOD($A42+INDEX(_xlfn.TEXTSPLIT(L97,",",),0,1)+$A$18,$A$18))/4,0),ROUNDUP(IF(MOD(L$18+INDEX(_xlfn.TEXTSPLIT(L97,",",),0,2)+$A$18,$A$18)=0,$A$18,MOD(L$18+INDEX(_xlfn.TEXTSPLIT(L97,",",),0,2)+$A$18,$A$18))/4,0)))+(INDEX($AD$2:$AK$9,ROUNDUP(IF(MOD($A42+INDEX(_xlfn.TEXTSPLIT(L140,",",),0,1)+$A$18,$A$18)=0,$A$18,MOD($A42+INDEX(_xlfn.TEXTSPLIT(L140,",",),0,1)+$A$18,$A$18))/5,0),ROUNDUP(IF(MOD(L$18+INDEX(_xlfn.TEXTSPLIT(L140,",",),0,2)+$A$18,$A$18)=0,$A$18,MOD(L$18+INDEX(_xlfn.TEXTSPLIT(L140,",",),0,2)+$A$18,$A$18))/5,0)))</f>
        <v>7</v>
      </c>
      <c r="M42" s="1" cm="1">
        <f t="array" aca="1" ref="M42" ca="1">(INDEX($K$2:$T$11,ROUNDUP(IF(MOD($A42+INDEX(_xlfn.TEXTSPLIT(M97,",",),0,1)+$A$18,$A$18)=0,$A$18,MOD($A42+INDEX(_xlfn.TEXTSPLIT(M97,",",),0,1)+$A$18,$A$18))/4,0),ROUNDUP(IF(MOD(M$18+INDEX(_xlfn.TEXTSPLIT(M97,",",),0,2)+$A$18,$A$18)=0,$A$18,MOD(M$18+INDEX(_xlfn.TEXTSPLIT(M97,",",),0,2)+$A$18,$A$18))/4,0)))+(INDEX($AD$2:$AK$9,ROUNDUP(IF(MOD($A42+INDEX(_xlfn.TEXTSPLIT(M140,",",),0,1)+$A$18,$A$18)=0,$A$18,MOD($A42+INDEX(_xlfn.TEXTSPLIT(M140,",",),0,1)+$A$18,$A$18))/5,0),ROUNDUP(IF(MOD(M$18+INDEX(_xlfn.TEXTSPLIT(M140,",",),0,2)+$A$18,$A$18)=0,$A$18,MOD(M$18+INDEX(_xlfn.TEXTSPLIT(M140,",",),0,2)+$A$18,$A$18))/5,0)))</f>
        <v>7</v>
      </c>
      <c r="N42" s="1" cm="1">
        <f t="array" aca="1" ref="N42" ca="1">(INDEX($K$2:$T$11,ROUNDUP(IF(MOD($A42+INDEX(_xlfn.TEXTSPLIT(N97,",",),0,1)+$A$18,$A$18)=0,$A$18,MOD($A42+INDEX(_xlfn.TEXTSPLIT(N97,",",),0,1)+$A$18,$A$18))/4,0),ROUNDUP(IF(MOD(N$18+INDEX(_xlfn.TEXTSPLIT(N97,",",),0,2)+$A$18,$A$18)=0,$A$18,MOD(N$18+INDEX(_xlfn.TEXTSPLIT(N97,",",),0,2)+$A$18,$A$18))/4,0)))+(INDEX($AD$2:$AK$9,ROUNDUP(IF(MOD($A42+INDEX(_xlfn.TEXTSPLIT(N140,",",),0,1)+$A$18,$A$18)=0,$A$18,MOD($A42+INDEX(_xlfn.TEXTSPLIT(N140,",",),0,1)+$A$18,$A$18))/5,0),ROUNDUP(IF(MOD(N$18+INDEX(_xlfn.TEXTSPLIT(N140,",",),0,2)+$A$18,$A$18)=0,$A$18,MOD(N$18+INDEX(_xlfn.TEXTSPLIT(N140,",",),0,2)+$A$18,$A$18))/5,0)))</f>
        <v>7</v>
      </c>
      <c r="O42" s="1" cm="1">
        <f t="array" aca="1" ref="O42" ca="1">(INDEX($K$2:$T$11,ROUNDUP(IF(MOD($A42+INDEX(_xlfn.TEXTSPLIT(O97,",",),0,1)+$A$18,$A$18)=0,$A$18,MOD($A42+INDEX(_xlfn.TEXTSPLIT(O97,",",),0,1)+$A$18,$A$18))/4,0),ROUNDUP(IF(MOD(O$18+INDEX(_xlfn.TEXTSPLIT(O97,",",),0,2)+$A$18,$A$18)=0,$A$18,MOD(O$18+INDEX(_xlfn.TEXTSPLIT(O97,",",),0,2)+$A$18,$A$18))/4,0)))+(INDEX($AD$2:$AK$9,ROUNDUP(IF(MOD($A42+INDEX(_xlfn.TEXTSPLIT(O140,",",),0,1)+$A$18,$A$18)=0,$A$18,MOD($A42+INDEX(_xlfn.TEXTSPLIT(O140,",",),0,1)+$A$18,$A$18))/5,0),ROUNDUP(IF(MOD(O$18+INDEX(_xlfn.TEXTSPLIT(O140,",",),0,2)+$A$18,$A$18)=0,$A$18,MOD(O$18+INDEX(_xlfn.TEXTSPLIT(O140,",",),0,2)+$A$18,$A$18))/5,0)))</f>
        <v>7</v>
      </c>
      <c r="P42" s="1" cm="1">
        <f t="array" aca="1" ref="P42" ca="1">(INDEX($K$2:$T$11,ROUNDUP(IF(MOD($A42+INDEX(_xlfn.TEXTSPLIT(P97,",",),0,1)+$A$18,$A$18)=0,$A$18,MOD($A42+INDEX(_xlfn.TEXTSPLIT(P97,",",),0,1)+$A$18,$A$18))/4,0),ROUNDUP(IF(MOD(P$18+INDEX(_xlfn.TEXTSPLIT(P97,",",),0,2)+$A$18,$A$18)=0,$A$18,MOD(P$18+INDEX(_xlfn.TEXTSPLIT(P97,",",),0,2)+$A$18,$A$18))/4,0)))+(INDEX($AD$2:$AK$9,ROUNDUP(IF(MOD($A42+INDEX(_xlfn.TEXTSPLIT(P140,",",),0,1)+$A$18,$A$18)=0,$A$18,MOD($A42+INDEX(_xlfn.TEXTSPLIT(P140,",",),0,1)+$A$18,$A$18))/5,0),ROUNDUP(IF(MOD(P$18+INDEX(_xlfn.TEXTSPLIT(P140,",",),0,2)+$A$18,$A$18)=0,$A$18,MOD(P$18+INDEX(_xlfn.TEXTSPLIT(P140,",",),0,2)+$A$18,$A$18))/5,0)))</f>
        <v>7</v>
      </c>
      <c r="Q42" s="1" cm="1">
        <f t="array" aca="1" ref="Q42" ca="1">(INDEX($K$2:$T$11,ROUNDUP(IF(MOD($A42+INDEX(_xlfn.TEXTSPLIT(Q97,",",),0,1)+$A$18,$A$18)=0,$A$18,MOD($A42+INDEX(_xlfn.TEXTSPLIT(Q97,",",),0,1)+$A$18,$A$18))/4,0),ROUNDUP(IF(MOD(Q$18+INDEX(_xlfn.TEXTSPLIT(Q97,",",),0,2)+$A$18,$A$18)=0,$A$18,MOD(Q$18+INDEX(_xlfn.TEXTSPLIT(Q97,",",),0,2)+$A$18,$A$18))/4,0)))+(INDEX($AD$2:$AK$9,ROUNDUP(IF(MOD($A42+INDEX(_xlfn.TEXTSPLIT(Q140,",",),0,1)+$A$18,$A$18)=0,$A$18,MOD($A42+INDEX(_xlfn.TEXTSPLIT(Q140,",",),0,1)+$A$18,$A$18))/5,0),ROUNDUP(IF(MOD(Q$18+INDEX(_xlfn.TEXTSPLIT(Q140,",",),0,2)+$A$18,$A$18)=0,$A$18,MOD(Q$18+INDEX(_xlfn.TEXTSPLIT(Q140,",",),0,2)+$A$18,$A$18))/5,0)))</f>
        <v>7</v>
      </c>
      <c r="R42" s="1" cm="1">
        <f t="array" aca="1" ref="R42" ca="1">(INDEX($K$2:$T$11,ROUNDUP(IF(MOD($A42+INDEX(_xlfn.TEXTSPLIT(R97,",",),0,1)+$A$18,$A$18)=0,$A$18,MOD($A42+INDEX(_xlfn.TEXTSPLIT(R97,",",),0,1)+$A$18,$A$18))/4,0),ROUNDUP(IF(MOD(R$18+INDEX(_xlfn.TEXTSPLIT(R97,",",),0,2)+$A$18,$A$18)=0,$A$18,MOD(R$18+INDEX(_xlfn.TEXTSPLIT(R97,",",),0,2)+$A$18,$A$18))/4,0)))+(INDEX($AD$2:$AK$9,ROUNDUP(IF(MOD($A42+INDEX(_xlfn.TEXTSPLIT(R140,",",),0,1)+$A$18,$A$18)=0,$A$18,MOD($A42+INDEX(_xlfn.TEXTSPLIT(R140,",",),0,1)+$A$18,$A$18))/5,0),ROUNDUP(IF(MOD(R$18+INDEX(_xlfn.TEXTSPLIT(R140,",",),0,2)+$A$18,$A$18)=0,$A$18,MOD(R$18+INDEX(_xlfn.TEXTSPLIT(R140,",",),0,2)+$A$18,$A$18))/5,0)))</f>
        <v>7</v>
      </c>
      <c r="S42" s="1" cm="1">
        <f t="array" aca="1" ref="S42" ca="1">(INDEX($K$2:$T$11,ROUNDUP(IF(MOD($A42+INDEX(_xlfn.TEXTSPLIT(S97,",",),0,1)+$A$18,$A$18)=0,$A$18,MOD($A42+INDEX(_xlfn.TEXTSPLIT(S97,",",),0,1)+$A$18,$A$18))/4,0),ROUNDUP(IF(MOD(S$18+INDEX(_xlfn.TEXTSPLIT(S97,",",),0,2)+$A$18,$A$18)=0,$A$18,MOD(S$18+INDEX(_xlfn.TEXTSPLIT(S97,",",),0,2)+$A$18,$A$18))/4,0)))+(INDEX($AD$2:$AK$9,ROUNDUP(IF(MOD($A42+INDEX(_xlfn.TEXTSPLIT(S140,",",),0,1)+$A$18,$A$18)=0,$A$18,MOD($A42+INDEX(_xlfn.TEXTSPLIT(S140,",",),0,1)+$A$18,$A$18))/5,0),ROUNDUP(IF(MOD(S$18+INDEX(_xlfn.TEXTSPLIT(S140,",",),0,2)+$A$18,$A$18)=0,$A$18,MOD(S$18+INDEX(_xlfn.TEXTSPLIT(S140,",",),0,2)+$A$18,$A$18))/5,0)))</f>
        <v>7</v>
      </c>
      <c r="T42" s="1" cm="1">
        <f t="array" aca="1" ref="T42" ca="1">(INDEX($K$2:$T$11,ROUNDUP(IF(MOD($A42+INDEX(_xlfn.TEXTSPLIT(T97,",",),0,1)+$A$18,$A$18)=0,$A$18,MOD($A42+INDEX(_xlfn.TEXTSPLIT(T97,",",),0,1)+$A$18,$A$18))/4,0),ROUNDUP(IF(MOD(T$18+INDEX(_xlfn.TEXTSPLIT(T97,",",),0,2)+$A$18,$A$18)=0,$A$18,MOD(T$18+INDEX(_xlfn.TEXTSPLIT(T97,",",),0,2)+$A$18,$A$18))/4,0)))+(INDEX($AD$2:$AK$9,ROUNDUP(IF(MOD($A42+INDEX(_xlfn.TEXTSPLIT(T140,",",),0,1)+$A$18,$A$18)=0,$A$18,MOD($A42+INDEX(_xlfn.TEXTSPLIT(T140,",",),0,1)+$A$18,$A$18))/5,0),ROUNDUP(IF(MOD(T$18+INDEX(_xlfn.TEXTSPLIT(T140,",",),0,2)+$A$18,$A$18)=0,$A$18,MOD(T$18+INDEX(_xlfn.TEXTSPLIT(T140,",",),0,2)+$A$18,$A$18))/5,0)))</f>
        <v>7</v>
      </c>
      <c r="U42" s="1" cm="1">
        <f t="array" aca="1" ref="U42" ca="1">(INDEX($K$2:$T$11,ROUNDUP(IF(MOD($A42+INDEX(_xlfn.TEXTSPLIT(U97,",",),0,1)+$A$18,$A$18)=0,$A$18,MOD($A42+INDEX(_xlfn.TEXTSPLIT(U97,",",),0,1)+$A$18,$A$18))/4,0),ROUNDUP(IF(MOD(U$18+INDEX(_xlfn.TEXTSPLIT(U97,",",),0,2)+$A$18,$A$18)=0,$A$18,MOD(U$18+INDEX(_xlfn.TEXTSPLIT(U97,",",),0,2)+$A$18,$A$18))/4,0)))+(INDEX($AD$2:$AK$9,ROUNDUP(IF(MOD($A42+INDEX(_xlfn.TEXTSPLIT(U140,",",),0,1)+$A$18,$A$18)=0,$A$18,MOD($A42+INDEX(_xlfn.TEXTSPLIT(U140,",",),0,1)+$A$18,$A$18))/5,0),ROUNDUP(IF(MOD(U$18+INDEX(_xlfn.TEXTSPLIT(U140,",",),0,2)+$A$18,$A$18)=0,$A$18,MOD(U$18+INDEX(_xlfn.TEXTSPLIT(U140,",",),0,2)+$A$18,$A$18))/5,0)))</f>
        <v>7</v>
      </c>
      <c r="V42" s="1" cm="1">
        <f t="array" aca="1" ref="V42" ca="1">(INDEX($K$2:$T$11,ROUNDUP(IF(MOD($A42+INDEX(_xlfn.TEXTSPLIT(V97,",",),0,1)+$A$18,$A$18)=0,$A$18,MOD($A42+INDEX(_xlfn.TEXTSPLIT(V97,",",),0,1)+$A$18,$A$18))/4,0),ROUNDUP(IF(MOD(V$18+INDEX(_xlfn.TEXTSPLIT(V97,",",),0,2)+$A$18,$A$18)=0,$A$18,MOD(V$18+INDEX(_xlfn.TEXTSPLIT(V97,",",),0,2)+$A$18,$A$18))/4,0)))+(INDEX($AD$2:$AK$9,ROUNDUP(IF(MOD($A42+INDEX(_xlfn.TEXTSPLIT(V140,",",),0,1)+$A$18,$A$18)=0,$A$18,MOD($A42+INDEX(_xlfn.TEXTSPLIT(V140,",",),0,1)+$A$18,$A$18))/5,0),ROUNDUP(IF(MOD(V$18+INDEX(_xlfn.TEXTSPLIT(V140,",",),0,2)+$A$18,$A$18)=0,$A$18,MOD(V$18+INDEX(_xlfn.TEXTSPLIT(V140,",",),0,2)+$A$18,$A$18))/5,0)))</f>
        <v>7</v>
      </c>
      <c r="W42" s="1" cm="1">
        <f t="array" aca="1" ref="W42" ca="1">(INDEX($K$2:$T$11,ROUNDUP(IF(MOD($A42+INDEX(_xlfn.TEXTSPLIT(W97,",",),0,1)+$A$18,$A$18)=0,$A$18,MOD($A42+INDEX(_xlfn.TEXTSPLIT(W97,",",),0,1)+$A$18,$A$18))/4,0),ROUNDUP(IF(MOD(W$18+INDEX(_xlfn.TEXTSPLIT(W97,",",),0,2)+$A$18,$A$18)=0,$A$18,MOD(W$18+INDEX(_xlfn.TEXTSPLIT(W97,",",),0,2)+$A$18,$A$18))/4,0)))+(INDEX($AD$2:$AK$9,ROUNDUP(IF(MOD($A42+INDEX(_xlfn.TEXTSPLIT(W140,",",),0,1)+$A$18,$A$18)=0,$A$18,MOD($A42+INDEX(_xlfn.TEXTSPLIT(W140,",",),0,1)+$A$18,$A$18))/5,0),ROUNDUP(IF(MOD(W$18+INDEX(_xlfn.TEXTSPLIT(W140,",",),0,2)+$A$18,$A$18)=0,$A$18,MOD(W$18+INDEX(_xlfn.TEXTSPLIT(W140,",",),0,2)+$A$18,$A$18))/5,0)))</f>
        <v>7</v>
      </c>
      <c r="X42" s="1" cm="1">
        <f t="array" aca="1" ref="X42" ca="1">(INDEX($K$2:$T$11,ROUNDUP(IF(MOD($A42+INDEX(_xlfn.TEXTSPLIT(X97,",",),0,1)+$A$18,$A$18)=0,$A$18,MOD($A42+INDEX(_xlfn.TEXTSPLIT(X97,",",),0,1)+$A$18,$A$18))/4,0),ROUNDUP(IF(MOD(X$18+INDEX(_xlfn.TEXTSPLIT(X97,",",),0,2)+$A$18,$A$18)=0,$A$18,MOD(X$18+INDEX(_xlfn.TEXTSPLIT(X97,",",),0,2)+$A$18,$A$18))/4,0)))+(INDEX($AD$2:$AK$9,ROUNDUP(IF(MOD($A42+INDEX(_xlfn.TEXTSPLIT(X140,",",),0,1)+$A$18,$A$18)=0,$A$18,MOD($A42+INDEX(_xlfn.TEXTSPLIT(X140,",",),0,1)+$A$18,$A$18))/5,0),ROUNDUP(IF(MOD(X$18+INDEX(_xlfn.TEXTSPLIT(X140,",",),0,2)+$A$18,$A$18)=0,$A$18,MOD(X$18+INDEX(_xlfn.TEXTSPLIT(X140,",",),0,2)+$A$18,$A$18))/5,0)))</f>
        <v>7</v>
      </c>
      <c r="Y42" s="1" cm="1">
        <f t="array" aca="1" ref="Y42" ca="1">(INDEX($K$2:$T$11,ROUNDUP(IF(MOD($A42+INDEX(_xlfn.TEXTSPLIT(Y97,",",),0,1)+$A$18,$A$18)=0,$A$18,MOD($A42+INDEX(_xlfn.TEXTSPLIT(Y97,",",),0,1)+$A$18,$A$18))/4,0),ROUNDUP(IF(MOD(Y$18+INDEX(_xlfn.TEXTSPLIT(Y97,",",),0,2)+$A$18,$A$18)=0,$A$18,MOD(Y$18+INDEX(_xlfn.TEXTSPLIT(Y97,",",),0,2)+$A$18,$A$18))/4,0)))+(INDEX($AD$2:$AK$9,ROUNDUP(IF(MOD($A42+INDEX(_xlfn.TEXTSPLIT(Y140,",",),0,1)+$A$18,$A$18)=0,$A$18,MOD($A42+INDEX(_xlfn.TEXTSPLIT(Y140,",",),0,1)+$A$18,$A$18))/5,0),ROUNDUP(IF(MOD(Y$18+INDEX(_xlfn.TEXTSPLIT(Y140,",",),0,2)+$A$18,$A$18)=0,$A$18,MOD(Y$18+INDEX(_xlfn.TEXTSPLIT(Y140,",",),0,2)+$A$18,$A$18))/5,0)))</f>
        <v>7</v>
      </c>
      <c r="Z42" s="1" cm="1">
        <f t="array" aca="1" ref="Z42" ca="1">(INDEX($K$2:$T$11,ROUNDUP(IF(MOD($A42+INDEX(_xlfn.TEXTSPLIT(Z97,",",),0,1)+$A$18,$A$18)=0,$A$18,MOD($A42+INDEX(_xlfn.TEXTSPLIT(Z97,",",),0,1)+$A$18,$A$18))/4,0),ROUNDUP(IF(MOD(Z$18+INDEX(_xlfn.TEXTSPLIT(Z97,",",),0,2)+$A$18,$A$18)=0,$A$18,MOD(Z$18+INDEX(_xlfn.TEXTSPLIT(Z97,",",),0,2)+$A$18,$A$18))/4,0)))+(INDEX($AD$2:$AK$9,ROUNDUP(IF(MOD($A42+INDEX(_xlfn.TEXTSPLIT(Z140,",",),0,1)+$A$18,$A$18)=0,$A$18,MOD($A42+INDEX(_xlfn.TEXTSPLIT(Z140,",",),0,1)+$A$18,$A$18))/5,0),ROUNDUP(IF(MOD(Z$18+INDEX(_xlfn.TEXTSPLIT(Z140,",",),0,2)+$A$18,$A$18)=0,$A$18,MOD(Z$18+INDEX(_xlfn.TEXTSPLIT(Z140,",",),0,2)+$A$18,$A$18))/5,0)))</f>
        <v>8</v>
      </c>
      <c r="AA42" s="1" cm="1">
        <f t="array" aca="1" ref="AA42" ca="1">(INDEX($K$2:$T$11,ROUNDUP(IF(MOD($A42+INDEX(_xlfn.TEXTSPLIT(AA97,",",),0,1)+$A$18,$A$18)=0,$A$18,MOD($A42+INDEX(_xlfn.TEXTSPLIT(AA97,",",),0,1)+$A$18,$A$18))/4,0),ROUNDUP(IF(MOD(AA$18+INDEX(_xlfn.TEXTSPLIT(AA97,",",),0,2)+$A$18,$A$18)=0,$A$18,MOD(AA$18+INDEX(_xlfn.TEXTSPLIT(AA97,",",),0,2)+$A$18,$A$18))/4,0)))+(INDEX($AD$2:$AK$9,ROUNDUP(IF(MOD($A42+INDEX(_xlfn.TEXTSPLIT(AA140,",",),0,1)+$A$18,$A$18)=0,$A$18,MOD($A42+INDEX(_xlfn.TEXTSPLIT(AA140,",",),0,1)+$A$18,$A$18))/5,0),ROUNDUP(IF(MOD(AA$18+INDEX(_xlfn.TEXTSPLIT(AA140,",",),0,2)+$A$18,$A$18)=0,$A$18,MOD(AA$18+INDEX(_xlfn.TEXTSPLIT(AA140,",",),0,2)+$A$18,$A$18))/5,0)))</f>
        <v>8</v>
      </c>
      <c r="AB42" s="1" cm="1">
        <f t="array" aca="1" ref="AB42" ca="1">(INDEX($K$2:$T$11,ROUNDUP(IF(MOD($A42+INDEX(_xlfn.TEXTSPLIT(AB97,",",),0,1)+$A$18,$A$18)=0,$A$18,MOD($A42+INDEX(_xlfn.TEXTSPLIT(AB97,",",),0,1)+$A$18,$A$18))/4,0),ROUNDUP(IF(MOD(AB$18+INDEX(_xlfn.TEXTSPLIT(AB97,",",),0,2)+$A$18,$A$18)=0,$A$18,MOD(AB$18+INDEX(_xlfn.TEXTSPLIT(AB97,",",),0,2)+$A$18,$A$18))/4,0)))+(INDEX($AD$2:$AK$9,ROUNDUP(IF(MOD($A42+INDEX(_xlfn.TEXTSPLIT(AB140,",",),0,1)+$A$18,$A$18)=0,$A$18,MOD($A42+INDEX(_xlfn.TEXTSPLIT(AB140,",",),0,1)+$A$18,$A$18))/5,0),ROUNDUP(IF(MOD(AB$18+INDEX(_xlfn.TEXTSPLIT(AB140,",",),0,2)+$A$18,$A$18)=0,$A$18,MOD(AB$18+INDEX(_xlfn.TEXTSPLIT(AB140,",",),0,2)+$A$18,$A$18))/5,0)))</f>
        <v>8</v>
      </c>
      <c r="AC42" s="1" cm="1">
        <f t="array" aca="1" ref="AC42" ca="1">(INDEX($K$2:$T$11,ROUNDUP(IF(MOD($A42+INDEX(_xlfn.TEXTSPLIT(AC97,",",),0,1)+$A$18,$A$18)=0,$A$18,MOD($A42+INDEX(_xlfn.TEXTSPLIT(AC97,",",),0,1)+$A$18,$A$18))/4,0),ROUNDUP(IF(MOD(AC$18+INDEX(_xlfn.TEXTSPLIT(AC97,",",),0,2)+$A$18,$A$18)=0,$A$18,MOD(AC$18+INDEX(_xlfn.TEXTSPLIT(AC97,",",),0,2)+$A$18,$A$18))/4,0)))+(INDEX($AD$2:$AK$9,ROUNDUP(IF(MOD($A42+INDEX(_xlfn.TEXTSPLIT(AC140,",",),0,1)+$A$18,$A$18)=0,$A$18,MOD($A42+INDEX(_xlfn.TEXTSPLIT(AC140,",",),0,1)+$A$18,$A$18))/5,0),ROUNDUP(IF(MOD(AC$18+INDEX(_xlfn.TEXTSPLIT(AC140,",",),0,2)+$A$18,$A$18)=0,$A$18,MOD(AC$18+INDEX(_xlfn.TEXTSPLIT(AC140,",",),0,2)+$A$18,$A$18))/5,0)))</f>
        <v>8</v>
      </c>
      <c r="AD42" s="1" cm="1">
        <f t="array" aca="1" ref="AD42" ca="1">(INDEX($K$2:$T$11,ROUNDUP(IF(MOD($A42+INDEX(_xlfn.TEXTSPLIT(AD97,",",),0,1)+$A$18,$A$18)=0,$A$18,MOD($A42+INDEX(_xlfn.TEXTSPLIT(AD97,",",),0,1)+$A$18,$A$18))/4,0),ROUNDUP(IF(MOD(AD$18+INDEX(_xlfn.TEXTSPLIT(AD97,",",),0,2)+$A$18,$A$18)=0,$A$18,MOD(AD$18+INDEX(_xlfn.TEXTSPLIT(AD97,",",),0,2)+$A$18,$A$18))/4,0)))+(INDEX($AD$2:$AK$9,ROUNDUP(IF(MOD($A42+INDEX(_xlfn.TEXTSPLIT(AD140,",",),0,1)+$A$18,$A$18)=0,$A$18,MOD($A42+INDEX(_xlfn.TEXTSPLIT(AD140,",",),0,1)+$A$18,$A$18))/5,0),ROUNDUP(IF(MOD(AD$18+INDEX(_xlfn.TEXTSPLIT(AD140,",",),0,2)+$A$18,$A$18)=0,$A$18,MOD(AD$18+INDEX(_xlfn.TEXTSPLIT(AD140,",",),0,2)+$A$18,$A$18))/5,0)))</f>
        <v>8</v>
      </c>
      <c r="AE42" s="1" cm="1">
        <f t="array" aca="1" ref="AE42" ca="1">(INDEX($K$2:$T$11,ROUNDUP(IF(MOD($A42+INDEX(_xlfn.TEXTSPLIT(AE97,",",),0,1)+$A$18,$A$18)=0,$A$18,MOD($A42+INDEX(_xlfn.TEXTSPLIT(AE97,",",),0,1)+$A$18,$A$18))/4,0),ROUNDUP(IF(MOD(AE$18+INDEX(_xlfn.TEXTSPLIT(AE97,",",),0,2)+$A$18,$A$18)=0,$A$18,MOD(AE$18+INDEX(_xlfn.TEXTSPLIT(AE97,",",),0,2)+$A$18,$A$18))/4,0)))+(INDEX($AD$2:$AK$9,ROUNDUP(IF(MOD($A42+INDEX(_xlfn.TEXTSPLIT(AE140,",",),0,1)+$A$18,$A$18)=0,$A$18,MOD($A42+INDEX(_xlfn.TEXTSPLIT(AE140,",",),0,1)+$A$18,$A$18))/5,0),ROUNDUP(IF(MOD(AE$18+INDEX(_xlfn.TEXTSPLIT(AE140,",",),0,2)+$A$18,$A$18)=0,$A$18,MOD(AE$18+INDEX(_xlfn.TEXTSPLIT(AE140,",",),0,2)+$A$18,$A$18))/5,0)))</f>
        <v>7</v>
      </c>
      <c r="AF42" s="1" cm="1">
        <f t="array" aca="1" ref="AF42" ca="1">(INDEX($K$2:$T$11,ROUNDUP(IF(MOD($A42+INDEX(_xlfn.TEXTSPLIT(AF97,",",),0,1)+$A$18,$A$18)=0,$A$18,MOD($A42+INDEX(_xlfn.TEXTSPLIT(AF97,",",),0,1)+$A$18,$A$18))/4,0),ROUNDUP(IF(MOD(AF$18+INDEX(_xlfn.TEXTSPLIT(AF97,",",),0,2)+$A$18,$A$18)=0,$A$18,MOD(AF$18+INDEX(_xlfn.TEXTSPLIT(AF97,",",),0,2)+$A$18,$A$18))/4,0)))+(INDEX($AD$2:$AK$9,ROUNDUP(IF(MOD($A42+INDEX(_xlfn.TEXTSPLIT(AF140,",",),0,1)+$A$18,$A$18)=0,$A$18,MOD($A42+INDEX(_xlfn.TEXTSPLIT(AF140,",",),0,1)+$A$18,$A$18))/5,0),ROUNDUP(IF(MOD(AF$18+INDEX(_xlfn.TEXTSPLIT(AF140,",",),0,2)+$A$18,$A$18)=0,$A$18,MOD(AF$18+INDEX(_xlfn.TEXTSPLIT(AF140,",",),0,2)+$A$18,$A$18))/5,0)))</f>
        <v>7</v>
      </c>
      <c r="AG42" s="1" cm="1">
        <f t="array" aca="1" ref="AG42" ca="1">(INDEX($K$2:$T$11,ROUNDUP(IF(MOD($A42+INDEX(_xlfn.TEXTSPLIT(AG97,",",),0,1)+$A$18,$A$18)=0,$A$18,MOD($A42+INDEX(_xlfn.TEXTSPLIT(AG97,",",),0,1)+$A$18,$A$18))/4,0),ROUNDUP(IF(MOD(AG$18+INDEX(_xlfn.TEXTSPLIT(AG97,",",),0,2)+$A$18,$A$18)=0,$A$18,MOD(AG$18+INDEX(_xlfn.TEXTSPLIT(AG97,",",),0,2)+$A$18,$A$18))/4,0)))+(INDEX($AD$2:$AK$9,ROUNDUP(IF(MOD($A42+INDEX(_xlfn.TEXTSPLIT(AG140,",",),0,1)+$A$18,$A$18)=0,$A$18,MOD($A42+INDEX(_xlfn.TEXTSPLIT(AG140,",",),0,1)+$A$18,$A$18))/5,0),ROUNDUP(IF(MOD(AG$18+INDEX(_xlfn.TEXTSPLIT(AG140,",",),0,2)+$A$18,$A$18)=0,$A$18,MOD(AG$18+INDEX(_xlfn.TEXTSPLIT(AG140,",",),0,2)+$A$18,$A$18))/5,0)))</f>
        <v>7</v>
      </c>
      <c r="AH42" s="1" cm="1">
        <f t="array" aca="1" ref="AH42" ca="1">(INDEX($K$2:$T$11,ROUNDUP(IF(MOD($A42+INDEX(_xlfn.TEXTSPLIT(AH97,",",),0,1)+$A$18,$A$18)=0,$A$18,MOD($A42+INDEX(_xlfn.TEXTSPLIT(AH97,",",),0,1)+$A$18,$A$18))/4,0),ROUNDUP(IF(MOD(AH$18+INDEX(_xlfn.TEXTSPLIT(AH97,",",),0,2)+$A$18,$A$18)=0,$A$18,MOD(AH$18+INDEX(_xlfn.TEXTSPLIT(AH97,",",),0,2)+$A$18,$A$18))/4,0)))+(INDEX($AD$2:$AK$9,ROUNDUP(IF(MOD($A42+INDEX(_xlfn.TEXTSPLIT(AH140,",",),0,1)+$A$18,$A$18)=0,$A$18,MOD($A42+INDEX(_xlfn.TEXTSPLIT(AH140,",",),0,1)+$A$18,$A$18))/5,0),ROUNDUP(IF(MOD(AH$18+INDEX(_xlfn.TEXTSPLIT(AH140,",",),0,2)+$A$18,$A$18)=0,$A$18,MOD(AH$18+INDEX(_xlfn.TEXTSPLIT(AH140,",",),0,2)+$A$18,$A$18))/5,0)))</f>
        <v>7</v>
      </c>
      <c r="AI42" s="1" cm="1">
        <f t="array" aca="1" ref="AI42" ca="1">(INDEX($K$2:$T$11,ROUNDUP(IF(MOD($A42+INDEX(_xlfn.TEXTSPLIT(AI97,",",),0,1)+$A$18,$A$18)=0,$A$18,MOD($A42+INDEX(_xlfn.TEXTSPLIT(AI97,",",),0,1)+$A$18,$A$18))/4,0),ROUNDUP(IF(MOD(AI$18+INDEX(_xlfn.TEXTSPLIT(AI97,",",),0,2)+$A$18,$A$18)=0,$A$18,MOD(AI$18+INDEX(_xlfn.TEXTSPLIT(AI97,",",),0,2)+$A$18,$A$18))/4,0)))+(INDEX($AD$2:$AK$9,ROUNDUP(IF(MOD($A42+INDEX(_xlfn.TEXTSPLIT(AI140,",",),0,1)+$A$18,$A$18)=0,$A$18,MOD($A42+INDEX(_xlfn.TEXTSPLIT(AI140,",",),0,1)+$A$18,$A$18))/5,0),ROUNDUP(IF(MOD(AI$18+INDEX(_xlfn.TEXTSPLIT(AI140,",",),0,2)+$A$18,$A$18)=0,$A$18,MOD(AI$18+INDEX(_xlfn.TEXTSPLIT(AI140,",",),0,2)+$A$18,$A$18))/5,0)))</f>
        <v>7</v>
      </c>
      <c r="AJ42" s="1" cm="1">
        <f t="array" aca="1" ref="AJ42" ca="1">(INDEX($K$2:$T$11,ROUNDUP(IF(MOD($A42+INDEX(_xlfn.TEXTSPLIT(AJ97,",",),0,1)+$A$18,$A$18)=0,$A$18,MOD($A42+INDEX(_xlfn.TEXTSPLIT(AJ97,",",),0,1)+$A$18,$A$18))/4,0),ROUNDUP(IF(MOD(AJ$18+INDEX(_xlfn.TEXTSPLIT(AJ97,",",),0,2)+$A$18,$A$18)=0,$A$18,MOD(AJ$18+INDEX(_xlfn.TEXTSPLIT(AJ97,",",),0,2)+$A$18,$A$18))/4,0)))+(INDEX($AD$2:$AK$9,ROUNDUP(IF(MOD($A42+INDEX(_xlfn.TEXTSPLIT(AJ140,",",),0,1)+$A$18,$A$18)=0,$A$18,MOD($A42+INDEX(_xlfn.TEXTSPLIT(AJ140,",",),0,1)+$A$18,$A$18))/5,0),ROUNDUP(IF(MOD(AJ$18+INDEX(_xlfn.TEXTSPLIT(AJ140,",",),0,2)+$A$18,$A$18)=0,$A$18,MOD(AJ$18+INDEX(_xlfn.TEXTSPLIT(AJ140,",",),0,2)+$A$18,$A$18))/5,0)))</f>
        <v>8</v>
      </c>
      <c r="AK42" s="1" cm="1">
        <f t="array" aca="1" ref="AK42" ca="1">(INDEX($K$2:$T$11,ROUNDUP(IF(MOD($A42+INDEX(_xlfn.TEXTSPLIT(AK97,",",),0,1)+$A$18,$A$18)=0,$A$18,MOD($A42+INDEX(_xlfn.TEXTSPLIT(AK97,",",),0,1)+$A$18,$A$18))/4,0),ROUNDUP(IF(MOD(AK$18+INDEX(_xlfn.TEXTSPLIT(AK97,",",),0,2)+$A$18,$A$18)=0,$A$18,MOD(AK$18+INDEX(_xlfn.TEXTSPLIT(AK97,",",),0,2)+$A$18,$A$18))/4,0)))+(INDEX($AD$2:$AK$9,ROUNDUP(IF(MOD($A42+INDEX(_xlfn.TEXTSPLIT(AK140,",",),0,1)+$A$18,$A$18)=0,$A$18,MOD($A42+INDEX(_xlfn.TEXTSPLIT(AK140,",",),0,1)+$A$18,$A$18))/5,0),ROUNDUP(IF(MOD(AK$18+INDEX(_xlfn.TEXTSPLIT(AK140,",",),0,2)+$A$18,$A$18)=0,$A$18,MOD(AK$18+INDEX(_xlfn.TEXTSPLIT(AK140,",",),0,2)+$A$18,$A$18))/5,0)))</f>
        <v>8</v>
      </c>
      <c r="AL42" s="1" cm="1">
        <f t="array" aca="1" ref="AL42" ca="1">(INDEX($K$2:$T$11,ROUNDUP(IF(MOD($A42+INDEX(_xlfn.TEXTSPLIT(AL97,",",),0,1)+$A$18,$A$18)=0,$A$18,MOD($A42+INDEX(_xlfn.TEXTSPLIT(AL97,",",),0,1)+$A$18,$A$18))/4,0),ROUNDUP(IF(MOD(AL$18+INDEX(_xlfn.TEXTSPLIT(AL97,",",),0,2)+$A$18,$A$18)=0,$A$18,MOD(AL$18+INDEX(_xlfn.TEXTSPLIT(AL97,",",),0,2)+$A$18,$A$18))/4,0)))+(INDEX($AD$2:$AK$9,ROUNDUP(IF(MOD($A42+INDEX(_xlfn.TEXTSPLIT(AL140,",",),0,1)+$A$18,$A$18)=0,$A$18,MOD($A42+INDEX(_xlfn.TEXTSPLIT(AL140,",",),0,1)+$A$18,$A$18))/5,0),ROUNDUP(IF(MOD(AL$18+INDEX(_xlfn.TEXTSPLIT(AL140,",",),0,2)+$A$18,$A$18)=0,$A$18,MOD(AL$18+INDEX(_xlfn.TEXTSPLIT(AL140,",",),0,2)+$A$18,$A$18))/5,0)))</f>
        <v>8</v>
      </c>
      <c r="AM42" s="1" cm="1">
        <f t="array" aca="1" ref="AM42" ca="1">(INDEX($K$2:$T$11,ROUNDUP(IF(MOD($A42+INDEX(_xlfn.TEXTSPLIT(AM97,",",),0,1)+$A$18,$A$18)=0,$A$18,MOD($A42+INDEX(_xlfn.TEXTSPLIT(AM97,",",),0,1)+$A$18,$A$18))/4,0),ROUNDUP(IF(MOD(AM$18+INDEX(_xlfn.TEXTSPLIT(AM97,",",),0,2)+$A$18,$A$18)=0,$A$18,MOD(AM$18+INDEX(_xlfn.TEXTSPLIT(AM97,",",),0,2)+$A$18,$A$18))/4,0)))+(INDEX($AD$2:$AK$9,ROUNDUP(IF(MOD($A42+INDEX(_xlfn.TEXTSPLIT(AM140,",",),0,1)+$A$18,$A$18)=0,$A$18,MOD($A42+INDEX(_xlfn.TEXTSPLIT(AM140,",",),0,1)+$A$18,$A$18))/5,0),ROUNDUP(IF(MOD(AM$18+INDEX(_xlfn.TEXTSPLIT(AM140,",",),0,2)+$A$18,$A$18)=0,$A$18,MOD(AM$18+INDEX(_xlfn.TEXTSPLIT(AM140,",",),0,2)+$A$18,$A$18))/5,0)))</f>
        <v>8</v>
      </c>
      <c r="AN42" s="1" cm="1">
        <f t="array" aca="1" ref="AN42" ca="1">(INDEX($K$2:$T$11,ROUNDUP(IF(MOD($A42+INDEX(_xlfn.TEXTSPLIT(AN97,",",),0,1)+$A$18,$A$18)=0,$A$18,MOD($A42+INDEX(_xlfn.TEXTSPLIT(AN97,",",),0,1)+$A$18,$A$18))/4,0),ROUNDUP(IF(MOD(AN$18+INDEX(_xlfn.TEXTSPLIT(AN97,",",),0,2)+$A$18,$A$18)=0,$A$18,MOD(AN$18+INDEX(_xlfn.TEXTSPLIT(AN97,",",),0,2)+$A$18,$A$18))/4,0)))+(INDEX($AD$2:$AK$9,ROUNDUP(IF(MOD($A42+INDEX(_xlfn.TEXTSPLIT(AN140,",",),0,1)+$A$18,$A$18)=0,$A$18,MOD($A42+INDEX(_xlfn.TEXTSPLIT(AN140,",",),0,1)+$A$18,$A$18))/5,0),ROUNDUP(IF(MOD(AN$18+INDEX(_xlfn.TEXTSPLIT(AN140,",",),0,2)+$A$18,$A$18)=0,$A$18,MOD(AN$18+INDEX(_xlfn.TEXTSPLIT(AN140,",",),0,2)+$A$18,$A$18))/5,0)))</f>
        <v>8</v>
      </c>
      <c r="AO42" s="1" cm="1">
        <f t="array" aca="1" ref="AO42" ca="1">(INDEX($K$2:$T$11,ROUNDUP(IF(MOD($A42+INDEX(_xlfn.TEXTSPLIT(AO97,",",),0,1)+$A$18,$A$18)=0,$A$18,MOD($A42+INDEX(_xlfn.TEXTSPLIT(AO97,",",),0,1)+$A$18,$A$18))/4,0),ROUNDUP(IF(MOD(AO$18+INDEX(_xlfn.TEXTSPLIT(AO97,",",),0,2)+$A$18,$A$18)=0,$A$18,MOD(AO$18+INDEX(_xlfn.TEXTSPLIT(AO97,",",),0,2)+$A$18,$A$18))/4,0)))+(INDEX($AD$2:$AK$9,ROUNDUP(IF(MOD($A42+INDEX(_xlfn.TEXTSPLIT(AO140,",",),0,1)+$A$18,$A$18)=0,$A$18,MOD($A42+INDEX(_xlfn.TEXTSPLIT(AO140,",",),0,1)+$A$18,$A$18))/5,0),ROUNDUP(IF(MOD(AO$18+INDEX(_xlfn.TEXTSPLIT(AO140,",",),0,2)+$A$18,$A$18)=0,$A$18,MOD(AO$18+INDEX(_xlfn.TEXTSPLIT(AO140,",",),0,2)+$A$18,$A$18))/5,0)))</f>
        <v>5</v>
      </c>
    </row>
    <row r="43" spans="1:41" ht="12.75">
      <c r="A43" s="1">
        <v>25</v>
      </c>
      <c r="B43" s="1" cm="1">
        <f t="array" aca="1" ref="B43" ca="1">(INDEX($K$2:$T$11,ROUNDUP(IF(MOD($A43+INDEX(_xlfn.TEXTSPLIT(B98,",",),0,1)+$A$18,$A$18)=0,$A$18,MOD($A43+INDEX(_xlfn.TEXTSPLIT(B98,",",),0,1)+$A$18,$A$18))/4,0),ROUNDUP(IF(MOD(B$18+INDEX(_xlfn.TEXTSPLIT(B98,",",),0,2)+$A$18,$A$18)=0,$A$18,MOD(B$18+INDEX(_xlfn.TEXTSPLIT(B98,",",),0,2)+$A$18,$A$18))/4,0)))+(INDEX($AD$2:$AK$9,ROUNDUP(IF(MOD($A43+INDEX(_xlfn.TEXTSPLIT(B141,",",),0,1)+$A$18,$A$18)=0,$A$18,MOD($A43+INDEX(_xlfn.TEXTSPLIT(B141,",",),0,1)+$A$18,$A$18))/5,0),ROUNDUP(IF(MOD(B$18+INDEX(_xlfn.TEXTSPLIT(B141,",",),0,2)+$A$18,$A$18)=0,$A$18,MOD(B$18+INDEX(_xlfn.TEXTSPLIT(B141,",",),0,2)+$A$18,$A$18))/5,0)))</f>
        <v>5</v>
      </c>
      <c r="C43" s="1" cm="1">
        <f t="array" aca="1" ref="C43" ca="1">(INDEX($K$2:$T$11,ROUNDUP(IF(MOD($A43+INDEX(_xlfn.TEXTSPLIT(C98,",",),0,1)+$A$18,$A$18)=0,$A$18,MOD($A43+INDEX(_xlfn.TEXTSPLIT(C98,",",),0,1)+$A$18,$A$18))/4,0),ROUNDUP(IF(MOD(C$18+INDEX(_xlfn.TEXTSPLIT(C98,",",),0,2)+$A$18,$A$18)=0,$A$18,MOD(C$18+INDEX(_xlfn.TEXTSPLIT(C98,",",),0,2)+$A$18,$A$18))/4,0)))+(INDEX($AD$2:$AK$9,ROUNDUP(IF(MOD($A43+INDEX(_xlfn.TEXTSPLIT(C141,",",),0,1)+$A$18,$A$18)=0,$A$18,MOD($A43+INDEX(_xlfn.TEXTSPLIT(C141,",",),0,1)+$A$18,$A$18))/5,0),ROUNDUP(IF(MOD(C$18+INDEX(_xlfn.TEXTSPLIT(C141,",",),0,2)+$A$18,$A$18)=0,$A$18,MOD(C$18+INDEX(_xlfn.TEXTSPLIT(C141,",",),0,2)+$A$18,$A$18))/5,0)))</f>
        <v>5</v>
      </c>
      <c r="D43" s="1" cm="1">
        <f t="array" aca="1" ref="D43" ca="1">(INDEX($K$2:$T$11,ROUNDUP(IF(MOD($A43+INDEX(_xlfn.TEXTSPLIT(D98,",",),0,1)+$A$18,$A$18)=0,$A$18,MOD($A43+INDEX(_xlfn.TEXTSPLIT(D98,",",),0,1)+$A$18,$A$18))/4,0),ROUNDUP(IF(MOD(D$18+INDEX(_xlfn.TEXTSPLIT(D98,",",),0,2)+$A$18,$A$18)=0,$A$18,MOD(D$18+INDEX(_xlfn.TEXTSPLIT(D98,",",),0,2)+$A$18,$A$18))/4,0)))+(INDEX($AD$2:$AK$9,ROUNDUP(IF(MOD($A43+INDEX(_xlfn.TEXTSPLIT(D141,",",),0,1)+$A$18,$A$18)=0,$A$18,MOD($A43+INDEX(_xlfn.TEXTSPLIT(D141,",",),0,1)+$A$18,$A$18))/5,0),ROUNDUP(IF(MOD(D$18+INDEX(_xlfn.TEXTSPLIT(D141,",",),0,2)+$A$18,$A$18)=0,$A$18,MOD(D$18+INDEX(_xlfn.TEXTSPLIT(D141,",",),0,2)+$A$18,$A$18))/5,0)))</f>
        <v>1</v>
      </c>
      <c r="E43" s="1" cm="1">
        <f t="array" aca="1" ref="E43" ca="1">(INDEX($K$2:$T$11,ROUNDUP(IF(MOD($A43+INDEX(_xlfn.TEXTSPLIT(E98,",",),0,1)+$A$18,$A$18)=0,$A$18,MOD($A43+INDEX(_xlfn.TEXTSPLIT(E98,",",),0,1)+$A$18,$A$18))/4,0),ROUNDUP(IF(MOD(E$18+INDEX(_xlfn.TEXTSPLIT(E98,",",),0,2)+$A$18,$A$18)=0,$A$18,MOD(E$18+INDEX(_xlfn.TEXTSPLIT(E98,",",),0,2)+$A$18,$A$18))/4,0)))+(INDEX($AD$2:$AK$9,ROUNDUP(IF(MOD($A43+INDEX(_xlfn.TEXTSPLIT(E141,",",),0,1)+$A$18,$A$18)=0,$A$18,MOD($A43+INDEX(_xlfn.TEXTSPLIT(E141,",",),0,1)+$A$18,$A$18))/5,0),ROUNDUP(IF(MOD(E$18+INDEX(_xlfn.TEXTSPLIT(E141,",",),0,2)+$A$18,$A$18)=0,$A$18,MOD(E$18+INDEX(_xlfn.TEXTSPLIT(E141,",",),0,2)+$A$18,$A$18))/5,0)))</f>
        <v>1</v>
      </c>
      <c r="F43" s="1" cm="1">
        <f t="array" aca="1" ref="F43" ca="1">(INDEX($K$2:$T$11,ROUNDUP(IF(MOD($A43+INDEX(_xlfn.TEXTSPLIT(F98,",",),0,1)+$A$18,$A$18)=0,$A$18,MOD($A43+INDEX(_xlfn.TEXTSPLIT(F98,",",),0,1)+$A$18,$A$18))/4,0),ROUNDUP(IF(MOD(F$18+INDEX(_xlfn.TEXTSPLIT(F98,",",),0,2)+$A$18,$A$18)=0,$A$18,MOD(F$18+INDEX(_xlfn.TEXTSPLIT(F98,",",),0,2)+$A$18,$A$18))/4,0)))+(INDEX($AD$2:$AK$9,ROUNDUP(IF(MOD($A43+INDEX(_xlfn.TEXTSPLIT(F141,",",),0,1)+$A$18,$A$18)=0,$A$18,MOD($A43+INDEX(_xlfn.TEXTSPLIT(F141,",",),0,1)+$A$18,$A$18))/5,0),ROUNDUP(IF(MOD(F$18+INDEX(_xlfn.TEXTSPLIT(F141,",",),0,2)+$A$18,$A$18)=0,$A$18,MOD(F$18+INDEX(_xlfn.TEXTSPLIT(F141,",",),0,2)+$A$18,$A$18))/5,0)))</f>
        <v>1</v>
      </c>
      <c r="G43" s="1" cm="1">
        <f t="array" aca="1" ref="G43" ca="1">(INDEX($K$2:$T$11,ROUNDUP(IF(MOD($A43+INDEX(_xlfn.TEXTSPLIT(G98,",",),0,1)+$A$18,$A$18)=0,$A$18,MOD($A43+INDEX(_xlfn.TEXTSPLIT(G98,",",),0,1)+$A$18,$A$18))/4,0),ROUNDUP(IF(MOD(G$18+INDEX(_xlfn.TEXTSPLIT(G98,",",),0,2)+$A$18,$A$18)=0,$A$18,MOD(G$18+INDEX(_xlfn.TEXTSPLIT(G98,",",),0,2)+$A$18,$A$18))/4,0)))+(INDEX($AD$2:$AK$9,ROUNDUP(IF(MOD($A43+INDEX(_xlfn.TEXTSPLIT(G141,",",),0,1)+$A$18,$A$18)=0,$A$18,MOD($A43+INDEX(_xlfn.TEXTSPLIT(G141,",",),0,1)+$A$18,$A$18))/5,0),ROUNDUP(IF(MOD(G$18+INDEX(_xlfn.TEXTSPLIT(G141,",",),0,2)+$A$18,$A$18)=0,$A$18,MOD(G$18+INDEX(_xlfn.TEXTSPLIT(G141,",",),0,2)+$A$18,$A$18))/5,0)))</f>
        <v>3</v>
      </c>
      <c r="H43" s="1" cm="1">
        <f t="array" aca="1" ref="H43" ca="1">(INDEX($K$2:$T$11,ROUNDUP(IF(MOD($A43+INDEX(_xlfn.TEXTSPLIT(H98,",",),0,1)+$A$18,$A$18)=0,$A$18,MOD($A43+INDEX(_xlfn.TEXTSPLIT(H98,",",),0,1)+$A$18,$A$18))/4,0),ROUNDUP(IF(MOD(H$18+INDEX(_xlfn.TEXTSPLIT(H98,",",),0,2)+$A$18,$A$18)=0,$A$18,MOD(H$18+INDEX(_xlfn.TEXTSPLIT(H98,",",),0,2)+$A$18,$A$18))/4,0)))+(INDEX($AD$2:$AK$9,ROUNDUP(IF(MOD($A43+INDEX(_xlfn.TEXTSPLIT(H141,",",),0,1)+$A$18,$A$18)=0,$A$18,MOD($A43+INDEX(_xlfn.TEXTSPLIT(H141,",",),0,1)+$A$18,$A$18))/5,0),ROUNDUP(IF(MOD(H$18+INDEX(_xlfn.TEXTSPLIT(H141,",",),0,2)+$A$18,$A$18)=0,$A$18,MOD(H$18+INDEX(_xlfn.TEXTSPLIT(H141,",",),0,2)+$A$18,$A$18))/5,0)))</f>
        <v>3</v>
      </c>
      <c r="I43" s="1" cm="1">
        <f t="array" aca="1" ref="I43" ca="1">(INDEX($K$2:$T$11,ROUNDUP(IF(MOD($A43+INDEX(_xlfn.TEXTSPLIT(I98,",",),0,1)+$A$18,$A$18)=0,$A$18,MOD($A43+INDEX(_xlfn.TEXTSPLIT(I98,",",),0,1)+$A$18,$A$18))/4,0),ROUNDUP(IF(MOD(I$18+INDEX(_xlfn.TEXTSPLIT(I98,",",),0,2)+$A$18,$A$18)=0,$A$18,MOD(I$18+INDEX(_xlfn.TEXTSPLIT(I98,",",),0,2)+$A$18,$A$18))/4,0)))+(INDEX($AD$2:$AK$9,ROUNDUP(IF(MOD($A43+INDEX(_xlfn.TEXTSPLIT(I141,",",),0,1)+$A$18,$A$18)=0,$A$18,MOD($A43+INDEX(_xlfn.TEXTSPLIT(I141,",",),0,1)+$A$18,$A$18))/5,0),ROUNDUP(IF(MOD(I$18+INDEX(_xlfn.TEXTSPLIT(I141,",",),0,2)+$A$18,$A$18)=0,$A$18,MOD(I$18+INDEX(_xlfn.TEXTSPLIT(I141,",",),0,2)+$A$18,$A$18))/5,0)))</f>
        <v>3</v>
      </c>
      <c r="J43" s="1" cm="1">
        <f t="array" aca="1" ref="J43" ca="1">(INDEX($K$2:$T$11,ROUNDUP(IF(MOD($A43+INDEX(_xlfn.TEXTSPLIT(J98,",",),0,1)+$A$18,$A$18)=0,$A$18,MOD($A43+INDEX(_xlfn.TEXTSPLIT(J98,",",),0,1)+$A$18,$A$18))/4,0),ROUNDUP(IF(MOD(J$18+INDEX(_xlfn.TEXTSPLIT(J98,",",),0,2)+$A$18,$A$18)=0,$A$18,MOD(J$18+INDEX(_xlfn.TEXTSPLIT(J98,",",),0,2)+$A$18,$A$18))/4,0)))+(INDEX($AD$2:$AK$9,ROUNDUP(IF(MOD($A43+INDEX(_xlfn.TEXTSPLIT(J141,",",),0,1)+$A$18,$A$18)=0,$A$18,MOD($A43+INDEX(_xlfn.TEXTSPLIT(J141,",",),0,1)+$A$18,$A$18))/5,0),ROUNDUP(IF(MOD(J$18+INDEX(_xlfn.TEXTSPLIT(J141,",",),0,2)+$A$18,$A$18)=0,$A$18,MOD(J$18+INDEX(_xlfn.TEXTSPLIT(J141,",",),0,2)+$A$18,$A$18))/5,0)))</f>
        <v>3</v>
      </c>
      <c r="K43" s="1" cm="1">
        <f t="array" aca="1" ref="K43" ca="1">(INDEX($K$2:$T$11,ROUNDUP(IF(MOD($A43+INDEX(_xlfn.TEXTSPLIT(K98,",",),0,1)+$A$18,$A$18)=0,$A$18,MOD($A43+INDEX(_xlfn.TEXTSPLIT(K98,",",),0,1)+$A$18,$A$18))/4,0),ROUNDUP(IF(MOD(K$18+INDEX(_xlfn.TEXTSPLIT(K98,",",),0,2)+$A$18,$A$18)=0,$A$18,MOD(K$18+INDEX(_xlfn.TEXTSPLIT(K98,",",),0,2)+$A$18,$A$18))/4,0)))+(INDEX($AD$2:$AK$9,ROUNDUP(IF(MOD($A43+INDEX(_xlfn.TEXTSPLIT(K141,",",),0,1)+$A$18,$A$18)=0,$A$18,MOD($A43+INDEX(_xlfn.TEXTSPLIT(K141,",",),0,1)+$A$18,$A$18))/5,0),ROUNDUP(IF(MOD(K$18+INDEX(_xlfn.TEXTSPLIT(K141,",",),0,2)+$A$18,$A$18)=0,$A$18,MOD(K$18+INDEX(_xlfn.TEXTSPLIT(K141,",",),0,2)+$A$18,$A$18))/5,0)))</f>
        <v>7</v>
      </c>
      <c r="L43" s="1" cm="1">
        <f t="array" aca="1" ref="L43" ca="1">(INDEX($K$2:$T$11,ROUNDUP(IF(MOD($A43+INDEX(_xlfn.TEXTSPLIT(L98,",",),0,1)+$A$18,$A$18)=0,$A$18,MOD($A43+INDEX(_xlfn.TEXTSPLIT(L98,",",),0,1)+$A$18,$A$18))/4,0),ROUNDUP(IF(MOD(L$18+INDEX(_xlfn.TEXTSPLIT(L98,",",),0,2)+$A$18,$A$18)=0,$A$18,MOD(L$18+INDEX(_xlfn.TEXTSPLIT(L98,",",),0,2)+$A$18,$A$18))/4,0)))+(INDEX($AD$2:$AK$9,ROUNDUP(IF(MOD($A43+INDEX(_xlfn.TEXTSPLIT(L141,",",),0,1)+$A$18,$A$18)=0,$A$18,MOD($A43+INDEX(_xlfn.TEXTSPLIT(L141,",",),0,1)+$A$18,$A$18))/5,0),ROUNDUP(IF(MOD(L$18+INDEX(_xlfn.TEXTSPLIT(L141,",",),0,2)+$A$18,$A$18)=0,$A$18,MOD(L$18+INDEX(_xlfn.TEXTSPLIT(L141,",",),0,2)+$A$18,$A$18))/5,0)))</f>
        <v>6</v>
      </c>
      <c r="M43" s="1" cm="1">
        <f t="array" aca="1" ref="M43" ca="1">(INDEX($K$2:$T$11,ROUNDUP(IF(MOD($A43+INDEX(_xlfn.TEXTSPLIT(M98,",",),0,1)+$A$18,$A$18)=0,$A$18,MOD($A43+INDEX(_xlfn.TEXTSPLIT(M98,",",),0,1)+$A$18,$A$18))/4,0),ROUNDUP(IF(MOD(M$18+INDEX(_xlfn.TEXTSPLIT(M98,",",),0,2)+$A$18,$A$18)=0,$A$18,MOD(M$18+INDEX(_xlfn.TEXTSPLIT(M98,",",),0,2)+$A$18,$A$18))/4,0)))+(INDEX($AD$2:$AK$9,ROUNDUP(IF(MOD($A43+INDEX(_xlfn.TEXTSPLIT(M141,",",),0,1)+$A$18,$A$18)=0,$A$18,MOD($A43+INDEX(_xlfn.TEXTSPLIT(M141,",",),0,1)+$A$18,$A$18))/5,0),ROUNDUP(IF(MOD(M$18+INDEX(_xlfn.TEXTSPLIT(M141,",",),0,2)+$A$18,$A$18)=0,$A$18,MOD(M$18+INDEX(_xlfn.TEXTSPLIT(M141,",",),0,2)+$A$18,$A$18))/5,0)))</f>
        <v>6</v>
      </c>
      <c r="N43" s="1" cm="1">
        <f t="array" aca="1" ref="N43" ca="1">(INDEX($K$2:$T$11,ROUNDUP(IF(MOD($A43+INDEX(_xlfn.TEXTSPLIT(N98,",",),0,1)+$A$18,$A$18)=0,$A$18,MOD($A43+INDEX(_xlfn.TEXTSPLIT(N98,",",),0,1)+$A$18,$A$18))/4,0),ROUNDUP(IF(MOD(N$18+INDEX(_xlfn.TEXTSPLIT(N98,",",),0,2)+$A$18,$A$18)=0,$A$18,MOD(N$18+INDEX(_xlfn.TEXTSPLIT(N98,",",),0,2)+$A$18,$A$18))/4,0)))+(INDEX($AD$2:$AK$9,ROUNDUP(IF(MOD($A43+INDEX(_xlfn.TEXTSPLIT(N141,",",),0,1)+$A$18,$A$18)=0,$A$18,MOD($A43+INDEX(_xlfn.TEXTSPLIT(N141,",",),0,1)+$A$18,$A$18))/5,0),ROUNDUP(IF(MOD(N$18+INDEX(_xlfn.TEXTSPLIT(N141,",",),0,2)+$A$18,$A$18)=0,$A$18,MOD(N$18+INDEX(_xlfn.TEXTSPLIT(N141,",",),0,2)+$A$18,$A$18))/5,0)))</f>
        <v>7</v>
      </c>
      <c r="O43" s="1" cm="1">
        <f t="array" aca="1" ref="O43" ca="1">(INDEX($K$2:$T$11,ROUNDUP(IF(MOD($A43+INDEX(_xlfn.TEXTSPLIT(O98,",",),0,1)+$A$18,$A$18)=0,$A$18,MOD($A43+INDEX(_xlfn.TEXTSPLIT(O98,",",),0,1)+$A$18,$A$18))/4,0),ROUNDUP(IF(MOD(O$18+INDEX(_xlfn.TEXTSPLIT(O98,",",),0,2)+$A$18,$A$18)=0,$A$18,MOD(O$18+INDEX(_xlfn.TEXTSPLIT(O98,",",),0,2)+$A$18,$A$18))/4,0)))+(INDEX($AD$2:$AK$9,ROUNDUP(IF(MOD($A43+INDEX(_xlfn.TEXTSPLIT(O141,",",),0,1)+$A$18,$A$18)=0,$A$18,MOD($A43+INDEX(_xlfn.TEXTSPLIT(O141,",",),0,1)+$A$18,$A$18))/5,0),ROUNDUP(IF(MOD(O$18+INDEX(_xlfn.TEXTSPLIT(O141,",",),0,2)+$A$18,$A$18)=0,$A$18,MOD(O$18+INDEX(_xlfn.TEXTSPLIT(O141,",",),0,2)+$A$18,$A$18))/5,0)))</f>
        <v>7</v>
      </c>
      <c r="P43" s="1" cm="1">
        <f t="array" aca="1" ref="P43" ca="1">(INDEX($K$2:$T$11,ROUNDUP(IF(MOD($A43+INDEX(_xlfn.TEXTSPLIT(P98,",",),0,1)+$A$18,$A$18)=0,$A$18,MOD($A43+INDEX(_xlfn.TEXTSPLIT(P98,",",),0,1)+$A$18,$A$18))/4,0),ROUNDUP(IF(MOD(P$18+INDEX(_xlfn.TEXTSPLIT(P98,",",),0,2)+$A$18,$A$18)=0,$A$18,MOD(P$18+INDEX(_xlfn.TEXTSPLIT(P98,",",),0,2)+$A$18,$A$18))/4,0)))+(INDEX($AD$2:$AK$9,ROUNDUP(IF(MOD($A43+INDEX(_xlfn.TEXTSPLIT(P141,",",),0,1)+$A$18,$A$18)=0,$A$18,MOD($A43+INDEX(_xlfn.TEXTSPLIT(P141,",",),0,1)+$A$18,$A$18))/5,0),ROUNDUP(IF(MOD(P$18+INDEX(_xlfn.TEXTSPLIT(P141,",",),0,2)+$A$18,$A$18)=0,$A$18,MOD(P$18+INDEX(_xlfn.TEXTSPLIT(P141,",",),0,2)+$A$18,$A$18))/5,0)))</f>
        <v>7</v>
      </c>
      <c r="Q43" s="1" cm="1">
        <f t="array" aca="1" ref="Q43" ca="1">(INDEX($K$2:$T$11,ROUNDUP(IF(MOD($A43+INDEX(_xlfn.TEXTSPLIT(Q98,",",),0,1)+$A$18,$A$18)=0,$A$18,MOD($A43+INDEX(_xlfn.TEXTSPLIT(Q98,",",),0,1)+$A$18,$A$18))/4,0),ROUNDUP(IF(MOD(Q$18+INDEX(_xlfn.TEXTSPLIT(Q98,",",),0,2)+$A$18,$A$18)=0,$A$18,MOD(Q$18+INDEX(_xlfn.TEXTSPLIT(Q98,",",),0,2)+$A$18,$A$18))/4,0)))+(INDEX($AD$2:$AK$9,ROUNDUP(IF(MOD($A43+INDEX(_xlfn.TEXTSPLIT(Q141,",",),0,1)+$A$18,$A$18)=0,$A$18,MOD($A43+INDEX(_xlfn.TEXTSPLIT(Q141,",",),0,1)+$A$18,$A$18))/5,0),ROUNDUP(IF(MOD(Q$18+INDEX(_xlfn.TEXTSPLIT(Q141,",",),0,2)+$A$18,$A$18)=0,$A$18,MOD(Q$18+INDEX(_xlfn.TEXTSPLIT(Q141,",",),0,2)+$A$18,$A$18))/5,0)))</f>
        <v>7</v>
      </c>
      <c r="R43" s="1" cm="1">
        <f t="array" aca="1" ref="R43" ca="1">(INDEX($K$2:$T$11,ROUNDUP(IF(MOD($A43+INDEX(_xlfn.TEXTSPLIT(R98,",",),0,1)+$A$18,$A$18)=0,$A$18,MOD($A43+INDEX(_xlfn.TEXTSPLIT(R98,",",),0,1)+$A$18,$A$18))/4,0),ROUNDUP(IF(MOD(R$18+INDEX(_xlfn.TEXTSPLIT(R98,",",),0,2)+$A$18,$A$18)=0,$A$18,MOD(R$18+INDEX(_xlfn.TEXTSPLIT(R98,",",),0,2)+$A$18,$A$18))/4,0)))+(INDEX($AD$2:$AK$9,ROUNDUP(IF(MOD($A43+INDEX(_xlfn.TEXTSPLIT(R141,",",),0,1)+$A$18,$A$18)=0,$A$18,MOD($A43+INDEX(_xlfn.TEXTSPLIT(R141,",",),0,1)+$A$18,$A$18))/5,0),ROUNDUP(IF(MOD(R$18+INDEX(_xlfn.TEXTSPLIT(R141,",",),0,2)+$A$18,$A$18)=0,$A$18,MOD(R$18+INDEX(_xlfn.TEXTSPLIT(R141,",",),0,2)+$A$18,$A$18))/5,0)))</f>
        <v>8</v>
      </c>
      <c r="S43" s="1" cm="1">
        <f t="array" aca="1" ref="S43" ca="1">(INDEX($K$2:$T$11,ROUNDUP(IF(MOD($A43+INDEX(_xlfn.TEXTSPLIT(S98,",",),0,1)+$A$18,$A$18)=0,$A$18,MOD($A43+INDEX(_xlfn.TEXTSPLIT(S98,",",),0,1)+$A$18,$A$18))/4,0),ROUNDUP(IF(MOD(S$18+INDEX(_xlfn.TEXTSPLIT(S98,",",),0,2)+$A$18,$A$18)=0,$A$18,MOD(S$18+INDEX(_xlfn.TEXTSPLIT(S98,",",),0,2)+$A$18,$A$18))/4,0)))+(INDEX($AD$2:$AK$9,ROUNDUP(IF(MOD($A43+INDEX(_xlfn.TEXTSPLIT(S141,",",),0,1)+$A$18,$A$18)=0,$A$18,MOD($A43+INDEX(_xlfn.TEXTSPLIT(S141,",",),0,1)+$A$18,$A$18))/5,0),ROUNDUP(IF(MOD(S$18+INDEX(_xlfn.TEXTSPLIT(S141,",",),0,2)+$A$18,$A$18)=0,$A$18,MOD(S$18+INDEX(_xlfn.TEXTSPLIT(S141,",",),0,2)+$A$18,$A$18))/5,0)))</f>
        <v>7</v>
      </c>
      <c r="T43" s="1" cm="1">
        <f t="array" aca="1" ref="T43" ca="1">(INDEX($K$2:$T$11,ROUNDUP(IF(MOD($A43+INDEX(_xlfn.TEXTSPLIT(T98,",",),0,1)+$A$18,$A$18)=0,$A$18,MOD($A43+INDEX(_xlfn.TEXTSPLIT(T98,",",),0,1)+$A$18,$A$18))/4,0),ROUNDUP(IF(MOD(T$18+INDEX(_xlfn.TEXTSPLIT(T98,",",),0,2)+$A$18,$A$18)=0,$A$18,MOD(T$18+INDEX(_xlfn.TEXTSPLIT(T98,",",),0,2)+$A$18,$A$18))/4,0)))+(INDEX($AD$2:$AK$9,ROUNDUP(IF(MOD($A43+INDEX(_xlfn.TEXTSPLIT(T141,",",),0,1)+$A$18,$A$18)=0,$A$18,MOD($A43+INDEX(_xlfn.TEXTSPLIT(T141,",",),0,1)+$A$18,$A$18))/5,0),ROUNDUP(IF(MOD(T$18+INDEX(_xlfn.TEXTSPLIT(T141,",",),0,2)+$A$18,$A$18)=0,$A$18,MOD(T$18+INDEX(_xlfn.TEXTSPLIT(T141,",",),0,2)+$A$18,$A$18))/5,0)))</f>
        <v>7</v>
      </c>
      <c r="U43" s="1" cm="1">
        <f t="array" aca="1" ref="U43" ca="1">(INDEX($K$2:$T$11,ROUNDUP(IF(MOD($A43+INDEX(_xlfn.TEXTSPLIT(U98,",",),0,1)+$A$18,$A$18)=0,$A$18,MOD($A43+INDEX(_xlfn.TEXTSPLIT(U98,",",),0,1)+$A$18,$A$18))/4,0),ROUNDUP(IF(MOD(U$18+INDEX(_xlfn.TEXTSPLIT(U98,",",),0,2)+$A$18,$A$18)=0,$A$18,MOD(U$18+INDEX(_xlfn.TEXTSPLIT(U98,",",),0,2)+$A$18,$A$18))/4,0)))+(INDEX($AD$2:$AK$9,ROUNDUP(IF(MOD($A43+INDEX(_xlfn.TEXTSPLIT(U141,",",),0,1)+$A$18,$A$18)=0,$A$18,MOD($A43+INDEX(_xlfn.TEXTSPLIT(U141,",",),0,1)+$A$18,$A$18))/5,0),ROUNDUP(IF(MOD(U$18+INDEX(_xlfn.TEXTSPLIT(U141,",",),0,2)+$A$18,$A$18)=0,$A$18,MOD(U$18+INDEX(_xlfn.TEXTSPLIT(U141,",",),0,2)+$A$18,$A$18))/5,0)))</f>
        <v>7</v>
      </c>
      <c r="V43" s="1" cm="1">
        <f t="array" aca="1" ref="V43" ca="1">(INDEX($K$2:$T$11,ROUNDUP(IF(MOD($A43+INDEX(_xlfn.TEXTSPLIT(V98,",",),0,1)+$A$18,$A$18)=0,$A$18,MOD($A43+INDEX(_xlfn.TEXTSPLIT(V98,",",),0,1)+$A$18,$A$18))/4,0),ROUNDUP(IF(MOD(V$18+INDEX(_xlfn.TEXTSPLIT(V98,",",),0,2)+$A$18,$A$18)=0,$A$18,MOD(V$18+INDEX(_xlfn.TEXTSPLIT(V98,",",),0,2)+$A$18,$A$18))/4,0)))+(INDEX($AD$2:$AK$9,ROUNDUP(IF(MOD($A43+INDEX(_xlfn.TEXTSPLIT(V141,",",),0,1)+$A$18,$A$18)=0,$A$18,MOD($A43+INDEX(_xlfn.TEXTSPLIT(V141,",",),0,1)+$A$18,$A$18))/5,0),ROUNDUP(IF(MOD(V$18+INDEX(_xlfn.TEXTSPLIT(V141,",",),0,2)+$A$18,$A$18)=0,$A$18,MOD(V$18+INDEX(_xlfn.TEXTSPLIT(V141,",",),0,2)+$A$18,$A$18))/5,0)))</f>
        <v>7</v>
      </c>
      <c r="W43" s="1" cm="1">
        <f t="array" aca="1" ref="W43" ca="1">(INDEX($K$2:$T$11,ROUNDUP(IF(MOD($A43+INDEX(_xlfn.TEXTSPLIT(W98,",",),0,1)+$A$18,$A$18)=0,$A$18,MOD($A43+INDEX(_xlfn.TEXTSPLIT(W98,",",),0,1)+$A$18,$A$18))/4,0),ROUNDUP(IF(MOD(W$18+INDEX(_xlfn.TEXTSPLIT(W98,",",),0,2)+$A$18,$A$18)=0,$A$18,MOD(W$18+INDEX(_xlfn.TEXTSPLIT(W98,",",),0,2)+$A$18,$A$18))/4,0)))+(INDEX($AD$2:$AK$9,ROUNDUP(IF(MOD($A43+INDEX(_xlfn.TEXTSPLIT(W141,",",),0,1)+$A$18,$A$18)=0,$A$18,MOD($A43+INDEX(_xlfn.TEXTSPLIT(W141,",",),0,1)+$A$18,$A$18))/5,0),ROUNDUP(IF(MOD(W$18+INDEX(_xlfn.TEXTSPLIT(W141,",",),0,2)+$A$18,$A$18)=0,$A$18,MOD(W$18+INDEX(_xlfn.TEXTSPLIT(W141,",",),0,2)+$A$18,$A$18))/5,0)))</f>
        <v>7</v>
      </c>
      <c r="X43" s="1" cm="1">
        <f t="array" aca="1" ref="X43" ca="1">(INDEX($K$2:$T$11,ROUNDUP(IF(MOD($A43+INDEX(_xlfn.TEXTSPLIT(X98,",",),0,1)+$A$18,$A$18)=0,$A$18,MOD($A43+INDEX(_xlfn.TEXTSPLIT(X98,",",),0,1)+$A$18,$A$18))/4,0),ROUNDUP(IF(MOD(X$18+INDEX(_xlfn.TEXTSPLIT(X98,",",),0,2)+$A$18,$A$18)=0,$A$18,MOD(X$18+INDEX(_xlfn.TEXTSPLIT(X98,",",),0,2)+$A$18,$A$18))/4,0)))+(INDEX($AD$2:$AK$9,ROUNDUP(IF(MOD($A43+INDEX(_xlfn.TEXTSPLIT(X141,",",),0,1)+$A$18,$A$18)=0,$A$18,MOD($A43+INDEX(_xlfn.TEXTSPLIT(X141,",",),0,1)+$A$18,$A$18))/5,0),ROUNDUP(IF(MOD(X$18+INDEX(_xlfn.TEXTSPLIT(X141,",",),0,2)+$A$18,$A$18)=0,$A$18,MOD(X$18+INDEX(_xlfn.TEXTSPLIT(X141,",",),0,2)+$A$18,$A$18))/5,0)))</f>
        <v>7</v>
      </c>
      <c r="Y43" s="1" cm="1">
        <f t="array" aca="1" ref="Y43" ca="1">(INDEX($K$2:$T$11,ROUNDUP(IF(MOD($A43+INDEX(_xlfn.TEXTSPLIT(Y98,",",),0,1)+$A$18,$A$18)=0,$A$18,MOD($A43+INDEX(_xlfn.TEXTSPLIT(Y98,",",),0,1)+$A$18,$A$18))/4,0),ROUNDUP(IF(MOD(Y$18+INDEX(_xlfn.TEXTSPLIT(Y98,",",),0,2)+$A$18,$A$18)=0,$A$18,MOD(Y$18+INDEX(_xlfn.TEXTSPLIT(Y98,",",),0,2)+$A$18,$A$18))/4,0)))+(INDEX($AD$2:$AK$9,ROUNDUP(IF(MOD($A43+INDEX(_xlfn.TEXTSPLIT(Y141,",",),0,1)+$A$18,$A$18)=0,$A$18,MOD($A43+INDEX(_xlfn.TEXTSPLIT(Y141,",",),0,1)+$A$18,$A$18))/5,0),ROUNDUP(IF(MOD(Y$18+INDEX(_xlfn.TEXTSPLIT(Y141,",",),0,2)+$A$18,$A$18)=0,$A$18,MOD(Y$18+INDEX(_xlfn.TEXTSPLIT(Y141,",",),0,2)+$A$18,$A$18))/5,0)))</f>
        <v>7</v>
      </c>
      <c r="Z43" s="1" cm="1">
        <f t="array" aca="1" ref="Z43" ca="1">(INDEX($K$2:$T$11,ROUNDUP(IF(MOD($A43+INDEX(_xlfn.TEXTSPLIT(Z98,",",),0,1)+$A$18,$A$18)=0,$A$18,MOD($A43+INDEX(_xlfn.TEXTSPLIT(Z98,",",),0,1)+$A$18,$A$18))/4,0),ROUNDUP(IF(MOD(Z$18+INDEX(_xlfn.TEXTSPLIT(Z98,",",),0,2)+$A$18,$A$18)=0,$A$18,MOD(Z$18+INDEX(_xlfn.TEXTSPLIT(Z98,",",),0,2)+$A$18,$A$18))/4,0)))+(INDEX($AD$2:$AK$9,ROUNDUP(IF(MOD($A43+INDEX(_xlfn.TEXTSPLIT(Z141,",",),0,1)+$A$18,$A$18)=0,$A$18,MOD($A43+INDEX(_xlfn.TEXTSPLIT(Z141,",",),0,1)+$A$18,$A$18))/5,0),ROUNDUP(IF(MOD(Z$18+INDEX(_xlfn.TEXTSPLIT(Z141,",",),0,2)+$A$18,$A$18)=0,$A$18,MOD(Z$18+INDEX(_xlfn.TEXTSPLIT(Z141,",",),0,2)+$A$18,$A$18))/5,0)))</f>
        <v>7</v>
      </c>
      <c r="AA43" s="1" cm="1">
        <f t="array" aca="1" ref="AA43" ca="1">(INDEX($K$2:$T$11,ROUNDUP(IF(MOD($A43+INDEX(_xlfn.TEXTSPLIT(AA98,",",),0,1)+$A$18,$A$18)=0,$A$18,MOD($A43+INDEX(_xlfn.TEXTSPLIT(AA98,",",),0,1)+$A$18,$A$18))/4,0),ROUNDUP(IF(MOD(AA$18+INDEX(_xlfn.TEXTSPLIT(AA98,",",),0,2)+$A$18,$A$18)=0,$A$18,MOD(AA$18+INDEX(_xlfn.TEXTSPLIT(AA98,",",),0,2)+$A$18,$A$18))/4,0)))+(INDEX($AD$2:$AK$9,ROUNDUP(IF(MOD($A43+INDEX(_xlfn.TEXTSPLIT(AA141,",",),0,1)+$A$18,$A$18)=0,$A$18,MOD($A43+INDEX(_xlfn.TEXTSPLIT(AA141,",",),0,1)+$A$18,$A$18))/5,0),ROUNDUP(IF(MOD(AA$18+INDEX(_xlfn.TEXTSPLIT(AA141,",",),0,2)+$A$18,$A$18)=0,$A$18,MOD(AA$18+INDEX(_xlfn.TEXTSPLIT(AA141,",",),0,2)+$A$18,$A$18))/5,0)))</f>
        <v>8</v>
      </c>
      <c r="AB43" s="1" cm="1">
        <f t="array" aca="1" ref="AB43" ca="1">(INDEX($K$2:$T$11,ROUNDUP(IF(MOD($A43+INDEX(_xlfn.TEXTSPLIT(AB98,",",),0,1)+$A$18,$A$18)=0,$A$18,MOD($A43+INDEX(_xlfn.TEXTSPLIT(AB98,",",),0,1)+$A$18,$A$18))/4,0),ROUNDUP(IF(MOD(AB$18+INDEX(_xlfn.TEXTSPLIT(AB98,",",),0,2)+$A$18,$A$18)=0,$A$18,MOD(AB$18+INDEX(_xlfn.TEXTSPLIT(AB98,",",),0,2)+$A$18,$A$18))/4,0)))+(INDEX($AD$2:$AK$9,ROUNDUP(IF(MOD($A43+INDEX(_xlfn.TEXTSPLIT(AB141,",",),0,1)+$A$18,$A$18)=0,$A$18,MOD($A43+INDEX(_xlfn.TEXTSPLIT(AB141,",",),0,1)+$A$18,$A$18))/5,0),ROUNDUP(IF(MOD(AB$18+INDEX(_xlfn.TEXTSPLIT(AB141,",",),0,2)+$A$18,$A$18)=0,$A$18,MOD(AB$18+INDEX(_xlfn.TEXTSPLIT(AB141,",",),0,2)+$A$18,$A$18))/5,0)))</f>
        <v>8</v>
      </c>
      <c r="AC43" s="1" cm="1">
        <f t="array" aca="1" ref="AC43" ca="1">(INDEX($K$2:$T$11,ROUNDUP(IF(MOD($A43+INDEX(_xlfn.TEXTSPLIT(AC98,",",),0,1)+$A$18,$A$18)=0,$A$18,MOD($A43+INDEX(_xlfn.TEXTSPLIT(AC98,",",),0,1)+$A$18,$A$18))/4,0),ROUNDUP(IF(MOD(AC$18+INDEX(_xlfn.TEXTSPLIT(AC98,",",),0,2)+$A$18,$A$18)=0,$A$18,MOD(AC$18+INDEX(_xlfn.TEXTSPLIT(AC98,",",),0,2)+$A$18,$A$18))/4,0)))+(INDEX($AD$2:$AK$9,ROUNDUP(IF(MOD($A43+INDEX(_xlfn.TEXTSPLIT(AC141,",",),0,1)+$A$18,$A$18)=0,$A$18,MOD($A43+INDEX(_xlfn.TEXTSPLIT(AC141,",",),0,1)+$A$18,$A$18))/5,0),ROUNDUP(IF(MOD(AC$18+INDEX(_xlfn.TEXTSPLIT(AC141,",",),0,2)+$A$18,$A$18)=0,$A$18,MOD(AC$18+INDEX(_xlfn.TEXTSPLIT(AC141,",",),0,2)+$A$18,$A$18))/5,0)))</f>
        <v>8</v>
      </c>
      <c r="AD43" s="1" cm="1">
        <f t="array" aca="1" ref="AD43" ca="1">(INDEX($K$2:$T$11,ROUNDUP(IF(MOD($A43+INDEX(_xlfn.TEXTSPLIT(AD98,",",),0,1)+$A$18,$A$18)=0,$A$18,MOD($A43+INDEX(_xlfn.TEXTSPLIT(AD98,",",),0,1)+$A$18,$A$18))/4,0),ROUNDUP(IF(MOD(AD$18+INDEX(_xlfn.TEXTSPLIT(AD98,",",),0,2)+$A$18,$A$18)=0,$A$18,MOD(AD$18+INDEX(_xlfn.TEXTSPLIT(AD98,",",),0,2)+$A$18,$A$18))/4,0)))+(INDEX($AD$2:$AK$9,ROUNDUP(IF(MOD($A43+INDEX(_xlfn.TEXTSPLIT(AD141,",",),0,1)+$A$18,$A$18)=0,$A$18,MOD($A43+INDEX(_xlfn.TEXTSPLIT(AD141,",",),0,1)+$A$18,$A$18))/5,0),ROUNDUP(IF(MOD(AD$18+INDEX(_xlfn.TEXTSPLIT(AD141,",",),0,2)+$A$18,$A$18)=0,$A$18,MOD(AD$18+INDEX(_xlfn.TEXTSPLIT(AD141,",",),0,2)+$A$18,$A$18))/5,0)))</f>
        <v>8</v>
      </c>
      <c r="AE43" s="1" cm="1">
        <f t="array" aca="1" ref="AE43" ca="1">(INDEX($K$2:$T$11,ROUNDUP(IF(MOD($A43+INDEX(_xlfn.TEXTSPLIT(AE98,",",),0,1)+$A$18,$A$18)=0,$A$18,MOD($A43+INDEX(_xlfn.TEXTSPLIT(AE98,",",),0,1)+$A$18,$A$18))/4,0),ROUNDUP(IF(MOD(AE$18+INDEX(_xlfn.TEXTSPLIT(AE98,",",),0,2)+$A$18,$A$18)=0,$A$18,MOD(AE$18+INDEX(_xlfn.TEXTSPLIT(AE98,",",),0,2)+$A$18,$A$18))/4,0)))+(INDEX($AD$2:$AK$9,ROUNDUP(IF(MOD($A43+INDEX(_xlfn.TEXTSPLIT(AE141,",",),0,1)+$A$18,$A$18)=0,$A$18,MOD($A43+INDEX(_xlfn.TEXTSPLIT(AE141,",",),0,1)+$A$18,$A$18))/5,0),ROUNDUP(IF(MOD(AE$18+INDEX(_xlfn.TEXTSPLIT(AE141,",",),0,2)+$A$18,$A$18)=0,$A$18,MOD(AE$18+INDEX(_xlfn.TEXTSPLIT(AE141,",",),0,2)+$A$18,$A$18))/5,0)))</f>
        <v>7</v>
      </c>
      <c r="AF43" s="1" cm="1">
        <f t="array" aca="1" ref="AF43" ca="1">(INDEX($K$2:$T$11,ROUNDUP(IF(MOD($A43+INDEX(_xlfn.TEXTSPLIT(AF98,",",),0,1)+$A$18,$A$18)=0,$A$18,MOD($A43+INDEX(_xlfn.TEXTSPLIT(AF98,",",),0,1)+$A$18,$A$18))/4,0),ROUNDUP(IF(MOD(AF$18+INDEX(_xlfn.TEXTSPLIT(AF98,",",),0,2)+$A$18,$A$18)=0,$A$18,MOD(AF$18+INDEX(_xlfn.TEXTSPLIT(AF98,",",),0,2)+$A$18,$A$18))/4,0)))+(INDEX($AD$2:$AK$9,ROUNDUP(IF(MOD($A43+INDEX(_xlfn.TEXTSPLIT(AF141,",",),0,1)+$A$18,$A$18)=0,$A$18,MOD($A43+INDEX(_xlfn.TEXTSPLIT(AF141,",",),0,1)+$A$18,$A$18))/5,0),ROUNDUP(IF(MOD(AF$18+INDEX(_xlfn.TEXTSPLIT(AF141,",",),0,2)+$A$18,$A$18)=0,$A$18,MOD(AF$18+INDEX(_xlfn.TEXTSPLIT(AF141,",",),0,2)+$A$18,$A$18))/5,0)))</f>
        <v>7</v>
      </c>
      <c r="AG43" s="1" cm="1">
        <f t="array" aca="1" ref="AG43" ca="1">(INDEX($K$2:$T$11,ROUNDUP(IF(MOD($A43+INDEX(_xlfn.TEXTSPLIT(AG98,",",),0,1)+$A$18,$A$18)=0,$A$18,MOD($A43+INDEX(_xlfn.TEXTSPLIT(AG98,",",),0,1)+$A$18,$A$18))/4,0),ROUNDUP(IF(MOD(AG$18+INDEX(_xlfn.TEXTSPLIT(AG98,",",),0,2)+$A$18,$A$18)=0,$A$18,MOD(AG$18+INDEX(_xlfn.TEXTSPLIT(AG98,",",),0,2)+$A$18,$A$18))/4,0)))+(INDEX($AD$2:$AK$9,ROUNDUP(IF(MOD($A43+INDEX(_xlfn.TEXTSPLIT(AG141,",",),0,1)+$A$18,$A$18)=0,$A$18,MOD($A43+INDEX(_xlfn.TEXTSPLIT(AG141,",",),0,1)+$A$18,$A$18))/5,0),ROUNDUP(IF(MOD(AG$18+INDEX(_xlfn.TEXTSPLIT(AG141,",",),0,2)+$A$18,$A$18)=0,$A$18,MOD(AG$18+INDEX(_xlfn.TEXTSPLIT(AG141,",",),0,2)+$A$18,$A$18))/5,0)))</f>
        <v>8</v>
      </c>
      <c r="AH43" s="1" cm="1">
        <f t="array" aca="1" ref="AH43" ca="1">(INDEX($K$2:$T$11,ROUNDUP(IF(MOD($A43+INDEX(_xlfn.TEXTSPLIT(AH98,",",),0,1)+$A$18,$A$18)=0,$A$18,MOD($A43+INDEX(_xlfn.TEXTSPLIT(AH98,",",),0,1)+$A$18,$A$18))/4,0),ROUNDUP(IF(MOD(AH$18+INDEX(_xlfn.TEXTSPLIT(AH98,",",),0,2)+$A$18,$A$18)=0,$A$18,MOD(AH$18+INDEX(_xlfn.TEXTSPLIT(AH98,",",),0,2)+$A$18,$A$18))/4,0)))+(INDEX($AD$2:$AK$9,ROUNDUP(IF(MOD($A43+INDEX(_xlfn.TEXTSPLIT(AH141,",",),0,1)+$A$18,$A$18)=0,$A$18,MOD($A43+INDEX(_xlfn.TEXTSPLIT(AH141,",",),0,1)+$A$18,$A$18))/5,0),ROUNDUP(IF(MOD(AH$18+INDEX(_xlfn.TEXTSPLIT(AH141,",",),0,2)+$A$18,$A$18)=0,$A$18,MOD(AH$18+INDEX(_xlfn.TEXTSPLIT(AH141,",",),0,2)+$A$18,$A$18))/5,0)))</f>
        <v>7</v>
      </c>
      <c r="AI43" s="1" cm="1">
        <f t="array" aca="1" ref="AI43" ca="1">(INDEX($K$2:$T$11,ROUNDUP(IF(MOD($A43+INDEX(_xlfn.TEXTSPLIT(AI98,",",),0,1)+$A$18,$A$18)=0,$A$18,MOD($A43+INDEX(_xlfn.TEXTSPLIT(AI98,",",),0,1)+$A$18,$A$18))/4,0),ROUNDUP(IF(MOD(AI$18+INDEX(_xlfn.TEXTSPLIT(AI98,",",),0,2)+$A$18,$A$18)=0,$A$18,MOD(AI$18+INDEX(_xlfn.TEXTSPLIT(AI98,",",),0,2)+$A$18,$A$18))/4,0)))+(INDEX($AD$2:$AK$9,ROUNDUP(IF(MOD($A43+INDEX(_xlfn.TEXTSPLIT(AI141,",",),0,1)+$A$18,$A$18)=0,$A$18,MOD($A43+INDEX(_xlfn.TEXTSPLIT(AI141,",",),0,1)+$A$18,$A$18))/5,0),ROUNDUP(IF(MOD(AI$18+INDEX(_xlfn.TEXTSPLIT(AI141,",",),0,2)+$A$18,$A$18)=0,$A$18,MOD(AI$18+INDEX(_xlfn.TEXTSPLIT(AI141,",",),0,2)+$A$18,$A$18))/5,0)))</f>
        <v>8</v>
      </c>
      <c r="AJ43" s="1" cm="1">
        <f t="array" aca="1" ref="AJ43" ca="1">(INDEX($K$2:$T$11,ROUNDUP(IF(MOD($A43+INDEX(_xlfn.TEXTSPLIT(AJ98,",",),0,1)+$A$18,$A$18)=0,$A$18,MOD($A43+INDEX(_xlfn.TEXTSPLIT(AJ98,",",),0,1)+$A$18,$A$18))/4,0),ROUNDUP(IF(MOD(AJ$18+INDEX(_xlfn.TEXTSPLIT(AJ98,",",),0,2)+$A$18,$A$18)=0,$A$18,MOD(AJ$18+INDEX(_xlfn.TEXTSPLIT(AJ98,",",),0,2)+$A$18,$A$18))/4,0)))+(INDEX($AD$2:$AK$9,ROUNDUP(IF(MOD($A43+INDEX(_xlfn.TEXTSPLIT(AJ141,",",),0,1)+$A$18,$A$18)=0,$A$18,MOD($A43+INDEX(_xlfn.TEXTSPLIT(AJ141,",",),0,1)+$A$18,$A$18))/5,0),ROUNDUP(IF(MOD(AJ$18+INDEX(_xlfn.TEXTSPLIT(AJ141,",",),0,2)+$A$18,$A$18)=0,$A$18,MOD(AJ$18+INDEX(_xlfn.TEXTSPLIT(AJ141,",",),0,2)+$A$18,$A$18))/5,0)))</f>
        <v>8</v>
      </c>
      <c r="AK43" s="1" cm="1">
        <f t="array" aca="1" ref="AK43" ca="1">(INDEX($K$2:$T$11,ROUNDUP(IF(MOD($A43+INDEX(_xlfn.TEXTSPLIT(AK98,",",),0,1)+$A$18,$A$18)=0,$A$18,MOD($A43+INDEX(_xlfn.TEXTSPLIT(AK98,",",),0,1)+$A$18,$A$18))/4,0),ROUNDUP(IF(MOD(AK$18+INDEX(_xlfn.TEXTSPLIT(AK98,",",),0,2)+$A$18,$A$18)=0,$A$18,MOD(AK$18+INDEX(_xlfn.TEXTSPLIT(AK98,",",),0,2)+$A$18,$A$18))/4,0)))+(INDEX($AD$2:$AK$9,ROUNDUP(IF(MOD($A43+INDEX(_xlfn.TEXTSPLIT(AK141,",",),0,1)+$A$18,$A$18)=0,$A$18,MOD($A43+INDEX(_xlfn.TEXTSPLIT(AK141,",",),0,1)+$A$18,$A$18))/5,0),ROUNDUP(IF(MOD(AK$18+INDEX(_xlfn.TEXTSPLIT(AK141,",",),0,2)+$A$18,$A$18)=0,$A$18,MOD(AK$18+INDEX(_xlfn.TEXTSPLIT(AK141,",",),0,2)+$A$18,$A$18))/5,0)))</f>
        <v>8</v>
      </c>
      <c r="AL43" s="1" cm="1">
        <f t="array" aca="1" ref="AL43" ca="1">(INDEX($K$2:$T$11,ROUNDUP(IF(MOD($A43+INDEX(_xlfn.TEXTSPLIT(AL98,",",),0,1)+$A$18,$A$18)=0,$A$18,MOD($A43+INDEX(_xlfn.TEXTSPLIT(AL98,",",),0,1)+$A$18,$A$18))/4,0),ROUNDUP(IF(MOD(AL$18+INDEX(_xlfn.TEXTSPLIT(AL98,",",),0,2)+$A$18,$A$18)=0,$A$18,MOD(AL$18+INDEX(_xlfn.TEXTSPLIT(AL98,",",),0,2)+$A$18,$A$18))/4,0)))+(INDEX($AD$2:$AK$9,ROUNDUP(IF(MOD($A43+INDEX(_xlfn.TEXTSPLIT(AL141,",",),0,1)+$A$18,$A$18)=0,$A$18,MOD($A43+INDEX(_xlfn.TEXTSPLIT(AL141,",",),0,1)+$A$18,$A$18))/5,0),ROUNDUP(IF(MOD(AL$18+INDEX(_xlfn.TEXTSPLIT(AL141,",",),0,2)+$A$18,$A$18)=0,$A$18,MOD(AL$18+INDEX(_xlfn.TEXTSPLIT(AL141,",",),0,2)+$A$18,$A$18))/5,0)))</f>
        <v>7</v>
      </c>
      <c r="AM43" s="1" cm="1">
        <f t="array" aca="1" ref="AM43" ca="1">(INDEX($K$2:$T$11,ROUNDUP(IF(MOD($A43+INDEX(_xlfn.TEXTSPLIT(AM98,",",),0,1)+$A$18,$A$18)=0,$A$18,MOD($A43+INDEX(_xlfn.TEXTSPLIT(AM98,",",),0,1)+$A$18,$A$18))/4,0),ROUNDUP(IF(MOD(AM$18+INDEX(_xlfn.TEXTSPLIT(AM98,",",),0,2)+$A$18,$A$18)=0,$A$18,MOD(AM$18+INDEX(_xlfn.TEXTSPLIT(AM98,",",),0,2)+$A$18,$A$18))/4,0)))+(INDEX($AD$2:$AK$9,ROUNDUP(IF(MOD($A43+INDEX(_xlfn.TEXTSPLIT(AM141,",",),0,1)+$A$18,$A$18)=0,$A$18,MOD($A43+INDEX(_xlfn.TEXTSPLIT(AM141,",",),0,1)+$A$18,$A$18))/5,0),ROUNDUP(IF(MOD(AM$18+INDEX(_xlfn.TEXTSPLIT(AM141,",",),0,2)+$A$18,$A$18)=0,$A$18,MOD(AM$18+INDEX(_xlfn.TEXTSPLIT(AM141,",",),0,2)+$A$18,$A$18))/5,0)))</f>
        <v>7</v>
      </c>
      <c r="AN43" s="1" cm="1">
        <f t="array" aca="1" ref="AN43" ca="1">(INDEX($K$2:$T$11,ROUNDUP(IF(MOD($A43+INDEX(_xlfn.TEXTSPLIT(AN98,",",),0,1)+$A$18,$A$18)=0,$A$18,MOD($A43+INDEX(_xlfn.TEXTSPLIT(AN98,",",),0,1)+$A$18,$A$18))/4,0),ROUNDUP(IF(MOD(AN$18+INDEX(_xlfn.TEXTSPLIT(AN98,",",),0,2)+$A$18,$A$18)=0,$A$18,MOD(AN$18+INDEX(_xlfn.TEXTSPLIT(AN98,",",),0,2)+$A$18,$A$18))/4,0)))+(INDEX($AD$2:$AK$9,ROUNDUP(IF(MOD($A43+INDEX(_xlfn.TEXTSPLIT(AN141,",",),0,1)+$A$18,$A$18)=0,$A$18,MOD($A43+INDEX(_xlfn.TEXTSPLIT(AN141,",",),0,1)+$A$18,$A$18))/5,0),ROUNDUP(IF(MOD(AN$18+INDEX(_xlfn.TEXTSPLIT(AN141,",",),0,2)+$A$18,$A$18)=0,$A$18,MOD(AN$18+INDEX(_xlfn.TEXTSPLIT(AN141,",",),0,2)+$A$18,$A$18))/5,0)))</f>
        <v>8</v>
      </c>
      <c r="AO43" s="1" cm="1">
        <f t="array" aca="1" ref="AO43" ca="1">(INDEX($K$2:$T$11,ROUNDUP(IF(MOD($A43+INDEX(_xlfn.TEXTSPLIT(AO98,",",),0,1)+$A$18,$A$18)=0,$A$18,MOD($A43+INDEX(_xlfn.TEXTSPLIT(AO98,",",),0,1)+$A$18,$A$18))/4,0),ROUNDUP(IF(MOD(AO$18+INDEX(_xlfn.TEXTSPLIT(AO98,",",),0,2)+$A$18,$A$18)=0,$A$18,MOD(AO$18+INDEX(_xlfn.TEXTSPLIT(AO98,",",),0,2)+$A$18,$A$18))/4,0)))+(INDEX($AD$2:$AK$9,ROUNDUP(IF(MOD($A43+INDEX(_xlfn.TEXTSPLIT(AO141,",",),0,1)+$A$18,$A$18)=0,$A$18,MOD($A43+INDEX(_xlfn.TEXTSPLIT(AO141,",",),0,1)+$A$18,$A$18))/5,0),ROUNDUP(IF(MOD(AO$18+INDEX(_xlfn.TEXTSPLIT(AO141,",",),0,2)+$A$18,$A$18)=0,$A$18,MOD(AO$18+INDEX(_xlfn.TEXTSPLIT(AO141,",",),0,2)+$A$18,$A$18))/5,0)))</f>
        <v>8</v>
      </c>
    </row>
    <row r="44" spans="1:41" ht="12.75">
      <c r="A44" s="1">
        <v>26</v>
      </c>
      <c r="B44" s="1" cm="1">
        <f t="array" aca="1" ref="B44" ca="1">(INDEX($K$2:$T$11,ROUNDUP(IF(MOD($A44+INDEX(_xlfn.TEXTSPLIT(B99,",",),0,1)+$A$18,$A$18)=0,$A$18,MOD($A44+INDEX(_xlfn.TEXTSPLIT(B99,",",),0,1)+$A$18,$A$18))/4,0),ROUNDUP(IF(MOD(B$18+INDEX(_xlfn.TEXTSPLIT(B99,",",),0,2)+$A$18,$A$18)=0,$A$18,MOD(B$18+INDEX(_xlfn.TEXTSPLIT(B99,",",),0,2)+$A$18,$A$18))/4,0)))+(INDEX($AD$2:$AK$9,ROUNDUP(IF(MOD($A44+INDEX(_xlfn.TEXTSPLIT(B142,",",),0,1)+$A$18,$A$18)=0,$A$18,MOD($A44+INDEX(_xlfn.TEXTSPLIT(B142,",",),0,1)+$A$18,$A$18))/5,0),ROUNDUP(IF(MOD(B$18+INDEX(_xlfn.TEXTSPLIT(B142,",",),0,2)+$A$18,$A$18)=0,$A$18,MOD(B$18+INDEX(_xlfn.TEXTSPLIT(B142,",",),0,2)+$A$18,$A$18))/5,0)))</f>
        <v>7</v>
      </c>
      <c r="C44" s="1" cm="1">
        <f t="array" aca="1" ref="C44" ca="1">(INDEX($K$2:$T$11,ROUNDUP(IF(MOD($A44+INDEX(_xlfn.TEXTSPLIT(C99,",",),0,1)+$A$18,$A$18)=0,$A$18,MOD($A44+INDEX(_xlfn.TEXTSPLIT(C99,",",),0,1)+$A$18,$A$18))/4,0),ROUNDUP(IF(MOD(C$18+INDEX(_xlfn.TEXTSPLIT(C99,",",),0,2)+$A$18,$A$18)=0,$A$18,MOD(C$18+INDEX(_xlfn.TEXTSPLIT(C99,",",),0,2)+$A$18,$A$18))/4,0)))+(INDEX($AD$2:$AK$9,ROUNDUP(IF(MOD($A44+INDEX(_xlfn.TEXTSPLIT(C142,",",),0,1)+$A$18,$A$18)=0,$A$18,MOD($A44+INDEX(_xlfn.TEXTSPLIT(C142,",",),0,1)+$A$18,$A$18))/5,0),ROUNDUP(IF(MOD(C$18+INDEX(_xlfn.TEXTSPLIT(C142,",",),0,2)+$A$18,$A$18)=0,$A$18,MOD(C$18+INDEX(_xlfn.TEXTSPLIT(C142,",",),0,2)+$A$18,$A$18))/5,0)))</f>
        <v>6</v>
      </c>
      <c r="D44" s="1" cm="1">
        <f t="array" aca="1" ref="D44" ca="1">(INDEX($K$2:$T$11,ROUNDUP(IF(MOD($A44+INDEX(_xlfn.TEXTSPLIT(D99,",",),0,1)+$A$18,$A$18)=0,$A$18,MOD($A44+INDEX(_xlfn.TEXTSPLIT(D99,",",),0,1)+$A$18,$A$18))/4,0),ROUNDUP(IF(MOD(D$18+INDEX(_xlfn.TEXTSPLIT(D99,",",),0,2)+$A$18,$A$18)=0,$A$18,MOD(D$18+INDEX(_xlfn.TEXTSPLIT(D99,",",),0,2)+$A$18,$A$18))/4,0)))+(INDEX($AD$2:$AK$9,ROUNDUP(IF(MOD($A44+INDEX(_xlfn.TEXTSPLIT(D142,",",),0,1)+$A$18,$A$18)=0,$A$18,MOD($A44+INDEX(_xlfn.TEXTSPLIT(D142,",",),0,1)+$A$18,$A$18))/5,0),ROUNDUP(IF(MOD(D$18+INDEX(_xlfn.TEXTSPLIT(D142,",",),0,2)+$A$18,$A$18)=0,$A$18,MOD(D$18+INDEX(_xlfn.TEXTSPLIT(D142,",",),0,2)+$A$18,$A$18))/5,0)))</f>
        <v>5</v>
      </c>
      <c r="E44" s="1" cm="1">
        <f t="array" aca="1" ref="E44" ca="1">(INDEX($K$2:$T$11,ROUNDUP(IF(MOD($A44+INDEX(_xlfn.TEXTSPLIT(E99,",",),0,1)+$A$18,$A$18)=0,$A$18,MOD($A44+INDEX(_xlfn.TEXTSPLIT(E99,",",),0,1)+$A$18,$A$18))/4,0),ROUNDUP(IF(MOD(E$18+INDEX(_xlfn.TEXTSPLIT(E99,",",),0,2)+$A$18,$A$18)=0,$A$18,MOD(E$18+INDEX(_xlfn.TEXTSPLIT(E99,",",),0,2)+$A$18,$A$18))/4,0)))+(INDEX($AD$2:$AK$9,ROUNDUP(IF(MOD($A44+INDEX(_xlfn.TEXTSPLIT(E142,",",),0,1)+$A$18,$A$18)=0,$A$18,MOD($A44+INDEX(_xlfn.TEXTSPLIT(E142,",",),0,1)+$A$18,$A$18))/5,0),ROUNDUP(IF(MOD(E$18+INDEX(_xlfn.TEXTSPLIT(E142,",",),0,2)+$A$18,$A$18)=0,$A$18,MOD(E$18+INDEX(_xlfn.TEXTSPLIT(E142,",",),0,2)+$A$18,$A$18))/5,0)))</f>
        <v>6</v>
      </c>
      <c r="F44" s="1" cm="1">
        <f t="array" aca="1" ref="F44" ca="1">(INDEX($K$2:$T$11,ROUNDUP(IF(MOD($A44+INDEX(_xlfn.TEXTSPLIT(F99,",",),0,1)+$A$18,$A$18)=0,$A$18,MOD($A44+INDEX(_xlfn.TEXTSPLIT(F99,",",),0,1)+$A$18,$A$18))/4,0),ROUNDUP(IF(MOD(F$18+INDEX(_xlfn.TEXTSPLIT(F99,",",),0,2)+$A$18,$A$18)=0,$A$18,MOD(F$18+INDEX(_xlfn.TEXTSPLIT(F99,",",),0,2)+$A$18,$A$18))/4,0)))+(INDEX($AD$2:$AK$9,ROUNDUP(IF(MOD($A44+INDEX(_xlfn.TEXTSPLIT(F142,",",),0,1)+$A$18,$A$18)=0,$A$18,MOD($A44+INDEX(_xlfn.TEXTSPLIT(F142,",",),0,1)+$A$18,$A$18))/5,0),ROUNDUP(IF(MOD(F$18+INDEX(_xlfn.TEXTSPLIT(F142,",",),0,2)+$A$18,$A$18)=0,$A$18,MOD(F$18+INDEX(_xlfn.TEXTSPLIT(F142,",",),0,2)+$A$18,$A$18))/5,0)))</f>
        <v>3</v>
      </c>
      <c r="G44" s="1" cm="1">
        <f t="array" aca="1" ref="G44" ca="1">(INDEX($K$2:$T$11,ROUNDUP(IF(MOD($A44+INDEX(_xlfn.TEXTSPLIT(G99,",",),0,1)+$A$18,$A$18)=0,$A$18,MOD($A44+INDEX(_xlfn.TEXTSPLIT(G99,",",),0,1)+$A$18,$A$18))/4,0),ROUNDUP(IF(MOD(G$18+INDEX(_xlfn.TEXTSPLIT(G99,",",),0,2)+$A$18,$A$18)=0,$A$18,MOD(G$18+INDEX(_xlfn.TEXTSPLIT(G99,",",),0,2)+$A$18,$A$18))/4,0)))+(INDEX($AD$2:$AK$9,ROUNDUP(IF(MOD($A44+INDEX(_xlfn.TEXTSPLIT(G142,",",),0,1)+$A$18,$A$18)=0,$A$18,MOD($A44+INDEX(_xlfn.TEXTSPLIT(G142,",",),0,1)+$A$18,$A$18))/5,0),ROUNDUP(IF(MOD(G$18+INDEX(_xlfn.TEXTSPLIT(G142,",",),0,2)+$A$18,$A$18)=0,$A$18,MOD(G$18+INDEX(_xlfn.TEXTSPLIT(G142,",",),0,2)+$A$18,$A$18))/5,0)))</f>
        <v>2</v>
      </c>
      <c r="H44" s="1" cm="1">
        <f t="array" aca="1" ref="H44" ca="1">(INDEX($K$2:$T$11,ROUNDUP(IF(MOD($A44+INDEX(_xlfn.TEXTSPLIT(H99,",",),0,1)+$A$18,$A$18)=0,$A$18,MOD($A44+INDEX(_xlfn.TEXTSPLIT(H99,",",),0,1)+$A$18,$A$18))/4,0),ROUNDUP(IF(MOD(H$18+INDEX(_xlfn.TEXTSPLIT(H99,",",),0,2)+$A$18,$A$18)=0,$A$18,MOD(H$18+INDEX(_xlfn.TEXTSPLIT(H99,",",),0,2)+$A$18,$A$18))/4,0)))+(INDEX($AD$2:$AK$9,ROUNDUP(IF(MOD($A44+INDEX(_xlfn.TEXTSPLIT(H142,",",),0,1)+$A$18,$A$18)=0,$A$18,MOD($A44+INDEX(_xlfn.TEXTSPLIT(H142,",",),0,1)+$A$18,$A$18))/5,0),ROUNDUP(IF(MOD(H$18+INDEX(_xlfn.TEXTSPLIT(H142,",",),0,2)+$A$18,$A$18)=0,$A$18,MOD(H$18+INDEX(_xlfn.TEXTSPLIT(H142,",",),0,2)+$A$18,$A$18))/5,0)))</f>
        <v>3</v>
      </c>
      <c r="I44" s="1" cm="1">
        <f t="array" aca="1" ref="I44" ca="1">(INDEX($K$2:$T$11,ROUNDUP(IF(MOD($A44+INDEX(_xlfn.TEXTSPLIT(I99,",",),0,1)+$A$18,$A$18)=0,$A$18,MOD($A44+INDEX(_xlfn.TEXTSPLIT(I99,",",),0,1)+$A$18,$A$18))/4,0),ROUNDUP(IF(MOD(I$18+INDEX(_xlfn.TEXTSPLIT(I99,",",),0,2)+$A$18,$A$18)=0,$A$18,MOD(I$18+INDEX(_xlfn.TEXTSPLIT(I99,",",),0,2)+$A$18,$A$18))/4,0)))+(INDEX($AD$2:$AK$9,ROUNDUP(IF(MOD($A44+INDEX(_xlfn.TEXTSPLIT(I142,",",),0,1)+$A$18,$A$18)=0,$A$18,MOD($A44+INDEX(_xlfn.TEXTSPLIT(I142,",",),0,1)+$A$18,$A$18))/5,0),ROUNDUP(IF(MOD(I$18+INDEX(_xlfn.TEXTSPLIT(I142,",",),0,2)+$A$18,$A$18)=0,$A$18,MOD(I$18+INDEX(_xlfn.TEXTSPLIT(I142,",",),0,2)+$A$18,$A$18))/5,0)))</f>
        <v>3</v>
      </c>
      <c r="J44" s="1" cm="1">
        <f t="array" aca="1" ref="J44" ca="1">(INDEX($K$2:$T$11,ROUNDUP(IF(MOD($A44+INDEX(_xlfn.TEXTSPLIT(J99,",",),0,1)+$A$18,$A$18)=0,$A$18,MOD($A44+INDEX(_xlfn.TEXTSPLIT(J99,",",),0,1)+$A$18,$A$18))/4,0),ROUNDUP(IF(MOD(J$18+INDEX(_xlfn.TEXTSPLIT(J99,",",),0,2)+$A$18,$A$18)=0,$A$18,MOD(J$18+INDEX(_xlfn.TEXTSPLIT(J99,",",),0,2)+$A$18,$A$18))/4,0)))+(INDEX($AD$2:$AK$9,ROUNDUP(IF(MOD($A44+INDEX(_xlfn.TEXTSPLIT(J142,",",),0,1)+$A$18,$A$18)=0,$A$18,MOD($A44+INDEX(_xlfn.TEXTSPLIT(J142,",",),0,1)+$A$18,$A$18))/5,0),ROUNDUP(IF(MOD(J$18+INDEX(_xlfn.TEXTSPLIT(J142,",",),0,2)+$A$18,$A$18)=0,$A$18,MOD(J$18+INDEX(_xlfn.TEXTSPLIT(J142,",",),0,2)+$A$18,$A$18))/5,0)))</f>
        <v>3</v>
      </c>
      <c r="K44" s="1" cm="1">
        <f t="array" aca="1" ref="K44" ca="1">(INDEX($K$2:$T$11,ROUNDUP(IF(MOD($A44+INDEX(_xlfn.TEXTSPLIT(K99,",",),0,1)+$A$18,$A$18)=0,$A$18,MOD($A44+INDEX(_xlfn.TEXTSPLIT(K99,",",),0,1)+$A$18,$A$18))/4,0),ROUNDUP(IF(MOD(K$18+INDEX(_xlfn.TEXTSPLIT(K99,",",),0,2)+$A$18,$A$18)=0,$A$18,MOD(K$18+INDEX(_xlfn.TEXTSPLIT(K99,",",),0,2)+$A$18,$A$18))/4,0)))+(INDEX($AD$2:$AK$9,ROUNDUP(IF(MOD($A44+INDEX(_xlfn.TEXTSPLIT(K142,",",),0,1)+$A$18,$A$18)=0,$A$18,MOD($A44+INDEX(_xlfn.TEXTSPLIT(K142,",",),0,1)+$A$18,$A$18))/5,0),ROUNDUP(IF(MOD(K$18+INDEX(_xlfn.TEXTSPLIT(K142,",",),0,2)+$A$18,$A$18)=0,$A$18,MOD(K$18+INDEX(_xlfn.TEXTSPLIT(K142,",",),0,2)+$A$18,$A$18))/5,0)))</f>
        <v>7</v>
      </c>
      <c r="L44" s="1" cm="1">
        <f t="array" aca="1" ref="L44" ca="1">(INDEX($K$2:$T$11,ROUNDUP(IF(MOD($A44+INDEX(_xlfn.TEXTSPLIT(L99,",",),0,1)+$A$18,$A$18)=0,$A$18,MOD($A44+INDEX(_xlfn.TEXTSPLIT(L99,",",),0,1)+$A$18,$A$18))/4,0),ROUNDUP(IF(MOD(L$18+INDEX(_xlfn.TEXTSPLIT(L99,",",),0,2)+$A$18,$A$18)=0,$A$18,MOD(L$18+INDEX(_xlfn.TEXTSPLIT(L99,",",),0,2)+$A$18,$A$18))/4,0)))+(INDEX($AD$2:$AK$9,ROUNDUP(IF(MOD($A44+INDEX(_xlfn.TEXTSPLIT(L142,",",),0,1)+$A$18,$A$18)=0,$A$18,MOD($A44+INDEX(_xlfn.TEXTSPLIT(L142,",",),0,1)+$A$18,$A$18))/5,0),ROUNDUP(IF(MOD(L$18+INDEX(_xlfn.TEXTSPLIT(L142,",",),0,2)+$A$18,$A$18)=0,$A$18,MOD(L$18+INDEX(_xlfn.TEXTSPLIT(L142,",",),0,2)+$A$18,$A$18))/5,0)))</f>
        <v>7</v>
      </c>
      <c r="M44" s="1" cm="1">
        <f t="array" aca="1" ref="M44" ca="1">(INDEX($K$2:$T$11,ROUNDUP(IF(MOD($A44+INDEX(_xlfn.TEXTSPLIT(M99,",",),0,1)+$A$18,$A$18)=0,$A$18,MOD($A44+INDEX(_xlfn.TEXTSPLIT(M99,",",),0,1)+$A$18,$A$18))/4,0),ROUNDUP(IF(MOD(M$18+INDEX(_xlfn.TEXTSPLIT(M99,",",),0,2)+$A$18,$A$18)=0,$A$18,MOD(M$18+INDEX(_xlfn.TEXTSPLIT(M99,",",),0,2)+$A$18,$A$18))/4,0)))+(INDEX($AD$2:$AK$9,ROUNDUP(IF(MOD($A44+INDEX(_xlfn.TEXTSPLIT(M142,",",),0,1)+$A$18,$A$18)=0,$A$18,MOD($A44+INDEX(_xlfn.TEXTSPLIT(M142,",",),0,1)+$A$18,$A$18))/5,0),ROUNDUP(IF(MOD(M$18+INDEX(_xlfn.TEXTSPLIT(M142,",",),0,2)+$A$18,$A$18)=0,$A$18,MOD(M$18+INDEX(_xlfn.TEXTSPLIT(M142,",",),0,2)+$A$18,$A$18))/5,0)))</f>
        <v>6</v>
      </c>
      <c r="N44" s="1" cm="1">
        <f t="array" aca="1" ref="N44" ca="1">(INDEX($K$2:$T$11,ROUNDUP(IF(MOD($A44+INDEX(_xlfn.TEXTSPLIT(N99,",",),0,1)+$A$18,$A$18)=0,$A$18,MOD($A44+INDEX(_xlfn.TEXTSPLIT(N99,",",),0,1)+$A$18,$A$18))/4,0),ROUNDUP(IF(MOD(N$18+INDEX(_xlfn.TEXTSPLIT(N99,",",),0,2)+$A$18,$A$18)=0,$A$18,MOD(N$18+INDEX(_xlfn.TEXTSPLIT(N99,",",),0,2)+$A$18,$A$18))/4,0)))+(INDEX($AD$2:$AK$9,ROUNDUP(IF(MOD($A44+INDEX(_xlfn.TEXTSPLIT(N142,",",),0,1)+$A$18,$A$18)=0,$A$18,MOD($A44+INDEX(_xlfn.TEXTSPLIT(N142,",",),0,1)+$A$18,$A$18))/5,0),ROUNDUP(IF(MOD(N$18+INDEX(_xlfn.TEXTSPLIT(N142,",",),0,2)+$A$18,$A$18)=0,$A$18,MOD(N$18+INDEX(_xlfn.TEXTSPLIT(N142,",",),0,2)+$A$18,$A$18))/5,0)))</f>
        <v>7</v>
      </c>
      <c r="O44" s="1" cm="1">
        <f t="array" aca="1" ref="O44" ca="1">(INDEX($K$2:$T$11,ROUNDUP(IF(MOD($A44+INDEX(_xlfn.TEXTSPLIT(O99,",",),0,1)+$A$18,$A$18)=0,$A$18,MOD($A44+INDEX(_xlfn.TEXTSPLIT(O99,",",),0,1)+$A$18,$A$18))/4,0),ROUNDUP(IF(MOD(O$18+INDEX(_xlfn.TEXTSPLIT(O99,",",),0,2)+$A$18,$A$18)=0,$A$18,MOD(O$18+INDEX(_xlfn.TEXTSPLIT(O99,",",),0,2)+$A$18,$A$18))/4,0)))+(INDEX($AD$2:$AK$9,ROUNDUP(IF(MOD($A44+INDEX(_xlfn.TEXTSPLIT(O142,",",),0,1)+$A$18,$A$18)=0,$A$18,MOD($A44+INDEX(_xlfn.TEXTSPLIT(O142,",",),0,1)+$A$18,$A$18))/5,0),ROUNDUP(IF(MOD(O$18+INDEX(_xlfn.TEXTSPLIT(O142,",",),0,2)+$A$18,$A$18)=0,$A$18,MOD(O$18+INDEX(_xlfn.TEXTSPLIT(O142,",",),0,2)+$A$18,$A$18))/5,0)))</f>
        <v>6</v>
      </c>
      <c r="P44" s="1" cm="1">
        <f t="array" aca="1" ref="P44" ca="1">(INDEX($K$2:$T$11,ROUNDUP(IF(MOD($A44+INDEX(_xlfn.TEXTSPLIT(P99,",",),0,1)+$A$18,$A$18)=0,$A$18,MOD($A44+INDEX(_xlfn.TEXTSPLIT(P99,",",),0,1)+$A$18,$A$18))/4,0),ROUNDUP(IF(MOD(P$18+INDEX(_xlfn.TEXTSPLIT(P99,",",),0,2)+$A$18,$A$18)=0,$A$18,MOD(P$18+INDEX(_xlfn.TEXTSPLIT(P99,",",),0,2)+$A$18,$A$18))/4,0)))+(INDEX($AD$2:$AK$9,ROUNDUP(IF(MOD($A44+INDEX(_xlfn.TEXTSPLIT(P142,",",),0,1)+$A$18,$A$18)=0,$A$18,MOD($A44+INDEX(_xlfn.TEXTSPLIT(P142,",",),0,1)+$A$18,$A$18))/5,0),ROUNDUP(IF(MOD(P$18+INDEX(_xlfn.TEXTSPLIT(P142,",",),0,2)+$A$18,$A$18)=0,$A$18,MOD(P$18+INDEX(_xlfn.TEXTSPLIT(P142,",",),0,2)+$A$18,$A$18))/5,0)))</f>
        <v>6</v>
      </c>
      <c r="Q44" s="1" cm="1">
        <f t="array" aca="1" ref="Q44" ca="1">(INDEX($K$2:$T$11,ROUNDUP(IF(MOD($A44+INDEX(_xlfn.TEXTSPLIT(Q99,",",),0,1)+$A$18,$A$18)=0,$A$18,MOD($A44+INDEX(_xlfn.TEXTSPLIT(Q99,",",),0,1)+$A$18,$A$18))/4,0),ROUNDUP(IF(MOD(Q$18+INDEX(_xlfn.TEXTSPLIT(Q99,",",),0,2)+$A$18,$A$18)=0,$A$18,MOD(Q$18+INDEX(_xlfn.TEXTSPLIT(Q99,",",),0,2)+$A$18,$A$18))/4,0)))+(INDEX($AD$2:$AK$9,ROUNDUP(IF(MOD($A44+INDEX(_xlfn.TEXTSPLIT(Q142,",",),0,1)+$A$18,$A$18)=0,$A$18,MOD($A44+INDEX(_xlfn.TEXTSPLIT(Q142,",",),0,1)+$A$18,$A$18))/5,0),ROUNDUP(IF(MOD(Q$18+INDEX(_xlfn.TEXTSPLIT(Q142,",",),0,2)+$A$18,$A$18)=0,$A$18,MOD(Q$18+INDEX(_xlfn.TEXTSPLIT(Q142,",",),0,2)+$A$18,$A$18))/5,0)))</f>
        <v>8</v>
      </c>
      <c r="R44" s="1" cm="1">
        <f t="array" aca="1" ref="R44" ca="1">(INDEX($K$2:$T$11,ROUNDUP(IF(MOD($A44+INDEX(_xlfn.TEXTSPLIT(R99,",",),0,1)+$A$18,$A$18)=0,$A$18,MOD($A44+INDEX(_xlfn.TEXTSPLIT(R99,",",),0,1)+$A$18,$A$18))/4,0),ROUNDUP(IF(MOD(R$18+INDEX(_xlfn.TEXTSPLIT(R99,",",),0,2)+$A$18,$A$18)=0,$A$18,MOD(R$18+INDEX(_xlfn.TEXTSPLIT(R99,",",),0,2)+$A$18,$A$18))/4,0)))+(INDEX($AD$2:$AK$9,ROUNDUP(IF(MOD($A44+INDEX(_xlfn.TEXTSPLIT(R142,",",),0,1)+$A$18,$A$18)=0,$A$18,MOD($A44+INDEX(_xlfn.TEXTSPLIT(R142,",",),0,1)+$A$18,$A$18))/5,0),ROUNDUP(IF(MOD(R$18+INDEX(_xlfn.TEXTSPLIT(R142,",",),0,2)+$A$18,$A$18)=0,$A$18,MOD(R$18+INDEX(_xlfn.TEXTSPLIT(R142,",",),0,2)+$A$18,$A$18))/5,0)))</f>
        <v>7</v>
      </c>
      <c r="S44" s="1" cm="1">
        <f t="array" aca="1" ref="S44" ca="1">(INDEX($K$2:$T$11,ROUNDUP(IF(MOD($A44+INDEX(_xlfn.TEXTSPLIT(S99,",",),0,1)+$A$18,$A$18)=0,$A$18,MOD($A44+INDEX(_xlfn.TEXTSPLIT(S99,",",),0,1)+$A$18,$A$18))/4,0),ROUNDUP(IF(MOD(S$18+INDEX(_xlfn.TEXTSPLIT(S99,",",),0,2)+$A$18,$A$18)=0,$A$18,MOD(S$18+INDEX(_xlfn.TEXTSPLIT(S99,",",),0,2)+$A$18,$A$18))/4,0)))+(INDEX($AD$2:$AK$9,ROUNDUP(IF(MOD($A44+INDEX(_xlfn.TEXTSPLIT(S142,",",),0,1)+$A$18,$A$18)=0,$A$18,MOD($A44+INDEX(_xlfn.TEXTSPLIT(S142,",",),0,1)+$A$18,$A$18))/5,0),ROUNDUP(IF(MOD(S$18+INDEX(_xlfn.TEXTSPLIT(S142,",",),0,2)+$A$18,$A$18)=0,$A$18,MOD(S$18+INDEX(_xlfn.TEXTSPLIT(S142,",",),0,2)+$A$18,$A$18))/5,0)))</f>
        <v>7</v>
      </c>
      <c r="T44" s="1" cm="1">
        <f t="array" aca="1" ref="T44" ca="1">(INDEX($K$2:$T$11,ROUNDUP(IF(MOD($A44+INDEX(_xlfn.TEXTSPLIT(T99,",",),0,1)+$A$18,$A$18)=0,$A$18,MOD($A44+INDEX(_xlfn.TEXTSPLIT(T99,",",),0,1)+$A$18,$A$18))/4,0),ROUNDUP(IF(MOD(T$18+INDEX(_xlfn.TEXTSPLIT(T99,",",),0,2)+$A$18,$A$18)=0,$A$18,MOD(T$18+INDEX(_xlfn.TEXTSPLIT(T99,",",),0,2)+$A$18,$A$18))/4,0)))+(INDEX($AD$2:$AK$9,ROUNDUP(IF(MOD($A44+INDEX(_xlfn.TEXTSPLIT(T142,",",),0,1)+$A$18,$A$18)=0,$A$18,MOD($A44+INDEX(_xlfn.TEXTSPLIT(T142,",",),0,1)+$A$18,$A$18))/5,0),ROUNDUP(IF(MOD(T$18+INDEX(_xlfn.TEXTSPLIT(T142,",",),0,2)+$A$18,$A$18)=0,$A$18,MOD(T$18+INDEX(_xlfn.TEXTSPLIT(T142,",",),0,2)+$A$18,$A$18))/5,0)))</f>
        <v>7</v>
      </c>
      <c r="U44" s="1" cm="1">
        <f t="array" aca="1" ref="U44" ca="1">(INDEX($K$2:$T$11,ROUNDUP(IF(MOD($A44+INDEX(_xlfn.TEXTSPLIT(U99,",",),0,1)+$A$18,$A$18)=0,$A$18,MOD($A44+INDEX(_xlfn.TEXTSPLIT(U99,",",),0,1)+$A$18,$A$18))/4,0),ROUNDUP(IF(MOD(U$18+INDEX(_xlfn.TEXTSPLIT(U99,",",),0,2)+$A$18,$A$18)=0,$A$18,MOD(U$18+INDEX(_xlfn.TEXTSPLIT(U99,",",),0,2)+$A$18,$A$18))/4,0)))+(INDEX($AD$2:$AK$9,ROUNDUP(IF(MOD($A44+INDEX(_xlfn.TEXTSPLIT(U142,",",),0,1)+$A$18,$A$18)=0,$A$18,MOD($A44+INDEX(_xlfn.TEXTSPLIT(U142,",",),0,1)+$A$18,$A$18))/5,0),ROUNDUP(IF(MOD(U$18+INDEX(_xlfn.TEXTSPLIT(U142,",",),0,2)+$A$18,$A$18)=0,$A$18,MOD(U$18+INDEX(_xlfn.TEXTSPLIT(U142,",",),0,2)+$A$18,$A$18))/5,0)))</f>
        <v>7</v>
      </c>
      <c r="V44" s="1" cm="1">
        <f t="array" aca="1" ref="V44" ca="1">(INDEX($K$2:$T$11,ROUNDUP(IF(MOD($A44+INDEX(_xlfn.TEXTSPLIT(V99,",",),0,1)+$A$18,$A$18)=0,$A$18,MOD($A44+INDEX(_xlfn.TEXTSPLIT(V99,",",),0,1)+$A$18,$A$18))/4,0),ROUNDUP(IF(MOD(V$18+INDEX(_xlfn.TEXTSPLIT(V99,",",),0,2)+$A$18,$A$18)=0,$A$18,MOD(V$18+INDEX(_xlfn.TEXTSPLIT(V99,",",),0,2)+$A$18,$A$18))/4,0)))+(INDEX($AD$2:$AK$9,ROUNDUP(IF(MOD($A44+INDEX(_xlfn.TEXTSPLIT(V142,",",),0,1)+$A$18,$A$18)=0,$A$18,MOD($A44+INDEX(_xlfn.TEXTSPLIT(V142,",",),0,1)+$A$18,$A$18))/5,0),ROUNDUP(IF(MOD(V$18+INDEX(_xlfn.TEXTSPLIT(V142,",",),0,2)+$A$18,$A$18)=0,$A$18,MOD(V$18+INDEX(_xlfn.TEXTSPLIT(V142,",",),0,2)+$A$18,$A$18))/5,0)))</f>
        <v>7</v>
      </c>
      <c r="W44" s="1" cm="1">
        <f t="array" aca="1" ref="W44" ca="1">(INDEX($K$2:$T$11,ROUNDUP(IF(MOD($A44+INDEX(_xlfn.TEXTSPLIT(W99,",",),0,1)+$A$18,$A$18)=0,$A$18,MOD($A44+INDEX(_xlfn.TEXTSPLIT(W99,",",),0,1)+$A$18,$A$18))/4,0),ROUNDUP(IF(MOD(W$18+INDEX(_xlfn.TEXTSPLIT(W99,",",),0,2)+$A$18,$A$18)=0,$A$18,MOD(W$18+INDEX(_xlfn.TEXTSPLIT(W99,",",),0,2)+$A$18,$A$18))/4,0)))+(INDEX($AD$2:$AK$9,ROUNDUP(IF(MOD($A44+INDEX(_xlfn.TEXTSPLIT(W142,",",),0,1)+$A$18,$A$18)=0,$A$18,MOD($A44+INDEX(_xlfn.TEXTSPLIT(W142,",",),0,1)+$A$18,$A$18))/5,0),ROUNDUP(IF(MOD(W$18+INDEX(_xlfn.TEXTSPLIT(W142,",",),0,2)+$A$18,$A$18)=0,$A$18,MOD(W$18+INDEX(_xlfn.TEXTSPLIT(W142,",",),0,2)+$A$18,$A$18))/5,0)))</f>
        <v>7</v>
      </c>
      <c r="X44" s="1" cm="1">
        <f t="array" aca="1" ref="X44" ca="1">(INDEX($K$2:$T$11,ROUNDUP(IF(MOD($A44+INDEX(_xlfn.TEXTSPLIT(X99,",",),0,1)+$A$18,$A$18)=0,$A$18,MOD($A44+INDEX(_xlfn.TEXTSPLIT(X99,",",),0,1)+$A$18,$A$18))/4,0),ROUNDUP(IF(MOD(X$18+INDEX(_xlfn.TEXTSPLIT(X99,",",),0,2)+$A$18,$A$18)=0,$A$18,MOD(X$18+INDEX(_xlfn.TEXTSPLIT(X99,",",),0,2)+$A$18,$A$18))/4,0)))+(INDEX($AD$2:$AK$9,ROUNDUP(IF(MOD($A44+INDEX(_xlfn.TEXTSPLIT(X142,",",),0,1)+$A$18,$A$18)=0,$A$18,MOD($A44+INDEX(_xlfn.TEXTSPLIT(X142,",",),0,1)+$A$18,$A$18))/5,0),ROUNDUP(IF(MOD(X$18+INDEX(_xlfn.TEXTSPLIT(X142,",",),0,2)+$A$18,$A$18)=0,$A$18,MOD(X$18+INDEX(_xlfn.TEXTSPLIT(X142,",",),0,2)+$A$18,$A$18))/5,0)))</f>
        <v>7</v>
      </c>
      <c r="Y44" s="1" cm="1">
        <f t="array" aca="1" ref="Y44" ca="1">(INDEX($K$2:$T$11,ROUNDUP(IF(MOD($A44+INDEX(_xlfn.TEXTSPLIT(Y99,",",),0,1)+$A$18,$A$18)=0,$A$18,MOD($A44+INDEX(_xlfn.TEXTSPLIT(Y99,",",),0,1)+$A$18,$A$18))/4,0),ROUNDUP(IF(MOD(Y$18+INDEX(_xlfn.TEXTSPLIT(Y99,",",),0,2)+$A$18,$A$18)=0,$A$18,MOD(Y$18+INDEX(_xlfn.TEXTSPLIT(Y99,",",),0,2)+$A$18,$A$18))/4,0)))+(INDEX($AD$2:$AK$9,ROUNDUP(IF(MOD($A44+INDEX(_xlfn.TEXTSPLIT(Y142,",",),0,1)+$A$18,$A$18)=0,$A$18,MOD($A44+INDEX(_xlfn.TEXTSPLIT(Y142,",",),0,1)+$A$18,$A$18))/5,0),ROUNDUP(IF(MOD(Y$18+INDEX(_xlfn.TEXTSPLIT(Y142,",",),0,2)+$A$18,$A$18)=0,$A$18,MOD(Y$18+INDEX(_xlfn.TEXTSPLIT(Y142,",",),0,2)+$A$18,$A$18))/5,0)))</f>
        <v>7</v>
      </c>
      <c r="Z44" s="1" cm="1">
        <f t="array" aca="1" ref="Z44" ca="1">(INDEX($K$2:$T$11,ROUNDUP(IF(MOD($A44+INDEX(_xlfn.TEXTSPLIT(Z99,",",),0,1)+$A$18,$A$18)=0,$A$18,MOD($A44+INDEX(_xlfn.TEXTSPLIT(Z99,",",),0,1)+$A$18,$A$18))/4,0),ROUNDUP(IF(MOD(Z$18+INDEX(_xlfn.TEXTSPLIT(Z99,",",),0,2)+$A$18,$A$18)=0,$A$18,MOD(Z$18+INDEX(_xlfn.TEXTSPLIT(Z99,",",),0,2)+$A$18,$A$18))/4,0)))+(INDEX($AD$2:$AK$9,ROUNDUP(IF(MOD($A44+INDEX(_xlfn.TEXTSPLIT(Z142,",",),0,1)+$A$18,$A$18)=0,$A$18,MOD($A44+INDEX(_xlfn.TEXTSPLIT(Z142,",",),0,1)+$A$18,$A$18))/5,0),ROUNDUP(IF(MOD(Z$18+INDEX(_xlfn.TEXTSPLIT(Z142,",",),0,2)+$A$18,$A$18)=0,$A$18,MOD(Z$18+INDEX(_xlfn.TEXTSPLIT(Z142,",",),0,2)+$A$18,$A$18))/5,0)))</f>
        <v>8</v>
      </c>
      <c r="AA44" s="1" cm="1">
        <f t="array" aca="1" ref="AA44" ca="1">(INDEX($K$2:$T$11,ROUNDUP(IF(MOD($A44+INDEX(_xlfn.TEXTSPLIT(AA99,",",),0,1)+$A$18,$A$18)=0,$A$18,MOD($A44+INDEX(_xlfn.TEXTSPLIT(AA99,",",),0,1)+$A$18,$A$18))/4,0),ROUNDUP(IF(MOD(AA$18+INDEX(_xlfn.TEXTSPLIT(AA99,",",),0,2)+$A$18,$A$18)=0,$A$18,MOD(AA$18+INDEX(_xlfn.TEXTSPLIT(AA99,",",),0,2)+$A$18,$A$18))/4,0)))+(INDEX($AD$2:$AK$9,ROUNDUP(IF(MOD($A44+INDEX(_xlfn.TEXTSPLIT(AA142,",",),0,1)+$A$18,$A$18)=0,$A$18,MOD($A44+INDEX(_xlfn.TEXTSPLIT(AA142,",",),0,1)+$A$18,$A$18))/5,0),ROUNDUP(IF(MOD(AA$18+INDEX(_xlfn.TEXTSPLIT(AA142,",",),0,2)+$A$18,$A$18)=0,$A$18,MOD(AA$18+INDEX(_xlfn.TEXTSPLIT(AA142,",",),0,2)+$A$18,$A$18))/5,0)))</f>
        <v>7</v>
      </c>
      <c r="AB44" s="1" cm="1">
        <f t="array" aca="1" ref="AB44" ca="1">(INDEX($K$2:$T$11,ROUNDUP(IF(MOD($A44+INDEX(_xlfn.TEXTSPLIT(AB99,",",),0,1)+$A$18,$A$18)=0,$A$18,MOD($A44+INDEX(_xlfn.TEXTSPLIT(AB99,",",),0,1)+$A$18,$A$18))/4,0),ROUNDUP(IF(MOD(AB$18+INDEX(_xlfn.TEXTSPLIT(AB99,",",),0,2)+$A$18,$A$18)=0,$A$18,MOD(AB$18+INDEX(_xlfn.TEXTSPLIT(AB99,",",),0,2)+$A$18,$A$18))/4,0)))+(INDEX($AD$2:$AK$9,ROUNDUP(IF(MOD($A44+INDEX(_xlfn.TEXTSPLIT(AB142,",",),0,1)+$A$18,$A$18)=0,$A$18,MOD($A44+INDEX(_xlfn.TEXTSPLIT(AB142,",",),0,1)+$A$18,$A$18))/5,0),ROUNDUP(IF(MOD(AB$18+INDEX(_xlfn.TEXTSPLIT(AB142,",",),0,2)+$A$18,$A$18)=0,$A$18,MOD(AB$18+INDEX(_xlfn.TEXTSPLIT(AB142,",",),0,2)+$A$18,$A$18))/5,0)))</f>
        <v>7</v>
      </c>
      <c r="AC44" s="1" cm="1">
        <f t="array" aca="1" ref="AC44" ca="1">(INDEX($K$2:$T$11,ROUNDUP(IF(MOD($A44+INDEX(_xlfn.TEXTSPLIT(AC99,",",),0,1)+$A$18,$A$18)=0,$A$18,MOD($A44+INDEX(_xlfn.TEXTSPLIT(AC99,",",),0,1)+$A$18,$A$18))/4,0),ROUNDUP(IF(MOD(AC$18+INDEX(_xlfn.TEXTSPLIT(AC99,",",),0,2)+$A$18,$A$18)=0,$A$18,MOD(AC$18+INDEX(_xlfn.TEXTSPLIT(AC99,",",),0,2)+$A$18,$A$18))/4,0)))+(INDEX($AD$2:$AK$9,ROUNDUP(IF(MOD($A44+INDEX(_xlfn.TEXTSPLIT(AC142,",",),0,1)+$A$18,$A$18)=0,$A$18,MOD($A44+INDEX(_xlfn.TEXTSPLIT(AC142,",",),0,1)+$A$18,$A$18))/5,0),ROUNDUP(IF(MOD(AC$18+INDEX(_xlfn.TEXTSPLIT(AC142,",",),0,2)+$A$18,$A$18)=0,$A$18,MOD(AC$18+INDEX(_xlfn.TEXTSPLIT(AC142,",",),0,2)+$A$18,$A$18))/5,0)))</f>
        <v>7</v>
      </c>
      <c r="AD44" s="1" cm="1">
        <f t="array" aca="1" ref="AD44" ca="1">(INDEX($K$2:$T$11,ROUNDUP(IF(MOD($A44+INDEX(_xlfn.TEXTSPLIT(AD99,",",),0,1)+$A$18,$A$18)=0,$A$18,MOD($A44+INDEX(_xlfn.TEXTSPLIT(AD99,",",),0,1)+$A$18,$A$18))/4,0),ROUNDUP(IF(MOD(AD$18+INDEX(_xlfn.TEXTSPLIT(AD99,",",),0,2)+$A$18,$A$18)=0,$A$18,MOD(AD$18+INDEX(_xlfn.TEXTSPLIT(AD99,",",),0,2)+$A$18,$A$18))/4,0)))+(INDEX($AD$2:$AK$9,ROUNDUP(IF(MOD($A44+INDEX(_xlfn.TEXTSPLIT(AD142,",",),0,1)+$A$18,$A$18)=0,$A$18,MOD($A44+INDEX(_xlfn.TEXTSPLIT(AD142,",",),0,1)+$A$18,$A$18))/5,0),ROUNDUP(IF(MOD(AD$18+INDEX(_xlfn.TEXTSPLIT(AD142,",",),0,2)+$A$18,$A$18)=0,$A$18,MOD(AD$18+INDEX(_xlfn.TEXTSPLIT(AD142,",",),0,2)+$A$18,$A$18))/5,0)))</f>
        <v>7</v>
      </c>
      <c r="AE44" s="1" cm="1">
        <f t="array" aca="1" ref="AE44" ca="1">(INDEX($K$2:$T$11,ROUNDUP(IF(MOD($A44+INDEX(_xlfn.TEXTSPLIT(AE99,",",),0,1)+$A$18,$A$18)=0,$A$18,MOD($A44+INDEX(_xlfn.TEXTSPLIT(AE99,",",),0,1)+$A$18,$A$18))/4,0),ROUNDUP(IF(MOD(AE$18+INDEX(_xlfn.TEXTSPLIT(AE99,",",),0,2)+$A$18,$A$18)=0,$A$18,MOD(AE$18+INDEX(_xlfn.TEXTSPLIT(AE99,",",),0,2)+$A$18,$A$18))/4,0)))+(INDEX($AD$2:$AK$9,ROUNDUP(IF(MOD($A44+INDEX(_xlfn.TEXTSPLIT(AE142,",",),0,1)+$A$18,$A$18)=0,$A$18,MOD($A44+INDEX(_xlfn.TEXTSPLIT(AE142,",",),0,1)+$A$18,$A$18))/5,0),ROUNDUP(IF(MOD(AE$18+INDEX(_xlfn.TEXTSPLIT(AE142,",",),0,2)+$A$18,$A$18)=0,$A$18,MOD(AE$18+INDEX(_xlfn.TEXTSPLIT(AE142,",",),0,2)+$A$18,$A$18))/5,0)))</f>
        <v>7</v>
      </c>
      <c r="AF44" s="1" cm="1">
        <f t="array" aca="1" ref="AF44" ca="1">(INDEX($K$2:$T$11,ROUNDUP(IF(MOD($A44+INDEX(_xlfn.TEXTSPLIT(AF99,",",),0,1)+$A$18,$A$18)=0,$A$18,MOD($A44+INDEX(_xlfn.TEXTSPLIT(AF99,",",),0,1)+$A$18,$A$18))/4,0),ROUNDUP(IF(MOD(AF$18+INDEX(_xlfn.TEXTSPLIT(AF99,",",),0,2)+$A$18,$A$18)=0,$A$18,MOD(AF$18+INDEX(_xlfn.TEXTSPLIT(AF99,",",),0,2)+$A$18,$A$18))/4,0)))+(INDEX($AD$2:$AK$9,ROUNDUP(IF(MOD($A44+INDEX(_xlfn.TEXTSPLIT(AF142,",",),0,1)+$A$18,$A$18)=0,$A$18,MOD($A44+INDEX(_xlfn.TEXTSPLIT(AF142,",",),0,1)+$A$18,$A$18))/5,0),ROUNDUP(IF(MOD(AF$18+INDEX(_xlfn.TEXTSPLIT(AF142,",",),0,2)+$A$18,$A$18)=0,$A$18,MOD(AF$18+INDEX(_xlfn.TEXTSPLIT(AF142,",",),0,2)+$A$18,$A$18))/5,0)))</f>
        <v>8</v>
      </c>
      <c r="AG44" s="1" cm="1">
        <f t="array" aca="1" ref="AG44" ca="1">(INDEX($K$2:$T$11,ROUNDUP(IF(MOD($A44+INDEX(_xlfn.TEXTSPLIT(AG99,",",),0,1)+$A$18,$A$18)=0,$A$18,MOD($A44+INDEX(_xlfn.TEXTSPLIT(AG99,",",),0,1)+$A$18,$A$18))/4,0),ROUNDUP(IF(MOD(AG$18+INDEX(_xlfn.TEXTSPLIT(AG99,",",),0,2)+$A$18,$A$18)=0,$A$18,MOD(AG$18+INDEX(_xlfn.TEXTSPLIT(AG99,",",),0,2)+$A$18,$A$18))/4,0)))+(INDEX($AD$2:$AK$9,ROUNDUP(IF(MOD($A44+INDEX(_xlfn.TEXTSPLIT(AG142,",",),0,1)+$A$18,$A$18)=0,$A$18,MOD($A44+INDEX(_xlfn.TEXTSPLIT(AG142,",",),0,1)+$A$18,$A$18))/5,0),ROUNDUP(IF(MOD(AG$18+INDEX(_xlfn.TEXTSPLIT(AG142,",",),0,2)+$A$18,$A$18)=0,$A$18,MOD(AG$18+INDEX(_xlfn.TEXTSPLIT(AG142,",",),0,2)+$A$18,$A$18))/5,0)))</f>
        <v>7</v>
      </c>
      <c r="AH44" s="1" cm="1">
        <f t="array" aca="1" ref="AH44" ca="1">(INDEX($K$2:$T$11,ROUNDUP(IF(MOD($A44+INDEX(_xlfn.TEXTSPLIT(AH99,",",),0,1)+$A$18,$A$18)=0,$A$18,MOD($A44+INDEX(_xlfn.TEXTSPLIT(AH99,",",),0,1)+$A$18,$A$18))/4,0),ROUNDUP(IF(MOD(AH$18+INDEX(_xlfn.TEXTSPLIT(AH99,",",),0,2)+$A$18,$A$18)=0,$A$18,MOD(AH$18+INDEX(_xlfn.TEXTSPLIT(AH99,",",),0,2)+$A$18,$A$18))/4,0)))+(INDEX($AD$2:$AK$9,ROUNDUP(IF(MOD($A44+INDEX(_xlfn.TEXTSPLIT(AH142,",",),0,1)+$A$18,$A$18)=0,$A$18,MOD($A44+INDEX(_xlfn.TEXTSPLIT(AH142,",",),0,1)+$A$18,$A$18))/5,0),ROUNDUP(IF(MOD(AH$18+INDEX(_xlfn.TEXTSPLIT(AH142,",",),0,2)+$A$18,$A$18)=0,$A$18,MOD(AH$18+INDEX(_xlfn.TEXTSPLIT(AH142,",",),0,2)+$A$18,$A$18))/5,0)))</f>
        <v>8</v>
      </c>
      <c r="AI44" s="1" cm="1">
        <f t="array" aca="1" ref="AI44" ca="1">(INDEX($K$2:$T$11,ROUNDUP(IF(MOD($A44+INDEX(_xlfn.TEXTSPLIT(AI99,",",),0,1)+$A$18,$A$18)=0,$A$18,MOD($A44+INDEX(_xlfn.TEXTSPLIT(AI99,",",),0,1)+$A$18,$A$18))/4,0),ROUNDUP(IF(MOD(AI$18+INDEX(_xlfn.TEXTSPLIT(AI99,",",),0,2)+$A$18,$A$18)=0,$A$18,MOD(AI$18+INDEX(_xlfn.TEXTSPLIT(AI99,",",),0,2)+$A$18,$A$18))/4,0)))+(INDEX($AD$2:$AK$9,ROUNDUP(IF(MOD($A44+INDEX(_xlfn.TEXTSPLIT(AI142,",",),0,1)+$A$18,$A$18)=0,$A$18,MOD($A44+INDEX(_xlfn.TEXTSPLIT(AI142,",",),0,1)+$A$18,$A$18))/5,0),ROUNDUP(IF(MOD(AI$18+INDEX(_xlfn.TEXTSPLIT(AI142,",",),0,2)+$A$18,$A$18)=0,$A$18,MOD(AI$18+INDEX(_xlfn.TEXTSPLIT(AI142,",",),0,2)+$A$18,$A$18))/5,0)))</f>
        <v>8</v>
      </c>
      <c r="AJ44" s="1" cm="1">
        <f t="array" aca="1" ref="AJ44" ca="1">(INDEX($K$2:$T$11,ROUNDUP(IF(MOD($A44+INDEX(_xlfn.TEXTSPLIT(AJ99,",",),0,1)+$A$18,$A$18)=0,$A$18,MOD($A44+INDEX(_xlfn.TEXTSPLIT(AJ99,",",),0,1)+$A$18,$A$18))/4,0),ROUNDUP(IF(MOD(AJ$18+INDEX(_xlfn.TEXTSPLIT(AJ99,",",),0,2)+$A$18,$A$18)=0,$A$18,MOD(AJ$18+INDEX(_xlfn.TEXTSPLIT(AJ99,",",),0,2)+$A$18,$A$18))/4,0)))+(INDEX($AD$2:$AK$9,ROUNDUP(IF(MOD($A44+INDEX(_xlfn.TEXTSPLIT(AJ142,",",),0,1)+$A$18,$A$18)=0,$A$18,MOD($A44+INDEX(_xlfn.TEXTSPLIT(AJ142,",",),0,1)+$A$18,$A$18))/5,0),ROUNDUP(IF(MOD(AJ$18+INDEX(_xlfn.TEXTSPLIT(AJ142,",",),0,2)+$A$18,$A$18)=0,$A$18,MOD(AJ$18+INDEX(_xlfn.TEXTSPLIT(AJ142,",",),0,2)+$A$18,$A$18))/5,0)))</f>
        <v>8</v>
      </c>
      <c r="AK44" s="1" cm="1">
        <f t="array" aca="1" ref="AK44" ca="1">(INDEX($K$2:$T$11,ROUNDUP(IF(MOD($A44+INDEX(_xlfn.TEXTSPLIT(AK99,",",),0,1)+$A$18,$A$18)=0,$A$18,MOD($A44+INDEX(_xlfn.TEXTSPLIT(AK99,",",),0,1)+$A$18,$A$18))/4,0),ROUNDUP(IF(MOD(AK$18+INDEX(_xlfn.TEXTSPLIT(AK99,",",),0,2)+$A$18,$A$18)=0,$A$18,MOD(AK$18+INDEX(_xlfn.TEXTSPLIT(AK99,",",),0,2)+$A$18,$A$18))/4,0)))+(INDEX($AD$2:$AK$9,ROUNDUP(IF(MOD($A44+INDEX(_xlfn.TEXTSPLIT(AK142,",",),0,1)+$A$18,$A$18)=0,$A$18,MOD($A44+INDEX(_xlfn.TEXTSPLIT(AK142,",",),0,1)+$A$18,$A$18))/5,0),ROUNDUP(IF(MOD(AK$18+INDEX(_xlfn.TEXTSPLIT(AK142,",",),0,2)+$A$18,$A$18)=0,$A$18,MOD(AK$18+INDEX(_xlfn.TEXTSPLIT(AK142,",",),0,2)+$A$18,$A$18))/5,0)))</f>
        <v>8</v>
      </c>
      <c r="AL44" s="1" cm="1">
        <f t="array" aca="1" ref="AL44" ca="1">(INDEX($K$2:$T$11,ROUNDUP(IF(MOD($A44+INDEX(_xlfn.TEXTSPLIT(AL99,",",),0,1)+$A$18,$A$18)=0,$A$18,MOD($A44+INDEX(_xlfn.TEXTSPLIT(AL99,",",),0,1)+$A$18,$A$18))/4,0),ROUNDUP(IF(MOD(AL$18+INDEX(_xlfn.TEXTSPLIT(AL99,",",),0,2)+$A$18,$A$18)=0,$A$18,MOD(AL$18+INDEX(_xlfn.TEXTSPLIT(AL99,",",),0,2)+$A$18,$A$18))/4,0)))+(INDEX($AD$2:$AK$9,ROUNDUP(IF(MOD($A44+INDEX(_xlfn.TEXTSPLIT(AL142,",",),0,1)+$A$18,$A$18)=0,$A$18,MOD($A44+INDEX(_xlfn.TEXTSPLIT(AL142,",",),0,1)+$A$18,$A$18))/5,0),ROUNDUP(IF(MOD(AL$18+INDEX(_xlfn.TEXTSPLIT(AL142,",",),0,2)+$A$18,$A$18)=0,$A$18,MOD(AL$18+INDEX(_xlfn.TEXTSPLIT(AL142,",",),0,2)+$A$18,$A$18))/5,0)))</f>
        <v>7</v>
      </c>
      <c r="AM44" s="1" cm="1">
        <f t="array" aca="1" ref="AM44" ca="1">(INDEX($K$2:$T$11,ROUNDUP(IF(MOD($A44+INDEX(_xlfn.TEXTSPLIT(AM99,",",),0,1)+$A$18,$A$18)=0,$A$18,MOD($A44+INDEX(_xlfn.TEXTSPLIT(AM99,",",),0,1)+$A$18,$A$18))/4,0),ROUNDUP(IF(MOD(AM$18+INDEX(_xlfn.TEXTSPLIT(AM99,",",),0,2)+$A$18,$A$18)=0,$A$18,MOD(AM$18+INDEX(_xlfn.TEXTSPLIT(AM99,",",),0,2)+$A$18,$A$18))/4,0)))+(INDEX($AD$2:$AK$9,ROUNDUP(IF(MOD($A44+INDEX(_xlfn.TEXTSPLIT(AM142,",",),0,1)+$A$18,$A$18)=0,$A$18,MOD($A44+INDEX(_xlfn.TEXTSPLIT(AM142,",",),0,1)+$A$18,$A$18))/5,0),ROUNDUP(IF(MOD(AM$18+INDEX(_xlfn.TEXTSPLIT(AM142,",",),0,2)+$A$18,$A$18)=0,$A$18,MOD(AM$18+INDEX(_xlfn.TEXTSPLIT(AM142,",",),0,2)+$A$18,$A$18))/5,0)))</f>
        <v>7</v>
      </c>
      <c r="AN44" s="1" cm="1">
        <f t="array" aca="1" ref="AN44" ca="1">(INDEX($K$2:$T$11,ROUNDUP(IF(MOD($A44+INDEX(_xlfn.TEXTSPLIT(AN99,",",),0,1)+$A$18,$A$18)=0,$A$18,MOD($A44+INDEX(_xlfn.TEXTSPLIT(AN99,",",),0,1)+$A$18,$A$18))/4,0),ROUNDUP(IF(MOD(AN$18+INDEX(_xlfn.TEXTSPLIT(AN99,",",),0,2)+$A$18,$A$18)=0,$A$18,MOD(AN$18+INDEX(_xlfn.TEXTSPLIT(AN99,",",),0,2)+$A$18,$A$18))/4,0)))+(INDEX($AD$2:$AK$9,ROUNDUP(IF(MOD($A44+INDEX(_xlfn.TEXTSPLIT(AN142,",",),0,1)+$A$18,$A$18)=0,$A$18,MOD($A44+INDEX(_xlfn.TEXTSPLIT(AN142,",",),0,1)+$A$18,$A$18))/5,0),ROUNDUP(IF(MOD(AN$18+INDEX(_xlfn.TEXTSPLIT(AN142,",",),0,2)+$A$18,$A$18)=0,$A$18,MOD(AN$18+INDEX(_xlfn.TEXTSPLIT(AN142,",",),0,2)+$A$18,$A$18))/5,0)))</f>
        <v>8</v>
      </c>
      <c r="AO44" s="1" cm="1">
        <f t="array" aca="1" ref="AO44" ca="1">(INDEX($K$2:$T$11,ROUNDUP(IF(MOD($A44+INDEX(_xlfn.TEXTSPLIT(AO99,",",),0,1)+$A$18,$A$18)=0,$A$18,MOD($A44+INDEX(_xlfn.TEXTSPLIT(AO99,",",),0,1)+$A$18,$A$18))/4,0),ROUNDUP(IF(MOD(AO$18+INDEX(_xlfn.TEXTSPLIT(AO99,",",),0,2)+$A$18,$A$18)=0,$A$18,MOD(AO$18+INDEX(_xlfn.TEXTSPLIT(AO99,",",),0,2)+$A$18,$A$18))/4,0)))+(INDEX($AD$2:$AK$9,ROUNDUP(IF(MOD($A44+INDEX(_xlfn.TEXTSPLIT(AO142,",",),0,1)+$A$18,$A$18)=0,$A$18,MOD($A44+INDEX(_xlfn.TEXTSPLIT(AO142,",",),0,1)+$A$18,$A$18))/5,0),ROUNDUP(IF(MOD(AO$18+INDEX(_xlfn.TEXTSPLIT(AO142,",",),0,2)+$A$18,$A$18)=0,$A$18,MOD(AO$18+INDEX(_xlfn.TEXTSPLIT(AO142,",",),0,2)+$A$18,$A$18))/5,0)))</f>
        <v>7</v>
      </c>
    </row>
    <row r="45" spans="1:41" ht="12.75">
      <c r="A45" s="1">
        <v>27</v>
      </c>
      <c r="B45" s="1" cm="1">
        <f t="array" aca="1" ref="B45" ca="1">(INDEX($K$2:$T$11,ROUNDUP(IF(MOD($A45+INDEX(_xlfn.TEXTSPLIT(B100,",",),0,1)+$A$18,$A$18)=0,$A$18,MOD($A45+INDEX(_xlfn.TEXTSPLIT(B100,",",),0,1)+$A$18,$A$18))/4,0),ROUNDUP(IF(MOD(B$18+INDEX(_xlfn.TEXTSPLIT(B100,",",),0,2)+$A$18,$A$18)=0,$A$18,MOD(B$18+INDEX(_xlfn.TEXTSPLIT(B100,",",),0,2)+$A$18,$A$18))/4,0)))+(INDEX($AD$2:$AK$9,ROUNDUP(IF(MOD($A45+INDEX(_xlfn.TEXTSPLIT(B143,",",),0,1)+$A$18,$A$18)=0,$A$18,MOD($A45+INDEX(_xlfn.TEXTSPLIT(B143,",",),0,1)+$A$18,$A$18))/5,0),ROUNDUP(IF(MOD(B$18+INDEX(_xlfn.TEXTSPLIT(B143,",",),0,2)+$A$18,$A$18)=0,$A$18,MOD(B$18+INDEX(_xlfn.TEXTSPLIT(B143,",",),0,2)+$A$18,$A$18))/5,0)))</f>
        <v>6</v>
      </c>
      <c r="C45" s="1" cm="1">
        <f t="array" aca="1" ref="C45" ca="1">(INDEX($K$2:$T$11,ROUNDUP(IF(MOD($A45+INDEX(_xlfn.TEXTSPLIT(C100,",",),0,1)+$A$18,$A$18)=0,$A$18,MOD($A45+INDEX(_xlfn.TEXTSPLIT(C100,",",),0,1)+$A$18,$A$18))/4,0),ROUNDUP(IF(MOD(C$18+INDEX(_xlfn.TEXTSPLIT(C100,",",),0,2)+$A$18,$A$18)=0,$A$18,MOD(C$18+INDEX(_xlfn.TEXTSPLIT(C100,",",),0,2)+$A$18,$A$18))/4,0)))+(INDEX($AD$2:$AK$9,ROUNDUP(IF(MOD($A45+INDEX(_xlfn.TEXTSPLIT(C143,",",),0,1)+$A$18,$A$18)=0,$A$18,MOD($A45+INDEX(_xlfn.TEXTSPLIT(C143,",",),0,1)+$A$18,$A$18))/5,0),ROUNDUP(IF(MOD(C$18+INDEX(_xlfn.TEXTSPLIT(C143,",",),0,2)+$A$18,$A$18)=0,$A$18,MOD(C$18+INDEX(_xlfn.TEXTSPLIT(C143,",",),0,2)+$A$18,$A$18))/5,0)))</f>
        <v>6</v>
      </c>
      <c r="D45" s="1" cm="1">
        <f t="array" aca="1" ref="D45" ca="1">(INDEX($K$2:$T$11,ROUNDUP(IF(MOD($A45+INDEX(_xlfn.TEXTSPLIT(D100,",",),0,1)+$A$18,$A$18)=0,$A$18,MOD($A45+INDEX(_xlfn.TEXTSPLIT(D100,",",),0,1)+$A$18,$A$18))/4,0),ROUNDUP(IF(MOD(D$18+INDEX(_xlfn.TEXTSPLIT(D100,",",),0,2)+$A$18,$A$18)=0,$A$18,MOD(D$18+INDEX(_xlfn.TEXTSPLIT(D100,",",),0,2)+$A$18,$A$18))/4,0)))+(INDEX($AD$2:$AK$9,ROUNDUP(IF(MOD($A45+INDEX(_xlfn.TEXTSPLIT(D143,",",),0,1)+$A$18,$A$18)=0,$A$18,MOD($A45+INDEX(_xlfn.TEXTSPLIT(D143,",",),0,1)+$A$18,$A$18))/5,0),ROUNDUP(IF(MOD(D$18+INDEX(_xlfn.TEXTSPLIT(D143,",",),0,2)+$A$18,$A$18)=0,$A$18,MOD(D$18+INDEX(_xlfn.TEXTSPLIT(D143,",",),0,2)+$A$18,$A$18))/5,0)))</f>
        <v>6</v>
      </c>
      <c r="E45" s="1" cm="1">
        <f t="array" aca="1" ref="E45" ca="1">(INDEX($K$2:$T$11,ROUNDUP(IF(MOD($A45+INDEX(_xlfn.TEXTSPLIT(E100,",",),0,1)+$A$18,$A$18)=0,$A$18,MOD($A45+INDEX(_xlfn.TEXTSPLIT(E100,",",),0,1)+$A$18,$A$18))/4,0),ROUNDUP(IF(MOD(E$18+INDEX(_xlfn.TEXTSPLIT(E100,",",),0,2)+$A$18,$A$18)=0,$A$18,MOD(E$18+INDEX(_xlfn.TEXTSPLIT(E100,",",),0,2)+$A$18,$A$18))/4,0)))+(INDEX($AD$2:$AK$9,ROUNDUP(IF(MOD($A45+INDEX(_xlfn.TEXTSPLIT(E143,",",),0,1)+$A$18,$A$18)=0,$A$18,MOD($A45+INDEX(_xlfn.TEXTSPLIT(E143,",",),0,1)+$A$18,$A$18))/5,0),ROUNDUP(IF(MOD(E$18+INDEX(_xlfn.TEXTSPLIT(E143,",",),0,2)+$A$18,$A$18)=0,$A$18,MOD(E$18+INDEX(_xlfn.TEXTSPLIT(E143,",",),0,2)+$A$18,$A$18))/5,0)))</f>
        <v>6</v>
      </c>
      <c r="F45" s="1" cm="1">
        <f t="array" aca="1" ref="F45" ca="1">(INDEX($K$2:$T$11,ROUNDUP(IF(MOD($A45+INDEX(_xlfn.TEXTSPLIT(F100,",",),0,1)+$A$18,$A$18)=0,$A$18,MOD($A45+INDEX(_xlfn.TEXTSPLIT(F100,",",),0,1)+$A$18,$A$18))/4,0),ROUNDUP(IF(MOD(F$18+INDEX(_xlfn.TEXTSPLIT(F100,",",),0,2)+$A$18,$A$18)=0,$A$18,MOD(F$18+INDEX(_xlfn.TEXTSPLIT(F100,",",),0,2)+$A$18,$A$18))/4,0)))+(INDEX($AD$2:$AK$9,ROUNDUP(IF(MOD($A45+INDEX(_xlfn.TEXTSPLIT(F143,",",),0,1)+$A$18,$A$18)=0,$A$18,MOD($A45+INDEX(_xlfn.TEXTSPLIT(F143,",",),0,1)+$A$18,$A$18))/5,0),ROUNDUP(IF(MOD(F$18+INDEX(_xlfn.TEXTSPLIT(F143,",",),0,2)+$A$18,$A$18)=0,$A$18,MOD(F$18+INDEX(_xlfn.TEXTSPLIT(F143,",",),0,2)+$A$18,$A$18))/5,0)))</f>
        <v>2</v>
      </c>
      <c r="G45" s="1" cm="1">
        <f t="array" aca="1" ref="G45" ca="1">(INDEX($K$2:$T$11,ROUNDUP(IF(MOD($A45+INDEX(_xlfn.TEXTSPLIT(G100,",",),0,1)+$A$18,$A$18)=0,$A$18,MOD($A45+INDEX(_xlfn.TEXTSPLIT(G100,",",),0,1)+$A$18,$A$18))/4,0),ROUNDUP(IF(MOD(G$18+INDEX(_xlfn.TEXTSPLIT(G100,",",),0,2)+$A$18,$A$18)=0,$A$18,MOD(G$18+INDEX(_xlfn.TEXTSPLIT(G100,",",),0,2)+$A$18,$A$18))/4,0)))+(INDEX($AD$2:$AK$9,ROUNDUP(IF(MOD($A45+INDEX(_xlfn.TEXTSPLIT(G143,",",),0,1)+$A$18,$A$18)=0,$A$18,MOD($A45+INDEX(_xlfn.TEXTSPLIT(G143,",",),0,1)+$A$18,$A$18))/5,0),ROUNDUP(IF(MOD(G$18+INDEX(_xlfn.TEXTSPLIT(G143,",",),0,2)+$A$18,$A$18)=0,$A$18,MOD(G$18+INDEX(_xlfn.TEXTSPLIT(G143,",",),0,2)+$A$18,$A$18))/5,0)))</f>
        <v>2</v>
      </c>
      <c r="H45" s="1" cm="1">
        <f t="array" aca="1" ref="H45" ca="1">(INDEX($K$2:$T$11,ROUNDUP(IF(MOD($A45+INDEX(_xlfn.TEXTSPLIT(H100,",",),0,1)+$A$18,$A$18)=0,$A$18,MOD($A45+INDEX(_xlfn.TEXTSPLIT(H100,",",),0,1)+$A$18,$A$18))/4,0),ROUNDUP(IF(MOD(H$18+INDEX(_xlfn.TEXTSPLIT(H100,",",),0,2)+$A$18,$A$18)=0,$A$18,MOD(H$18+INDEX(_xlfn.TEXTSPLIT(H100,",",),0,2)+$A$18,$A$18))/4,0)))+(INDEX($AD$2:$AK$9,ROUNDUP(IF(MOD($A45+INDEX(_xlfn.TEXTSPLIT(H143,",",),0,1)+$A$18,$A$18)=0,$A$18,MOD($A45+INDEX(_xlfn.TEXTSPLIT(H143,",",),0,1)+$A$18,$A$18))/5,0),ROUNDUP(IF(MOD(H$18+INDEX(_xlfn.TEXTSPLIT(H143,",",),0,2)+$A$18,$A$18)=0,$A$18,MOD(H$18+INDEX(_xlfn.TEXTSPLIT(H143,",",),0,2)+$A$18,$A$18))/5,0)))</f>
        <v>3</v>
      </c>
      <c r="I45" s="1" cm="1">
        <f t="array" aca="1" ref="I45" ca="1">(INDEX($K$2:$T$11,ROUNDUP(IF(MOD($A45+INDEX(_xlfn.TEXTSPLIT(I100,",",),0,1)+$A$18,$A$18)=0,$A$18,MOD($A45+INDEX(_xlfn.TEXTSPLIT(I100,",",),0,1)+$A$18,$A$18))/4,0),ROUNDUP(IF(MOD(I$18+INDEX(_xlfn.TEXTSPLIT(I100,",",),0,2)+$A$18,$A$18)=0,$A$18,MOD(I$18+INDEX(_xlfn.TEXTSPLIT(I100,",",),0,2)+$A$18,$A$18))/4,0)))+(INDEX($AD$2:$AK$9,ROUNDUP(IF(MOD($A45+INDEX(_xlfn.TEXTSPLIT(I143,",",),0,1)+$A$18,$A$18)=0,$A$18,MOD($A45+INDEX(_xlfn.TEXTSPLIT(I143,",",),0,1)+$A$18,$A$18))/5,0),ROUNDUP(IF(MOD(I$18+INDEX(_xlfn.TEXTSPLIT(I143,",",),0,2)+$A$18,$A$18)=0,$A$18,MOD(I$18+INDEX(_xlfn.TEXTSPLIT(I143,",",),0,2)+$A$18,$A$18))/5,0)))</f>
        <v>7</v>
      </c>
      <c r="J45" s="1" cm="1">
        <f t="array" aca="1" ref="J45" ca="1">(INDEX($K$2:$T$11,ROUNDUP(IF(MOD($A45+INDEX(_xlfn.TEXTSPLIT(J100,",",),0,1)+$A$18,$A$18)=0,$A$18,MOD($A45+INDEX(_xlfn.TEXTSPLIT(J100,",",),0,1)+$A$18,$A$18))/4,0),ROUNDUP(IF(MOD(J$18+INDEX(_xlfn.TEXTSPLIT(J100,",",),0,2)+$A$18,$A$18)=0,$A$18,MOD(J$18+INDEX(_xlfn.TEXTSPLIT(J100,",",),0,2)+$A$18,$A$18))/4,0)))+(INDEX($AD$2:$AK$9,ROUNDUP(IF(MOD($A45+INDEX(_xlfn.TEXTSPLIT(J143,",",),0,1)+$A$18,$A$18)=0,$A$18,MOD($A45+INDEX(_xlfn.TEXTSPLIT(J143,",",),0,1)+$A$18,$A$18))/5,0),ROUNDUP(IF(MOD(J$18+INDEX(_xlfn.TEXTSPLIT(J143,",",),0,2)+$A$18,$A$18)=0,$A$18,MOD(J$18+INDEX(_xlfn.TEXTSPLIT(J143,",",),0,2)+$A$18,$A$18))/5,0)))</f>
        <v>7</v>
      </c>
      <c r="K45" s="1" cm="1">
        <f t="array" aca="1" ref="K45" ca="1">(INDEX($K$2:$T$11,ROUNDUP(IF(MOD($A45+INDEX(_xlfn.TEXTSPLIT(K100,",",),0,1)+$A$18,$A$18)=0,$A$18,MOD($A45+INDEX(_xlfn.TEXTSPLIT(K100,",",),0,1)+$A$18,$A$18))/4,0),ROUNDUP(IF(MOD(K$18+INDEX(_xlfn.TEXTSPLIT(K100,",",),0,2)+$A$18,$A$18)=0,$A$18,MOD(K$18+INDEX(_xlfn.TEXTSPLIT(K100,",",),0,2)+$A$18,$A$18))/4,0)))+(INDEX($AD$2:$AK$9,ROUNDUP(IF(MOD($A45+INDEX(_xlfn.TEXTSPLIT(K143,",",),0,1)+$A$18,$A$18)=0,$A$18,MOD($A45+INDEX(_xlfn.TEXTSPLIT(K143,",",),0,1)+$A$18,$A$18))/5,0),ROUNDUP(IF(MOD(K$18+INDEX(_xlfn.TEXTSPLIT(K143,",",),0,2)+$A$18,$A$18)=0,$A$18,MOD(K$18+INDEX(_xlfn.TEXTSPLIT(K143,",",),0,2)+$A$18,$A$18))/5,0)))</f>
        <v>7</v>
      </c>
      <c r="L45" s="1" cm="1">
        <f t="array" aca="1" ref="L45" ca="1">(INDEX($K$2:$T$11,ROUNDUP(IF(MOD($A45+INDEX(_xlfn.TEXTSPLIT(L100,",",),0,1)+$A$18,$A$18)=0,$A$18,MOD($A45+INDEX(_xlfn.TEXTSPLIT(L100,",",),0,1)+$A$18,$A$18))/4,0),ROUNDUP(IF(MOD(L$18+INDEX(_xlfn.TEXTSPLIT(L100,",",),0,2)+$A$18,$A$18)=0,$A$18,MOD(L$18+INDEX(_xlfn.TEXTSPLIT(L100,",",),0,2)+$A$18,$A$18))/4,0)))+(INDEX($AD$2:$AK$9,ROUNDUP(IF(MOD($A45+INDEX(_xlfn.TEXTSPLIT(L143,",",),0,1)+$A$18,$A$18)=0,$A$18,MOD($A45+INDEX(_xlfn.TEXTSPLIT(L143,",",),0,1)+$A$18,$A$18))/5,0),ROUNDUP(IF(MOD(L$18+INDEX(_xlfn.TEXTSPLIT(L143,",",),0,2)+$A$18,$A$18)=0,$A$18,MOD(L$18+INDEX(_xlfn.TEXTSPLIT(L143,",",),0,2)+$A$18,$A$18))/5,0)))</f>
        <v>6</v>
      </c>
      <c r="M45" s="1" cm="1">
        <f t="array" aca="1" ref="M45" ca="1">(INDEX($K$2:$T$11,ROUNDUP(IF(MOD($A45+INDEX(_xlfn.TEXTSPLIT(M100,",",),0,1)+$A$18,$A$18)=0,$A$18,MOD($A45+INDEX(_xlfn.TEXTSPLIT(M100,",",),0,1)+$A$18,$A$18))/4,0),ROUNDUP(IF(MOD(M$18+INDEX(_xlfn.TEXTSPLIT(M100,",",),0,2)+$A$18,$A$18)=0,$A$18,MOD(M$18+INDEX(_xlfn.TEXTSPLIT(M100,",",),0,2)+$A$18,$A$18))/4,0)))+(INDEX($AD$2:$AK$9,ROUNDUP(IF(MOD($A45+INDEX(_xlfn.TEXTSPLIT(M143,",",),0,1)+$A$18,$A$18)=0,$A$18,MOD($A45+INDEX(_xlfn.TEXTSPLIT(M143,",",),0,1)+$A$18,$A$18))/5,0),ROUNDUP(IF(MOD(M$18+INDEX(_xlfn.TEXTSPLIT(M143,",",),0,2)+$A$18,$A$18)=0,$A$18,MOD(M$18+INDEX(_xlfn.TEXTSPLIT(M143,",",),0,2)+$A$18,$A$18))/5,0)))</f>
        <v>6</v>
      </c>
      <c r="N45" s="1" cm="1">
        <f t="array" aca="1" ref="N45" ca="1">(INDEX($K$2:$T$11,ROUNDUP(IF(MOD($A45+INDEX(_xlfn.TEXTSPLIT(N100,",",),0,1)+$A$18,$A$18)=0,$A$18,MOD($A45+INDEX(_xlfn.TEXTSPLIT(N100,",",),0,1)+$A$18,$A$18))/4,0),ROUNDUP(IF(MOD(N$18+INDEX(_xlfn.TEXTSPLIT(N100,",",),0,2)+$A$18,$A$18)=0,$A$18,MOD(N$18+INDEX(_xlfn.TEXTSPLIT(N100,",",),0,2)+$A$18,$A$18))/4,0)))+(INDEX($AD$2:$AK$9,ROUNDUP(IF(MOD($A45+INDEX(_xlfn.TEXTSPLIT(N143,",",),0,1)+$A$18,$A$18)=0,$A$18,MOD($A45+INDEX(_xlfn.TEXTSPLIT(N143,",",),0,1)+$A$18,$A$18))/5,0),ROUNDUP(IF(MOD(N$18+INDEX(_xlfn.TEXTSPLIT(N143,",",),0,2)+$A$18,$A$18)=0,$A$18,MOD(N$18+INDEX(_xlfn.TEXTSPLIT(N143,",",),0,2)+$A$18,$A$18))/5,0)))</f>
        <v>6</v>
      </c>
      <c r="O45" s="1" cm="1">
        <f t="array" aca="1" ref="O45" ca="1">(INDEX($K$2:$T$11,ROUNDUP(IF(MOD($A45+INDEX(_xlfn.TEXTSPLIT(O100,",",),0,1)+$A$18,$A$18)=0,$A$18,MOD($A45+INDEX(_xlfn.TEXTSPLIT(O100,",",),0,1)+$A$18,$A$18))/4,0),ROUNDUP(IF(MOD(O$18+INDEX(_xlfn.TEXTSPLIT(O100,",",),0,2)+$A$18,$A$18)=0,$A$18,MOD(O$18+INDEX(_xlfn.TEXTSPLIT(O100,",",),0,2)+$A$18,$A$18))/4,0)))+(INDEX($AD$2:$AK$9,ROUNDUP(IF(MOD($A45+INDEX(_xlfn.TEXTSPLIT(O143,",",),0,1)+$A$18,$A$18)=0,$A$18,MOD($A45+INDEX(_xlfn.TEXTSPLIT(O143,",",),0,1)+$A$18,$A$18))/5,0),ROUNDUP(IF(MOD(O$18+INDEX(_xlfn.TEXTSPLIT(O143,",",),0,2)+$A$18,$A$18)=0,$A$18,MOD(O$18+INDEX(_xlfn.TEXTSPLIT(O143,",",),0,2)+$A$18,$A$18))/5,0)))</f>
        <v>6</v>
      </c>
      <c r="P45" s="1" cm="1">
        <f t="array" aca="1" ref="P45" ca="1">(INDEX($K$2:$T$11,ROUNDUP(IF(MOD($A45+INDEX(_xlfn.TEXTSPLIT(P100,",",),0,1)+$A$18,$A$18)=0,$A$18,MOD($A45+INDEX(_xlfn.TEXTSPLIT(P100,",",),0,1)+$A$18,$A$18))/4,0),ROUNDUP(IF(MOD(P$18+INDEX(_xlfn.TEXTSPLIT(P100,",",),0,2)+$A$18,$A$18)=0,$A$18,MOD(P$18+INDEX(_xlfn.TEXTSPLIT(P100,",",),0,2)+$A$18,$A$18))/4,0)))+(INDEX($AD$2:$AK$9,ROUNDUP(IF(MOD($A45+INDEX(_xlfn.TEXTSPLIT(P143,",",),0,1)+$A$18,$A$18)=0,$A$18,MOD($A45+INDEX(_xlfn.TEXTSPLIT(P143,",",),0,1)+$A$18,$A$18))/5,0),ROUNDUP(IF(MOD(P$18+INDEX(_xlfn.TEXTSPLIT(P143,",",),0,2)+$A$18,$A$18)=0,$A$18,MOD(P$18+INDEX(_xlfn.TEXTSPLIT(P143,",",),0,2)+$A$18,$A$18))/5,0)))</f>
        <v>6</v>
      </c>
      <c r="Q45" s="1" cm="1">
        <f t="array" aca="1" ref="Q45" ca="1">(INDEX($K$2:$T$11,ROUNDUP(IF(MOD($A45+INDEX(_xlfn.TEXTSPLIT(Q100,",",),0,1)+$A$18,$A$18)=0,$A$18,MOD($A45+INDEX(_xlfn.TEXTSPLIT(Q100,",",),0,1)+$A$18,$A$18))/4,0),ROUNDUP(IF(MOD(Q$18+INDEX(_xlfn.TEXTSPLIT(Q100,",",),0,2)+$A$18,$A$18)=0,$A$18,MOD(Q$18+INDEX(_xlfn.TEXTSPLIT(Q100,",",),0,2)+$A$18,$A$18))/4,0)))+(INDEX($AD$2:$AK$9,ROUNDUP(IF(MOD($A45+INDEX(_xlfn.TEXTSPLIT(Q143,",",),0,1)+$A$18,$A$18)=0,$A$18,MOD($A45+INDEX(_xlfn.TEXTSPLIT(Q143,",",),0,1)+$A$18,$A$18))/5,0),ROUNDUP(IF(MOD(Q$18+INDEX(_xlfn.TEXTSPLIT(Q143,",",),0,2)+$A$18,$A$18)=0,$A$18,MOD(Q$18+INDEX(_xlfn.TEXTSPLIT(Q143,",",),0,2)+$A$18,$A$18))/5,0)))</f>
        <v>8</v>
      </c>
      <c r="R45" s="1" cm="1">
        <f t="array" aca="1" ref="R45" ca="1">(INDEX($K$2:$T$11,ROUNDUP(IF(MOD($A45+INDEX(_xlfn.TEXTSPLIT(R100,",",),0,1)+$A$18,$A$18)=0,$A$18,MOD($A45+INDEX(_xlfn.TEXTSPLIT(R100,",",),0,1)+$A$18,$A$18))/4,0),ROUNDUP(IF(MOD(R$18+INDEX(_xlfn.TEXTSPLIT(R100,",",),0,2)+$A$18,$A$18)=0,$A$18,MOD(R$18+INDEX(_xlfn.TEXTSPLIT(R100,",",),0,2)+$A$18,$A$18))/4,0)))+(INDEX($AD$2:$AK$9,ROUNDUP(IF(MOD($A45+INDEX(_xlfn.TEXTSPLIT(R143,",",),0,1)+$A$18,$A$18)=0,$A$18,MOD($A45+INDEX(_xlfn.TEXTSPLIT(R143,",",),0,1)+$A$18,$A$18))/5,0),ROUNDUP(IF(MOD(R$18+INDEX(_xlfn.TEXTSPLIT(R143,",",),0,2)+$A$18,$A$18)=0,$A$18,MOD(R$18+INDEX(_xlfn.TEXTSPLIT(R143,",",),0,2)+$A$18,$A$18))/5,0)))</f>
        <v>8</v>
      </c>
      <c r="S45" s="1" cm="1">
        <f t="array" aca="1" ref="S45" ca="1">(INDEX($K$2:$T$11,ROUNDUP(IF(MOD($A45+INDEX(_xlfn.TEXTSPLIT(S100,",",),0,1)+$A$18,$A$18)=0,$A$18,MOD($A45+INDEX(_xlfn.TEXTSPLIT(S100,",",),0,1)+$A$18,$A$18))/4,0),ROUNDUP(IF(MOD(S$18+INDEX(_xlfn.TEXTSPLIT(S100,",",),0,2)+$A$18,$A$18)=0,$A$18,MOD(S$18+INDEX(_xlfn.TEXTSPLIT(S100,",",),0,2)+$A$18,$A$18))/4,0)))+(INDEX($AD$2:$AK$9,ROUNDUP(IF(MOD($A45+INDEX(_xlfn.TEXTSPLIT(S143,",",),0,1)+$A$18,$A$18)=0,$A$18,MOD($A45+INDEX(_xlfn.TEXTSPLIT(S143,",",),0,1)+$A$18,$A$18))/5,0),ROUNDUP(IF(MOD(S$18+INDEX(_xlfn.TEXTSPLIT(S143,",",),0,2)+$A$18,$A$18)=0,$A$18,MOD(S$18+INDEX(_xlfn.TEXTSPLIT(S143,",",),0,2)+$A$18,$A$18))/5,0)))</f>
        <v>8</v>
      </c>
      <c r="T45" s="1" cm="1">
        <f t="array" aca="1" ref="T45" ca="1">(INDEX($K$2:$T$11,ROUNDUP(IF(MOD($A45+INDEX(_xlfn.TEXTSPLIT(T100,",",),0,1)+$A$18,$A$18)=0,$A$18,MOD($A45+INDEX(_xlfn.TEXTSPLIT(T100,",",),0,1)+$A$18,$A$18))/4,0),ROUNDUP(IF(MOD(T$18+INDEX(_xlfn.TEXTSPLIT(T100,",",),0,2)+$A$18,$A$18)=0,$A$18,MOD(T$18+INDEX(_xlfn.TEXTSPLIT(T100,",",),0,2)+$A$18,$A$18))/4,0)))+(INDEX($AD$2:$AK$9,ROUNDUP(IF(MOD($A45+INDEX(_xlfn.TEXTSPLIT(T143,",",),0,1)+$A$18,$A$18)=0,$A$18,MOD($A45+INDEX(_xlfn.TEXTSPLIT(T143,",",),0,1)+$A$18,$A$18))/5,0),ROUNDUP(IF(MOD(T$18+INDEX(_xlfn.TEXTSPLIT(T143,",",),0,2)+$A$18,$A$18)=0,$A$18,MOD(T$18+INDEX(_xlfn.TEXTSPLIT(T143,",",),0,2)+$A$18,$A$18))/5,0)))</f>
        <v>8</v>
      </c>
      <c r="U45" s="1" cm="1">
        <f t="array" aca="1" ref="U45" ca="1">(INDEX($K$2:$T$11,ROUNDUP(IF(MOD($A45+INDEX(_xlfn.TEXTSPLIT(U100,",",),0,1)+$A$18,$A$18)=0,$A$18,MOD($A45+INDEX(_xlfn.TEXTSPLIT(U100,",",),0,1)+$A$18,$A$18))/4,0),ROUNDUP(IF(MOD(U$18+INDEX(_xlfn.TEXTSPLIT(U100,",",),0,2)+$A$18,$A$18)=0,$A$18,MOD(U$18+INDEX(_xlfn.TEXTSPLIT(U100,",",),0,2)+$A$18,$A$18))/4,0)))+(INDEX($AD$2:$AK$9,ROUNDUP(IF(MOD($A45+INDEX(_xlfn.TEXTSPLIT(U143,",",),0,1)+$A$18,$A$18)=0,$A$18,MOD($A45+INDEX(_xlfn.TEXTSPLIT(U143,",",),0,1)+$A$18,$A$18))/5,0),ROUNDUP(IF(MOD(U$18+INDEX(_xlfn.TEXTSPLIT(U143,",",),0,2)+$A$18,$A$18)=0,$A$18,MOD(U$18+INDEX(_xlfn.TEXTSPLIT(U143,",",),0,2)+$A$18,$A$18))/5,0)))</f>
        <v>7</v>
      </c>
      <c r="V45" s="1" cm="1">
        <f t="array" aca="1" ref="V45" ca="1">(INDEX($K$2:$T$11,ROUNDUP(IF(MOD($A45+INDEX(_xlfn.TEXTSPLIT(V100,",",),0,1)+$A$18,$A$18)=0,$A$18,MOD($A45+INDEX(_xlfn.TEXTSPLIT(V100,",",),0,1)+$A$18,$A$18))/4,0),ROUNDUP(IF(MOD(V$18+INDEX(_xlfn.TEXTSPLIT(V100,",",),0,2)+$A$18,$A$18)=0,$A$18,MOD(V$18+INDEX(_xlfn.TEXTSPLIT(V100,",",),0,2)+$A$18,$A$18))/4,0)))+(INDEX($AD$2:$AK$9,ROUNDUP(IF(MOD($A45+INDEX(_xlfn.TEXTSPLIT(V143,",",),0,1)+$A$18,$A$18)=0,$A$18,MOD($A45+INDEX(_xlfn.TEXTSPLIT(V143,",",),0,1)+$A$18,$A$18))/5,0),ROUNDUP(IF(MOD(V$18+INDEX(_xlfn.TEXTSPLIT(V143,",",),0,2)+$A$18,$A$18)=0,$A$18,MOD(V$18+INDEX(_xlfn.TEXTSPLIT(V143,",",),0,2)+$A$18,$A$18))/5,0)))</f>
        <v>8</v>
      </c>
      <c r="W45" s="1" cm="1">
        <f t="array" aca="1" ref="W45" ca="1">(INDEX($K$2:$T$11,ROUNDUP(IF(MOD($A45+INDEX(_xlfn.TEXTSPLIT(W100,",",),0,1)+$A$18,$A$18)=0,$A$18,MOD($A45+INDEX(_xlfn.TEXTSPLIT(W100,",",),0,1)+$A$18,$A$18))/4,0),ROUNDUP(IF(MOD(W$18+INDEX(_xlfn.TEXTSPLIT(W100,",",),0,2)+$A$18,$A$18)=0,$A$18,MOD(W$18+INDEX(_xlfn.TEXTSPLIT(W100,",",),0,2)+$A$18,$A$18))/4,0)))+(INDEX($AD$2:$AK$9,ROUNDUP(IF(MOD($A45+INDEX(_xlfn.TEXTSPLIT(W143,",",),0,1)+$A$18,$A$18)=0,$A$18,MOD($A45+INDEX(_xlfn.TEXTSPLIT(W143,",",),0,1)+$A$18,$A$18))/5,0),ROUNDUP(IF(MOD(W$18+INDEX(_xlfn.TEXTSPLIT(W143,",",),0,2)+$A$18,$A$18)=0,$A$18,MOD(W$18+INDEX(_xlfn.TEXTSPLIT(W143,",",),0,2)+$A$18,$A$18))/5,0)))</f>
        <v>7</v>
      </c>
      <c r="X45" s="1" cm="1">
        <f t="array" aca="1" ref="X45" ca="1">(INDEX($K$2:$T$11,ROUNDUP(IF(MOD($A45+INDEX(_xlfn.TEXTSPLIT(X100,",",),0,1)+$A$18,$A$18)=0,$A$18,MOD($A45+INDEX(_xlfn.TEXTSPLIT(X100,",",),0,1)+$A$18,$A$18))/4,0),ROUNDUP(IF(MOD(X$18+INDEX(_xlfn.TEXTSPLIT(X100,",",),0,2)+$A$18,$A$18)=0,$A$18,MOD(X$18+INDEX(_xlfn.TEXTSPLIT(X100,",",),0,2)+$A$18,$A$18))/4,0)))+(INDEX($AD$2:$AK$9,ROUNDUP(IF(MOD($A45+INDEX(_xlfn.TEXTSPLIT(X143,",",),0,1)+$A$18,$A$18)=0,$A$18,MOD($A45+INDEX(_xlfn.TEXTSPLIT(X143,",",),0,1)+$A$18,$A$18))/5,0),ROUNDUP(IF(MOD(X$18+INDEX(_xlfn.TEXTSPLIT(X143,",",),0,2)+$A$18,$A$18)=0,$A$18,MOD(X$18+INDEX(_xlfn.TEXTSPLIT(X143,",",),0,2)+$A$18,$A$18))/5,0)))</f>
        <v>7</v>
      </c>
      <c r="Y45" s="1" cm="1">
        <f t="array" aca="1" ref="Y45" ca="1">(INDEX($K$2:$T$11,ROUNDUP(IF(MOD($A45+INDEX(_xlfn.TEXTSPLIT(Y100,",",),0,1)+$A$18,$A$18)=0,$A$18,MOD($A45+INDEX(_xlfn.TEXTSPLIT(Y100,",",),0,1)+$A$18,$A$18))/4,0),ROUNDUP(IF(MOD(Y$18+INDEX(_xlfn.TEXTSPLIT(Y100,",",),0,2)+$A$18,$A$18)=0,$A$18,MOD(Y$18+INDEX(_xlfn.TEXTSPLIT(Y100,",",),0,2)+$A$18,$A$18))/4,0)))+(INDEX($AD$2:$AK$9,ROUNDUP(IF(MOD($A45+INDEX(_xlfn.TEXTSPLIT(Y143,",",),0,1)+$A$18,$A$18)=0,$A$18,MOD($A45+INDEX(_xlfn.TEXTSPLIT(Y143,",",),0,1)+$A$18,$A$18))/5,0),ROUNDUP(IF(MOD(Y$18+INDEX(_xlfn.TEXTSPLIT(Y143,",",),0,2)+$A$18,$A$18)=0,$A$18,MOD(Y$18+INDEX(_xlfn.TEXTSPLIT(Y143,",",),0,2)+$A$18,$A$18))/5,0)))</f>
        <v>7</v>
      </c>
      <c r="Z45" s="1" cm="1">
        <f t="array" aca="1" ref="Z45" ca="1">(INDEX($K$2:$T$11,ROUNDUP(IF(MOD($A45+INDEX(_xlfn.TEXTSPLIT(Z100,",",),0,1)+$A$18,$A$18)=0,$A$18,MOD($A45+INDEX(_xlfn.TEXTSPLIT(Z100,",",),0,1)+$A$18,$A$18))/4,0),ROUNDUP(IF(MOD(Z$18+INDEX(_xlfn.TEXTSPLIT(Z100,",",),0,2)+$A$18,$A$18)=0,$A$18,MOD(Z$18+INDEX(_xlfn.TEXTSPLIT(Z100,",",),0,2)+$A$18,$A$18))/4,0)))+(INDEX($AD$2:$AK$9,ROUNDUP(IF(MOD($A45+INDEX(_xlfn.TEXTSPLIT(Z143,",",),0,1)+$A$18,$A$18)=0,$A$18,MOD($A45+INDEX(_xlfn.TEXTSPLIT(Z143,",",),0,1)+$A$18,$A$18))/5,0),ROUNDUP(IF(MOD(Z$18+INDEX(_xlfn.TEXTSPLIT(Z143,",",),0,2)+$A$18,$A$18)=0,$A$18,MOD(Z$18+INDEX(_xlfn.TEXTSPLIT(Z143,",",),0,2)+$A$18,$A$18))/5,0)))</f>
        <v>7</v>
      </c>
      <c r="AA45" s="1" cm="1">
        <f t="array" aca="1" ref="AA45" ca="1">(INDEX($K$2:$T$11,ROUNDUP(IF(MOD($A45+INDEX(_xlfn.TEXTSPLIT(AA100,",",),0,1)+$A$18,$A$18)=0,$A$18,MOD($A45+INDEX(_xlfn.TEXTSPLIT(AA100,",",),0,1)+$A$18,$A$18))/4,0),ROUNDUP(IF(MOD(AA$18+INDEX(_xlfn.TEXTSPLIT(AA100,",",),0,2)+$A$18,$A$18)=0,$A$18,MOD(AA$18+INDEX(_xlfn.TEXTSPLIT(AA100,",",),0,2)+$A$18,$A$18))/4,0)))+(INDEX($AD$2:$AK$9,ROUNDUP(IF(MOD($A45+INDEX(_xlfn.TEXTSPLIT(AA143,",",),0,1)+$A$18,$A$18)=0,$A$18,MOD($A45+INDEX(_xlfn.TEXTSPLIT(AA143,",",),0,1)+$A$18,$A$18))/5,0),ROUNDUP(IF(MOD(AA$18+INDEX(_xlfn.TEXTSPLIT(AA143,",",),0,2)+$A$18,$A$18)=0,$A$18,MOD(AA$18+INDEX(_xlfn.TEXTSPLIT(AA143,",",),0,2)+$A$18,$A$18))/5,0)))</f>
        <v>7</v>
      </c>
      <c r="AB45" s="1" cm="1">
        <f t="array" aca="1" ref="AB45" ca="1">(INDEX($K$2:$T$11,ROUNDUP(IF(MOD($A45+INDEX(_xlfn.TEXTSPLIT(AB100,",",),0,1)+$A$18,$A$18)=0,$A$18,MOD($A45+INDEX(_xlfn.TEXTSPLIT(AB100,",",),0,1)+$A$18,$A$18))/4,0),ROUNDUP(IF(MOD(AB$18+INDEX(_xlfn.TEXTSPLIT(AB100,",",),0,2)+$A$18,$A$18)=0,$A$18,MOD(AB$18+INDEX(_xlfn.TEXTSPLIT(AB100,",",),0,2)+$A$18,$A$18))/4,0)))+(INDEX($AD$2:$AK$9,ROUNDUP(IF(MOD($A45+INDEX(_xlfn.TEXTSPLIT(AB143,",",),0,1)+$A$18,$A$18)=0,$A$18,MOD($A45+INDEX(_xlfn.TEXTSPLIT(AB143,",",),0,1)+$A$18,$A$18))/5,0),ROUNDUP(IF(MOD(AB$18+INDEX(_xlfn.TEXTSPLIT(AB143,",",),0,2)+$A$18,$A$18)=0,$A$18,MOD(AB$18+INDEX(_xlfn.TEXTSPLIT(AB143,",",),0,2)+$A$18,$A$18))/5,0)))</f>
        <v>7</v>
      </c>
      <c r="AC45" s="1" cm="1">
        <f t="array" aca="1" ref="AC45" ca="1">(INDEX($K$2:$T$11,ROUNDUP(IF(MOD($A45+INDEX(_xlfn.TEXTSPLIT(AC100,",",),0,1)+$A$18,$A$18)=0,$A$18,MOD($A45+INDEX(_xlfn.TEXTSPLIT(AC100,",",),0,1)+$A$18,$A$18))/4,0),ROUNDUP(IF(MOD(AC$18+INDEX(_xlfn.TEXTSPLIT(AC100,",",),0,2)+$A$18,$A$18)=0,$A$18,MOD(AC$18+INDEX(_xlfn.TEXTSPLIT(AC100,",",),0,2)+$A$18,$A$18))/4,0)))+(INDEX($AD$2:$AK$9,ROUNDUP(IF(MOD($A45+INDEX(_xlfn.TEXTSPLIT(AC143,",",),0,1)+$A$18,$A$18)=0,$A$18,MOD($A45+INDEX(_xlfn.TEXTSPLIT(AC143,",",),0,1)+$A$18,$A$18))/5,0),ROUNDUP(IF(MOD(AC$18+INDEX(_xlfn.TEXTSPLIT(AC143,",",),0,2)+$A$18,$A$18)=0,$A$18,MOD(AC$18+INDEX(_xlfn.TEXTSPLIT(AC143,",",),0,2)+$A$18,$A$18))/5,0)))</f>
        <v>7</v>
      </c>
      <c r="AD45" s="1" cm="1">
        <f t="array" aca="1" ref="AD45" ca="1">(INDEX($K$2:$T$11,ROUNDUP(IF(MOD($A45+INDEX(_xlfn.TEXTSPLIT(AD100,",",),0,1)+$A$18,$A$18)=0,$A$18,MOD($A45+INDEX(_xlfn.TEXTSPLIT(AD100,",",),0,1)+$A$18,$A$18))/4,0),ROUNDUP(IF(MOD(AD$18+INDEX(_xlfn.TEXTSPLIT(AD100,",",),0,2)+$A$18,$A$18)=0,$A$18,MOD(AD$18+INDEX(_xlfn.TEXTSPLIT(AD100,",",),0,2)+$A$18,$A$18))/4,0)))+(INDEX($AD$2:$AK$9,ROUNDUP(IF(MOD($A45+INDEX(_xlfn.TEXTSPLIT(AD143,",",),0,1)+$A$18,$A$18)=0,$A$18,MOD($A45+INDEX(_xlfn.TEXTSPLIT(AD143,",",),0,1)+$A$18,$A$18))/5,0),ROUNDUP(IF(MOD(AD$18+INDEX(_xlfn.TEXTSPLIT(AD143,",",),0,2)+$A$18,$A$18)=0,$A$18,MOD(AD$18+INDEX(_xlfn.TEXTSPLIT(AD143,",",),0,2)+$A$18,$A$18))/5,0)))</f>
        <v>7</v>
      </c>
      <c r="AE45" s="1" cm="1">
        <f t="array" aca="1" ref="AE45" ca="1">(INDEX($K$2:$T$11,ROUNDUP(IF(MOD($A45+INDEX(_xlfn.TEXTSPLIT(AE100,",",),0,1)+$A$18,$A$18)=0,$A$18,MOD($A45+INDEX(_xlfn.TEXTSPLIT(AE100,",",),0,1)+$A$18,$A$18))/4,0),ROUNDUP(IF(MOD(AE$18+INDEX(_xlfn.TEXTSPLIT(AE100,",",),0,2)+$A$18,$A$18)=0,$A$18,MOD(AE$18+INDEX(_xlfn.TEXTSPLIT(AE100,",",),0,2)+$A$18,$A$18))/4,0)))+(INDEX($AD$2:$AK$9,ROUNDUP(IF(MOD($A45+INDEX(_xlfn.TEXTSPLIT(AE143,",",),0,1)+$A$18,$A$18)=0,$A$18,MOD($A45+INDEX(_xlfn.TEXTSPLIT(AE143,",",),0,1)+$A$18,$A$18))/5,0),ROUNDUP(IF(MOD(AE$18+INDEX(_xlfn.TEXTSPLIT(AE143,",",),0,2)+$A$18,$A$18)=0,$A$18,MOD(AE$18+INDEX(_xlfn.TEXTSPLIT(AE143,",",),0,2)+$A$18,$A$18))/5,0)))</f>
        <v>7</v>
      </c>
      <c r="AF45" s="1" cm="1">
        <f t="array" aca="1" ref="AF45" ca="1">(INDEX($K$2:$T$11,ROUNDUP(IF(MOD($A45+INDEX(_xlfn.TEXTSPLIT(AF100,",",),0,1)+$A$18,$A$18)=0,$A$18,MOD($A45+INDEX(_xlfn.TEXTSPLIT(AF100,",",),0,1)+$A$18,$A$18))/4,0),ROUNDUP(IF(MOD(AF$18+INDEX(_xlfn.TEXTSPLIT(AF100,",",),0,2)+$A$18,$A$18)=0,$A$18,MOD(AF$18+INDEX(_xlfn.TEXTSPLIT(AF100,",",),0,2)+$A$18,$A$18))/4,0)))+(INDEX($AD$2:$AK$9,ROUNDUP(IF(MOD($A45+INDEX(_xlfn.TEXTSPLIT(AF143,",",),0,1)+$A$18,$A$18)=0,$A$18,MOD($A45+INDEX(_xlfn.TEXTSPLIT(AF143,",",),0,1)+$A$18,$A$18))/5,0),ROUNDUP(IF(MOD(AF$18+INDEX(_xlfn.TEXTSPLIT(AF143,",",),0,2)+$A$18,$A$18)=0,$A$18,MOD(AF$18+INDEX(_xlfn.TEXTSPLIT(AF143,",",),0,2)+$A$18,$A$18))/5,0)))</f>
        <v>8</v>
      </c>
      <c r="AG45" s="1" cm="1">
        <f t="array" aca="1" ref="AG45" ca="1">(INDEX($K$2:$T$11,ROUNDUP(IF(MOD($A45+INDEX(_xlfn.TEXTSPLIT(AG100,",",),0,1)+$A$18,$A$18)=0,$A$18,MOD($A45+INDEX(_xlfn.TEXTSPLIT(AG100,",",),0,1)+$A$18,$A$18))/4,0),ROUNDUP(IF(MOD(AG$18+INDEX(_xlfn.TEXTSPLIT(AG100,",",),0,2)+$A$18,$A$18)=0,$A$18,MOD(AG$18+INDEX(_xlfn.TEXTSPLIT(AG100,",",),0,2)+$A$18,$A$18))/4,0)))+(INDEX($AD$2:$AK$9,ROUNDUP(IF(MOD($A45+INDEX(_xlfn.TEXTSPLIT(AG143,",",),0,1)+$A$18,$A$18)=0,$A$18,MOD($A45+INDEX(_xlfn.TEXTSPLIT(AG143,",",),0,1)+$A$18,$A$18))/5,0),ROUNDUP(IF(MOD(AG$18+INDEX(_xlfn.TEXTSPLIT(AG143,",",),0,2)+$A$18,$A$18)=0,$A$18,MOD(AG$18+INDEX(_xlfn.TEXTSPLIT(AG143,",",),0,2)+$A$18,$A$18))/5,0)))</f>
        <v>8</v>
      </c>
      <c r="AH45" s="1" cm="1">
        <f t="array" aca="1" ref="AH45" ca="1">(INDEX($K$2:$T$11,ROUNDUP(IF(MOD($A45+INDEX(_xlfn.TEXTSPLIT(AH100,",",),0,1)+$A$18,$A$18)=0,$A$18,MOD($A45+INDEX(_xlfn.TEXTSPLIT(AH100,",",),0,1)+$A$18,$A$18))/4,0),ROUNDUP(IF(MOD(AH$18+INDEX(_xlfn.TEXTSPLIT(AH100,",",),0,2)+$A$18,$A$18)=0,$A$18,MOD(AH$18+INDEX(_xlfn.TEXTSPLIT(AH100,",",),0,2)+$A$18,$A$18))/4,0)))+(INDEX($AD$2:$AK$9,ROUNDUP(IF(MOD($A45+INDEX(_xlfn.TEXTSPLIT(AH143,",",),0,1)+$A$18,$A$18)=0,$A$18,MOD($A45+INDEX(_xlfn.TEXTSPLIT(AH143,",",),0,1)+$A$18,$A$18))/5,0),ROUNDUP(IF(MOD(AH$18+INDEX(_xlfn.TEXTSPLIT(AH143,",",),0,2)+$A$18,$A$18)=0,$A$18,MOD(AH$18+INDEX(_xlfn.TEXTSPLIT(AH143,",",),0,2)+$A$18,$A$18))/5,0)))</f>
        <v>8</v>
      </c>
      <c r="AI45" s="1" cm="1">
        <f t="array" aca="1" ref="AI45" ca="1">(INDEX($K$2:$T$11,ROUNDUP(IF(MOD($A45+INDEX(_xlfn.TEXTSPLIT(AI100,",",),0,1)+$A$18,$A$18)=0,$A$18,MOD($A45+INDEX(_xlfn.TEXTSPLIT(AI100,",",),0,1)+$A$18,$A$18))/4,0),ROUNDUP(IF(MOD(AI$18+INDEX(_xlfn.TEXTSPLIT(AI100,",",),0,2)+$A$18,$A$18)=0,$A$18,MOD(AI$18+INDEX(_xlfn.TEXTSPLIT(AI100,",",),0,2)+$A$18,$A$18))/4,0)))+(INDEX($AD$2:$AK$9,ROUNDUP(IF(MOD($A45+INDEX(_xlfn.TEXTSPLIT(AI143,",",),0,1)+$A$18,$A$18)=0,$A$18,MOD($A45+INDEX(_xlfn.TEXTSPLIT(AI143,",",),0,1)+$A$18,$A$18))/5,0),ROUNDUP(IF(MOD(AI$18+INDEX(_xlfn.TEXTSPLIT(AI143,",",),0,2)+$A$18,$A$18)=0,$A$18,MOD(AI$18+INDEX(_xlfn.TEXTSPLIT(AI143,",",),0,2)+$A$18,$A$18))/5,0)))</f>
        <v>8</v>
      </c>
      <c r="AJ45" s="1" cm="1">
        <f t="array" aca="1" ref="AJ45" ca="1">(INDEX($K$2:$T$11,ROUNDUP(IF(MOD($A45+INDEX(_xlfn.TEXTSPLIT(AJ100,",",),0,1)+$A$18,$A$18)=0,$A$18,MOD($A45+INDEX(_xlfn.TEXTSPLIT(AJ100,",",),0,1)+$A$18,$A$18))/4,0),ROUNDUP(IF(MOD(AJ$18+INDEX(_xlfn.TEXTSPLIT(AJ100,",",),0,2)+$A$18,$A$18)=0,$A$18,MOD(AJ$18+INDEX(_xlfn.TEXTSPLIT(AJ100,",",),0,2)+$A$18,$A$18))/4,0)))+(INDEX($AD$2:$AK$9,ROUNDUP(IF(MOD($A45+INDEX(_xlfn.TEXTSPLIT(AJ143,",",),0,1)+$A$18,$A$18)=0,$A$18,MOD($A45+INDEX(_xlfn.TEXTSPLIT(AJ143,",",),0,1)+$A$18,$A$18))/5,0),ROUNDUP(IF(MOD(AJ$18+INDEX(_xlfn.TEXTSPLIT(AJ143,",",),0,2)+$A$18,$A$18)=0,$A$18,MOD(AJ$18+INDEX(_xlfn.TEXTSPLIT(AJ143,",",),0,2)+$A$18,$A$18))/5,0)))</f>
        <v>8</v>
      </c>
      <c r="AK45" s="1" cm="1">
        <f t="array" aca="1" ref="AK45" ca="1">(INDEX($K$2:$T$11,ROUNDUP(IF(MOD($A45+INDEX(_xlfn.TEXTSPLIT(AK100,",",),0,1)+$A$18,$A$18)=0,$A$18,MOD($A45+INDEX(_xlfn.TEXTSPLIT(AK100,",",),0,1)+$A$18,$A$18))/4,0),ROUNDUP(IF(MOD(AK$18+INDEX(_xlfn.TEXTSPLIT(AK100,",",),0,2)+$A$18,$A$18)=0,$A$18,MOD(AK$18+INDEX(_xlfn.TEXTSPLIT(AK100,",",),0,2)+$A$18,$A$18))/4,0)))+(INDEX($AD$2:$AK$9,ROUNDUP(IF(MOD($A45+INDEX(_xlfn.TEXTSPLIT(AK143,",",),0,1)+$A$18,$A$18)=0,$A$18,MOD($A45+INDEX(_xlfn.TEXTSPLIT(AK143,",",),0,1)+$A$18,$A$18))/5,0),ROUNDUP(IF(MOD(AK$18+INDEX(_xlfn.TEXTSPLIT(AK143,",",),0,2)+$A$18,$A$18)=0,$A$18,MOD(AK$18+INDEX(_xlfn.TEXTSPLIT(AK143,",",),0,2)+$A$18,$A$18))/5,0)))</f>
        <v>8</v>
      </c>
      <c r="AL45" s="1" cm="1">
        <f t="array" aca="1" ref="AL45" ca="1">(INDEX($K$2:$T$11,ROUNDUP(IF(MOD($A45+INDEX(_xlfn.TEXTSPLIT(AL100,",",),0,1)+$A$18,$A$18)=0,$A$18,MOD($A45+INDEX(_xlfn.TEXTSPLIT(AL100,",",),0,1)+$A$18,$A$18))/4,0),ROUNDUP(IF(MOD(AL$18+INDEX(_xlfn.TEXTSPLIT(AL100,",",),0,2)+$A$18,$A$18)=0,$A$18,MOD(AL$18+INDEX(_xlfn.TEXTSPLIT(AL100,",",),0,2)+$A$18,$A$18))/4,0)))+(INDEX($AD$2:$AK$9,ROUNDUP(IF(MOD($A45+INDEX(_xlfn.TEXTSPLIT(AL143,",",),0,1)+$A$18,$A$18)=0,$A$18,MOD($A45+INDEX(_xlfn.TEXTSPLIT(AL143,",",),0,1)+$A$18,$A$18))/5,0),ROUNDUP(IF(MOD(AL$18+INDEX(_xlfn.TEXTSPLIT(AL143,",",),0,2)+$A$18,$A$18)=0,$A$18,MOD(AL$18+INDEX(_xlfn.TEXTSPLIT(AL143,",",),0,2)+$A$18,$A$18))/5,0)))</f>
        <v>7</v>
      </c>
      <c r="AM45" s="1" cm="1">
        <f t="array" aca="1" ref="AM45" ca="1">(INDEX($K$2:$T$11,ROUNDUP(IF(MOD($A45+INDEX(_xlfn.TEXTSPLIT(AM100,",",),0,1)+$A$18,$A$18)=0,$A$18,MOD($A45+INDEX(_xlfn.TEXTSPLIT(AM100,",",),0,1)+$A$18,$A$18))/4,0),ROUNDUP(IF(MOD(AM$18+INDEX(_xlfn.TEXTSPLIT(AM100,",",),0,2)+$A$18,$A$18)=0,$A$18,MOD(AM$18+INDEX(_xlfn.TEXTSPLIT(AM100,",",),0,2)+$A$18,$A$18))/4,0)))+(INDEX($AD$2:$AK$9,ROUNDUP(IF(MOD($A45+INDEX(_xlfn.TEXTSPLIT(AM143,",",),0,1)+$A$18,$A$18)=0,$A$18,MOD($A45+INDEX(_xlfn.TEXTSPLIT(AM143,",",),0,1)+$A$18,$A$18))/5,0),ROUNDUP(IF(MOD(AM$18+INDEX(_xlfn.TEXTSPLIT(AM143,",",),0,2)+$A$18,$A$18)=0,$A$18,MOD(AM$18+INDEX(_xlfn.TEXTSPLIT(AM143,",",),0,2)+$A$18,$A$18))/5,0)))</f>
        <v>7</v>
      </c>
      <c r="AN45" s="1" cm="1">
        <f t="array" aca="1" ref="AN45" ca="1">(INDEX($K$2:$T$11,ROUNDUP(IF(MOD($A45+INDEX(_xlfn.TEXTSPLIT(AN100,",",),0,1)+$A$18,$A$18)=0,$A$18,MOD($A45+INDEX(_xlfn.TEXTSPLIT(AN100,",",),0,1)+$A$18,$A$18))/4,0),ROUNDUP(IF(MOD(AN$18+INDEX(_xlfn.TEXTSPLIT(AN100,",",),0,2)+$A$18,$A$18)=0,$A$18,MOD(AN$18+INDEX(_xlfn.TEXTSPLIT(AN100,",",),0,2)+$A$18,$A$18))/4,0)))+(INDEX($AD$2:$AK$9,ROUNDUP(IF(MOD($A45+INDEX(_xlfn.TEXTSPLIT(AN143,",",),0,1)+$A$18,$A$18)=0,$A$18,MOD($A45+INDEX(_xlfn.TEXTSPLIT(AN143,",",),0,1)+$A$18,$A$18))/5,0),ROUNDUP(IF(MOD(AN$18+INDEX(_xlfn.TEXTSPLIT(AN143,",",),0,2)+$A$18,$A$18)=0,$A$18,MOD(AN$18+INDEX(_xlfn.TEXTSPLIT(AN143,",",),0,2)+$A$18,$A$18))/5,0)))</f>
        <v>7</v>
      </c>
      <c r="AO45" s="1" cm="1">
        <f t="array" aca="1" ref="AO45" ca="1">(INDEX($K$2:$T$11,ROUNDUP(IF(MOD($A45+INDEX(_xlfn.TEXTSPLIT(AO100,",",),0,1)+$A$18,$A$18)=0,$A$18,MOD($A45+INDEX(_xlfn.TEXTSPLIT(AO100,",",),0,1)+$A$18,$A$18))/4,0),ROUNDUP(IF(MOD(AO$18+INDEX(_xlfn.TEXTSPLIT(AO100,",",),0,2)+$A$18,$A$18)=0,$A$18,MOD(AO$18+INDEX(_xlfn.TEXTSPLIT(AO100,",",),0,2)+$A$18,$A$18))/4,0)))+(INDEX($AD$2:$AK$9,ROUNDUP(IF(MOD($A45+INDEX(_xlfn.TEXTSPLIT(AO143,",",),0,1)+$A$18,$A$18)=0,$A$18,MOD($A45+INDEX(_xlfn.TEXTSPLIT(AO143,",",),0,1)+$A$18,$A$18))/5,0),ROUNDUP(IF(MOD(AO$18+INDEX(_xlfn.TEXTSPLIT(AO143,",",),0,2)+$A$18,$A$18)=0,$A$18,MOD(AO$18+INDEX(_xlfn.TEXTSPLIT(AO143,",",),0,2)+$A$18,$A$18))/5,0)))</f>
        <v>7</v>
      </c>
    </row>
    <row r="46" spans="1:41" ht="12.75">
      <c r="A46" s="1">
        <v>28</v>
      </c>
      <c r="B46" s="1" cm="1">
        <f t="array" aca="1" ref="B46" ca="1">(INDEX($K$2:$T$11,ROUNDUP(IF(MOD($A46+INDEX(_xlfn.TEXTSPLIT(B101,",",),0,1)+$A$18,$A$18)=0,$A$18,MOD($A46+INDEX(_xlfn.TEXTSPLIT(B101,",",),0,1)+$A$18,$A$18))/4,0),ROUNDUP(IF(MOD(B$18+INDEX(_xlfn.TEXTSPLIT(B101,",",),0,2)+$A$18,$A$18)=0,$A$18,MOD(B$18+INDEX(_xlfn.TEXTSPLIT(B101,",",),0,2)+$A$18,$A$18))/4,0)))+(INDEX($AD$2:$AK$9,ROUNDUP(IF(MOD($A46+INDEX(_xlfn.TEXTSPLIT(B144,",",),0,1)+$A$18,$A$18)=0,$A$18,MOD($A46+INDEX(_xlfn.TEXTSPLIT(B144,",",),0,1)+$A$18,$A$18))/5,0),ROUNDUP(IF(MOD(B$18+INDEX(_xlfn.TEXTSPLIT(B144,",",),0,2)+$A$18,$A$18)=0,$A$18,MOD(B$18+INDEX(_xlfn.TEXTSPLIT(B144,",",),0,2)+$A$18,$A$18))/5,0)))</f>
        <v>2</v>
      </c>
      <c r="C46" s="1" cm="1">
        <f t="array" aca="1" ref="C46" ca="1">(INDEX($K$2:$T$11,ROUNDUP(IF(MOD($A46+INDEX(_xlfn.TEXTSPLIT(C101,",",),0,1)+$A$18,$A$18)=0,$A$18,MOD($A46+INDEX(_xlfn.TEXTSPLIT(C101,",",),0,1)+$A$18,$A$18))/4,0),ROUNDUP(IF(MOD(C$18+INDEX(_xlfn.TEXTSPLIT(C101,",",),0,2)+$A$18,$A$18)=0,$A$18,MOD(C$18+INDEX(_xlfn.TEXTSPLIT(C101,",",),0,2)+$A$18,$A$18))/4,0)))+(INDEX($AD$2:$AK$9,ROUNDUP(IF(MOD($A46+INDEX(_xlfn.TEXTSPLIT(C144,",",),0,1)+$A$18,$A$18)=0,$A$18,MOD($A46+INDEX(_xlfn.TEXTSPLIT(C144,",",),0,1)+$A$18,$A$18))/5,0),ROUNDUP(IF(MOD(C$18+INDEX(_xlfn.TEXTSPLIT(C144,",",),0,2)+$A$18,$A$18)=0,$A$18,MOD(C$18+INDEX(_xlfn.TEXTSPLIT(C144,",",),0,2)+$A$18,$A$18))/5,0)))</f>
        <v>6</v>
      </c>
      <c r="D46" s="1" cm="1">
        <f t="array" aca="1" ref="D46" ca="1">(INDEX($K$2:$T$11,ROUNDUP(IF(MOD($A46+INDEX(_xlfn.TEXTSPLIT(D101,",",),0,1)+$A$18,$A$18)=0,$A$18,MOD($A46+INDEX(_xlfn.TEXTSPLIT(D101,",",),0,1)+$A$18,$A$18))/4,0),ROUNDUP(IF(MOD(D$18+INDEX(_xlfn.TEXTSPLIT(D101,",",),0,2)+$A$18,$A$18)=0,$A$18,MOD(D$18+INDEX(_xlfn.TEXTSPLIT(D101,",",),0,2)+$A$18,$A$18))/4,0)))+(INDEX($AD$2:$AK$9,ROUNDUP(IF(MOD($A46+INDEX(_xlfn.TEXTSPLIT(D144,",",),0,1)+$A$18,$A$18)=0,$A$18,MOD($A46+INDEX(_xlfn.TEXTSPLIT(D144,",",),0,1)+$A$18,$A$18))/5,0),ROUNDUP(IF(MOD(D$18+INDEX(_xlfn.TEXTSPLIT(D144,",",),0,2)+$A$18,$A$18)=0,$A$18,MOD(D$18+INDEX(_xlfn.TEXTSPLIT(D144,",",),0,2)+$A$18,$A$18))/5,0)))</f>
        <v>6</v>
      </c>
      <c r="E46" s="1" cm="1">
        <f t="array" aca="1" ref="E46" ca="1">(INDEX($K$2:$T$11,ROUNDUP(IF(MOD($A46+INDEX(_xlfn.TEXTSPLIT(E101,",",),0,1)+$A$18,$A$18)=0,$A$18,MOD($A46+INDEX(_xlfn.TEXTSPLIT(E101,",",),0,1)+$A$18,$A$18))/4,0),ROUNDUP(IF(MOD(E$18+INDEX(_xlfn.TEXTSPLIT(E101,",",),0,2)+$A$18,$A$18)=0,$A$18,MOD(E$18+INDEX(_xlfn.TEXTSPLIT(E101,",",),0,2)+$A$18,$A$18))/4,0)))+(INDEX($AD$2:$AK$9,ROUNDUP(IF(MOD($A46+INDEX(_xlfn.TEXTSPLIT(E144,",",),0,1)+$A$18,$A$18)=0,$A$18,MOD($A46+INDEX(_xlfn.TEXTSPLIT(E144,",",),0,1)+$A$18,$A$18))/5,0),ROUNDUP(IF(MOD(E$18+INDEX(_xlfn.TEXTSPLIT(E144,",",),0,2)+$A$18,$A$18)=0,$A$18,MOD(E$18+INDEX(_xlfn.TEXTSPLIT(E144,",",),0,2)+$A$18,$A$18))/5,0)))</f>
        <v>6</v>
      </c>
      <c r="F46" s="1" cm="1">
        <f t="array" aca="1" ref="F46" ca="1">(INDEX($K$2:$T$11,ROUNDUP(IF(MOD($A46+INDEX(_xlfn.TEXTSPLIT(F101,",",),0,1)+$A$18,$A$18)=0,$A$18,MOD($A46+INDEX(_xlfn.TEXTSPLIT(F101,",",),0,1)+$A$18,$A$18))/4,0),ROUNDUP(IF(MOD(F$18+INDEX(_xlfn.TEXTSPLIT(F101,",",),0,2)+$A$18,$A$18)=0,$A$18,MOD(F$18+INDEX(_xlfn.TEXTSPLIT(F101,",",),0,2)+$A$18,$A$18))/4,0)))+(INDEX($AD$2:$AK$9,ROUNDUP(IF(MOD($A46+INDEX(_xlfn.TEXTSPLIT(F144,",",),0,1)+$A$18,$A$18)=0,$A$18,MOD($A46+INDEX(_xlfn.TEXTSPLIT(F144,",",),0,1)+$A$18,$A$18))/5,0),ROUNDUP(IF(MOD(F$18+INDEX(_xlfn.TEXTSPLIT(F144,",",),0,2)+$A$18,$A$18)=0,$A$18,MOD(F$18+INDEX(_xlfn.TEXTSPLIT(F144,",",),0,2)+$A$18,$A$18))/5,0)))</f>
        <v>2</v>
      </c>
      <c r="G46" s="1" cm="1">
        <f t="array" aca="1" ref="G46" ca="1">(INDEX($K$2:$T$11,ROUNDUP(IF(MOD($A46+INDEX(_xlfn.TEXTSPLIT(G101,",",),0,1)+$A$18,$A$18)=0,$A$18,MOD($A46+INDEX(_xlfn.TEXTSPLIT(G101,",",),0,1)+$A$18,$A$18))/4,0),ROUNDUP(IF(MOD(G$18+INDEX(_xlfn.TEXTSPLIT(G101,",",),0,2)+$A$18,$A$18)=0,$A$18,MOD(G$18+INDEX(_xlfn.TEXTSPLIT(G101,",",),0,2)+$A$18,$A$18))/4,0)))+(INDEX($AD$2:$AK$9,ROUNDUP(IF(MOD($A46+INDEX(_xlfn.TEXTSPLIT(G144,",",),0,1)+$A$18,$A$18)=0,$A$18,MOD($A46+INDEX(_xlfn.TEXTSPLIT(G144,",",),0,1)+$A$18,$A$18))/5,0),ROUNDUP(IF(MOD(G$18+INDEX(_xlfn.TEXTSPLIT(G144,",",),0,2)+$A$18,$A$18)=0,$A$18,MOD(G$18+INDEX(_xlfn.TEXTSPLIT(G144,",",),0,2)+$A$18,$A$18))/5,0)))</f>
        <v>2</v>
      </c>
      <c r="H46" s="1" cm="1">
        <f t="array" aca="1" ref="H46" ca="1">(INDEX($K$2:$T$11,ROUNDUP(IF(MOD($A46+INDEX(_xlfn.TEXTSPLIT(H101,",",),0,1)+$A$18,$A$18)=0,$A$18,MOD($A46+INDEX(_xlfn.TEXTSPLIT(H101,",",),0,1)+$A$18,$A$18))/4,0),ROUNDUP(IF(MOD(H$18+INDEX(_xlfn.TEXTSPLIT(H101,",",),0,2)+$A$18,$A$18)=0,$A$18,MOD(H$18+INDEX(_xlfn.TEXTSPLIT(H101,",",),0,2)+$A$18,$A$18))/4,0)))+(INDEX($AD$2:$AK$9,ROUNDUP(IF(MOD($A46+INDEX(_xlfn.TEXTSPLIT(H144,",",),0,1)+$A$18,$A$18)=0,$A$18,MOD($A46+INDEX(_xlfn.TEXTSPLIT(H144,",",),0,1)+$A$18,$A$18))/5,0),ROUNDUP(IF(MOD(H$18+INDEX(_xlfn.TEXTSPLIT(H144,",",),0,2)+$A$18,$A$18)=0,$A$18,MOD(H$18+INDEX(_xlfn.TEXTSPLIT(H144,",",),0,2)+$A$18,$A$18))/5,0)))</f>
        <v>3</v>
      </c>
      <c r="I46" s="1" cm="1">
        <f t="array" aca="1" ref="I46" ca="1">(INDEX($K$2:$T$11,ROUNDUP(IF(MOD($A46+INDEX(_xlfn.TEXTSPLIT(I101,",",),0,1)+$A$18,$A$18)=0,$A$18,MOD($A46+INDEX(_xlfn.TEXTSPLIT(I101,",",),0,1)+$A$18,$A$18))/4,0),ROUNDUP(IF(MOD(I$18+INDEX(_xlfn.TEXTSPLIT(I101,",",),0,2)+$A$18,$A$18)=0,$A$18,MOD(I$18+INDEX(_xlfn.TEXTSPLIT(I101,",",),0,2)+$A$18,$A$18))/4,0)))+(INDEX($AD$2:$AK$9,ROUNDUP(IF(MOD($A46+INDEX(_xlfn.TEXTSPLIT(I144,",",),0,1)+$A$18,$A$18)=0,$A$18,MOD($A46+INDEX(_xlfn.TEXTSPLIT(I144,",",),0,1)+$A$18,$A$18))/5,0),ROUNDUP(IF(MOD(I$18+INDEX(_xlfn.TEXTSPLIT(I144,",",),0,2)+$A$18,$A$18)=0,$A$18,MOD(I$18+INDEX(_xlfn.TEXTSPLIT(I144,",",),0,2)+$A$18,$A$18))/5,0)))</f>
        <v>3</v>
      </c>
      <c r="J46" s="1" cm="1">
        <f t="array" aca="1" ref="J46" ca="1">(INDEX($K$2:$T$11,ROUNDUP(IF(MOD($A46+INDEX(_xlfn.TEXTSPLIT(J101,",",),0,1)+$A$18,$A$18)=0,$A$18,MOD($A46+INDEX(_xlfn.TEXTSPLIT(J101,",",),0,1)+$A$18,$A$18))/4,0),ROUNDUP(IF(MOD(J$18+INDEX(_xlfn.TEXTSPLIT(J101,",",),0,2)+$A$18,$A$18)=0,$A$18,MOD(J$18+INDEX(_xlfn.TEXTSPLIT(J101,",",),0,2)+$A$18,$A$18))/4,0)))+(INDEX($AD$2:$AK$9,ROUNDUP(IF(MOD($A46+INDEX(_xlfn.TEXTSPLIT(J144,",",),0,1)+$A$18,$A$18)=0,$A$18,MOD($A46+INDEX(_xlfn.TEXTSPLIT(J144,",",),0,1)+$A$18,$A$18))/5,0),ROUNDUP(IF(MOD(J$18+INDEX(_xlfn.TEXTSPLIT(J144,",",),0,2)+$A$18,$A$18)=0,$A$18,MOD(J$18+INDEX(_xlfn.TEXTSPLIT(J144,",",),0,2)+$A$18,$A$18))/5,0)))</f>
        <v>7</v>
      </c>
      <c r="K46" s="1" cm="1">
        <f t="array" aca="1" ref="K46" ca="1">(INDEX($K$2:$T$11,ROUNDUP(IF(MOD($A46+INDEX(_xlfn.TEXTSPLIT(K101,",",),0,1)+$A$18,$A$18)=0,$A$18,MOD($A46+INDEX(_xlfn.TEXTSPLIT(K101,",",),0,1)+$A$18,$A$18))/4,0),ROUNDUP(IF(MOD(K$18+INDEX(_xlfn.TEXTSPLIT(K101,",",),0,2)+$A$18,$A$18)=0,$A$18,MOD(K$18+INDEX(_xlfn.TEXTSPLIT(K101,",",),0,2)+$A$18,$A$18))/4,0)))+(INDEX($AD$2:$AK$9,ROUNDUP(IF(MOD($A46+INDEX(_xlfn.TEXTSPLIT(K144,",",),0,1)+$A$18,$A$18)=0,$A$18,MOD($A46+INDEX(_xlfn.TEXTSPLIT(K144,",",),0,1)+$A$18,$A$18))/5,0),ROUNDUP(IF(MOD(K$18+INDEX(_xlfn.TEXTSPLIT(K144,",",),0,2)+$A$18,$A$18)=0,$A$18,MOD(K$18+INDEX(_xlfn.TEXTSPLIT(K144,",",),0,2)+$A$18,$A$18))/5,0)))</f>
        <v>7</v>
      </c>
      <c r="L46" s="1" cm="1">
        <f t="array" aca="1" ref="L46" ca="1">(INDEX($K$2:$T$11,ROUNDUP(IF(MOD($A46+INDEX(_xlfn.TEXTSPLIT(L101,",",),0,1)+$A$18,$A$18)=0,$A$18,MOD($A46+INDEX(_xlfn.TEXTSPLIT(L101,",",),0,1)+$A$18,$A$18))/4,0),ROUNDUP(IF(MOD(L$18+INDEX(_xlfn.TEXTSPLIT(L101,",",),0,2)+$A$18,$A$18)=0,$A$18,MOD(L$18+INDEX(_xlfn.TEXTSPLIT(L101,",",),0,2)+$A$18,$A$18))/4,0)))+(INDEX($AD$2:$AK$9,ROUNDUP(IF(MOD($A46+INDEX(_xlfn.TEXTSPLIT(L144,",",),0,1)+$A$18,$A$18)=0,$A$18,MOD($A46+INDEX(_xlfn.TEXTSPLIT(L144,",",),0,1)+$A$18,$A$18))/5,0),ROUNDUP(IF(MOD(L$18+INDEX(_xlfn.TEXTSPLIT(L144,",",),0,2)+$A$18,$A$18)=0,$A$18,MOD(L$18+INDEX(_xlfn.TEXTSPLIT(L144,",",),0,2)+$A$18,$A$18))/5,0)))</f>
        <v>7</v>
      </c>
      <c r="M46" s="1" cm="1">
        <f t="array" aca="1" ref="M46" ca="1">(INDEX($K$2:$T$11,ROUNDUP(IF(MOD($A46+INDEX(_xlfn.TEXTSPLIT(M101,",",),0,1)+$A$18,$A$18)=0,$A$18,MOD($A46+INDEX(_xlfn.TEXTSPLIT(M101,",",),0,1)+$A$18,$A$18))/4,0),ROUNDUP(IF(MOD(M$18+INDEX(_xlfn.TEXTSPLIT(M101,",",),0,2)+$A$18,$A$18)=0,$A$18,MOD(M$18+INDEX(_xlfn.TEXTSPLIT(M101,",",),0,2)+$A$18,$A$18))/4,0)))+(INDEX($AD$2:$AK$9,ROUNDUP(IF(MOD($A46+INDEX(_xlfn.TEXTSPLIT(M144,",",),0,1)+$A$18,$A$18)=0,$A$18,MOD($A46+INDEX(_xlfn.TEXTSPLIT(M144,",",),0,1)+$A$18,$A$18))/5,0),ROUNDUP(IF(MOD(M$18+INDEX(_xlfn.TEXTSPLIT(M144,",",),0,2)+$A$18,$A$18)=0,$A$18,MOD(M$18+INDEX(_xlfn.TEXTSPLIT(M144,",",),0,2)+$A$18,$A$18))/5,0)))</f>
        <v>6</v>
      </c>
      <c r="N46" s="1" cm="1">
        <f t="array" aca="1" ref="N46" ca="1">(INDEX($K$2:$T$11,ROUNDUP(IF(MOD($A46+INDEX(_xlfn.TEXTSPLIT(N101,",",),0,1)+$A$18,$A$18)=0,$A$18,MOD($A46+INDEX(_xlfn.TEXTSPLIT(N101,",",),0,1)+$A$18,$A$18))/4,0),ROUNDUP(IF(MOD(N$18+INDEX(_xlfn.TEXTSPLIT(N101,",",),0,2)+$A$18,$A$18)=0,$A$18,MOD(N$18+INDEX(_xlfn.TEXTSPLIT(N101,",",),0,2)+$A$18,$A$18))/4,0)))+(INDEX($AD$2:$AK$9,ROUNDUP(IF(MOD($A46+INDEX(_xlfn.TEXTSPLIT(N144,",",),0,1)+$A$18,$A$18)=0,$A$18,MOD($A46+INDEX(_xlfn.TEXTSPLIT(N144,",",),0,1)+$A$18,$A$18))/5,0),ROUNDUP(IF(MOD(N$18+INDEX(_xlfn.TEXTSPLIT(N144,",",),0,2)+$A$18,$A$18)=0,$A$18,MOD(N$18+INDEX(_xlfn.TEXTSPLIT(N144,",",),0,2)+$A$18,$A$18))/5,0)))</f>
        <v>6</v>
      </c>
      <c r="O46" s="1" cm="1">
        <f t="array" aca="1" ref="O46" ca="1">(INDEX($K$2:$T$11,ROUNDUP(IF(MOD($A46+INDEX(_xlfn.TEXTSPLIT(O101,",",),0,1)+$A$18,$A$18)=0,$A$18,MOD($A46+INDEX(_xlfn.TEXTSPLIT(O101,",",),0,1)+$A$18,$A$18))/4,0),ROUNDUP(IF(MOD(O$18+INDEX(_xlfn.TEXTSPLIT(O101,",",),0,2)+$A$18,$A$18)=0,$A$18,MOD(O$18+INDEX(_xlfn.TEXTSPLIT(O101,",",),0,2)+$A$18,$A$18))/4,0)))+(INDEX($AD$2:$AK$9,ROUNDUP(IF(MOD($A46+INDEX(_xlfn.TEXTSPLIT(O144,",",),0,1)+$A$18,$A$18)=0,$A$18,MOD($A46+INDEX(_xlfn.TEXTSPLIT(O144,",",),0,1)+$A$18,$A$18))/5,0),ROUNDUP(IF(MOD(O$18+INDEX(_xlfn.TEXTSPLIT(O144,",",),0,2)+$A$18,$A$18)=0,$A$18,MOD(O$18+INDEX(_xlfn.TEXTSPLIT(O144,",",),0,2)+$A$18,$A$18))/5,0)))</f>
        <v>6</v>
      </c>
      <c r="P46" s="1" cm="1">
        <f t="array" aca="1" ref="P46" ca="1">(INDEX($K$2:$T$11,ROUNDUP(IF(MOD($A46+INDEX(_xlfn.TEXTSPLIT(P101,",",),0,1)+$A$18,$A$18)=0,$A$18,MOD($A46+INDEX(_xlfn.TEXTSPLIT(P101,",",),0,1)+$A$18,$A$18))/4,0),ROUNDUP(IF(MOD(P$18+INDEX(_xlfn.TEXTSPLIT(P101,",",),0,2)+$A$18,$A$18)=0,$A$18,MOD(P$18+INDEX(_xlfn.TEXTSPLIT(P101,",",),0,2)+$A$18,$A$18))/4,0)))+(INDEX($AD$2:$AK$9,ROUNDUP(IF(MOD($A46+INDEX(_xlfn.TEXTSPLIT(P144,",",),0,1)+$A$18,$A$18)=0,$A$18,MOD($A46+INDEX(_xlfn.TEXTSPLIT(P144,",",),0,1)+$A$18,$A$18))/5,0),ROUNDUP(IF(MOD(P$18+INDEX(_xlfn.TEXTSPLIT(P144,",",),0,2)+$A$18,$A$18)=0,$A$18,MOD(P$18+INDEX(_xlfn.TEXTSPLIT(P144,",",),0,2)+$A$18,$A$18))/5,0)))</f>
        <v>6</v>
      </c>
      <c r="Q46" s="1" cm="1">
        <f t="array" aca="1" ref="Q46" ca="1">(INDEX($K$2:$T$11,ROUNDUP(IF(MOD($A46+INDEX(_xlfn.TEXTSPLIT(Q101,",",),0,1)+$A$18,$A$18)=0,$A$18,MOD($A46+INDEX(_xlfn.TEXTSPLIT(Q101,",",),0,1)+$A$18,$A$18))/4,0),ROUNDUP(IF(MOD(Q$18+INDEX(_xlfn.TEXTSPLIT(Q101,",",),0,2)+$A$18,$A$18)=0,$A$18,MOD(Q$18+INDEX(_xlfn.TEXTSPLIT(Q101,",",),0,2)+$A$18,$A$18))/4,0)))+(INDEX($AD$2:$AK$9,ROUNDUP(IF(MOD($A46+INDEX(_xlfn.TEXTSPLIT(Q144,",",),0,1)+$A$18,$A$18)=0,$A$18,MOD($A46+INDEX(_xlfn.TEXTSPLIT(Q144,",",),0,1)+$A$18,$A$18))/5,0),ROUNDUP(IF(MOD(Q$18+INDEX(_xlfn.TEXTSPLIT(Q144,",",),0,2)+$A$18,$A$18)=0,$A$18,MOD(Q$18+INDEX(_xlfn.TEXTSPLIT(Q144,",",),0,2)+$A$18,$A$18))/5,0)))</f>
        <v>6</v>
      </c>
      <c r="R46" s="1" cm="1">
        <f t="array" aca="1" ref="R46" ca="1">(INDEX($K$2:$T$11,ROUNDUP(IF(MOD($A46+INDEX(_xlfn.TEXTSPLIT(R101,",",),0,1)+$A$18,$A$18)=0,$A$18,MOD($A46+INDEX(_xlfn.TEXTSPLIT(R101,",",),0,1)+$A$18,$A$18))/4,0),ROUNDUP(IF(MOD(R$18+INDEX(_xlfn.TEXTSPLIT(R101,",",),0,2)+$A$18,$A$18)=0,$A$18,MOD(R$18+INDEX(_xlfn.TEXTSPLIT(R101,",",),0,2)+$A$18,$A$18))/4,0)))+(INDEX($AD$2:$AK$9,ROUNDUP(IF(MOD($A46+INDEX(_xlfn.TEXTSPLIT(R144,",",),0,1)+$A$18,$A$18)=0,$A$18,MOD($A46+INDEX(_xlfn.TEXTSPLIT(R144,",",),0,1)+$A$18,$A$18))/5,0),ROUNDUP(IF(MOD(R$18+INDEX(_xlfn.TEXTSPLIT(R144,",",),0,2)+$A$18,$A$18)=0,$A$18,MOD(R$18+INDEX(_xlfn.TEXTSPLIT(R144,",",),0,2)+$A$18,$A$18))/5,0)))</f>
        <v>8</v>
      </c>
      <c r="S46" s="1" cm="1">
        <f t="array" aca="1" ref="S46" ca="1">(INDEX($K$2:$T$11,ROUNDUP(IF(MOD($A46+INDEX(_xlfn.TEXTSPLIT(S101,",",),0,1)+$A$18,$A$18)=0,$A$18,MOD($A46+INDEX(_xlfn.TEXTSPLIT(S101,",",),0,1)+$A$18,$A$18))/4,0),ROUNDUP(IF(MOD(S$18+INDEX(_xlfn.TEXTSPLIT(S101,",",),0,2)+$A$18,$A$18)=0,$A$18,MOD(S$18+INDEX(_xlfn.TEXTSPLIT(S101,",",),0,2)+$A$18,$A$18))/4,0)))+(INDEX($AD$2:$AK$9,ROUNDUP(IF(MOD($A46+INDEX(_xlfn.TEXTSPLIT(S144,",",),0,1)+$A$18,$A$18)=0,$A$18,MOD($A46+INDEX(_xlfn.TEXTSPLIT(S144,",",),0,1)+$A$18,$A$18))/5,0),ROUNDUP(IF(MOD(S$18+INDEX(_xlfn.TEXTSPLIT(S144,",",),0,2)+$A$18,$A$18)=0,$A$18,MOD(S$18+INDEX(_xlfn.TEXTSPLIT(S144,",",),0,2)+$A$18,$A$18))/5,0)))</f>
        <v>8</v>
      </c>
      <c r="T46" s="1" cm="1">
        <f t="array" aca="1" ref="T46" ca="1">(INDEX($K$2:$T$11,ROUNDUP(IF(MOD($A46+INDEX(_xlfn.TEXTSPLIT(T101,",",),0,1)+$A$18,$A$18)=0,$A$18,MOD($A46+INDEX(_xlfn.TEXTSPLIT(T101,",",),0,1)+$A$18,$A$18))/4,0),ROUNDUP(IF(MOD(T$18+INDEX(_xlfn.TEXTSPLIT(T101,",",),0,2)+$A$18,$A$18)=0,$A$18,MOD(T$18+INDEX(_xlfn.TEXTSPLIT(T101,",",),0,2)+$A$18,$A$18))/4,0)))+(INDEX($AD$2:$AK$9,ROUNDUP(IF(MOD($A46+INDEX(_xlfn.TEXTSPLIT(T144,",",),0,1)+$A$18,$A$18)=0,$A$18,MOD($A46+INDEX(_xlfn.TEXTSPLIT(T144,",",),0,1)+$A$18,$A$18))/5,0),ROUNDUP(IF(MOD(T$18+INDEX(_xlfn.TEXTSPLIT(T144,",",),0,2)+$A$18,$A$18)=0,$A$18,MOD(T$18+INDEX(_xlfn.TEXTSPLIT(T144,",",),0,2)+$A$18,$A$18))/5,0)))</f>
        <v>8</v>
      </c>
      <c r="U46" s="1" cm="1">
        <f t="array" aca="1" ref="U46" ca="1">(INDEX($K$2:$T$11,ROUNDUP(IF(MOD($A46+INDEX(_xlfn.TEXTSPLIT(U101,",",),0,1)+$A$18,$A$18)=0,$A$18,MOD($A46+INDEX(_xlfn.TEXTSPLIT(U101,",",),0,1)+$A$18,$A$18))/4,0),ROUNDUP(IF(MOD(U$18+INDEX(_xlfn.TEXTSPLIT(U101,",",),0,2)+$A$18,$A$18)=0,$A$18,MOD(U$18+INDEX(_xlfn.TEXTSPLIT(U101,",",),0,2)+$A$18,$A$18))/4,0)))+(INDEX($AD$2:$AK$9,ROUNDUP(IF(MOD($A46+INDEX(_xlfn.TEXTSPLIT(U144,",",),0,1)+$A$18,$A$18)=0,$A$18,MOD($A46+INDEX(_xlfn.TEXTSPLIT(U144,",",),0,1)+$A$18,$A$18))/5,0),ROUNDUP(IF(MOD(U$18+INDEX(_xlfn.TEXTSPLIT(U144,",",),0,2)+$A$18,$A$18)=0,$A$18,MOD(U$18+INDEX(_xlfn.TEXTSPLIT(U144,",",),0,2)+$A$18,$A$18))/5,0)))</f>
        <v>8</v>
      </c>
      <c r="V46" s="1" cm="1">
        <f t="array" aca="1" ref="V46" ca="1">(INDEX($K$2:$T$11,ROUNDUP(IF(MOD($A46+INDEX(_xlfn.TEXTSPLIT(V101,",",),0,1)+$A$18,$A$18)=0,$A$18,MOD($A46+INDEX(_xlfn.TEXTSPLIT(V101,",",),0,1)+$A$18,$A$18))/4,0),ROUNDUP(IF(MOD(V$18+INDEX(_xlfn.TEXTSPLIT(V101,",",),0,2)+$A$18,$A$18)=0,$A$18,MOD(V$18+INDEX(_xlfn.TEXTSPLIT(V101,",",),0,2)+$A$18,$A$18))/4,0)))+(INDEX($AD$2:$AK$9,ROUNDUP(IF(MOD($A46+INDEX(_xlfn.TEXTSPLIT(V144,",",),0,1)+$A$18,$A$18)=0,$A$18,MOD($A46+INDEX(_xlfn.TEXTSPLIT(V144,",",),0,1)+$A$18,$A$18))/5,0),ROUNDUP(IF(MOD(V$18+INDEX(_xlfn.TEXTSPLIT(V144,",",),0,2)+$A$18,$A$18)=0,$A$18,MOD(V$18+INDEX(_xlfn.TEXTSPLIT(V144,",",),0,2)+$A$18,$A$18))/5,0)))</f>
        <v>7</v>
      </c>
      <c r="W46" s="1" cm="1">
        <f t="array" aca="1" ref="W46" ca="1">(INDEX($K$2:$T$11,ROUNDUP(IF(MOD($A46+INDEX(_xlfn.TEXTSPLIT(W101,",",),0,1)+$A$18,$A$18)=0,$A$18,MOD($A46+INDEX(_xlfn.TEXTSPLIT(W101,",",),0,1)+$A$18,$A$18))/4,0),ROUNDUP(IF(MOD(W$18+INDEX(_xlfn.TEXTSPLIT(W101,",",),0,2)+$A$18,$A$18)=0,$A$18,MOD(W$18+INDEX(_xlfn.TEXTSPLIT(W101,",",),0,2)+$A$18,$A$18))/4,0)))+(INDEX($AD$2:$AK$9,ROUNDUP(IF(MOD($A46+INDEX(_xlfn.TEXTSPLIT(W144,",",),0,1)+$A$18,$A$18)=0,$A$18,MOD($A46+INDEX(_xlfn.TEXTSPLIT(W144,",",),0,1)+$A$18,$A$18))/5,0),ROUNDUP(IF(MOD(W$18+INDEX(_xlfn.TEXTSPLIT(W144,",",),0,2)+$A$18,$A$18)=0,$A$18,MOD(W$18+INDEX(_xlfn.TEXTSPLIT(W144,",",),0,2)+$A$18,$A$18))/5,0)))</f>
        <v>7</v>
      </c>
      <c r="X46" s="1" cm="1">
        <f t="array" aca="1" ref="X46" ca="1">(INDEX($K$2:$T$11,ROUNDUP(IF(MOD($A46+INDEX(_xlfn.TEXTSPLIT(X101,",",),0,1)+$A$18,$A$18)=0,$A$18,MOD($A46+INDEX(_xlfn.TEXTSPLIT(X101,",",),0,1)+$A$18,$A$18))/4,0),ROUNDUP(IF(MOD(X$18+INDEX(_xlfn.TEXTSPLIT(X101,",",),0,2)+$A$18,$A$18)=0,$A$18,MOD(X$18+INDEX(_xlfn.TEXTSPLIT(X101,",",),0,2)+$A$18,$A$18))/4,0)))+(INDEX($AD$2:$AK$9,ROUNDUP(IF(MOD($A46+INDEX(_xlfn.TEXTSPLIT(X144,",",),0,1)+$A$18,$A$18)=0,$A$18,MOD($A46+INDEX(_xlfn.TEXTSPLIT(X144,",",),0,1)+$A$18,$A$18))/5,0),ROUNDUP(IF(MOD(X$18+INDEX(_xlfn.TEXTSPLIT(X144,",",),0,2)+$A$18,$A$18)=0,$A$18,MOD(X$18+INDEX(_xlfn.TEXTSPLIT(X144,",",),0,2)+$A$18,$A$18))/5,0)))</f>
        <v>7</v>
      </c>
      <c r="Y46" s="1" cm="1">
        <f t="array" aca="1" ref="Y46" ca="1">(INDEX($K$2:$T$11,ROUNDUP(IF(MOD($A46+INDEX(_xlfn.TEXTSPLIT(Y101,",",),0,1)+$A$18,$A$18)=0,$A$18,MOD($A46+INDEX(_xlfn.TEXTSPLIT(Y101,",",),0,1)+$A$18,$A$18))/4,0),ROUNDUP(IF(MOD(Y$18+INDEX(_xlfn.TEXTSPLIT(Y101,",",),0,2)+$A$18,$A$18)=0,$A$18,MOD(Y$18+INDEX(_xlfn.TEXTSPLIT(Y101,",",),0,2)+$A$18,$A$18))/4,0)))+(INDEX($AD$2:$AK$9,ROUNDUP(IF(MOD($A46+INDEX(_xlfn.TEXTSPLIT(Y144,",",),0,1)+$A$18,$A$18)=0,$A$18,MOD($A46+INDEX(_xlfn.TEXTSPLIT(Y144,",",),0,1)+$A$18,$A$18))/5,0),ROUNDUP(IF(MOD(Y$18+INDEX(_xlfn.TEXTSPLIT(Y144,",",),0,2)+$A$18,$A$18)=0,$A$18,MOD(Y$18+INDEX(_xlfn.TEXTSPLIT(Y144,",",),0,2)+$A$18,$A$18))/5,0)))</f>
        <v>7</v>
      </c>
      <c r="Z46" s="1" cm="1">
        <f t="array" aca="1" ref="Z46" ca="1">(INDEX($K$2:$T$11,ROUNDUP(IF(MOD($A46+INDEX(_xlfn.TEXTSPLIT(Z101,",",),0,1)+$A$18,$A$18)=0,$A$18,MOD($A46+INDEX(_xlfn.TEXTSPLIT(Z101,",",),0,1)+$A$18,$A$18))/4,0),ROUNDUP(IF(MOD(Z$18+INDEX(_xlfn.TEXTSPLIT(Z101,",",),0,2)+$A$18,$A$18)=0,$A$18,MOD(Z$18+INDEX(_xlfn.TEXTSPLIT(Z101,",",),0,2)+$A$18,$A$18))/4,0)))+(INDEX($AD$2:$AK$9,ROUNDUP(IF(MOD($A46+INDEX(_xlfn.TEXTSPLIT(Z144,",",),0,1)+$A$18,$A$18)=0,$A$18,MOD($A46+INDEX(_xlfn.TEXTSPLIT(Z144,",",),0,1)+$A$18,$A$18))/5,0),ROUNDUP(IF(MOD(Z$18+INDEX(_xlfn.TEXTSPLIT(Z144,",",),0,2)+$A$18,$A$18)=0,$A$18,MOD(Z$18+INDEX(_xlfn.TEXTSPLIT(Z144,",",),0,2)+$A$18,$A$18))/5,0)))</f>
        <v>7</v>
      </c>
      <c r="AA46" s="1" cm="1">
        <f t="array" aca="1" ref="AA46" ca="1">(INDEX($K$2:$T$11,ROUNDUP(IF(MOD($A46+INDEX(_xlfn.TEXTSPLIT(AA101,",",),0,1)+$A$18,$A$18)=0,$A$18,MOD($A46+INDEX(_xlfn.TEXTSPLIT(AA101,",",),0,1)+$A$18,$A$18))/4,0),ROUNDUP(IF(MOD(AA$18+INDEX(_xlfn.TEXTSPLIT(AA101,",",),0,2)+$A$18,$A$18)=0,$A$18,MOD(AA$18+INDEX(_xlfn.TEXTSPLIT(AA101,",",),0,2)+$A$18,$A$18))/4,0)))+(INDEX($AD$2:$AK$9,ROUNDUP(IF(MOD($A46+INDEX(_xlfn.TEXTSPLIT(AA144,",",),0,1)+$A$18,$A$18)=0,$A$18,MOD($A46+INDEX(_xlfn.TEXTSPLIT(AA144,",",),0,1)+$A$18,$A$18))/5,0),ROUNDUP(IF(MOD(AA$18+INDEX(_xlfn.TEXTSPLIT(AA144,",",),0,2)+$A$18,$A$18)=0,$A$18,MOD(AA$18+INDEX(_xlfn.TEXTSPLIT(AA144,",",),0,2)+$A$18,$A$18))/5,0)))</f>
        <v>7</v>
      </c>
      <c r="AB46" s="1" cm="1">
        <f t="array" aca="1" ref="AB46" ca="1">(INDEX($K$2:$T$11,ROUNDUP(IF(MOD($A46+INDEX(_xlfn.TEXTSPLIT(AB101,",",),0,1)+$A$18,$A$18)=0,$A$18,MOD($A46+INDEX(_xlfn.TEXTSPLIT(AB101,",",),0,1)+$A$18,$A$18))/4,0),ROUNDUP(IF(MOD(AB$18+INDEX(_xlfn.TEXTSPLIT(AB101,",",),0,2)+$A$18,$A$18)=0,$A$18,MOD(AB$18+INDEX(_xlfn.TEXTSPLIT(AB101,",",),0,2)+$A$18,$A$18))/4,0)))+(INDEX($AD$2:$AK$9,ROUNDUP(IF(MOD($A46+INDEX(_xlfn.TEXTSPLIT(AB144,",",),0,1)+$A$18,$A$18)=0,$A$18,MOD($A46+INDEX(_xlfn.TEXTSPLIT(AB144,",",),0,1)+$A$18,$A$18))/5,0),ROUNDUP(IF(MOD(AB$18+INDEX(_xlfn.TEXTSPLIT(AB144,",",),0,2)+$A$18,$A$18)=0,$A$18,MOD(AB$18+INDEX(_xlfn.TEXTSPLIT(AB144,",",),0,2)+$A$18,$A$18))/5,0)))</f>
        <v>7</v>
      </c>
      <c r="AC46" s="1" cm="1">
        <f t="array" aca="1" ref="AC46" ca="1">(INDEX($K$2:$T$11,ROUNDUP(IF(MOD($A46+INDEX(_xlfn.TEXTSPLIT(AC101,",",),0,1)+$A$18,$A$18)=0,$A$18,MOD($A46+INDEX(_xlfn.TEXTSPLIT(AC101,",",),0,1)+$A$18,$A$18))/4,0),ROUNDUP(IF(MOD(AC$18+INDEX(_xlfn.TEXTSPLIT(AC101,",",),0,2)+$A$18,$A$18)=0,$A$18,MOD(AC$18+INDEX(_xlfn.TEXTSPLIT(AC101,",",),0,2)+$A$18,$A$18))/4,0)))+(INDEX($AD$2:$AK$9,ROUNDUP(IF(MOD($A46+INDEX(_xlfn.TEXTSPLIT(AC144,",",),0,1)+$A$18,$A$18)=0,$A$18,MOD($A46+INDEX(_xlfn.TEXTSPLIT(AC144,",",),0,1)+$A$18,$A$18))/5,0),ROUNDUP(IF(MOD(AC$18+INDEX(_xlfn.TEXTSPLIT(AC144,",",),0,2)+$A$18,$A$18)=0,$A$18,MOD(AC$18+INDEX(_xlfn.TEXTSPLIT(AC144,",",),0,2)+$A$18,$A$18))/5,0)))</f>
        <v>7</v>
      </c>
      <c r="AD46" s="1" cm="1">
        <f t="array" aca="1" ref="AD46" ca="1">(INDEX($K$2:$T$11,ROUNDUP(IF(MOD($A46+INDEX(_xlfn.TEXTSPLIT(AD101,",",),0,1)+$A$18,$A$18)=0,$A$18,MOD($A46+INDEX(_xlfn.TEXTSPLIT(AD101,",",),0,1)+$A$18,$A$18))/4,0),ROUNDUP(IF(MOD(AD$18+INDEX(_xlfn.TEXTSPLIT(AD101,",",),0,2)+$A$18,$A$18)=0,$A$18,MOD(AD$18+INDEX(_xlfn.TEXTSPLIT(AD101,",",),0,2)+$A$18,$A$18))/4,0)))+(INDEX($AD$2:$AK$9,ROUNDUP(IF(MOD($A46+INDEX(_xlfn.TEXTSPLIT(AD144,",",),0,1)+$A$18,$A$18)=0,$A$18,MOD($A46+INDEX(_xlfn.TEXTSPLIT(AD144,",",),0,1)+$A$18,$A$18))/5,0),ROUNDUP(IF(MOD(AD$18+INDEX(_xlfn.TEXTSPLIT(AD144,",",),0,2)+$A$18,$A$18)=0,$A$18,MOD(AD$18+INDEX(_xlfn.TEXTSPLIT(AD144,",",),0,2)+$A$18,$A$18))/5,0)))</f>
        <v>7</v>
      </c>
      <c r="AE46" s="1" cm="1">
        <f t="array" aca="1" ref="AE46" ca="1">(INDEX($K$2:$T$11,ROUNDUP(IF(MOD($A46+INDEX(_xlfn.TEXTSPLIT(AE101,",",),0,1)+$A$18,$A$18)=0,$A$18,MOD($A46+INDEX(_xlfn.TEXTSPLIT(AE101,",",),0,1)+$A$18,$A$18))/4,0),ROUNDUP(IF(MOD(AE$18+INDEX(_xlfn.TEXTSPLIT(AE101,",",),0,2)+$A$18,$A$18)=0,$A$18,MOD(AE$18+INDEX(_xlfn.TEXTSPLIT(AE101,",",),0,2)+$A$18,$A$18))/4,0)))+(INDEX($AD$2:$AK$9,ROUNDUP(IF(MOD($A46+INDEX(_xlfn.TEXTSPLIT(AE144,",",),0,1)+$A$18,$A$18)=0,$A$18,MOD($A46+INDEX(_xlfn.TEXTSPLIT(AE144,",",),0,1)+$A$18,$A$18))/5,0),ROUNDUP(IF(MOD(AE$18+INDEX(_xlfn.TEXTSPLIT(AE144,",",),0,2)+$A$18,$A$18)=0,$A$18,MOD(AE$18+INDEX(_xlfn.TEXTSPLIT(AE144,",",),0,2)+$A$18,$A$18))/5,0)))</f>
        <v>8</v>
      </c>
      <c r="AF46" s="1" cm="1">
        <f t="array" aca="1" ref="AF46" ca="1">(INDEX($K$2:$T$11,ROUNDUP(IF(MOD($A46+INDEX(_xlfn.TEXTSPLIT(AF101,",",),0,1)+$A$18,$A$18)=0,$A$18,MOD($A46+INDEX(_xlfn.TEXTSPLIT(AF101,",",),0,1)+$A$18,$A$18))/4,0),ROUNDUP(IF(MOD(AF$18+INDEX(_xlfn.TEXTSPLIT(AF101,",",),0,2)+$A$18,$A$18)=0,$A$18,MOD(AF$18+INDEX(_xlfn.TEXTSPLIT(AF101,",",),0,2)+$A$18,$A$18))/4,0)))+(INDEX($AD$2:$AK$9,ROUNDUP(IF(MOD($A46+INDEX(_xlfn.TEXTSPLIT(AF144,",",),0,1)+$A$18,$A$18)=0,$A$18,MOD($A46+INDEX(_xlfn.TEXTSPLIT(AF144,",",),0,1)+$A$18,$A$18))/5,0),ROUNDUP(IF(MOD(AF$18+INDEX(_xlfn.TEXTSPLIT(AF144,",",),0,2)+$A$18,$A$18)=0,$A$18,MOD(AF$18+INDEX(_xlfn.TEXTSPLIT(AF144,",",),0,2)+$A$18,$A$18))/5,0)))</f>
        <v>8</v>
      </c>
      <c r="AG46" s="1" cm="1">
        <f t="array" aca="1" ref="AG46" ca="1">(INDEX($K$2:$T$11,ROUNDUP(IF(MOD($A46+INDEX(_xlfn.TEXTSPLIT(AG101,",",),0,1)+$A$18,$A$18)=0,$A$18,MOD($A46+INDEX(_xlfn.TEXTSPLIT(AG101,",",),0,1)+$A$18,$A$18))/4,0),ROUNDUP(IF(MOD(AG$18+INDEX(_xlfn.TEXTSPLIT(AG101,",",),0,2)+$A$18,$A$18)=0,$A$18,MOD(AG$18+INDEX(_xlfn.TEXTSPLIT(AG101,",",),0,2)+$A$18,$A$18))/4,0)))+(INDEX($AD$2:$AK$9,ROUNDUP(IF(MOD($A46+INDEX(_xlfn.TEXTSPLIT(AG144,",",),0,1)+$A$18,$A$18)=0,$A$18,MOD($A46+INDEX(_xlfn.TEXTSPLIT(AG144,",",),0,1)+$A$18,$A$18))/5,0),ROUNDUP(IF(MOD(AG$18+INDEX(_xlfn.TEXTSPLIT(AG144,",",),0,2)+$A$18,$A$18)=0,$A$18,MOD(AG$18+INDEX(_xlfn.TEXTSPLIT(AG144,",",),0,2)+$A$18,$A$18))/5,0)))</f>
        <v>8</v>
      </c>
      <c r="AH46" s="1" cm="1">
        <f t="array" aca="1" ref="AH46" ca="1">(INDEX($K$2:$T$11,ROUNDUP(IF(MOD($A46+INDEX(_xlfn.TEXTSPLIT(AH101,",",),0,1)+$A$18,$A$18)=0,$A$18,MOD($A46+INDEX(_xlfn.TEXTSPLIT(AH101,",",),0,1)+$A$18,$A$18))/4,0),ROUNDUP(IF(MOD(AH$18+INDEX(_xlfn.TEXTSPLIT(AH101,",",),0,2)+$A$18,$A$18)=0,$A$18,MOD(AH$18+INDEX(_xlfn.TEXTSPLIT(AH101,",",),0,2)+$A$18,$A$18))/4,0)))+(INDEX($AD$2:$AK$9,ROUNDUP(IF(MOD($A46+INDEX(_xlfn.TEXTSPLIT(AH144,",",),0,1)+$A$18,$A$18)=0,$A$18,MOD($A46+INDEX(_xlfn.TEXTSPLIT(AH144,",",),0,1)+$A$18,$A$18))/5,0),ROUNDUP(IF(MOD(AH$18+INDEX(_xlfn.TEXTSPLIT(AH144,",",),0,2)+$A$18,$A$18)=0,$A$18,MOD(AH$18+INDEX(_xlfn.TEXTSPLIT(AH144,",",),0,2)+$A$18,$A$18))/5,0)))</f>
        <v>8</v>
      </c>
      <c r="AI46" s="1" cm="1">
        <f t="array" aca="1" ref="AI46" ca="1">(INDEX($K$2:$T$11,ROUNDUP(IF(MOD($A46+INDEX(_xlfn.TEXTSPLIT(AI101,",",),0,1)+$A$18,$A$18)=0,$A$18,MOD($A46+INDEX(_xlfn.TEXTSPLIT(AI101,",",),0,1)+$A$18,$A$18))/4,0),ROUNDUP(IF(MOD(AI$18+INDEX(_xlfn.TEXTSPLIT(AI101,",",),0,2)+$A$18,$A$18)=0,$A$18,MOD(AI$18+INDEX(_xlfn.TEXTSPLIT(AI101,",",),0,2)+$A$18,$A$18))/4,0)))+(INDEX($AD$2:$AK$9,ROUNDUP(IF(MOD($A46+INDEX(_xlfn.TEXTSPLIT(AI144,",",),0,1)+$A$18,$A$18)=0,$A$18,MOD($A46+INDEX(_xlfn.TEXTSPLIT(AI144,",",),0,1)+$A$18,$A$18))/5,0),ROUNDUP(IF(MOD(AI$18+INDEX(_xlfn.TEXTSPLIT(AI144,",",),0,2)+$A$18,$A$18)=0,$A$18,MOD(AI$18+INDEX(_xlfn.TEXTSPLIT(AI144,",",),0,2)+$A$18,$A$18))/5,0)))</f>
        <v>8</v>
      </c>
      <c r="AJ46" s="1" cm="1">
        <f t="array" aca="1" ref="AJ46" ca="1">(INDEX($K$2:$T$11,ROUNDUP(IF(MOD($A46+INDEX(_xlfn.TEXTSPLIT(AJ101,",",),0,1)+$A$18,$A$18)=0,$A$18,MOD($A46+INDEX(_xlfn.TEXTSPLIT(AJ101,",",),0,1)+$A$18,$A$18))/4,0),ROUNDUP(IF(MOD(AJ$18+INDEX(_xlfn.TEXTSPLIT(AJ101,",",),0,2)+$A$18,$A$18)=0,$A$18,MOD(AJ$18+INDEX(_xlfn.TEXTSPLIT(AJ101,",",),0,2)+$A$18,$A$18))/4,0)))+(INDEX($AD$2:$AK$9,ROUNDUP(IF(MOD($A46+INDEX(_xlfn.TEXTSPLIT(AJ144,",",),0,1)+$A$18,$A$18)=0,$A$18,MOD($A46+INDEX(_xlfn.TEXTSPLIT(AJ144,",",),0,1)+$A$18,$A$18))/5,0),ROUNDUP(IF(MOD(AJ$18+INDEX(_xlfn.TEXTSPLIT(AJ144,",",),0,2)+$A$18,$A$18)=0,$A$18,MOD(AJ$18+INDEX(_xlfn.TEXTSPLIT(AJ144,",",),0,2)+$A$18,$A$18))/5,0)))</f>
        <v>7</v>
      </c>
      <c r="AK46" s="1" cm="1">
        <f t="array" aca="1" ref="AK46" ca="1">(INDEX($K$2:$T$11,ROUNDUP(IF(MOD($A46+INDEX(_xlfn.TEXTSPLIT(AK101,",",),0,1)+$A$18,$A$18)=0,$A$18,MOD($A46+INDEX(_xlfn.TEXTSPLIT(AK101,",",),0,1)+$A$18,$A$18))/4,0),ROUNDUP(IF(MOD(AK$18+INDEX(_xlfn.TEXTSPLIT(AK101,",",),0,2)+$A$18,$A$18)=0,$A$18,MOD(AK$18+INDEX(_xlfn.TEXTSPLIT(AK101,",",),0,2)+$A$18,$A$18))/4,0)))+(INDEX($AD$2:$AK$9,ROUNDUP(IF(MOD($A46+INDEX(_xlfn.TEXTSPLIT(AK144,",",),0,1)+$A$18,$A$18)=0,$A$18,MOD($A46+INDEX(_xlfn.TEXTSPLIT(AK144,",",),0,1)+$A$18,$A$18))/5,0),ROUNDUP(IF(MOD(AK$18+INDEX(_xlfn.TEXTSPLIT(AK144,",",),0,2)+$A$18,$A$18)=0,$A$18,MOD(AK$18+INDEX(_xlfn.TEXTSPLIT(AK144,",",),0,2)+$A$18,$A$18))/5,0)))</f>
        <v>8</v>
      </c>
      <c r="AL46" s="1" cm="1">
        <f t="array" aca="1" ref="AL46" ca="1">(INDEX($K$2:$T$11,ROUNDUP(IF(MOD($A46+INDEX(_xlfn.TEXTSPLIT(AL101,",",),0,1)+$A$18,$A$18)=0,$A$18,MOD($A46+INDEX(_xlfn.TEXTSPLIT(AL101,",",),0,1)+$A$18,$A$18))/4,0),ROUNDUP(IF(MOD(AL$18+INDEX(_xlfn.TEXTSPLIT(AL101,",",),0,2)+$A$18,$A$18)=0,$A$18,MOD(AL$18+INDEX(_xlfn.TEXTSPLIT(AL101,",",),0,2)+$A$18,$A$18))/4,0)))+(INDEX($AD$2:$AK$9,ROUNDUP(IF(MOD($A46+INDEX(_xlfn.TEXTSPLIT(AL144,",",),0,1)+$A$18,$A$18)=0,$A$18,MOD($A46+INDEX(_xlfn.TEXTSPLIT(AL144,",",),0,1)+$A$18,$A$18))/5,0),ROUNDUP(IF(MOD(AL$18+INDEX(_xlfn.TEXTSPLIT(AL144,",",),0,2)+$A$18,$A$18)=0,$A$18,MOD(AL$18+INDEX(_xlfn.TEXTSPLIT(AL144,",",),0,2)+$A$18,$A$18))/5,0)))</f>
        <v>7</v>
      </c>
      <c r="AM46" s="1" cm="1">
        <f t="array" aca="1" ref="AM46" ca="1">(INDEX($K$2:$T$11,ROUNDUP(IF(MOD($A46+INDEX(_xlfn.TEXTSPLIT(AM101,",",),0,1)+$A$18,$A$18)=0,$A$18,MOD($A46+INDEX(_xlfn.TEXTSPLIT(AM101,",",),0,1)+$A$18,$A$18))/4,0),ROUNDUP(IF(MOD(AM$18+INDEX(_xlfn.TEXTSPLIT(AM101,",",),0,2)+$A$18,$A$18)=0,$A$18,MOD(AM$18+INDEX(_xlfn.TEXTSPLIT(AM101,",",),0,2)+$A$18,$A$18))/4,0)))+(INDEX($AD$2:$AK$9,ROUNDUP(IF(MOD($A46+INDEX(_xlfn.TEXTSPLIT(AM144,",",),0,1)+$A$18,$A$18)=0,$A$18,MOD($A46+INDEX(_xlfn.TEXTSPLIT(AM144,",",),0,1)+$A$18,$A$18))/5,0),ROUNDUP(IF(MOD(AM$18+INDEX(_xlfn.TEXTSPLIT(AM144,",",),0,2)+$A$18,$A$18)=0,$A$18,MOD(AM$18+INDEX(_xlfn.TEXTSPLIT(AM144,",",),0,2)+$A$18,$A$18))/5,0)))</f>
        <v>7</v>
      </c>
      <c r="AN46" s="1" cm="1">
        <f t="array" aca="1" ref="AN46" ca="1">(INDEX($K$2:$T$11,ROUNDUP(IF(MOD($A46+INDEX(_xlfn.TEXTSPLIT(AN101,",",),0,1)+$A$18,$A$18)=0,$A$18,MOD($A46+INDEX(_xlfn.TEXTSPLIT(AN101,",",),0,1)+$A$18,$A$18))/4,0),ROUNDUP(IF(MOD(AN$18+INDEX(_xlfn.TEXTSPLIT(AN101,",",),0,2)+$A$18,$A$18)=0,$A$18,MOD(AN$18+INDEX(_xlfn.TEXTSPLIT(AN101,",",),0,2)+$A$18,$A$18))/4,0)))+(INDEX($AD$2:$AK$9,ROUNDUP(IF(MOD($A46+INDEX(_xlfn.TEXTSPLIT(AN144,",",),0,1)+$A$18,$A$18)=0,$A$18,MOD($A46+INDEX(_xlfn.TEXTSPLIT(AN144,",",),0,1)+$A$18,$A$18))/5,0),ROUNDUP(IF(MOD(AN$18+INDEX(_xlfn.TEXTSPLIT(AN144,",",),0,2)+$A$18,$A$18)=0,$A$18,MOD(AN$18+INDEX(_xlfn.TEXTSPLIT(AN144,",",),0,2)+$A$18,$A$18))/5,0)))</f>
        <v>7</v>
      </c>
      <c r="AO46" s="1" cm="1">
        <f t="array" aca="1" ref="AO46" ca="1">(INDEX($K$2:$T$11,ROUNDUP(IF(MOD($A46+INDEX(_xlfn.TEXTSPLIT(AO101,",",),0,1)+$A$18,$A$18)=0,$A$18,MOD($A46+INDEX(_xlfn.TEXTSPLIT(AO101,",",),0,1)+$A$18,$A$18))/4,0),ROUNDUP(IF(MOD(AO$18+INDEX(_xlfn.TEXTSPLIT(AO101,",",),0,2)+$A$18,$A$18)=0,$A$18,MOD(AO$18+INDEX(_xlfn.TEXTSPLIT(AO101,",",),0,2)+$A$18,$A$18))/4,0)))+(INDEX($AD$2:$AK$9,ROUNDUP(IF(MOD($A46+INDEX(_xlfn.TEXTSPLIT(AO144,",",),0,1)+$A$18,$A$18)=0,$A$18,MOD($A46+INDEX(_xlfn.TEXTSPLIT(AO144,",",),0,1)+$A$18,$A$18))/5,0),ROUNDUP(IF(MOD(AO$18+INDEX(_xlfn.TEXTSPLIT(AO144,",",),0,2)+$A$18,$A$18)=0,$A$18,MOD(AO$18+INDEX(_xlfn.TEXTSPLIT(AO144,",",),0,2)+$A$18,$A$18))/5,0)))</f>
        <v>7</v>
      </c>
    </row>
    <row r="47" spans="1:41" ht="12.75">
      <c r="A47" s="1">
        <v>29</v>
      </c>
      <c r="B47" s="1" cm="1">
        <f t="array" aca="1" ref="B47" ca="1">(INDEX($K$2:$T$11,ROUNDUP(IF(MOD($A47+INDEX(_xlfn.TEXTSPLIT(B102,",",),0,1)+$A$18,$A$18)=0,$A$18,MOD($A47+INDEX(_xlfn.TEXTSPLIT(B102,",",),0,1)+$A$18,$A$18))/4,0),ROUNDUP(IF(MOD(B$18+INDEX(_xlfn.TEXTSPLIT(B102,",",),0,2)+$A$18,$A$18)=0,$A$18,MOD(B$18+INDEX(_xlfn.TEXTSPLIT(B102,",",),0,2)+$A$18,$A$18))/4,0)))+(INDEX($AD$2:$AK$9,ROUNDUP(IF(MOD($A47+INDEX(_xlfn.TEXTSPLIT(B145,",",),0,1)+$A$18,$A$18)=0,$A$18,MOD($A47+INDEX(_xlfn.TEXTSPLIT(B145,",",),0,1)+$A$18,$A$18))/5,0),ROUNDUP(IF(MOD(B$18+INDEX(_xlfn.TEXTSPLIT(B145,",",),0,2)+$A$18,$A$18)=0,$A$18,MOD(B$18+INDEX(_xlfn.TEXTSPLIT(B145,",",),0,2)+$A$18,$A$18))/5,0)))</f>
        <v>7</v>
      </c>
      <c r="C47" s="1" cm="1">
        <f t="array" aca="1" ref="C47" ca="1">(INDEX($K$2:$T$11,ROUNDUP(IF(MOD($A47+INDEX(_xlfn.TEXTSPLIT(C102,",",),0,1)+$A$18,$A$18)=0,$A$18,MOD($A47+INDEX(_xlfn.TEXTSPLIT(C102,",",),0,1)+$A$18,$A$18))/4,0),ROUNDUP(IF(MOD(C$18+INDEX(_xlfn.TEXTSPLIT(C102,",",),0,2)+$A$18,$A$18)=0,$A$18,MOD(C$18+INDEX(_xlfn.TEXTSPLIT(C102,",",),0,2)+$A$18,$A$18))/4,0)))+(INDEX($AD$2:$AK$9,ROUNDUP(IF(MOD($A47+INDEX(_xlfn.TEXTSPLIT(C145,",",),0,1)+$A$18,$A$18)=0,$A$18,MOD($A47+INDEX(_xlfn.TEXTSPLIT(C145,",",),0,1)+$A$18,$A$18))/5,0),ROUNDUP(IF(MOD(C$18+INDEX(_xlfn.TEXTSPLIT(C145,",",),0,2)+$A$18,$A$18)=0,$A$18,MOD(C$18+INDEX(_xlfn.TEXTSPLIT(C145,",",),0,2)+$A$18,$A$18))/5,0)))</f>
        <v>6</v>
      </c>
      <c r="D47" s="1" cm="1">
        <f t="array" aca="1" ref="D47" ca="1">(INDEX($K$2:$T$11,ROUNDUP(IF(MOD($A47+INDEX(_xlfn.TEXTSPLIT(D102,",",),0,1)+$A$18,$A$18)=0,$A$18,MOD($A47+INDEX(_xlfn.TEXTSPLIT(D102,",",),0,1)+$A$18,$A$18))/4,0),ROUNDUP(IF(MOD(D$18+INDEX(_xlfn.TEXTSPLIT(D102,",",),0,2)+$A$18,$A$18)=0,$A$18,MOD(D$18+INDEX(_xlfn.TEXTSPLIT(D102,",",),0,2)+$A$18,$A$18))/4,0)))+(INDEX($AD$2:$AK$9,ROUNDUP(IF(MOD($A47+INDEX(_xlfn.TEXTSPLIT(D145,",",),0,1)+$A$18,$A$18)=0,$A$18,MOD($A47+INDEX(_xlfn.TEXTSPLIT(D145,",",),0,1)+$A$18,$A$18))/5,0),ROUNDUP(IF(MOD(D$18+INDEX(_xlfn.TEXTSPLIT(D145,",",),0,2)+$A$18,$A$18)=0,$A$18,MOD(D$18+INDEX(_xlfn.TEXTSPLIT(D145,",",),0,2)+$A$18,$A$18))/5,0)))</f>
        <v>2</v>
      </c>
      <c r="E47" s="1" cm="1">
        <f t="array" aca="1" ref="E47" ca="1">(INDEX($K$2:$T$11,ROUNDUP(IF(MOD($A47+INDEX(_xlfn.TEXTSPLIT(E102,",",),0,1)+$A$18,$A$18)=0,$A$18,MOD($A47+INDEX(_xlfn.TEXTSPLIT(E102,",",),0,1)+$A$18,$A$18))/4,0),ROUNDUP(IF(MOD(E$18+INDEX(_xlfn.TEXTSPLIT(E102,",",),0,2)+$A$18,$A$18)=0,$A$18,MOD(E$18+INDEX(_xlfn.TEXTSPLIT(E102,",",),0,2)+$A$18,$A$18))/4,0)))+(INDEX($AD$2:$AK$9,ROUNDUP(IF(MOD($A47+INDEX(_xlfn.TEXTSPLIT(E145,",",),0,1)+$A$18,$A$18)=0,$A$18,MOD($A47+INDEX(_xlfn.TEXTSPLIT(E145,",",),0,1)+$A$18,$A$18))/5,0),ROUNDUP(IF(MOD(E$18+INDEX(_xlfn.TEXTSPLIT(E145,",",),0,2)+$A$18,$A$18)=0,$A$18,MOD(E$18+INDEX(_xlfn.TEXTSPLIT(E145,",",),0,2)+$A$18,$A$18))/5,0)))</f>
        <v>2</v>
      </c>
      <c r="F47" s="1" cm="1">
        <f t="array" aca="1" ref="F47" ca="1">(INDEX($K$2:$T$11,ROUNDUP(IF(MOD($A47+INDEX(_xlfn.TEXTSPLIT(F102,",",),0,1)+$A$18,$A$18)=0,$A$18,MOD($A47+INDEX(_xlfn.TEXTSPLIT(F102,",",),0,1)+$A$18,$A$18))/4,0),ROUNDUP(IF(MOD(F$18+INDEX(_xlfn.TEXTSPLIT(F102,",",),0,2)+$A$18,$A$18)=0,$A$18,MOD(F$18+INDEX(_xlfn.TEXTSPLIT(F102,",",),0,2)+$A$18,$A$18))/4,0)))+(INDEX($AD$2:$AK$9,ROUNDUP(IF(MOD($A47+INDEX(_xlfn.TEXTSPLIT(F145,",",),0,1)+$A$18,$A$18)=0,$A$18,MOD($A47+INDEX(_xlfn.TEXTSPLIT(F145,",",),0,1)+$A$18,$A$18))/5,0),ROUNDUP(IF(MOD(F$18+INDEX(_xlfn.TEXTSPLIT(F145,",",),0,2)+$A$18,$A$18)=0,$A$18,MOD(F$18+INDEX(_xlfn.TEXTSPLIT(F145,",",),0,2)+$A$18,$A$18))/5,0)))</f>
        <v>2</v>
      </c>
      <c r="G47" s="1" cm="1">
        <f t="array" aca="1" ref="G47" ca="1">(INDEX($K$2:$T$11,ROUNDUP(IF(MOD($A47+INDEX(_xlfn.TEXTSPLIT(G102,",",),0,1)+$A$18,$A$18)=0,$A$18,MOD($A47+INDEX(_xlfn.TEXTSPLIT(G102,",",),0,1)+$A$18,$A$18))/4,0),ROUNDUP(IF(MOD(G$18+INDEX(_xlfn.TEXTSPLIT(G102,",",),0,2)+$A$18,$A$18)=0,$A$18,MOD(G$18+INDEX(_xlfn.TEXTSPLIT(G102,",",),0,2)+$A$18,$A$18))/4,0)))+(INDEX($AD$2:$AK$9,ROUNDUP(IF(MOD($A47+INDEX(_xlfn.TEXTSPLIT(G145,",",),0,1)+$A$18,$A$18)=0,$A$18,MOD($A47+INDEX(_xlfn.TEXTSPLIT(G145,",",),0,1)+$A$18,$A$18))/5,0),ROUNDUP(IF(MOD(G$18+INDEX(_xlfn.TEXTSPLIT(G145,",",),0,2)+$A$18,$A$18)=0,$A$18,MOD(G$18+INDEX(_xlfn.TEXTSPLIT(G145,",",),0,2)+$A$18,$A$18))/5,0)))</f>
        <v>2</v>
      </c>
      <c r="H47" s="1" cm="1">
        <f t="array" aca="1" ref="H47" ca="1">(INDEX($K$2:$T$11,ROUNDUP(IF(MOD($A47+INDEX(_xlfn.TEXTSPLIT(H102,",",),0,1)+$A$18,$A$18)=0,$A$18,MOD($A47+INDEX(_xlfn.TEXTSPLIT(H102,",",),0,1)+$A$18,$A$18))/4,0),ROUNDUP(IF(MOD(H$18+INDEX(_xlfn.TEXTSPLIT(H102,",",),0,2)+$A$18,$A$18)=0,$A$18,MOD(H$18+INDEX(_xlfn.TEXTSPLIT(H102,",",),0,2)+$A$18,$A$18))/4,0)))+(INDEX($AD$2:$AK$9,ROUNDUP(IF(MOD($A47+INDEX(_xlfn.TEXTSPLIT(H145,",",),0,1)+$A$18,$A$18)=0,$A$18,MOD($A47+INDEX(_xlfn.TEXTSPLIT(H145,",",),0,1)+$A$18,$A$18))/5,0),ROUNDUP(IF(MOD(H$18+INDEX(_xlfn.TEXTSPLIT(H145,",",),0,2)+$A$18,$A$18)=0,$A$18,MOD(H$18+INDEX(_xlfn.TEXTSPLIT(H145,",",),0,2)+$A$18,$A$18))/5,0)))</f>
        <v>3</v>
      </c>
      <c r="I47" s="1" cm="1">
        <f t="array" aca="1" ref="I47" ca="1">(INDEX($K$2:$T$11,ROUNDUP(IF(MOD($A47+INDEX(_xlfn.TEXTSPLIT(I102,",",),0,1)+$A$18,$A$18)=0,$A$18,MOD($A47+INDEX(_xlfn.TEXTSPLIT(I102,",",),0,1)+$A$18,$A$18))/4,0),ROUNDUP(IF(MOD(I$18+INDEX(_xlfn.TEXTSPLIT(I102,",",),0,2)+$A$18,$A$18)=0,$A$18,MOD(I$18+INDEX(_xlfn.TEXTSPLIT(I102,",",),0,2)+$A$18,$A$18))/4,0)))+(INDEX($AD$2:$AK$9,ROUNDUP(IF(MOD($A47+INDEX(_xlfn.TEXTSPLIT(I145,",",),0,1)+$A$18,$A$18)=0,$A$18,MOD($A47+INDEX(_xlfn.TEXTSPLIT(I145,",",),0,1)+$A$18,$A$18))/5,0),ROUNDUP(IF(MOD(I$18+INDEX(_xlfn.TEXTSPLIT(I145,",",),0,2)+$A$18,$A$18)=0,$A$18,MOD(I$18+INDEX(_xlfn.TEXTSPLIT(I145,",",),0,2)+$A$18,$A$18))/5,0)))</f>
        <v>3</v>
      </c>
      <c r="J47" s="1" cm="1">
        <f t="array" aca="1" ref="J47" ca="1">(INDEX($K$2:$T$11,ROUNDUP(IF(MOD($A47+INDEX(_xlfn.TEXTSPLIT(J102,",",),0,1)+$A$18,$A$18)=0,$A$18,MOD($A47+INDEX(_xlfn.TEXTSPLIT(J102,",",),0,1)+$A$18,$A$18))/4,0),ROUNDUP(IF(MOD(J$18+INDEX(_xlfn.TEXTSPLIT(J102,",",),0,2)+$A$18,$A$18)=0,$A$18,MOD(J$18+INDEX(_xlfn.TEXTSPLIT(J102,",",),0,2)+$A$18,$A$18))/4,0)))+(INDEX($AD$2:$AK$9,ROUNDUP(IF(MOD($A47+INDEX(_xlfn.TEXTSPLIT(J145,",",),0,1)+$A$18,$A$18)=0,$A$18,MOD($A47+INDEX(_xlfn.TEXTSPLIT(J145,",",),0,1)+$A$18,$A$18))/5,0),ROUNDUP(IF(MOD(J$18+INDEX(_xlfn.TEXTSPLIT(J145,",",),0,2)+$A$18,$A$18)=0,$A$18,MOD(J$18+INDEX(_xlfn.TEXTSPLIT(J145,",",),0,2)+$A$18,$A$18))/5,0)))</f>
        <v>7</v>
      </c>
      <c r="K47" s="1" cm="1">
        <f t="array" aca="1" ref="K47" ca="1">(INDEX($K$2:$T$11,ROUNDUP(IF(MOD($A47+INDEX(_xlfn.TEXTSPLIT(K102,",",),0,1)+$A$18,$A$18)=0,$A$18,MOD($A47+INDEX(_xlfn.TEXTSPLIT(K102,",",),0,1)+$A$18,$A$18))/4,0),ROUNDUP(IF(MOD(K$18+INDEX(_xlfn.TEXTSPLIT(K102,",",),0,2)+$A$18,$A$18)=0,$A$18,MOD(K$18+INDEX(_xlfn.TEXTSPLIT(K102,",",),0,2)+$A$18,$A$18))/4,0)))+(INDEX($AD$2:$AK$9,ROUNDUP(IF(MOD($A47+INDEX(_xlfn.TEXTSPLIT(K145,",",),0,1)+$A$18,$A$18)=0,$A$18,MOD($A47+INDEX(_xlfn.TEXTSPLIT(K145,",",),0,1)+$A$18,$A$18))/5,0),ROUNDUP(IF(MOD(K$18+INDEX(_xlfn.TEXTSPLIT(K145,",",),0,2)+$A$18,$A$18)=0,$A$18,MOD(K$18+INDEX(_xlfn.TEXTSPLIT(K145,",",),0,2)+$A$18,$A$18))/5,0)))</f>
        <v>7</v>
      </c>
      <c r="L47" s="1" cm="1">
        <f t="array" aca="1" ref="L47" ca="1">(INDEX($K$2:$T$11,ROUNDUP(IF(MOD($A47+INDEX(_xlfn.TEXTSPLIT(L102,",",),0,1)+$A$18,$A$18)=0,$A$18,MOD($A47+INDEX(_xlfn.TEXTSPLIT(L102,",",),0,1)+$A$18,$A$18))/4,0),ROUNDUP(IF(MOD(L$18+INDEX(_xlfn.TEXTSPLIT(L102,",",),0,2)+$A$18,$A$18)=0,$A$18,MOD(L$18+INDEX(_xlfn.TEXTSPLIT(L102,",",),0,2)+$A$18,$A$18))/4,0)))+(INDEX($AD$2:$AK$9,ROUNDUP(IF(MOD($A47+INDEX(_xlfn.TEXTSPLIT(L145,",",),0,1)+$A$18,$A$18)=0,$A$18,MOD($A47+INDEX(_xlfn.TEXTSPLIT(L145,",",),0,1)+$A$18,$A$18))/5,0),ROUNDUP(IF(MOD(L$18+INDEX(_xlfn.TEXTSPLIT(L145,",",),0,2)+$A$18,$A$18)=0,$A$18,MOD(L$18+INDEX(_xlfn.TEXTSPLIT(L145,",",),0,2)+$A$18,$A$18))/5,0)))</f>
        <v>6</v>
      </c>
      <c r="M47" s="1" cm="1">
        <f t="array" aca="1" ref="M47" ca="1">(INDEX($K$2:$T$11,ROUNDUP(IF(MOD($A47+INDEX(_xlfn.TEXTSPLIT(M102,",",),0,1)+$A$18,$A$18)=0,$A$18,MOD($A47+INDEX(_xlfn.TEXTSPLIT(M102,",",),0,1)+$A$18,$A$18))/4,0),ROUNDUP(IF(MOD(M$18+INDEX(_xlfn.TEXTSPLIT(M102,",",),0,2)+$A$18,$A$18)=0,$A$18,MOD(M$18+INDEX(_xlfn.TEXTSPLIT(M102,",",),0,2)+$A$18,$A$18))/4,0)))+(INDEX($AD$2:$AK$9,ROUNDUP(IF(MOD($A47+INDEX(_xlfn.TEXTSPLIT(M145,",",),0,1)+$A$18,$A$18)=0,$A$18,MOD($A47+INDEX(_xlfn.TEXTSPLIT(M145,",",),0,1)+$A$18,$A$18))/5,0),ROUNDUP(IF(MOD(M$18+INDEX(_xlfn.TEXTSPLIT(M145,",",),0,2)+$A$18,$A$18)=0,$A$18,MOD(M$18+INDEX(_xlfn.TEXTSPLIT(M145,",",),0,2)+$A$18,$A$18))/5,0)))</f>
        <v>6</v>
      </c>
      <c r="N47" s="1" cm="1">
        <f t="array" aca="1" ref="N47" ca="1">(INDEX($K$2:$T$11,ROUNDUP(IF(MOD($A47+INDEX(_xlfn.TEXTSPLIT(N102,",",),0,1)+$A$18,$A$18)=0,$A$18,MOD($A47+INDEX(_xlfn.TEXTSPLIT(N102,",",),0,1)+$A$18,$A$18))/4,0),ROUNDUP(IF(MOD(N$18+INDEX(_xlfn.TEXTSPLIT(N102,",",),0,2)+$A$18,$A$18)=0,$A$18,MOD(N$18+INDEX(_xlfn.TEXTSPLIT(N102,",",),0,2)+$A$18,$A$18))/4,0)))+(INDEX($AD$2:$AK$9,ROUNDUP(IF(MOD($A47+INDEX(_xlfn.TEXTSPLIT(N145,",",),0,1)+$A$18,$A$18)=0,$A$18,MOD($A47+INDEX(_xlfn.TEXTSPLIT(N145,",",),0,1)+$A$18,$A$18))/5,0),ROUNDUP(IF(MOD(N$18+INDEX(_xlfn.TEXTSPLIT(N145,",",),0,2)+$A$18,$A$18)=0,$A$18,MOD(N$18+INDEX(_xlfn.TEXTSPLIT(N145,",",),0,2)+$A$18,$A$18))/5,0)))</f>
        <v>6</v>
      </c>
      <c r="O47" s="1" cm="1">
        <f t="array" aca="1" ref="O47" ca="1">(INDEX($K$2:$T$11,ROUNDUP(IF(MOD($A47+INDEX(_xlfn.TEXTSPLIT(O102,",",),0,1)+$A$18,$A$18)=0,$A$18,MOD($A47+INDEX(_xlfn.TEXTSPLIT(O102,",",),0,1)+$A$18,$A$18))/4,0),ROUNDUP(IF(MOD(O$18+INDEX(_xlfn.TEXTSPLIT(O102,",",),0,2)+$A$18,$A$18)=0,$A$18,MOD(O$18+INDEX(_xlfn.TEXTSPLIT(O102,",",),0,2)+$A$18,$A$18))/4,0)))+(INDEX($AD$2:$AK$9,ROUNDUP(IF(MOD($A47+INDEX(_xlfn.TEXTSPLIT(O145,",",),0,1)+$A$18,$A$18)=0,$A$18,MOD($A47+INDEX(_xlfn.TEXTSPLIT(O145,",",),0,1)+$A$18,$A$18))/5,0),ROUNDUP(IF(MOD(O$18+INDEX(_xlfn.TEXTSPLIT(O145,",",),0,2)+$A$18,$A$18)=0,$A$18,MOD(O$18+INDEX(_xlfn.TEXTSPLIT(O145,",",),0,2)+$A$18,$A$18))/5,0)))</f>
        <v>6</v>
      </c>
      <c r="P47" s="1" cm="1">
        <f t="array" aca="1" ref="P47" ca="1">(INDEX($K$2:$T$11,ROUNDUP(IF(MOD($A47+INDEX(_xlfn.TEXTSPLIT(P102,",",),0,1)+$A$18,$A$18)=0,$A$18,MOD($A47+INDEX(_xlfn.TEXTSPLIT(P102,",",),0,1)+$A$18,$A$18))/4,0),ROUNDUP(IF(MOD(P$18+INDEX(_xlfn.TEXTSPLIT(P102,",",),0,2)+$A$18,$A$18)=0,$A$18,MOD(P$18+INDEX(_xlfn.TEXTSPLIT(P102,",",),0,2)+$A$18,$A$18))/4,0)))+(INDEX($AD$2:$AK$9,ROUNDUP(IF(MOD($A47+INDEX(_xlfn.TEXTSPLIT(P145,",",),0,1)+$A$18,$A$18)=0,$A$18,MOD($A47+INDEX(_xlfn.TEXTSPLIT(P145,",",),0,1)+$A$18,$A$18))/5,0),ROUNDUP(IF(MOD(P$18+INDEX(_xlfn.TEXTSPLIT(P145,",",),0,2)+$A$18,$A$18)=0,$A$18,MOD(P$18+INDEX(_xlfn.TEXTSPLIT(P145,",",),0,2)+$A$18,$A$18))/5,0)))</f>
        <v>8</v>
      </c>
      <c r="Q47" s="1" cm="1">
        <f t="array" aca="1" ref="Q47" ca="1">(INDEX($K$2:$T$11,ROUNDUP(IF(MOD($A47+INDEX(_xlfn.TEXTSPLIT(Q102,",",),0,1)+$A$18,$A$18)=0,$A$18,MOD($A47+INDEX(_xlfn.TEXTSPLIT(Q102,",",),0,1)+$A$18,$A$18))/4,0),ROUNDUP(IF(MOD(Q$18+INDEX(_xlfn.TEXTSPLIT(Q102,",",),0,2)+$A$18,$A$18)=0,$A$18,MOD(Q$18+INDEX(_xlfn.TEXTSPLIT(Q102,",",),0,2)+$A$18,$A$18))/4,0)))+(INDEX($AD$2:$AK$9,ROUNDUP(IF(MOD($A47+INDEX(_xlfn.TEXTSPLIT(Q145,",",),0,1)+$A$18,$A$18)=0,$A$18,MOD($A47+INDEX(_xlfn.TEXTSPLIT(Q145,",",),0,1)+$A$18,$A$18))/5,0),ROUNDUP(IF(MOD(Q$18+INDEX(_xlfn.TEXTSPLIT(Q145,",",),0,2)+$A$18,$A$18)=0,$A$18,MOD(Q$18+INDEX(_xlfn.TEXTSPLIT(Q145,",",),0,2)+$A$18,$A$18))/5,0)))</f>
        <v>8</v>
      </c>
      <c r="R47" s="1" cm="1">
        <f t="array" aca="1" ref="R47" ca="1">(INDEX($K$2:$T$11,ROUNDUP(IF(MOD($A47+INDEX(_xlfn.TEXTSPLIT(R102,",",),0,1)+$A$18,$A$18)=0,$A$18,MOD($A47+INDEX(_xlfn.TEXTSPLIT(R102,",",),0,1)+$A$18,$A$18))/4,0),ROUNDUP(IF(MOD(R$18+INDEX(_xlfn.TEXTSPLIT(R102,",",),0,2)+$A$18,$A$18)=0,$A$18,MOD(R$18+INDEX(_xlfn.TEXTSPLIT(R102,",",),0,2)+$A$18,$A$18))/4,0)))+(INDEX($AD$2:$AK$9,ROUNDUP(IF(MOD($A47+INDEX(_xlfn.TEXTSPLIT(R145,",",),0,1)+$A$18,$A$18)=0,$A$18,MOD($A47+INDEX(_xlfn.TEXTSPLIT(R145,",",),0,1)+$A$18,$A$18))/5,0),ROUNDUP(IF(MOD(R$18+INDEX(_xlfn.TEXTSPLIT(R145,",",),0,2)+$A$18,$A$18)=0,$A$18,MOD(R$18+INDEX(_xlfn.TEXTSPLIT(R145,",",),0,2)+$A$18,$A$18))/5,0)))</f>
        <v>8</v>
      </c>
      <c r="S47" s="1" cm="1">
        <f t="array" aca="1" ref="S47" ca="1">(INDEX($K$2:$T$11,ROUNDUP(IF(MOD($A47+INDEX(_xlfn.TEXTSPLIT(S102,",",),0,1)+$A$18,$A$18)=0,$A$18,MOD($A47+INDEX(_xlfn.TEXTSPLIT(S102,",",),0,1)+$A$18,$A$18))/4,0),ROUNDUP(IF(MOD(S$18+INDEX(_xlfn.TEXTSPLIT(S102,",",),0,2)+$A$18,$A$18)=0,$A$18,MOD(S$18+INDEX(_xlfn.TEXTSPLIT(S102,",",),0,2)+$A$18,$A$18))/4,0)))+(INDEX($AD$2:$AK$9,ROUNDUP(IF(MOD($A47+INDEX(_xlfn.TEXTSPLIT(S145,",",),0,1)+$A$18,$A$18)=0,$A$18,MOD($A47+INDEX(_xlfn.TEXTSPLIT(S145,",",),0,1)+$A$18,$A$18))/5,0),ROUNDUP(IF(MOD(S$18+INDEX(_xlfn.TEXTSPLIT(S145,",",),0,2)+$A$18,$A$18)=0,$A$18,MOD(S$18+INDEX(_xlfn.TEXTSPLIT(S145,",",),0,2)+$A$18,$A$18))/5,0)))</f>
        <v>8</v>
      </c>
      <c r="T47" s="1" cm="1">
        <f t="array" aca="1" ref="T47" ca="1">(INDEX($K$2:$T$11,ROUNDUP(IF(MOD($A47+INDEX(_xlfn.TEXTSPLIT(T102,",",),0,1)+$A$18,$A$18)=0,$A$18,MOD($A47+INDEX(_xlfn.TEXTSPLIT(T102,",",),0,1)+$A$18,$A$18))/4,0),ROUNDUP(IF(MOD(T$18+INDEX(_xlfn.TEXTSPLIT(T102,",",),0,2)+$A$18,$A$18)=0,$A$18,MOD(T$18+INDEX(_xlfn.TEXTSPLIT(T102,",",),0,2)+$A$18,$A$18))/4,0)))+(INDEX($AD$2:$AK$9,ROUNDUP(IF(MOD($A47+INDEX(_xlfn.TEXTSPLIT(T145,",",),0,1)+$A$18,$A$18)=0,$A$18,MOD($A47+INDEX(_xlfn.TEXTSPLIT(T145,",",),0,1)+$A$18,$A$18))/5,0),ROUNDUP(IF(MOD(T$18+INDEX(_xlfn.TEXTSPLIT(T145,",",),0,2)+$A$18,$A$18)=0,$A$18,MOD(T$18+INDEX(_xlfn.TEXTSPLIT(T145,",",),0,2)+$A$18,$A$18))/5,0)))</f>
        <v>8</v>
      </c>
      <c r="U47" s="1" cm="1">
        <f t="array" aca="1" ref="U47" ca="1">(INDEX($K$2:$T$11,ROUNDUP(IF(MOD($A47+INDEX(_xlfn.TEXTSPLIT(U102,",",),0,1)+$A$18,$A$18)=0,$A$18,MOD($A47+INDEX(_xlfn.TEXTSPLIT(U102,",",),0,1)+$A$18,$A$18))/4,0),ROUNDUP(IF(MOD(U$18+INDEX(_xlfn.TEXTSPLIT(U102,",",),0,2)+$A$18,$A$18)=0,$A$18,MOD(U$18+INDEX(_xlfn.TEXTSPLIT(U102,",",),0,2)+$A$18,$A$18))/4,0)))+(INDEX($AD$2:$AK$9,ROUNDUP(IF(MOD($A47+INDEX(_xlfn.TEXTSPLIT(U145,",",),0,1)+$A$18,$A$18)=0,$A$18,MOD($A47+INDEX(_xlfn.TEXTSPLIT(U145,",",),0,1)+$A$18,$A$18))/5,0),ROUNDUP(IF(MOD(U$18+INDEX(_xlfn.TEXTSPLIT(U145,",",),0,2)+$A$18,$A$18)=0,$A$18,MOD(U$18+INDEX(_xlfn.TEXTSPLIT(U145,",",),0,2)+$A$18,$A$18))/5,0)))</f>
        <v>8</v>
      </c>
      <c r="V47" s="1" cm="1">
        <f t="array" aca="1" ref="V47" ca="1">(INDEX($K$2:$T$11,ROUNDUP(IF(MOD($A47+INDEX(_xlfn.TEXTSPLIT(V102,",",),0,1)+$A$18,$A$18)=0,$A$18,MOD($A47+INDEX(_xlfn.TEXTSPLIT(V102,",",),0,1)+$A$18,$A$18))/4,0),ROUNDUP(IF(MOD(V$18+INDEX(_xlfn.TEXTSPLIT(V102,",",),0,2)+$A$18,$A$18)=0,$A$18,MOD(V$18+INDEX(_xlfn.TEXTSPLIT(V102,",",),0,2)+$A$18,$A$18))/4,0)))+(INDEX($AD$2:$AK$9,ROUNDUP(IF(MOD($A47+INDEX(_xlfn.TEXTSPLIT(V145,",",),0,1)+$A$18,$A$18)=0,$A$18,MOD($A47+INDEX(_xlfn.TEXTSPLIT(V145,",",),0,1)+$A$18,$A$18))/5,0),ROUNDUP(IF(MOD(V$18+INDEX(_xlfn.TEXTSPLIT(V145,",",),0,2)+$A$18,$A$18)=0,$A$18,MOD(V$18+INDEX(_xlfn.TEXTSPLIT(V145,",",),0,2)+$A$18,$A$18))/5,0)))</f>
        <v>7</v>
      </c>
      <c r="W47" s="1" cm="1">
        <f t="array" aca="1" ref="W47" ca="1">(INDEX($K$2:$T$11,ROUNDUP(IF(MOD($A47+INDEX(_xlfn.TEXTSPLIT(W102,",",),0,1)+$A$18,$A$18)=0,$A$18,MOD($A47+INDEX(_xlfn.TEXTSPLIT(W102,",",),0,1)+$A$18,$A$18))/4,0),ROUNDUP(IF(MOD(W$18+INDEX(_xlfn.TEXTSPLIT(W102,",",),0,2)+$A$18,$A$18)=0,$A$18,MOD(W$18+INDEX(_xlfn.TEXTSPLIT(W102,",",),0,2)+$A$18,$A$18))/4,0)))+(INDEX($AD$2:$AK$9,ROUNDUP(IF(MOD($A47+INDEX(_xlfn.TEXTSPLIT(W145,",",),0,1)+$A$18,$A$18)=0,$A$18,MOD($A47+INDEX(_xlfn.TEXTSPLIT(W145,",",),0,1)+$A$18,$A$18))/5,0),ROUNDUP(IF(MOD(W$18+INDEX(_xlfn.TEXTSPLIT(W145,",",),0,2)+$A$18,$A$18)=0,$A$18,MOD(W$18+INDEX(_xlfn.TEXTSPLIT(W145,",",),0,2)+$A$18,$A$18))/5,0)))</f>
        <v>7</v>
      </c>
      <c r="X47" s="1" cm="1">
        <f t="array" aca="1" ref="X47" ca="1">(INDEX($K$2:$T$11,ROUNDUP(IF(MOD($A47+INDEX(_xlfn.TEXTSPLIT(X102,",",),0,1)+$A$18,$A$18)=0,$A$18,MOD($A47+INDEX(_xlfn.TEXTSPLIT(X102,",",),0,1)+$A$18,$A$18))/4,0),ROUNDUP(IF(MOD(X$18+INDEX(_xlfn.TEXTSPLIT(X102,",",),0,2)+$A$18,$A$18)=0,$A$18,MOD(X$18+INDEX(_xlfn.TEXTSPLIT(X102,",",),0,2)+$A$18,$A$18))/4,0)))+(INDEX($AD$2:$AK$9,ROUNDUP(IF(MOD($A47+INDEX(_xlfn.TEXTSPLIT(X145,",",),0,1)+$A$18,$A$18)=0,$A$18,MOD($A47+INDEX(_xlfn.TEXTSPLIT(X145,",",),0,1)+$A$18,$A$18))/5,0),ROUNDUP(IF(MOD(X$18+INDEX(_xlfn.TEXTSPLIT(X145,",",),0,2)+$A$18,$A$18)=0,$A$18,MOD(X$18+INDEX(_xlfn.TEXTSPLIT(X145,",",),0,2)+$A$18,$A$18))/5,0)))</f>
        <v>7</v>
      </c>
      <c r="Y47" s="1" cm="1">
        <f t="array" aca="1" ref="Y47" ca="1">(INDEX($K$2:$T$11,ROUNDUP(IF(MOD($A47+INDEX(_xlfn.TEXTSPLIT(Y102,",",),0,1)+$A$18,$A$18)=0,$A$18,MOD($A47+INDEX(_xlfn.TEXTSPLIT(Y102,",",),0,1)+$A$18,$A$18))/4,0),ROUNDUP(IF(MOD(Y$18+INDEX(_xlfn.TEXTSPLIT(Y102,",",),0,2)+$A$18,$A$18)=0,$A$18,MOD(Y$18+INDEX(_xlfn.TEXTSPLIT(Y102,",",),0,2)+$A$18,$A$18))/4,0)))+(INDEX($AD$2:$AK$9,ROUNDUP(IF(MOD($A47+INDEX(_xlfn.TEXTSPLIT(Y145,",",),0,1)+$A$18,$A$18)=0,$A$18,MOD($A47+INDEX(_xlfn.TEXTSPLIT(Y145,",",),0,1)+$A$18,$A$18))/5,0),ROUNDUP(IF(MOD(Y$18+INDEX(_xlfn.TEXTSPLIT(Y145,",",),0,2)+$A$18,$A$18)=0,$A$18,MOD(Y$18+INDEX(_xlfn.TEXTSPLIT(Y145,",",),0,2)+$A$18,$A$18))/5,0)))</f>
        <v>7</v>
      </c>
      <c r="Z47" s="1" cm="1">
        <f t="array" aca="1" ref="Z47" ca="1">(INDEX($K$2:$T$11,ROUNDUP(IF(MOD($A47+INDEX(_xlfn.TEXTSPLIT(Z102,",",),0,1)+$A$18,$A$18)=0,$A$18,MOD($A47+INDEX(_xlfn.TEXTSPLIT(Z102,",",),0,1)+$A$18,$A$18))/4,0),ROUNDUP(IF(MOD(Z$18+INDEX(_xlfn.TEXTSPLIT(Z102,",",),0,2)+$A$18,$A$18)=0,$A$18,MOD(Z$18+INDEX(_xlfn.TEXTSPLIT(Z102,",",),0,2)+$A$18,$A$18))/4,0)))+(INDEX($AD$2:$AK$9,ROUNDUP(IF(MOD($A47+INDEX(_xlfn.TEXTSPLIT(Z145,",",),0,1)+$A$18,$A$18)=0,$A$18,MOD($A47+INDEX(_xlfn.TEXTSPLIT(Z145,",",),0,1)+$A$18,$A$18))/5,0),ROUNDUP(IF(MOD(Z$18+INDEX(_xlfn.TEXTSPLIT(Z145,",",),0,2)+$A$18,$A$18)=0,$A$18,MOD(Z$18+INDEX(_xlfn.TEXTSPLIT(Z145,",",),0,2)+$A$18,$A$18))/5,0)))</f>
        <v>7</v>
      </c>
      <c r="AA47" s="1" cm="1">
        <f t="array" aca="1" ref="AA47" ca="1">(INDEX($K$2:$T$11,ROUNDUP(IF(MOD($A47+INDEX(_xlfn.TEXTSPLIT(AA102,",",),0,1)+$A$18,$A$18)=0,$A$18,MOD($A47+INDEX(_xlfn.TEXTSPLIT(AA102,",",),0,1)+$A$18,$A$18))/4,0),ROUNDUP(IF(MOD(AA$18+INDEX(_xlfn.TEXTSPLIT(AA102,",",),0,2)+$A$18,$A$18)=0,$A$18,MOD(AA$18+INDEX(_xlfn.TEXTSPLIT(AA102,",",),0,2)+$A$18,$A$18))/4,0)))+(INDEX($AD$2:$AK$9,ROUNDUP(IF(MOD($A47+INDEX(_xlfn.TEXTSPLIT(AA145,",",),0,1)+$A$18,$A$18)=0,$A$18,MOD($A47+INDEX(_xlfn.TEXTSPLIT(AA145,",",),0,1)+$A$18,$A$18))/5,0),ROUNDUP(IF(MOD(AA$18+INDEX(_xlfn.TEXTSPLIT(AA145,",",),0,2)+$A$18,$A$18)=0,$A$18,MOD(AA$18+INDEX(_xlfn.TEXTSPLIT(AA145,",",),0,2)+$A$18,$A$18))/5,0)))</f>
        <v>7</v>
      </c>
      <c r="AB47" s="1" cm="1">
        <f t="array" aca="1" ref="AB47" ca="1">(INDEX($K$2:$T$11,ROUNDUP(IF(MOD($A47+INDEX(_xlfn.TEXTSPLIT(AB102,",",),0,1)+$A$18,$A$18)=0,$A$18,MOD($A47+INDEX(_xlfn.TEXTSPLIT(AB102,",",),0,1)+$A$18,$A$18))/4,0),ROUNDUP(IF(MOD(AB$18+INDEX(_xlfn.TEXTSPLIT(AB102,",",),0,2)+$A$18,$A$18)=0,$A$18,MOD(AB$18+INDEX(_xlfn.TEXTSPLIT(AB102,",",),0,2)+$A$18,$A$18))/4,0)))+(INDEX($AD$2:$AK$9,ROUNDUP(IF(MOD($A47+INDEX(_xlfn.TEXTSPLIT(AB145,",",),0,1)+$A$18,$A$18)=0,$A$18,MOD($A47+INDEX(_xlfn.TEXTSPLIT(AB145,",",),0,1)+$A$18,$A$18))/5,0),ROUNDUP(IF(MOD(AB$18+INDEX(_xlfn.TEXTSPLIT(AB145,",",),0,2)+$A$18,$A$18)=0,$A$18,MOD(AB$18+INDEX(_xlfn.TEXTSPLIT(AB145,",",),0,2)+$A$18,$A$18))/5,0)))</f>
        <v>7</v>
      </c>
      <c r="AC47" s="1" cm="1">
        <f t="array" aca="1" ref="AC47" ca="1">(INDEX($K$2:$T$11,ROUNDUP(IF(MOD($A47+INDEX(_xlfn.TEXTSPLIT(AC102,",",),0,1)+$A$18,$A$18)=0,$A$18,MOD($A47+INDEX(_xlfn.TEXTSPLIT(AC102,",",),0,1)+$A$18,$A$18))/4,0),ROUNDUP(IF(MOD(AC$18+INDEX(_xlfn.TEXTSPLIT(AC102,",",),0,2)+$A$18,$A$18)=0,$A$18,MOD(AC$18+INDEX(_xlfn.TEXTSPLIT(AC102,",",),0,2)+$A$18,$A$18))/4,0)))+(INDEX($AD$2:$AK$9,ROUNDUP(IF(MOD($A47+INDEX(_xlfn.TEXTSPLIT(AC145,",",),0,1)+$A$18,$A$18)=0,$A$18,MOD($A47+INDEX(_xlfn.TEXTSPLIT(AC145,",",),0,1)+$A$18,$A$18))/5,0),ROUNDUP(IF(MOD(AC$18+INDEX(_xlfn.TEXTSPLIT(AC145,",",),0,2)+$A$18,$A$18)=0,$A$18,MOD(AC$18+INDEX(_xlfn.TEXTSPLIT(AC145,",",),0,2)+$A$18,$A$18))/5,0)))</f>
        <v>7</v>
      </c>
      <c r="AD47" s="1" cm="1">
        <f t="array" aca="1" ref="AD47" ca="1">(INDEX($K$2:$T$11,ROUNDUP(IF(MOD($A47+INDEX(_xlfn.TEXTSPLIT(AD102,",",),0,1)+$A$18,$A$18)=0,$A$18,MOD($A47+INDEX(_xlfn.TEXTSPLIT(AD102,",",),0,1)+$A$18,$A$18))/4,0),ROUNDUP(IF(MOD(AD$18+INDEX(_xlfn.TEXTSPLIT(AD102,",",),0,2)+$A$18,$A$18)=0,$A$18,MOD(AD$18+INDEX(_xlfn.TEXTSPLIT(AD102,",",),0,2)+$A$18,$A$18))/4,0)))+(INDEX($AD$2:$AK$9,ROUNDUP(IF(MOD($A47+INDEX(_xlfn.TEXTSPLIT(AD145,",",),0,1)+$A$18,$A$18)=0,$A$18,MOD($A47+INDEX(_xlfn.TEXTSPLIT(AD145,",",),0,1)+$A$18,$A$18))/5,0),ROUNDUP(IF(MOD(AD$18+INDEX(_xlfn.TEXTSPLIT(AD145,",",),0,2)+$A$18,$A$18)=0,$A$18,MOD(AD$18+INDEX(_xlfn.TEXTSPLIT(AD145,",",),0,2)+$A$18,$A$18))/5,0)))</f>
        <v>7</v>
      </c>
      <c r="AE47" s="1" cm="1">
        <f t="array" aca="1" ref="AE47" ca="1">(INDEX($K$2:$T$11,ROUNDUP(IF(MOD($A47+INDEX(_xlfn.TEXTSPLIT(AE102,",",),0,1)+$A$18,$A$18)=0,$A$18,MOD($A47+INDEX(_xlfn.TEXTSPLIT(AE102,",",),0,1)+$A$18,$A$18))/4,0),ROUNDUP(IF(MOD(AE$18+INDEX(_xlfn.TEXTSPLIT(AE102,",",),0,2)+$A$18,$A$18)=0,$A$18,MOD(AE$18+INDEX(_xlfn.TEXTSPLIT(AE102,",",),0,2)+$A$18,$A$18))/4,0)))+(INDEX($AD$2:$AK$9,ROUNDUP(IF(MOD($A47+INDEX(_xlfn.TEXTSPLIT(AE145,",",),0,1)+$A$18,$A$18)=0,$A$18,MOD($A47+INDEX(_xlfn.TEXTSPLIT(AE145,",",),0,1)+$A$18,$A$18))/5,0),ROUNDUP(IF(MOD(AE$18+INDEX(_xlfn.TEXTSPLIT(AE145,",",),0,2)+$A$18,$A$18)=0,$A$18,MOD(AE$18+INDEX(_xlfn.TEXTSPLIT(AE145,",",),0,2)+$A$18,$A$18))/5,0)))</f>
        <v>7</v>
      </c>
      <c r="AF47" s="1" cm="1">
        <f t="array" aca="1" ref="AF47" ca="1">(INDEX($K$2:$T$11,ROUNDUP(IF(MOD($A47+INDEX(_xlfn.TEXTSPLIT(AF102,",",),0,1)+$A$18,$A$18)=0,$A$18,MOD($A47+INDEX(_xlfn.TEXTSPLIT(AF102,",",),0,1)+$A$18,$A$18))/4,0),ROUNDUP(IF(MOD(AF$18+INDEX(_xlfn.TEXTSPLIT(AF102,",",),0,2)+$A$18,$A$18)=0,$A$18,MOD(AF$18+INDEX(_xlfn.TEXTSPLIT(AF102,",",),0,2)+$A$18,$A$18))/4,0)))+(INDEX($AD$2:$AK$9,ROUNDUP(IF(MOD($A47+INDEX(_xlfn.TEXTSPLIT(AF145,",",),0,1)+$A$18,$A$18)=0,$A$18,MOD($A47+INDEX(_xlfn.TEXTSPLIT(AF145,",",),0,1)+$A$18,$A$18))/5,0),ROUNDUP(IF(MOD(AF$18+INDEX(_xlfn.TEXTSPLIT(AF145,",",),0,2)+$A$18,$A$18)=0,$A$18,MOD(AF$18+INDEX(_xlfn.TEXTSPLIT(AF145,",",),0,2)+$A$18,$A$18))/5,0)))</f>
        <v>7</v>
      </c>
      <c r="AG47" s="1" cm="1">
        <f t="array" aca="1" ref="AG47" ca="1">(INDEX($K$2:$T$11,ROUNDUP(IF(MOD($A47+INDEX(_xlfn.TEXTSPLIT(AG102,",",),0,1)+$A$18,$A$18)=0,$A$18,MOD($A47+INDEX(_xlfn.TEXTSPLIT(AG102,",",),0,1)+$A$18,$A$18))/4,0),ROUNDUP(IF(MOD(AG$18+INDEX(_xlfn.TEXTSPLIT(AG102,",",),0,2)+$A$18,$A$18)=0,$A$18,MOD(AG$18+INDEX(_xlfn.TEXTSPLIT(AG102,",",),0,2)+$A$18,$A$18))/4,0)))+(INDEX($AD$2:$AK$9,ROUNDUP(IF(MOD($A47+INDEX(_xlfn.TEXTSPLIT(AG145,",",),0,1)+$A$18,$A$18)=0,$A$18,MOD($A47+INDEX(_xlfn.TEXTSPLIT(AG145,",",),0,1)+$A$18,$A$18))/5,0),ROUNDUP(IF(MOD(AG$18+INDEX(_xlfn.TEXTSPLIT(AG145,",",),0,2)+$A$18,$A$18)=0,$A$18,MOD(AG$18+INDEX(_xlfn.TEXTSPLIT(AG145,",",),0,2)+$A$18,$A$18))/5,0)))</f>
        <v>8</v>
      </c>
      <c r="AH47" s="1" cm="1">
        <f t="array" aca="1" ref="AH47" ca="1">(INDEX($K$2:$T$11,ROUNDUP(IF(MOD($A47+INDEX(_xlfn.TEXTSPLIT(AH102,",",),0,1)+$A$18,$A$18)=0,$A$18,MOD($A47+INDEX(_xlfn.TEXTSPLIT(AH102,",",),0,1)+$A$18,$A$18))/4,0),ROUNDUP(IF(MOD(AH$18+INDEX(_xlfn.TEXTSPLIT(AH102,",",),0,2)+$A$18,$A$18)=0,$A$18,MOD(AH$18+INDEX(_xlfn.TEXTSPLIT(AH102,",",),0,2)+$A$18,$A$18))/4,0)))+(INDEX($AD$2:$AK$9,ROUNDUP(IF(MOD($A47+INDEX(_xlfn.TEXTSPLIT(AH145,",",),0,1)+$A$18,$A$18)=0,$A$18,MOD($A47+INDEX(_xlfn.TEXTSPLIT(AH145,",",),0,1)+$A$18,$A$18))/5,0),ROUNDUP(IF(MOD(AH$18+INDEX(_xlfn.TEXTSPLIT(AH145,",",),0,2)+$A$18,$A$18)=0,$A$18,MOD(AH$18+INDEX(_xlfn.TEXTSPLIT(AH145,",",),0,2)+$A$18,$A$18))/5,0)))</f>
        <v>8</v>
      </c>
      <c r="AI47" s="1" cm="1">
        <f t="array" aca="1" ref="AI47" ca="1">(INDEX($K$2:$T$11,ROUNDUP(IF(MOD($A47+INDEX(_xlfn.TEXTSPLIT(AI102,",",),0,1)+$A$18,$A$18)=0,$A$18,MOD($A47+INDEX(_xlfn.TEXTSPLIT(AI102,",",),0,1)+$A$18,$A$18))/4,0),ROUNDUP(IF(MOD(AI$18+INDEX(_xlfn.TEXTSPLIT(AI102,",",),0,2)+$A$18,$A$18)=0,$A$18,MOD(AI$18+INDEX(_xlfn.TEXTSPLIT(AI102,",",),0,2)+$A$18,$A$18))/4,0)))+(INDEX($AD$2:$AK$9,ROUNDUP(IF(MOD($A47+INDEX(_xlfn.TEXTSPLIT(AI145,",",),0,1)+$A$18,$A$18)=0,$A$18,MOD($A47+INDEX(_xlfn.TEXTSPLIT(AI145,",",),0,1)+$A$18,$A$18))/5,0),ROUNDUP(IF(MOD(AI$18+INDEX(_xlfn.TEXTSPLIT(AI145,",",),0,2)+$A$18,$A$18)=0,$A$18,MOD(AI$18+INDEX(_xlfn.TEXTSPLIT(AI145,",",),0,2)+$A$18,$A$18))/5,0)))</f>
        <v>8</v>
      </c>
      <c r="AJ47" s="1" cm="1">
        <f t="array" aca="1" ref="AJ47" ca="1">(INDEX($K$2:$T$11,ROUNDUP(IF(MOD($A47+INDEX(_xlfn.TEXTSPLIT(AJ102,",",),0,1)+$A$18,$A$18)=0,$A$18,MOD($A47+INDEX(_xlfn.TEXTSPLIT(AJ102,",",),0,1)+$A$18,$A$18))/4,0),ROUNDUP(IF(MOD(AJ$18+INDEX(_xlfn.TEXTSPLIT(AJ102,",",),0,2)+$A$18,$A$18)=0,$A$18,MOD(AJ$18+INDEX(_xlfn.TEXTSPLIT(AJ102,",",),0,2)+$A$18,$A$18))/4,0)))+(INDEX($AD$2:$AK$9,ROUNDUP(IF(MOD($A47+INDEX(_xlfn.TEXTSPLIT(AJ145,",",),0,1)+$A$18,$A$18)=0,$A$18,MOD($A47+INDEX(_xlfn.TEXTSPLIT(AJ145,",",),0,1)+$A$18,$A$18))/5,0),ROUNDUP(IF(MOD(AJ$18+INDEX(_xlfn.TEXTSPLIT(AJ145,",",),0,2)+$A$18,$A$18)=0,$A$18,MOD(AJ$18+INDEX(_xlfn.TEXTSPLIT(AJ145,",",),0,2)+$A$18,$A$18))/5,0)))</f>
        <v>7</v>
      </c>
      <c r="AK47" s="1" cm="1">
        <f t="array" aca="1" ref="AK47" ca="1">(INDEX($K$2:$T$11,ROUNDUP(IF(MOD($A47+INDEX(_xlfn.TEXTSPLIT(AK102,",",),0,1)+$A$18,$A$18)=0,$A$18,MOD($A47+INDEX(_xlfn.TEXTSPLIT(AK102,",",),0,1)+$A$18,$A$18))/4,0),ROUNDUP(IF(MOD(AK$18+INDEX(_xlfn.TEXTSPLIT(AK102,",",),0,2)+$A$18,$A$18)=0,$A$18,MOD(AK$18+INDEX(_xlfn.TEXTSPLIT(AK102,",",),0,2)+$A$18,$A$18))/4,0)))+(INDEX($AD$2:$AK$9,ROUNDUP(IF(MOD($A47+INDEX(_xlfn.TEXTSPLIT(AK145,",",),0,1)+$A$18,$A$18)=0,$A$18,MOD($A47+INDEX(_xlfn.TEXTSPLIT(AK145,",",),0,1)+$A$18,$A$18))/5,0),ROUNDUP(IF(MOD(AK$18+INDEX(_xlfn.TEXTSPLIT(AK145,",",),0,2)+$A$18,$A$18)=0,$A$18,MOD(AK$18+INDEX(_xlfn.TEXTSPLIT(AK145,",",),0,2)+$A$18,$A$18))/5,0)))</f>
        <v>7</v>
      </c>
      <c r="AL47" s="1" cm="1">
        <f t="array" aca="1" ref="AL47" ca="1">(INDEX($K$2:$T$11,ROUNDUP(IF(MOD($A47+INDEX(_xlfn.TEXTSPLIT(AL102,",",),0,1)+$A$18,$A$18)=0,$A$18,MOD($A47+INDEX(_xlfn.TEXTSPLIT(AL102,",",),0,1)+$A$18,$A$18))/4,0),ROUNDUP(IF(MOD(AL$18+INDEX(_xlfn.TEXTSPLIT(AL102,",",),0,2)+$A$18,$A$18)=0,$A$18,MOD(AL$18+INDEX(_xlfn.TEXTSPLIT(AL102,",",),0,2)+$A$18,$A$18))/4,0)))+(INDEX($AD$2:$AK$9,ROUNDUP(IF(MOD($A47+INDEX(_xlfn.TEXTSPLIT(AL145,",",),0,1)+$A$18,$A$18)=0,$A$18,MOD($A47+INDEX(_xlfn.TEXTSPLIT(AL145,",",),0,1)+$A$18,$A$18))/5,0),ROUNDUP(IF(MOD(AL$18+INDEX(_xlfn.TEXTSPLIT(AL145,",",),0,2)+$A$18,$A$18)=0,$A$18,MOD(AL$18+INDEX(_xlfn.TEXTSPLIT(AL145,",",),0,2)+$A$18,$A$18))/5,0)))</f>
        <v>7</v>
      </c>
      <c r="AM47" s="1" cm="1">
        <f t="array" aca="1" ref="AM47" ca="1">(INDEX($K$2:$T$11,ROUNDUP(IF(MOD($A47+INDEX(_xlfn.TEXTSPLIT(AM102,",",),0,1)+$A$18,$A$18)=0,$A$18,MOD($A47+INDEX(_xlfn.TEXTSPLIT(AM102,",",),0,1)+$A$18,$A$18))/4,0),ROUNDUP(IF(MOD(AM$18+INDEX(_xlfn.TEXTSPLIT(AM102,",",),0,2)+$A$18,$A$18)=0,$A$18,MOD(AM$18+INDEX(_xlfn.TEXTSPLIT(AM102,",",),0,2)+$A$18,$A$18))/4,0)))+(INDEX($AD$2:$AK$9,ROUNDUP(IF(MOD($A47+INDEX(_xlfn.TEXTSPLIT(AM145,",",),0,1)+$A$18,$A$18)=0,$A$18,MOD($A47+INDEX(_xlfn.TEXTSPLIT(AM145,",",),0,1)+$A$18,$A$18))/5,0),ROUNDUP(IF(MOD(AM$18+INDEX(_xlfn.TEXTSPLIT(AM145,",",),0,2)+$A$18,$A$18)=0,$A$18,MOD(AM$18+INDEX(_xlfn.TEXTSPLIT(AM145,",",),0,2)+$A$18,$A$18))/5,0)))</f>
        <v>7</v>
      </c>
      <c r="AN47" s="1" cm="1">
        <f t="array" aca="1" ref="AN47" ca="1">(INDEX($K$2:$T$11,ROUNDUP(IF(MOD($A47+INDEX(_xlfn.TEXTSPLIT(AN102,",",),0,1)+$A$18,$A$18)=0,$A$18,MOD($A47+INDEX(_xlfn.TEXTSPLIT(AN102,",",),0,1)+$A$18,$A$18))/4,0),ROUNDUP(IF(MOD(AN$18+INDEX(_xlfn.TEXTSPLIT(AN102,",",),0,2)+$A$18,$A$18)=0,$A$18,MOD(AN$18+INDEX(_xlfn.TEXTSPLIT(AN102,",",),0,2)+$A$18,$A$18))/4,0)))+(INDEX($AD$2:$AK$9,ROUNDUP(IF(MOD($A47+INDEX(_xlfn.TEXTSPLIT(AN145,",",),0,1)+$A$18,$A$18)=0,$A$18,MOD($A47+INDEX(_xlfn.TEXTSPLIT(AN145,",",),0,1)+$A$18,$A$18))/5,0),ROUNDUP(IF(MOD(AN$18+INDEX(_xlfn.TEXTSPLIT(AN145,",",),0,2)+$A$18,$A$18)=0,$A$18,MOD(AN$18+INDEX(_xlfn.TEXTSPLIT(AN145,",",),0,2)+$A$18,$A$18))/5,0)))</f>
        <v>7</v>
      </c>
      <c r="AO47" s="1" cm="1">
        <f t="array" aca="1" ref="AO47" ca="1">(INDEX($K$2:$T$11,ROUNDUP(IF(MOD($A47+INDEX(_xlfn.TEXTSPLIT(AO102,",",),0,1)+$A$18,$A$18)=0,$A$18,MOD($A47+INDEX(_xlfn.TEXTSPLIT(AO102,",",),0,1)+$A$18,$A$18))/4,0),ROUNDUP(IF(MOD(AO$18+INDEX(_xlfn.TEXTSPLIT(AO102,",",),0,2)+$A$18,$A$18)=0,$A$18,MOD(AO$18+INDEX(_xlfn.TEXTSPLIT(AO102,",",),0,2)+$A$18,$A$18))/4,0)))+(INDEX($AD$2:$AK$9,ROUNDUP(IF(MOD($A47+INDEX(_xlfn.TEXTSPLIT(AO145,",",),0,1)+$A$18,$A$18)=0,$A$18,MOD($A47+INDEX(_xlfn.TEXTSPLIT(AO145,",",),0,1)+$A$18,$A$18))/5,0),ROUNDUP(IF(MOD(AO$18+INDEX(_xlfn.TEXTSPLIT(AO145,",",),0,2)+$A$18,$A$18)=0,$A$18,MOD(AO$18+INDEX(_xlfn.TEXTSPLIT(AO145,",",),0,2)+$A$18,$A$18))/5,0)))</f>
        <v>7</v>
      </c>
    </row>
    <row r="48" spans="1:41" ht="12.75">
      <c r="A48" s="1">
        <v>30</v>
      </c>
      <c r="B48" s="1" cm="1">
        <f t="array" aca="1" ref="B48" ca="1">(INDEX($K$2:$T$11,ROUNDUP(IF(MOD($A48+INDEX(_xlfn.TEXTSPLIT(B103,",",),0,1)+$A$18,$A$18)=0,$A$18,MOD($A48+INDEX(_xlfn.TEXTSPLIT(B103,",",),0,1)+$A$18,$A$18))/4,0),ROUNDUP(IF(MOD(B$18+INDEX(_xlfn.TEXTSPLIT(B103,",",),0,2)+$A$18,$A$18)=0,$A$18,MOD(B$18+INDEX(_xlfn.TEXTSPLIT(B103,",",),0,2)+$A$18,$A$18))/4,0)))+(INDEX($AD$2:$AK$9,ROUNDUP(IF(MOD($A48+INDEX(_xlfn.TEXTSPLIT(B146,",",),0,1)+$A$18,$A$18)=0,$A$18,MOD($A48+INDEX(_xlfn.TEXTSPLIT(B146,",",),0,1)+$A$18,$A$18))/5,0),ROUNDUP(IF(MOD(B$18+INDEX(_xlfn.TEXTSPLIT(B146,",",),0,2)+$A$18,$A$18)=0,$A$18,MOD(B$18+INDEX(_xlfn.TEXTSPLIT(B146,",",),0,2)+$A$18,$A$18))/5,0)))</f>
        <v>7</v>
      </c>
      <c r="C48" s="1" cm="1">
        <f t="array" aca="1" ref="C48" ca="1">(INDEX($K$2:$T$11,ROUNDUP(IF(MOD($A48+INDEX(_xlfn.TEXTSPLIT(C103,",",),0,1)+$A$18,$A$18)=0,$A$18,MOD($A48+INDEX(_xlfn.TEXTSPLIT(C103,",",),0,1)+$A$18,$A$18))/4,0),ROUNDUP(IF(MOD(C$18+INDEX(_xlfn.TEXTSPLIT(C103,",",),0,2)+$A$18,$A$18)=0,$A$18,MOD(C$18+INDEX(_xlfn.TEXTSPLIT(C103,",",),0,2)+$A$18,$A$18))/4,0)))+(INDEX($AD$2:$AK$9,ROUNDUP(IF(MOD($A48+INDEX(_xlfn.TEXTSPLIT(C146,",",),0,1)+$A$18,$A$18)=0,$A$18,MOD($A48+INDEX(_xlfn.TEXTSPLIT(C146,",",),0,1)+$A$18,$A$18))/5,0),ROUNDUP(IF(MOD(C$18+INDEX(_xlfn.TEXTSPLIT(C146,",",),0,2)+$A$18,$A$18)=0,$A$18,MOD(C$18+INDEX(_xlfn.TEXTSPLIT(C146,",",),0,2)+$A$18,$A$18))/5,0)))</f>
        <v>3</v>
      </c>
      <c r="D48" s="1" cm="1">
        <f t="array" aca="1" ref="D48" ca="1">(INDEX($K$2:$T$11,ROUNDUP(IF(MOD($A48+INDEX(_xlfn.TEXTSPLIT(D103,",",),0,1)+$A$18,$A$18)=0,$A$18,MOD($A48+INDEX(_xlfn.TEXTSPLIT(D103,",",),0,1)+$A$18,$A$18))/4,0),ROUNDUP(IF(MOD(D$18+INDEX(_xlfn.TEXTSPLIT(D103,",",),0,2)+$A$18,$A$18)=0,$A$18,MOD(D$18+INDEX(_xlfn.TEXTSPLIT(D103,",",),0,2)+$A$18,$A$18))/4,0)))+(INDEX($AD$2:$AK$9,ROUNDUP(IF(MOD($A48+INDEX(_xlfn.TEXTSPLIT(D146,",",),0,1)+$A$18,$A$18)=0,$A$18,MOD($A48+INDEX(_xlfn.TEXTSPLIT(D146,",",),0,1)+$A$18,$A$18))/5,0),ROUNDUP(IF(MOD(D$18+INDEX(_xlfn.TEXTSPLIT(D146,",",),0,2)+$A$18,$A$18)=0,$A$18,MOD(D$18+INDEX(_xlfn.TEXTSPLIT(D146,",",),0,2)+$A$18,$A$18))/5,0)))</f>
        <v>2</v>
      </c>
      <c r="E48" s="1" cm="1">
        <f t="array" aca="1" ref="E48" ca="1">(INDEX($K$2:$T$11,ROUNDUP(IF(MOD($A48+INDEX(_xlfn.TEXTSPLIT(E103,",",),0,1)+$A$18,$A$18)=0,$A$18,MOD($A48+INDEX(_xlfn.TEXTSPLIT(E103,",",),0,1)+$A$18,$A$18))/4,0),ROUNDUP(IF(MOD(E$18+INDEX(_xlfn.TEXTSPLIT(E103,",",),0,2)+$A$18,$A$18)=0,$A$18,MOD(E$18+INDEX(_xlfn.TEXTSPLIT(E103,",",),0,2)+$A$18,$A$18))/4,0)))+(INDEX($AD$2:$AK$9,ROUNDUP(IF(MOD($A48+INDEX(_xlfn.TEXTSPLIT(E146,",",),0,1)+$A$18,$A$18)=0,$A$18,MOD($A48+INDEX(_xlfn.TEXTSPLIT(E146,",",),0,1)+$A$18,$A$18))/5,0),ROUNDUP(IF(MOD(E$18+INDEX(_xlfn.TEXTSPLIT(E146,",",),0,2)+$A$18,$A$18)=0,$A$18,MOD(E$18+INDEX(_xlfn.TEXTSPLIT(E146,",",),0,2)+$A$18,$A$18))/5,0)))</f>
        <v>2</v>
      </c>
      <c r="F48" s="1" cm="1">
        <f t="array" aca="1" ref="F48" ca="1">(INDEX($K$2:$T$11,ROUNDUP(IF(MOD($A48+INDEX(_xlfn.TEXTSPLIT(F103,",",),0,1)+$A$18,$A$18)=0,$A$18,MOD($A48+INDEX(_xlfn.TEXTSPLIT(F103,",",),0,1)+$A$18,$A$18))/4,0),ROUNDUP(IF(MOD(F$18+INDEX(_xlfn.TEXTSPLIT(F103,",",),0,2)+$A$18,$A$18)=0,$A$18,MOD(F$18+INDEX(_xlfn.TEXTSPLIT(F103,",",),0,2)+$A$18,$A$18))/4,0)))+(INDEX($AD$2:$AK$9,ROUNDUP(IF(MOD($A48+INDEX(_xlfn.TEXTSPLIT(F146,",",),0,1)+$A$18,$A$18)=0,$A$18,MOD($A48+INDEX(_xlfn.TEXTSPLIT(F146,",",),0,1)+$A$18,$A$18))/5,0),ROUNDUP(IF(MOD(F$18+INDEX(_xlfn.TEXTSPLIT(F146,",",),0,2)+$A$18,$A$18)=0,$A$18,MOD(F$18+INDEX(_xlfn.TEXTSPLIT(F146,",",),0,2)+$A$18,$A$18))/5,0)))</f>
        <v>3</v>
      </c>
      <c r="G48" s="1" cm="1">
        <f t="array" aca="1" ref="G48" ca="1">(INDEX($K$2:$T$11,ROUNDUP(IF(MOD($A48+INDEX(_xlfn.TEXTSPLIT(G103,",",),0,1)+$A$18,$A$18)=0,$A$18,MOD($A48+INDEX(_xlfn.TEXTSPLIT(G103,",",),0,1)+$A$18,$A$18))/4,0),ROUNDUP(IF(MOD(G$18+INDEX(_xlfn.TEXTSPLIT(G103,",",),0,2)+$A$18,$A$18)=0,$A$18,MOD(G$18+INDEX(_xlfn.TEXTSPLIT(G103,",",),0,2)+$A$18,$A$18))/4,0)))+(INDEX($AD$2:$AK$9,ROUNDUP(IF(MOD($A48+INDEX(_xlfn.TEXTSPLIT(G146,",",),0,1)+$A$18,$A$18)=0,$A$18,MOD($A48+INDEX(_xlfn.TEXTSPLIT(G146,",",),0,1)+$A$18,$A$18))/5,0),ROUNDUP(IF(MOD(G$18+INDEX(_xlfn.TEXTSPLIT(G146,",",),0,2)+$A$18,$A$18)=0,$A$18,MOD(G$18+INDEX(_xlfn.TEXTSPLIT(G146,",",),0,2)+$A$18,$A$18))/5,0)))</f>
        <v>3</v>
      </c>
      <c r="H48" s="1" cm="1">
        <f t="array" aca="1" ref="H48" ca="1">(INDEX($K$2:$T$11,ROUNDUP(IF(MOD($A48+INDEX(_xlfn.TEXTSPLIT(H103,",",),0,1)+$A$18,$A$18)=0,$A$18,MOD($A48+INDEX(_xlfn.TEXTSPLIT(H103,",",),0,1)+$A$18,$A$18))/4,0),ROUNDUP(IF(MOD(H$18+INDEX(_xlfn.TEXTSPLIT(H103,",",),0,2)+$A$18,$A$18)=0,$A$18,MOD(H$18+INDEX(_xlfn.TEXTSPLIT(H103,",",),0,2)+$A$18,$A$18))/4,0)))+(INDEX($AD$2:$AK$9,ROUNDUP(IF(MOD($A48+INDEX(_xlfn.TEXTSPLIT(H146,",",),0,1)+$A$18,$A$18)=0,$A$18,MOD($A48+INDEX(_xlfn.TEXTSPLIT(H146,",",),0,1)+$A$18,$A$18))/5,0),ROUNDUP(IF(MOD(H$18+INDEX(_xlfn.TEXTSPLIT(H146,",",),0,2)+$A$18,$A$18)=0,$A$18,MOD(H$18+INDEX(_xlfn.TEXTSPLIT(H146,",",),0,2)+$A$18,$A$18))/5,0)))</f>
        <v>3</v>
      </c>
      <c r="I48" s="1" cm="1">
        <f t="array" aca="1" ref="I48" ca="1">(INDEX($K$2:$T$11,ROUNDUP(IF(MOD($A48+INDEX(_xlfn.TEXTSPLIT(I103,",",),0,1)+$A$18,$A$18)=0,$A$18,MOD($A48+INDEX(_xlfn.TEXTSPLIT(I103,",",),0,1)+$A$18,$A$18))/4,0),ROUNDUP(IF(MOD(I$18+INDEX(_xlfn.TEXTSPLIT(I103,",",),0,2)+$A$18,$A$18)=0,$A$18,MOD(I$18+INDEX(_xlfn.TEXTSPLIT(I103,",",),0,2)+$A$18,$A$18))/4,0)))+(INDEX($AD$2:$AK$9,ROUNDUP(IF(MOD($A48+INDEX(_xlfn.TEXTSPLIT(I146,",",),0,1)+$A$18,$A$18)=0,$A$18,MOD($A48+INDEX(_xlfn.TEXTSPLIT(I146,",",),0,1)+$A$18,$A$18))/5,0),ROUNDUP(IF(MOD(I$18+INDEX(_xlfn.TEXTSPLIT(I146,",",),0,2)+$A$18,$A$18)=0,$A$18,MOD(I$18+INDEX(_xlfn.TEXTSPLIT(I146,",",),0,2)+$A$18,$A$18))/5,0)))</f>
        <v>7</v>
      </c>
      <c r="J48" s="1" cm="1">
        <f t="array" aca="1" ref="J48" ca="1">(INDEX($K$2:$T$11,ROUNDUP(IF(MOD($A48+INDEX(_xlfn.TEXTSPLIT(J103,",",),0,1)+$A$18,$A$18)=0,$A$18,MOD($A48+INDEX(_xlfn.TEXTSPLIT(J103,",",),0,1)+$A$18,$A$18))/4,0),ROUNDUP(IF(MOD(J$18+INDEX(_xlfn.TEXTSPLIT(J103,",",),0,2)+$A$18,$A$18)=0,$A$18,MOD(J$18+INDEX(_xlfn.TEXTSPLIT(J103,",",),0,2)+$A$18,$A$18))/4,0)))+(INDEX($AD$2:$AK$9,ROUNDUP(IF(MOD($A48+INDEX(_xlfn.TEXTSPLIT(J146,",",),0,1)+$A$18,$A$18)=0,$A$18,MOD($A48+INDEX(_xlfn.TEXTSPLIT(J146,",",),0,1)+$A$18,$A$18))/5,0),ROUNDUP(IF(MOD(J$18+INDEX(_xlfn.TEXTSPLIT(J146,",",),0,2)+$A$18,$A$18)=0,$A$18,MOD(J$18+INDEX(_xlfn.TEXTSPLIT(J146,",",),0,2)+$A$18,$A$18))/5,0)))</f>
        <v>7</v>
      </c>
      <c r="K48" s="1" cm="1">
        <f t="array" aca="1" ref="K48" ca="1">(INDEX($K$2:$T$11,ROUNDUP(IF(MOD($A48+INDEX(_xlfn.TEXTSPLIT(K103,",",),0,1)+$A$18,$A$18)=0,$A$18,MOD($A48+INDEX(_xlfn.TEXTSPLIT(K103,",",),0,1)+$A$18,$A$18))/4,0),ROUNDUP(IF(MOD(K$18+INDEX(_xlfn.TEXTSPLIT(K103,",",),0,2)+$A$18,$A$18)=0,$A$18,MOD(K$18+INDEX(_xlfn.TEXTSPLIT(K103,",",),0,2)+$A$18,$A$18))/4,0)))+(INDEX($AD$2:$AK$9,ROUNDUP(IF(MOD($A48+INDEX(_xlfn.TEXTSPLIT(K146,",",),0,1)+$A$18,$A$18)=0,$A$18,MOD($A48+INDEX(_xlfn.TEXTSPLIT(K146,",",),0,1)+$A$18,$A$18))/5,0),ROUNDUP(IF(MOD(K$18+INDEX(_xlfn.TEXTSPLIT(K146,",",),0,2)+$A$18,$A$18)=0,$A$18,MOD(K$18+INDEX(_xlfn.TEXTSPLIT(K146,",",),0,2)+$A$18,$A$18))/5,0)))</f>
        <v>7</v>
      </c>
      <c r="L48" s="1" cm="1">
        <f t="array" aca="1" ref="L48" ca="1">(INDEX($K$2:$T$11,ROUNDUP(IF(MOD($A48+INDEX(_xlfn.TEXTSPLIT(L103,",",),0,1)+$A$18,$A$18)=0,$A$18,MOD($A48+INDEX(_xlfn.TEXTSPLIT(L103,",",),0,1)+$A$18,$A$18))/4,0),ROUNDUP(IF(MOD(L$18+INDEX(_xlfn.TEXTSPLIT(L103,",",),0,2)+$A$18,$A$18)=0,$A$18,MOD(L$18+INDEX(_xlfn.TEXTSPLIT(L103,",",),0,2)+$A$18,$A$18))/4,0)))+(INDEX($AD$2:$AK$9,ROUNDUP(IF(MOD($A48+INDEX(_xlfn.TEXTSPLIT(L146,",",),0,1)+$A$18,$A$18)=0,$A$18,MOD($A48+INDEX(_xlfn.TEXTSPLIT(L146,",",),0,1)+$A$18,$A$18))/5,0),ROUNDUP(IF(MOD(L$18+INDEX(_xlfn.TEXTSPLIT(L146,",",),0,2)+$A$18,$A$18)=0,$A$18,MOD(L$18+INDEX(_xlfn.TEXTSPLIT(L146,",",),0,2)+$A$18,$A$18))/5,0)))</f>
        <v>7</v>
      </c>
      <c r="M48" s="1" cm="1">
        <f t="array" aca="1" ref="M48" ca="1">(INDEX($K$2:$T$11,ROUNDUP(IF(MOD($A48+INDEX(_xlfn.TEXTSPLIT(M103,",",),0,1)+$A$18,$A$18)=0,$A$18,MOD($A48+INDEX(_xlfn.TEXTSPLIT(M103,",",),0,1)+$A$18,$A$18))/4,0),ROUNDUP(IF(MOD(M$18+INDEX(_xlfn.TEXTSPLIT(M103,",",),0,2)+$A$18,$A$18)=0,$A$18,MOD(M$18+INDEX(_xlfn.TEXTSPLIT(M103,",",),0,2)+$A$18,$A$18))/4,0)))+(INDEX($AD$2:$AK$9,ROUNDUP(IF(MOD($A48+INDEX(_xlfn.TEXTSPLIT(M146,",",),0,1)+$A$18,$A$18)=0,$A$18,MOD($A48+INDEX(_xlfn.TEXTSPLIT(M146,",",),0,1)+$A$18,$A$18))/5,0),ROUNDUP(IF(MOD(M$18+INDEX(_xlfn.TEXTSPLIT(M146,",",),0,2)+$A$18,$A$18)=0,$A$18,MOD(M$18+INDEX(_xlfn.TEXTSPLIT(M146,",",),0,2)+$A$18,$A$18))/5,0)))</f>
        <v>7</v>
      </c>
      <c r="N48" s="1" cm="1">
        <f t="array" aca="1" ref="N48" ca="1">(INDEX($K$2:$T$11,ROUNDUP(IF(MOD($A48+INDEX(_xlfn.TEXTSPLIT(N103,",",),0,1)+$A$18,$A$18)=0,$A$18,MOD($A48+INDEX(_xlfn.TEXTSPLIT(N103,",",),0,1)+$A$18,$A$18))/4,0),ROUNDUP(IF(MOD(N$18+INDEX(_xlfn.TEXTSPLIT(N103,",",),0,2)+$A$18,$A$18)=0,$A$18,MOD(N$18+INDEX(_xlfn.TEXTSPLIT(N103,",",),0,2)+$A$18,$A$18))/4,0)))+(INDEX($AD$2:$AK$9,ROUNDUP(IF(MOD($A48+INDEX(_xlfn.TEXTSPLIT(N146,",",),0,1)+$A$18,$A$18)=0,$A$18,MOD($A48+INDEX(_xlfn.TEXTSPLIT(N146,",",),0,1)+$A$18,$A$18))/5,0),ROUNDUP(IF(MOD(N$18+INDEX(_xlfn.TEXTSPLIT(N146,",",),0,2)+$A$18,$A$18)=0,$A$18,MOD(N$18+INDEX(_xlfn.TEXTSPLIT(N146,",",),0,2)+$A$18,$A$18))/5,0)))</f>
        <v>7</v>
      </c>
      <c r="O48" s="1" cm="1">
        <f t="array" aca="1" ref="O48" ca="1">(INDEX($K$2:$T$11,ROUNDUP(IF(MOD($A48+INDEX(_xlfn.TEXTSPLIT(O103,",",),0,1)+$A$18,$A$18)=0,$A$18,MOD($A48+INDEX(_xlfn.TEXTSPLIT(O103,",",),0,1)+$A$18,$A$18))/4,0),ROUNDUP(IF(MOD(O$18+INDEX(_xlfn.TEXTSPLIT(O103,",",),0,2)+$A$18,$A$18)=0,$A$18,MOD(O$18+INDEX(_xlfn.TEXTSPLIT(O103,",",),0,2)+$A$18,$A$18))/4,0)))+(INDEX($AD$2:$AK$9,ROUNDUP(IF(MOD($A48+INDEX(_xlfn.TEXTSPLIT(O146,",",),0,1)+$A$18,$A$18)=0,$A$18,MOD($A48+INDEX(_xlfn.TEXTSPLIT(O146,",",),0,1)+$A$18,$A$18))/5,0),ROUNDUP(IF(MOD(O$18+INDEX(_xlfn.TEXTSPLIT(O146,",",),0,2)+$A$18,$A$18)=0,$A$18,MOD(O$18+INDEX(_xlfn.TEXTSPLIT(O146,",",),0,2)+$A$18,$A$18))/5,0)))</f>
        <v>6</v>
      </c>
      <c r="P48" s="1" cm="1">
        <f t="array" aca="1" ref="P48" ca="1">(INDEX($K$2:$T$11,ROUNDUP(IF(MOD($A48+INDEX(_xlfn.TEXTSPLIT(P103,",",),0,1)+$A$18,$A$18)=0,$A$18,MOD($A48+INDEX(_xlfn.TEXTSPLIT(P103,",",),0,1)+$A$18,$A$18))/4,0),ROUNDUP(IF(MOD(P$18+INDEX(_xlfn.TEXTSPLIT(P103,",",),0,2)+$A$18,$A$18)=0,$A$18,MOD(P$18+INDEX(_xlfn.TEXTSPLIT(P103,",",),0,2)+$A$18,$A$18))/4,0)))+(INDEX($AD$2:$AK$9,ROUNDUP(IF(MOD($A48+INDEX(_xlfn.TEXTSPLIT(P146,",",),0,1)+$A$18,$A$18)=0,$A$18,MOD($A48+INDEX(_xlfn.TEXTSPLIT(P146,",",),0,1)+$A$18,$A$18))/5,0),ROUNDUP(IF(MOD(P$18+INDEX(_xlfn.TEXTSPLIT(P146,",",),0,2)+$A$18,$A$18)=0,$A$18,MOD(P$18+INDEX(_xlfn.TEXTSPLIT(P146,",",),0,2)+$A$18,$A$18))/5,0)))</f>
        <v>7</v>
      </c>
      <c r="Q48" s="1" cm="1">
        <f t="array" aca="1" ref="Q48" ca="1">(INDEX($K$2:$T$11,ROUNDUP(IF(MOD($A48+INDEX(_xlfn.TEXTSPLIT(Q103,",",),0,1)+$A$18,$A$18)=0,$A$18,MOD($A48+INDEX(_xlfn.TEXTSPLIT(Q103,",",),0,1)+$A$18,$A$18))/4,0),ROUNDUP(IF(MOD(Q$18+INDEX(_xlfn.TEXTSPLIT(Q103,",",),0,2)+$A$18,$A$18)=0,$A$18,MOD(Q$18+INDEX(_xlfn.TEXTSPLIT(Q103,",",),0,2)+$A$18,$A$18))/4,0)))+(INDEX($AD$2:$AK$9,ROUNDUP(IF(MOD($A48+INDEX(_xlfn.TEXTSPLIT(Q146,",",),0,1)+$A$18,$A$18)=0,$A$18,MOD($A48+INDEX(_xlfn.TEXTSPLIT(Q146,",",),0,1)+$A$18,$A$18))/5,0),ROUNDUP(IF(MOD(Q$18+INDEX(_xlfn.TEXTSPLIT(Q146,",",),0,2)+$A$18,$A$18)=0,$A$18,MOD(Q$18+INDEX(_xlfn.TEXTSPLIT(Q146,",",),0,2)+$A$18,$A$18))/5,0)))</f>
        <v>6</v>
      </c>
      <c r="R48" s="1" cm="1">
        <f t="array" aca="1" ref="R48" ca="1">(INDEX($K$2:$T$11,ROUNDUP(IF(MOD($A48+INDEX(_xlfn.TEXTSPLIT(R103,",",),0,1)+$A$18,$A$18)=0,$A$18,MOD($A48+INDEX(_xlfn.TEXTSPLIT(R103,",",),0,1)+$A$18,$A$18))/4,0),ROUNDUP(IF(MOD(R$18+INDEX(_xlfn.TEXTSPLIT(R103,",",),0,2)+$A$18,$A$18)=0,$A$18,MOD(R$18+INDEX(_xlfn.TEXTSPLIT(R103,",",),0,2)+$A$18,$A$18))/4,0)))+(INDEX($AD$2:$AK$9,ROUNDUP(IF(MOD($A48+INDEX(_xlfn.TEXTSPLIT(R146,",",),0,1)+$A$18,$A$18)=0,$A$18,MOD($A48+INDEX(_xlfn.TEXTSPLIT(R146,",",),0,1)+$A$18,$A$18))/5,0),ROUNDUP(IF(MOD(R$18+INDEX(_xlfn.TEXTSPLIT(R146,",",),0,2)+$A$18,$A$18)=0,$A$18,MOD(R$18+INDEX(_xlfn.TEXTSPLIT(R146,",",),0,2)+$A$18,$A$18))/5,0)))</f>
        <v>7</v>
      </c>
      <c r="S48" s="1" cm="1">
        <f t="array" aca="1" ref="S48" ca="1">(INDEX($K$2:$T$11,ROUNDUP(IF(MOD($A48+INDEX(_xlfn.TEXTSPLIT(S103,",",),0,1)+$A$18,$A$18)=0,$A$18,MOD($A48+INDEX(_xlfn.TEXTSPLIT(S103,",",),0,1)+$A$18,$A$18))/4,0),ROUNDUP(IF(MOD(S$18+INDEX(_xlfn.TEXTSPLIT(S103,",",),0,2)+$A$18,$A$18)=0,$A$18,MOD(S$18+INDEX(_xlfn.TEXTSPLIT(S103,",",),0,2)+$A$18,$A$18))/4,0)))+(INDEX($AD$2:$AK$9,ROUNDUP(IF(MOD($A48+INDEX(_xlfn.TEXTSPLIT(S146,",",),0,1)+$A$18,$A$18)=0,$A$18,MOD($A48+INDEX(_xlfn.TEXTSPLIT(S146,",",),0,1)+$A$18,$A$18))/5,0),ROUNDUP(IF(MOD(S$18+INDEX(_xlfn.TEXTSPLIT(S146,",",),0,2)+$A$18,$A$18)=0,$A$18,MOD(S$18+INDEX(_xlfn.TEXTSPLIT(S146,",",),0,2)+$A$18,$A$18))/5,0)))</f>
        <v>8</v>
      </c>
      <c r="T48" s="1" cm="1">
        <f t="array" aca="1" ref="T48" ca="1">(INDEX($K$2:$T$11,ROUNDUP(IF(MOD($A48+INDEX(_xlfn.TEXTSPLIT(T103,",",),0,1)+$A$18,$A$18)=0,$A$18,MOD($A48+INDEX(_xlfn.TEXTSPLIT(T103,",",),0,1)+$A$18,$A$18))/4,0),ROUNDUP(IF(MOD(T$18+INDEX(_xlfn.TEXTSPLIT(T103,",",),0,2)+$A$18,$A$18)=0,$A$18,MOD(T$18+INDEX(_xlfn.TEXTSPLIT(T103,",",),0,2)+$A$18,$A$18))/4,0)))+(INDEX($AD$2:$AK$9,ROUNDUP(IF(MOD($A48+INDEX(_xlfn.TEXTSPLIT(T146,",",),0,1)+$A$18,$A$18)=0,$A$18,MOD($A48+INDEX(_xlfn.TEXTSPLIT(T146,",",),0,1)+$A$18,$A$18))/5,0),ROUNDUP(IF(MOD(T$18+INDEX(_xlfn.TEXTSPLIT(T146,",",),0,2)+$A$18,$A$18)=0,$A$18,MOD(T$18+INDEX(_xlfn.TEXTSPLIT(T146,",",),0,2)+$A$18,$A$18))/5,0)))</f>
        <v>8</v>
      </c>
      <c r="U48" s="1" cm="1">
        <f t="array" aca="1" ref="U48" ca="1">(INDEX($K$2:$T$11,ROUNDUP(IF(MOD($A48+INDEX(_xlfn.TEXTSPLIT(U103,",",),0,1)+$A$18,$A$18)=0,$A$18,MOD($A48+INDEX(_xlfn.TEXTSPLIT(U103,",",),0,1)+$A$18,$A$18))/4,0),ROUNDUP(IF(MOD(U$18+INDEX(_xlfn.TEXTSPLIT(U103,",",),0,2)+$A$18,$A$18)=0,$A$18,MOD(U$18+INDEX(_xlfn.TEXTSPLIT(U103,",",),0,2)+$A$18,$A$18))/4,0)))+(INDEX($AD$2:$AK$9,ROUNDUP(IF(MOD($A48+INDEX(_xlfn.TEXTSPLIT(U146,",",),0,1)+$A$18,$A$18)=0,$A$18,MOD($A48+INDEX(_xlfn.TEXTSPLIT(U146,",",),0,1)+$A$18,$A$18))/5,0),ROUNDUP(IF(MOD(U$18+INDEX(_xlfn.TEXTSPLIT(U146,",",),0,2)+$A$18,$A$18)=0,$A$18,MOD(U$18+INDEX(_xlfn.TEXTSPLIT(U146,",",),0,2)+$A$18,$A$18))/5,0)))</f>
        <v>7</v>
      </c>
      <c r="V48" s="1" cm="1">
        <f t="array" aca="1" ref="V48" ca="1">(INDEX($K$2:$T$11,ROUNDUP(IF(MOD($A48+INDEX(_xlfn.TEXTSPLIT(V103,",",),0,1)+$A$18,$A$18)=0,$A$18,MOD($A48+INDEX(_xlfn.TEXTSPLIT(V103,",",),0,1)+$A$18,$A$18))/4,0),ROUNDUP(IF(MOD(V$18+INDEX(_xlfn.TEXTSPLIT(V103,",",),0,2)+$A$18,$A$18)=0,$A$18,MOD(V$18+INDEX(_xlfn.TEXTSPLIT(V103,",",),0,2)+$A$18,$A$18))/4,0)))+(INDEX($AD$2:$AK$9,ROUNDUP(IF(MOD($A48+INDEX(_xlfn.TEXTSPLIT(V146,",",),0,1)+$A$18,$A$18)=0,$A$18,MOD($A48+INDEX(_xlfn.TEXTSPLIT(V146,",",),0,1)+$A$18,$A$18))/5,0),ROUNDUP(IF(MOD(V$18+INDEX(_xlfn.TEXTSPLIT(V146,",",),0,2)+$A$18,$A$18)=0,$A$18,MOD(V$18+INDEX(_xlfn.TEXTSPLIT(V146,",",),0,2)+$A$18,$A$18))/5,0)))</f>
        <v>7</v>
      </c>
      <c r="W48" s="1" cm="1">
        <f t="array" aca="1" ref="W48" ca="1">(INDEX($K$2:$T$11,ROUNDUP(IF(MOD($A48+INDEX(_xlfn.TEXTSPLIT(W103,",",),0,1)+$A$18,$A$18)=0,$A$18,MOD($A48+INDEX(_xlfn.TEXTSPLIT(W103,",",),0,1)+$A$18,$A$18))/4,0),ROUNDUP(IF(MOD(W$18+INDEX(_xlfn.TEXTSPLIT(W103,",",),0,2)+$A$18,$A$18)=0,$A$18,MOD(W$18+INDEX(_xlfn.TEXTSPLIT(W103,",",),0,2)+$A$18,$A$18))/4,0)))+(INDEX($AD$2:$AK$9,ROUNDUP(IF(MOD($A48+INDEX(_xlfn.TEXTSPLIT(W146,",",),0,1)+$A$18,$A$18)=0,$A$18,MOD($A48+INDEX(_xlfn.TEXTSPLIT(W146,",",),0,1)+$A$18,$A$18))/5,0),ROUNDUP(IF(MOD(W$18+INDEX(_xlfn.TEXTSPLIT(W146,",",),0,2)+$A$18,$A$18)=0,$A$18,MOD(W$18+INDEX(_xlfn.TEXTSPLIT(W146,",",),0,2)+$A$18,$A$18))/5,0)))</f>
        <v>7</v>
      </c>
      <c r="X48" s="1" cm="1">
        <f t="array" aca="1" ref="X48" ca="1">(INDEX($K$2:$T$11,ROUNDUP(IF(MOD($A48+INDEX(_xlfn.TEXTSPLIT(X103,",",),0,1)+$A$18,$A$18)=0,$A$18,MOD($A48+INDEX(_xlfn.TEXTSPLIT(X103,",",),0,1)+$A$18,$A$18))/4,0),ROUNDUP(IF(MOD(X$18+INDEX(_xlfn.TEXTSPLIT(X103,",",),0,2)+$A$18,$A$18)=0,$A$18,MOD(X$18+INDEX(_xlfn.TEXTSPLIT(X103,",",),0,2)+$A$18,$A$18))/4,0)))+(INDEX($AD$2:$AK$9,ROUNDUP(IF(MOD($A48+INDEX(_xlfn.TEXTSPLIT(X146,",",),0,1)+$A$18,$A$18)=0,$A$18,MOD($A48+INDEX(_xlfn.TEXTSPLIT(X146,",",),0,1)+$A$18,$A$18))/5,0),ROUNDUP(IF(MOD(X$18+INDEX(_xlfn.TEXTSPLIT(X146,",",),0,2)+$A$18,$A$18)=0,$A$18,MOD(X$18+INDEX(_xlfn.TEXTSPLIT(X146,",",),0,2)+$A$18,$A$18))/5,0)))</f>
        <v>7</v>
      </c>
      <c r="Y48" s="1" cm="1">
        <f t="array" aca="1" ref="Y48" ca="1">(INDEX($K$2:$T$11,ROUNDUP(IF(MOD($A48+INDEX(_xlfn.TEXTSPLIT(Y103,",",),0,1)+$A$18,$A$18)=0,$A$18,MOD($A48+INDEX(_xlfn.TEXTSPLIT(Y103,",",),0,1)+$A$18,$A$18))/4,0),ROUNDUP(IF(MOD(Y$18+INDEX(_xlfn.TEXTSPLIT(Y103,",",),0,2)+$A$18,$A$18)=0,$A$18,MOD(Y$18+INDEX(_xlfn.TEXTSPLIT(Y103,",",),0,2)+$A$18,$A$18))/4,0)))+(INDEX($AD$2:$AK$9,ROUNDUP(IF(MOD($A48+INDEX(_xlfn.TEXTSPLIT(Y146,",",),0,1)+$A$18,$A$18)=0,$A$18,MOD($A48+INDEX(_xlfn.TEXTSPLIT(Y146,",",),0,1)+$A$18,$A$18))/5,0),ROUNDUP(IF(MOD(Y$18+INDEX(_xlfn.TEXTSPLIT(Y146,",",),0,2)+$A$18,$A$18)=0,$A$18,MOD(Y$18+INDEX(_xlfn.TEXTSPLIT(Y146,",",),0,2)+$A$18,$A$18))/5,0)))</f>
        <v>7</v>
      </c>
      <c r="Z48" s="1" cm="1">
        <f t="array" aca="1" ref="Z48" ca="1">(INDEX($K$2:$T$11,ROUNDUP(IF(MOD($A48+INDEX(_xlfn.TEXTSPLIT(Z103,",",),0,1)+$A$18,$A$18)=0,$A$18,MOD($A48+INDEX(_xlfn.TEXTSPLIT(Z103,",",),0,1)+$A$18,$A$18))/4,0),ROUNDUP(IF(MOD(Z$18+INDEX(_xlfn.TEXTSPLIT(Z103,",",),0,2)+$A$18,$A$18)=0,$A$18,MOD(Z$18+INDEX(_xlfn.TEXTSPLIT(Z103,",",),0,2)+$A$18,$A$18))/4,0)))+(INDEX($AD$2:$AK$9,ROUNDUP(IF(MOD($A48+INDEX(_xlfn.TEXTSPLIT(Z146,",",),0,1)+$A$18,$A$18)=0,$A$18,MOD($A48+INDEX(_xlfn.TEXTSPLIT(Z146,",",),0,1)+$A$18,$A$18))/5,0),ROUNDUP(IF(MOD(Z$18+INDEX(_xlfn.TEXTSPLIT(Z146,",",),0,2)+$A$18,$A$18)=0,$A$18,MOD(Z$18+INDEX(_xlfn.TEXTSPLIT(Z146,",",),0,2)+$A$18,$A$18))/5,0)))</f>
        <v>7</v>
      </c>
      <c r="AA48" s="1" cm="1">
        <f t="array" aca="1" ref="AA48" ca="1">(INDEX($K$2:$T$11,ROUNDUP(IF(MOD($A48+INDEX(_xlfn.TEXTSPLIT(AA103,",",),0,1)+$A$18,$A$18)=0,$A$18,MOD($A48+INDEX(_xlfn.TEXTSPLIT(AA103,",",),0,1)+$A$18,$A$18))/4,0),ROUNDUP(IF(MOD(AA$18+INDEX(_xlfn.TEXTSPLIT(AA103,",",),0,2)+$A$18,$A$18)=0,$A$18,MOD(AA$18+INDEX(_xlfn.TEXTSPLIT(AA103,",",),0,2)+$A$18,$A$18))/4,0)))+(INDEX($AD$2:$AK$9,ROUNDUP(IF(MOD($A48+INDEX(_xlfn.TEXTSPLIT(AA146,",",),0,1)+$A$18,$A$18)=0,$A$18,MOD($A48+INDEX(_xlfn.TEXTSPLIT(AA146,",",),0,1)+$A$18,$A$18))/5,0),ROUNDUP(IF(MOD(AA$18+INDEX(_xlfn.TEXTSPLIT(AA146,",",),0,2)+$A$18,$A$18)=0,$A$18,MOD(AA$18+INDEX(_xlfn.TEXTSPLIT(AA146,",",),0,2)+$A$18,$A$18))/5,0)))</f>
        <v>7</v>
      </c>
      <c r="AB48" s="1" cm="1">
        <f t="array" aca="1" ref="AB48" ca="1">(INDEX($K$2:$T$11,ROUNDUP(IF(MOD($A48+INDEX(_xlfn.TEXTSPLIT(AB103,",",),0,1)+$A$18,$A$18)=0,$A$18,MOD($A48+INDEX(_xlfn.TEXTSPLIT(AB103,",",),0,1)+$A$18,$A$18))/4,0),ROUNDUP(IF(MOD(AB$18+INDEX(_xlfn.TEXTSPLIT(AB103,",",),0,2)+$A$18,$A$18)=0,$A$18,MOD(AB$18+INDEX(_xlfn.TEXTSPLIT(AB103,",",),0,2)+$A$18,$A$18))/4,0)))+(INDEX($AD$2:$AK$9,ROUNDUP(IF(MOD($A48+INDEX(_xlfn.TEXTSPLIT(AB146,",",),0,1)+$A$18,$A$18)=0,$A$18,MOD($A48+INDEX(_xlfn.TEXTSPLIT(AB146,",",),0,1)+$A$18,$A$18))/5,0),ROUNDUP(IF(MOD(AB$18+INDEX(_xlfn.TEXTSPLIT(AB146,",",),0,2)+$A$18,$A$18)=0,$A$18,MOD(AB$18+INDEX(_xlfn.TEXTSPLIT(AB146,",",),0,2)+$A$18,$A$18))/5,0)))</f>
        <v>8</v>
      </c>
      <c r="AC48" s="1" cm="1">
        <f t="array" aca="1" ref="AC48" ca="1">(INDEX($K$2:$T$11,ROUNDUP(IF(MOD($A48+INDEX(_xlfn.TEXTSPLIT(AC103,",",),0,1)+$A$18,$A$18)=0,$A$18,MOD($A48+INDEX(_xlfn.TEXTSPLIT(AC103,",",),0,1)+$A$18,$A$18))/4,0),ROUNDUP(IF(MOD(AC$18+INDEX(_xlfn.TEXTSPLIT(AC103,",",),0,2)+$A$18,$A$18)=0,$A$18,MOD(AC$18+INDEX(_xlfn.TEXTSPLIT(AC103,",",),0,2)+$A$18,$A$18))/4,0)))+(INDEX($AD$2:$AK$9,ROUNDUP(IF(MOD($A48+INDEX(_xlfn.TEXTSPLIT(AC146,",",),0,1)+$A$18,$A$18)=0,$A$18,MOD($A48+INDEX(_xlfn.TEXTSPLIT(AC146,",",),0,1)+$A$18,$A$18))/5,0),ROUNDUP(IF(MOD(AC$18+INDEX(_xlfn.TEXTSPLIT(AC146,",",),0,2)+$A$18,$A$18)=0,$A$18,MOD(AC$18+INDEX(_xlfn.TEXTSPLIT(AC146,",",),0,2)+$A$18,$A$18))/5,0)))</f>
        <v>8</v>
      </c>
      <c r="AD48" s="1" cm="1">
        <f t="array" aca="1" ref="AD48" ca="1">(INDEX($K$2:$T$11,ROUNDUP(IF(MOD($A48+INDEX(_xlfn.TEXTSPLIT(AD103,",",),0,1)+$A$18,$A$18)=0,$A$18,MOD($A48+INDEX(_xlfn.TEXTSPLIT(AD103,",",),0,1)+$A$18,$A$18))/4,0),ROUNDUP(IF(MOD(AD$18+INDEX(_xlfn.TEXTSPLIT(AD103,",",),0,2)+$A$18,$A$18)=0,$A$18,MOD(AD$18+INDEX(_xlfn.TEXTSPLIT(AD103,",",),0,2)+$A$18,$A$18))/4,0)))+(INDEX($AD$2:$AK$9,ROUNDUP(IF(MOD($A48+INDEX(_xlfn.TEXTSPLIT(AD146,",",),0,1)+$A$18,$A$18)=0,$A$18,MOD($A48+INDEX(_xlfn.TEXTSPLIT(AD146,",",),0,1)+$A$18,$A$18))/5,0),ROUNDUP(IF(MOD(AD$18+INDEX(_xlfn.TEXTSPLIT(AD146,",",),0,2)+$A$18,$A$18)=0,$A$18,MOD(AD$18+INDEX(_xlfn.TEXTSPLIT(AD146,",",),0,2)+$A$18,$A$18))/5,0)))</f>
        <v>7</v>
      </c>
      <c r="AE48" s="1" cm="1">
        <f t="array" aca="1" ref="AE48" ca="1">(INDEX($K$2:$T$11,ROUNDUP(IF(MOD($A48+INDEX(_xlfn.TEXTSPLIT(AE103,",",),0,1)+$A$18,$A$18)=0,$A$18,MOD($A48+INDEX(_xlfn.TEXTSPLIT(AE103,",",),0,1)+$A$18,$A$18))/4,0),ROUNDUP(IF(MOD(AE$18+INDEX(_xlfn.TEXTSPLIT(AE103,",",),0,2)+$A$18,$A$18)=0,$A$18,MOD(AE$18+INDEX(_xlfn.TEXTSPLIT(AE103,",",),0,2)+$A$18,$A$18))/4,0)))+(INDEX($AD$2:$AK$9,ROUNDUP(IF(MOD($A48+INDEX(_xlfn.TEXTSPLIT(AE146,",",),0,1)+$A$18,$A$18)=0,$A$18,MOD($A48+INDEX(_xlfn.TEXTSPLIT(AE146,",",),0,1)+$A$18,$A$18))/5,0),ROUNDUP(IF(MOD(AE$18+INDEX(_xlfn.TEXTSPLIT(AE146,",",),0,2)+$A$18,$A$18)=0,$A$18,MOD(AE$18+INDEX(_xlfn.TEXTSPLIT(AE146,",",),0,2)+$A$18,$A$18))/5,0)))</f>
        <v>8</v>
      </c>
      <c r="AF48" s="1" cm="1">
        <f t="array" aca="1" ref="AF48" ca="1">(INDEX($K$2:$T$11,ROUNDUP(IF(MOD($A48+INDEX(_xlfn.TEXTSPLIT(AF103,",",),0,1)+$A$18,$A$18)=0,$A$18,MOD($A48+INDEX(_xlfn.TEXTSPLIT(AF103,",",),0,1)+$A$18,$A$18))/4,0),ROUNDUP(IF(MOD(AF$18+INDEX(_xlfn.TEXTSPLIT(AF103,",",),0,2)+$A$18,$A$18)=0,$A$18,MOD(AF$18+INDEX(_xlfn.TEXTSPLIT(AF103,",",),0,2)+$A$18,$A$18))/4,0)))+(INDEX($AD$2:$AK$9,ROUNDUP(IF(MOD($A48+INDEX(_xlfn.TEXTSPLIT(AF146,",",),0,1)+$A$18,$A$18)=0,$A$18,MOD($A48+INDEX(_xlfn.TEXTSPLIT(AF146,",",),0,1)+$A$18,$A$18))/5,0),ROUNDUP(IF(MOD(AF$18+INDEX(_xlfn.TEXTSPLIT(AF146,",",),0,2)+$A$18,$A$18)=0,$A$18,MOD(AF$18+INDEX(_xlfn.TEXTSPLIT(AF146,",",),0,2)+$A$18,$A$18))/5,0)))</f>
        <v>8</v>
      </c>
      <c r="AG48" s="1" cm="1">
        <f t="array" aca="1" ref="AG48" ca="1">(INDEX($K$2:$T$11,ROUNDUP(IF(MOD($A48+INDEX(_xlfn.TEXTSPLIT(AG103,",",),0,1)+$A$18,$A$18)=0,$A$18,MOD($A48+INDEX(_xlfn.TEXTSPLIT(AG103,",",),0,1)+$A$18,$A$18))/4,0),ROUNDUP(IF(MOD(AG$18+INDEX(_xlfn.TEXTSPLIT(AG103,",",),0,2)+$A$18,$A$18)=0,$A$18,MOD(AG$18+INDEX(_xlfn.TEXTSPLIT(AG103,",",),0,2)+$A$18,$A$18))/4,0)))+(INDEX($AD$2:$AK$9,ROUNDUP(IF(MOD($A48+INDEX(_xlfn.TEXTSPLIT(AG146,",",),0,1)+$A$18,$A$18)=0,$A$18,MOD($A48+INDEX(_xlfn.TEXTSPLIT(AG146,",",),0,1)+$A$18,$A$18))/5,0),ROUNDUP(IF(MOD(AG$18+INDEX(_xlfn.TEXTSPLIT(AG146,",",),0,2)+$A$18,$A$18)=0,$A$18,MOD(AG$18+INDEX(_xlfn.TEXTSPLIT(AG146,",",),0,2)+$A$18,$A$18))/5,0)))</f>
        <v>8</v>
      </c>
      <c r="AH48" s="1" cm="1">
        <f t="array" aca="1" ref="AH48" ca="1">(INDEX($K$2:$T$11,ROUNDUP(IF(MOD($A48+INDEX(_xlfn.TEXTSPLIT(AH103,",",),0,1)+$A$18,$A$18)=0,$A$18,MOD($A48+INDEX(_xlfn.TEXTSPLIT(AH103,",",),0,1)+$A$18,$A$18))/4,0),ROUNDUP(IF(MOD(AH$18+INDEX(_xlfn.TEXTSPLIT(AH103,",",),0,2)+$A$18,$A$18)=0,$A$18,MOD(AH$18+INDEX(_xlfn.TEXTSPLIT(AH103,",",),0,2)+$A$18,$A$18))/4,0)))+(INDEX($AD$2:$AK$9,ROUNDUP(IF(MOD($A48+INDEX(_xlfn.TEXTSPLIT(AH146,",",),0,1)+$A$18,$A$18)=0,$A$18,MOD($A48+INDEX(_xlfn.TEXTSPLIT(AH146,",",),0,1)+$A$18,$A$18))/5,0),ROUNDUP(IF(MOD(AH$18+INDEX(_xlfn.TEXTSPLIT(AH146,",",),0,2)+$A$18,$A$18)=0,$A$18,MOD(AH$18+INDEX(_xlfn.TEXTSPLIT(AH146,",",),0,2)+$A$18,$A$18))/5,0)))</f>
        <v>8</v>
      </c>
      <c r="AI48" s="1" cm="1">
        <f t="array" aca="1" ref="AI48" ca="1">(INDEX($K$2:$T$11,ROUNDUP(IF(MOD($A48+INDEX(_xlfn.TEXTSPLIT(AI103,",",),0,1)+$A$18,$A$18)=0,$A$18,MOD($A48+INDEX(_xlfn.TEXTSPLIT(AI103,",",),0,1)+$A$18,$A$18))/4,0),ROUNDUP(IF(MOD(AI$18+INDEX(_xlfn.TEXTSPLIT(AI103,",",),0,2)+$A$18,$A$18)=0,$A$18,MOD(AI$18+INDEX(_xlfn.TEXTSPLIT(AI103,",",),0,2)+$A$18,$A$18))/4,0)))+(INDEX($AD$2:$AK$9,ROUNDUP(IF(MOD($A48+INDEX(_xlfn.TEXTSPLIT(AI146,",",),0,1)+$A$18,$A$18)=0,$A$18,MOD($A48+INDEX(_xlfn.TEXTSPLIT(AI146,",",),0,1)+$A$18,$A$18))/5,0),ROUNDUP(IF(MOD(AI$18+INDEX(_xlfn.TEXTSPLIT(AI146,",",),0,2)+$A$18,$A$18)=0,$A$18,MOD(AI$18+INDEX(_xlfn.TEXTSPLIT(AI146,",",),0,2)+$A$18,$A$18))/5,0)))</f>
        <v>5</v>
      </c>
      <c r="AJ48" s="1" cm="1">
        <f t="array" aca="1" ref="AJ48" ca="1">(INDEX($K$2:$T$11,ROUNDUP(IF(MOD($A48+INDEX(_xlfn.TEXTSPLIT(AJ103,",",),0,1)+$A$18,$A$18)=0,$A$18,MOD($A48+INDEX(_xlfn.TEXTSPLIT(AJ103,",",),0,1)+$A$18,$A$18))/4,0),ROUNDUP(IF(MOD(AJ$18+INDEX(_xlfn.TEXTSPLIT(AJ103,",",),0,2)+$A$18,$A$18)=0,$A$18,MOD(AJ$18+INDEX(_xlfn.TEXTSPLIT(AJ103,",",),0,2)+$A$18,$A$18))/4,0)))+(INDEX($AD$2:$AK$9,ROUNDUP(IF(MOD($A48+INDEX(_xlfn.TEXTSPLIT(AJ146,",",),0,1)+$A$18,$A$18)=0,$A$18,MOD($A48+INDEX(_xlfn.TEXTSPLIT(AJ146,",",),0,1)+$A$18,$A$18))/5,0),ROUNDUP(IF(MOD(AJ$18+INDEX(_xlfn.TEXTSPLIT(AJ146,",",),0,2)+$A$18,$A$18)=0,$A$18,MOD(AJ$18+INDEX(_xlfn.TEXTSPLIT(AJ146,",",),0,2)+$A$18,$A$18))/5,0)))</f>
        <v>7</v>
      </c>
      <c r="AK48" s="1" cm="1">
        <f t="array" aca="1" ref="AK48" ca="1">(INDEX($K$2:$T$11,ROUNDUP(IF(MOD($A48+INDEX(_xlfn.TEXTSPLIT(AK103,",",),0,1)+$A$18,$A$18)=0,$A$18,MOD($A48+INDEX(_xlfn.TEXTSPLIT(AK103,",",),0,1)+$A$18,$A$18))/4,0),ROUNDUP(IF(MOD(AK$18+INDEX(_xlfn.TEXTSPLIT(AK103,",",),0,2)+$A$18,$A$18)=0,$A$18,MOD(AK$18+INDEX(_xlfn.TEXTSPLIT(AK103,",",),0,2)+$A$18,$A$18))/4,0)))+(INDEX($AD$2:$AK$9,ROUNDUP(IF(MOD($A48+INDEX(_xlfn.TEXTSPLIT(AK146,",",),0,1)+$A$18,$A$18)=0,$A$18,MOD($A48+INDEX(_xlfn.TEXTSPLIT(AK146,",",),0,1)+$A$18,$A$18))/5,0),ROUNDUP(IF(MOD(AK$18+INDEX(_xlfn.TEXTSPLIT(AK146,",",),0,2)+$A$18,$A$18)=0,$A$18,MOD(AK$18+INDEX(_xlfn.TEXTSPLIT(AK146,",",),0,2)+$A$18,$A$18))/5,0)))</f>
        <v>8</v>
      </c>
      <c r="AL48" s="1" cm="1">
        <f t="array" aca="1" ref="AL48" ca="1">(INDEX($K$2:$T$11,ROUNDUP(IF(MOD($A48+INDEX(_xlfn.TEXTSPLIT(AL103,",",),0,1)+$A$18,$A$18)=0,$A$18,MOD($A48+INDEX(_xlfn.TEXTSPLIT(AL103,",",),0,1)+$A$18,$A$18))/4,0),ROUNDUP(IF(MOD(AL$18+INDEX(_xlfn.TEXTSPLIT(AL103,",",),0,2)+$A$18,$A$18)=0,$A$18,MOD(AL$18+INDEX(_xlfn.TEXTSPLIT(AL103,",",),0,2)+$A$18,$A$18))/4,0)))+(INDEX($AD$2:$AK$9,ROUNDUP(IF(MOD($A48+INDEX(_xlfn.TEXTSPLIT(AL146,",",),0,1)+$A$18,$A$18)=0,$A$18,MOD($A48+INDEX(_xlfn.TEXTSPLIT(AL146,",",),0,1)+$A$18,$A$18))/5,0),ROUNDUP(IF(MOD(AL$18+INDEX(_xlfn.TEXTSPLIT(AL146,",",),0,2)+$A$18,$A$18)=0,$A$18,MOD(AL$18+INDEX(_xlfn.TEXTSPLIT(AL146,",",),0,2)+$A$18,$A$18))/5,0)))</f>
        <v>5</v>
      </c>
      <c r="AM48" s="1" cm="1">
        <f t="array" aca="1" ref="AM48" ca="1">(INDEX($K$2:$T$11,ROUNDUP(IF(MOD($A48+INDEX(_xlfn.TEXTSPLIT(AM103,",",),0,1)+$A$18,$A$18)=0,$A$18,MOD($A48+INDEX(_xlfn.TEXTSPLIT(AM103,",",),0,1)+$A$18,$A$18))/4,0),ROUNDUP(IF(MOD(AM$18+INDEX(_xlfn.TEXTSPLIT(AM103,",",),0,2)+$A$18,$A$18)=0,$A$18,MOD(AM$18+INDEX(_xlfn.TEXTSPLIT(AM103,",",),0,2)+$A$18,$A$18))/4,0)))+(INDEX($AD$2:$AK$9,ROUNDUP(IF(MOD($A48+INDEX(_xlfn.TEXTSPLIT(AM146,",",),0,1)+$A$18,$A$18)=0,$A$18,MOD($A48+INDEX(_xlfn.TEXTSPLIT(AM146,",",),0,1)+$A$18,$A$18))/5,0),ROUNDUP(IF(MOD(AM$18+INDEX(_xlfn.TEXTSPLIT(AM146,",",),0,2)+$A$18,$A$18)=0,$A$18,MOD(AM$18+INDEX(_xlfn.TEXTSPLIT(AM146,",",),0,2)+$A$18,$A$18))/5,0)))</f>
        <v>7</v>
      </c>
      <c r="AN48" s="1" cm="1">
        <f t="array" aca="1" ref="AN48" ca="1">(INDEX($K$2:$T$11,ROUNDUP(IF(MOD($A48+INDEX(_xlfn.TEXTSPLIT(AN103,",",),0,1)+$A$18,$A$18)=0,$A$18,MOD($A48+INDEX(_xlfn.TEXTSPLIT(AN103,",",),0,1)+$A$18,$A$18))/4,0),ROUNDUP(IF(MOD(AN$18+INDEX(_xlfn.TEXTSPLIT(AN103,",",),0,2)+$A$18,$A$18)=0,$A$18,MOD(AN$18+INDEX(_xlfn.TEXTSPLIT(AN103,",",),0,2)+$A$18,$A$18))/4,0)))+(INDEX($AD$2:$AK$9,ROUNDUP(IF(MOD($A48+INDEX(_xlfn.TEXTSPLIT(AN146,",",),0,1)+$A$18,$A$18)=0,$A$18,MOD($A48+INDEX(_xlfn.TEXTSPLIT(AN146,",",),0,1)+$A$18,$A$18))/5,0),ROUNDUP(IF(MOD(AN$18+INDEX(_xlfn.TEXTSPLIT(AN146,",",),0,2)+$A$18,$A$18)=0,$A$18,MOD(AN$18+INDEX(_xlfn.TEXTSPLIT(AN146,",",),0,2)+$A$18,$A$18))/5,0)))</f>
        <v>7</v>
      </c>
      <c r="AO48" s="1" cm="1">
        <f t="array" aca="1" ref="AO48" ca="1">(INDEX($K$2:$T$11,ROUNDUP(IF(MOD($A48+INDEX(_xlfn.TEXTSPLIT(AO103,",",),0,1)+$A$18,$A$18)=0,$A$18,MOD($A48+INDEX(_xlfn.TEXTSPLIT(AO103,",",),0,1)+$A$18,$A$18))/4,0),ROUNDUP(IF(MOD(AO$18+INDEX(_xlfn.TEXTSPLIT(AO103,",",),0,2)+$A$18,$A$18)=0,$A$18,MOD(AO$18+INDEX(_xlfn.TEXTSPLIT(AO103,",",),0,2)+$A$18,$A$18))/4,0)))+(INDEX($AD$2:$AK$9,ROUNDUP(IF(MOD($A48+INDEX(_xlfn.TEXTSPLIT(AO146,",",),0,1)+$A$18,$A$18)=0,$A$18,MOD($A48+INDEX(_xlfn.TEXTSPLIT(AO146,",",),0,1)+$A$18,$A$18))/5,0),ROUNDUP(IF(MOD(AO$18+INDEX(_xlfn.TEXTSPLIT(AO146,",",),0,2)+$A$18,$A$18)=0,$A$18,MOD(AO$18+INDEX(_xlfn.TEXTSPLIT(AO146,",",),0,2)+$A$18,$A$18))/5,0)))</f>
        <v>3</v>
      </c>
    </row>
    <row r="49" spans="1:41" ht="12.75">
      <c r="A49" s="1">
        <v>31</v>
      </c>
      <c r="B49" s="1" cm="1">
        <f t="array" aca="1" ref="B49" ca="1">(INDEX($K$2:$T$11,ROUNDUP(IF(MOD($A49+INDEX(_xlfn.TEXTSPLIT(B104,",",),0,1)+$A$18,$A$18)=0,$A$18,MOD($A49+INDEX(_xlfn.TEXTSPLIT(B104,",",),0,1)+$A$18,$A$18))/4,0),ROUNDUP(IF(MOD(B$18+INDEX(_xlfn.TEXTSPLIT(B104,",",),0,2)+$A$18,$A$18)=0,$A$18,MOD(B$18+INDEX(_xlfn.TEXTSPLIT(B104,",",),0,2)+$A$18,$A$18))/4,0)))+(INDEX($AD$2:$AK$9,ROUNDUP(IF(MOD($A49+INDEX(_xlfn.TEXTSPLIT(B147,",",),0,1)+$A$18,$A$18)=0,$A$18,MOD($A49+INDEX(_xlfn.TEXTSPLIT(B147,",",),0,1)+$A$18,$A$18))/5,0),ROUNDUP(IF(MOD(B$18+INDEX(_xlfn.TEXTSPLIT(B147,",",),0,2)+$A$18,$A$18)=0,$A$18,MOD(B$18+INDEX(_xlfn.TEXTSPLIT(B147,",",),0,2)+$A$18,$A$18))/5,0)))</f>
        <v>3</v>
      </c>
      <c r="C49" s="1" cm="1">
        <f t="array" aca="1" ref="C49" ca="1">(INDEX($K$2:$T$11,ROUNDUP(IF(MOD($A49+INDEX(_xlfn.TEXTSPLIT(C104,",",),0,1)+$A$18,$A$18)=0,$A$18,MOD($A49+INDEX(_xlfn.TEXTSPLIT(C104,",",),0,1)+$A$18,$A$18))/4,0),ROUNDUP(IF(MOD(C$18+INDEX(_xlfn.TEXTSPLIT(C104,",",),0,2)+$A$18,$A$18)=0,$A$18,MOD(C$18+INDEX(_xlfn.TEXTSPLIT(C104,",",),0,2)+$A$18,$A$18))/4,0)))+(INDEX($AD$2:$AK$9,ROUNDUP(IF(MOD($A49+INDEX(_xlfn.TEXTSPLIT(C147,",",),0,1)+$A$18,$A$18)=0,$A$18,MOD($A49+INDEX(_xlfn.TEXTSPLIT(C147,",",),0,1)+$A$18,$A$18))/5,0),ROUNDUP(IF(MOD(C$18+INDEX(_xlfn.TEXTSPLIT(C147,",",),0,2)+$A$18,$A$18)=0,$A$18,MOD(C$18+INDEX(_xlfn.TEXTSPLIT(C147,",",),0,2)+$A$18,$A$18))/5,0)))</f>
        <v>3</v>
      </c>
      <c r="D49" s="1" cm="1">
        <f t="array" aca="1" ref="D49" ca="1">(INDEX($K$2:$T$11,ROUNDUP(IF(MOD($A49+INDEX(_xlfn.TEXTSPLIT(D104,",",),0,1)+$A$18,$A$18)=0,$A$18,MOD($A49+INDEX(_xlfn.TEXTSPLIT(D104,",",),0,1)+$A$18,$A$18))/4,0),ROUNDUP(IF(MOD(D$18+INDEX(_xlfn.TEXTSPLIT(D104,",",),0,2)+$A$18,$A$18)=0,$A$18,MOD(D$18+INDEX(_xlfn.TEXTSPLIT(D104,",",),0,2)+$A$18,$A$18))/4,0)))+(INDEX($AD$2:$AK$9,ROUNDUP(IF(MOD($A49+INDEX(_xlfn.TEXTSPLIT(D147,",",),0,1)+$A$18,$A$18)=0,$A$18,MOD($A49+INDEX(_xlfn.TEXTSPLIT(D147,",",),0,1)+$A$18,$A$18))/5,0),ROUNDUP(IF(MOD(D$18+INDEX(_xlfn.TEXTSPLIT(D147,",",),0,2)+$A$18,$A$18)=0,$A$18,MOD(D$18+INDEX(_xlfn.TEXTSPLIT(D147,",",),0,2)+$A$18,$A$18))/5,0)))</f>
        <v>2</v>
      </c>
      <c r="E49" s="1" cm="1">
        <f t="array" aca="1" ref="E49" ca="1">(INDEX($K$2:$T$11,ROUNDUP(IF(MOD($A49+INDEX(_xlfn.TEXTSPLIT(E104,",",),0,1)+$A$18,$A$18)=0,$A$18,MOD($A49+INDEX(_xlfn.TEXTSPLIT(E104,",",),0,1)+$A$18,$A$18))/4,0),ROUNDUP(IF(MOD(E$18+INDEX(_xlfn.TEXTSPLIT(E104,",",),0,2)+$A$18,$A$18)=0,$A$18,MOD(E$18+INDEX(_xlfn.TEXTSPLIT(E104,",",),0,2)+$A$18,$A$18))/4,0)))+(INDEX($AD$2:$AK$9,ROUNDUP(IF(MOD($A49+INDEX(_xlfn.TEXTSPLIT(E147,",",),0,1)+$A$18,$A$18)=0,$A$18,MOD($A49+INDEX(_xlfn.TEXTSPLIT(E147,",",),0,1)+$A$18,$A$18))/5,0),ROUNDUP(IF(MOD(E$18+INDEX(_xlfn.TEXTSPLIT(E147,",",),0,2)+$A$18,$A$18)=0,$A$18,MOD(E$18+INDEX(_xlfn.TEXTSPLIT(E147,",",),0,2)+$A$18,$A$18))/5,0)))</f>
        <v>3</v>
      </c>
      <c r="F49" s="1" cm="1">
        <f t="array" aca="1" ref="F49" ca="1">(INDEX($K$2:$T$11,ROUNDUP(IF(MOD($A49+INDEX(_xlfn.TEXTSPLIT(F104,",",),0,1)+$A$18,$A$18)=0,$A$18,MOD($A49+INDEX(_xlfn.TEXTSPLIT(F104,",",),0,1)+$A$18,$A$18))/4,0),ROUNDUP(IF(MOD(F$18+INDEX(_xlfn.TEXTSPLIT(F104,",",),0,2)+$A$18,$A$18)=0,$A$18,MOD(F$18+INDEX(_xlfn.TEXTSPLIT(F104,",",),0,2)+$A$18,$A$18))/4,0)))+(INDEX($AD$2:$AK$9,ROUNDUP(IF(MOD($A49+INDEX(_xlfn.TEXTSPLIT(F147,",",),0,1)+$A$18,$A$18)=0,$A$18,MOD($A49+INDEX(_xlfn.TEXTSPLIT(F147,",",),0,1)+$A$18,$A$18))/5,0),ROUNDUP(IF(MOD(F$18+INDEX(_xlfn.TEXTSPLIT(F147,",",),0,2)+$A$18,$A$18)=0,$A$18,MOD(F$18+INDEX(_xlfn.TEXTSPLIT(F147,",",),0,2)+$A$18,$A$18))/5,0)))</f>
        <v>3</v>
      </c>
      <c r="G49" s="1" cm="1">
        <f t="array" aca="1" ref="G49" ca="1">(INDEX($K$2:$T$11,ROUNDUP(IF(MOD($A49+INDEX(_xlfn.TEXTSPLIT(G104,",",),0,1)+$A$18,$A$18)=0,$A$18,MOD($A49+INDEX(_xlfn.TEXTSPLIT(G104,",",),0,1)+$A$18,$A$18))/4,0),ROUNDUP(IF(MOD(G$18+INDEX(_xlfn.TEXTSPLIT(G104,",",),0,2)+$A$18,$A$18)=0,$A$18,MOD(G$18+INDEX(_xlfn.TEXTSPLIT(G104,",",),0,2)+$A$18,$A$18))/4,0)))+(INDEX($AD$2:$AK$9,ROUNDUP(IF(MOD($A49+INDEX(_xlfn.TEXTSPLIT(G147,",",),0,1)+$A$18,$A$18)=0,$A$18,MOD($A49+INDEX(_xlfn.TEXTSPLIT(G147,",",),0,1)+$A$18,$A$18))/5,0),ROUNDUP(IF(MOD(G$18+INDEX(_xlfn.TEXTSPLIT(G147,",",),0,2)+$A$18,$A$18)=0,$A$18,MOD(G$18+INDEX(_xlfn.TEXTSPLIT(G147,",",),0,2)+$A$18,$A$18))/5,0)))</f>
        <v>3</v>
      </c>
      <c r="H49" s="1" cm="1">
        <f t="array" aca="1" ref="H49" ca="1">(INDEX($K$2:$T$11,ROUNDUP(IF(MOD($A49+INDEX(_xlfn.TEXTSPLIT(H104,",",),0,1)+$A$18,$A$18)=0,$A$18,MOD($A49+INDEX(_xlfn.TEXTSPLIT(H104,",",),0,1)+$A$18,$A$18))/4,0),ROUNDUP(IF(MOD(H$18+INDEX(_xlfn.TEXTSPLIT(H104,",",),0,2)+$A$18,$A$18)=0,$A$18,MOD(H$18+INDEX(_xlfn.TEXTSPLIT(H104,",",),0,2)+$A$18,$A$18))/4,0)))+(INDEX($AD$2:$AK$9,ROUNDUP(IF(MOD($A49+INDEX(_xlfn.TEXTSPLIT(H147,",",),0,1)+$A$18,$A$18)=0,$A$18,MOD($A49+INDEX(_xlfn.TEXTSPLIT(H147,",",),0,1)+$A$18,$A$18))/5,0),ROUNDUP(IF(MOD(H$18+INDEX(_xlfn.TEXTSPLIT(H147,",",),0,2)+$A$18,$A$18)=0,$A$18,MOD(H$18+INDEX(_xlfn.TEXTSPLIT(H147,",",),0,2)+$A$18,$A$18))/5,0)))</f>
        <v>3</v>
      </c>
      <c r="I49" s="1" cm="1">
        <f t="array" aca="1" ref="I49" ca="1">(INDEX($K$2:$T$11,ROUNDUP(IF(MOD($A49+INDEX(_xlfn.TEXTSPLIT(I104,",",),0,1)+$A$18,$A$18)=0,$A$18,MOD($A49+INDEX(_xlfn.TEXTSPLIT(I104,",",),0,1)+$A$18,$A$18))/4,0),ROUNDUP(IF(MOD(I$18+INDEX(_xlfn.TEXTSPLIT(I104,",",),0,2)+$A$18,$A$18)=0,$A$18,MOD(I$18+INDEX(_xlfn.TEXTSPLIT(I104,",",),0,2)+$A$18,$A$18))/4,0)))+(INDEX($AD$2:$AK$9,ROUNDUP(IF(MOD($A49+INDEX(_xlfn.TEXTSPLIT(I147,",",),0,1)+$A$18,$A$18)=0,$A$18,MOD($A49+INDEX(_xlfn.TEXTSPLIT(I147,",",),0,1)+$A$18,$A$18))/5,0),ROUNDUP(IF(MOD(I$18+INDEX(_xlfn.TEXTSPLIT(I147,",",),0,2)+$A$18,$A$18)=0,$A$18,MOD(I$18+INDEX(_xlfn.TEXTSPLIT(I147,",",),0,2)+$A$18,$A$18))/5,0)))</f>
        <v>7</v>
      </c>
      <c r="J49" s="1" cm="1">
        <f t="array" aca="1" ref="J49" ca="1">(INDEX($K$2:$T$11,ROUNDUP(IF(MOD($A49+INDEX(_xlfn.TEXTSPLIT(J104,",",),0,1)+$A$18,$A$18)=0,$A$18,MOD($A49+INDEX(_xlfn.TEXTSPLIT(J104,",",),0,1)+$A$18,$A$18))/4,0),ROUNDUP(IF(MOD(J$18+INDEX(_xlfn.TEXTSPLIT(J104,",",),0,2)+$A$18,$A$18)=0,$A$18,MOD(J$18+INDEX(_xlfn.TEXTSPLIT(J104,",",),0,2)+$A$18,$A$18))/4,0)))+(INDEX($AD$2:$AK$9,ROUNDUP(IF(MOD($A49+INDEX(_xlfn.TEXTSPLIT(J147,",",),0,1)+$A$18,$A$18)=0,$A$18,MOD($A49+INDEX(_xlfn.TEXTSPLIT(J147,",",),0,1)+$A$18,$A$18))/5,0),ROUNDUP(IF(MOD(J$18+INDEX(_xlfn.TEXTSPLIT(J147,",",),0,2)+$A$18,$A$18)=0,$A$18,MOD(J$18+INDEX(_xlfn.TEXTSPLIT(J147,",",),0,2)+$A$18,$A$18))/5,0)))</f>
        <v>3</v>
      </c>
      <c r="K49" s="1" cm="1">
        <f t="array" aca="1" ref="K49" ca="1">(INDEX($K$2:$T$11,ROUNDUP(IF(MOD($A49+INDEX(_xlfn.TEXTSPLIT(K104,",",),0,1)+$A$18,$A$18)=0,$A$18,MOD($A49+INDEX(_xlfn.TEXTSPLIT(K104,",",),0,1)+$A$18,$A$18))/4,0),ROUNDUP(IF(MOD(K$18+INDEX(_xlfn.TEXTSPLIT(K104,",",),0,2)+$A$18,$A$18)=0,$A$18,MOD(K$18+INDEX(_xlfn.TEXTSPLIT(K104,",",),0,2)+$A$18,$A$18))/4,0)))+(INDEX($AD$2:$AK$9,ROUNDUP(IF(MOD($A49+INDEX(_xlfn.TEXTSPLIT(K147,",",),0,1)+$A$18,$A$18)=0,$A$18,MOD($A49+INDEX(_xlfn.TEXTSPLIT(K147,",",),0,1)+$A$18,$A$18))/5,0),ROUNDUP(IF(MOD(K$18+INDEX(_xlfn.TEXTSPLIT(K147,",",),0,2)+$A$18,$A$18)=0,$A$18,MOD(K$18+INDEX(_xlfn.TEXTSPLIT(K147,",",),0,2)+$A$18,$A$18))/5,0)))</f>
        <v>7</v>
      </c>
      <c r="L49" s="1" cm="1">
        <f t="array" aca="1" ref="L49" ca="1">(INDEX($K$2:$T$11,ROUNDUP(IF(MOD($A49+INDEX(_xlfn.TEXTSPLIT(L104,",",),0,1)+$A$18,$A$18)=0,$A$18,MOD($A49+INDEX(_xlfn.TEXTSPLIT(L104,",",),0,1)+$A$18,$A$18))/4,0),ROUNDUP(IF(MOD(L$18+INDEX(_xlfn.TEXTSPLIT(L104,",",),0,2)+$A$18,$A$18)=0,$A$18,MOD(L$18+INDEX(_xlfn.TEXTSPLIT(L104,",",),0,2)+$A$18,$A$18))/4,0)))+(INDEX($AD$2:$AK$9,ROUNDUP(IF(MOD($A49+INDEX(_xlfn.TEXTSPLIT(L147,",",),0,1)+$A$18,$A$18)=0,$A$18,MOD($A49+INDEX(_xlfn.TEXTSPLIT(L147,",",),0,1)+$A$18,$A$18))/5,0),ROUNDUP(IF(MOD(L$18+INDEX(_xlfn.TEXTSPLIT(L147,",",),0,2)+$A$18,$A$18)=0,$A$18,MOD(L$18+INDEX(_xlfn.TEXTSPLIT(L147,",",),0,2)+$A$18,$A$18))/5,0)))</f>
        <v>7</v>
      </c>
      <c r="M49" s="1" cm="1">
        <f t="array" aca="1" ref="M49" ca="1">(INDEX($K$2:$T$11,ROUNDUP(IF(MOD($A49+INDEX(_xlfn.TEXTSPLIT(M104,",",),0,1)+$A$18,$A$18)=0,$A$18,MOD($A49+INDEX(_xlfn.TEXTSPLIT(M104,",",),0,1)+$A$18,$A$18))/4,0),ROUNDUP(IF(MOD(M$18+INDEX(_xlfn.TEXTSPLIT(M104,",",),0,2)+$A$18,$A$18)=0,$A$18,MOD(M$18+INDEX(_xlfn.TEXTSPLIT(M104,",",),0,2)+$A$18,$A$18))/4,0)))+(INDEX($AD$2:$AK$9,ROUNDUP(IF(MOD($A49+INDEX(_xlfn.TEXTSPLIT(M147,",",),0,1)+$A$18,$A$18)=0,$A$18,MOD($A49+INDEX(_xlfn.TEXTSPLIT(M147,",",),0,1)+$A$18,$A$18))/5,0),ROUNDUP(IF(MOD(M$18+INDEX(_xlfn.TEXTSPLIT(M147,",",),0,2)+$A$18,$A$18)=0,$A$18,MOD(M$18+INDEX(_xlfn.TEXTSPLIT(M147,",",),0,2)+$A$18,$A$18))/5,0)))</f>
        <v>6</v>
      </c>
      <c r="N49" s="1" cm="1">
        <f t="array" aca="1" ref="N49" ca="1">(INDEX($K$2:$T$11,ROUNDUP(IF(MOD($A49+INDEX(_xlfn.TEXTSPLIT(N104,",",),0,1)+$A$18,$A$18)=0,$A$18,MOD($A49+INDEX(_xlfn.TEXTSPLIT(N104,",",),0,1)+$A$18,$A$18))/4,0),ROUNDUP(IF(MOD(N$18+INDEX(_xlfn.TEXTSPLIT(N104,",",),0,2)+$A$18,$A$18)=0,$A$18,MOD(N$18+INDEX(_xlfn.TEXTSPLIT(N104,",",),0,2)+$A$18,$A$18))/4,0)))+(INDEX($AD$2:$AK$9,ROUNDUP(IF(MOD($A49+INDEX(_xlfn.TEXTSPLIT(N147,",",),0,1)+$A$18,$A$18)=0,$A$18,MOD($A49+INDEX(_xlfn.TEXTSPLIT(N147,",",),0,1)+$A$18,$A$18))/5,0),ROUNDUP(IF(MOD(N$18+INDEX(_xlfn.TEXTSPLIT(N147,",",),0,2)+$A$18,$A$18)=0,$A$18,MOD(N$18+INDEX(_xlfn.TEXTSPLIT(N147,",",),0,2)+$A$18,$A$18))/5,0)))</f>
        <v>7</v>
      </c>
      <c r="O49" s="1" cm="1">
        <f t="array" aca="1" ref="O49" ca="1">(INDEX($K$2:$T$11,ROUNDUP(IF(MOD($A49+INDEX(_xlfn.TEXTSPLIT(O104,",",),0,1)+$A$18,$A$18)=0,$A$18,MOD($A49+INDEX(_xlfn.TEXTSPLIT(O104,",",),0,1)+$A$18,$A$18))/4,0),ROUNDUP(IF(MOD(O$18+INDEX(_xlfn.TEXTSPLIT(O104,",",),0,2)+$A$18,$A$18)=0,$A$18,MOD(O$18+INDEX(_xlfn.TEXTSPLIT(O104,",",),0,2)+$A$18,$A$18))/4,0)))+(INDEX($AD$2:$AK$9,ROUNDUP(IF(MOD($A49+INDEX(_xlfn.TEXTSPLIT(O147,",",),0,1)+$A$18,$A$18)=0,$A$18,MOD($A49+INDEX(_xlfn.TEXTSPLIT(O147,",",),0,1)+$A$18,$A$18))/5,0),ROUNDUP(IF(MOD(O$18+INDEX(_xlfn.TEXTSPLIT(O147,",",),0,2)+$A$18,$A$18)=0,$A$18,MOD(O$18+INDEX(_xlfn.TEXTSPLIT(O147,",",),0,2)+$A$18,$A$18))/5,0)))</f>
        <v>7</v>
      </c>
      <c r="P49" s="1" cm="1">
        <f t="array" aca="1" ref="P49" ca="1">(INDEX($K$2:$T$11,ROUNDUP(IF(MOD($A49+INDEX(_xlfn.TEXTSPLIT(P104,",",),0,1)+$A$18,$A$18)=0,$A$18,MOD($A49+INDEX(_xlfn.TEXTSPLIT(P104,",",),0,1)+$A$18,$A$18))/4,0),ROUNDUP(IF(MOD(P$18+INDEX(_xlfn.TEXTSPLIT(P104,",",),0,2)+$A$18,$A$18)=0,$A$18,MOD(P$18+INDEX(_xlfn.TEXTSPLIT(P104,",",),0,2)+$A$18,$A$18))/4,0)))+(INDEX($AD$2:$AK$9,ROUNDUP(IF(MOD($A49+INDEX(_xlfn.TEXTSPLIT(P147,",",),0,1)+$A$18,$A$18)=0,$A$18,MOD($A49+INDEX(_xlfn.TEXTSPLIT(P147,",",),0,1)+$A$18,$A$18))/5,0),ROUNDUP(IF(MOD(P$18+INDEX(_xlfn.TEXTSPLIT(P147,",",),0,2)+$A$18,$A$18)=0,$A$18,MOD(P$18+INDEX(_xlfn.TEXTSPLIT(P147,",",),0,2)+$A$18,$A$18))/5,0)))</f>
        <v>7</v>
      </c>
      <c r="Q49" s="1" cm="1">
        <f t="array" aca="1" ref="Q49" ca="1">(INDEX($K$2:$T$11,ROUNDUP(IF(MOD($A49+INDEX(_xlfn.TEXTSPLIT(Q104,",",),0,1)+$A$18,$A$18)=0,$A$18,MOD($A49+INDEX(_xlfn.TEXTSPLIT(Q104,",",),0,1)+$A$18,$A$18))/4,0),ROUNDUP(IF(MOD(Q$18+INDEX(_xlfn.TEXTSPLIT(Q104,",",),0,2)+$A$18,$A$18)=0,$A$18,MOD(Q$18+INDEX(_xlfn.TEXTSPLIT(Q104,",",),0,2)+$A$18,$A$18))/4,0)))+(INDEX($AD$2:$AK$9,ROUNDUP(IF(MOD($A49+INDEX(_xlfn.TEXTSPLIT(Q147,",",),0,1)+$A$18,$A$18)=0,$A$18,MOD($A49+INDEX(_xlfn.TEXTSPLIT(Q147,",",),0,1)+$A$18,$A$18))/5,0),ROUNDUP(IF(MOD(Q$18+INDEX(_xlfn.TEXTSPLIT(Q147,",",),0,2)+$A$18,$A$18)=0,$A$18,MOD(Q$18+INDEX(_xlfn.TEXTSPLIT(Q147,",",),0,2)+$A$18,$A$18))/5,0)))</f>
        <v>7</v>
      </c>
      <c r="R49" s="1" cm="1">
        <f t="array" aca="1" ref="R49" ca="1">(INDEX($K$2:$T$11,ROUNDUP(IF(MOD($A49+INDEX(_xlfn.TEXTSPLIT(R104,",",),0,1)+$A$18,$A$18)=0,$A$18,MOD($A49+INDEX(_xlfn.TEXTSPLIT(R104,",",),0,1)+$A$18,$A$18))/4,0),ROUNDUP(IF(MOD(R$18+INDEX(_xlfn.TEXTSPLIT(R104,",",),0,2)+$A$18,$A$18)=0,$A$18,MOD(R$18+INDEX(_xlfn.TEXTSPLIT(R104,",",),0,2)+$A$18,$A$18))/4,0)))+(INDEX($AD$2:$AK$9,ROUNDUP(IF(MOD($A49+INDEX(_xlfn.TEXTSPLIT(R147,",",),0,1)+$A$18,$A$18)=0,$A$18,MOD($A49+INDEX(_xlfn.TEXTSPLIT(R147,",",),0,1)+$A$18,$A$18))/5,0),ROUNDUP(IF(MOD(R$18+INDEX(_xlfn.TEXTSPLIT(R147,",",),0,2)+$A$18,$A$18)=0,$A$18,MOD(R$18+INDEX(_xlfn.TEXTSPLIT(R147,",",),0,2)+$A$18,$A$18))/5,0)))</f>
        <v>8</v>
      </c>
      <c r="S49" s="1" cm="1">
        <f t="array" aca="1" ref="S49" ca="1">(INDEX($K$2:$T$11,ROUNDUP(IF(MOD($A49+INDEX(_xlfn.TEXTSPLIT(S104,",",),0,1)+$A$18,$A$18)=0,$A$18,MOD($A49+INDEX(_xlfn.TEXTSPLIT(S104,",",),0,1)+$A$18,$A$18))/4,0),ROUNDUP(IF(MOD(S$18+INDEX(_xlfn.TEXTSPLIT(S104,",",),0,2)+$A$18,$A$18)=0,$A$18,MOD(S$18+INDEX(_xlfn.TEXTSPLIT(S104,",",),0,2)+$A$18,$A$18))/4,0)))+(INDEX($AD$2:$AK$9,ROUNDUP(IF(MOD($A49+INDEX(_xlfn.TEXTSPLIT(S147,",",),0,1)+$A$18,$A$18)=0,$A$18,MOD($A49+INDEX(_xlfn.TEXTSPLIT(S147,",",),0,1)+$A$18,$A$18))/5,0),ROUNDUP(IF(MOD(S$18+INDEX(_xlfn.TEXTSPLIT(S147,",",),0,2)+$A$18,$A$18)=0,$A$18,MOD(S$18+INDEX(_xlfn.TEXTSPLIT(S147,",",),0,2)+$A$18,$A$18))/5,0)))</f>
        <v>7</v>
      </c>
      <c r="T49" s="1" cm="1">
        <f t="array" aca="1" ref="T49" ca="1">(INDEX($K$2:$T$11,ROUNDUP(IF(MOD($A49+INDEX(_xlfn.TEXTSPLIT(T104,",",),0,1)+$A$18,$A$18)=0,$A$18,MOD($A49+INDEX(_xlfn.TEXTSPLIT(T104,",",),0,1)+$A$18,$A$18))/4,0),ROUNDUP(IF(MOD(T$18+INDEX(_xlfn.TEXTSPLIT(T104,",",),0,2)+$A$18,$A$18)=0,$A$18,MOD(T$18+INDEX(_xlfn.TEXTSPLIT(T104,",",),0,2)+$A$18,$A$18))/4,0)))+(INDEX($AD$2:$AK$9,ROUNDUP(IF(MOD($A49+INDEX(_xlfn.TEXTSPLIT(T147,",",),0,1)+$A$18,$A$18)=0,$A$18,MOD($A49+INDEX(_xlfn.TEXTSPLIT(T147,",",),0,1)+$A$18,$A$18))/5,0),ROUNDUP(IF(MOD(T$18+INDEX(_xlfn.TEXTSPLIT(T147,",",),0,2)+$A$18,$A$18)=0,$A$18,MOD(T$18+INDEX(_xlfn.TEXTSPLIT(T147,",",),0,2)+$A$18,$A$18))/5,0)))</f>
        <v>7</v>
      </c>
      <c r="U49" s="1" cm="1">
        <f t="array" aca="1" ref="U49" ca="1">(INDEX($K$2:$T$11,ROUNDUP(IF(MOD($A49+INDEX(_xlfn.TEXTSPLIT(U104,",",),0,1)+$A$18,$A$18)=0,$A$18,MOD($A49+INDEX(_xlfn.TEXTSPLIT(U104,",",),0,1)+$A$18,$A$18))/4,0),ROUNDUP(IF(MOD(U$18+INDEX(_xlfn.TEXTSPLIT(U104,",",),0,2)+$A$18,$A$18)=0,$A$18,MOD(U$18+INDEX(_xlfn.TEXTSPLIT(U104,",",),0,2)+$A$18,$A$18))/4,0)))+(INDEX($AD$2:$AK$9,ROUNDUP(IF(MOD($A49+INDEX(_xlfn.TEXTSPLIT(U147,",",),0,1)+$A$18,$A$18)=0,$A$18,MOD($A49+INDEX(_xlfn.TEXTSPLIT(U147,",",),0,1)+$A$18,$A$18))/5,0),ROUNDUP(IF(MOD(U$18+INDEX(_xlfn.TEXTSPLIT(U147,",",),0,2)+$A$18,$A$18)=0,$A$18,MOD(U$18+INDEX(_xlfn.TEXTSPLIT(U147,",",),0,2)+$A$18,$A$18))/5,0)))</f>
        <v>8</v>
      </c>
      <c r="V49" s="1" cm="1">
        <f t="array" aca="1" ref="V49" ca="1">(INDEX($K$2:$T$11,ROUNDUP(IF(MOD($A49+INDEX(_xlfn.TEXTSPLIT(V104,",",),0,1)+$A$18,$A$18)=0,$A$18,MOD($A49+INDEX(_xlfn.TEXTSPLIT(V104,",",),0,1)+$A$18,$A$18))/4,0),ROUNDUP(IF(MOD(V$18+INDEX(_xlfn.TEXTSPLIT(V104,",",),0,2)+$A$18,$A$18)=0,$A$18,MOD(V$18+INDEX(_xlfn.TEXTSPLIT(V104,",",),0,2)+$A$18,$A$18))/4,0)))+(INDEX($AD$2:$AK$9,ROUNDUP(IF(MOD($A49+INDEX(_xlfn.TEXTSPLIT(V147,",",),0,1)+$A$18,$A$18)=0,$A$18,MOD($A49+INDEX(_xlfn.TEXTSPLIT(V147,",",),0,1)+$A$18,$A$18))/5,0),ROUNDUP(IF(MOD(V$18+INDEX(_xlfn.TEXTSPLIT(V147,",",),0,2)+$A$18,$A$18)=0,$A$18,MOD(V$18+INDEX(_xlfn.TEXTSPLIT(V147,",",),0,2)+$A$18,$A$18))/5,0)))</f>
        <v>7</v>
      </c>
      <c r="W49" s="1" cm="1">
        <f t="array" aca="1" ref="W49" ca="1">(INDEX($K$2:$T$11,ROUNDUP(IF(MOD($A49+INDEX(_xlfn.TEXTSPLIT(W104,",",),0,1)+$A$18,$A$18)=0,$A$18,MOD($A49+INDEX(_xlfn.TEXTSPLIT(W104,",",),0,1)+$A$18,$A$18))/4,0),ROUNDUP(IF(MOD(W$18+INDEX(_xlfn.TEXTSPLIT(W104,",",),0,2)+$A$18,$A$18)=0,$A$18,MOD(W$18+INDEX(_xlfn.TEXTSPLIT(W104,",",),0,2)+$A$18,$A$18))/4,0)))+(INDEX($AD$2:$AK$9,ROUNDUP(IF(MOD($A49+INDEX(_xlfn.TEXTSPLIT(W147,",",),0,1)+$A$18,$A$18)=0,$A$18,MOD($A49+INDEX(_xlfn.TEXTSPLIT(W147,",",),0,1)+$A$18,$A$18))/5,0),ROUNDUP(IF(MOD(W$18+INDEX(_xlfn.TEXTSPLIT(W147,",",),0,2)+$A$18,$A$18)=0,$A$18,MOD(W$18+INDEX(_xlfn.TEXTSPLIT(W147,",",),0,2)+$A$18,$A$18))/5,0)))</f>
        <v>7</v>
      </c>
      <c r="X49" s="1" cm="1">
        <f t="array" aca="1" ref="X49" ca="1">(INDEX($K$2:$T$11,ROUNDUP(IF(MOD($A49+INDEX(_xlfn.TEXTSPLIT(X104,",",),0,1)+$A$18,$A$18)=0,$A$18,MOD($A49+INDEX(_xlfn.TEXTSPLIT(X104,",",),0,1)+$A$18,$A$18))/4,0),ROUNDUP(IF(MOD(X$18+INDEX(_xlfn.TEXTSPLIT(X104,",",),0,2)+$A$18,$A$18)=0,$A$18,MOD(X$18+INDEX(_xlfn.TEXTSPLIT(X104,",",),0,2)+$A$18,$A$18))/4,0)))+(INDEX($AD$2:$AK$9,ROUNDUP(IF(MOD($A49+INDEX(_xlfn.TEXTSPLIT(X147,",",),0,1)+$A$18,$A$18)=0,$A$18,MOD($A49+INDEX(_xlfn.TEXTSPLIT(X147,",",),0,1)+$A$18,$A$18))/5,0),ROUNDUP(IF(MOD(X$18+INDEX(_xlfn.TEXTSPLIT(X147,",",),0,2)+$A$18,$A$18)=0,$A$18,MOD(X$18+INDEX(_xlfn.TEXTSPLIT(X147,",",),0,2)+$A$18,$A$18))/5,0)))</f>
        <v>7</v>
      </c>
      <c r="Y49" s="1" cm="1">
        <f t="array" aca="1" ref="Y49" ca="1">(INDEX($K$2:$T$11,ROUNDUP(IF(MOD($A49+INDEX(_xlfn.TEXTSPLIT(Y104,",",),0,1)+$A$18,$A$18)=0,$A$18,MOD($A49+INDEX(_xlfn.TEXTSPLIT(Y104,",",),0,1)+$A$18,$A$18))/4,0),ROUNDUP(IF(MOD(Y$18+INDEX(_xlfn.TEXTSPLIT(Y104,",",),0,2)+$A$18,$A$18)=0,$A$18,MOD(Y$18+INDEX(_xlfn.TEXTSPLIT(Y104,",",),0,2)+$A$18,$A$18))/4,0)))+(INDEX($AD$2:$AK$9,ROUNDUP(IF(MOD($A49+INDEX(_xlfn.TEXTSPLIT(Y147,",",),0,1)+$A$18,$A$18)=0,$A$18,MOD($A49+INDEX(_xlfn.TEXTSPLIT(Y147,",",),0,1)+$A$18,$A$18))/5,0),ROUNDUP(IF(MOD(Y$18+INDEX(_xlfn.TEXTSPLIT(Y147,",",),0,2)+$A$18,$A$18)=0,$A$18,MOD(Y$18+INDEX(_xlfn.TEXTSPLIT(Y147,",",),0,2)+$A$18,$A$18))/5,0)))</f>
        <v>7</v>
      </c>
      <c r="Z49" s="1" cm="1">
        <f t="array" aca="1" ref="Z49" ca="1">(INDEX($K$2:$T$11,ROUNDUP(IF(MOD($A49+INDEX(_xlfn.TEXTSPLIT(Z104,",",),0,1)+$A$18,$A$18)=0,$A$18,MOD($A49+INDEX(_xlfn.TEXTSPLIT(Z104,",",),0,1)+$A$18,$A$18))/4,0),ROUNDUP(IF(MOD(Z$18+INDEX(_xlfn.TEXTSPLIT(Z104,",",),0,2)+$A$18,$A$18)=0,$A$18,MOD(Z$18+INDEX(_xlfn.TEXTSPLIT(Z104,",",),0,2)+$A$18,$A$18))/4,0)))+(INDEX($AD$2:$AK$9,ROUNDUP(IF(MOD($A49+INDEX(_xlfn.TEXTSPLIT(Z147,",",),0,1)+$A$18,$A$18)=0,$A$18,MOD($A49+INDEX(_xlfn.TEXTSPLIT(Z147,",",),0,1)+$A$18,$A$18))/5,0),ROUNDUP(IF(MOD(Z$18+INDEX(_xlfn.TEXTSPLIT(Z147,",",),0,2)+$A$18,$A$18)=0,$A$18,MOD(Z$18+INDEX(_xlfn.TEXTSPLIT(Z147,",",),0,2)+$A$18,$A$18))/5,0)))</f>
        <v>7</v>
      </c>
      <c r="AA49" s="1" cm="1">
        <f t="array" aca="1" ref="AA49" ca="1">(INDEX($K$2:$T$11,ROUNDUP(IF(MOD($A49+INDEX(_xlfn.TEXTSPLIT(AA104,",",),0,1)+$A$18,$A$18)=0,$A$18,MOD($A49+INDEX(_xlfn.TEXTSPLIT(AA104,",",),0,1)+$A$18,$A$18))/4,0),ROUNDUP(IF(MOD(AA$18+INDEX(_xlfn.TEXTSPLIT(AA104,",",),0,2)+$A$18,$A$18)=0,$A$18,MOD(AA$18+INDEX(_xlfn.TEXTSPLIT(AA104,",",),0,2)+$A$18,$A$18))/4,0)))+(INDEX($AD$2:$AK$9,ROUNDUP(IF(MOD($A49+INDEX(_xlfn.TEXTSPLIT(AA147,",",),0,1)+$A$18,$A$18)=0,$A$18,MOD($A49+INDEX(_xlfn.TEXTSPLIT(AA147,",",),0,1)+$A$18,$A$18))/5,0),ROUNDUP(IF(MOD(AA$18+INDEX(_xlfn.TEXTSPLIT(AA147,",",),0,2)+$A$18,$A$18)=0,$A$18,MOD(AA$18+INDEX(_xlfn.TEXTSPLIT(AA147,",",),0,2)+$A$18,$A$18))/5,0)))</f>
        <v>8</v>
      </c>
      <c r="AB49" s="1" cm="1">
        <f t="array" aca="1" ref="AB49" ca="1">(INDEX($K$2:$T$11,ROUNDUP(IF(MOD($A49+INDEX(_xlfn.TEXTSPLIT(AB104,",",),0,1)+$A$18,$A$18)=0,$A$18,MOD($A49+INDEX(_xlfn.TEXTSPLIT(AB104,",",),0,1)+$A$18,$A$18))/4,0),ROUNDUP(IF(MOD(AB$18+INDEX(_xlfn.TEXTSPLIT(AB104,",",),0,2)+$A$18,$A$18)=0,$A$18,MOD(AB$18+INDEX(_xlfn.TEXTSPLIT(AB104,",",),0,2)+$A$18,$A$18))/4,0)))+(INDEX($AD$2:$AK$9,ROUNDUP(IF(MOD($A49+INDEX(_xlfn.TEXTSPLIT(AB147,",",),0,1)+$A$18,$A$18)=0,$A$18,MOD($A49+INDEX(_xlfn.TEXTSPLIT(AB147,",",),0,1)+$A$18,$A$18))/5,0),ROUNDUP(IF(MOD(AB$18+INDEX(_xlfn.TEXTSPLIT(AB147,",",),0,2)+$A$18,$A$18)=0,$A$18,MOD(AB$18+INDEX(_xlfn.TEXTSPLIT(AB147,",",),0,2)+$A$18,$A$18))/5,0)))</f>
        <v>8</v>
      </c>
      <c r="AC49" s="1" cm="1">
        <f t="array" aca="1" ref="AC49" ca="1">(INDEX($K$2:$T$11,ROUNDUP(IF(MOD($A49+INDEX(_xlfn.TEXTSPLIT(AC104,",",),0,1)+$A$18,$A$18)=0,$A$18,MOD($A49+INDEX(_xlfn.TEXTSPLIT(AC104,",",),0,1)+$A$18,$A$18))/4,0),ROUNDUP(IF(MOD(AC$18+INDEX(_xlfn.TEXTSPLIT(AC104,",",),0,2)+$A$18,$A$18)=0,$A$18,MOD(AC$18+INDEX(_xlfn.TEXTSPLIT(AC104,",",),0,2)+$A$18,$A$18))/4,0)))+(INDEX($AD$2:$AK$9,ROUNDUP(IF(MOD($A49+INDEX(_xlfn.TEXTSPLIT(AC147,",",),0,1)+$A$18,$A$18)=0,$A$18,MOD($A49+INDEX(_xlfn.TEXTSPLIT(AC147,",",),0,1)+$A$18,$A$18))/5,0),ROUNDUP(IF(MOD(AC$18+INDEX(_xlfn.TEXTSPLIT(AC147,",",),0,2)+$A$18,$A$18)=0,$A$18,MOD(AC$18+INDEX(_xlfn.TEXTSPLIT(AC147,",",),0,2)+$A$18,$A$18))/5,0)))</f>
        <v>7</v>
      </c>
      <c r="AD49" s="1" cm="1">
        <f t="array" aca="1" ref="AD49" ca="1">(INDEX($K$2:$T$11,ROUNDUP(IF(MOD($A49+INDEX(_xlfn.TEXTSPLIT(AD104,",",),0,1)+$A$18,$A$18)=0,$A$18,MOD($A49+INDEX(_xlfn.TEXTSPLIT(AD104,",",),0,1)+$A$18,$A$18))/4,0),ROUNDUP(IF(MOD(AD$18+INDEX(_xlfn.TEXTSPLIT(AD104,",",),0,2)+$A$18,$A$18)=0,$A$18,MOD(AD$18+INDEX(_xlfn.TEXTSPLIT(AD104,",",),0,2)+$A$18,$A$18))/4,0)))+(INDEX($AD$2:$AK$9,ROUNDUP(IF(MOD($A49+INDEX(_xlfn.TEXTSPLIT(AD147,",",),0,1)+$A$18,$A$18)=0,$A$18,MOD($A49+INDEX(_xlfn.TEXTSPLIT(AD147,",",),0,1)+$A$18,$A$18))/5,0),ROUNDUP(IF(MOD(AD$18+INDEX(_xlfn.TEXTSPLIT(AD147,",",),0,2)+$A$18,$A$18)=0,$A$18,MOD(AD$18+INDEX(_xlfn.TEXTSPLIT(AD147,",",),0,2)+$A$18,$A$18))/5,0)))</f>
        <v>8</v>
      </c>
      <c r="AE49" s="1" cm="1">
        <f t="array" aca="1" ref="AE49" ca="1">(INDEX($K$2:$T$11,ROUNDUP(IF(MOD($A49+INDEX(_xlfn.TEXTSPLIT(AE104,",",),0,1)+$A$18,$A$18)=0,$A$18,MOD($A49+INDEX(_xlfn.TEXTSPLIT(AE104,",",),0,1)+$A$18,$A$18))/4,0),ROUNDUP(IF(MOD(AE$18+INDEX(_xlfn.TEXTSPLIT(AE104,",",),0,2)+$A$18,$A$18)=0,$A$18,MOD(AE$18+INDEX(_xlfn.TEXTSPLIT(AE104,",",),0,2)+$A$18,$A$18))/4,0)))+(INDEX($AD$2:$AK$9,ROUNDUP(IF(MOD($A49+INDEX(_xlfn.TEXTSPLIT(AE147,",",),0,1)+$A$18,$A$18)=0,$A$18,MOD($A49+INDEX(_xlfn.TEXTSPLIT(AE147,",",),0,1)+$A$18,$A$18))/5,0),ROUNDUP(IF(MOD(AE$18+INDEX(_xlfn.TEXTSPLIT(AE147,",",),0,2)+$A$18,$A$18)=0,$A$18,MOD(AE$18+INDEX(_xlfn.TEXTSPLIT(AE147,",",),0,2)+$A$18,$A$18))/5,0)))</f>
        <v>8</v>
      </c>
      <c r="AF49" s="1" cm="1">
        <f t="array" aca="1" ref="AF49" ca="1">(INDEX($K$2:$T$11,ROUNDUP(IF(MOD($A49+INDEX(_xlfn.TEXTSPLIT(AF104,",",),0,1)+$A$18,$A$18)=0,$A$18,MOD($A49+INDEX(_xlfn.TEXTSPLIT(AF104,",",),0,1)+$A$18,$A$18))/4,0),ROUNDUP(IF(MOD(AF$18+INDEX(_xlfn.TEXTSPLIT(AF104,",",),0,2)+$A$18,$A$18)=0,$A$18,MOD(AF$18+INDEX(_xlfn.TEXTSPLIT(AF104,",",),0,2)+$A$18,$A$18))/4,0)))+(INDEX($AD$2:$AK$9,ROUNDUP(IF(MOD($A49+INDEX(_xlfn.TEXTSPLIT(AF147,",",),0,1)+$A$18,$A$18)=0,$A$18,MOD($A49+INDEX(_xlfn.TEXTSPLIT(AF147,",",),0,1)+$A$18,$A$18))/5,0),ROUNDUP(IF(MOD(AF$18+INDEX(_xlfn.TEXTSPLIT(AF147,",",),0,2)+$A$18,$A$18)=0,$A$18,MOD(AF$18+INDEX(_xlfn.TEXTSPLIT(AF147,",",),0,2)+$A$18,$A$18))/5,0)))</f>
        <v>5</v>
      </c>
      <c r="AG49" s="1" cm="1">
        <f t="array" aca="1" ref="AG49" ca="1">(INDEX($K$2:$T$11,ROUNDUP(IF(MOD($A49+INDEX(_xlfn.TEXTSPLIT(AG104,",",),0,1)+$A$18,$A$18)=0,$A$18,MOD($A49+INDEX(_xlfn.TEXTSPLIT(AG104,",",),0,1)+$A$18,$A$18))/4,0),ROUNDUP(IF(MOD(AG$18+INDEX(_xlfn.TEXTSPLIT(AG104,",",),0,2)+$A$18,$A$18)=0,$A$18,MOD(AG$18+INDEX(_xlfn.TEXTSPLIT(AG104,",",),0,2)+$A$18,$A$18))/4,0)))+(INDEX($AD$2:$AK$9,ROUNDUP(IF(MOD($A49+INDEX(_xlfn.TEXTSPLIT(AG147,",",),0,1)+$A$18,$A$18)=0,$A$18,MOD($A49+INDEX(_xlfn.TEXTSPLIT(AG147,",",),0,1)+$A$18,$A$18))/5,0),ROUNDUP(IF(MOD(AG$18+INDEX(_xlfn.TEXTSPLIT(AG147,",",),0,2)+$A$18,$A$18)=0,$A$18,MOD(AG$18+INDEX(_xlfn.TEXTSPLIT(AG147,",",),0,2)+$A$18,$A$18))/5,0)))</f>
        <v>8</v>
      </c>
      <c r="AH49" s="1" cm="1">
        <f t="array" aca="1" ref="AH49" ca="1">(INDEX($K$2:$T$11,ROUNDUP(IF(MOD($A49+INDEX(_xlfn.TEXTSPLIT(AH104,",",),0,1)+$A$18,$A$18)=0,$A$18,MOD($A49+INDEX(_xlfn.TEXTSPLIT(AH104,",",),0,1)+$A$18,$A$18))/4,0),ROUNDUP(IF(MOD(AH$18+INDEX(_xlfn.TEXTSPLIT(AH104,",",),0,2)+$A$18,$A$18)=0,$A$18,MOD(AH$18+INDEX(_xlfn.TEXTSPLIT(AH104,",",),0,2)+$A$18,$A$18))/4,0)))+(INDEX($AD$2:$AK$9,ROUNDUP(IF(MOD($A49+INDEX(_xlfn.TEXTSPLIT(AH147,",",),0,1)+$A$18,$A$18)=0,$A$18,MOD($A49+INDEX(_xlfn.TEXTSPLIT(AH147,",",),0,1)+$A$18,$A$18))/5,0),ROUNDUP(IF(MOD(AH$18+INDEX(_xlfn.TEXTSPLIT(AH147,",",),0,2)+$A$18,$A$18)=0,$A$18,MOD(AH$18+INDEX(_xlfn.TEXTSPLIT(AH147,",",),0,2)+$A$18,$A$18))/5,0)))</f>
        <v>8</v>
      </c>
      <c r="AI49" s="1" cm="1">
        <f t="array" aca="1" ref="AI49" ca="1">(INDEX($K$2:$T$11,ROUNDUP(IF(MOD($A49+INDEX(_xlfn.TEXTSPLIT(AI104,",",),0,1)+$A$18,$A$18)=0,$A$18,MOD($A49+INDEX(_xlfn.TEXTSPLIT(AI104,",",),0,1)+$A$18,$A$18))/4,0),ROUNDUP(IF(MOD(AI$18+INDEX(_xlfn.TEXTSPLIT(AI104,",",),0,2)+$A$18,$A$18)=0,$A$18,MOD(AI$18+INDEX(_xlfn.TEXTSPLIT(AI104,",",),0,2)+$A$18,$A$18))/4,0)))+(INDEX($AD$2:$AK$9,ROUNDUP(IF(MOD($A49+INDEX(_xlfn.TEXTSPLIT(AI147,",",),0,1)+$A$18,$A$18)=0,$A$18,MOD($A49+INDEX(_xlfn.TEXTSPLIT(AI147,",",),0,1)+$A$18,$A$18))/5,0),ROUNDUP(IF(MOD(AI$18+INDEX(_xlfn.TEXTSPLIT(AI147,",",),0,2)+$A$18,$A$18)=0,$A$18,MOD(AI$18+INDEX(_xlfn.TEXTSPLIT(AI147,",",),0,2)+$A$18,$A$18))/5,0)))</f>
        <v>5</v>
      </c>
      <c r="AJ49" s="1" cm="1">
        <f t="array" aca="1" ref="AJ49" ca="1">(INDEX($K$2:$T$11,ROUNDUP(IF(MOD($A49+INDEX(_xlfn.TEXTSPLIT(AJ104,",",),0,1)+$A$18,$A$18)=0,$A$18,MOD($A49+INDEX(_xlfn.TEXTSPLIT(AJ104,",",),0,1)+$A$18,$A$18))/4,0),ROUNDUP(IF(MOD(AJ$18+INDEX(_xlfn.TEXTSPLIT(AJ104,",",),0,2)+$A$18,$A$18)=0,$A$18,MOD(AJ$18+INDEX(_xlfn.TEXTSPLIT(AJ104,",",),0,2)+$A$18,$A$18))/4,0)))+(INDEX($AD$2:$AK$9,ROUNDUP(IF(MOD($A49+INDEX(_xlfn.TEXTSPLIT(AJ147,",",),0,1)+$A$18,$A$18)=0,$A$18,MOD($A49+INDEX(_xlfn.TEXTSPLIT(AJ147,",",),0,1)+$A$18,$A$18))/5,0),ROUNDUP(IF(MOD(AJ$18+INDEX(_xlfn.TEXTSPLIT(AJ147,",",),0,2)+$A$18,$A$18)=0,$A$18,MOD(AJ$18+INDEX(_xlfn.TEXTSPLIT(AJ147,",",),0,2)+$A$18,$A$18))/5,0)))</f>
        <v>5</v>
      </c>
      <c r="AK49" s="1" cm="1">
        <f t="array" aca="1" ref="AK49" ca="1">(INDEX($K$2:$T$11,ROUNDUP(IF(MOD($A49+INDEX(_xlfn.TEXTSPLIT(AK104,",",),0,1)+$A$18,$A$18)=0,$A$18,MOD($A49+INDEX(_xlfn.TEXTSPLIT(AK104,",",),0,1)+$A$18,$A$18))/4,0),ROUNDUP(IF(MOD(AK$18+INDEX(_xlfn.TEXTSPLIT(AK104,",",),0,2)+$A$18,$A$18)=0,$A$18,MOD(AK$18+INDEX(_xlfn.TEXTSPLIT(AK104,",",),0,2)+$A$18,$A$18))/4,0)))+(INDEX($AD$2:$AK$9,ROUNDUP(IF(MOD($A49+INDEX(_xlfn.TEXTSPLIT(AK147,",",),0,1)+$A$18,$A$18)=0,$A$18,MOD($A49+INDEX(_xlfn.TEXTSPLIT(AK147,",",),0,1)+$A$18,$A$18))/5,0),ROUNDUP(IF(MOD(AK$18+INDEX(_xlfn.TEXTSPLIT(AK147,",",),0,2)+$A$18,$A$18)=0,$A$18,MOD(AK$18+INDEX(_xlfn.TEXTSPLIT(AK147,",",),0,2)+$A$18,$A$18))/5,0)))</f>
        <v>5</v>
      </c>
      <c r="AL49" s="1" cm="1">
        <f t="array" aca="1" ref="AL49" ca="1">(INDEX($K$2:$T$11,ROUNDUP(IF(MOD($A49+INDEX(_xlfn.TEXTSPLIT(AL104,",",),0,1)+$A$18,$A$18)=0,$A$18,MOD($A49+INDEX(_xlfn.TEXTSPLIT(AL104,",",),0,1)+$A$18,$A$18))/4,0),ROUNDUP(IF(MOD(AL$18+INDEX(_xlfn.TEXTSPLIT(AL104,",",),0,2)+$A$18,$A$18)=0,$A$18,MOD(AL$18+INDEX(_xlfn.TEXTSPLIT(AL104,",",),0,2)+$A$18,$A$18))/4,0)))+(INDEX($AD$2:$AK$9,ROUNDUP(IF(MOD($A49+INDEX(_xlfn.TEXTSPLIT(AL147,",",),0,1)+$A$18,$A$18)=0,$A$18,MOD($A49+INDEX(_xlfn.TEXTSPLIT(AL147,",",),0,1)+$A$18,$A$18))/5,0),ROUNDUP(IF(MOD(AL$18+INDEX(_xlfn.TEXTSPLIT(AL147,",",),0,2)+$A$18,$A$18)=0,$A$18,MOD(AL$18+INDEX(_xlfn.TEXTSPLIT(AL147,",",),0,2)+$A$18,$A$18))/5,0)))</f>
        <v>5</v>
      </c>
      <c r="AM49" s="1" cm="1">
        <f t="array" aca="1" ref="AM49" ca="1">(INDEX($K$2:$T$11,ROUNDUP(IF(MOD($A49+INDEX(_xlfn.TEXTSPLIT(AM104,",",),0,1)+$A$18,$A$18)=0,$A$18,MOD($A49+INDEX(_xlfn.TEXTSPLIT(AM104,",",),0,1)+$A$18,$A$18))/4,0),ROUNDUP(IF(MOD(AM$18+INDEX(_xlfn.TEXTSPLIT(AM104,",",),0,2)+$A$18,$A$18)=0,$A$18,MOD(AM$18+INDEX(_xlfn.TEXTSPLIT(AM104,",",),0,2)+$A$18,$A$18))/4,0)))+(INDEX($AD$2:$AK$9,ROUNDUP(IF(MOD($A49+INDEX(_xlfn.TEXTSPLIT(AM147,",",),0,1)+$A$18,$A$18)=0,$A$18,MOD($A49+INDEX(_xlfn.TEXTSPLIT(AM147,",",),0,1)+$A$18,$A$18))/5,0),ROUNDUP(IF(MOD(AM$18+INDEX(_xlfn.TEXTSPLIT(AM147,",",),0,2)+$A$18,$A$18)=0,$A$18,MOD(AM$18+INDEX(_xlfn.TEXTSPLIT(AM147,",",),0,2)+$A$18,$A$18))/5,0)))</f>
        <v>5</v>
      </c>
      <c r="AN49" s="1" cm="1">
        <f t="array" aca="1" ref="AN49" ca="1">(INDEX($K$2:$T$11,ROUNDUP(IF(MOD($A49+INDEX(_xlfn.TEXTSPLIT(AN104,",",),0,1)+$A$18,$A$18)=0,$A$18,MOD($A49+INDEX(_xlfn.TEXTSPLIT(AN104,",",),0,1)+$A$18,$A$18))/4,0),ROUNDUP(IF(MOD(AN$18+INDEX(_xlfn.TEXTSPLIT(AN104,",",),0,2)+$A$18,$A$18)=0,$A$18,MOD(AN$18+INDEX(_xlfn.TEXTSPLIT(AN104,",",),0,2)+$A$18,$A$18))/4,0)))+(INDEX($AD$2:$AK$9,ROUNDUP(IF(MOD($A49+INDEX(_xlfn.TEXTSPLIT(AN147,",",),0,1)+$A$18,$A$18)=0,$A$18,MOD($A49+INDEX(_xlfn.TEXTSPLIT(AN147,",",),0,1)+$A$18,$A$18))/5,0),ROUNDUP(IF(MOD(AN$18+INDEX(_xlfn.TEXTSPLIT(AN147,",",),0,2)+$A$18,$A$18)=0,$A$18,MOD(AN$18+INDEX(_xlfn.TEXTSPLIT(AN147,",",),0,2)+$A$18,$A$18))/5,0)))</f>
        <v>7</v>
      </c>
      <c r="AO49" s="1" cm="1">
        <f t="array" aca="1" ref="AO49" ca="1">(INDEX($K$2:$T$11,ROUNDUP(IF(MOD($A49+INDEX(_xlfn.TEXTSPLIT(AO104,",",),0,1)+$A$18,$A$18)=0,$A$18,MOD($A49+INDEX(_xlfn.TEXTSPLIT(AO104,",",),0,1)+$A$18,$A$18))/4,0),ROUNDUP(IF(MOD(AO$18+INDEX(_xlfn.TEXTSPLIT(AO104,",",),0,2)+$A$18,$A$18)=0,$A$18,MOD(AO$18+INDEX(_xlfn.TEXTSPLIT(AO104,",",),0,2)+$A$18,$A$18))/4,0)))+(INDEX($AD$2:$AK$9,ROUNDUP(IF(MOD($A49+INDEX(_xlfn.TEXTSPLIT(AO147,",",),0,1)+$A$18,$A$18)=0,$A$18,MOD($A49+INDEX(_xlfn.TEXTSPLIT(AO147,",",),0,1)+$A$18,$A$18))/5,0),ROUNDUP(IF(MOD(AO$18+INDEX(_xlfn.TEXTSPLIT(AO147,",",),0,2)+$A$18,$A$18)=0,$A$18,MOD(AO$18+INDEX(_xlfn.TEXTSPLIT(AO147,",",),0,2)+$A$18,$A$18))/5,0)))</f>
        <v>1</v>
      </c>
    </row>
    <row r="50" spans="1:41" ht="12.75">
      <c r="A50" s="1">
        <v>32</v>
      </c>
      <c r="B50" s="1" cm="1">
        <f t="array" aca="1" ref="B50" ca="1">(INDEX($K$2:$T$11,ROUNDUP(IF(MOD($A50+INDEX(_xlfn.TEXTSPLIT(B105,",",),0,1)+$A$18,$A$18)=0,$A$18,MOD($A50+INDEX(_xlfn.TEXTSPLIT(B105,",",),0,1)+$A$18,$A$18))/4,0),ROUNDUP(IF(MOD(B$18+INDEX(_xlfn.TEXTSPLIT(B105,",",),0,2)+$A$18,$A$18)=0,$A$18,MOD(B$18+INDEX(_xlfn.TEXTSPLIT(B105,",",),0,2)+$A$18,$A$18))/4,0)))+(INDEX($AD$2:$AK$9,ROUNDUP(IF(MOD($A50+INDEX(_xlfn.TEXTSPLIT(B148,",",),0,1)+$A$18,$A$18)=0,$A$18,MOD($A50+INDEX(_xlfn.TEXTSPLIT(B148,",",),0,1)+$A$18,$A$18))/5,0),ROUNDUP(IF(MOD(B$18+INDEX(_xlfn.TEXTSPLIT(B148,",",),0,2)+$A$18,$A$18)=0,$A$18,MOD(B$18+INDEX(_xlfn.TEXTSPLIT(B148,",",),0,2)+$A$18,$A$18))/5,0)))</f>
        <v>1</v>
      </c>
      <c r="C50" s="1" cm="1">
        <f t="array" aca="1" ref="C50" ca="1">(INDEX($K$2:$T$11,ROUNDUP(IF(MOD($A50+INDEX(_xlfn.TEXTSPLIT(C105,",",),0,1)+$A$18,$A$18)=0,$A$18,MOD($A50+INDEX(_xlfn.TEXTSPLIT(C105,",",),0,1)+$A$18,$A$18))/4,0),ROUNDUP(IF(MOD(C$18+INDEX(_xlfn.TEXTSPLIT(C105,",",),0,2)+$A$18,$A$18)=0,$A$18,MOD(C$18+INDEX(_xlfn.TEXTSPLIT(C105,",",),0,2)+$A$18,$A$18))/4,0)))+(INDEX($AD$2:$AK$9,ROUNDUP(IF(MOD($A50+INDEX(_xlfn.TEXTSPLIT(C148,",",),0,1)+$A$18,$A$18)=0,$A$18,MOD($A50+INDEX(_xlfn.TEXTSPLIT(C148,",",),0,1)+$A$18,$A$18))/5,0),ROUNDUP(IF(MOD(C$18+INDEX(_xlfn.TEXTSPLIT(C148,",",),0,2)+$A$18,$A$18)=0,$A$18,MOD(C$18+INDEX(_xlfn.TEXTSPLIT(C148,",",),0,2)+$A$18,$A$18))/5,0)))</f>
        <v>3</v>
      </c>
      <c r="D50" s="1" cm="1">
        <f t="array" aca="1" ref="D50" ca="1">(INDEX($K$2:$T$11,ROUNDUP(IF(MOD($A50+INDEX(_xlfn.TEXTSPLIT(D105,",",),0,1)+$A$18,$A$18)=0,$A$18,MOD($A50+INDEX(_xlfn.TEXTSPLIT(D105,",",),0,1)+$A$18,$A$18))/4,0),ROUNDUP(IF(MOD(D$18+INDEX(_xlfn.TEXTSPLIT(D105,",",),0,2)+$A$18,$A$18)=0,$A$18,MOD(D$18+INDEX(_xlfn.TEXTSPLIT(D105,",",),0,2)+$A$18,$A$18))/4,0)))+(INDEX($AD$2:$AK$9,ROUNDUP(IF(MOD($A50+INDEX(_xlfn.TEXTSPLIT(D148,",",),0,1)+$A$18,$A$18)=0,$A$18,MOD($A50+INDEX(_xlfn.TEXTSPLIT(D148,",",),0,1)+$A$18,$A$18))/5,0),ROUNDUP(IF(MOD(D$18+INDEX(_xlfn.TEXTSPLIT(D148,",",),0,2)+$A$18,$A$18)=0,$A$18,MOD(D$18+INDEX(_xlfn.TEXTSPLIT(D148,",",),0,2)+$A$18,$A$18))/5,0)))</f>
        <v>7</v>
      </c>
      <c r="E50" s="1" cm="1">
        <f t="array" aca="1" ref="E50" ca="1">(INDEX($K$2:$T$11,ROUNDUP(IF(MOD($A50+INDEX(_xlfn.TEXTSPLIT(E105,",",),0,1)+$A$18,$A$18)=0,$A$18,MOD($A50+INDEX(_xlfn.TEXTSPLIT(E105,",",),0,1)+$A$18,$A$18))/4,0),ROUNDUP(IF(MOD(E$18+INDEX(_xlfn.TEXTSPLIT(E105,",",),0,2)+$A$18,$A$18)=0,$A$18,MOD(E$18+INDEX(_xlfn.TEXTSPLIT(E105,",",),0,2)+$A$18,$A$18))/4,0)))+(INDEX($AD$2:$AK$9,ROUNDUP(IF(MOD($A50+INDEX(_xlfn.TEXTSPLIT(E148,",",),0,1)+$A$18,$A$18)=0,$A$18,MOD($A50+INDEX(_xlfn.TEXTSPLIT(E148,",",),0,1)+$A$18,$A$18))/5,0),ROUNDUP(IF(MOD(E$18+INDEX(_xlfn.TEXTSPLIT(E148,",",),0,2)+$A$18,$A$18)=0,$A$18,MOD(E$18+INDEX(_xlfn.TEXTSPLIT(E148,",",),0,2)+$A$18,$A$18))/5,0)))</f>
        <v>3</v>
      </c>
      <c r="F50" s="1" cm="1">
        <f t="array" aca="1" ref="F50" ca="1">(INDEX($K$2:$T$11,ROUNDUP(IF(MOD($A50+INDEX(_xlfn.TEXTSPLIT(F105,",",),0,1)+$A$18,$A$18)=0,$A$18,MOD($A50+INDEX(_xlfn.TEXTSPLIT(F105,",",),0,1)+$A$18,$A$18))/4,0),ROUNDUP(IF(MOD(F$18+INDEX(_xlfn.TEXTSPLIT(F105,",",),0,2)+$A$18,$A$18)=0,$A$18,MOD(F$18+INDEX(_xlfn.TEXTSPLIT(F105,",",),0,2)+$A$18,$A$18))/4,0)))+(INDEX($AD$2:$AK$9,ROUNDUP(IF(MOD($A50+INDEX(_xlfn.TEXTSPLIT(F148,",",),0,1)+$A$18,$A$18)=0,$A$18,MOD($A50+INDEX(_xlfn.TEXTSPLIT(F148,",",),0,1)+$A$18,$A$18))/5,0),ROUNDUP(IF(MOD(F$18+INDEX(_xlfn.TEXTSPLIT(F148,",",),0,2)+$A$18,$A$18)=0,$A$18,MOD(F$18+INDEX(_xlfn.TEXTSPLIT(F148,",",),0,2)+$A$18,$A$18))/5,0)))</f>
        <v>3</v>
      </c>
      <c r="G50" s="1" cm="1">
        <f t="array" aca="1" ref="G50" ca="1">(INDEX($K$2:$T$11,ROUNDUP(IF(MOD($A50+INDEX(_xlfn.TEXTSPLIT(G105,",",),0,1)+$A$18,$A$18)=0,$A$18,MOD($A50+INDEX(_xlfn.TEXTSPLIT(G105,",",),0,1)+$A$18,$A$18))/4,0),ROUNDUP(IF(MOD(G$18+INDEX(_xlfn.TEXTSPLIT(G105,",",),0,2)+$A$18,$A$18)=0,$A$18,MOD(G$18+INDEX(_xlfn.TEXTSPLIT(G105,",",),0,2)+$A$18,$A$18))/4,0)))+(INDEX($AD$2:$AK$9,ROUNDUP(IF(MOD($A50+INDEX(_xlfn.TEXTSPLIT(G148,",",),0,1)+$A$18,$A$18)=0,$A$18,MOD($A50+INDEX(_xlfn.TEXTSPLIT(G148,",",),0,1)+$A$18,$A$18))/5,0),ROUNDUP(IF(MOD(G$18+INDEX(_xlfn.TEXTSPLIT(G148,",",),0,2)+$A$18,$A$18)=0,$A$18,MOD(G$18+INDEX(_xlfn.TEXTSPLIT(G148,",",),0,2)+$A$18,$A$18))/5,0)))</f>
        <v>3</v>
      </c>
      <c r="H50" s="1" cm="1">
        <f t="array" aca="1" ref="H50" ca="1">(INDEX($K$2:$T$11,ROUNDUP(IF(MOD($A50+INDEX(_xlfn.TEXTSPLIT(H105,",",),0,1)+$A$18,$A$18)=0,$A$18,MOD($A50+INDEX(_xlfn.TEXTSPLIT(H105,",",),0,1)+$A$18,$A$18))/4,0),ROUNDUP(IF(MOD(H$18+INDEX(_xlfn.TEXTSPLIT(H105,",",),0,2)+$A$18,$A$18)=0,$A$18,MOD(H$18+INDEX(_xlfn.TEXTSPLIT(H105,",",),0,2)+$A$18,$A$18))/4,0)))+(INDEX($AD$2:$AK$9,ROUNDUP(IF(MOD($A50+INDEX(_xlfn.TEXTSPLIT(H148,",",),0,1)+$A$18,$A$18)=0,$A$18,MOD($A50+INDEX(_xlfn.TEXTSPLIT(H148,",",),0,1)+$A$18,$A$18))/5,0),ROUNDUP(IF(MOD(H$18+INDEX(_xlfn.TEXTSPLIT(H148,",",),0,2)+$A$18,$A$18)=0,$A$18,MOD(H$18+INDEX(_xlfn.TEXTSPLIT(H148,",",),0,2)+$A$18,$A$18))/5,0)))</f>
        <v>3</v>
      </c>
      <c r="I50" s="1" cm="1">
        <f t="array" aca="1" ref="I50" ca="1">(INDEX($K$2:$T$11,ROUNDUP(IF(MOD($A50+INDEX(_xlfn.TEXTSPLIT(I105,",",),0,1)+$A$18,$A$18)=0,$A$18,MOD($A50+INDEX(_xlfn.TEXTSPLIT(I105,",",),0,1)+$A$18,$A$18))/4,0),ROUNDUP(IF(MOD(I$18+INDEX(_xlfn.TEXTSPLIT(I105,",",),0,2)+$A$18,$A$18)=0,$A$18,MOD(I$18+INDEX(_xlfn.TEXTSPLIT(I105,",",),0,2)+$A$18,$A$18))/4,0)))+(INDEX($AD$2:$AK$9,ROUNDUP(IF(MOD($A50+INDEX(_xlfn.TEXTSPLIT(I148,",",),0,1)+$A$18,$A$18)=0,$A$18,MOD($A50+INDEX(_xlfn.TEXTSPLIT(I148,",",),0,1)+$A$18,$A$18))/5,0),ROUNDUP(IF(MOD(I$18+INDEX(_xlfn.TEXTSPLIT(I148,",",),0,2)+$A$18,$A$18)=0,$A$18,MOD(I$18+INDEX(_xlfn.TEXTSPLIT(I148,",",),0,2)+$A$18,$A$18))/5,0)))</f>
        <v>7</v>
      </c>
      <c r="J50" s="1" cm="1">
        <f t="array" aca="1" ref="J50" ca="1">(INDEX($K$2:$T$11,ROUNDUP(IF(MOD($A50+INDEX(_xlfn.TEXTSPLIT(J105,",",),0,1)+$A$18,$A$18)=0,$A$18,MOD($A50+INDEX(_xlfn.TEXTSPLIT(J105,",",),0,1)+$A$18,$A$18))/4,0),ROUNDUP(IF(MOD(J$18+INDEX(_xlfn.TEXTSPLIT(J105,",",),0,2)+$A$18,$A$18)=0,$A$18,MOD(J$18+INDEX(_xlfn.TEXTSPLIT(J105,",",),0,2)+$A$18,$A$18))/4,0)))+(INDEX($AD$2:$AK$9,ROUNDUP(IF(MOD($A50+INDEX(_xlfn.TEXTSPLIT(J148,",",),0,1)+$A$18,$A$18)=0,$A$18,MOD($A50+INDEX(_xlfn.TEXTSPLIT(J148,",",),0,1)+$A$18,$A$18))/5,0),ROUNDUP(IF(MOD(J$18+INDEX(_xlfn.TEXTSPLIT(J148,",",),0,2)+$A$18,$A$18)=0,$A$18,MOD(J$18+INDEX(_xlfn.TEXTSPLIT(J148,",",),0,2)+$A$18,$A$18))/5,0)))</f>
        <v>7</v>
      </c>
      <c r="K50" s="1" cm="1">
        <f t="array" aca="1" ref="K50" ca="1">(INDEX($K$2:$T$11,ROUNDUP(IF(MOD($A50+INDEX(_xlfn.TEXTSPLIT(K105,",",),0,1)+$A$18,$A$18)=0,$A$18,MOD($A50+INDEX(_xlfn.TEXTSPLIT(K105,",",),0,1)+$A$18,$A$18))/4,0),ROUNDUP(IF(MOD(K$18+INDEX(_xlfn.TEXTSPLIT(K105,",",),0,2)+$A$18,$A$18)=0,$A$18,MOD(K$18+INDEX(_xlfn.TEXTSPLIT(K105,",",),0,2)+$A$18,$A$18))/4,0)))+(INDEX($AD$2:$AK$9,ROUNDUP(IF(MOD($A50+INDEX(_xlfn.TEXTSPLIT(K148,",",),0,1)+$A$18,$A$18)=0,$A$18,MOD($A50+INDEX(_xlfn.TEXTSPLIT(K148,",",),0,1)+$A$18,$A$18))/5,0),ROUNDUP(IF(MOD(K$18+INDEX(_xlfn.TEXTSPLIT(K148,",",),0,2)+$A$18,$A$18)=0,$A$18,MOD(K$18+INDEX(_xlfn.TEXTSPLIT(K148,",",),0,2)+$A$18,$A$18))/5,0)))</f>
        <v>7</v>
      </c>
      <c r="L50" s="1" cm="1">
        <f t="array" aca="1" ref="L50" ca="1">(INDEX($K$2:$T$11,ROUNDUP(IF(MOD($A50+INDEX(_xlfn.TEXTSPLIT(L105,",",),0,1)+$A$18,$A$18)=0,$A$18,MOD($A50+INDEX(_xlfn.TEXTSPLIT(L105,",",),0,1)+$A$18,$A$18))/4,0),ROUNDUP(IF(MOD(L$18+INDEX(_xlfn.TEXTSPLIT(L105,",",),0,2)+$A$18,$A$18)=0,$A$18,MOD(L$18+INDEX(_xlfn.TEXTSPLIT(L105,",",),0,2)+$A$18,$A$18))/4,0)))+(INDEX($AD$2:$AK$9,ROUNDUP(IF(MOD($A50+INDEX(_xlfn.TEXTSPLIT(L148,",",),0,1)+$A$18,$A$18)=0,$A$18,MOD($A50+INDEX(_xlfn.TEXTSPLIT(L148,",",),0,1)+$A$18,$A$18))/5,0),ROUNDUP(IF(MOD(L$18+INDEX(_xlfn.TEXTSPLIT(L148,",",),0,2)+$A$18,$A$18)=0,$A$18,MOD(L$18+INDEX(_xlfn.TEXTSPLIT(L148,",",),0,2)+$A$18,$A$18))/5,0)))</f>
        <v>7</v>
      </c>
      <c r="M50" s="1" cm="1">
        <f t="array" aca="1" ref="M50" ca="1">(INDEX($K$2:$T$11,ROUNDUP(IF(MOD($A50+INDEX(_xlfn.TEXTSPLIT(M105,",",),0,1)+$A$18,$A$18)=0,$A$18,MOD($A50+INDEX(_xlfn.TEXTSPLIT(M105,",",),0,1)+$A$18,$A$18))/4,0),ROUNDUP(IF(MOD(M$18+INDEX(_xlfn.TEXTSPLIT(M105,",",),0,2)+$A$18,$A$18)=0,$A$18,MOD(M$18+INDEX(_xlfn.TEXTSPLIT(M105,",",),0,2)+$A$18,$A$18))/4,0)))+(INDEX($AD$2:$AK$9,ROUNDUP(IF(MOD($A50+INDEX(_xlfn.TEXTSPLIT(M148,",",),0,1)+$A$18,$A$18)=0,$A$18,MOD($A50+INDEX(_xlfn.TEXTSPLIT(M148,",",),0,1)+$A$18,$A$18))/5,0),ROUNDUP(IF(MOD(M$18+INDEX(_xlfn.TEXTSPLIT(M148,",",),0,2)+$A$18,$A$18)=0,$A$18,MOD(M$18+INDEX(_xlfn.TEXTSPLIT(M148,",",),0,2)+$A$18,$A$18))/5,0)))</f>
        <v>7</v>
      </c>
      <c r="N50" s="1" cm="1">
        <f t="array" aca="1" ref="N50" ca="1">(INDEX($K$2:$T$11,ROUNDUP(IF(MOD($A50+INDEX(_xlfn.TEXTSPLIT(N105,",",),0,1)+$A$18,$A$18)=0,$A$18,MOD($A50+INDEX(_xlfn.TEXTSPLIT(N105,",",),0,1)+$A$18,$A$18))/4,0),ROUNDUP(IF(MOD(N$18+INDEX(_xlfn.TEXTSPLIT(N105,",",),0,2)+$A$18,$A$18)=0,$A$18,MOD(N$18+INDEX(_xlfn.TEXTSPLIT(N105,",",),0,2)+$A$18,$A$18))/4,0)))+(INDEX($AD$2:$AK$9,ROUNDUP(IF(MOD($A50+INDEX(_xlfn.TEXTSPLIT(N148,",",),0,1)+$A$18,$A$18)=0,$A$18,MOD($A50+INDEX(_xlfn.TEXTSPLIT(N148,",",),0,1)+$A$18,$A$18))/5,0),ROUNDUP(IF(MOD(N$18+INDEX(_xlfn.TEXTSPLIT(N148,",",),0,2)+$A$18,$A$18)=0,$A$18,MOD(N$18+INDEX(_xlfn.TEXTSPLIT(N148,",",),0,2)+$A$18,$A$18))/5,0)))</f>
        <v>3</v>
      </c>
      <c r="O50" s="1" cm="1">
        <f t="array" aca="1" ref="O50" ca="1">(INDEX($K$2:$T$11,ROUNDUP(IF(MOD($A50+INDEX(_xlfn.TEXTSPLIT(O105,",",),0,1)+$A$18,$A$18)=0,$A$18,MOD($A50+INDEX(_xlfn.TEXTSPLIT(O105,",",),0,1)+$A$18,$A$18))/4,0),ROUNDUP(IF(MOD(O$18+INDEX(_xlfn.TEXTSPLIT(O105,",",),0,2)+$A$18,$A$18)=0,$A$18,MOD(O$18+INDEX(_xlfn.TEXTSPLIT(O105,",",),0,2)+$A$18,$A$18))/4,0)))+(INDEX($AD$2:$AK$9,ROUNDUP(IF(MOD($A50+INDEX(_xlfn.TEXTSPLIT(O148,",",),0,1)+$A$18,$A$18)=0,$A$18,MOD($A50+INDEX(_xlfn.TEXTSPLIT(O148,",",),0,1)+$A$18,$A$18))/5,0),ROUNDUP(IF(MOD(O$18+INDEX(_xlfn.TEXTSPLIT(O148,",",),0,2)+$A$18,$A$18)=0,$A$18,MOD(O$18+INDEX(_xlfn.TEXTSPLIT(O148,",",),0,2)+$A$18,$A$18))/5,0)))</f>
        <v>7</v>
      </c>
      <c r="P50" s="1" cm="1">
        <f t="array" aca="1" ref="P50" ca="1">(INDEX($K$2:$T$11,ROUNDUP(IF(MOD($A50+INDEX(_xlfn.TEXTSPLIT(P105,",",),0,1)+$A$18,$A$18)=0,$A$18,MOD($A50+INDEX(_xlfn.TEXTSPLIT(P105,",",),0,1)+$A$18,$A$18))/4,0),ROUNDUP(IF(MOD(P$18+INDEX(_xlfn.TEXTSPLIT(P105,",",),0,2)+$A$18,$A$18)=0,$A$18,MOD(P$18+INDEX(_xlfn.TEXTSPLIT(P105,",",),0,2)+$A$18,$A$18))/4,0)))+(INDEX($AD$2:$AK$9,ROUNDUP(IF(MOD($A50+INDEX(_xlfn.TEXTSPLIT(P148,",",),0,1)+$A$18,$A$18)=0,$A$18,MOD($A50+INDEX(_xlfn.TEXTSPLIT(P148,",",),0,1)+$A$18,$A$18))/5,0),ROUNDUP(IF(MOD(P$18+INDEX(_xlfn.TEXTSPLIT(P148,",",),0,2)+$A$18,$A$18)=0,$A$18,MOD(P$18+INDEX(_xlfn.TEXTSPLIT(P148,",",),0,2)+$A$18,$A$18))/5,0)))</f>
        <v>3</v>
      </c>
      <c r="Q50" s="1" cm="1">
        <f t="array" aca="1" ref="Q50" ca="1">(INDEX($K$2:$T$11,ROUNDUP(IF(MOD($A50+INDEX(_xlfn.TEXTSPLIT(Q105,",",),0,1)+$A$18,$A$18)=0,$A$18,MOD($A50+INDEX(_xlfn.TEXTSPLIT(Q105,",",),0,1)+$A$18,$A$18))/4,0),ROUNDUP(IF(MOD(Q$18+INDEX(_xlfn.TEXTSPLIT(Q105,",",),0,2)+$A$18,$A$18)=0,$A$18,MOD(Q$18+INDEX(_xlfn.TEXTSPLIT(Q105,",",),0,2)+$A$18,$A$18))/4,0)))+(INDEX($AD$2:$AK$9,ROUNDUP(IF(MOD($A50+INDEX(_xlfn.TEXTSPLIT(Q148,",",),0,1)+$A$18,$A$18)=0,$A$18,MOD($A50+INDEX(_xlfn.TEXTSPLIT(Q148,",",),0,1)+$A$18,$A$18))/5,0),ROUNDUP(IF(MOD(Q$18+INDEX(_xlfn.TEXTSPLIT(Q148,",",),0,2)+$A$18,$A$18)=0,$A$18,MOD(Q$18+INDEX(_xlfn.TEXTSPLIT(Q148,",",),0,2)+$A$18,$A$18))/5,0)))</f>
        <v>7</v>
      </c>
      <c r="R50" s="1" cm="1">
        <f t="array" aca="1" ref="R50" ca="1">(INDEX($K$2:$T$11,ROUNDUP(IF(MOD($A50+INDEX(_xlfn.TEXTSPLIT(R105,",",),0,1)+$A$18,$A$18)=0,$A$18,MOD($A50+INDEX(_xlfn.TEXTSPLIT(R105,",",),0,1)+$A$18,$A$18))/4,0),ROUNDUP(IF(MOD(R$18+INDEX(_xlfn.TEXTSPLIT(R105,",",),0,2)+$A$18,$A$18)=0,$A$18,MOD(R$18+INDEX(_xlfn.TEXTSPLIT(R105,",",),0,2)+$A$18,$A$18))/4,0)))+(INDEX($AD$2:$AK$9,ROUNDUP(IF(MOD($A50+INDEX(_xlfn.TEXTSPLIT(R148,",",),0,1)+$A$18,$A$18)=0,$A$18,MOD($A50+INDEX(_xlfn.TEXTSPLIT(R148,",",),0,1)+$A$18,$A$18))/5,0),ROUNDUP(IF(MOD(R$18+INDEX(_xlfn.TEXTSPLIT(R148,",",),0,2)+$A$18,$A$18)=0,$A$18,MOD(R$18+INDEX(_xlfn.TEXTSPLIT(R148,",",),0,2)+$A$18,$A$18))/5,0)))</f>
        <v>7</v>
      </c>
      <c r="S50" s="1" cm="1">
        <f t="array" aca="1" ref="S50" ca="1">(INDEX($K$2:$T$11,ROUNDUP(IF(MOD($A50+INDEX(_xlfn.TEXTSPLIT(S105,",",),0,1)+$A$18,$A$18)=0,$A$18,MOD($A50+INDEX(_xlfn.TEXTSPLIT(S105,",",),0,1)+$A$18,$A$18))/4,0),ROUNDUP(IF(MOD(S$18+INDEX(_xlfn.TEXTSPLIT(S105,",",),0,2)+$A$18,$A$18)=0,$A$18,MOD(S$18+INDEX(_xlfn.TEXTSPLIT(S105,",",),0,2)+$A$18,$A$18))/4,0)))+(INDEX($AD$2:$AK$9,ROUNDUP(IF(MOD($A50+INDEX(_xlfn.TEXTSPLIT(S148,",",),0,1)+$A$18,$A$18)=0,$A$18,MOD($A50+INDEX(_xlfn.TEXTSPLIT(S148,",",),0,1)+$A$18,$A$18))/5,0),ROUNDUP(IF(MOD(S$18+INDEX(_xlfn.TEXTSPLIT(S148,",",),0,2)+$A$18,$A$18)=0,$A$18,MOD(S$18+INDEX(_xlfn.TEXTSPLIT(S148,",",),0,2)+$A$18,$A$18))/5,0)))</f>
        <v>7</v>
      </c>
      <c r="T50" s="1" cm="1">
        <f t="array" aca="1" ref="T50" ca="1">(INDEX($K$2:$T$11,ROUNDUP(IF(MOD($A50+INDEX(_xlfn.TEXTSPLIT(T105,",",),0,1)+$A$18,$A$18)=0,$A$18,MOD($A50+INDEX(_xlfn.TEXTSPLIT(T105,",",),0,1)+$A$18,$A$18))/4,0),ROUNDUP(IF(MOD(T$18+INDEX(_xlfn.TEXTSPLIT(T105,",",),0,2)+$A$18,$A$18)=0,$A$18,MOD(T$18+INDEX(_xlfn.TEXTSPLIT(T105,",",),0,2)+$A$18,$A$18))/4,0)))+(INDEX($AD$2:$AK$9,ROUNDUP(IF(MOD($A50+INDEX(_xlfn.TEXTSPLIT(T148,",",),0,1)+$A$18,$A$18)=0,$A$18,MOD($A50+INDEX(_xlfn.TEXTSPLIT(T148,",",),0,1)+$A$18,$A$18))/5,0),ROUNDUP(IF(MOD(T$18+INDEX(_xlfn.TEXTSPLIT(T148,",",),0,2)+$A$18,$A$18)=0,$A$18,MOD(T$18+INDEX(_xlfn.TEXTSPLIT(T148,",",),0,2)+$A$18,$A$18))/5,0)))</f>
        <v>7</v>
      </c>
      <c r="U50" s="1" cm="1">
        <f t="array" aca="1" ref="U50" ca="1">(INDEX($K$2:$T$11,ROUNDUP(IF(MOD($A50+INDEX(_xlfn.TEXTSPLIT(U105,",",),0,1)+$A$18,$A$18)=0,$A$18,MOD($A50+INDEX(_xlfn.TEXTSPLIT(U105,",",),0,1)+$A$18,$A$18))/4,0),ROUNDUP(IF(MOD(U$18+INDEX(_xlfn.TEXTSPLIT(U105,",",),0,2)+$A$18,$A$18)=0,$A$18,MOD(U$18+INDEX(_xlfn.TEXTSPLIT(U105,",",),0,2)+$A$18,$A$18))/4,0)))+(INDEX($AD$2:$AK$9,ROUNDUP(IF(MOD($A50+INDEX(_xlfn.TEXTSPLIT(U148,",",),0,1)+$A$18,$A$18)=0,$A$18,MOD($A50+INDEX(_xlfn.TEXTSPLIT(U148,",",),0,1)+$A$18,$A$18))/5,0),ROUNDUP(IF(MOD(U$18+INDEX(_xlfn.TEXTSPLIT(U148,",",),0,2)+$A$18,$A$18)=0,$A$18,MOD(U$18+INDEX(_xlfn.TEXTSPLIT(U148,",",),0,2)+$A$18,$A$18))/5,0)))</f>
        <v>7</v>
      </c>
      <c r="V50" s="1" cm="1">
        <f t="array" aca="1" ref="V50" ca="1">(INDEX($K$2:$T$11,ROUNDUP(IF(MOD($A50+INDEX(_xlfn.TEXTSPLIT(V105,",",),0,1)+$A$18,$A$18)=0,$A$18,MOD($A50+INDEX(_xlfn.TEXTSPLIT(V105,",",),0,1)+$A$18,$A$18))/4,0),ROUNDUP(IF(MOD(V$18+INDEX(_xlfn.TEXTSPLIT(V105,",",),0,2)+$A$18,$A$18)=0,$A$18,MOD(V$18+INDEX(_xlfn.TEXTSPLIT(V105,",",),0,2)+$A$18,$A$18))/4,0)))+(INDEX($AD$2:$AK$9,ROUNDUP(IF(MOD($A50+INDEX(_xlfn.TEXTSPLIT(V148,",",),0,1)+$A$18,$A$18)=0,$A$18,MOD($A50+INDEX(_xlfn.TEXTSPLIT(V148,",",),0,1)+$A$18,$A$18))/5,0),ROUNDUP(IF(MOD(V$18+INDEX(_xlfn.TEXTSPLIT(V148,",",),0,2)+$A$18,$A$18)=0,$A$18,MOD(V$18+INDEX(_xlfn.TEXTSPLIT(V148,",",),0,2)+$A$18,$A$18))/5,0)))</f>
        <v>7</v>
      </c>
      <c r="W50" s="1" cm="1">
        <f t="array" aca="1" ref="W50" ca="1">(INDEX($K$2:$T$11,ROUNDUP(IF(MOD($A50+INDEX(_xlfn.TEXTSPLIT(W105,",",),0,1)+$A$18,$A$18)=0,$A$18,MOD($A50+INDEX(_xlfn.TEXTSPLIT(W105,",",),0,1)+$A$18,$A$18))/4,0),ROUNDUP(IF(MOD(W$18+INDEX(_xlfn.TEXTSPLIT(W105,",",),0,2)+$A$18,$A$18)=0,$A$18,MOD(W$18+INDEX(_xlfn.TEXTSPLIT(W105,",",),0,2)+$A$18,$A$18))/4,0)))+(INDEX($AD$2:$AK$9,ROUNDUP(IF(MOD($A50+INDEX(_xlfn.TEXTSPLIT(W148,",",),0,1)+$A$18,$A$18)=0,$A$18,MOD($A50+INDEX(_xlfn.TEXTSPLIT(W148,",",),0,1)+$A$18,$A$18))/5,0),ROUNDUP(IF(MOD(W$18+INDEX(_xlfn.TEXTSPLIT(W148,",",),0,2)+$A$18,$A$18)=0,$A$18,MOD(W$18+INDEX(_xlfn.TEXTSPLIT(W148,",",),0,2)+$A$18,$A$18))/5,0)))</f>
        <v>7</v>
      </c>
      <c r="X50" s="1" cm="1">
        <f t="array" aca="1" ref="X50" ca="1">(INDEX($K$2:$T$11,ROUNDUP(IF(MOD($A50+INDEX(_xlfn.TEXTSPLIT(X105,",",),0,1)+$A$18,$A$18)=0,$A$18,MOD($A50+INDEX(_xlfn.TEXTSPLIT(X105,",",),0,1)+$A$18,$A$18))/4,0),ROUNDUP(IF(MOD(X$18+INDEX(_xlfn.TEXTSPLIT(X105,",",),0,2)+$A$18,$A$18)=0,$A$18,MOD(X$18+INDEX(_xlfn.TEXTSPLIT(X105,",",),0,2)+$A$18,$A$18))/4,0)))+(INDEX($AD$2:$AK$9,ROUNDUP(IF(MOD($A50+INDEX(_xlfn.TEXTSPLIT(X148,",",),0,1)+$A$18,$A$18)=0,$A$18,MOD($A50+INDEX(_xlfn.TEXTSPLIT(X148,",",),0,1)+$A$18,$A$18))/5,0),ROUNDUP(IF(MOD(X$18+INDEX(_xlfn.TEXTSPLIT(X148,",",),0,2)+$A$18,$A$18)=0,$A$18,MOD(X$18+INDEX(_xlfn.TEXTSPLIT(X148,",",),0,2)+$A$18,$A$18))/5,0)))</f>
        <v>7</v>
      </c>
      <c r="Y50" s="1" cm="1">
        <f t="array" aca="1" ref="Y50" ca="1">(INDEX($K$2:$T$11,ROUNDUP(IF(MOD($A50+INDEX(_xlfn.TEXTSPLIT(Y105,",",),0,1)+$A$18,$A$18)=0,$A$18,MOD($A50+INDEX(_xlfn.TEXTSPLIT(Y105,",",),0,1)+$A$18,$A$18))/4,0),ROUNDUP(IF(MOD(Y$18+INDEX(_xlfn.TEXTSPLIT(Y105,",",),0,2)+$A$18,$A$18)=0,$A$18,MOD(Y$18+INDEX(_xlfn.TEXTSPLIT(Y105,",",),0,2)+$A$18,$A$18))/4,0)))+(INDEX($AD$2:$AK$9,ROUNDUP(IF(MOD($A50+INDEX(_xlfn.TEXTSPLIT(Y148,",",),0,1)+$A$18,$A$18)=0,$A$18,MOD($A50+INDEX(_xlfn.TEXTSPLIT(Y148,",",),0,1)+$A$18,$A$18))/5,0),ROUNDUP(IF(MOD(Y$18+INDEX(_xlfn.TEXTSPLIT(Y148,",",),0,2)+$A$18,$A$18)=0,$A$18,MOD(Y$18+INDEX(_xlfn.TEXTSPLIT(Y148,",",),0,2)+$A$18,$A$18))/5,0)))</f>
        <v>7</v>
      </c>
      <c r="Z50" s="1" cm="1">
        <f t="array" aca="1" ref="Z50" ca="1">(INDEX($K$2:$T$11,ROUNDUP(IF(MOD($A50+INDEX(_xlfn.TEXTSPLIT(Z105,",",),0,1)+$A$18,$A$18)=0,$A$18,MOD($A50+INDEX(_xlfn.TEXTSPLIT(Z105,",",),0,1)+$A$18,$A$18))/4,0),ROUNDUP(IF(MOD(Z$18+INDEX(_xlfn.TEXTSPLIT(Z105,",",),0,2)+$A$18,$A$18)=0,$A$18,MOD(Z$18+INDEX(_xlfn.TEXTSPLIT(Z105,",",),0,2)+$A$18,$A$18))/4,0)))+(INDEX($AD$2:$AK$9,ROUNDUP(IF(MOD($A50+INDEX(_xlfn.TEXTSPLIT(Z148,",",),0,1)+$A$18,$A$18)=0,$A$18,MOD($A50+INDEX(_xlfn.TEXTSPLIT(Z148,",",),0,1)+$A$18,$A$18))/5,0),ROUNDUP(IF(MOD(Z$18+INDEX(_xlfn.TEXTSPLIT(Z148,",",),0,2)+$A$18,$A$18)=0,$A$18,MOD(Z$18+INDEX(_xlfn.TEXTSPLIT(Z148,",",),0,2)+$A$18,$A$18))/5,0)))</f>
        <v>8</v>
      </c>
      <c r="AA50" s="1" cm="1">
        <f t="array" aca="1" ref="AA50" ca="1">(INDEX($K$2:$T$11,ROUNDUP(IF(MOD($A50+INDEX(_xlfn.TEXTSPLIT(AA105,",",),0,1)+$A$18,$A$18)=0,$A$18,MOD($A50+INDEX(_xlfn.TEXTSPLIT(AA105,",",),0,1)+$A$18,$A$18))/4,0),ROUNDUP(IF(MOD(AA$18+INDEX(_xlfn.TEXTSPLIT(AA105,",",),0,2)+$A$18,$A$18)=0,$A$18,MOD(AA$18+INDEX(_xlfn.TEXTSPLIT(AA105,",",),0,2)+$A$18,$A$18))/4,0)))+(INDEX($AD$2:$AK$9,ROUNDUP(IF(MOD($A50+INDEX(_xlfn.TEXTSPLIT(AA148,",",),0,1)+$A$18,$A$18)=0,$A$18,MOD($A50+INDEX(_xlfn.TEXTSPLIT(AA148,",",),0,1)+$A$18,$A$18))/5,0),ROUNDUP(IF(MOD(AA$18+INDEX(_xlfn.TEXTSPLIT(AA148,",",),0,2)+$A$18,$A$18)=0,$A$18,MOD(AA$18+INDEX(_xlfn.TEXTSPLIT(AA148,",",),0,2)+$A$18,$A$18))/5,0)))</f>
        <v>8</v>
      </c>
      <c r="AB50" s="1" cm="1">
        <f t="array" aca="1" ref="AB50" ca="1">(INDEX($K$2:$T$11,ROUNDUP(IF(MOD($A50+INDEX(_xlfn.TEXTSPLIT(AB105,",",),0,1)+$A$18,$A$18)=0,$A$18,MOD($A50+INDEX(_xlfn.TEXTSPLIT(AB105,",",),0,1)+$A$18,$A$18))/4,0),ROUNDUP(IF(MOD(AB$18+INDEX(_xlfn.TEXTSPLIT(AB105,",",),0,2)+$A$18,$A$18)=0,$A$18,MOD(AB$18+INDEX(_xlfn.TEXTSPLIT(AB105,",",),0,2)+$A$18,$A$18))/4,0)))+(INDEX($AD$2:$AK$9,ROUNDUP(IF(MOD($A50+INDEX(_xlfn.TEXTSPLIT(AB148,",",),0,1)+$A$18,$A$18)=0,$A$18,MOD($A50+INDEX(_xlfn.TEXTSPLIT(AB148,",",),0,1)+$A$18,$A$18))/5,0),ROUNDUP(IF(MOD(AB$18+INDEX(_xlfn.TEXTSPLIT(AB148,",",),0,2)+$A$18,$A$18)=0,$A$18,MOD(AB$18+INDEX(_xlfn.TEXTSPLIT(AB148,",",),0,2)+$A$18,$A$18))/5,0)))</f>
        <v>8</v>
      </c>
      <c r="AC50" s="1" cm="1">
        <f t="array" aca="1" ref="AC50" ca="1">(INDEX($K$2:$T$11,ROUNDUP(IF(MOD($A50+INDEX(_xlfn.TEXTSPLIT(AC105,",",),0,1)+$A$18,$A$18)=0,$A$18,MOD($A50+INDEX(_xlfn.TEXTSPLIT(AC105,",",),0,1)+$A$18,$A$18))/4,0),ROUNDUP(IF(MOD(AC$18+INDEX(_xlfn.TEXTSPLIT(AC105,",",),0,2)+$A$18,$A$18)=0,$A$18,MOD(AC$18+INDEX(_xlfn.TEXTSPLIT(AC105,",",),0,2)+$A$18,$A$18))/4,0)))+(INDEX($AD$2:$AK$9,ROUNDUP(IF(MOD($A50+INDEX(_xlfn.TEXTSPLIT(AC148,",",),0,1)+$A$18,$A$18)=0,$A$18,MOD($A50+INDEX(_xlfn.TEXTSPLIT(AC148,",",),0,1)+$A$18,$A$18))/5,0),ROUNDUP(IF(MOD(AC$18+INDEX(_xlfn.TEXTSPLIT(AC148,",",),0,2)+$A$18,$A$18)=0,$A$18,MOD(AC$18+INDEX(_xlfn.TEXTSPLIT(AC148,",",),0,2)+$A$18,$A$18))/5,0)))</f>
        <v>8</v>
      </c>
      <c r="AD50" s="1" cm="1">
        <f t="array" aca="1" ref="AD50" ca="1">(INDEX($K$2:$T$11,ROUNDUP(IF(MOD($A50+INDEX(_xlfn.TEXTSPLIT(AD105,",",),0,1)+$A$18,$A$18)=0,$A$18,MOD($A50+INDEX(_xlfn.TEXTSPLIT(AD105,",",),0,1)+$A$18,$A$18))/4,0),ROUNDUP(IF(MOD(AD$18+INDEX(_xlfn.TEXTSPLIT(AD105,",",),0,2)+$A$18,$A$18)=0,$A$18,MOD(AD$18+INDEX(_xlfn.TEXTSPLIT(AD105,",",),0,2)+$A$18,$A$18))/4,0)))+(INDEX($AD$2:$AK$9,ROUNDUP(IF(MOD($A50+INDEX(_xlfn.TEXTSPLIT(AD148,",",),0,1)+$A$18,$A$18)=0,$A$18,MOD($A50+INDEX(_xlfn.TEXTSPLIT(AD148,",",),0,1)+$A$18,$A$18))/5,0),ROUNDUP(IF(MOD(AD$18+INDEX(_xlfn.TEXTSPLIT(AD148,",",),0,2)+$A$18,$A$18)=0,$A$18,MOD(AD$18+INDEX(_xlfn.TEXTSPLIT(AD148,",",),0,2)+$A$18,$A$18))/5,0)))</f>
        <v>8</v>
      </c>
      <c r="AE50" s="1" cm="1">
        <f t="array" aca="1" ref="AE50" ca="1">(INDEX($K$2:$T$11,ROUNDUP(IF(MOD($A50+INDEX(_xlfn.TEXTSPLIT(AE105,",",),0,1)+$A$18,$A$18)=0,$A$18,MOD($A50+INDEX(_xlfn.TEXTSPLIT(AE105,",",),0,1)+$A$18,$A$18))/4,0),ROUNDUP(IF(MOD(AE$18+INDEX(_xlfn.TEXTSPLIT(AE105,",",),0,2)+$A$18,$A$18)=0,$A$18,MOD(AE$18+INDEX(_xlfn.TEXTSPLIT(AE105,",",),0,2)+$A$18,$A$18))/4,0)))+(INDEX($AD$2:$AK$9,ROUNDUP(IF(MOD($A50+INDEX(_xlfn.TEXTSPLIT(AE148,",",),0,1)+$A$18,$A$18)=0,$A$18,MOD($A50+INDEX(_xlfn.TEXTSPLIT(AE148,",",),0,1)+$A$18,$A$18))/5,0),ROUNDUP(IF(MOD(AE$18+INDEX(_xlfn.TEXTSPLIT(AE148,",",),0,2)+$A$18,$A$18)=0,$A$18,MOD(AE$18+INDEX(_xlfn.TEXTSPLIT(AE148,",",),0,2)+$A$18,$A$18))/5,0)))</f>
        <v>5</v>
      </c>
      <c r="AF50" s="1" cm="1">
        <f t="array" aca="1" ref="AF50" ca="1">(INDEX($K$2:$T$11,ROUNDUP(IF(MOD($A50+INDEX(_xlfn.TEXTSPLIT(AF105,",",),0,1)+$A$18,$A$18)=0,$A$18,MOD($A50+INDEX(_xlfn.TEXTSPLIT(AF105,",",),0,1)+$A$18,$A$18))/4,0),ROUNDUP(IF(MOD(AF$18+INDEX(_xlfn.TEXTSPLIT(AF105,",",),0,2)+$A$18,$A$18)=0,$A$18,MOD(AF$18+INDEX(_xlfn.TEXTSPLIT(AF105,",",),0,2)+$A$18,$A$18))/4,0)))+(INDEX($AD$2:$AK$9,ROUNDUP(IF(MOD($A50+INDEX(_xlfn.TEXTSPLIT(AF148,",",),0,1)+$A$18,$A$18)=0,$A$18,MOD($A50+INDEX(_xlfn.TEXTSPLIT(AF148,",",),0,1)+$A$18,$A$18))/5,0),ROUNDUP(IF(MOD(AF$18+INDEX(_xlfn.TEXTSPLIT(AF148,",",),0,2)+$A$18,$A$18)=0,$A$18,MOD(AF$18+INDEX(_xlfn.TEXTSPLIT(AF148,",",),0,2)+$A$18,$A$18))/5,0)))</f>
        <v>8</v>
      </c>
      <c r="AG50" s="1" cm="1">
        <f t="array" aca="1" ref="AG50" ca="1">(INDEX($K$2:$T$11,ROUNDUP(IF(MOD($A50+INDEX(_xlfn.TEXTSPLIT(AG105,",",),0,1)+$A$18,$A$18)=0,$A$18,MOD($A50+INDEX(_xlfn.TEXTSPLIT(AG105,",",),0,1)+$A$18,$A$18))/4,0),ROUNDUP(IF(MOD(AG$18+INDEX(_xlfn.TEXTSPLIT(AG105,",",),0,2)+$A$18,$A$18)=0,$A$18,MOD(AG$18+INDEX(_xlfn.TEXTSPLIT(AG105,",",),0,2)+$A$18,$A$18))/4,0)))+(INDEX($AD$2:$AK$9,ROUNDUP(IF(MOD($A50+INDEX(_xlfn.TEXTSPLIT(AG148,",",),0,1)+$A$18,$A$18)=0,$A$18,MOD($A50+INDEX(_xlfn.TEXTSPLIT(AG148,",",),0,1)+$A$18,$A$18))/5,0),ROUNDUP(IF(MOD(AG$18+INDEX(_xlfn.TEXTSPLIT(AG148,",",),0,2)+$A$18,$A$18)=0,$A$18,MOD(AG$18+INDEX(_xlfn.TEXTSPLIT(AG148,",",),0,2)+$A$18,$A$18))/5,0)))</f>
        <v>5</v>
      </c>
      <c r="AH50" s="1" cm="1">
        <f t="array" aca="1" ref="AH50" ca="1">(INDEX($K$2:$T$11,ROUNDUP(IF(MOD($A50+INDEX(_xlfn.TEXTSPLIT(AH105,",",),0,1)+$A$18,$A$18)=0,$A$18,MOD($A50+INDEX(_xlfn.TEXTSPLIT(AH105,",",),0,1)+$A$18,$A$18))/4,0),ROUNDUP(IF(MOD(AH$18+INDEX(_xlfn.TEXTSPLIT(AH105,",",),0,2)+$A$18,$A$18)=0,$A$18,MOD(AH$18+INDEX(_xlfn.TEXTSPLIT(AH105,",",),0,2)+$A$18,$A$18))/4,0)))+(INDEX($AD$2:$AK$9,ROUNDUP(IF(MOD($A50+INDEX(_xlfn.TEXTSPLIT(AH148,",",),0,1)+$A$18,$A$18)=0,$A$18,MOD($A50+INDEX(_xlfn.TEXTSPLIT(AH148,",",),0,1)+$A$18,$A$18))/5,0),ROUNDUP(IF(MOD(AH$18+INDEX(_xlfn.TEXTSPLIT(AH148,",",),0,2)+$A$18,$A$18)=0,$A$18,MOD(AH$18+INDEX(_xlfn.TEXTSPLIT(AH148,",",),0,2)+$A$18,$A$18))/5,0)))</f>
        <v>5</v>
      </c>
      <c r="AI50" s="1" cm="1">
        <f t="array" aca="1" ref="AI50" ca="1">(INDEX($K$2:$T$11,ROUNDUP(IF(MOD($A50+INDEX(_xlfn.TEXTSPLIT(AI105,",",),0,1)+$A$18,$A$18)=0,$A$18,MOD($A50+INDEX(_xlfn.TEXTSPLIT(AI105,",",),0,1)+$A$18,$A$18))/4,0),ROUNDUP(IF(MOD(AI$18+INDEX(_xlfn.TEXTSPLIT(AI105,",",),0,2)+$A$18,$A$18)=0,$A$18,MOD(AI$18+INDEX(_xlfn.TEXTSPLIT(AI105,",",),0,2)+$A$18,$A$18))/4,0)))+(INDEX($AD$2:$AK$9,ROUNDUP(IF(MOD($A50+INDEX(_xlfn.TEXTSPLIT(AI148,",",),0,1)+$A$18,$A$18)=0,$A$18,MOD($A50+INDEX(_xlfn.TEXTSPLIT(AI148,",",),0,1)+$A$18,$A$18))/5,0),ROUNDUP(IF(MOD(AI$18+INDEX(_xlfn.TEXTSPLIT(AI148,",",),0,2)+$A$18,$A$18)=0,$A$18,MOD(AI$18+INDEX(_xlfn.TEXTSPLIT(AI148,",",),0,2)+$A$18,$A$18))/5,0)))</f>
        <v>5</v>
      </c>
      <c r="AJ50" s="1" cm="1">
        <f t="array" aca="1" ref="AJ50" ca="1">(INDEX($K$2:$T$11,ROUNDUP(IF(MOD($A50+INDEX(_xlfn.TEXTSPLIT(AJ105,",",),0,1)+$A$18,$A$18)=0,$A$18,MOD($A50+INDEX(_xlfn.TEXTSPLIT(AJ105,",",),0,1)+$A$18,$A$18))/4,0),ROUNDUP(IF(MOD(AJ$18+INDEX(_xlfn.TEXTSPLIT(AJ105,",",),0,2)+$A$18,$A$18)=0,$A$18,MOD(AJ$18+INDEX(_xlfn.TEXTSPLIT(AJ105,",",),0,2)+$A$18,$A$18))/4,0)))+(INDEX($AD$2:$AK$9,ROUNDUP(IF(MOD($A50+INDEX(_xlfn.TEXTSPLIT(AJ148,",",),0,1)+$A$18,$A$18)=0,$A$18,MOD($A50+INDEX(_xlfn.TEXTSPLIT(AJ148,",",),0,1)+$A$18,$A$18))/5,0),ROUNDUP(IF(MOD(AJ$18+INDEX(_xlfn.TEXTSPLIT(AJ148,",",),0,2)+$A$18,$A$18)=0,$A$18,MOD(AJ$18+INDEX(_xlfn.TEXTSPLIT(AJ148,",",),0,2)+$A$18,$A$18))/5,0)))</f>
        <v>5</v>
      </c>
      <c r="AK50" s="1" cm="1">
        <f t="array" aca="1" ref="AK50" ca="1">(INDEX($K$2:$T$11,ROUNDUP(IF(MOD($A50+INDEX(_xlfn.TEXTSPLIT(AK105,",",),0,1)+$A$18,$A$18)=0,$A$18,MOD($A50+INDEX(_xlfn.TEXTSPLIT(AK105,",",),0,1)+$A$18,$A$18))/4,0),ROUNDUP(IF(MOD(AK$18+INDEX(_xlfn.TEXTSPLIT(AK105,",",),0,2)+$A$18,$A$18)=0,$A$18,MOD(AK$18+INDEX(_xlfn.TEXTSPLIT(AK105,",",),0,2)+$A$18,$A$18))/4,0)))+(INDEX($AD$2:$AK$9,ROUNDUP(IF(MOD($A50+INDEX(_xlfn.TEXTSPLIT(AK148,",",),0,1)+$A$18,$A$18)=0,$A$18,MOD($A50+INDEX(_xlfn.TEXTSPLIT(AK148,",",),0,1)+$A$18,$A$18))/5,0),ROUNDUP(IF(MOD(AK$18+INDEX(_xlfn.TEXTSPLIT(AK148,",",),0,2)+$A$18,$A$18)=0,$A$18,MOD(AK$18+INDEX(_xlfn.TEXTSPLIT(AK148,",",),0,2)+$A$18,$A$18))/5,0)))</f>
        <v>5</v>
      </c>
      <c r="AL50" s="1" cm="1">
        <f t="array" aca="1" ref="AL50" ca="1">(INDEX($K$2:$T$11,ROUNDUP(IF(MOD($A50+INDEX(_xlfn.TEXTSPLIT(AL105,",",),0,1)+$A$18,$A$18)=0,$A$18,MOD($A50+INDEX(_xlfn.TEXTSPLIT(AL105,",",),0,1)+$A$18,$A$18))/4,0),ROUNDUP(IF(MOD(AL$18+INDEX(_xlfn.TEXTSPLIT(AL105,",",),0,2)+$A$18,$A$18)=0,$A$18,MOD(AL$18+INDEX(_xlfn.TEXTSPLIT(AL105,",",),0,2)+$A$18,$A$18))/4,0)))+(INDEX($AD$2:$AK$9,ROUNDUP(IF(MOD($A50+INDEX(_xlfn.TEXTSPLIT(AL148,",",),0,1)+$A$18,$A$18)=0,$A$18,MOD($A50+INDEX(_xlfn.TEXTSPLIT(AL148,",",),0,1)+$A$18,$A$18))/5,0),ROUNDUP(IF(MOD(AL$18+INDEX(_xlfn.TEXTSPLIT(AL148,",",),0,2)+$A$18,$A$18)=0,$A$18,MOD(AL$18+INDEX(_xlfn.TEXTSPLIT(AL148,",",),0,2)+$A$18,$A$18))/5,0)))</f>
        <v>5</v>
      </c>
      <c r="AM50" s="1" cm="1">
        <f t="array" aca="1" ref="AM50" ca="1">(INDEX($K$2:$T$11,ROUNDUP(IF(MOD($A50+INDEX(_xlfn.TEXTSPLIT(AM105,",",),0,1)+$A$18,$A$18)=0,$A$18,MOD($A50+INDEX(_xlfn.TEXTSPLIT(AM105,",",),0,1)+$A$18,$A$18))/4,0),ROUNDUP(IF(MOD(AM$18+INDEX(_xlfn.TEXTSPLIT(AM105,",",),0,2)+$A$18,$A$18)=0,$A$18,MOD(AM$18+INDEX(_xlfn.TEXTSPLIT(AM105,",",),0,2)+$A$18,$A$18))/4,0)))+(INDEX($AD$2:$AK$9,ROUNDUP(IF(MOD($A50+INDEX(_xlfn.TEXTSPLIT(AM148,",",),0,1)+$A$18,$A$18)=0,$A$18,MOD($A50+INDEX(_xlfn.TEXTSPLIT(AM148,",",),0,1)+$A$18,$A$18))/5,0),ROUNDUP(IF(MOD(AM$18+INDEX(_xlfn.TEXTSPLIT(AM148,",",),0,2)+$A$18,$A$18)=0,$A$18,MOD(AM$18+INDEX(_xlfn.TEXTSPLIT(AM148,",",),0,2)+$A$18,$A$18))/5,0)))</f>
        <v>5</v>
      </c>
      <c r="AN50" s="1" cm="1">
        <f t="array" aca="1" ref="AN50" ca="1">(INDEX($K$2:$T$11,ROUNDUP(IF(MOD($A50+INDEX(_xlfn.TEXTSPLIT(AN105,",",),0,1)+$A$18,$A$18)=0,$A$18,MOD($A50+INDEX(_xlfn.TEXTSPLIT(AN105,",",),0,1)+$A$18,$A$18))/4,0),ROUNDUP(IF(MOD(AN$18+INDEX(_xlfn.TEXTSPLIT(AN105,",",),0,2)+$A$18,$A$18)=0,$A$18,MOD(AN$18+INDEX(_xlfn.TEXTSPLIT(AN105,",",),0,2)+$A$18,$A$18))/4,0)))+(INDEX($AD$2:$AK$9,ROUNDUP(IF(MOD($A50+INDEX(_xlfn.TEXTSPLIT(AN148,",",),0,1)+$A$18,$A$18)=0,$A$18,MOD($A50+INDEX(_xlfn.TEXTSPLIT(AN148,",",),0,1)+$A$18,$A$18))/5,0),ROUNDUP(IF(MOD(AN$18+INDEX(_xlfn.TEXTSPLIT(AN148,",",),0,2)+$A$18,$A$18)=0,$A$18,MOD(AN$18+INDEX(_xlfn.TEXTSPLIT(AN148,",",),0,2)+$A$18,$A$18))/5,0)))</f>
        <v>5</v>
      </c>
      <c r="AO50" s="1" cm="1">
        <f t="array" aca="1" ref="AO50" ca="1">(INDEX($K$2:$T$11,ROUNDUP(IF(MOD($A50+INDEX(_xlfn.TEXTSPLIT(AO105,",",),0,1)+$A$18,$A$18)=0,$A$18,MOD($A50+INDEX(_xlfn.TEXTSPLIT(AO105,",",),0,1)+$A$18,$A$18))/4,0),ROUNDUP(IF(MOD(AO$18+INDEX(_xlfn.TEXTSPLIT(AO105,",",),0,2)+$A$18,$A$18)=0,$A$18,MOD(AO$18+INDEX(_xlfn.TEXTSPLIT(AO105,",",),0,2)+$A$18,$A$18))/4,0)))+(INDEX($AD$2:$AK$9,ROUNDUP(IF(MOD($A50+INDEX(_xlfn.TEXTSPLIT(AO148,",",),0,1)+$A$18,$A$18)=0,$A$18,MOD($A50+INDEX(_xlfn.TEXTSPLIT(AO148,",",),0,1)+$A$18,$A$18))/5,0),ROUNDUP(IF(MOD(AO$18+INDEX(_xlfn.TEXTSPLIT(AO148,",",),0,2)+$A$18,$A$18)=0,$A$18,MOD(AO$18+INDEX(_xlfn.TEXTSPLIT(AO148,",",),0,2)+$A$18,$A$18))/5,0)))</f>
        <v>5</v>
      </c>
    </row>
    <row r="51" spans="1:41" ht="12.75">
      <c r="A51" s="1">
        <v>33</v>
      </c>
      <c r="B51" s="1" cm="1">
        <f t="array" aca="1" ref="B51" ca="1">(INDEX($K$2:$T$11,ROUNDUP(IF(MOD($A51+INDEX(_xlfn.TEXTSPLIT(B106,",",),0,1)+$A$18,$A$18)=0,$A$18,MOD($A51+INDEX(_xlfn.TEXTSPLIT(B106,",",),0,1)+$A$18,$A$18))/4,0),ROUNDUP(IF(MOD(B$18+INDEX(_xlfn.TEXTSPLIT(B106,",",),0,2)+$A$18,$A$18)=0,$A$18,MOD(B$18+INDEX(_xlfn.TEXTSPLIT(B106,",",),0,2)+$A$18,$A$18))/4,0)))+(INDEX($AD$2:$AK$9,ROUNDUP(IF(MOD($A51+INDEX(_xlfn.TEXTSPLIT(B149,",",),0,1)+$A$18,$A$18)=0,$A$18,MOD($A51+INDEX(_xlfn.TEXTSPLIT(B149,",",),0,1)+$A$18,$A$18))/5,0),ROUNDUP(IF(MOD(B$18+INDEX(_xlfn.TEXTSPLIT(B149,",",),0,2)+$A$18,$A$18)=0,$A$18,MOD(B$18+INDEX(_xlfn.TEXTSPLIT(B149,",",),0,2)+$A$18,$A$18))/5,0)))</f>
        <v>5</v>
      </c>
      <c r="C51" s="1" cm="1">
        <f t="array" aca="1" ref="C51" ca="1">(INDEX($K$2:$T$11,ROUNDUP(IF(MOD($A51+INDEX(_xlfn.TEXTSPLIT(C106,",",),0,1)+$A$18,$A$18)=0,$A$18,MOD($A51+INDEX(_xlfn.TEXTSPLIT(C106,",",),0,1)+$A$18,$A$18))/4,0),ROUNDUP(IF(MOD(C$18+INDEX(_xlfn.TEXTSPLIT(C106,",",),0,2)+$A$18,$A$18)=0,$A$18,MOD(C$18+INDEX(_xlfn.TEXTSPLIT(C106,",",),0,2)+$A$18,$A$18))/4,0)))+(INDEX($AD$2:$AK$9,ROUNDUP(IF(MOD($A51+INDEX(_xlfn.TEXTSPLIT(C149,",",),0,1)+$A$18,$A$18)=0,$A$18,MOD($A51+INDEX(_xlfn.TEXTSPLIT(C149,",",),0,1)+$A$18,$A$18))/5,0),ROUNDUP(IF(MOD(C$18+INDEX(_xlfn.TEXTSPLIT(C149,",",),0,2)+$A$18,$A$18)=0,$A$18,MOD(C$18+INDEX(_xlfn.TEXTSPLIT(C149,",",),0,2)+$A$18,$A$18))/5,0)))</f>
        <v>7</v>
      </c>
      <c r="D51" s="1" cm="1">
        <f t="array" aca="1" ref="D51" ca="1">(INDEX($K$2:$T$11,ROUNDUP(IF(MOD($A51+INDEX(_xlfn.TEXTSPLIT(D106,",",),0,1)+$A$18,$A$18)=0,$A$18,MOD($A51+INDEX(_xlfn.TEXTSPLIT(D106,",",),0,1)+$A$18,$A$18))/4,0),ROUNDUP(IF(MOD(D$18+INDEX(_xlfn.TEXTSPLIT(D106,",",),0,2)+$A$18,$A$18)=0,$A$18,MOD(D$18+INDEX(_xlfn.TEXTSPLIT(D106,",",),0,2)+$A$18,$A$18))/4,0)))+(INDEX($AD$2:$AK$9,ROUNDUP(IF(MOD($A51+INDEX(_xlfn.TEXTSPLIT(D149,",",),0,1)+$A$18,$A$18)=0,$A$18,MOD($A51+INDEX(_xlfn.TEXTSPLIT(D149,",",),0,1)+$A$18,$A$18))/5,0),ROUNDUP(IF(MOD(D$18+INDEX(_xlfn.TEXTSPLIT(D149,",",),0,2)+$A$18,$A$18)=0,$A$18,MOD(D$18+INDEX(_xlfn.TEXTSPLIT(D149,",",),0,2)+$A$18,$A$18))/5,0)))</f>
        <v>3</v>
      </c>
      <c r="E51" s="1" cm="1">
        <f t="array" aca="1" ref="E51" ca="1">(INDEX($K$2:$T$11,ROUNDUP(IF(MOD($A51+INDEX(_xlfn.TEXTSPLIT(E106,",",),0,1)+$A$18,$A$18)=0,$A$18,MOD($A51+INDEX(_xlfn.TEXTSPLIT(E106,",",),0,1)+$A$18,$A$18))/4,0),ROUNDUP(IF(MOD(E$18+INDEX(_xlfn.TEXTSPLIT(E106,",",),0,2)+$A$18,$A$18)=0,$A$18,MOD(E$18+INDEX(_xlfn.TEXTSPLIT(E106,",",),0,2)+$A$18,$A$18))/4,0)))+(INDEX($AD$2:$AK$9,ROUNDUP(IF(MOD($A51+INDEX(_xlfn.TEXTSPLIT(E149,",",),0,1)+$A$18,$A$18)=0,$A$18,MOD($A51+INDEX(_xlfn.TEXTSPLIT(E149,",",),0,1)+$A$18,$A$18))/5,0),ROUNDUP(IF(MOD(E$18+INDEX(_xlfn.TEXTSPLIT(E149,",",),0,2)+$A$18,$A$18)=0,$A$18,MOD(E$18+INDEX(_xlfn.TEXTSPLIT(E149,",",),0,2)+$A$18,$A$18))/5,0)))</f>
        <v>3</v>
      </c>
      <c r="F51" s="1" cm="1">
        <f t="array" aca="1" ref="F51" ca="1">(INDEX($K$2:$T$11,ROUNDUP(IF(MOD($A51+INDEX(_xlfn.TEXTSPLIT(F106,",",),0,1)+$A$18,$A$18)=0,$A$18,MOD($A51+INDEX(_xlfn.TEXTSPLIT(F106,",",),0,1)+$A$18,$A$18))/4,0),ROUNDUP(IF(MOD(F$18+INDEX(_xlfn.TEXTSPLIT(F106,",",),0,2)+$A$18,$A$18)=0,$A$18,MOD(F$18+INDEX(_xlfn.TEXTSPLIT(F106,",",),0,2)+$A$18,$A$18))/4,0)))+(INDEX($AD$2:$AK$9,ROUNDUP(IF(MOD($A51+INDEX(_xlfn.TEXTSPLIT(F149,",",),0,1)+$A$18,$A$18)=0,$A$18,MOD($A51+INDEX(_xlfn.TEXTSPLIT(F149,",",),0,1)+$A$18,$A$18))/5,0),ROUNDUP(IF(MOD(F$18+INDEX(_xlfn.TEXTSPLIT(F149,",",),0,2)+$A$18,$A$18)=0,$A$18,MOD(F$18+INDEX(_xlfn.TEXTSPLIT(F149,",",),0,2)+$A$18,$A$18))/5,0)))</f>
        <v>3</v>
      </c>
      <c r="G51" s="1" cm="1">
        <f t="array" aca="1" ref="G51" ca="1">(INDEX($K$2:$T$11,ROUNDUP(IF(MOD($A51+INDEX(_xlfn.TEXTSPLIT(G106,",",),0,1)+$A$18,$A$18)=0,$A$18,MOD($A51+INDEX(_xlfn.TEXTSPLIT(G106,",",),0,1)+$A$18,$A$18))/4,0),ROUNDUP(IF(MOD(G$18+INDEX(_xlfn.TEXTSPLIT(G106,",",),0,2)+$A$18,$A$18)=0,$A$18,MOD(G$18+INDEX(_xlfn.TEXTSPLIT(G106,",",),0,2)+$A$18,$A$18))/4,0)))+(INDEX($AD$2:$AK$9,ROUNDUP(IF(MOD($A51+INDEX(_xlfn.TEXTSPLIT(G149,",",),0,1)+$A$18,$A$18)=0,$A$18,MOD($A51+INDEX(_xlfn.TEXTSPLIT(G149,",",),0,1)+$A$18,$A$18))/5,0),ROUNDUP(IF(MOD(G$18+INDEX(_xlfn.TEXTSPLIT(G149,",",),0,2)+$A$18,$A$18)=0,$A$18,MOD(G$18+INDEX(_xlfn.TEXTSPLIT(G149,",",),0,2)+$A$18,$A$18))/5,0)))</f>
        <v>3</v>
      </c>
      <c r="H51" s="1" cm="1">
        <f t="array" aca="1" ref="H51" ca="1">(INDEX($K$2:$T$11,ROUNDUP(IF(MOD($A51+INDEX(_xlfn.TEXTSPLIT(H106,",",),0,1)+$A$18,$A$18)=0,$A$18,MOD($A51+INDEX(_xlfn.TEXTSPLIT(H106,",",),0,1)+$A$18,$A$18))/4,0),ROUNDUP(IF(MOD(H$18+INDEX(_xlfn.TEXTSPLIT(H106,",",),0,2)+$A$18,$A$18)=0,$A$18,MOD(H$18+INDEX(_xlfn.TEXTSPLIT(H106,",",),0,2)+$A$18,$A$18))/4,0)))+(INDEX($AD$2:$AK$9,ROUNDUP(IF(MOD($A51+INDEX(_xlfn.TEXTSPLIT(H149,",",),0,1)+$A$18,$A$18)=0,$A$18,MOD($A51+INDEX(_xlfn.TEXTSPLIT(H149,",",),0,1)+$A$18,$A$18))/5,0),ROUNDUP(IF(MOD(H$18+INDEX(_xlfn.TEXTSPLIT(H149,",",),0,2)+$A$18,$A$18)=0,$A$18,MOD(H$18+INDEX(_xlfn.TEXTSPLIT(H149,",",),0,2)+$A$18,$A$18))/5,0)))</f>
        <v>3</v>
      </c>
      <c r="I51" s="1" cm="1">
        <f t="array" aca="1" ref="I51" ca="1">(INDEX($K$2:$T$11,ROUNDUP(IF(MOD($A51+INDEX(_xlfn.TEXTSPLIT(I106,",",),0,1)+$A$18,$A$18)=0,$A$18,MOD($A51+INDEX(_xlfn.TEXTSPLIT(I106,",",),0,1)+$A$18,$A$18))/4,0),ROUNDUP(IF(MOD(I$18+INDEX(_xlfn.TEXTSPLIT(I106,",",),0,2)+$A$18,$A$18)=0,$A$18,MOD(I$18+INDEX(_xlfn.TEXTSPLIT(I106,",",),0,2)+$A$18,$A$18))/4,0)))+(INDEX($AD$2:$AK$9,ROUNDUP(IF(MOD($A51+INDEX(_xlfn.TEXTSPLIT(I149,",",),0,1)+$A$18,$A$18)=0,$A$18,MOD($A51+INDEX(_xlfn.TEXTSPLIT(I149,",",),0,1)+$A$18,$A$18))/5,0),ROUNDUP(IF(MOD(I$18+INDEX(_xlfn.TEXTSPLIT(I149,",",),0,2)+$A$18,$A$18)=0,$A$18,MOD(I$18+INDEX(_xlfn.TEXTSPLIT(I149,",",),0,2)+$A$18,$A$18))/5,0)))</f>
        <v>7</v>
      </c>
      <c r="J51" s="1" cm="1">
        <f t="array" aca="1" ref="J51" ca="1">(INDEX($K$2:$T$11,ROUNDUP(IF(MOD($A51+INDEX(_xlfn.TEXTSPLIT(J106,",",),0,1)+$A$18,$A$18)=0,$A$18,MOD($A51+INDEX(_xlfn.TEXTSPLIT(J106,",",),0,1)+$A$18,$A$18))/4,0),ROUNDUP(IF(MOD(J$18+INDEX(_xlfn.TEXTSPLIT(J106,",",),0,2)+$A$18,$A$18)=0,$A$18,MOD(J$18+INDEX(_xlfn.TEXTSPLIT(J106,",",),0,2)+$A$18,$A$18))/4,0)))+(INDEX($AD$2:$AK$9,ROUNDUP(IF(MOD($A51+INDEX(_xlfn.TEXTSPLIT(J149,",",),0,1)+$A$18,$A$18)=0,$A$18,MOD($A51+INDEX(_xlfn.TEXTSPLIT(J149,",",),0,1)+$A$18,$A$18))/5,0),ROUNDUP(IF(MOD(J$18+INDEX(_xlfn.TEXTSPLIT(J149,",",),0,2)+$A$18,$A$18)=0,$A$18,MOD(J$18+INDEX(_xlfn.TEXTSPLIT(J149,",",),0,2)+$A$18,$A$18))/5,0)))</f>
        <v>7</v>
      </c>
      <c r="K51" s="1" cm="1">
        <f t="array" aca="1" ref="K51" ca="1">(INDEX($K$2:$T$11,ROUNDUP(IF(MOD($A51+INDEX(_xlfn.TEXTSPLIT(K106,",",),0,1)+$A$18,$A$18)=0,$A$18,MOD($A51+INDEX(_xlfn.TEXTSPLIT(K106,",",),0,1)+$A$18,$A$18))/4,0),ROUNDUP(IF(MOD(K$18+INDEX(_xlfn.TEXTSPLIT(K106,",",),0,2)+$A$18,$A$18)=0,$A$18,MOD(K$18+INDEX(_xlfn.TEXTSPLIT(K106,",",),0,2)+$A$18,$A$18))/4,0)))+(INDEX($AD$2:$AK$9,ROUNDUP(IF(MOD($A51+INDEX(_xlfn.TEXTSPLIT(K149,",",),0,1)+$A$18,$A$18)=0,$A$18,MOD($A51+INDEX(_xlfn.TEXTSPLIT(K149,",",),0,1)+$A$18,$A$18))/5,0),ROUNDUP(IF(MOD(K$18+INDEX(_xlfn.TEXTSPLIT(K149,",",),0,2)+$A$18,$A$18)=0,$A$18,MOD(K$18+INDEX(_xlfn.TEXTSPLIT(K149,",",),0,2)+$A$18,$A$18))/5,0)))</f>
        <v>3</v>
      </c>
      <c r="L51" s="1" cm="1">
        <f t="array" aca="1" ref="L51" ca="1">(INDEX($K$2:$T$11,ROUNDUP(IF(MOD($A51+INDEX(_xlfn.TEXTSPLIT(L106,",",),0,1)+$A$18,$A$18)=0,$A$18,MOD($A51+INDEX(_xlfn.TEXTSPLIT(L106,",",),0,1)+$A$18,$A$18))/4,0),ROUNDUP(IF(MOD(L$18+INDEX(_xlfn.TEXTSPLIT(L106,",",),0,2)+$A$18,$A$18)=0,$A$18,MOD(L$18+INDEX(_xlfn.TEXTSPLIT(L106,",",),0,2)+$A$18,$A$18))/4,0)))+(INDEX($AD$2:$AK$9,ROUNDUP(IF(MOD($A51+INDEX(_xlfn.TEXTSPLIT(L149,",",),0,1)+$A$18,$A$18)=0,$A$18,MOD($A51+INDEX(_xlfn.TEXTSPLIT(L149,",",),0,1)+$A$18,$A$18))/5,0),ROUNDUP(IF(MOD(L$18+INDEX(_xlfn.TEXTSPLIT(L149,",",),0,2)+$A$18,$A$18)=0,$A$18,MOD(L$18+INDEX(_xlfn.TEXTSPLIT(L149,",",),0,2)+$A$18,$A$18))/5,0)))</f>
        <v>7</v>
      </c>
      <c r="M51" s="1" cm="1">
        <f t="array" aca="1" ref="M51" ca="1">(INDEX($K$2:$T$11,ROUNDUP(IF(MOD($A51+INDEX(_xlfn.TEXTSPLIT(M106,",",),0,1)+$A$18,$A$18)=0,$A$18,MOD($A51+INDEX(_xlfn.TEXTSPLIT(M106,",",),0,1)+$A$18,$A$18))/4,0),ROUNDUP(IF(MOD(M$18+INDEX(_xlfn.TEXTSPLIT(M106,",",),0,2)+$A$18,$A$18)=0,$A$18,MOD(M$18+INDEX(_xlfn.TEXTSPLIT(M106,",",),0,2)+$A$18,$A$18))/4,0)))+(INDEX($AD$2:$AK$9,ROUNDUP(IF(MOD($A51+INDEX(_xlfn.TEXTSPLIT(M149,",",),0,1)+$A$18,$A$18)=0,$A$18,MOD($A51+INDEX(_xlfn.TEXTSPLIT(M149,",",),0,1)+$A$18,$A$18))/5,0),ROUNDUP(IF(MOD(M$18+INDEX(_xlfn.TEXTSPLIT(M149,",",),0,2)+$A$18,$A$18)=0,$A$18,MOD(M$18+INDEX(_xlfn.TEXTSPLIT(M149,",",),0,2)+$A$18,$A$18))/5,0)))</f>
        <v>7</v>
      </c>
      <c r="N51" s="1" cm="1">
        <f t="array" aca="1" ref="N51" ca="1">(INDEX($K$2:$T$11,ROUNDUP(IF(MOD($A51+INDEX(_xlfn.TEXTSPLIT(N106,",",),0,1)+$A$18,$A$18)=0,$A$18,MOD($A51+INDEX(_xlfn.TEXTSPLIT(N106,",",),0,1)+$A$18,$A$18))/4,0),ROUNDUP(IF(MOD(N$18+INDEX(_xlfn.TEXTSPLIT(N106,",",),0,2)+$A$18,$A$18)=0,$A$18,MOD(N$18+INDEX(_xlfn.TEXTSPLIT(N106,",",),0,2)+$A$18,$A$18))/4,0)))+(INDEX($AD$2:$AK$9,ROUNDUP(IF(MOD($A51+INDEX(_xlfn.TEXTSPLIT(N149,",",),0,1)+$A$18,$A$18)=0,$A$18,MOD($A51+INDEX(_xlfn.TEXTSPLIT(N149,",",),0,1)+$A$18,$A$18))/5,0),ROUNDUP(IF(MOD(N$18+INDEX(_xlfn.TEXTSPLIT(N149,",",),0,2)+$A$18,$A$18)=0,$A$18,MOD(N$18+INDEX(_xlfn.TEXTSPLIT(N149,",",),0,2)+$A$18,$A$18))/5,0)))</f>
        <v>3</v>
      </c>
      <c r="O51" s="1" cm="1">
        <f t="array" aca="1" ref="O51" ca="1">(INDEX($K$2:$T$11,ROUNDUP(IF(MOD($A51+INDEX(_xlfn.TEXTSPLIT(O106,",",),0,1)+$A$18,$A$18)=0,$A$18,MOD($A51+INDEX(_xlfn.TEXTSPLIT(O106,",",),0,1)+$A$18,$A$18))/4,0),ROUNDUP(IF(MOD(O$18+INDEX(_xlfn.TEXTSPLIT(O106,",",),0,2)+$A$18,$A$18)=0,$A$18,MOD(O$18+INDEX(_xlfn.TEXTSPLIT(O106,",",),0,2)+$A$18,$A$18))/4,0)))+(INDEX($AD$2:$AK$9,ROUNDUP(IF(MOD($A51+INDEX(_xlfn.TEXTSPLIT(O149,",",),0,1)+$A$18,$A$18)=0,$A$18,MOD($A51+INDEX(_xlfn.TEXTSPLIT(O149,",",),0,1)+$A$18,$A$18))/5,0),ROUNDUP(IF(MOD(O$18+INDEX(_xlfn.TEXTSPLIT(O149,",",),0,2)+$A$18,$A$18)=0,$A$18,MOD(O$18+INDEX(_xlfn.TEXTSPLIT(O149,",",),0,2)+$A$18,$A$18))/5,0)))</f>
        <v>3</v>
      </c>
      <c r="P51" s="1" cm="1">
        <f t="array" aca="1" ref="P51" ca="1">(INDEX($K$2:$T$11,ROUNDUP(IF(MOD($A51+INDEX(_xlfn.TEXTSPLIT(P106,",",),0,1)+$A$18,$A$18)=0,$A$18,MOD($A51+INDEX(_xlfn.TEXTSPLIT(P106,",",),0,1)+$A$18,$A$18))/4,0),ROUNDUP(IF(MOD(P$18+INDEX(_xlfn.TEXTSPLIT(P106,",",),0,2)+$A$18,$A$18)=0,$A$18,MOD(P$18+INDEX(_xlfn.TEXTSPLIT(P106,",",),0,2)+$A$18,$A$18))/4,0)))+(INDEX($AD$2:$AK$9,ROUNDUP(IF(MOD($A51+INDEX(_xlfn.TEXTSPLIT(P149,",",),0,1)+$A$18,$A$18)=0,$A$18,MOD($A51+INDEX(_xlfn.TEXTSPLIT(P149,",",),0,1)+$A$18,$A$18))/5,0),ROUNDUP(IF(MOD(P$18+INDEX(_xlfn.TEXTSPLIT(P149,",",),0,2)+$A$18,$A$18)=0,$A$18,MOD(P$18+INDEX(_xlfn.TEXTSPLIT(P149,",",),0,2)+$A$18,$A$18))/5,0)))</f>
        <v>3</v>
      </c>
      <c r="Q51" s="1" cm="1">
        <f t="array" aca="1" ref="Q51" ca="1">(INDEX($K$2:$T$11,ROUNDUP(IF(MOD($A51+INDEX(_xlfn.TEXTSPLIT(Q106,",",),0,1)+$A$18,$A$18)=0,$A$18,MOD($A51+INDEX(_xlfn.TEXTSPLIT(Q106,",",),0,1)+$A$18,$A$18))/4,0),ROUNDUP(IF(MOD(Q$18+INDEX(_xlfn.TEXTSPLIT(Q106,",",),0,2)+$A$18,$A$18)=0,$A$18,MOD(Q$18+INDEX(_xlfn.TEXTSPLIT(Q106,",",),0,2)+$A$18,$A$18))/4,0)))+(INDEX($AD$2:$AK$9,ROUNDUP(IF(MOD($A51+INDEX(_xlfn.TEXTSPLIT(Q149,",",),0,1)+$A$18,$A$18)=0,$A$18,MOD($A51+INDEX(_xlfn.TEXTSPLIT(Q149,",",),0,1)+$A$18,$A$18))/5,0),ROUNDUP(IF(MOD(Q$18+INDEX(_xlfn.TEXTSPLIT(Q149,",",),0,2)+$A$18,$A$18)=0,$A$18,MOD(Q$18+INDEX(_xlfn.TEXTSPLIT(Q149,",",),0,2)+$A$18,$A$18))/5,0)))</f>
        <v>3</v>
      </c>
      <c r="R51" s="1" cm="1">
        <f t="array" aca="1" ref="R51" ca="1">(INDEX($K$2:$T$11,ROUNDUP(IF(MOD($A51+INDEX(_xlfn.TEXTSPLIT(R106,",",),0,1)+$A$18,$A$18)=0,$A$18,MOD($A51+INDEX(_xlfn.TEXTSPLIT(R106,",",),0,1)+$A$18,$A$18))/4,0),ROUNDUP(IF(MOD(R$18+INDEX(_xlfn.TEXTSPLIT(R106,",",),0,2)+$A$18,$A$18)=0,$A$18,MOD(R$18+INDEX(_xlfn.TEXTSPLIT(R106,",",),0,2)+$A$18,$A$18))/4,0)))+(INDEX($AD$2:$AK$9,ROUNDUP(IF(MOD($A51+INDEX(_xlfn.TEXTSPLIT(R149,",",),0,1)+$A$18,$A$18)=0,$A$18,MOD($A51+INDEX(_xlfn.TEXTSPLIT(R149,",",),0,1)+$A$18,$A$18))/5,0),ROUNDUP(IF(MOD(R$18+INDEX(_xlfn.TEXTSPLIT(R149,",",),0,2)+$A$18,$A$18)=0,$A$18,MOD(R$18+INDEX(_xlfn.TEXTSPLIT(R149,",",),0,2)+$A$18,$A$18))/5,0)))</f>
        <v>7</v>
      </c>
      <c r="S51" s="1" cm="1">
        <f t="array" aca="1" ref="S51" ca="1">(INDEX($K$2:$T$11,ROUNDUP(IF(MOD($A51+INDEX(_xlfn.TEXTSPLIT(S106,",",),0,1)+$A$18,$A$18)=0,$A$18,MOD($A51+INDEX(_xlfn.TEXTSPLIT(S106,",",),0,1)+$A$18,$A$18))/4,0),ROUNDUP(IF(MOD(S$18+INDEX(_xlfn.TEXTSPLIT(S106,",",),0,2)+$A$18,$A$18)=0,$A$18,MOD(S$18+INDEX(_xlfn.TEXTSPLIT(S106,",",),0,2)+$A$18,$A$18))/4,0)))+(INDEX($AD$2:$AK$9,ROUNDUP(IF(MOD($A51+INDEX(_xlfn.TEXTSPLIT(S149,",",),0,1)+$A$18,$A$18)=0,$A$18,MOD($A51+INDEX(_xlfn.TEXTSPLIT(S149,",",),0,1)+$A$18,$A$18))/5,0),ROUNDUP(IF(MOD(S$18+INDEX(_xlfn.TEXTSPLIT(S149,",",),0,2)+$A$18,$A$18)=0,$A$18,MOD(S$18+INDEX(_xlfn.TEXTSPLIT(S149,",",),0,2)+$A$18,$A$18))/5,0)))</f>
        <v>7</v>
      </c>
      <c r="T51" s="1" cm="1">
        <f t="array" aca="1" ref="T51" ca="1">(INDEX($K$2:$T$11,ROUNDUP(IF(MOD($A51+INDEX(_xlfn.TEXTSPLIT(T106,",",),0,1)+$A$18,$A$18)=0,$A$18,MOD($A51+INDEX(_xlfn.TEXTSPLIT(T106,",",),0,1)+$A$18,$A$18))/4,0),ROUNDUP(IF(MOD(T$18+INDEX(_xlfn.TEXTSPLIT(T106,",",),0,2)+$A$18,$A$18)=0,$A$18,MOD(T$18+INDEX(_xlfn.TEXTSPLIT(T106,",",),0,2)+$A$18,$A$18))/4,0)))+(INDEX($AD$2:$AK$9,ROUNDUP(IF(MOD($A51+INDEX(_xlfn.TEXTSPLIT(T149,",",),0,1)+$A$18,$A$18)=0,$A$18,MOD($A51+INDEX(_xlfn.TEXTSPLIT(T149,",",),0,1)+$A$18,$A$18))/5,0),ROUNDUP(IF(MOD(T$18+INDEX(_xlfn.TEXTSPLIT(T149,",",),0,2)+$A$18,$A$18)=0,$A$18,MOD(T$18+INDEX(_xlfn.TEXTSPLIT(T149,",",),0,2)+$A$18,$A$18))/5,0)))</f>
        <v>7</v>
      </c>
      <c r="U51" s="1" cm="1">
        <f t="array" aca="1" ref="U51" ca="1">(INDEX($K$2:$T$11,ROUNDUP(IF(MOD($A51+INDEX(_xlfn.TEXTSPLIT(U106,",",),0,1)+$A$18,$A$18)=0,$A$18,MOD($A51+INDEX(_xlfn.TEXTSPLIT(U106,",",),0,1)+$A$18,$A$18))/4,0),ROUNDUP(IF(MOD(U$18+INDEX(_xlfn.TEXTSPLIT(U106,",",),0,2)+$A$18,$A$18)=0,$A$18,MOD(U$18+INDEX(_xlfn.TEXTSPLIT(U106,",",),0,2)+$A$18,$A$18))/4,0)))+(INDEX($AD$2:$AK$9,ROUNDUP(IF(MOD($A51+INDEX(_xlfn.TEXTSPLIT(U149,",",),0,1)+$A$18,$A$18)=0,$A$18,MOD($A51+INDEX(_xlfn.TEXTSPLIT(U149,",",),0,1)+$A$18,$A$18))/5,0),ROUNDUP(IF(MOD(U$18+INDEX(_xlfn.TEXTSPLIT(U149,",",),0,2)+$A$18,$A$18)=0,$A$18,MOD(U$18+INDEX(_xlfn.TEXTSPLIT(U149,",",),0,2)+$A$18,$A$18))/5,0)))</f>
        <v>7</v>
      </c>
      <c r="V51" s="1" cm="1">
        <f t="array" aca="1" ref="V51" ca="1">(INDEX($K$2:$T$11,ROUNDUP(IF(MOD($A51+INDEX(_xlfn.TEXTSPLIT(V106,",",),0,1)+$A$18,$A$18)=0,$A$18,MOD($A51+INDEX(_xlfn.TEXTSPLIT(V106,",",),0,1)+$A$18,$A$18))/4,0),ROUNDUP(IF(MOD(V$18+INDEX(_xlfn.TEXTSPLIT(V106,",",),0,2)+$A$18,$A$18)=0,$A$18,MOD(V$18+INDEX(_xlfn.TEXTSPLIT(V106,",",),0,2)+$A$18,$A$18))/4,0)))+(INDEX($AD$2:$AK$9,ROUNDUP(IF(MOD($A51+INDEX(_xlfn.TEXTSPLIT(V149,",",),0,1)+$A$18,$A$18)=0,$A$18,MOD($A51+INDEX(_xlfn.TEXTSPLIT(V149,",",),0,1)+$A$18,$A$18))/5,0),ROUNDUP(IF(MOD(V$18+INDEX(_xlfn.TEXTSPLIT(V149,",",),0,2)+$A$18,$A$18)=0,$A$18,MOD(V$18+INDEX(_xlfn.TEXTSPLIT(V149,",",),0,2)+$A$18,$A$18))/5,0)))</f>
        <v>7</v>
      </c>
      <c r="W51" s="1" cm="1">
        <f t="array" aca="1" ref="W51" ca="1">(INDEX($K$2:$T$11,ROUNDUP(IF(MOD($A51+INDEX(_xlfn.TEXTSPLIT(W106,",",),0,1)+$A$18,$A$18)=0,$A$18,MOD($A51+INDEX(_xlfn.TEXTSPLIT(W106,",",),0,1)+$A$18,$A$18))/4,0),ROUNDUP(IF(MOD(W$18+INDEX(_xlfn.TEXTSPLIT(W106,",",),0,2)+$A$18,$A$18)=0,$A$18,MOD(W$18+INDEX(_xlfn.TEXTSPLIT(W106,",",),0,2)+$A$18,$A$18))/4,0)))+(INDEX($AD$2:$AK$9,ROUNDUP(IF(MOD($A51+INDEX(_xlfn.TEXTSPLIT(W149,",",),0,1)+$A$18,$A$18)=0,$A$18,MOD($A51+INDEX(_xlfn.TEXTSPLIT(W149,",",),0,1)+$A$18,$A$18))/5,0),ROUNDUP(IF(MOD(W$18+INDEX(_xlfn.TEXTSPLIT(W149,",",),0,2)+$A$18,$A$18)=0,$A$18,MOD(W$18+INDEX(_xlfn.TEXTSPLIT(W149,",",),0,2)+$A$18,$A$18))/5,0)))</f>
        <v>7</v>
      </c>
      <c r="X51" s="1" cm="1">
        <f t="array" aca="1" ref="X51" ca="1">(INDEX($K$2:$T$11,ROUNDUP(IF(MOD($A51+INDEX(_xlfn.TEXTSPLIT(X106,",",),0,1)+$A$18,$A$18)=0,$A$18,MOD($A51+INDEX(_xlfn.TEXTSPLIT(X106,",",),0,1)+$A$18,$A$18))/4,0),ROUNDUP(IF(MOD(X$18+INDEX(_xlfn.TEXTSPLIT(X106,",",),0,2)+$A$18,$A$18)=0,$A$18,MOD(X$18+INDEX(_xlfn.TEXTSPLIT(X106,",",),0,2)+$A$18,$A$18))/4,0)))+(INDEX($AD$2:$AK$9,ROUNDUP(IF(MOD($A51+INDEX(_xlfn.TEXTSPLIT(X149,",",),0,1)+$A$18,$A$18)=0,$A$18,MOD($A51+INDEX(_xlfn.TEXTSPLIT(X149,",",),0,1)+$A$18,$A$18))/5,0),ROUNDUP(IF(MOD(X$18+INDEX(_xlfn.TEXTSPLIT(X149,",",),0,2)+$A$18,$A$18)=0,$A$18,MOD(X$18+INDEX(_xlfn.TEXTSPLIT(X149,",",),0,2)+$A$18,$A$18))/5,0)))</f>
        <v>7</v>
      </c>
      <c r="Y51" s="1" cm="1">
        <f t="array" aca="1" ref="Y51" ca="1">(INDEX($K$2:$T$11,ROUNDUP(IF(MOD($A51+INDEX(_xlfn.TEXTSPLIT(Y106,",",),0,1)+$A$18,$A$18)=0,$A$18,MOD($A51+INDEX(_xlfn.TEXTSPLIT(Y106,",",),0,1)+$A$18,$A$18))/4,0),ROUNDUP(IF(MOD(Y$18+INDEX(_xlfn.TEXTSPLIT(Y106,",",),0,2)+$A$18,$A$18)=0,$A$18,MOD(Y$18+INDEX(_xlfn.TEXTSPLIT(Y106,",",),0,2)+$A$18,$A$18))/4,0)))+(INDEX($AD$2:$AK$9,ROUNDUP(IF(MOD($A51+INDEX(_xlfn.TEXTSPLIT(Y149,",",),0,1)+$A$18,$A$18)=0,$A$18,MOD($A51+INDEX(_xlfn.TEXTSPLIT(Y149,",",),0,1)+$A$18,$A$18))/5,0),ROUNDUP(IF(MOD(Y$18+INDEX(_xlfn.TEXTSPLIT(Y149,",",),0,2)+$A$18,$A$18)=0,$A$18,MOD(Y$18+INDEX(_xlfn.TEXTSPLIT(Y149,",",),0,2)+$A$18,$A$18))/5,0)))</f>
        <v>7</v>
      </c>
      <c r="Z51" s="1" cm="1">
        <f t="array" aca="1" ref="Z51" ca="1">(INDEX($K$2:$T$11,ROUNDUP(IF(MOD($A51+INDEX(_xlfn.TEXTSPLIT(Z106,",",),0,1)+$A$18,$A$18)=0,$A$18,MOD($A51+INDEX(_xlfn.TEXTSPLIT(Z106,",",),0,1)+$A$18,$A$18))/4,0),ROUNDUP(IF(MOD(Z$18+INDEX(_xlfn.TEXTSPLIT(Z106,",",),0,2)+$A$18,$A$18)=0,$A$18,MOD(Z$18+INDEX(_xlfn.TEXTSPLIT(Z106,",",),0,2)+$A$18,$A$18))/4,0)))+(INDEX($AD$2:$AK$9,ROUNDUP(IF(MOD($A51+INDEX(_xlfn.TEXTSPLIT(Z149,",",),0,1)+$A$18,$A$18)=0,$A$18,MOD($A51+INDEX(_xlfn.TEXTSPLIT(Z149,",",),0,1)+$A$18,$A$18))/5,0),ROUNDUP(IF(MOD(Z$18+INDEX(_xlfn.TEXTSPLIT(Z149,",",),0,2)+$A$18,$A$18)=0,$A$18,MOD(Z$18+INDEX(_xlfn.TEXTSPLIT(Z149,",",),0,2)+$A$18,$A$18))/5,0)))</f>
        <v>8</v>
      </c>
      <c r="AA51" s="1" cm="1">
        <f t="array" aca="1" ref="AA51" ca="1">(INDEX($K$2:$T$11,ROUNDUP(IF(MOD($A51+INDEX(_xlfn.TEXTSPLIT(AA106,",",),0,1)+$A$18,$A$18)=0,$A$18,MOD($A51+INDEX(_xlfn.TEXTSPLIT(AA106,",",),0,1)+$A$18,$A$18))/4,0),ROUNDUP(IF(MOD(AA$18+INDEX(_xlfn.TEXTSPLIT(AA106,",",),0,2)+$A$18,$A$18)=0,$A$18,MOD(AA$18+INDEX(_xlfn.TEXTSPLIT(AA106,",",),0,2)+$A$18,$A$18))/4,0)))+(INDEX($AD$2:$AK$9,ROUNDUP(IF(MOD($A51+INDEX(_xlfn.TEXTSPLIT(AA149,",",),0,1)+$A$18,$A$18)=0,$A$18,MOD($A51+INDEX(_xlfn.TEXTSPLIT(AA149,",",),0,1)+$A$18,$A$18))/5,0),ROUNDUP(IF(MOD(AA$18+INDEX(_xlfn.TEXTSPLIT(AA149,",",),0,2)+$A$18,$A$18)=0,$A$18,MOD(AA$18+INDEX(_xlfn.TEXTSPLIT(AA149,",",),0,2)+$A$18,$A$18))/5,0)))</f>
        <v>7</v>
      </c>
      <c r="AB51" s="1" cm="1">
        <f t="array" aca="1" ref="AB51" ca="1">(INDEX($K$2:$T$11,ROUNDUP(IF(MOD($A51+INDEX(_xlfn.TEXTSPLIT(AB106,",",),0,1)+$A$18,$A$18)=0,$A$18,MOD($A51+INDEX(_xlfn.TEXTSPLIT(AB106,",",),0,1)+$A$18,$A$18))/4,0),ROUNDUP(IF(MOD(AB$18+INDEX(_xlfn.TEXTSPLIT(AB106,",",),0,2)+$A$18,$A$18)=0,$A$18,MOD(AB$18+INDEX(_xlfn.TEXTSPLIT(AB106,",",),0,2)+$A$18,$A$18))/4,0)))+(INDEX($AD$2:$AK$9,ROUNDUP(IF(MOD($A51+INDEX(_xlfn.TEXTSPLIT(AB149,",",),0,1)+$A$18,$A$18)=0,$A$18,MOD($A51+INDEX(_xlfn.TEXTSPLIT(AB149,",",),0,1)+$A$18,$A$18))/5,0),ROUNDUP(IF(MOD(AB$18+INDEX(_xlfn.TEXTSPLIT(AB149,",",),0,2)+$A$18,$A$18)=0,$A$18,MOD(AB$18+INDEX(_xlfn.TEXTSPLIT(AB149,",",),0,2)+$A$18,$A$18))/5,0)))</f>
        <v>8</v>
      </c>
      <c r="AC51" s="1" cm="1">
        <f t="array" aca="1" ref="AC51" ca="1">(INDEX($K$2:$T$11,ROUNDUP(IF(MOD($A51+INDEX(_xlfn.TEXTSPLIT(AC106,",",),0,1)+$A$18,$A$18)=0,$A$18,MOD($A51+INDEX(_xlfn.TEXTSPLIT(AC106,",",),0,1)+$A$18,$A$18))/4,0),ROUNDUP(IF(MOD(AC$18+INDEX(_xlfn.TEXTSPLIT(AC106,",",),0,2)+$A$18,$A$18)=0,$A$18,MOD(AC$18+INDEX(_xlfn.TEXTSPLIT(AC106,",",),0,2)+$A$18,$A$18))/4,0)))+(INDEX($AD$2:$AK$9,ROUNDUP(IF(MOD($A51+INDEX(_xlfn.TEXTSPLIT(AC149,",",),0,1)+$A$18,$A$18)=0,$A$18,MOD($A51+INDEX(_xlfn.TEXTSPLIT(AC149,",",),0,1)+$A$18,$A$18))/5,0),ROUNDUP(IF(MOD(AC$18+INDEX(_xlfn.TEXTSPLIT(AC149,",",),0,2)+$A$18,$A$18)=0,$A$18,MOD(AC$18+INDEX(_xlfn.TEXTSPLIT(AC149,",",),0,2)+$A$18,$A$18))/5,0)))</f>
        <v>8</v>
      </c>
      <c r="AD51" s="1" cm="1">
        <f t="array" aca="1" ref="AD51" ca="1">(INDEX($K$2:$T$11,ROUNDUP(IF(MOD($A51+INDEX(_xlfn.TEXTSPLIT(AD106,",",),0,1)+$A$18,$A$18)=0,$A$18,MOD($A51+INDEX(_xlfn.TEXTSPLIT(AD106,",",),0,1)+$A$18,$A$18))/4,0),ROUNDUP(IF(MOD(AD$18+INDEX(_xlfn.TEXTSPLIT(AD106,",",),0,2)+$A$18,$A$18)=0,$A$18,MOD(AD$18+INDEX(_xlfn.TEXTSPLIT(AD106,",",),0,2)+$A$18,$A$18))/4,0)))+(INDEX($AD$2:$AK$9,ROUNDUP(IF(MOD($A51+INDEX(_xlfn.TEXTSPLIT(AD149,",",),0,1)+$A$18,$A$18)=0,$A$18,MOD($A51+INDEX(_xlfn.TEXTSPLIT(AD149,",",),0,1)+$A$18,$A$18))/5,0),ROUNDUP(IF(MOD(AD$18+INDEX(_xlfn.TEXTSPLIT(AD149,",",),0,2)+$A$18,$A$18)=0,$A$18,MOD(AD$18+INDEX(_xlfn.TEXTSPLIT(AD149,",",),0,2)+$A$18,$A$18))/5,0)))</f>
        <v>8</v>
      </c>
      <c r="AE51" s="1" cm="1">
        <f t="array" aca="1" ref="AE51" ca="1">(INDEX($K$2:$T$11,ROUNDUP(IF(MOD($A51+INDEX(_xlfn.TEXTSPLIT(AE106,",",),0,1)+$A$18,$A$18)=0,$A$18,MOD($A51+INDEX(_xlfn.TEXTSPLIT(AE106,",",),0,1)+$A$18,$A$18))/4,0),ROUNDUP(IF(MOD(AE$18+INDEX(_xlfn.TEXTSPLIT(AE106,",",),0,2)+$A$18,$A$18)=0,$A$18,MOD(AE$18+INDEX(_xlfn.TEXTSPLIT(AE106,",",),0,2)+$A$18,$A$18))/4,0)))+(INDEX($AD$2:$AK$9,ROUNDUP(IF(MOD($A51+INDEX(_xlfn.TEXTSPLIT(AE149,",",),0,1)+$A$18,$A$18)=0,$A$18,MOD($A51+INDEX(_xlfn.TEXTSPLIT(AE149,",",),0,1)+$A$18,$A$18))/5,0),ROUNDUP(IF(MOD(AE$18+INDEX(_xlfn.TEXTSPLIT(AE149,",",),0,2)+$A$18,$A$18)=0,$A$18,MOD(AE$18+INDEX(_xlfn.TEXTSPLIT(AE149,",",),0,2)+$A$18,$A$18))/5,0)))</f>
        <v>8</v>
      </c>
      <c r="AF51" s="1" cm="1">
        <f t="array" aca="1" ref="AF51" ca="1">(INDEX($K$2:$T$11,ROUNDUP(IF(MOD($A51+INDEX(_xlfn.TEXTSPLIT(AF106,",",),0,1)+$A$18,$A$18)=0,$A$18,MOD($A51+INDEX(_xlfn.TEXTSPLIT(AF106,",",),0,1)+$A$18,$A$18))/4,0),ROUNDUP(IF(MOD(AF$18+INDEX(_xlfn.TEXTSPLIT(AF106,",",),0,2)+$A$18,$A$18)=0,$A$18,MOD(AF$18+INDEX(_xlfn.TEXTSPLIT(AF106,",",),0,2)+$A$18,$A$18))/4,0)))+(INDEX($AD$2:$AK$9,ROUNDUP(IF(MOD($A51+INDEX(_xlfn.TEXTSPLIT(AF149,",",),0,1)+$A$18,$A$18)=0,$A$18,MOD($A51+INDEX(_xlfn.TEXTSPLIT(AF149,",",),0,1)+$A$18,$A$18))/5,0),ROUNDUP(IF(MOD(AF$18+INDEX(_xlfn.TEXTSPLIT(AF149,",",),0,2)+$A$18,$A$18)=0,$A$18,MOD(AF$18+INDEX(_xlfn.TEXTSPLIT(AF149,",",),0,2)+$A$18,$A$18))/5,0)))</f>
        <v>5</v>
      </c>
      <c r="AG51" s="1" cm="1">
        <f t="array" aca="1" ref="AG51" ca="1">(INDEX($K$2:$T$11,ROUNDUP(IF(MOD($A51+INDEX(_xlfn.TEXTSPLIT(AG106,",",),0,1)+$A$18,$A$18)=0,$A$18,MOD($A51+INDEX(_xlfn.TEXTSPLIT(AG106,",",),0,1)+$A$18,$A$18))/4,0),ROUNDUP(IF(MOD(AG$18+INDEX(_xlfn.TEXTSPLIT(AG106,",",),0,2)+$A$18,$A$18)=0,$A$18,MOD(AG$18+INDEX(_xlfn.TEXTSPLIT(AG106,",",),0,2)+$A$18,$A$18))/4,0)))+(INDEX($AD$2:$AK$9,ROUNDUP(IF(MOD($A51+INDEX(_xlfn.TEXTSPLIT(AG149,",",),0,1)+$A$18,$A$18)=0,$A$18,MOD($A51+INDEX(_xlfn.TEXTSPLIT(AG149,",",),0,1)+$A$18,$A$18))/5,0),ROUNDUP(IF(MOD(AG$18+INDEX(_xlfn.TEXTSPLIT(AG149,",",),0,2)+$A$18,$A$18)=0,$A$18,MOD(AG$18+INDEX(_xlfn.TEXTSPLIT(AG149,",",),0,2)+$A$18,$A$18))/5,0)))</f>
        <v>5</v>
      </c>
      <c r="AH51" s="1" cm="1">
        <f t="array" aca="1" ref="AH51" ca="1">(INDEX($K$2:$T$11,ROUNDUP(IF(MOD($A51+INDEX(_xlfn.TEXTSPLIT(AH106,",",),0,1)+$A$18,$A$18)=0,$A$18,MOD($A51+INDEX(_xlfn.TEXTSPLIT(AH106,",",),0,1)+$A$18,$A$18))/4,0),ROUNDUP(IF(MOD(AH$18+INDEX(_xlfn.TEXTSPLIT(AH106,",",),0,2)+$A$18,$A$18)=0,$A$18,MOD(AH$18+INDEX(_xlfn.TEXTSPLIT(AH106,",",),0,2)+$A$18,$A$18))/4,0)))+(INDEX($AD$2:$AK$9,ROUNDUP(IF(MOD($A51+INDEX(_xlfn.TEXTSPLIT(AH149,",",),0,1)+$A$18,$A$18)=0,$A$18,MOD($A51+INDEX(_xlfn.TEXTSPLIT(AH149,",",),0,1)+$A$18,$A$18))/5,0),ROUNDUP(IF(MOD(AH$18+INDEX(_xlfn.TEXTSPLIT(AH149,",",),0,2)+$A$18,$A$18)=0,$A$18,MOD(AH$18+INDEX(_xlfn.TEXTSPLIT(AH149,",",),0,2)+$A$18,$A$18))/5,0)))</f>
        <v>5</v>
      </c>
      <c r="AI51" s="1" cm="1">
        <f t="array" aca="1" ref="AI51" ca="1">(INDEX($K$2:$T$11,ROUNDUP(IF(MOD($A51+INDEX(_xlfn.TEXTSPLIT(AI106,",",),0,1)+$A$18,$A$18)=0,$A$18,MOD($A51+INDEX(_xlfn.TEXTSPLIT(AI106,",",),0,1)+$A$18,$A$18))/4,0),ROUNDUP(IF(MOD(AI$18+INDEX(_xlfn.TEXTSPLIT(AI106,",",),0,2)+$A$18,$A$18)=0,$A$18,MOD(AI$18+INDEX(_xlfn.TEXTSPLIT(AI106,",",),0,2)+$A$18,$A$18))/4,0)))+(INDEX($AD$2:$AK$9,ROUNDUP(IF(MOD($A51+INDEX(_xlfn.TEXTSPLIT(AI149,",",),0,1)+$A$18,$A$18)=0,$A$18,MOD($A51+INDEX(_xlfn.TEXTSPLIT(AI149,",",),0,1)+$A$18,$A$18))/5,0),ROUNDUP(IF(MOD(AI$18+INDEX(_xlfn.TEXTSPLIT(AI149,",",),0,2)+$A$18,$A$18)=0,$A$18,MOD(AI$18+INDEX(_xlfn.TEXTSPLIT(AI149,",",),0,2)+$A$18,$A$18))/5,0)))</f>
        <v>5</v>
      </c>
      <c r="AJ51" s="1" cm="1">
        <f t="array" aca="1" ref="AJ51" ca="1">(INDEX($K$2:$T$11,ROUNDUP(IF(MOD($A51+INDEX(_xlfn.TEXTSPLIT(AJ106,",",),0,1)+$A$18,$A$18)=0,$A$18,MOD($A51+INDEX(_xlfn.TEXTSPLIT(AJ106,",",),0,1)+$A$18,$A$18))/4,0),ROUNDUP(IF(MOD(AJ$18+INDEX(_xlfn.TEXTSPLIT(AJ106,",",),0,2)+$A$18,$A$18)=0,$A$18,MOD(AJ$18+INDEX(_xlfn.TEXTSPLIT(AJ106,",",),0,2)+$A$18,$A$18))/4,0)))+(INDEX($AD$2:$AK$9,ROUNDUP(IF(MOD($A51+INDEX(_xlfn.TEXTSPLIT(AJ149,",",),0,1)+$A$18,$A$18)=0,$A$18,MOD($A51+INDEX(_xlfn.TEXTSPLIT(AJ149,",",),0,1)+$A$18,$A$18))/5,0),ROUNDUP(IF(MOD(AJ$18+INDEX(_xlfn.TEXTSPLIT(AJ149,",",),0,2)+$A$18,$A$18)=0,$A$18,MOD(AJ$18+INDEX(_xlfn.TEXTSPLIT(AJ149,",",),0,2)+$A$18,$A$18))/5,0)))</f>
        <v>5</v>
      </c>
      <c r="AK51" s="1" cm="1">
        <f t="array" aca="1" ref="AK51" ca="1">(INDEX($K$2:$T$11,ROUNDUP(IF(MOD($A51+INDEX(_xlfn.TEXTSPLIT(AK106,",",),0,1)+$A$18,$A$18)=0,$A$18,MOD($A51+INDEX(_xlfn.TEXTSPLIT(AK106,",",),0,1)+$A$18,$A$18))/4,0),ROUNDUP(IF(MOD(AK$18+INDEX(_xlfn.TEXTSPLIT(AK106,",",),0,2)+$A$18,$A$18)=0,$A$18,MOD(AK$18+INDEX(_xlfn.TEXTSPLIT(AK106,",",),0,2)+$A$18,$A$18))/4,0)))+(INDEX($AD$2:$AK$9,ROUNDUP(IF(MOD($A51+INDEX(_xlfn.TEXTSPLIT(AK149,",",),0,1)+$A$18,$A$18)=0,$A$18,MOD($A51+INDEX(_xlfn.TEXTSPLIT(AK149,",",),0,1)+$A$18,$A$18))/5,0),ROUNDUP(IF(MOD(AK$18+INDEX(_xlfn.TEXTSPLIT(AK149,",",),0,2)+$A$18,$A$18)=0,$A$18,MOD(AK$18+INDEX(_xlfn.TEXTSPLIT(AK149,",",),0,2)+$A$18,$A$18))/5,0)))</f>
        <v>5</v>
      </c>
      <c r="AL51" s="1" cm="1">
        <f t="array" aca="1" ref="AL51" ca="1">(INDEX($K$2:$T$11,ROUNDUP(IF(MOD($A51+INDEX(_xlfn.TEXTSPLIT(AL106,",",),0,1)+$A$18,$A$18)=0,$A$18,MOD($A51+INDEX(_xlfn.TEXTSPLIT(AL106,",",),0,1)+$A$18,$A$18))/4,0),ROUNDUP(IF(MOD(AL$18+INDEX(_xlfn.TEXTSPLIT(AL106,",",),0,2)+$A$18,$A$18)=0,$A$18,MOD(AL$18+INDEX(_xlfn.TEXTSPLIT(AL106,",",),0,2)+$A$18,$A$18))/4,0)))+(INDEX($AD$2:$AK$9,ROUNDUP(IF(MOD($A51+INDEX(_xlfn.TEXTSPLIT(AL149,",",),0,1)+$A$18,$A$18)=0,$A$18,MOD($A51+INDEX(_xlfn.TEXTSPLIT(AL149,",",),0,1)+$A$18,$A$18))/5,0),ROUNDUP(IF(MOD(AL$18+INDEX(_xlfn.TEXTSPLIT(AL149,",",),0,2)+$A$18,$A$18)=0,$A$18,MOD(AL$18+INDEX(_xlfn.TEXTSPLIT(AL149,",",),0,2)+$A$18,$A$18))/5,0)))</f>
        <v>5</v>
      </c>
      <c r="AM51" s="1" cm="1">
        <f t="array" aca="1" ref="AM51" ca="1">(INDEX($K$2:$T$11,ROUNDUP(IF(MOD($A51+INDEX(_xlfn.TEXTSPLIT(AM106,",",),0,1)+$A$18,$A$18)=0,$A$18,MOD($A51+INDEX(_xlfn.TEXTSPLIT(AM106,",",),0,1)+$A$18,$A$18))/4,0),ROUNDUP(IF(MOD(AM$18+INDEX(_xlfn.TEXTSPLIT(AM106,",",),0,2)+$A$18,$A$18)=0,$A$18,MOD(AM$18+INDEX(_xlfn.TEXTSPLIT(AM106,",",),0,2)+$A$18,$A$18))/4,0)))+(INDEX($AD$2:$AK$9,ROUNDUP(IF(MOD($A51+INDEX(_xlfn.TEXTSPLIT(AM149,",",),0,1)+$A$18,$A$18)=0,$A$18,MOD($A51+INDEX(_xlfn.TEXTSPLIT(AM149,",",),0,1)+$A$18,$A$18))/5,0),ROUNDUP(IF(MOD(AM$18+INDEX(_xlfn.TEXTSPLIT(AM149,",",),0,2)+$A$18,$A$18)=0,$A$18,MOD(AM$18+INDEX(_xlfn.TEXTSPLIT(AM149,",",),0,2)+$A$18,$A$18))/5,0)))</f>
        <v>5</v>
      </c>
      <c r="AN51" s="1" cm="1">
        <f t="array" aca="1" ref="AN51" ca="1">(INDEX($K$2:$T$11,ROUNDUP(IF(MOD($A51+INDEX(_xlfn.TEXTSPLIT(AN106,",",),0,1)+$A$18,$A$18)=0,$A$18,MOD($A51+INDEX(_xlfn.TEXTSPLIT(AN106,",",),0,1)+$A$18,$A$18))/4,0),ROUNDUP(IF(MOD(AN$18+INDEX(_xlfn.TEXTSPLIT(AN106,",",),0,2)+$A$18,$A$18)=0,$A$18,MOD(AN$18+INDEX(_xlfn.TEXTSPLIT(AN106,",",),0,2)+$A$18,$A$18))/4,0)))+(INDEX($AD$2:$AK$9,ROUNDUP(IF(MOD($A51+INDEX(_xlfn.TEXTSPLIT(AN149,",",),0,1)+$A$18,$A$18)=0,$A$18,MOD($A51+INDEX(_xlfn.TEXTSPLIT(AN149,",",),0,1)+$A$18,$A$18))/5,0),ROUNDUP(IF(MOD(AN$18+INDEX(_xlfn.TEXTSPLIT(AN149,",",),0,2)+$A$18,$A$18)=0,$A$18,MOD(AN$18+INDEX(_xlfn.TEXTSPLIT(AN149,",",),0,2)+$A$18,$A$18))/5,0)))</f>
        <v>5</v>
      </c>
      <c r="AO51" s="1" cm="1">
        <f t="array" aca="1" ref="AO51" ca="1">(INDEX($K$2:$T$11,ROUNDUP(IF(MOD($A51+INDEX(_xlfn.TEXTSPLIT(AO106,",",),0,1)+$A$18,$A$18)=0,$A$18,MOD($A51+INDEX(_xlfn.TEXTSPLIT(AO106,",",),0,1)+$A$18,$A$18))/4,0),ROUNDUP(IF(MOD(AO$18+INDEX(_xlfn.TEXTSPLIT(AO106,",",),0,2)+$A$18,$A$18)=0,$A$18,MOD(AO$18+INDEX(_xlfn.TEXTSPLIT(AO106,",",),0,2)+$A$18,$A$18))/4,0)))+(INDEX($AD$2:$AK$9,ROUNDUP(IF(MOD($A51+INDEX(_xlfn.TEXTSPLIT(AO149,",",),0,1)+$A$18,$A$18)=0,$A$18,MOD($A51+INDEX(_xlfn.TEXTSPLIT(AO149,",",),0,1)+$A$18,$A$18))/5,0),ROUNDUP(IF(MOD(AO$18+INDEX(_xlfn.TEXTSPLIT(AO149,",",),0,2)+$A$18,$A$18)=0,$A$18,MOD(AO$18+INDEX(_xlfn.TEXTSPLIT(AO149,",",),0,2)+$A$18,$A$18))/5,0)))</f>
        <v>7</v>
      </c>
    </row>
    <row r="52" spans="1:41" ht="12.75">
      <c r="A52" s="1">
        <v>34</v>
      </c>
      <c r="B52" s="1" cm="1">
        <f t="array" aca="1" ref="B52" ca="1">(INDEX($K$2:$T$11,ROUNDUP(IF(MOD($A52+INDEX(_xlfn.TEXTSPLIT(B107,",",),0,1)+$A$18,$A$18)=0,$A$18,MOD($A52+INDEX(_xlfn.TEXTSPLIT(B107,",",),0,1)+$A$18,$A$18))/4,0),ROUNDUP(IF(MOD(B$18+INDEX(_xlfn.TEXTSPLIT(B107,",",),0,2)+$A$18,$A$18)=0,$A$18,MOD(B$18+INDEX(_xlfn.TEXTSPLIT(B107,",",),0,2)+$A$18,$A$18))/4,0)))+(INDEX($AD$2:$AK$9,ROUNDUP(IF(MOD($A52+INDEX(_xlfn.TEXTSPLIT(B150,",",),0,1)+$A$18,$A$18)=0,$A$18,MOD($A52+INDEX(_xlfn.TEXTSPLIT(B150,",",),0,1)+$A$18,$A$18))/5,0),ROUNDUP(IF(MOD(B$18+INDEX(_xlfn.TEXTSPLIT(B150,",",),0,2)+$A$18,$A$18)=0,$A$18,MOD(B$18+INDEX(_xlfn.TEXTSPLIT(B150,",",),0,2)+$A$18,$A$18))/5,0)))</f>
        <v>5</v>
      </c>
      <c r="C52" s="1" cm="1">
        <f t="array" aca="1" ref="C52" ca="1">(INDEX($K$2:$T$11,ROUNDUP(IF(MOD($A52+INDEX(_xlfn.TEXTSPLIT(C107,",",),0,1)+$A$18,$A$18)=0,$A$18,MOD($A52+INDEX(_xlfn.TEXTSPLIT(C107,",",),0,1)+$A$18,$A$18))/4,0),ROUNDUP(IF(MOD(C$18+INDEX(_xlfn.TEXTSPLIT(C107,",",),0,2)+$A$18,$A$18)=0,$A$18,MOD(C$18+INDEX(_xlfn.TEXTSPLIT(C107,",",),0,2)+$A$18,$A$18))/4,0)))+(INDEX($AD$2:$AK$9,ROUNDUP(IF(MOD($A52+INDEX(_xlfn.TEXTSPLIT(C150,",",),0,1)+$A$18,$A$18)=0,$A$18,MOD($A52+INDEX(_xlfn.TEXTSPLIT(C150,",",),0,1)+$A$18,$A$18))/5,0),ROUNDUP(IF(MOD(C$18+INDEX(_xlfn.TEXTSPLIT(C150,",",),0,2)+$A$18,$A$18)=0,$A$18,MOD(C$18+INDEX(_xlfn.TEXTSPLIT(C150,",",),0,2)+$A$18,$A$18))/5,0)))</f>
        <v>7</v>
      </c>
      <c r="D52" s="1" cm="1">
        <f t="array" aca="1" ref="D52" ca="1">(INDEX($K$2:$T$11,ROUNDUP(IF(MOD($A52+INDEX(_xlfn.TEXTSPLIT(D107,",",),0,1)+$A$18,$A$18)=0,$A$18,MOD($A52+INDEX(_xlfn.TEXTSPLIT(D107,",",),0,1)+$A$18,$A$18))/4,0),ROUNDUP(IF(MOD(D$18+INDEX(_xlfn.TEXTSPLIT(D107,",",),0,2)+$A$18,$A$18)=0,$A$18,MOD(D$18+INDEX(_xlfn.TEXTSPLIT(D107,",",),0,2)+$A$18,$A$18))/4,0)))+(INDEX($AD$2:$AK$9,ROUNDUP(IF(MOD($A52+INDEX(_xlfn.TEXTSPLIT(D150,",",),0,1)+$A$18,$A$18)=0,$A$18,MOD($A52+INDEX(_xlfn.TEXTSPLIT(D150,",",),0,1)+$A$18,$A$18))/5,0),ROUNDUP(IF(MOD(D$18+INDEX(_xlfn.TEXTSPLIT(D150,",",),0,2)+$A$18,$A$18)=0,$A$18,MOD(D$18+INDEX(_xlfn.TEXTSPLIT(D150,",",),0,2)+$A$18,$A$18))/5,0)))</f>
        <v>7</v>
      </c>
      <c r="E52" s="1" cm="1">
        <f t="array" aca="1" ref="E52" ca="1">(INDEX($K$2:$T$11,ROUNDUP(IF(MOD($A52+INDEX(_xlfn.TEXTSPLIT(E107,",",),0,1)+$A$18,$A$18)=0,$A$18,MOD($A52+INDEX(_xlfn.TEXTSPLIT(E107,",",),0,1)+$A$18,$A$18))/4,0),ROUNDUP(IF(MOD(E$18+INDEX(_xlfn.TEXTSPLIT(E107,",",),0,2)+$A$18,$A$18)=0,$A$18,MOD(E$18+INDEX(_xlfn.TEXTSPLIT(E107,",",),0,2)+$A$18,$A$18))/4,0)))+(INDEX($AD$2:$AK$9,ROUNDUP(IF(MOD($A52+INDEX(_xlfn.TEXTSPLIT(E150,",",),0,1)+$A$18,$A$18)=0,$A$18,MOD($A52+INDEX(_xlfn.TEXTSPLIT(E150,",",),0,1)+$A$18,$A$18))/5,0),ROUNDUP(IF(MOD(E$18+INDEX(_xlfn.TEXTSPLIT(E150,",",),0,2)+$A$18,$A$18)=0,$A$18,MOD(E$18+INDEX(_xlfn.TEXTSPLIT(E150,",",),0,2)+$A$18,$A$18))/5,0)))</f>
        <v>7</v>
      </c>
      <c r="F52" s="1" cm="1">
        <f t="array" aca="1" ref="F52" ca="1">(INDEX($K$2:$T$11,ROUNDUP(IF(MOD($A52+INDEX(_xlfn.TEXTSPLIT(F107,",",),0,1)+$A$18,$A$18)=0,$A$18,MOD($A52+INDEX(_xlfn.TEXTSPLIT(F107,",",),0,1)+$A$18,$A$18))/4,0),ROUNDUP(IF(MOD(F$18+INDEX(_xlfn.TEXTSPLIT(F107,",",),0,2)+$A$18,$A$18)=0,$A$18,MOD(F$18+INDEX(_xlfn.TEXTSPLIT(F107,",",),0,2)+$A$18,$A$18))/4,0)))+(INDEX($AD$2:$AK$9,ROUNDUP(IF(MOD($A52+INDEX(_xlfn.TEXTSPLIT(F150,",",),0,1)+$A$18,$A$18)=0,$A$18,MOD($A52+INDEX(_xlfn.TEXTSPLIT(F150,",",),0,1)+$A$18,$A$18))/5,0),ROUNDUP(IF(MOD(F$18+INDEX(_xlfn.TEXTSPLIT(F150,",",),0,2)+$A$18,$A$18)=0,$A$18,MOD(F$18+INDEX(_xlfn.TEXTSPLIT(F150,",",),0,2)+$A$18,$A$18))/5,0)))</f>
        <v>7</v>
      </c>
      <c r="G52" s="1" cm="1">
        <f t="array" aca="1" ref="G52" ca="1">(INDEX($K$2:$T$11,ROUNDUP(IF(MOD($A52+INDEX(_xlfn.TEXTSPLIT(G107,",",),0,1)+$A$18,$A$18)=0,$A$18,MOD($A52+INDEX(_xlfn.TEXTSPLIT(G107,",",),0,1)+$A$18,$A$18))/4,0),ROUNDUP(IF(MOD(G$18+INDEX(_xlfn.TEXTSPLIT(G107,",",),0,2)+$A$18,$A$18)=0,$A$18,MOD(G$18+INDEX(_xlfn.TEXTSPLIT(G107,",",),0,2)+$A$18,$A$18))/4,0)))+(INDEX($AD$2:$AK$9,ROUNDUP(IF(MOD($A52+INDEX(_xlfn.TEXTSPLIT(G150,",",),0,1)+$A$18,$A$18)=0,$A$18,MOD($A52+INDEX(_xlfn.TEXTSPLIT(G150,",",),0,1)+$A$18,$A$18))/5,0),ROUNDUP(IF(MOD(G$18+INDEX(_xlfn.TEXTSPLIT(G150,",",),0,2)+$A$18,$A$18)=0,$A$18,MOD(G$18+INDEX(_xlfn.TEXTSPLIT(G150,",",),0,2)+$A$18,$A$18))/5,0)))</f>
        <v>7</v>
      </c>
      <c r="H52" s="1" cm="1">
        <f t="array" aca="1" ref="H52" ca="1">(INDEX($K$2:$T$11,ROUNDUP(IF(MOD($A52+INDEX(_xlfn.TEXTSPLIT(H107,",",),0,1)+$A$18,$A$18)=0,$A$18,MOD($A52+INDEX(_xlfn.TEXTSPLIT(H107,",",),0,1)+$A$18,$A$18))/4,0),ROUNDUP(IF(MOD(H$18+INDEX(_xlfn.TEXTSPLIT(H107,",",),0,2)+$A$18,$A$18)=0,$A$18,MOD(H$18+INDEX(_xlfn.TEXTSPLIT(H107,",",),0,2)+$A$18,$A$18))/4,0)))+(INDEX($AD$2:$AK$9,ROUNDUP(IF(MOD($A52+INDEX(_xlfn.TEXTSPLIT(H150,",",),0,1)+$A$18,$A$18)=0,$A$18,MOD($A52+INDEX(_xlfn.TEXTSPLIT(H150,",",),0,1)+$A$18,$A$18))/5,0),ROUNDUP(IF(MOD(H$18+INDEX(_xlfn.TEXTSPLIT(H150,",",),0,2)+$A$18,$A$18)=0,$A$18,MOD(H$18+INDEX(_xlfn.TEXTSPLIT(H150,",",),0,2)+$A$18,$A$18))/5,0)))</f>
        <v>7</v>
      </c>
      <c r="I52" s="1" cm="1">
        <f t="array" aca="1" ref="I52" ca="1">(INDEX($K$2:$T$11,ROUNDUP(IF(MOD($A52+INDEX(_xlfn.TEXTSPLIT(I107,",",),0,1)+$A$18,$A$18)=0,$A$18,MOD($A52+INDEX(_xlfn.TEXTSPLIT(I107,",",),0,1)+$A$18,$A$18))/4,0),ROUNDUP(IF(MOD(I$18+INDEX(_xlfn.TEXTSPLIT(I107,",",),0,2)+$A$18,$A$18)=0,$A$18,MOD(I$18+INDEX(_xlfn.TEXTSPLIT(I107,",",),0,2)+$A$18,$A$18))/4,0)))+(INDEX($AD$2:$AK$9,ROUNDUP(IF(MOD($A52+INDEX(_xlfn.TEXTSPLIT(I150,",",),0,1)+$A$18,$A$18)=0,$A$18,MOD($A52+INDEX(_xlfn.TEXTSPLIT(I150,",",),0,1)+$A$18,$A$18))/5,0),ROUNDUP(IF(MOD(I$18+INDEX(_xlfn.TEXTSPLIT(I150,",",),0,2)+$A$18,$A$18)=0,$A$18,MOD(I$18+INDEX(_xlfn.TEXTSPLIT(I150,",",),0,2)+$A$18,$A$18))/5,0)))</f>
        <v>7</v>
      </c>
      <c r="J52" s="1" cm="1">
        <f t="array" aca="1" ref="J52" ca="1">(INDEX($K$2:$T$11,ROUNDUP(IF(MOD($A52+INDEX(_xlfn.TEXTSPLIT(J107,",",),0,1)+$A$18,$A$18)=0,$A$18,MOD($A52+INDEX(_xlfn.TEXTSPLIT(J107,",",),0,1)+$A$18,$A$18))/4,0),ROUNDUP(IF(MOD(J$18+INDEX(_xlfn.TEXTSPLIT(J107,",",),0,2)+$A$18,$A$18)=0,$A$18,MOD(J$18+INDEX(_xlfn.TEXTSPLIT(J107,",",),0,2)+$A$18,$A$18))/4,0)))+(INDEX($AD$2:$AK$9,ROUNDUP(IF(MOD($A52+INDEX(_xlfn.TEXTSPLIT(J150,",",),0,1)+$A$18,$A$18)=0,$A$18,MOD($A52+INDEX(_xlfn.TEXTSPLIT(J150,",",),0,1)+$A$18,$A$18))/5,0),ROUNDUP(IF(MOD(J$18+INDEX(_xlfn.TEXTSPLIT(J150,",",),0,2)+$A$18,$A$18)=0,$A$18,MOD(J$18+INDEX(_xlfn.TEXTSPLIT(J150,",",),0,2)+$A$18,$A$18))/5,0)))</f>
        <v>3</v>
      </c>
      <c r="K52" s="1" cm="1">
        <f t="array" aca="1" ref="K52" ca="1">(INDEX($K$2:$T$11,ROUNDUP(IF(MOD($A52+INDEX(_xlfn.TEXTSPLIT(K107,",",),0,1)+$A$18,$A$18)=0,$A$18,MOD($A52+INDEX(_xlfn.TEXTSPLIT(K107,",",),0,1)+$A$18,$A$18))/4,0),ROUNDUP(IF(MOD(K$18+INDEX(_xlfn.TEXTSPLIT(K107,",",),0,2)+$A$18,$A$18)=0,$A$18,MOD(K$18+INDEX(_xlfn.TEXTSPLIT(K107,",",),0,2)+$A$18,$A$18))/4,0)))+(INDEX($AD$2:$AK$9,ROUNDUP(IF(MOD($A52+INDEX(_xlfn.TEXTSPLIT(K150,",",),0,1)+$A$18,$A$18)=0,$A$18,MOD($A52+INDEX(_xlfn.TEXTSPLIT(K150,",",),0,1)+$A$18,$A$18))/5,0),ROUNDUP(IF(MOD(K$18+INDEX(_xlfn.TEXTSPLIT(K150,",",),0,2)+$A$18,$A$18)=0,$A$18,MOD(K$18+INDEX(_xlfn.TEXTSPLIT(K150,",",),0,2)+$A$18,$A$18))/5,0)))</f>
        <v>3</v>
      </c>
      <c r="L52" s="1" cm="1">
        <f t="array" aca="1" ref="L52" ca="1">(INDEX($K$2:$T$11,ROUNDUP(IF(MOD($A52+INDEX(_xlfn.TEXTSPLIT(L107,",",),0,1)+$A$18,$A$18)=0,$A$18,MOD($A52+INDEX(_xlfn.TEXTSPLIT(L107,",",),0,1)+$A$18,$A$18))/4,0),ROUNDUP(IF(MOD(L$18+INDEX(_xlfn.TEXTSPLIT(L107,",",),0,2)+$A$18,$A$18)=0,$A$18,MOD(L$18+INDEX(_xlfn.TEXTSPLIT(L107,",",),0,2)+$A$18,$A$18))/4,0)))+(INDEX($AD$2:$AK$9,ROUNDUP(IF(MOD($A52+INDEX(_xlfn.TEXTSPLIT(L150,",",),0,1)+$A$18,$A$18)=0,$A$18,MOD($A52+INDEX(_xlfn.TEXTSPLIT(L150,",",),0,1)+$A$18,$A$18))/5,0),ROUNDUP(IF(MOD(L$18+INDEX(_xlfn.TEXTSPLIT(L150,",",),0,2)+$A$18,$A$18)=0,$A$18,MOD(L$18+INDEX(_xlfn.TEXTSPLIT(L150,",",),0,2)+$A$18,$A$18))/5,0)))</f>
        <v>3</v>
      </c>
      <c r="M52" s="1" cm="1">
        <f t="array" aca="1" ref="M52" ca="1">(INDEX($K$2:$T$11,ROUNDUP(IF(MOD($A52+INDEX(_xlfn.TEXTSPLIT(M107,",",),0,1)+$A$18,$A$18)=0,$A$18,MOD($A52+INDEX(_xlfn.TEXTSPLIT(M107,",",),0,1)+$A$18,$A$18))/4,0),ROUNDUP(IF(MOD(M$18+INDEX(_xlfn.TEXTSPLIT(M107,",",),0,2)+$A$18,$A$18)=0,$A$18,MOD(M$18+INDEX(_xlfn.TEXTSPLIT(M107,",",),0,2)+$A$18,$A$18))/4,0)))+(INDEX($AD$2:$AK$9,ROUNDUP(IF(MOD($A52+INDEX(_xlfn.TEXTSPLIT(M150,",",),0,1)+$A$18,$A$18)=0,$A$18,MOD($A52+INDEX(_xlfn.TEXTSPLIT(M150,",",),0,1)+$A$18,$A$18))/5,0),ROUNDUP(IF(MOD(M$18+INDEX(_xlfn.TEXTSPLIT(M150,",",),0,2)+$A$18,$A$18)=0,$A$18,MOD(M$18+INDEX(_xlfn.TEXTSPLIT(M150,",",),0,2)+$A$18,$A$18))/5,0)))</f>
        <v>3</v>
      </c>
      <c r="N52" s="1" cm="1">
        <f t="array" aca="1" ref="N52" ca="1">(INDEX($K$2:$T$11,ROUNDUP(IF(MOD($A52+INDEX(_xlfn.TEXTSPLIT(N107,",",),0,1)+$A$18,$A$18)=0,$A$18,MOD($A52+INDEX(_xlfn.TEXTSPLIT(N107,",",),0,1)+$A$18,$A$18))/4,0),ROUNDUP(IF(MOD(N$18+INDEX(_xlfn.TEXTSPLIT(N107,",",),0,2)+$A$18,$A$18)=0,$A$18,MOD(N$18+INDEX(_xlfn.TEXTSPLIT(N107,",",),0,2)+$A$18,$A$18))/4,0)))+(INDEX($AD$2:$AK$9,ROUNDUP(IF(MOD($A52+INDEX(_xlfn.TEXTSPLIT(N150,",",),0,1)+$A$18,$A$18)=0,$A$18,MOD($A52+INDEX(_xlfn.TEXTSPLIT(N150,",",),0,1)+$A$18,$A$18))/5,0),ROUNDUP(IF(MOD(N$18+INDEX(_xlfn.TEXTSPLIT(N150,",",),0,2)+$A$18,$A$18)=0,$A$18,MOD(N$18+INDEX(_xlfn.TEXTSPLIT(N150,",",),0,2)+$A$18,$A$18))/5,0)))</f>
        <v>3</v>
      </c>
      <c r="O52" s="1" cm="1">
        <f t="array" aca="1" ref="O52" ca="1">(INDEX($K$2:$T$11,ROUNDUP(IF(MOD($A52+INDEX(_xlfn.TEXTSPLIT(O107,",",),0,1)+$A$18,$A$18)=0,$A$18,MOD($A52+INDEX(_xlfn.TEXTSPLIT(O107,",",),0,1)+$A$18,$A$18))/4,0),ROUNDUP(IF(MOD(O$18+INDEX(_xlfn.TEXTSPLIT(O107,",",),0,2)+$A$18,$A$18)=0,$A$18,MOD(O$18+INDEX(_xlfn.TEXTSPLIT(O107,",",),0,2)+$A$18,$A$18))/4,0)))+(INDEX($AD$2:$AK$9,ROUNDUP(IF(MOD($A52+INDEX(_xlfn.TEXTSPLIT(O150,",",),0,1)+$A$18,$A$18)=0,$A$18,MOD($A52+INDEX(_xlfn.TEXTSPLIT(O150,",",),0,1)+$A$18,$A$18))/5,0),ROUNDUP(IF(MOD(O$18+INDEX(_xlfn.TEXTSPLIT(O150,",",),0,2)+$A$18,$A$18)=0,$A$18,MOD(O$18+INDEX(_xlfn.TEXTSPLIT(O150,",",),0,2)+$A$18,$A$18))/5,0)))</f>
        <v>3</v>
      </c>
      <c r="P52" s="1" cm="1">
        <f t="array" aca="1" ref="P52" ca="1">(INDEX($K$2:$T$11,ROUNDUP(IF(MOD($A52+INDEX(_xlfn.TEXTSPLIT(P107,",",),0,1)+$A$18,$A$18)=0,$A$18,MOD($A52+INDEX(_xlfn.TEXTSPLIT(P107,",",),0,1)+$A$18,$A$18))/4,0),ROUNDUP(IF(MOD(P$18+INDEX(_xlfn.TEXTSPLIT(P107,",",),0,2)+$A$18,$A$18)=0,$A$18,MOD(P$18+INDEX(_xlfn.TEXTSPLIT(P107,",",),0,2)+$A$18,$A$18))/4,0)))+(INDEX($AD$2:$AK$9,ROUNDUP(IF(MOD($A52+INDEX(_xlfn.TEXTSPLIT(P150,",",),0,1)+$A$18,$A$18)=0,$A$18,MOD($A52+INDEX(_xlfn.TEXTSPLIT(P150,",",),0,1)+$A$18,$A$18))/5,0),ROUNDUP(IF(MOD(P$18+INDEX(_xlfn.TEXTSPLIT(P150,",",),0,2)+$A$18,$A$18)=0,$A$18,MOD(P$18+INDEX(_xlfn.TEXTSPLIT(P150,",",),0,2)+$A$18,$A$18))/5,0)))</f>
        <v>3</v>
      </c>
      <c r="Q52" s="1" cm="1">
        <f t="array" aca="1" ref="Q52" ca="1">(INDEX($K$2:$T$11,ROUNDUP(IF(MOD($A52+INDEX(_xlfn.TEXTSPLIT(Q107,",",),0,1)+$A$18,$A$18)=0,$A$18,MOD($A52+INDEX(_xlfn.TEXTSPLIT(Q107,",",),0,1)+$A$18,$A$18))/4,0),ROUNDUP(IF(MOD(Q$18+INDEX(_xlfn.TEXTSPLIT(Q107,",",),0,2)+$A$18,$A$18)=0,$A$18,MOD(Q$18+INDEX(_xlfn.TEXTSPLIT(Q107,",",),0,2)+$A$18,$A$18))/4,0)))+(INDEX($AD$2:$AK$9,ROUNDUP(IF(MOD($A52+INDEX(_xlfn.TEXTSPLIT(Q150,",",),0,1)+$A$18,$A$18)=0,$A$18,MOD($A52+INDEX(_xlfn.TEXTSPLIT(Q150,",",),0,1)+$A$18,$A$18))/5,0),ROUNDUP(IF(MOD(Q$18+INDEX(_xlfn.TEXTSPLIT(Q150,",",),0,2)+$A$18,$A$18)=0,$A$18,MOD(Q$18+INDEX(_xlfn.TEXTSPLIT(Q150,",",),0,2)+$A$18,$A$18))/5,0)))</f>
        <v>7</v>
      </c>
      <c r="R52" s="1" cm="1">
        <f t="array" aca="1" ref="R52" ca="1">(INDEX($K$2:$T$11,ROUNDUP(IF(MOD($A52+INDEX(_xlfn.TEXTSPLIT(R107,",",),0,1)+$A$18,$A$18)=0,$A$18,MOD($A52+INDEX(_xlfn.TEXTSPLIT(R107,",",),0,1)+$A$18,$A$18))/4,0),ROUNDUP(IF(MOD(R$18+INDEX(_xlfn.TEXTSPLIT(R107,",",),0,2)+$A$18,$A$18)=0,$A$18,MOD(R$18+INDEX(_xlfn.TEXTSPLIT(R107,",",),0,2)+$A$18,$A$18))/4,0)))+(INDEX($AD$2:$AK$9,ROUNDUP(IF(MOD($A52+INDEX(_xlfn.TEXTSPLIT(R150,",",),0,1)+$A$18,$A$18)=0,$A$18,MOD($A52+INDEX(_xlfn.TEXTSPLIT(R150,",",),0,1)+$A$18,$A$18))/5,0),ROUNDUP(IF(MOD(R$18+INDEX(_xlfn.TEXTSPLIT(R150,",",),0,2)+$A$18,$A$18)=0,$A$18,MOD(R$18+INDEX(_xlfn.TEXTSPLIT(R150,",",),0,2)+$A$18,$A$18))/5,0)))</f>
        <v>7</v>
      </c>
      <c r="S52" s="1" cm="1">
        <f t="array" aca="1" ref="S52" ca="1">(INDEX($K$2:$T$11,ROUNDUP(IF(MOD($A52+INDEX(_xlfn.TEXTSPLIT(S107,",",),0,1)+$A$18,$A$18)=0,$A$18,MOD($A52+INDEX(_xlfn.TEXTSPLIT(S107,",",),0,1)+$A$18,$A$18))/4,0),ROUNDUP(IF(MOD(S$18+INDEX(_xlfn.TEXTSPLIT(S107,",",),0,2)+$A$18,$A$18)=0,$A$18,MOD(S$18+INDEX(_xlfn.TEXTSPLIT(S107,",",),0,2)+$A$18,$A$18))/4,0)))+(INDEX($AD$2:$AK$9,ROUNDUP(IF(MOD($A52+INDEX(_xlfn.TEXTSPLIT(S150,",",),0,1)+$A$18,$A$18)=0,$A$18,MOD($A52+INDEX(_xlfn.TEXTSPLIT(S150,",",),0,1)+$A$18,$A$18))/5,0),ROUNDUP(IF(MOD(S$18+INDEX(_xlfn.TEXTSPLIT(S150,",",),0,2)+$A$18,$A$18)=0,$A$18,MOD(S$18+INDEX(_xlfn.TEXTSPLIT(S150,",",),0,2)+$A$18,$A$18))/5,0)))</f>
        <v>7</v>
      </c>
      <c r="T52" s="1" cm="1">
        <f t="array" aca="1" ref="T52" ca="1">(INDEX($K$2:$T$11,ROUNDUP(IF(MOD($A52+INDEX(_xlfn.TEXTSPLIT(T107,",",),0,1)+$A$18,$A$18)=0,$A$18,MOD($A52+INDEX(_xlfn.TEXTSPLIT(T107,",",),0,1)+$A$18,$A$18))/4,0),ROUNDUP(IF(MOD(T$18+INDEX(_xlfn.TEXTSPLIT(T107,",",),0,2)+$A$18,$A$18)=0,$A$18,MOD(T$18+INDEX(_xlfn.TEXTSPLIT(T107,",",),0,2)+$A$18,$A$18))/4,0)))+(INDEX($AD$2:$AK$9,ROUNDUP(IF(MOD($A52+INDEX(_xlfn.TEXTSPLIT(T150,",",),0,1)+$A$18,$A$18)=0,$A$18,MOD($A52+INDEX(_xlfn.TEXTSPLIT(T150,",",),0,1)+$A$18,$A$18))/5,0),ROUNDUP(IF(MOD(T$18+INDEX(_xlfn.TEXTSPLIT(T150,",",),0,2)+$A$18,$A$18)=0,$A$18,MOD(T$18+INDEX(_xlfn.TEXTSPLIT(T150,",",),0,2)+$A$18,$A$18))/5,0)))</f>
        <v>7</v>
      </c>
      <c r="U52" s="1" cm="1">
        <f t="array" aca="1" ref="U52" ca="1">(INDEX($K$2:$T$11,ROUNDUP(IF(MOD($A52+INDEX(_xlfn.TEXTSPLIT(U107,",",),0,1)+$A$18,$A$18)=0,$A$18,MOD($A52+INDEX(_xlfn.TEXTSPLIT(U107,",",),0,1)+$A$18,$A$18))/4,0),ROUNDUP(IF(MOD(U$18+INDEX(_xlfn.TEXTSPLIT(U107,",",),0,2)+$A$18,$A$18)=0,$A$18,MOD(U$18+INDEX(_xlfn.TEXTSPLIT(U107,",",),0,2)+$A$18,$A$18))/4,0)))+(INDEX($AD$2:$AK$9,ROUNDUP(IF(MOD($A52+INDEX(_xlfn.TEXTSPLIT(U150,",",),0,1)+$A$18,$A$18)=0,$A$18,MOD($A52+INDEX(_xlfn.TEXTSPLIT(U150,",",),0,1)+$A$18,$A$18))/5,0),ROUNDUP(IF(MOD(U$18+INDEX(_xlfn.TEXTSPLIT(U150,",",),0,2)+$A$18,$A$18)=0,$A$18,MOD(U$18+INDEX(_xlfn.TEXTSPLIT(U150,",",),0,2)+$A$18,$A$18))/5,0)))</f>
        <v>7</v>
      </c>
      <c r="V52" s="1" cm="1">
        <f t="array" aca="1" ref="V52" ca="1">(INDEX($K$2:$T$11,ROUNDUP(IF(MOD($A52+INDEX(_xlfn.TEXTSPLIT(V107,",",),0,1)+$A$18,$A$18)=0,$A$18,MOD($A52+INDEX(_xlfn.TEXTSPLIT(V107,",",),0,1)+$A$18,$A$18))/4,0),ROUNDUP(IF(MOD(V$18+INDEX(_xlfn.TEXTSPLIT(V107,",",),0,2)+$A$18,$A$18)=0,$A$18,MOD(V$18+INDEX(_xlfn.TEXTSPLIT(V107,",",),0,2)+$A$18,$A$18))/4,0)))+(INDEX($AD$2:$AK$9,ROUNDUP(IF(MOD($A52+INDEX(_xlfn.TEXTSPLIT(V150,",",),0,1)+$A$18,$A$18)=0,$A$18,MOD($A52+INDEX(_xlfn.TEXTSPLIT(V150,",",),0,1)+$A$18,$A$18))/5,0),ROUNDUP(IF(MOD(V$18+INDEX(_xlfn.TEXTSPLIT(V150,",",),0,2)+$A$18,$A$18)=0,$A$18,MOD(V$18+INDEX(_xlfn.TEXTSPLIT(V150,",",),0,2)+$A$18,$A$18))/5,0)))</f>
        <v>7</v>
      </c>
      <c r="W52" s="1" cm="1">
        <f t="array" aca="1" ref="W52" ca="1">(INDEX($K$2:$T$11,ROUNDUP(IF(MOD($A52+INDEX(_xlfn.TEXTSPLIT(W107,",",),0,1)+$A$18,$A$18)=0,$A$18,MOD($A52+INDEX(_xlfn.TEXTSPLIT(W107,",",),0,1)+$A$18,$A$18))/4,0),ROUNDUP(IF(MOD(W$18+INDEX(_xlfn.TEXTSPLIT(W107,",",),0,2)+$A$18,$A$18)=0,$A$18,MOD(W$18+INDEX(_xlfn.TEXTSPLIT(W107,",",),0,2)+$A$18,$A$18))/4,0)))+(INDEX($AD$2:$AK$9,ROUNDUP(IF(MOD($A52+INDEX(_xlfn.TEXTSPLIT(W150,",",),0,1)+$A$18,$A$18)=0,$A$18,MOD($A52+INDEX(_xlfn.TEXTSPLIT(W150,",",),0,1)+$A$18,$A$18))/5,0),ROUNDUP(IF(MOD(W$18+INDEX(_xlfn.TEXTSPLIT(W150,",",),0,2)+$A$18,$A$18)=0,$A$18,MOD(W$18+INDEX(_xlfn.TEXTSPLIT(W150,",",),0,2)+$A$18,$A$18))/5,0)))</f>
        <v>7</v>
      </c>
      <c r="X52" s="1" cm="1">
        <f t="array" aca="1" ref="X52" ca="1">(INDEX($K$2:$T$11,ROUNDUP(IF(MOD($A52+INDEX(_xlfn.TEXTSPLIT(X107,",",),0,1)+$A$18,$A$18)=0,$A$18,MOD($A52+INDEX(_xlfn.TEXTSPLIT(X107,",",),0,1)+$A$18,$A$18))/4,0),ROUNDUP(IF(MOD(X$18+INDEX(_xlfn.TEXTSPLIT(X107,",",),0,2)+$A$18,$A$18)=0,$A$18,MOD(X$18+INDEX(_xlfn.TEXTSPLIT(X107,",",),0,2)+$A$18,$A$18))/4,0)))+(INDEX($AD$2:$AK$9,ROUNDUP(IF(MOD($A52+INDEX(_xlfn.TEXTSPLIT(X150,",",),0,1)+$A$18,$A$18)=0,$A$18,MOD($A52+INDEX(_xlfn.TEXTSPLIT(X150,",",),0,1)+$A$18,$A$18))/5,0),ROUNDUP(IF(MOD(X$18+INDEX(_xlfn.TEXTSPLIT(X150,",",),0,2)+$A$18,$A$18)=0,$A$18,MOD(X$18+INDEX(_xlfn.TEXTSPLIT(X150,",",),0,2)+$A$18,$A$18))/5,0)))</f>
        <v>7</v>
      </c>
      <c r="Y52" s="1" cm="1">
        <f t="array" aca="1" ref="Y52" ca="1">(INDEX($K$2:$T$11,ROUNDUP(IF(MOD($A52+INDEX(_xlfn.TEXTSPLIT(Y107,",",),0,1)+$A$18,$A$18)=0,$A$18,MOD($A52+INDEX(_xlfn.TEXTSPLIT(Y107,",",),0,1)+$A$18,$A$18))/4,0),ROUNDUP(IF(MOD(Y$18+INDEX(_xlfn.TEXTSPLIT(Y107,",",),0,2)+$A$18,$A$18)=0,$A$18,MOD(Y$18+INDEX(_xlfn.TEXTSPLIT(Y107,",",),0,2)+$A$18,$A$18))/4,0)))+(INDEX($AD$2:$AK$9,ROUNDUP(IF(MOD($A52+INDEX(_xlfn.TEXTSPLIT(Y150,",",),0,1)+$A$18,$A$18)=0,$A$18,MOD($A52+INDEX(_xlfn.TEXTSPLIT(Y150,",",),0,1)+$A$18,$A$18))/5,0),ROUNDUP(IF(MOD(Y$18+INDEX(_xlfn.TEXTSPLIT(Y150,",",),0,2)+$A$18,$A$18)=0,$A$18,MOD(Y$18+INDEX(_xlfn.TEXTSPLIT(Y150,",",),0,2)+$A$18,$A$18))/5,0)))</f>
        <v>7</v>
      </c>
      <c r="Z52" s="1" cm="1">
        <f t="array" aca="1" ref="Z52" ca="1">(INDEX($K$2:$T$11,ROUNDUP(IF(MOD($A52+INDEX(_xlfn.TEXTSPLIT(Z107,",",),0,1)+$A$18,$A$18)=0,$A$18,MOD($A52+INDEX(_xlfn.TEXTSPLIT(Z107,",",),0,1)+$A$18,$A$18))/4,0),ROUNDUP(IF(MOD(Z$18+INDEX(_xlfn.TEXTSPLIT(Z107,",",),0,2)+$A$18,$A$18)=0,$A$18,MOD(Z$18+INDEX(_xlfn.TEXTSPLIT(Z107,",",),0,2)+$A$18,$A$18))/4,0)))+(INDEX($AD$2:$AK$9,ROUNDUP(IF(MOD($A52+INDEX(_xlfn.TEXTSPLIT(Z150,",",),0,1)+$A$18,$A$18)=0,$A$18,MOD($A52+INDEX(_xlfn.TEXTSPLIT(Z150,",",),0,1)+$A$18,$A$18))/5,0),ROUNDUP(IF(MOD(Z$18+INDEX(_xlfn.TEXTSPLIT(Z150,",",),0,2)+$A$18,$A$18)=0,$A$18,MOD(Z$18+INDEX(_xlfn.TEXTSPLIT(Z150,",",),0,2)+$A$18,$A$18))/5,0)))</f>
        <v>7</v>
      </c>
      <c r="AA52" s="1" cm="1">
        <f t="array" aca="1" ref="AA52" ca="1">(INDEX($K$2:$T$11,ROUNDUP(IF(MOD($A52+INDEX(_xlfn.TEXTSPLIT(AA107,",",),0,1)+$A$18,$A$18)=0,$A$18,MOD($A52+INDEX(_xlfn.TEXTSPLIT(AA107,",",),0,1)+$A$18,$A$18))/4,0),ROUNDUP(IF(MOD(AA$18+INDEX(_xlfn.TEXTSPLIT(AA107,",",),0,2)+$A$18,$A$18)=0,$A$18,MOD(AA$18+INDEX(_xlfn.TEXTSPLIT(AA107,",",),0,2)+$A$18,$A$18))/4,0)))+(INDEX($AD$2:$AK$9,ROUNDUP(IF(MOD($A52+INDEX(_xlfn.TEXTSPLIT(AA150,",",),0,1)+$A$18,$A$18)=0,$A$18,MOD($A52+INDEX(_xlfn.TEXTSPLIT(AA150,",",),0,1)+$A$18,$A$18))/5,0),ROUNDUP(IF(MOD(AA$18+INDEX(_xlfn.TEXTSPLIT(AA150,",",),0,2)+$A$18,$A$18)=0,$A$18,MOD(AA$18+INDEX(_xlfn.TEXTSPLIT(AA150,",",),0,2)+$A$18,$A$18))/5,0)))</f>
        <v>8</v>
      </c>
      <c r="AB52" s="1" cm="1">
        <f t="array" aca="1" ref="AB52" ca="1">(INDEX($K$2:$T$11,ROUNDUP(IF(MOD($A52+INDEX(_xlfn.TEXTSPLIT(AB107,",",),0,1)+$A$18,$A$18)=0,$A$18,MOD($A52+INDEX(_xlfn.TEXTSPLIT(AB107,",",),0,1)+$A$18,$A$18))/4,0),ROUNDUP(IF(MOD(AB$18+INDEX(_xlfn.TEXTSPLIT(AB107,",",),0,2)+$A$18,$A$18)=0,$A$18,MOD(AB$18+INDEX(_xlfn.TEXTSPLIT(AB107,",",),0,2)+$A$18,$A$18))/4,0)))+(INDEX($AD$2:$AK$9,ROUNDUP(IF(MOD($A52+INDEX(_xlfn.TEXTSPLIT(AB150,",",),0,1)+$A$18,$A$18)=0,$A$18,MOD($A52+INDEX(_xlfn.TEXTSPLIT(AB150,",",),0,1)+$A$18,$A$18))/5,0),ROUNDUP(IF(MOD(AB$18+INDEX(_xlfn.TEXTSPLIT(AB150,",",),0,2)+$A$18,$A$18)=0,$A$18,MOD(AB$18+INDEX(_xlfn.TEXTSPLIT(AB150,",",),0,2)+$A$18,$A$18))/5,0)))</f>
        <v>8</v>
      </c>
      <c r="AC52" s="1" cm="1">
        <f t="array" aca="1" ref="AC52" ca="1">(INDEX($K$2:$T$11,ROUNDUP(IF(MOD($A52+INDEX(_xlfn.TEXTSPLIT(AC107,",",),0,1)+$A$18,$A$18)=0,$A$18,MOD($A52+INDEX(_xlfn.TEXTSPLIT(AC107,",",),0,1)+$A$18,$A$18))/4,0),ROUNDUP(IF(MOD(AC$18+INDEX(_xlfn.TEXTSPLIT(AC107,",",),0,2)+$A$18,$A$18)=0,$A$18,MOD(AC$18+INDEX(_xlfn.TEXTSPLIT(AC107,",",),0,2)+$A$18,$A$18))/4,0)))+(INDEX($AD$2:$AK$9,ROUNDUP(IF(MOD($A52+INDEX(_xlfn.TEXTSPLIT(AC150,",",),0,1)+$A$18,$A$18)=0,$A$18,MOD($A52+INDEX(_xlfn.TEXTSPLIT(AC150,",",),0,1)+$A$18,$A$18))/5,0),ROUNDUP(IF(MOD(AC$18+INDEX(_xlfn.TEXTSPLIT(AC150,",",),0,2)+$A$18,$A$18)=0,$A$18,MOD(AC$18+INDEX(_xlfn.TEXTSPLIT(AC150,",",),0,2)+$A$18,$A$18))/5,0)))</f>
        <v>8</v>
      </c>
      <c r="AD52" s="1" cm="1">
        <f t="array" aca="1" ref="AD52" ca="1">(INDEX($K$2:$T$11,ROUNDUP(IF(MOD($A52+INDEX(_xlfn.TEXTSPLIT(AD107,",",),0,1)+$A$18,$A$18)=0,$A$18,MOD($A52+INDEX(_xlfn.TEXTSPLIT(AD107,",",),0,1)+$A$18,$A$18))/4,0),ROUNDUP(IF(MOD(AD$18+INDEX(_xlfn.TEXTSPLIT(AD107,",",),0,2)+$A$18,$A$18)=0,$A$18,MOD(AD$18+INDEX(_xlfn.TEXTSPLIT(AD107,",",),0,2)+$A$18,$A$18))/4,0)))+(INDEX($AD$2:$AK$9,ROUNDUP(IF(MOD($A52+INDEX(_xlfn.TEXTSPLIT(AD150,",",),0,1)+$A$18,$A$18)=0,$A$18,MOD($A52+INDEX(_xlfn.TEXTSPLIT(AD150,",",),0,1)+$A$18,$A$18))/5,0),ROUNDUP(IF(MOD(AD$18+INDEX(_xlfn.TEXTSPLIT(AD150,",",),0,2)+$A$18,$A$18)=0,$A$18,MOD(AD$18+INDEX(_xlfn.TEXTSPLIT(AD150,",",),0,2)+$A$18,$A$18))/5,0)))</f>
        <v>8</v>
      </c>
      <c r="AE52" s="1" cm="1">
        <f t="array" aca="1" ref="AE52" ca="1">(INDEX($K$2:$T$11,ROUNDUP(IF(MOD($A52+INDEX(_xlfn.TEXTSPLIT(AE107,",",),0,1)+$A$18,$A$18)=0,$A$18,MOD($A52+INDEX(_xlfn.TEXTSPLIT(AE107,",",),0,1)+$A$18,$A$18))/4,0),ROUNDUP(IF(MOD(AE$18+INDEX(_xlfn.TEXTSPLIT(AE107,",",),0,2)+$A$18,$A$18)=0,$A$18,MOD(AE$18+INDEX(_xlfn.TEXTSPLIT(AE107,",",),0,2)+$A$18,$A$18))/4,0)))+(INDEX($AD$2:$AK$9,ROUNDUP(IF(MOD($A52+INDEX(_xlfn.TEXTSPLIT(AE150,",",),0,1)+$A$18,$A$18)=0,$A$18,MOD($A52+INDEX(_xlfn.TEXTSPLIT(AE150,",",),0,1)+$A$18,$A$18))/5,0),ROUNDUP(IF(MOD(AE$18+INDEX(_xlfn.TEXTSPLIT(AE150,",",),0,2)+$A$18,$A$18)=0,$A$18,MOD(AE$18+INDEX(_xlfn.TEXTSPLIT(AE150,",",),0,2)+$A$18,$A$18))/5,0)))</f>
        <v>8</v>
      </c>
      <c r="AF52" s="1" cm="1">
        <f t="array" aca="1" ref="AF52" ca="1">(INDEX($K$2:$T$11,ROUNDUP(IF(MOD($A52+INDEX(_xlfn.TEXTSPLIT(AF107,",",),0,1)+$A$18,$A$18)=0,$A$18,MOD($A52+INDEX(_xlfn.TEXTSPLIT(AF107,",",),0,1)+$A$18,$A$18))/4,0),ROUNDUP(IF(MOD(AF$18+INDEX(_xlfn.TEXTSPLIT(AF107,",",),0,2)+$A$18,$A$18)=0,$A$18,MOD(AF$18+INDEX(_xlfn.TEXTSPLIT(AF107,",",),0,2)+$A$18,$A$18))/4,0)))+(INDEX($AD$2:$AK$9,ROUNDUP(IF(MOD($A52+INDEX(_xlfn.TEXTSPLIT(AF150,",",),0,1)+$A$18,$A$18)=0,$A$18,MOD($A52+INDEX(_xlfn.TEXTSPLIT(AF150,",",),0,1)+$A$18,$A$18))/5,0),ROUNDUP(IF(MOD(AF$18+INDEX(_xlfn.TEXTSPLIT(AF150,",",),0,2)+$A$18,$A$18)=0,$A$18,MOD(AF$18+INDEX(_xlfn.TEXTSPLIT(AF150,",",),0,2)+$A$18,$A$18))/5,0)))</f>
        <v>5</v>
      </c>
      <c r="AG52" s="1" cm="1">
        <f t="array" aca="1" ref="AG52" ca="1">(INDEX($K$2:$T$11,ROUNDUP(IF(MOD($A52+INDEX(_xlfn.TEXTSPLIT(AG107,",",),0,1)+$A$18,$A$18)=0,$A$18,MOD($A52+INDEX(_xlfn.TEXTSPLIT(AG107,",",),0,1)+$A$18,$A$18))/4,0),ROUNDUP(IF(MOD(AG$18+INDEX(_xlfn.TEXTSPLIT(AG107,",",),0,2)+$A$18,$A$18)=0,$A$18,MOD(AG$18+INDEX(_xlfn.TEXTSPLIT(AG107,",",),0,2)+$A$18,$A$18))/4,0)))+(INDEX($AD$2:$AK$9,ROUNDUP(IF(MOD($A52+INDEX(_xlfn.TEXTSPLIT(AG150,",",),0,1)+$A$18,$A$18)=0,$A$18,MOD($A52+INDEX(_xlfn.TEXTSPLIT(AG150,",",),0,1)+$A$18,$A$18))/5,0),ROUNDUP(IF(MOD(AG$18+INDEX(_xlfn.TEXTSPLIT(AG150,",",),0,2)+$A$18,$A$18)=0,$A$18,MOD(AG$18+INDEX(_xlfn.TEXTSPLIT(AG150,",",),0,2)+$A$18,$A$18))/5,0)))</f>
        <v>5</v>
      </c>
      <c r="AH52" s="1" cm="1">
        <f t="array" aca="1" ref="AH52" ca="1">(INDEX($K$2:$T$11,ROUNDUP(IF(MOD($A52+INDEX(_xlfn.TEXTSPLIT(AH107,",",),0,1)+$A$18,$A$18)=0,$A$18,MOD($A52+INDEX(_xlfn.TEXTSPLIT(AH107,",",),0,1)+$A$18,$A$18))/4,0),ROUNDUP(IF(MOD(AH$18+INDEX(_xlfn.TEXTSPLIT(AH107,",",),0,2)+$A$18,$A$18)=0,$A$18,MOD(AH$18+INDEX(_xlfn.TEXTSPLIT(AH107,",",),0,2)+$A$18,$A$18))/4,0)))+(INDEX($AD$2:$AK$9,ROUNDUP(IF(MOD($A52+INDEX(_xlfn.TEXTSPLIT(AH150,",",),0,1)+$A$18,$A$18)=0,$A$18,MOD($A52+INDEX(_xlfn.TEXTSPLIT(AH150,",",),0,1)+$A$18,$A$18))/5,0),ROUNDUP(IF(MOD(AH$18+INDEX(_xlfn.TEXTSPLIT(AH150,",",),0,2)+$A$18,$A$18)=0,$A$18,MOD(AH$18+INDEX(_xlfn.TEXTSPLIT(AH150,",",),0,2)+$A$18,$A$18))/5,0)))</f>
        <v>5</v>
      </c>
      <c r="AI52" s="1" cm="1">
        <f t="array" aca="1" ref="AI52" ca="1">(INDEX($K$2:$T$11,ROUNDUP(IF(MOD($A52+INDEX(_xlfn.TEXTSPLIT(AI107,",",),0,1)+$A$18,$A$18)=0,$A$18,MOD($A52+INDEX(_xlfn.TEXTSPLIT(AI107,",",),0,1)+$A$18,$A$18))/4,0),ROUNDUP(IF(MOD(AI$18+INDEX(_xlfn.TEXTSPLIT(AI107,",",),0,2)+$A$18,$A$18)=0,$A$18,MOD(AI$18+INDEX(_xlfn.TEXTSPLIT(AI107,",",),0,2)+$A$18,$A$18))/4,0)))+(INDEX($AD$2:$AK$9,ROUNDUP(IF(MOD($A52+INDEX(_xlfn.TEXTSPLIT(AI150,",",),0,1)+$A$18,$A$18)=0,$A$18,MOD($A52+INDEX(_xlfn.TEXTSPLIT(AI150,",",),0,1)+$A$18,$A$18))/5,0),ROUNDUP(IF(MOD(AI$18+INDEX(_xlfn.TEXTSPLIT(AI150,",",),0,2)+$A$18,$A$18)=0,$A$18,MOD(AI$18+INDEX(_xlfn.TEXTSPLIT(AI150,",",),0,2)+$A$18,$A$18))/5,0)))</f>
        <v>5</v>
      </c>
      <c r="AJ52" s="1" cm="1">
        <f t="array" aca="1" ref="AJ52" ca="1">(INDEX($K$2:$T$11,ROUNDUP(IF(MOD($A52+INDEX(_xlfn.TEXTSPLIT(AJ107,",",),0,1)+$A$18,$A$18)=0,$A$18,MOD($A52+INDEX(_xlfn.TEXTSPLIT(AJ107,",",),0,1)+$A$18,$A$18))/4,0),ROUNDUP(IF(MOD(AJ$18+INDEX(_xlfn.TEXTSPLIT(AJ107,",",),0,2)+$A$18,$A$18)=0,$A$18,MOD(AJ$18+INDEX(_xlfn.TEXTSPLIT(AJ107,",",),0,2)+$A$18,$A$18))/4,0)))+(INDEX($AD$2:$AK$9,ROUNDUP(IF(MOD($A52+INDEX(_xlfn.TEXTSPLIT(AJ150,",",),0,1)+$A$18,$A$18)=0,$A$18,MOD($A52+INDEX(_xlfn.TEXTSPLIT(AJ150,",",),0,1)+$A$18,$A$18))/5,0),ROUNDUP(IF(MOD(AJ$18+INDEX(_xlfn.TEXTSPLIT(AJ150,",",),0,2)+$A$18,$A$18)=0,$A$18,MOD(AJ$18+INDEX(_xlfn.TEXTSPLIT(AJ150,",",),0,2)+$A$18,$A$18))/5,0)))</f>
        <v>5</v>
      </c>
      <c r="AK52" s="1" cm="1">
        <f t="array" aca="1" ref="AK52" ca="1">(INDEX($K$2:$T$11,ROUNDUP(IF(MOD($A52+INDEX(_xlfn.TEXTSPLIT(AK107,",",),0,1)+$A$18,$A$18)=0,$A$18,MOD($A52+INDEX(_xlfn.TEXTSPLIT(AK107,",",),0,1)+$A$18,$A$18))/4,0),ROUNDUP(IF(MOD(AK$18+INDEX(_xlfn.TEXTSPLIT(AK107,",",),0,2)+$A$18,$A$18)=0,$A$18,MOD(AK$18+INDEX(_xlfn.TEXTSPLIT(AK107,",",),0,2)+$A$18,$A$18))/4,0)))+(INDEX($AD$2:$AK$9,ROUNDUP(IF(MOD($A52+INDEX(_xlfn.TEXTSPLIT(AK150,",",),0,1)+$A$18,$A$18)=0,$A$18,MOD($A52+INDEX(_xlfn.TEXTSPLIT(AK150,",",),0,1)+$A$18,$A$18))/5,0),ROUNDUP(IF(MOD(AK$18+INDEX(_xlfn.TEXTSPLIT(AK150,",",),0,2)+$A$18,$A$18)=0,$A$18,MOD(AK$18+INDEX(_xlfn.TEXTSPLIT(AK150,",",),0,2)+$A$18,$A$18))/5,0)))</f>
        <v>5</v>
      </c>
      <c r="AL52" s="1" cm="1">
        <f t="array" aca="1" ref="AL52" ca="1">(INDEX($K$2:$T$11,ROUNDUP(IF(MOD($A52+INDEX(_xlfn.TEXTSPLIT(AL107,",",),0,1)+$A$18,$A$18)=0,$A$18,MOD($A52+INDEX(_xlfn.TEXTSPLIT(AL107,",",),0,1)+$A$18,$A$18))/4,0),ROUNDUP(IF(MOD(AL$18+INDEX(_xlfn.TEXTSPLIT(AL107,",",),0,2)+$A$18,$A$18)=0,$A$18,MOD(AL$18+INDEX(_xlfn.TEXTSPLIT(AL107,",",),0,2)+$A$18,$A$18))/4,0)))+(INDEX($AD$2:$AK$9,ROUNDUP(IF(MOD($A52+INDEX(_xlfn.TEXTSPLIT(AL150,",",),0,1)+$A$18,$A$18)=0,$A$18,MOD($A52+INDEX(_xlfn.TEXTSPLIT(AL150,",",),0,1)+$A$18,$A$18))/5,0),ROUNDUP(IF(MOD(AL$18+INDEX(_xlfn.TEXTSPLIT(AL150,",",),0,2)+$A$18,$A$18)=0,$A$18,MOD(AL$18+INDEX(_xlfn.TEXTSPLIT(AL150,",",),0,2)+$A$18,$A$18))/5,0)))</f>
        <v>5</v>
      </c>
      <c r="AM52" s="1" cm="1">
        <f t="array" aca="1" ref="AM52" ca="1">(INDEX($K$2:$T$11,ROUNDUP(IF(MOD($A52+INDEX(_xlfn.TEXTSPLIT(AM107,",",),0,1)+$A$18,$A$18)=0,$A$18,MOD($A52+INDEX(_xlfn.TEXTSPLIT(AM107,",",),0,1)+$A$18,$A$18))/4,0),ROUNDUP(IF(MOD(AM$18+INDEX(_xlfn.TEXTSPLIT(AM107,",",),0,2)+$A$18,$A$18)=0,$A$18,MOD(AM$18+INDEX(_xlfn.TEXTSPLIT(AM107,",",),0,2)+$A$18,$A$18))/4,0)))+(INDEX($AD$2:$AK$9,ROUNDUP(IF(MOD($A52+INDEX(_xlfn.TEXTSPLIT(AM150,",",),0,1)+$A$18,$A$18)=0,$A$18,MOD($A52+INDEX(_xlfn.TEXTSPLIT(AM150,",",),0,1)+$A$18,$A$18))/5,0),ROUNDUP(IF(MOD(AM$18+INDEX(_xlfn.TEXTSPLIT(AM150,",",),0,2)+$A$18,$A$18)=0,$A$18,MOD(AM$18+INDEX(_xlfn.TEXTSPLIT(AM150,",",),0,2)+$A$18,$A$18))/5,0)))</f>
        <v>5</v>
      </c>
      <c r="AN52" s="1" cm="1">
        <f t="array" aca="1" ref="AN52" ca="1">(INDEX($K$2:$T$11,ROUNDUP(IF(MOD($A52+INDEX(_xlfn.TEXTSPLIT(AN107,",",),0,1)+$A$18,$A$18)=0,$A$18,MOD($A52+INDEX(_xlfn.TEXTSPLIT(AN107,",",),0,1)+$A$18,$A$18))/4,0),ROUNDUP(IF(MOD(AN$18+INDEX(_xlfn.TEXTSPLIT(AN107,",",),0,2)+$A$18,$A$18)=0,$A$18,MOD(AN$18+INDEX(_xlfn.TEXTSPLIT(AN107,",",),0,2)+$A$18,$A$18))/4,0)))+(INDEX($AD$2:$AK$9,ROUNDUP(IF(MOD($A52+INDEX(_xlfn.TEXTSPLIT(AN150,",",),0,1)+$A$18,$A$18)=0,$A$18,MOD($A52+INDEX(_xlfn.TEXTSPLIT(AN150,",",),0,1)+$A$18,$A$18))/5,0),ROUNDUP(IF(MOD(AN$18+INDEX(_xlfn.TEXTSPLIT(AN150,",",),0,2)+$A$18,$A$18)=0,$A$18,MOD(AN$18+INDEX(_xlfn.TEXTSPLIT(AN150,",",),0,2)+$A$18,$A$18))/5,0)))</f>
        <v>5</v>
      </c>
      <c r="AO52" s="1" cm="1">
        <f t="array" aca="1" ref="AO52" ca="1">(INDEX($K$2:$T$11,ROUNDUP(IF(MOD($A52+INDEX(_xlfn.TEXTSPLIT(AO107,",",),0,1)+$A$18,$A$18)=0,$A$18,MOD($A52+INDEX(_xlfn.TEXTSPLIT(AO107,",",),0,1)+$A$18,$A$18))/4,0),ROUNDUP(IF(MOD(AO$18+INDEX(_xlfn.TEXTSPLIT(AO107,",",),0,2)+$A$18,$A$18)=0,$A$18,MOD(AO$18+INDEX(_xlfn.TEXTSPLIT(AO107,",",),0,2)+$A$18,$A$18))/4,0)))+(INDEX($AD$2:$AK$9,ROUNDUP(IF(MOD($A52+INDEX(_xlfn.TEXTSPLIT(AO150,",",),0,1)+$A$18,$A$18)=0,$A$18,MOD($A52+INDEX(_xlfn.TEXTSPLIT(AO150,",",),0,1)+$A$18,$A$18))/5,0),ROUNDUP(IF(MOD(AO$18+INDEX(_xlfn.TEXTSPLIT(AO150,",",),0,2)+$A$18,$A$18)=0,$A$18,MOD(AO$18+INDEX(_xlfn.TEXTSPLIT(AO150,",",),0,2)+$A$18,$A$18))/5,0)))</f>
        <v>7</v>
      </c>
    </row>
    <row r="53" spans="1:41" ht="12.75">
      <c r="A53" s="1">
        <v>35</v>
      </c>
      <c r="B53" s="1" cm="1">
        <f t="array" aca="1" ref="B53" ca="1">(INDEX($K$2:$T$11,ROUNDUP(IF(MOD($A53+INDEX(_xlfn.TEXTSPLIT(B108,",",),0,1)+$A$18,$A$18)=0,$A$18,MOD($A53+INDEX(_xlfn.TEXTSPLIT(B108,",",),0,1)+$A$18,$A$18))/4,0),ROUNDUP(IF(MOD(B$18+INDEX(_xlfn.TEXTSPLIT(B108,",",),0,2)+$A$18,$A$18)=0,$A$18,MOD(B$18+INDEX(_xlfn.TEXTSPLIT(B108,",",),0,2)+$A$18,$A$18))/4,0)))+(INDEX($AD$2:$AK$9,ROUNDUP(IF(MOD($A53+INDEX(_xlfn.TEXTSPLIT(B151,",",),0,1)+$A$18,$A$18)=0,$A$18,MOD($A53+INDEX(_xlfn.TEXTSPLIT(B151,",",),0,1)+$A$18,$A$18))/5,0),ROUNDUP(IF(MOD(B$18+INDEX(_xlfn.TEXTSPLIT(B151,",",),0,2)+$A$18,$A$18)=0,$A$18,MOD(B$18+INDEX(_xlfn.TEXTSPLIT(B151,",",),0,2)+$A$18,$A$18))/5,0)))</f>
        <v>7</v>
      </c>
      <c r="C53" s="1" cm="1">
        <f t="array" aca="1" ref="C53" ca="1">(INDEX($K$2:$T$11,ROUNDUP(IF(MOD($A53+INDEX(_xlfn.TEXTSPLIT(C108,",",),0,1)+$A$18,$A$18)=0,$A$18,MOD($A53+INDEX(_xlfn.TEXTSPLIT(C108,",",),0,1)+$A$18,$A$18))/4,0),ROUNDUP(IF(MOD(C$18+INDEX(_xlfn.TEXTSPLIT(C108,",",),0,2)+$A$18,$A$18)=0,$A$18,MOD(C$18+INDEX(_xlfn.TEXTSPLIT(C108,",",),0,2)+$A$18,$A$18))/4,0)))+(INDEX($AD$2:$AK$9,ROUNDUP(IF(MOD($A53+INDEX(_xlfn.TEXTSPLIT(C151,",",),0,1)+$A$18,$A$18)=0,$A$18,MOD($A53+INDEX(_xlfn.TEXTSPLIT(C151,",",),0,1)+$A$18,$A$18))/5,0),ROUNDUP(IF(MOD(C$18+INDEX(_xlfn.TEXTSPLIT(C151,",",),0,2)+$A$18,$A$18)=0,$A$18,MOD(C$18+INDEX(_xlfn.TEXTSPLIT(C151,",",),0,2)+$A$18,$A$18))/5,0)))</f>
        <v>5</v>
      </c>
      <c r="D53" s="1" cm="1">
        <f t="array" aca="1" ref="D53" ca="1">(INDEX($K$2:$T$11,ROUNDUP(IF(MOD($A53+INDEX(_xlfn.TEXTSPLIT(D108,",",),0,1)+$A$18,$A$18)=0,$A$18,MOD($A53+INDEX(_xlfn.TEXTSPLIT(D108,",",),0,1)+$A$18,$A$18))/4,0),ROUNDUP(IF(MOD(D$18+INDEX(_xlfn.TEXTSPLIT(D108,",",),0,2)+$A$18,$A$18)=0,$A$18,MOD(D$18+INDEX(_xlfn.TEXTSPLIT(D108,",",),0,2)+$A$18,$A$18))/4,0)))+(INDEX($AD$2:$AK$9,ROUNDUP(IF(MOD($A53+INDEX(_xlfn.TEXTSPLIT(D151,",",),0,1)+$A$18,$A$18)=0,$A$18,MOD($A53+INDEX(_xlfn.TEXTSPLIT(D151,",",),0,1)+$A$18,$A$18))/5,0),ROUNDUP(IF(MOD(D$18+INDEX(_xlfn.TEXTSPLIT(D151,",",),0,2)+$A$18,$A$18)=0,$A$18,MOD(D$18+INDEX(_xlfn.TEXTSPLIT(D151,",",),0,2)+$A$18,$A$18))/5,0)))</f>
        <v>7</v>
      </c>
      <c r="E53" s="1" cm="1">
        <f t="array" aca="1" ref="E53" ca="1">(INDEX($K$2:$T$11,ROUNDUP(IF(MOD($A53+INDEX(_xlfn.TEXTSPLIT(E108,",",),0,1)+$A$18,$A$18)=0,$A$18,MOD($A53+INDEX(_xlfn.TEXTSPLIT(E108,",",),0,1)+$A$18,$A$18))/4,0),ROUNDUP(IF(MOD(E$18+INDEX(_xlfn.TEXTSPLIT(E108,",",),0,2)+$A$18,$A$18)=0,$A$18,MOD(E$18+INDEX(_xlfn.TEXTSPLIT(E108,",",),0,2)+$A$18,$A$18))/4,0)))+(INDEX($AD$2:$AK$9,ROUNDUP(IF(MOD($A53+INDEX(_xlfn.TEXTSPLIT(E151,",",),0,1)+$A$18,$A$18)=0,$A$18,MOD($A53+INDEX(_xlfn.TEXTSPLIT(E151,",",),0,1)+$A$18,$A$18))/5,0),ROUNDUP(IF(MOD(E$18+INDEX(_xlfn.TEXTSPLIT(E151,",",),0,2)+$A$18,$A$18)=0,$A$18,MOD(E$18+INDEX(_xlfn.TEXTSPLIT(E151,",",),0,2)+$A$18,$A$18))/5,0)))</f>
        <v>7</v>
      </c>
      <c r="F53" s="1" cm="1">
        <f t="array" aca="1" ref="F53" ca="1">(INDEX($K$2:$T$11,ROUNDUP(IF(MOD($A53+INDEX(_xlfn.TEXTSPLIT(F108,",",),0,1)+$A$18,$A$18)=0,$A$18,MOD($A53+INDEX(_xlfn.TEXTSPLIT(F108,",",),0,1)+$A$18,$A$18))/4,0),ROUNDUP(IF(MOD(F$18+INDEX(_xlfn.TEXTSPLIT(F108,",",),0,2)+$A$18,$A$18)=0,$A$18,MOD(F$18+INDEX(_xlfn.TEXTSPLIT(F108,",",),0,2)+$A$18,$A$18))/4,0)))+(INDEX($AD$2:$AK$9,ROUNDUP(IF(MOD($A53+INDEX(_xlfn.TEXTSPLIT(F151,",",),0,1)+$A$18,$A$18)=0,$A$18,MOD($A53+INDEX(_xlfn.TEXTSPLIT(F151,",",),0,1)+$A$18,$A$18))/5,0),ROUNDUP(IF(MOD(F$18+INDEX(_xlfn.TEXTSPLIT(F151,",",),0,2)+$A$18,$A$18)=0,$A$18,MOD(F$18+INDEX(_xlfn.TEXTSPLIT(F151,",",),0,2)+$A$18,$A$18))/5,0)))</f>
        <v>7</v>
      </c>
      <c r="G53" s="1" cm="1">
        <f t="array" aca="1" ref="G53" ca="1">(INDEX($K$2:$T$11,ROUNDUP(IF(MOD($A53+INDEX(_xlfn.TEXTSPLIT(G108,",",),0,1)+$A$18,$A$18)=0,$A$18,MOD($A53+INDEX(_xlfn.TEXTSPLIT(G108,",",),0,1)+$A$18,$A$18))/4,0),ROUNDUP(IF(MOD(G$18+INDEX(_xlfn.TEXTSPLIT(G108,",",),0,2)+$A$18,$A$18)=0,$A$18,MOD(G$18+INDEX(_xlfn.TEXTSPLIT(G108,",",),0,2)+$A$18,$A$18))/4,0)))+(INDEX($AD$2:$AK$9,ROUNDUP(IF(MOD($A53+INDEX(_xlfn.TEXTSPLIT(G151,",",),0,1)+$A$18,$A$18)=0,$A$18,MOD($A53+INDEX(_xlfn.TEXTSPLIT(G151,",",),0,1)+$A$18,$A$18))/5,0),ROUNDUP(IF(MOD(G$18+INDEX(_xlfn.TEXTSPLIT(G151,",",),0,2)+$A$18,$A$18)=0,$A$18,MOD(G$18+INDEX(_xlfn.TEXTSPLIT(G151,",",),0,2)+$A$18,$A$18))/5,0)))</f>
        <v>7</v>
      </c>
      <c r="H53" s="1" cm="1">
        <f t="array" aca="1" ref="H53" ca="1">(INDEX($K$2:$T$11,ROUNDUP(IF(MOD($A53+INDEX(_xlfn.TEXTSPLIT(H108,",",),0,1)+$A$18,$A$18)=0,$A$18,MOD($A53+INDEX(_xlfn.TEXTSPLIT(H108,",",),0,1)+$A$18,$A$18))/4,0),ROUNDUP(IF(MOD(H$18+INDEX(_xlfn.TEXTSPLIT(H108,",",),0,2)+$A$18,$A$18)=0,$A$18,MOD(H$18+INDEX(_xlfn.TEXTSPLIT(H108,",",),0,2)+$A$18,$A$18))/4,0)))+(INDEX($AD$2:$AK$9,ROUNDUP(IF(MOD($A53+INDEX(_xlfn.TEXTSPLIT(H151,",",),0,1)+$A$18,$A$18)=0,$A$18,MOD($A53+INDEX(_xlfn.TEXTSPLIT(H151,",",),0,1)+$A$18,$A$18))/5,0),ROUNDUP(IF(MOD(H$18+INDEX(_xlfn.TEXTSPLIT(H151,",",),0,2)+$A$18,$A$18)=0,$A$18,MOD(H$18+INDEX(_xlfn.TEXTSPLIT(H151,",",),0,2)+$A$18,$A$18))/5,0)))</f>
        <v>7</v>
      </c>
      <c r="I53" s="1" cm="1">
        <f t="array" aca="1" ref="I53" ca="1">(INDEX($K$2:$T$11,ROUNDUP(IF(MOD($A53+INDEX(_xlfn.TEXTSPLIT(I108,",",),0,1)+$A$18,$A$18)=0,$A$18,MOD($A53+INDEX(_xlfn.TEXTSPLIT(I108,",",),0,1)+$A$18,$A$18))/4,0),ROUNDUP(IF(MOD(I$18+INDEX(_xlfn.TEXTSPLIT(I108,",",),0,2)+$A$18,$A$18)=0,$A$18,MOD(I$18+INDEX(_xlfn.TEXTSPLIT(I108,",",),0,2)+$A$18,$A$18))/4,0)))+(INDEX($AD$2:$AK$9,ROUNDUP(IF(MOD($A53+INDEX(_xlfn.TEXTSPLIT(I151,",",),0,1)+$A$18,$A$18)=0,$A$18,MOD($A53+INDEX(_xlfn.TEXTSPLIT(I151,",",),0,1)+$A$18,$A$18))/5,0),ROUNDUP(IF(MOD(I$18+INDEX(_xlfn.TEXTSPLIT(I151,",",),0,2)+$A$18,$A$18)=0,$A$18,MOD(I$18+INDEX(_xlfn.TEXTSPLIT(I151,",",),0,2)+$A$18,$A$18))/5,0)))</f>
        <v>7</v>
      </c>
      <c r="J53" s="1" cm="1">
        <f t="array" aca="1" ref="J53" ca="1">(INDEX($K$2:$T$11,ROUNDUP(IF(MOD($A53+INDEX(_xlfn.TEXTSPLIT(J108,",",),0,1)+$A$18,$A$18)=0,$A$18,MOD($A53+INDEX(_xlfn.TEXTSPLIT(J108,",",),0,1)+$A$18,$A$18))/4,0),ROUNDUP(IF(MOD(J$18+INDEX(_xlfn.TEXTSPLIT(J108,",",),0,2)+$A$18,$A$18)=0,$A$18,MOD(J$18+INDEX(_xlfn.TEXTSPLIT(J108,",",),0,2)+$A$18,$A$18))/4,0)))+(INDEX($AD$2:$AK$9,ROUNDUP(IF(MOD($A53+INDEX(_xlfn.TEXTSPLIT(J151,",",),0,1)+$A$18,$A$18)=0,$A$18,MOD($A53+INDEX(_xlfn.TEXTSPLIT(J151,",",),0,1)+$A$18,$A$18))/5,0),ROUNDUP(IF(MOD(J$18+INDEX(_xlfn.TEXTSPLIT(J151,",",),0,2)+$A$18,$A$18)=0,$A$18,MOD(J$18+INDEX(_xlfn.TEXTSPLIT(J151,",",),0,2)+$A$18,$A$18))/5,0)))</f>
        <v>7</v>
      </c>
      <c r="K53" s="1" cm="1">
        <f t="array" aca="1" ref="K53" ca="1">(INDEX($K$2:$T$11,ROUNDUP(IF(MOD($A53+INDEX(_xlfn.TEXTSPLIT(K108,",",),0,1)+$A$18,$A$18)=0,$A$18,MOD($A53+INDEX(_xlfn.TEXTSPLIT(K108,",",),0,1)+$A$18,$A$18))/4,0),ROUNDUP(IF(MOD(K$18+INDEX(_xlfn.TEXTSPLIT(K108,",",),0,2)+$A$18,$A$18)=0,$A$18,MOD(K$18+INDEX(_xlfn.TEXTSPLIT(K108,",",),0,2)+$A$18,$A$18))/4,0)))+(INDEX($AD$2:$AK$9,ROUNDUP(IF(MOD($A53+INDEX(_xlfn.TEXTSPLIT(K151,",",),0,1)+$A$18,$A$18)=0,$A$18,MOD($A53+INDEX(_xlfn.TEXTSPLIT(K151,",",),0,1)+$A$18,$A$18))/5,0),ROUNDUP(IF(MOD(K$18+INDEX(_xlfn.TEXTSPLIT(K151,",",),0,2)+$A$18,$A$18)=0,$A$18,MOD(K$18+INDEX(_xlfn.TEXTSPLIT(K151,",",),0,2)+$A$18,$A$18))/5,0)))</f>
        <v>3</v>
      </c>
      <c r="L53" s="1" cm="1">
        <f t="array" aca="1" ref="L53" ca="1">(INDEX($K$2:$T$11,ROUNDUP(IF(MOD($A53+INDEX(_xlfn.TEXTSPLIT(L108,",",),0,1)+$A$18,$A$18)=0,$A$18,MOD($A53+INDEX(_xlfn.TEXTSPLIT(L108,",",),0,1)+$A$18,$A$18))/4,0),ROUNDUP(IF(MOD(L$18+INDEX(_xlfn.TEXTSPLIT(L108,",",),0,2)+$A$18,$A$18)=0,$A$18,MOD(L$18+INDEX(_xlfn.TEXTSPLIT(L108,",",),0,2)+$A$18,$A$18))/4,0)))+(INDEX($AD$2:$AK$9,ROUNDUP(IF(MOD($A53+INDEX(_xlfn.TEXTSPLIT(L151,",",),0,1)+$A$18,$A$18)=0,$A$18,MOD($A53+INDEX(_xlfn.TEXTSPLIT(L151,",",),0,1)+$A$18,$A$18))/5,0),ROUNDUP(IF(MOD(L$18+INDEX(_xlfn.TEXTSPLIT(L151,",",),0,2)+$A$18,$A$18)=0,$A$18,MOD(L$18+INDEX(_xlfn.TEXTSPLIT(L151,",",),0,2)+$A$18,$A$18))/5,0)))</f>
        <v>3</v>
      </c>
      <c r="M53" s="1" cm="1">
        <f t="array" aca="1" ref="M53" ca="1">(INDEX($K$2:$T$11,ROUNDUP(IF(MOD($A53+INDEX(_xlfn.TEXTSPLIT(M108,",",),0,1)+$A$18,$A$18)=0,$A$18,MOD($A53+INDEX(_xlfn.TEXTSPLIT(M108,",",),0,1)+$A$18,$A$18))/4,0),ROUNDUP(IF(MOD(M$18+INDEX(_xlfn.TEXTSPLIT(M108,",",),0,2)+$A$18,$A$18)=0,$A$18,MOD(M$18+INDEX(_xlfn.TEXTSPLIT(M108,",",),0,2)+$A$18,$A$18))/4,0)))+(INDEX($AD$2:$AK$9,ROUNDUP(IF(MOD($A53+INDEX(_xlfn.TEXTSPLIT(M151,",",),0,1)+$A$18,$A$18)=0,$A$18,MOD($A53+INDEX(_xlfn.TEXTSPLIT(M151,",",),0,1)+$A$18,$A$18))/5,0),ROUNDUP(IF(MOD(M$18+INDEX(_xlfn.TEXTSPLIT(M151,",",),0,2)+$A$18,$A$18)=0,$A$18,MOD(M$18+INDEX(_xlfn.TEXTSPLIT(M151,",",),0,2)+$A$18,$A$18))/5,0)))</f>
        <v>3</v>
      </c>
      <c r="N53" s="1" cm="1">
        <f t="array" aca="1" ref="N53" ca="1">(INDEX($K$2:$T$11,ROUNDUP(IF(MOD($A53+INDEX(_xlfn.TEXTSPLIT(N108,",",),0,1)+$A$18,$A$18)=0,$A$18,MOD($A53+INDEX(_xlfn.TEXTSPLIT(N108,",",),0,1)+$A$18,$A$18))/4,0),ROUNDUP(IF(MOD(N$18+INDEX(_xlfn.TEXTSPLIT(N108,",",),0,2)+$A$18,$A$18)=0,$A$18,MOD(N$18+INDEX(_xlfn.TEXTSPLIT(N108,",",),0,2)+$A$18,$A$18))/4,0)))+(INDEX($AD$2:$AK$9,ROUNDUP(IF(MOD($A53+INDEX(_xlfn.TEXTSPLIT(N151,",",),0,1)+$A$18,$A$18)=0,$A$18,MOD($A53+INDEX(_xlfn.TEXTSPLIT(N151,",",),0,1)+$A$18,$A$18))/5,0),ROUNDUP(IF(MOD(N$18+INDEX(_xlfn.TEXTSPLIT(N151,",",),0,2)+$A$18,$A$18)=0,$A$18,MOD(N$18+INDEX(_xlfn.TEXTSPLIT(N151,",",),0,2)+$A$18,$A$18))/5,0)))</f>
        <v>3</v>
      </c>
      <c r="O53" s="1" cm="1">
        <f t="array" aca="1" ref="O53" ca="1">(INDEX($K$2:$T$11,ROUNDUP(IF(MOD($A53+INDEX(_xlfn.TEXTSPLIT(O108,",",),0,1)+$A$18,$A$18)=0,$A$18,MOD($A53+INDEX(_xlfn.TEXTSPLIT(O108,",",),0,1)+$A$18,$A$18))/4,0),ROUNDUP(IF(MOD(O$18+INDEX(_xlfn.TEXTSPLIT(O108,",",),0,2)+$A$18,$A$18)=0,$A$18,MOD(O$18+INDEX(_xlfn.TEXTSPLIT(O108,",",),0,2)+$A$18,$A$18))/4,0)))+(INDEX($AD$2:$AK$9,ROUNDUP(IF(MOD($A53+INDEX(_xlfn.TEXTSPLIT(O151,",",),0,1)+$A$18,$A$18)=0,$A$18,MOD($A53+INDEX(_xlfn.TEXTSPLIT(O151,",",),0,1)+$A$18,$A$18))/5,0),ROUNDUP(IF(MOD(O$18+INDEX(_xlfn.TEXTSPLIT(O151,",",),0,2)+$A$18,$A$18)=0,$A$18,MOD(O$18+INDEX(_xlfn.TEXTSPLIT(O151,",",),0,2)+$A$18,$A$18))/5,0)))</f>
        <v>3</v>
      </c>
      <c r="P53" s="1" cm="1">
        <f t="array" aca="1" ref="P53" ca="1">(INDEX($K$2:$T$11,ROUNDUP(IF(MOD($A53+INDEX(_xlfn.TEXTSPLIT(P108,",",),0,1)+$A$18,$A$18)=0,$A$18,MOD($A53+INDEX(_xlfn.TEXTSPLIT(P108,",",),0,1)+$A$18,$A$18))/4,0),ROUNDUP(IF(MOD(P$18+INDEX(_xlfn.TEXTSPLIT(P108,",",),0,2)+$A$18,$A$18)=0,$A$18,MOD(P$18+INDEX(_xlfn.TEXTSPLIT(P108,",",),0,2)+$A$18,$A$18))/4,0)))+(INDEX($AD$2:$AK$9,ROUNDUP(IF(MOD($A53+INDEX(_xlfn.TEXTSPLIT(P151,",",),0,1)+$A$18,$A$18)=0,$A$18,MOD($A53+INDEX(_xlfn.TEXTSPLIT(P151,",",),0,1)+$A$18,$A$18))/5,0),ROUNDUP(IF(MOD(P$18+INDEX(_xlfn.TEXTSPLIT(P151,",",),0,2)+$A$18,$A$18)=0,$A$18,MOD(P$18+INDEX(_xlfn.TEXTSPLIT(P151,",",),0,2)+$A$18,$A$18))/5,0)))</f>
        <v>3</v>
      </c>
      <c r="Q53" s="1" cm="1">
        <f t="array" aca="1" ref="Q53" ca="1">(INDEX($K$2:$T$11,ROUNDUP(IF(MOD($A53+INDEX(_xlfn.TEXTSPLIT(Q108,",",),0,1)+$A$18,$A$18)=0,$A$18,MOD($A53+INDEX(_xlfn.TEXTSPLIT(Q108,",",),0,1)+$A$18,$A$18))/4,0),ROUNDUP(IF(MOD(Q$18+INDEX(_xlfn.TEXTSPLIT(Q108,",",),0,2)+$A$18,$A$18)=0,$A$18,MOD(Q$18+INDEX(_xlfn.TEXTSPLIT(Q108,",",),0,2)+$A$18,$A$18))/4,0)))+(INDEX($AD$2:$AK$9,ROUNDUP(IF(MOD($A53+INDEX(_xlfn.TEXTSPLIT(Q151,",",),0,1)+$A$18,$A$18)=0,$A$18,MOD($A53+INDEX(_xlfn.TEXTSPLIT(Q151,",",),0,1)+$A$18,$A$18))/5,0),ROUNDUP(IF(MOD(Q$18+INDEX(_xlfn.TEXTSPLIT(Q151,",",),0,2)+$A$18,$A$18)=0,$A$18,MOD(Q$18+INDEX(_xlfn.TEXTSPLIT(Q151,",",),0,2)+$A$18,$A$18))/5,0)))</f>
        <v>3</v>
      </c>
      <c r="R53" s="1" cm="1">
        <f t="array" aca="1" ref="R53" ca="1">(INDEX($K$2:$T$11,ROUNDUP(IF(MOD($A53+INDEX(_xlfn.TEXTSPLIT(R108,",",),0,1)+$A$18,$A$18)=0,$A$18,MOD($A53+INDEX(_xlfn.TEXTSPLIT(R108,",",),0,1)+$A$18,$A$18))/4,0),ROUNDUP(IF(MOD(R$18+INDEX(_xlfn.TEXTSPLIT(R108,",",),0,2)+$A$18,$A$18)=0,$A$18,MOD(R$18+INDEX(_xlfn.TEXTSPLIT(R108,",",),0,2)+$A$18,$A$18))/4,0)))+(INDEX($AD$2:$AK$9,ROUNDUP(IF(MOD($A53+INDEX(_xlfn.TEXTSPLIT(R151,",",),0,1)+$A$18,$A$18)=0,$A$18,MOD($A53+INDEX(_xlfn.TEXTSPLIT(R151,",",),0,1)+$A$18,$A$18))/5,0),ROUNDUP(IF(MOD(R$18+INDEX(_xlfn.TEXTSPLIT(R151,",",),0,2)+$A$18,$A$18)=0,$A$18,MOD(R$18+INDEX(_xlfn.TEXTSPLIT(R151,",",),0,2)+$A$18,$A$18))/5,0)))</f>
        <v>8</v>
      </c>
      <c r="S53" s="1" cm="1">
        <f t="array" aca="1" ref="S53" ca="1">(INDEX($K$2:$T$11,ROUNDUP(IF(MOD($A53+INDEX(_xlfn.TEXTSPLIT(S108,",",),0,1)+$A$18,$A$18)=0,$A$18,MOD($A53+INDEX(_xlfn.TEXTSPLIT(S108,",",),0,1)+$A$18,$A$18))/4,0),ROUNDUP(IF(MOD(S$18+INDEX(_xlfn.TEXTSPLIT(S108,",",),0,2)+$A$18,$A$18)=0,$A$18,MOD(S$18+INDEX(_xlfn.TEXTSPLIT(S108,",",),0,2)+$A$18,$A$18))/4,0)))+(INDEX($AD$2:$AK$9,ROUNDUP(IF(MOD($A53+INDEX(_xlfn.TEXTSPLIT(S151,",",),0,1)+$A$18,$A$18)=0,$A$18,MOD($A53+INDEX(_xlfn.TEXTSPLIT(S151,",",),0,1)+$A$18,$A$18))/5,0),ROUNDUP(IF(MOD(S$18+INDEX(_xlfn.TEXTSPLIT(S151,",",),0,2)+$A$18,$A$18)=0,$A$18,MOD(S$18+INDEX(_xlfn.TEXTSPLIT(S151,",",),0,2)+$A$18,$A$18))/5,0)))</f>
        <v>7</v>
      </c>
      <c r="T53" s="1" cm="1">
        <f t="array" aca="1" ref="T53" ca="1">(INDEX($K$2:$T$11,ROUNDUP(IF(MOD($A53+INDEX(_xlfn.TEXTSPLIT(T108,",",),0,1)+$A$18,$A$18)=0,$A$18,MOD($A53+INDEX(_xlfn.TEXTSPLIT(T108,",",),0,1)+$A$18,$A$18))/4,0),ROUNDUP(IF(MOD(T$18+INDEX(_xlfn.TEXTSPLIT(T108,",",),0,2)+$A$18,$A$18)=0,$A$18,MOD(T$18+INDEX(_xlfn.TEXTSPLIT(T108,",",),0,2)+$A$18,$A$18))/4,0)))+(INDEX($AD$2:$AK$9,ROUNDUP(IF(MOD($A53+INDEX(_xlfn.TEXTSPLIT(T151,",",),0,1)+$A$18,$A$18)=0,$A$18,MOD($A53+INDEX(_xlfn.TEXTSPLIT(T151,",",),0,1)+$A$18,$A$18))/5,0),ROUNDUP(IF(MOD(T$18+INDEX(_xlfn.TEXTSPLIT(T151,",",),0,2)+$A$18,$A$18)=0,$A$18,MOD(T$18+INDEX(_xlfn.TEXTSPLIT(T151,",",),0,2)+$A$18,$A$18))/5,0)))</f>
        <v>7</v>
      </c>
      <c r="U53" s="1" cm="1">
        <f t="array" aca="1" ref="U53" ca="1">(INDEX($K$2:$T$11,ROUNDUP(IF(MOD($A53+INDEX(_xlfn.TEXTSPLIT(U108,",",),0,1)+$A$18,$A$18)=0,$A$18,MOD($A53+INDEX(_xlfn.TEXTSPLIT(U108,",",),0,1)+$A$18,$A$18))/4,0),ROUNDUP(IF(MOD(U$18+INDEX(_xlfn.TEXTSPLIT(U108,",",),0,2)+$A$18,$A$18)=0,$A$18,MOD(U$18+INDEX(_xlfn.TEXTSPLIT(U108,",",),0,2)+$A$18,$A$18))/4,0)))+(INDEX($AD$2:$AK$9,ROUNDUP(IF(MOD($A53+INDEX(_xlfn.TEXTSPLIT(U151,",",),0,1)+$A$18,$A$18)=0,$A$18,MOD($A53+INDEX(_xlfn.TEXTSPLIT(U151,",",),0,1)+$A$18,$A$18))/5,0),ROUNDUP(IF(MOD(U$18+INDEX(_xlfn.TEXTSPLIT(U151,",",),0,2)+$A$18,$A$18)=0,$A$18,MOD(U$18+INDEX(_xlfn.TEXTSPLIT(U151,",",),0,2)+$A$18,$A$18))/5,0)))</f>
        <v>7</v>
      </c>
      <c r="V53" s="1" cm="1">
        <f t="array" aca="1" ref="V53" ca="1">(INDEX($K$2:$T$11,ROUNDUP(IF(MOD($A53+INDEX(_xlfn.TEXTSPLIT(V108,",",),0,1)+$A$18,$A$18)=0,$A$18,MOD($A53+INDEX(_xlfn.TEXTSPLIT(V108,",",),0,1)+$A$18,$A$18))/4,0),ROUNDUP(IF(MOD(V$18+INDEX(_xlfn.TEXTSPLIT(V108,",",),0,2)+$A$18,$A$18)=0,$A$18,MOD(V$18+INDEX(_xlfn.TEXTSPLIT(V108,",",),0,2)+$A$18,$A$18))/4,0)))+(INDEX($AD$2:$AK$9,ROUNDUP(IF(MOD($A53+INDEX(_xlfn.TEXTSPLIT(V151,",",),0,1)+$A$18,$A$18)=0,$A$18,MOD($A53+INDEX(_xlfn.TEXTSPLIT(V151,",",),0,1)+$A$18,$A$18))/5,0),ROUNDUP(IF(MOD(V$18+INDEX(_xlfn.TEXTSPLIT(V151,",",),0,2)+$A$18,$A$18)=0,$A$18,MOD(V$18+INDEX(_xlfn.TEXTSPLIT(V151,",",),0,2)+$A$18,$A$18))/5,0)))</f>
        <v>7</v>
      </c>
      <c r="W53" s="1" cm="1">
        <f t="array" aca="1" ref="W53" ca="1">(INDEX($K$2:$T$11,ROUNDUP(IF(MOD($A53+INDEX(_xlfn.TEXTSPLIT(W108,",",),0,1)+$A$18,$A$18)=0,$A$18,MOD($A53+INDEX(_xlfn.TEXTSPLIT(W108,",",),0,1)+$A$18,$A$18))/4,0),ROUNDUP(IF(MOD(W$18+INDEX(_xlfn.TEXTSPLIT(W108,",",),0,2)+$A$18,$A$18)=0,$A$18,MOD(W$18+INDEX(_xlfn.TEXTSPLIT(W108,",",),0,2)+$A$18,$A$18))/4,0)))+(INDEX($AD$2:$AK$9,ROUNDUP(IF(MOD($A53+INDEX(_xlfn.TEXTSPLIT(W151,",",),0,1)+$A$18,$A$18)=0,$A$18,MOD($A53+INDEX(_xlfn.TEXTSPLIT(W151,",",),0,1)+$A$18,$A$18))/5,0),ROUNDUP(IF(MOD(W$18+INDEX(_xlfn.TEXTSPLIT(W151,",",),0,2)+$A$18,$A$18)=0,$A$18,MOD(W$18+INDEX(_xlfn.TEXTSPLIT(W151,",",),0,2)+$A$18,$A$18))/5,0)))</f>
        <v>7</v>
      </c>
      <c r="X53" s="1" cm="1">
        <f t="array" aca="1" ref="X53" ca="1">(INDEX($K$2:$T$11,ROUNDUP(IF(MOD($A53+INDEX(_xlfn.TEXTSPLIT(X108,",",),0,1)+$A$18,$A$18)=0,$A$18,MOD($A53+INDEX(_xlfn.TEXTSPLIT(X108,",",),0,1)+$A$18,$A$18))/4,0),ROUNDUP(IF(MOD(X$18+INDEX(_xlfn.TEXTSPLIT(X108,",",),0,2)+$A$18,$A$18)=0,$A$18,MOD(X$18+INDEX(_xlfn.TEXTSPLIT(X108,",",),0,2)+$A$18,$A$18))/4,0)))+(INDEX($AD$2:$AK$9,ROUNDUP(IF(MOD($A53+INDEX(_xlfn.TEXTSPLIT(X151,",",),0,1)+$A$18,$A$18)=0,$A$18,MOD($A53+INDEX(_xlfn.TEXTSPLIT(X151,",",),0,1)+$A$18,$A$18))/5,0),ROUNDUP(IF(MOD(X$18+INDEX(_xlfn.TEXTSPLIT(X151,",",),0,2)+$A$18,$A$18)=0,$A$18,MOD(X$18+INDEX(_xlfn.TEXTSPLIT(X151,",",),0,2)+$A$18,$A$18))/5,0)))</f>
        <v>7</v>
      </c>
      <c r="Y53" s="1" cm="1">
        <f t="array" aca="1" ref="Y53" ca="1">(INDEX($K$2:$T$11,ROUNDUP(IF(MOD($A53+INDEX(_xlfn.TEXTSPLIT(Y108,",",),0,1)+$A$18,$A$18)=0,$A$18,MOD($A53+INDEX(_xlfn.TEXTSPLIT(Y108,",",),0,1)+$A$18,$A$18))/4,0),ROUNDUP(IF(MOD(Y$18+INDEX(_xlfn.TEXTSPLIT(Y108,",",),0,2)+$A$18,$A$18)=0,$A$18,MOD(Y$18+INDEX(_xlfn.TEXTSPLIT(Y108,",",),0,2)+$A$18,$A$18))/4,0)))+(INDEX($AD$2:$AK$9,ROUNDUP(IF(MOD($A53+INDEX(_xlfn.TEXTSPLIT(Y151,",",),0,1)+$A$18,$A$18)=0,$A$18,MOD($A53+INDEX(_xlfn.TEXTSPLIT(Y151,",",),0,1)+$A$18,$A$18))/5,0),ROUNDUP(IF(MOD(Y$18+INDEX(_xlfn.TEXTSPLIT(Y151,",",),0,2)+$A$18,$A$18)=0,$A$18,MOD(Y$18+INDEX(_xlfn.TEXTSPLIT(Y151,",",),0,2)+$A$18,$A$18))/5,0)))</f>
        <v>7</v>
      </c>
      <c r="Z53" s="1" cm="1">
        <f t="array" aca="1" ref="Z53" ca="1">(INDEX($K$2:$T$11,ROUNDUP(IF(MOD($A53+INDEX(_xlfn.TEXTSPLIT(Z108,",",),0,1)+$A$18,$A$18)=0,$A$18,MOD($A53+INDEX(_xlfn.TEXTSPLIT(Z108,",",),0,1)+$A$18,$A$18))/4,0),ROUNDUP(IF(MOD(Z$18+INDEX(_xlfn.TEXTSPLIT(Z108,",",),0,2)+$A$18,$A$18)=0,$A$18,MOD(Z$18+INDEX(_xlfn.TEXTSPLIT(Z108,",",),0,2)+$A$18,$A$18))/4,0)))+(INDEX($AD$2:$AK$9,ROUNDUP(IF(MOD($A53+INDEX(_xlfn.TEXTSPLIT(Z151,",",),0,1)+$A$18,$A$18)=0,$A$18,MOD($A53+INDEX(_xlfn.TEXTSPLIT(Z151,",",),0,1)+$A$18,$A$18))/5,0),ROUNDUP(IF(MOD(Z$18+INDEX(_xlfn.TEXTSPLIT(Z151,",",),0,2)+$A$18,$A$18)=0,$A$18,MOD(Z$18+INDEX(_xlfn.TEXTSPLIT(Z151,",",),0,2)+$A$18,$A$18))/5,0)))</f>
        <v>7</v>
      </c>
      <c r="AA53" s="1" cm="1">
        <f t="array" aca="1" ref="AA53" ca="1">(INDEX($K$2:$T$11,ROUNDUP(IF(MOD($A53+INDEX(_xlfn.TEXTSPLIT(AA108,",",),0,1)+$A$18,$A$18)=0,$A$18,MOD($A53+INDEX(_xlfn.TEXTSPLIT(AA108,",",),0,1)+$A$18,$A$18))/4,0),ROUNDUP(IF(MOD(AA$18+INDEX(_xlfn.TEXTSPLIT(AA108,",",),0,2)+$A$18,$A$18)=0,$A$18,MOD(AA$18+INDEX(_xlfn.TEXTSPLIT(AA108,",",),0,2)+$A$18,$A$18))/4,0)))+(INDEX($AD$2:$AK$9,ROUNDUP(IF(MOD($A53+INDEX(_xlfn.TEXTSPLIT(AA151,",",),0,1)+$A$18,$A$18)=0,$A$18,MOD($A53+INDEX(_xlfn.TEXTSPLIT(AA151,",",),0,1)+$A$18,$A$18))/5,0),ROUNDUP(IF(MOD(AA$18+INDEX(_xlfn.TEXTSPLIT(AA151,",",),0,2)+$A$18,$A$18)=0,$A$18,MOD(AA$18+INDEX(_xlfn.TEXTSPLIT(AA151,",",),0,2)+$A$18,$A$18))/5,0)))</f>
        <v>8</v>
      </c>
      <c r="AB53" s="1" cm="1">
        <f t="array" aca="1" ref="AB53" ca="1">(INDEX($K$2:$T$11,ROUNDUP(IF(MOD($A53+INDEX(_xlfn.TEXTSPLIT(AB108,",",),0,1)+$A$18,$A$18)=0,$A$18,MOD($A53+INDEX(_xlfn.TEXTSPLIT(AB108,",",),0,1)+$A$18,$A$18))/4,0),ROUNDUP(IF(MOD(AB$18+INDEX(_xlfn.TEXTSPLIT(AB108,",",),0,2)+$A$18,$A$18)=0,$A$18,MOD(AB$18+INDEX(_xlfn.TEXTSPLIT(AB108,",",),0,2)+$A$18,$A$18))/4,0)))+(INDEX($AD$2:$AK$9,ROUNDUP(IF(MOD($A53+INDEX(_xlfn.TEXTSPLIT(AB151,",",),0,1)+$A$18,$A$18)=0,$A$18,MOD($A53+INDEX(_xlfn.TEXTSPLIT(AB151,",",),0,1)+$A$18,$A$18))/5,0),ROUNDUP(IF(MOD(AB$18+INDEX(_xlfn.TEXTSPLIT(AB151,",",),0,2)+$A$18,$A$18)=0,$A$18,MOD(AB$18+INDEX(_xlfn.TEXTSPLIT(AB151,",",),0,2)+$A$18,$A$18))/5,0)))</f>
        <v>8</v>
      </c>
      <c r="AC53" s="1" cm="1">
        <f t="array" aca="1" ref="AC53" ca="1">(INDEX($K$2:$T$11,ROUNDUP(IF(MOD($A53+INDEX(_xlfn.TEXTSPLIT(AC108,",",),0,1)+$A$18,$A$18)=0,$A$18,MOD($A53+INDEX(_xlfn.TEXTSPLIT(AC108,",",),0,1)+$A$18,$A$18))/4,0),ROUNDUP(IF(MOD(AC$18+INDEX(_xlfn.TEXTSPLIT(AC108,",",),0,2)+$A$18,$A$18)=0,$A$18,MOD(AC$18+INDEX(_xlfn.TEXTSPLIT(AC108,",",),0,2)+$A$18,$A$18))/4,0)))+(INDEX($AD$2:$AK$9,ROUNDUP(IF(MOD($A53+INDEX(_xlfn.TEXTSPLIT(AC151,",",),0,1)+$A$18,$A$18)=0,$A$18,MOD($A53+INDEX(_xlfn.TEXTSPLIT(AC151,",",),0,1)+$A$18,$A$18))/5,0),ROUNDUP(IF(MOD(AC$18+INDEX(_xlfn.TEXTSPLIT(AC151,",",),0,2)+$A$18,$A$18)=0,$A$18,MOD(AC$18+INDEX(_xlfn.TEXTSPLIT(AC151,",",),0,2)+$A$18,$A$18))/5,0)))</f>
        <v>8</v>
      </c>
      <c r="AD53" s="1" cm="1">
        <f t="array" aca="1" ref="AD53" ca="1">(INDEX($K$2:$T$11,ROUNDUP(IF(MOD($A53+INDEX(_xlfn.TEXTSPLIT(AD108,",",),0,1)+$A$18,$A$18)=0,$A$18,MOD($A53+INDEX(_xlfn.TEXTSPLIT(AD108,",",),0,1)+$A$18,$A$18))/4,0),ROUNDUP(IF(MOD(AD$18+INDEX(_xlfn.TEXTSPLIT(AD108,",",),0,2)+$A$18,$A$18)=0,$A$18,MOD(AD$18+INDEX(_xlfn.TEXTSPLIT(AD108,",",),0,2)+$A$18,$A$18))/4,0)))+(INDEX($AD$2:$AK$9,ROUNDUP(IF(MOD($A53+INDEX(_xlfn.TEXTSPLIT(AD151,",",),0,1)+$A$18,$A$18)=0,$A$18,MOD($A53+INDEX(_xlfn.TEXTSPLIT(AD151,",",),0,1)+$A$18,$A$18))/5,0),ROUNDUP(IF(MOD(AD$18+INDEX(_xlfn.TEXTSPLIT(AD151,",",),0,2)+$A$18,$A$18)=0,$A$18,MOD(AD$18+INDEX(_xlfn.TEXTSPLIT(AD151,",",),0,2)+$A$18,$A$18))/5,0)))</f>
        <v>8</v>
      </c>
      <c r="AE53" s="1" cm="1">
        <f t="array" aca="1" ref="AE53" ca="1">(INDEX($K$2:$T$11,ROUNDUP(IF(MOD($A53+INDEX(_xlfn.TEXTSPLIT(AE108,",",),0,1)+$A$18,$A$18)=0,$A$18,MOD($A53+INDEX(_xlfn.TEXTSPLIT(AE108,",",),0,1)+$A$18,$A$18))/4,0),ROUNDUP(IF(MOD(AE$18+INDEX(_xlfn.TEXTSPLIT(AE108,",",),0,2)+$A$18,$A$18)=0,$A$18,MOD(AE$18+INDEX(_xlfn.TEXTSPLIT(AE108,",",),0,2)+$A$18,$A$18))/4,0)))+(INDEX($AD$2:$AK$9,ROUNDUP(IF(MOD($A53+INDEX(_xlfn.TEXTSPLIT(AE151,",",),0,1)+$A$18,$A$18)=0,$A$18,MOD($A53+INDEX(_xlfn.TEXTSPLIT(AE151,",",),0,1)+$A$18,$A$18))/5,0),ROUNDUP(IF(MOD(AE$18+INDEX(_xlfn.TEXTSPLIT(AE151,",",),0,2)+$A$18,$A$18)=0,$A$18,MOD(AE$18+INDEX(_xlfn.TEXTSPLIT(AE151,",",),0,2)+$A$18,$A$18))/5,0)))</f>
        <v>5</v>
      </c>
      <c r="AF53" s="1" cm="1">
        <f t="array" aca="1" ref="AF53" ca="1">(INDEX($K$2:$T$11,ROUNDUP(IF(MOD($A53+INDEX(_xlfn.TEXTSPLIT(AF108,",",),0,1)+$A$18,$A$18)=0,$A$18,MOD($A53+INDEX(_xlfn.TEXTSPLIT(AF108,",",),0,1)+$A$18,$A$18))/4,0),ROUNDUP(IF(MOD(AF$18+INDEX(_xlfn.TEXTSPLIT(AF108,",",),0,2)+$A$18,$A$18)=0,$A$18,MOD(AF$18+INDEX(_xlfn.TEXTSPLIT(AF108,",",),0,2)+$A$18,$A$18))/4,0)))+(INDEX($AD$2:$AK$9,ROUNDUP(IF(MOD($A53+INDEX(_xlfn.TEXTSPLIT(AF151,",",),0,1)+$A$18,$A$18)=0,$A$18,MOD($A53+INDEX(_xlfn.TEXTSPLIT(AF151,",",),0,1)+$A$18,$A$18))/5,0),ROUNDUP(IF(MOD(AF$18+INDEX(_xlfn.TEXTSPLIT(AF151,",",),0,2)+$A$18,$A$18)=0,$A$18,MOD(AF$18+INDEX(_xlfn.TEXTSPLIT(AF151,",",),0,2)+$A$18,$A$18))/5,0)))</f>
        <v>8</v>
      </c>
      <c r="AG53" s="1" cm="1">
        <f t="array" aca="1" ref="AG53" ca="1">(INDEX($K$2:$T$11,ROUNDUP(IF(MOD($A53+INDEX(_xlfn.TEXTSPLIT(AG108,",",),0,1)+$A$18,$A$18)=0,$A$18,MOD($A53+INDEX(_xlfn.TEXTSPLIT(AG108,",",),0,1)+$A$18,$A$18))/4,0),ROUNDUP(IF(MOD(AG$18+INDEX(_xlfn.TEXTSPLIT(AG108,",",),0,2)+$A$18,$A$18)=0,$A$18,MOD(AG$18+INDEX(_xlfn.TEXTSPLIT(AG108,",",),0,2)+$A$18,$A$18))/4,0)))+(INDEX($AD$2:$AK$9,ROUNDUP(IF(MOD($A53+INDEX(_xlfn.TEXTSPLIT(AG151,",",),0,1)+$A$18,$A$18)=0,$A$18,MOD($A53+INDEX(_xlfn.TEXTSPLIT(AG151,",",),0,1)+$A$18,$A$18))/5,0),ROUNDUP(IF(MOD(AG$18+INDEX(_xlfn.TEXTSPLIT(AG151,",",),0,2)+$A$18,$A$18)=0,$A$18,MOD(AG$18+INDEX(_xlfn.TEXTSPLIT(AG151,",",),0,2)+$A$18,$A$18))/5,0)))</f>
        <v>5</v>
      </c>
      <c r="AH53" s="1" cm="1">
        <f t="array" aca="1" ref="AH53" ca="1">(INDEX($K$2:$T$11,ROUNDUP(IF(MOD($A53+INDEX(_xlfn.TEXTSPLIT(AH108,",",),0,1)+$A$18,$A$18)=0,$A$18,MOD($A53+INDEX(_xlfn.TEXTSPLIT(AH108,",",),0,1)+$A$18,$A$18))/4,0),ROUNDUP(IF(MOD(AH$18+INDEX(_xlfn.TEXTSPLIT(AH108,",",),0,2)+$A$18,$A$18)=0,$A$18,MOD(AH$18+INDEX(_xlfn.TEXTSPLIT(AH108,",",),0,2)+$A$18,$A$18))/4,0)))+(INDEX($AD$2:$AK$9,ROUNDUP(IF(MOD($A53+INDEX(_xlfn.TEXTSPLIT(AH151,",",),0,1)+$A$18,$A$18)=0,$A$18,MOD($A53+INDEX(_xlfn.TEXTSPLIT(AH151,",",),0,1)+$A$18,$A$18))/5,0),ROUNDUP(IF(MOD(AH$18+INDEX(_xlfn.TEXTSPLIT(AH151,",",),0,2)+$A$18,$A$18)=0,$A$18,MOD(AH$18+INDEX(_xlfn.TEXTSPLIT(AH151,",",),0,2)+$A$18,$A$18))/5,0)))</f>
        <v>5</v>
      </c>
      <c r="AI53" s="1" cm="1">
        <f t="array" aca="1" ref="AI53" ca="1">(INDEX($K$2:$T$11,ROUNDUP(IF(MOD($A53+INDEX(_xlfn.TEXTSPLIT(AI108,",",),0,1)+$A$18,$A$18)=0,$A$18,MOD($A53+INDEX(_xlfn.TEXTSPLIT(AI108,",",),0,1)+$A$18,$A$18))/4,0),ROUNDUP(IF(MOD(AI$18+INDEX(_xlfn.TEXTSPLIT(AI108,",",),0,2)+$A$18,$A$18)=0,$A$18,MOD(AI$18+INDEX(_xlfn.TEXTSPLIT(AI108,",",),0,2)+$A$18,$A$18))/4,0)))+(INDEX($AD$2:$AK$9,ROUNDUP(IF(MOD($A53+INDEX(_xlfn.TEXTSPLIT(AI151,",",),0,1)+$A$18,$A$18)=0,$A$18,MOD($A53+INDEX(_xlfn.TEXTSPLIT(AI151,",",),0,1)+$A$18,$A$18))/5,0),ROUNDUP(IF(MOD(AI$18+INDEX(_xlfn.TEXTSPLIT(AI151,",",),0,2)+$A$18,$A$18)=0,$A$18,MOD(AI$18+INDEX(_xlfn.TEXTSPLIT(AI151,",",),0,2)+$A$18,$A$18))/5,0)))</f>
        <v>5</v>
      </c>
      <c r="AJ53" s="1" cm="1">
        <f t="array" aca="1" ref="AJ53" ca="1">(INDEX($K$2:$T$11,ROUNDUP(IF(MOD($A53+INDEX(_xlfn.TEXTSPLIT(AJ108,",",),0,1)+$A$18,$A$18)=0,$A$18,MOD($A53+INDEX(_xlfn.TEXTSPLIT(AJ108,",",),0,1)+$A$18,$A$18))/4,0),ROUNDUP(IF(MOD(AJ$18+INDEX(_xlfn.TEXTSPLIT(AJ108,",",),0,2)+$A$18,$A$18)=0,$A$18,MOD(AJ$18+INDEX(_xlfn.TEXTSPLIT(AJ108,",",),0,2)+$A$18,$A$18))/4,0)))+(INDEX($AD$2:$AK$9,ROUNDUP(IF(MOD($A53+INDEX(_xlfn.TEXTSPLIT(AJ151,",",),0,1)+$A$18,$A$18)=0,$A$18,MOD($A53+INDEX(_xlfn.TEXTSPLIT(AJ151,",",),0,1)+$A$18,$A$18))/5,0),ROUNDUP(IF(MOD(AJ$18+INDEX(_xlfn.TEXTSPLIT(AJ151,",",),0,2)+$A$18,$A$18)=0,$A$18,MOD(AJ$18+INDEX(_xlfn.TEXTSPLIT(AJ151,",",),0,2)+$A$18,$A$18))/5,0)))</f>
        <v>5</v>
      </c>
      <c r="AK53" s="1" cm="1">
        <f t="array" aca="1" ref="AK53" ca="1">(INDEX($K$2:$T$11,ROUNDUP(IF(MOD($A53+INDEX(_xlfn.TEXTSPLIT(AK108,",",),0,1)+$A$18,$A$18)=0,$A$18,MOD($A53+INDEX(_xlfn.TEXTSPLIT(AK108,",",),0,1)+$A$18,$A$18))/4,0),ROUNDUP(IF(MOD(AK$18+INDEX(_xlfn.TEXTSPLIT(AK108,",",),0,2)+$A$18,$A$18)=0,$A$18,MOD(AK$18+INDEX(_xlfn.TEXTSPLIT(AK108,",",),0,2)+$A$18,$A$18))/4,0)))+(INDEX($AD$2:$AK$9,ROUNDUP(IF(MOD($A53+INDEX(_xlfn.TEXTSPLIT(AK151,",",),0,1)+$A$18,$A$18)=0,$A$18,MOD($A53+INDEX(_xlfn.TEXTSPLIT(AK151,",",),0,1)+$A$18,$A$18))/5,0),ROUNDUP(IF(MOD(AK$18+INDEX(_xlfn.TEXTSPLIT(AK151,",",),0,2)+$A$18,$A$18)=0,$A$18,MOD(AK$18+INDEX(_xlfn.TEXTSPLIT(AK151,",",),0,2)+$A$18,$A$18))/5,0)))</f>
        <v>5</v>
      </c>
      <c r="AL53" s="1" cm="1">
        <f t="array" aca="1" ref="AL53" ca="1">(INDEX($K$2:$T$11,ROUNDUP(IF(MOD($A53+INDEX(_xlfn.TEXTSPLIT(AL108,",",),0,1)+$A$18,$A$18)=0,$A$18,MOD($A53+INDEX(_xlfn.TEXTSPLIT(AL108,",",),0,1)+$A$18,$A$18))/4,0),ROUNDUP(IF(MOD(AL$18+INDEX(_xlfn.TEXTSPLIT(AL108,",",),0,2)+$A$18,$A$18)=0,$A$18,MOD(AL$18+INDEX(_xlfn.TEXTSPLIT(AL108,",",),0,2)+$A$18,$A$18))/4,0)))+(INDEX($AD$2:$AK$9,ROUNDUP(IF(MOD($A53+INDEX(_xlfn.TEXTSPLIT(AL151,",",),0,1)+$A$18,$A$18)=0,$A$18,MOD($A53+INDEX(_xlfn.TEXTSPLIT(AL151,",",),0,1)+$A$18,$A$18))/5,0),ROUNDUP(IF(MOD(AL$18+INDEX(_xlfn.TEXTSPLIT(AL151,",",),0,2)+$A$18,$A$18)=0,$A$18,MOD(AL$18+INDEX(_xlfn.TEXTSPLIT(AL151,",",),0,2)+$A$18,$A$18))/5,0)))</f>
        <v>5</v>
      </c>
      <c r="AM53" s="1" cm="1">
        <f t="array" aca="1" ref="AM53" ca="1">(INDEX($K$2:$T$11,ROUNDUP(IF(MOD($A53+INDEX(_xlfn.TEXTSPLIT(AM108,",",),0,1)+$A$18,$A$18)=0,$A$18,MOD($A53+INDEX(_xlfn.TEXTSPLIT(AM108,",",),0,1)+$A$18,$A$18))/4,0),ROUNDUP(IF(MOD(AM$18+INDEX(_xlfn.TEXTSPLIT(AM108,",",),0,2)+$A$18,$A$18)=0,$A$18,MOD(AM$18+INDEX(_xlfn.TEXTSPLIT(AM108,",",),0,2)+$A$18,$A$18))/4,0)))+(INDEX($AD$2:$AK$9,ROUNDUP(IF(MOD($A53+INDEX(_xlfn.TEXTSPLIT(AM151,",",),0,1)+$A$18,$A$18)=0,$A$18,MOD($A53+INDEX(_xlfn.TEXTSPLIT(AM151,",",),0,1)+$A$18,$A$18))/5,0),ROUNDUP(IF(MOD(AM$18+INDEX(_xlfn.TEXTSPLIT(AM151,",",),0,2)+$A$18,$A$18)=0,$A$18,MOD(AM$18+INDEX(_xlfn.TEXTSPLIT(AM151,",",),0,2)+$A$18,$A$18))/5,0)))</f>
        <v>7</v>
      </c>
      <c r="AN53" s="1" cm="1">
        <f t="array" aca="1" ref="AN53" ca="1">(INDEX($K$2:$T$11,ROUNDUP(IF(MOD($A53+INDEX(_xlfn.TEXTSPLIT(AN108,",",),0,1)+$A$18,$A$18)=0,$A$18,MOD($A53+INDEX(_xlfn.TEXTSPLIT(AN108,",",),0,1)+$A$18,$A$18))/4,0),ROUNDUP(IF(MOD(AN$18+INDEX(_xlfn.TEXTSPLIT(AN108,",",),0,2)+$A$18,$A$18)=0,$A$18,MOD(AN$18+INDEX(_xlfn.TEXTSPLIT(AN108,",",),0,2)+$A$18,$A$18))/4,0)))+(INDEX($AD$2:$AK$9,ROUNDUP(IF(MOD($A53+INDEX(_xlfn.TEXTSPLIT(AN151,",",),0,1)+$A$18,$A$18)=0,$A$18,MOD($A53+INDEX(_xlfn.TEXTSPLIT(AN151,",",),0,1)+$A$18,$A$18))/5,0),ROUNDUP(IF(MOD(AN$18+INDEX(_xlfn.TEXTSPLIT(AN151,",",),0,2)+$A$18,$A$18)=0,$A$18,MOD(AN$18+INDEX(_xlfn.TEXTSPLIT(AN151,",",),0,2)+$A$18,$A$18))/5,0)))</f>
        <v>5</v>
      </c>
      <c r="AO53" s="1" cm="1">
        <f t="array" aca="1" ref="AO53" ca="1">(INDEX($K$2:$T$11,ROUNDUP(IF(MOD($A53+INDEX(_xlfn.TEXTSPLIT(AO108,",",),0,1)+$A$18,$A$18)=0,$A$18,MOD($A53+INDEX(_xlfn.TEXTSPLIT(AO108,",",),0,1)+$A$18,$A$18))/4,0),ROUNDUP(IF(MOD(AO$18+INDEX(_xlfn.TEXTSPLIT(AO108,",",),0,2)+$A$18,$A$18)=0,$A$18,MOD(AO$18+INDEX(_xlfn.TEXTSPLIT(AO108,",",),0,2)+$A$18,$A$18))/4,0)))+(INDEX($AD$2:$AK$9,ROUNDUP(IF(MOD($A53+INDEX(_xlfn.TEXTSPLIT(AO151,",",),0,1)+$A$18,$A$18)=0,$A$18,MOD($A53+INDEX(_xlfn.TEXTSPLIT(AO151,",",),0,1)+$A$18,$A$18))/5,0),ROUNDUP(IF(MOD(AO$18+INDEX(_xlfn.TEXTSPLIT(AO151,",",),0,2)+$A$18,$A$18)=0,$A$18,MOD(AO$18+INDEX(_xlfn.TEXTSPLIT(AO151,",",),0,2)+$A$18,$A$18))/5,0)))</f>
        <v>7</v>
      </c>
    </row>
    <row r="54" spans="1:41" ht="12.75">
      <c r="A54" s="1">
        <v>36</v>
      </c>
      <c r="B54" s="1" cm="1">
        <f t="array" aca="1" ref="B54" ca="1">(INDEX($K$2:$T$11,ROUNDUP(IF(MOD($A54+INDEX(_xlfn.TEXTSPLIT(B109,",",),0,1)+$A$18,$A$18)=0,$A$18,MOD($A54+INDEX(_xlfn.TEXTSPLIT(B109,",",),0,1)+$A$18,$A$18))/4,0),ROUNDUP(IF(MOD(B$18+INDEX(_xlfn.TEXTSPLIT(B109,",",),0,2)+$A$18,$A$18)=0,$A$18,MOD(B$18+INDEX(_xlfn.TEXTSPLIT(B109,",",),0,2)+$A$18,$A$18))/4,0)))+(INDEX($AD$2:$AK$9,ROUNDUP(IF(MOD($A54+INDEX(_xlfn.TEXTSPLIT(B152,",",),0,1)+$A$18,$A$18)=0,$A$18,MOD($A54+INDEX(_xlfn.TEXTSPLIT(B152,",",),0,1)+$A$18,$A$18))/5,0),ROUNDUP(IF(MOD(B$18+INDEX(_xlfn.TEXTSPLIT(B152,",",),0,2)+$A$18,$A$18)=0,$A$18,MOD(B$18+INDEX(_xlfn.TEXTSPLIT(B152,",",),0,2)+$A$18,$A$18))/5,0)))</f>
        <v>5</v>
      </c>
      <c r="C54" s="1" cm="1">
        <f t="array" aca="1" ref="C54" ca="1">(INDEX($K$2:$T$11,ROUNDUP(IF(MOD($A54+INDEX(_xlfn.TEXTSPLIT(C109,",",),0,1)+$A$18,$A$18)=0,$A$18,MOD($A54+INDEX(_xlfn.TEXTSPLIT(C109,",",),0,1)+$A$18,$A$18))/4,0),ROUNDUP(IF(MOD(C$18+INDEX(_xlfn.TEXTSPLIT(C109,",",),0,2)+$A$18,$A$18)=0,$A$18,MOD(C$18+INDEX(_xlfn.TEXTSPLIT(C109,",",),0,2)+$A$18,$A$18))/4,0)))+(INDEX($AD$2:$AK$9,ROUNDUP(IF(MOD($A54+INDEX(_xlfn.TEXTSPLIT(C152,",",),0,1)+$A$18,$A$18)=0,$A$18,MOD($A54+INDEX(_xlfn.TEXTSPLIT(C152,",",),0,1)+$A$18,$A$18))/5,0),ROUNDUP(IF(MOD(C$18+INDEX(_xlfn.TEXTSPLIT(C152,",",),0,2)+$A$18,$A$18)=0,$A$18,MOD(C$18+INDEX(_xlfn.TEXTSPLIT(C152,",",),0,2)+$A$18,$A$18))/5,0)))</f>
        <v>7</v>
      </c>
      <c r="D54" s="1" cm="1">
        <f t="array" aca="1" ref="D54" ca="1">(INDEX($K$2:$T$11,ROUNDUP(IF(MOD($A54+INDEX(_xlfn.TEXTSPLIT(D109,",",),0,1)+$A$18,$A$18)=0,$A$18,MOD($A54+INDEX(_xlfn.TEXTSPLIT(D109,",",),0,1)+$A$18,$A$18))/4,0),ROUNDUP(IF(MOD(D$18+INDEX(_xlfn.TEXTSPLIT(D109,",",),0,2)+$A$18,$A$18)=0,$A$18,MOD(D$18+INDEX(_xlfn.TEXTSPLIT(D109,",",),0,2)+$A$18,$A$18))/4,0)))+(INDEX($AD$2:$AK$9,ROUNDUP(IF(MOD($A54+INDEX(_xlfn.TEXTSPLIT(D152,",",),0,1)+$A$18,$A$18)=0,$A$18,MOD($A54+INDEX(_xlfn.TEXTSPLIT(D152,",",),0,1)+$A$18,$A$18))/5,0),ROUNDUP(IF(MOD(D$18+INDEX(_xlfn.TEXTSPLIT(D152,",",),0,2)+$A$18,$A$18)=0,$A$18,MOD(D$18+INDEX(_xlfn.TEXTSPLIT(D152,",",),0,2)+$A$18,$A$18))/5,0)))</f>
        <v>7</v>
      </c>
      <c r="E54" s="1" cm="1">
        <f t="array" aca="1" ref="E54" ca="1">(INDEX($K$2:$T$11,ROUNDUP(IF(MOD($A54+INDEX(_xlfn.TEXTSPLIT(E109,",",),0,1)+$A$18,$A$18)=0,$A$18,MOD($A54+INDEX(_xlfn.TEXTSPLIT(E109,",",),0,1)+$A$18,$A$18))/4,0),ROUNDUP(IF(MOD(E$18+INDEX(_xlfn.TEXTSPLIT(E109,",",),0,2)+$A$18,$A$18)=0,$A$18,MOD(E$18+INDEX(_xlfn.TEXTSPLIT(E109,",",),0,2)+$A$18,$A$18))/4,0)))+(INDEX($AD$2:$AK$9,ROUNDUP(IF(MOD($A54+INDEX(_xlfn.TEXTSPLIT(E152,",",),0,1)+$A$18,$A$18)=0,$A$18,MOD($A54+INDEX(_xlfn.TEXTSPLIT(E152,",",),0,1)+$A$18,$A$18))/5,0),ROUNDUP(IF(MOD(E$18+INDEX(_xlfn.TEXTSPLIT(E152,",",),0,2)+$A$18,$A$18)=0,$A$18,MOD(E$18+INDEX(_xlfn.TEXTSPLIT(E152,",",),0,2)+$A$18,$A$18))/5,0)))</f>
        <v>3</v>
      </c>
      <c r="F54" s="1" cm="1">
        <f t="array" aca="1" ref="F54" ca="1">(INDEX($K$2:$T$11,ROUNDUP(IF(MOD($A54+INDEX(_xlfn.TEXTSPLIT(F109,",",),0,1)+$A$18,$A$18)=0,$A$18,MOD($A54+INDEX(_xlfn.TEXTSPLIT(F109,",",),0,1)+$A$18,$A$18))/4,0),ROUNDUP(IF(MOD(F$18+INDEX(_xlfn.TEXTSPLIT(F109,",",),0,2)+$A$18,$A$18)=0,$A$18,MOD(F$18+INDEX(_xlfn.TEXTSPLIT(F109,",",),0,2)+$A$18,$A$18))/4,0)))+(INDEX($AD$2:$AK$9,ROUNDUP(IF(MOD($A54+INDEX(_xlfn.TEXTSPLIT(F152,",",),0,1)+$A$18,$A$18)=0,$A$18,MOD($A54+INDEX(_xlfn.TEXTSPLIT(F152,",",),0,1)+$A$18,$A$18))/5,0),ROUNDUP(IF(MOD(F$18+INDEX(_xlfn.TEXTSPLIT(F152,",",),0,2)+$A$18,$A$18)=0,$A$18,MOD(F$18+INDEX(_xlfn.TEXTSPLIT(F152,",",),0,2)+$A$18,$A$18))/5,0)))</f>
        <v>7</v>
      </c>
      <c r="G54" s="1" cm="1">
        <f t="array" aca="1" ref="G54" ca="1">(INDEX($K$2:$T$11,ROUNDUP(IF(MOD($A54+INDEX(_xlfn.TEXTSPLIT(G109,",",),0,1)+$A$18,$A$18)=0,$A$18,MOD($A54+INDEX(_xlfn.TEXTSPLIT(G109,",",),0,1)+$A$18,$A$18))/4,0),ROUNDUP(IF(MOD(G$18+INDEX(_xlfn.TEXTSPLIT(G109,",",),0,2)+$A$18,$A$18)=0,$A$18,MOD(G$18+INDEX(_xlfn.TEXTSPLIT(G109,",",),0,2)+$A$18,$A$18))/4,0)))+(INDEX($AD$2:$AK$9,ROUNDUP(IF(MOD($A54+INDEX(_xlfn.TEXTSPLIT(G152,",",),0,1)+$A$18,$A$18)=0,$A$18,MOD($A54+INDEX(_xlfn.TEXTSPLIT(G152,",",),0,1)+$A$18,$A$18))/5,0),ROUNDUP(IF(MOD(G$18+INDEX(_xlfn.TEXTSPLIT(G152,",",),0,2)+$A$18,$A$18)=0,$A$18,MOD(G$18+INDEX(_xlfn.TEXTSPLIT(G152,",",),0,2)+$A$18,$A$18))/5,0)))</f>
        <v>3</v>
      </c>
      <c r="H54" s="1" cm="1">
        <f t="array" aca="1" ref="H54" ca="1">(INDEX($K$2:$T$11,ROUNDUP(IF(MOD($A54+INDEX(_xlfn.TEXTSPLIT(H109,",",),0,1)+$A$18,$A$18)=0,$A$18,MOD($A54+INDEX(_xlfn.TEXTSPLIT(H109,",",),0,1)+$A$18,$A$18))/4,0),ROUNDUP(IF(MOD(H$18+INDEX(_xlfn.TEXTSPLIT(H109,",",),0,2)+$A$18,$A$18)=0,$A$18,MOD(H$18+INDEX(_xlfn.TEXTSPLIT(H109,",",),0,2)+$A$18,$A$18))/4,0)))+(INDEX($AD$2:$AK$9,ROUNDUP(IF(MOD($A54+INDEX(_xlfn.TEXTSPLIT(H152,",",),0,1)+$A$18,$A$18)=0,$A$18,MOD($A54+INDEX(_xlfn.TEXTSPLIT(H152,",",),0,1)+$A$18,$A$18))/5,0),ROUNDUP(IF(MOD(H$18+INDEX(_xlfn.TEXTSPLIT(H152,",",),0,2)+$A$18,$A$18)=0,$A$18,MOD(H$18+INDEX(_xlfn.TEXTSPLIT(H152,",",),0,2)+$A$18,$A$18))/5,0)))</f>
        <v>7</v>
      </c>
      <c r="I54" s="1" cm="1">
        <f t="array" aca="1" ref="I54" ca="1">(INDEX($K$2:$T$11,ROUNDUP(IF(MOD($A54+INDEX(_xlfn.TEXTSPLIT(I109,",",),0,1)+$A$18,$A$18)=0,$A$18,MOD($A54+INDEX(_xlfn.TEXTSPLIT(I109,",",),0,1)+$A$18,$A$18))/4,0),ROUNDUP(IF(MOD(I$18+INDEX(_xlfn.TEXTSPLIT(I109,",",),0,2)+$A$18,$A$18)=0,$A$18,MOD(I$18+INDEX(_xlfn.TEXTSPLIT(I109,",",),0,2)+$A$18,$A$18))/4,0)))+(INDEX($AD$2:$AK$9,ROUNDUP(IF(MOD($A54+INDEX(_xlfn.TEXTSPLIT(I152,",",),0,1)+$A$18,$A$18)=0,$A$18,MOD($A54+INDEX(_xlfn.TEXTSPLIT(I152,",",),0,1)+$A$18,$A$18))/5,0),ROUNDUP(IF(MOD(I$18+INDEX(_xlfn.TEXTSPLIT(I152,",",),0,2)+$A$18,$A$18)=0,$A$18,MOD(I$18+INDEX(_xlfn.TEXTSPLIT(I152,",",),0,2)+$A$18,$A$18))/5,0)))</f>
        <v>7</v>
      </c>
      <c r="J54" s="1" cm="1">
        <f t="array" aca="1" ref="J54" ca="1">(INDEX($K$2:$T$11,ROUNDUP(IF(MOD($A54+INDEX(_xlfn.TEXTSPLIT(J109,",",),0,1)+$A$18,$A$18)=0,$A$18,MOD($A54+INDEX(_xlfn.TEXTSPLIT(J109,",",),0,1)+$A$18,$A$18))/4,0),ROUNDUP(IF(MOD(J$18+INDEX(_xlfn.TEXTSPLIT(J109,",",),0,2)+$A$18,$A$18)=0,$A$18,MOD(J$18+INDEX(_xlfn.TEXTSPLIT(J109,",",),0,2)+$A$18,$A$18))/4,0)))+(INDEX($AD$2:$AK$9,ROUNDUP(IF(MOD($A54+INDEX(_xlfn.TEXTSPLIT(J152,",",),0,1)+$A$18,$A$18)=0,$A$18,MOD($A54+INDEX(_xlfn.TEXTSPLIT(J152,",",),0,1)+$A$18,$A$18))/5,0),ROUNDUP(IF(MOD(J$18+INDEX(_xlfn.TEXTSPLIT(J152,",",),0,2)+$A$18,$A$18)=0,$A$18,MOD(J$18+INDEX(_xlfn.TEXTSPLIT(J152,",",),0,2)+$A$18,$A$18))/5,0)))</f>
        <v>3</v>
      </c>
      <c r="K54" s="1" cm="1">
        <f t="array" aca="1" ref="K54" ca="1">(INDEX($K$2:$T$11,ROUNDUP(IF(MOD($A54+INDEX(_xlfn.TEXTSPLIT(K109,",",),0,1)+$A$18,$A$18)=0,$A$18,MOD($A54+INDEX(_xlfn.TEXTSPLIT(K109,",",),0,1)+$A$18,$A$18))/4,0),ROUNDUP(IF(MOD(K$18+INDEX(_xlfn.TEXTSPLIT(K109,",",),0,2)+$A$18,$A$18)=0,$A$18,MOD(K$18+INDEX(_xlfn.TEXTSPLIT(K109,",",),0,2)+$A$18,$A$18))/4,0)))+(INDEX($AD$2:$AK$9,ROUNDUP(IF(MOD($A54+INDEX(_xlfn.TEXTSPLIT(K152,",",),0,1)+$A$18,$A$18)=0,$A$18,MOD($A54+INDEX(_xlfn.TEXTSPLIT(K152,",",),0,1)+$A$18,$A$18))/5,0),ROUNDUP(IF(MOD(K$18+INDEX(_xlfn.TEXTSPLIT(K152,",",),0,2)+$A$18,$A$18)=0,$A$18,MOD(K$18+INDEX(_xlfn.TEXTSPLIT(K152,",",),0,2)+$A$18,$A$18))/5,0)))</f>
        <v>3</v>
      </c>
      <c r="L54" s="1" cm="1">
        <f t="array" aca="1" ref="L54" ca="1">(INDEX($K$2:$T$11,ROUNDUP(IF(MOD($A54+INDEX(_xlfn.TEXTSPLIT(L109,",",),0,1)+$A$18,$A$18)=0,$A$18,MOD($A54+INDEX(_xlfn.TEXTSPLIT(L109,",",),0,1)+$A$18,$A$18))/4,0),ROUNDUP(IF(MOD(L$18+INDEX(_xlfn.TEXTSPLIT(L109,",",),0,2)+$A$18,$A$18)=0,$A$18,MOD(L$18+INDEX(_xlfn.TEXTSPLIT(L109,",",),0,2)+$A$18,$A$18))/4,0)))+(INDEX($AD$2:$AK$9,ROUNDUP(IF(MOD($A54+INDEX(_xlfn.TEXTSPLIT(L152,",",),0,1)+$A$18,$A$18)=0,$A$18,MOD($A54+INDEX(_xlfn.TEXTSPLIT(L152,",",),0,1)+$A$18,$A$18))/5,0),ROUNDUP(IF(MOD(L$18+INDEX(_xlfn.TEXTSPLIT(L152,",",),0,2)+$A$18,$A$18)=0,$A$18,MOD(L$18+INDEX(_xlfn.TEXTSPLIT(L152,",",),0,2)+$A$18,$A$18))/5,0)))</f>
        <v>7</v>
      </c>
      <c r="M54" s="1" cm="1">
        <f t="array" aca="1" ref="M54" ca="1">(INDEX($K$2:$T$11,ROUNDUP(IF(MOD($A54+INDEX(_xlfn.TEXTSPLIT(M109,",",),0,1)+$A$18,$A$18)=0,$A$18,MOD($A54+INDEX(_xlfn.TEXTSPLIT(M109,",",),0,1)+$A$18,$A$18))/4,0),ROUNDUP(IF(MOD(M$18+INDEX(_xlfn.TEXTSPLIT(M109,",",),0,2)+$A$18,$A$18)=0,$A$18,MOD(M$18+INDEX(_xlfn.TEXTSPLIT(M109,",",),0,2)+$A$18,$A$18))/4,0)))+(INDEX($AD$2:$AK$9,ROUNDUP(IF(MOD($A54+INDEX(_xlfn.TEXTSPLIT(M152,",",),0,1)+$A$18,$A$18)=0,$A$18,MOD($A54+INDEX(_xlfn.TEXTSPLIT(M152,",",),0,1)+$A$18,$A$18))/5,0),ROUNDUP(IF(MOD(M$18+INDEX(_xlfn.TEXTSPLIT(M152,",",),0,2)+$A$18,$A$18)=0,$A$18,MOD(M$18+INDEX(_xlfn.TEXTSPLIT(M152,",",),0,2)+$A$18,$A$18))/5,0)))</f>
        <v>3</v>
      </c>
      <c r="N54" s="1" cm="1">
        <f t="array" aca="1" ref="N54" ca="1">(INDEX($K$2:$T$11,ROUNDUP(IF(MOD($A54+INDEX(_xlfn.TEXTSPLIT(N109,",",),0,1)+$A$18,$A$18)=0,$A$18,MOD($A54+INDEX(_xlfn.TEXTSPLIT(N109,",",),0,1)+$A$18,$A$18))/4,0),ROUNDUP(IF(MOD(N$18+INDEX(_xlfn.TEXTSPLIT(N109,",",),0,2)+$A$18,$A$18)=0,$A$18,MOD(N$18+INDEX(_xlfn.TEXTSPLIT(N109,",",),0,2)+$A$18,$A$18))/4,0)))+(INDEX($AD$2:$AK$9,ROUNDUP(IF(MOD($A54+INDEX(_xlfn.TEXTSPLIT(N152,",",),0,1)+$A$18,$A$18)=0,$A$18,MOD($A54+INDEX(_xlfn.TEXTSPLIT(N152,",",),0,1)+$A$18,$A$18))/5,0),ROUNDUP(IF(MOD(N$18+INDEX(_xlfn.TEXTSPLIT(N152,",",),0,2)+$A$18,$A$18)=0,$A$18,MOD(N$18+INDEX(_xlfn.TEXTSPLIT(N152,",",),0,2)+$A$18,$A$18))/5,0)))</f>
        <v>3</v>
      </c>
      <c r="O54" s="1" cm="1">
        <f t="array" aca="1" ref="O54" ca="1">(INDEX($K$2:$T$11,ROUNDUP(IF(MOD($A54+INDEX(_xlfn.TEXTSPLIT(O109,",",),0,1)+$A$18,$A$18)=0,$A$18,MOD($A54+INDEX(_xlfn.TEXTSPLIT(O109,",",),0,1)+$A$18,$A$18))/4,0),ROUNDUP(IF(MOD(O$18+INDEX(_xlfn.TEXTSPLIT(O109,",",),0,2)+$A$18,$A$18)=0,$A$18,MOD(O$18+INDEX(_xlfn.TEXTSPLIT(O109,",",),0,2)+$A$18,$A$18))/4,0)))+(INDEX($AD$2:$AK$9,ROUNDUP(IF(MOD($A54+INDEX(_xlfn.TEXTSPLIT(O152,",",),0,1)+$A$18,$A$18)=0,$A$18,MOD($A54+INDEX(_xlfn.TEXTSPLIT(O152,",",),0,1)+$A$18,$A$18))/5,0),ROUNDUP(IF(MOD(O$18+INDEX(_xlfn.TEXTSPLIT(O152,",",),0,2)+$A$18,$A$18)=0,$A$18,MOD(O$18+INDEX(_xlfn.TEXTSPLIT(O152,",",),0,2)+$A$18,$A$18))/5,0)))</f>
        <v>3</v>
      </c>
      <c r="P54" s="1" cm="1">
        <f t="array" aca="1" ref="P54" ca="1">(INDEX($K$2:$T$11,ROUNDUP(IF(MOD($A54+INDEX(_xlfn.TEXTSPLIT(P109,",",),0,1)+$A$18,$A$18)=0,$A$18,MOD($A54+INDEX(_xlfn.TEXTSPLIT(P109,",",),0,1)+$A$18,$A$18))/4,0),ROUNDUP(IF(MOD(P$18+INDEX(_xlfn.TEXTSPLIT(P109,",",),0,2)+$A$18,$A$18)=0,$A$18,MOD(P$18+INDEX(_xlfn.TEXTSPLIT(P109,",",),0,2)+$A$18,$A$18))/4,0)))+(INDEX($AD$2:$AK$9,ROUNDUP(IF(MOD($A54+INDEX(_xlfn.TEXTSPLIT(P152,",",),0,1)+$A$18,$A$18)=0,$A$18,MOD($A54+INDEX(_xlfn.TEXTSPLIT(P152,",",),0,1)+$A$18,$A$18))/5,0),ROUNDUP(IF(MOD(P$18+INDEX(_xlfn.TEXTSPLIT(P152,",",),0,2)+$A$18,$A$18)=0,$A$18,MOD(P$18+INDEX(_xlfn.TEXTSPLIT(P152,",",),0,2)+$A$18,$A$18))/5,0)))</f>
        <v>3</v>
      </c>
      <c r="Q54" s="1" cm="1">
        <f t="array" aca="1" ref="Q54" ca="1">(INDEX($K$2:$T$11,ROUNDUP(IF(MOD($A54+INDEX(_xlfn.TEXTSPLIT(Q109,",",),0,1)+$A$18,$A$18)=0,$A$18,MOD($A54+INDEX(_xlfn.TEXTSPLIT(Q109,",",),0,1)+$A$18,$A$18))/4,0),ROUNDUP(IF(MOD(Q$18+INDEX(_xlfn.TEXTSPLIT(Q109,",",),0,2)+$A$18,$A$18)=0,$A$18,MOD(Q$18+INDEX(_xlfn.TEXTSPLIT(Q109,",",),0,2)+$A$18,$A$18))/4,0)))+(INDEX($AD$2:$AK$9,ROUNDUP(IF(MOD($A54+INDEX(_xlfn.TEXTSPLIT(Q152,",",),0,1)+$A$18,$A$18)=0,$A$18,MOD($A54+INDEX(_xlfn.TEXTSPLIT(Q152,",",),0,1)+$A$18,$A$18))/5,0),ROUNDUP(IF(MOD(Q$18+INDEX(_xlfn.TEXTSPLIT(Q152,",",),0,2)+$A$18,$A$18)=0,$A$18,MOD(Q$18+INDEX(_xlfn.TEXTSPLIT(Q152,",",),0,2)+$A$18,$A$18))/5,0)))</f>
        <v>3</v>
      </c>
      <c r="R54" s="1" cm="1">
        <f t="array" aca="1" ref="R54" ca="1">(INDEX($K$2:$T$11,ROUNDUP(IF(MOD($A54+INDEX(_xlfn.TEXTSPLIT(R109,",",),0,1)+$A$18,$A$18)=0,$A$18,MOD($A54+INDEX(_xlfn.TEXTSPLIT(R109,",",),0,1)+$A$18,$A$18))/4,0),ROUNDUP(IF(MOD(R$18+INDEX(_xlfn.TEXTSPLIT(R109,",",),0,2)+$A$18,$A$18)=0,$A$18,MOD(R$18+INDEX(_xlfn.TEXTSPLIT(R109,",",),0,2)+$A$18,$A$18))/4,0)))+(INDEX($AD$2:$AK$9,ROUNDUP(IF(MOD($A54+INDEX(_xlfn.TEXTSPLIT(R152,",",),0,1)+$A$18,$A$18)=0,$A$18,MOD($A54+INDEX(_xlfn.TEXTSPLIT(R152,",",),0,1)+$A$18,$A$18))/5,0),ROUNDUP(IF(MOD(R$18+INDEX(_xlfn.TEXTSPLIT(R152,",",),0,2)+$A$18,$A$18)=0,$A$18,MOD(R$18+INDEX(_xlfn.TEXTSPLIT(R152,",",),0,2)+$A$18,$A$18))/5,0)))</f>
        <v>4</v>
      </c>
      <c r="S54" s="1" cm="1">
        <f t="array" aca="1" ref="S54" ca="1">(INDEX($K$2:$T$11,ROUNDUP(IF(MOD($A54+INDEX(_xlfn.TEXTSPLIT(S109,",",),0,1)+$A$18,$A$18)=0,$A$18,MOD($A54+INDEX(_xlfn.TEXTSPLIT(S109,",",),0,1)+$A$18,$A$18))/4,0),ROUNDUP(IF(MOD(S$18+INDEX(_xlfn.TEXTSPLIT(S109,",",),0,2)+$A$18,$A$18)=0,$A$18,MOD(S$18+INDEX(_xlfn.TEXTSPLIT(S109,",",),0,2)+$A$18,$A$18))/4,0)))+(INDEX($AD$2:$AK$9,ROUNDUP(IF(MOD($A54+INDEX(_xlfn.TEXTSPLIT(S152,",",),0,1)+$A$18,$A$18)=0,$A$18,MOD($A54+INDEX(_xlfn.TEXTSPLIT(S152,",",),0,1)+$A$18,$A$18))/5,0),ROUNDUP(IF(MOD(S$18+INDEX(_xlfn.TEXTSPLIT(S152,",",),0,2)+$A$18,$A$18)=0,$A$18,MOD(S$18+INDEX(_xlfn.TEXTSPLIT(S152,",",),0,2)+$A$18,$A$18))/5,0)))</f>
        <v>8</v>
      </c>
      <c r="T54" s="1" cm="1">
        <f t="array" aca="1" ref="T54" ca="1">(INDEX($K$2:$T$11,ROUNDUP(IF(MOD($A54+INDEX(_xlfn.TEXTSPLIT(T109,",",),0,1)+$A$18,$A$18)=0,$A$18,MOD($A54+INDEX(_xlfn.TEXTSPLIT(T109,",",),0,1)+$A$18,$A$18))/4,0),ROUNDUP(IF(MOD(T$18+INDEX(_xlfn.TEXTSPLIT(T109,",",),0,2)+$A$18,$A$18)=0,$A$18,MOD(T$18+INDEX(_xlfn.TEXTSPLIT(T109,",",),0,2)+$A$18,$A$18))/4,0)))+(INDEX($AD$2:$AK$9,ROUNDUP(IF(MOD($A54+INDEX(_xlfn.TEXTSPLIT(T152,",",),0,1)+$A$18,$A$18)=0,$A$18,MOD($A54+INDEX(_xlfn.TEXTSPLIT(T152,",",),0,1)+$A$18,$A$18))/5,0),ROUNDUP(IF(MOD(T$18+INDEX(_xlfn.TEXTSPLIT(T152,",",),0,2)+$A$18,$A$18)=0,$A$18,MOD(T$18+INDEX(_xlfn.TEXTSPLIT(T152,",",),0,2)+$A$18,$A$18))/5,0)))</f>
        <v>8</v>
      </c>
      <c r="U54" s="1" cm="1">
        <f t="array" aca="1" ref="U54" ca="1">(INDEX($K$2:$T$11,ROUNDUP(IF(MOD($A54+INDEX(_xlfn.TEXTSPLIT(U109,",",),0,1)+$A$18,$A$18)=0,$A$18,MOD($A54+INDEX(_xlfn.TEXTSPLIT(U109,",",),0,1)+$A$18,$A$18))/4,0),ROUNDUP(IF(MOD(U$18+INDEX(_xlfn.TEXTSPLIT(U109,",",),0,2)+$A$18,$A$18)=0,$A$18,MOD(U$18+INDEX(_xlfn.TEXTSPLIT(U109,",",),0,2)+$A$18,$A$18))/4,0)))+(INDEX($AD$2:$AK$9,ROUNDUP(IF(MOD($A54+INDEX(_xlfn.TEXTSPLIT(U152,",",),0,1)+$A$18,$A$18)=0,$A$18,MOD($A54+INDEX(_xlfn.TEXTSPLIT(U152,",",),0,1)+$A$18,$A$18))/5,0),ROUNDUP(IF(MOD(U$18+INDEX(_xlfn.TEXTSPLIT(U152,",",),0,2)+$A$18,$A$18)=0,$A$18,MOD(U$18+INDEX(_xlfn.TEXTSPLIT(U152,",",),0,2)+$A$18,$A$18))/5,0)))</f>
        <v>8</v>
      </c>
      <c r="V54" s="1" cm="1">
        <f t="array" aca="1" ref="V54" ca="1">(INDEX($K$2:$T$11,ROUNDUP(IF(MOD($A54+INDEX(_xlfn.TEXTSPLIT(V109,",",),0,1)+$A$18,$A$18)=0,$A$18,MOD($A54+INDEX(_xlfn.TEXTSPLIT(V109,",",),0,1)+$A$18,$A$18))/4,0),ROUNDUP(IF(MOD(V$18+INDEX(_xlfn.TEXTSPLIT(V109,",",),0,2)+$A$18,$A$18)=0,$A$18,MOD(V$18+INDEX(_xlfn.TEXTSPLIT(V109,",",),0,2)+$A$18,$A$18))/4,0)))+(INDEX($AD$2:$AK$9,ROUNDUP(IF(MOD($A54+INDEX(_xlfn.TEXTSPLIT(V152,",",),0,1)+$A$18,$A$18)=0,$A$18,MOD($A54+INDEX(_xlfn.TEXTSPLIT(V152,",",),0,1)+$A$18,$A$18))/5,0),ROUNDUP(IF(MOD(V$18+INDEX(_xlfn.TEXTSPLIT(V152,",",),0,2)+$A$18,$A$18)=0,$A$18,MOD(V$18+INDEX(_xlfn.TEXTSPLIT(V152,",",),0,2)+$A$18,$A$18))/5,0)))</f>
        <v>7</v>
      </c>
      <c r="W54" s="1" cm="1">
        <f t="array" aca="1" ref="W54" ca="1">(INDEX($K$2:$T$11,ROUNDUP(IF(MOD($A54+INDEX(_xlfn.TEXTSPLIT(W109,",",),0,1)+$A$18,$A$18)=0,$A$18,MOD($A54+INDEX(_xlfn.TEXTSPLIT(W109,",",),0,1)+$A$18,$A$18))/4,0),ROUNDUP(IF(MOD(W$18+INDEX(_xlfn.TEXTSPLIT(W109,",",),0,2)+$A$18,$A$18)=0,$A$18,MOD(W$18+INDEX(_xlfn.TEXTSPLIT(W109,",",),0,2)+$A$18,$A$18))/4,0)))+(INDEX($AD$2:$AK$9,ROUNDUP(IF(MOD($A54+INDEX(_xlfn.TEXTSPLIT(W152,",",),0,1)+$A$18,$A$18)=0,$A$18,MOD($A54+INDEX(_xlfn.TEXTSPLIT(W152,",",),0,1)+$A$18,$A$18))/5,0),ROUNDUP(IF(MOD(W$18+INDEX(_xlfn.TEXTSPLIT(W152,",",),0,2)+$A$18,$A$18)=0,$A$18,MOD(W$18+INDEX(_xlfn.TEXTSPLIT(W152,",",),0,2)+$A$18,$A$18))/5,0)))</f>
        <v>7</v>
      </c>
      <c r="X54" s="1" cm="1">
        <f t="array" aca="1" ref="X54" ca="1">(INDEX($K$2:$T$11,ROUNDUP(IF(MOD($A54+INDEX(_xlfn.TEXTSPLIT(X109,",",),0,1)+$A$18,$A$18)=0,$A$18,MOD($A54+INDEX(_xlfn.TEXTSPLIT(X109,",",),0,1)+$A$18,$A$18))/4,0),ROUNDUP(IF(MOD(X$18+INDEX(_xlfn.TEXTSPLIT(X109,",",),0,2)+$A$18,$A$18)=0,$A$18,MOD(X$18+INDEX(_xlfn.TEXTSPLIT(X109,",",),0,2)+$A$18,$A$18))/4,0)))+(INDEX($AD$2:$AK$9,ROUNDUP(IF(MOD($A54+INDEX(_xlfn.TEXTSPLIT(X152,",",),0,1)+$A$18,$A$18)=0,$A$18,MOD($A54+INDEX(_xlfn.TEXTSPLIT(X152,",",),0,1)+$A$18,$A$18))/5,0),ROUNDUP(IF(MOD(X$18+INDEX(_xlfn.TEXTSPLIT(X152,",",),0,2)+$A$18,$A$18)=0,$A$18,MOD(X$18+INDEX(_xlfn.TEXTSPLIT(X152,",",),0,2)+$A$18,$A$18))/5,0)))</f>
        <v>7</v>
      </c>
      <c r="Y54" s="1" cm="1">
        <f t="array" aca="1" ref="Y54" ca="1">(INDEX($K$2:$T$11,ROUNDUP(IF(MOD($A54+INDEX(_xlfn.TEXTSPLIT(Y109,",",),0,1)+$A$18,$A$18)=0,$A$18,MOD($A54+INDEX(_xlfn.TEXTSPLIT(Y109,",",),0,1)+$A$18,$A$18))/4,0),ROUNDUP(IF(MOD(Y$18+INDEX(_xlfn.TEXTSPLIT(Y109,",",),0,2)+$A$18,$A$18)=0,$A$18,MOD(Y$18+INDEX(_xlfn.TEXTSPLIT(Y109,",",),0,2)+$A$18,$A$18))/4,0)))+(INDEX($AD$2:$AK$9,ROUNDUP(IF(MOD($A54+INDEX(_xlfn.TEXTSPLIT(Y152,",",),0,1)+$A$18,$A$18)=0,$A$18,MOD($A54+INDEX(_xlfn.TEXTSPLIT(Y152,",",),0,1)+$A$18,$A$18))/5,0),ROUNDUP(IF(MOD(Y$18+INDEX(_xlfn.TEXTSPLIT(Y152,",",),0,2)+$A$18,$A$18)=0,$A$18,MOD(Y$18+INDEX(_xlfn.TEXTSPLIT(Y152,",",),0,2)+$A$18,$A$18))/5,0)))</f>
        <v>7</v>
      </c>
      <c r="Z54" s="1" cm="1">
        <f t="array" aca="1" ref="Z54" ca="1">(INDEX($K$2:$T$11,ROUNDUP(IF(MOD($A54+INDEX(_xlfn.TEXTSPLIT(Z109,",",),0,1)+$A$18,$A$18)=0,$A$18,MOD($A54+INDEX(_xlfn.TEXTSPLIT(Z109,",",),0,1)+$A$18,$A$18))/4,0),ROUNDUP(IF(MOD(Z$18+INDEX(_xlfn.TEXTSPLIT(Z109,",",),0,2)+$A$18,$A$18)=0,$A$18,MOD(Z$18+INDEX(_xlfn.TEXTSPLIT(Z109,",",),0,2)+$A$18,$A$18))/4,0)))+(INDEX($AD$2:$AK$9,ROUNDUP(IF(MOD($A54+INDEX(_xlfn.TEXTSPLIT(Z152,",",),0,1)+$A$18,$A$18)=0,$A$18,MOD($A54+INDEX(_xlfn.TEXTSPLIT(Z152,",",),0,1)+$A$18,$A$18))/5,0),ROUNDUP(IF(MOD(Z$18+INDEX(_xlfn.TEXTSPLIT(Z152,",",),0,2)+$A$18,$A$18)=0,$A$18,MOD(Z$18+INDEX(_xlfn.TEXTSPLIT(Z152,",",),0,2)+$A$18,$A$18))/5,0)))</f>
        <v>8</v>
      </c>
      <c r="AA54" s="1" cm="1">
        <f t="array" aca="1" ref="AA54" ca="1">(INDEX($K$2:$T$11,ROUNDUP(IF(MOD($A54+INDEX(_xlfn.TEXTSPLIT(AA109,",",),0,1)+$A$18,$A$18)=0,$A$18,MOD($A54+INDEX(_xlfn.TEXTSPLIT(AA109,",",),0,1)+$A$18,$A$18))/4,0),ROUNDUP(IF(MOD(AA$18+INDEX(_xlfn.TEXTSPLIT(AA109,",",),0,2)+$A$18,$A$18)=0,$A$18,MOD(AA$18+INDEX(_xlfn.TEXTSPLIT(AA109,",",),0,2)+$A$18,$A$18))/4,0)))+(INDEX($AD$2:$AK$9,ROUNDUP(IF(MOD($A54+INDEX(_xlfn.TEXTSPLIT(AA152,",",),0,1)+$A$18,$A$18)=0,$A$18,MOD($A54+INDEX(_xlfn.TEXTSPLIT(AA152,",",),0,1)+$A$18,$A$18))/5,0),ROUNDUP(IF(MOD(AA$18+INDEX(_xlfn.TEXTSPLIT(AA152,",",),0,2)+$A$18,$A$18)=0,$A$18,MOD(AA$18+INDEX(_xlfn.TEXTSPLIT(AA152,",",),0,2)+$A$18,$A$18))/5,0)))</f>
        <v>8</v>
      </c>
      <c r="AB54" s="1" cm="1">
        <f t="array" aca="1" ref="AB54" ca="1">(INDEX($K$2:$T$11,ROUNDUP(IF(MOD($A54+INDEX(_xlfn.TEXTSPLIT(AB109,",",),0,1)+$A$18,$A$18)=0,$A$18,MOD($A54+INDEX(_xlfn.TEXTSPLIT(AB109,",",),0,1)+$A$18,$A$18))/4,0),ROUNDUP(IF(MOD(AB$18+INDEX(_xlfn.TEXTSPLIT(AB109,",",),0,2)+$A$18,$A$18)=0,$A$18,MOD(AB$18+INDEX(_xlfn.TEXTSPLIT(AB109,",",),0,2)+$A$18,$A$18))/4,0)))+(INDEX($AD$2:$AK$9,ROUNDUP(IF(MOD($A54+INDEX(_xlfn.TEXTSPLIT(AB152,",",),0,1)+$A$18,$A$18)=0,$A$18,MOD($A54+INDEX(_xlfn.TEXTSPLIT(AB152,",",),0,1)+$A$18,$A$18))/5,0),ROUNDUP(IF(MOD(AB$18+INDEX(_xlfn.TEXTSPLIT(AB152,",",),0,2)+$A$18,$A$18)=0,$A$18,MOD(AB$18+INDEX(_xlfn.TEXTSPLIT(AB152,",",),0,2)+$A$18,$A$18))/5,0)))</f>
        <v>8</v>
      </c>
      <c r="AC54" s="1" cm="1">
        <f t="array" aca="1" ref="AC54" ca="1">(INDEX($K$2:$T$11,ROUNDUP(IF(MOD($A54+INDEX(_xlfn.TEXTSPLIT(AC109,",",),0,1)+$A$18,$A$18)=0,$A$18,MOD($A54+INDEX(_xlfn.TEXTSPLIT(AC109,",",),0,1)+$A$18,$A$18))/4,0),ROUNDUP(IF(MOD(AC$18+INDEX(_xlfn.TEXTSPLIT(AC109,",",),0,2)+$A$18,$A$18)=0,$A$18,MOD(AC$18+INDEX(_xlfn.TEXTSPLIT(AC109,",",),0,2)+$A$18,$A$18))/4,0)))+(INDEX($AD$2:$AK$9,ROUNDUP(IF(MOD($A54+INDEX(_xlfn.TEXTSPLIT(AC152,",",),0,1)+$A$18,$A$18)=0,$A$18,MOD($A54+INDEX(_xlfn.TEXTSPLIT(AC152,",",),0,1)+$A$18,$A$18))/5,0),ROUNDUP(IF(MOD(AC$18+INDEX(_xlfn.TEXTSPLIT(AC152,",",),0,2)+$A$18,$A$18)=0,$A$18,MOD(AC$18+INDEX(_xlfn.TEXTSPLIT(AC152,",",),0,2)+$A$18,$A$18))/5,0)))</f>
        <v>8</v>
      </c>
      <c r="AD54" s="1" cm="1">
        <f t="array" aca="1" ref="AD54" ca="1">(INDEX($K$2:$T$11,ROUNDUP(IF(MOD($A54+INDEX(_xlfn.TEXTSPLIT(AD109,",",),0,1)+$A$18,$A$18)=0,$A$18,MOD($A54+INDEX(_xlfn.TEXTSPLIT(AD109,",",),0,1)+$A$18,$A$18))/4,0),ROUNDUP(IF(MOD(AD$18+INDEX(_xlfn.TEXTSPLIT(AD109,",",),0,2)+$A$18,$A$18)=0,$A$18,MOD(AD$18+INDEX(_xlfn.TEXTSPLIT(AD109,",",),0,2)+$A$18,$A$18))/4,0)))+(INDEX($AD$2:$AK$9,ROUNDUP(IF(MOD($A54+INDEX(_xlfn.TEXTSPLIT(AD152,",",),0,1)+$A$18,$A$18)=0,$A$18,MOD($A54+INDEX(_xlfn.TEXTSPLIT(AD152,",",),0,1)+$A$18,$A$18))/5,0),ROUNDUP(IF(MOD(AD$18+INDEX(_xlfn.TEXTSPLIT(AD152,",",),0,2)+$A$18,$A$18)=0,$A$18,MOD(AD$18+INDEX(_xlfn.TEXTSPLIT(AD152,",",),0,2)+$A$18,$A$18))/5,0)))</f>
        <v>8</v>
      </c>
      <c r="AE54" s="1" cm="1">
        <f t="array" aca="1" ref="AE54" ca="1">(INDEX($K$2:$T$11,ROUNDUP(IF(MOD($A54+INDEX(_xlfn.TEXTSPLIT(AE109,",",),0,1)+$A$18,$A$18)=0,$A$18,MOD($A54+INDEX(_xlfn.TEXTSPLIT(AE109,",",),0,1)+$A$18,$A$18))/4,0),ROUNDUP(IF(MOD(AE$18+INDEX(_xlfn.TEXTSPLIT(AE109,",",),0,2)+$A$18,$A$18)=0,$A$18,MOD(AE$18+INDEX(_xlfn.TEXTSPLIT(AE109,",",),0,2)+$A$18,$A$18))/4,0)))+(INDEX($AD$2:$AK$9,ROUNDUP(IF(MOD($A54+INDEX(_xlfn.TEXTSPLIT(AE152,",",),0,1)+$A$18,$A$18)=0,$A$18,MOD($A54+INDEX(_xlfn.TEXTSPLIT(AE152,",",),0,1)+$A$18,$A$18))/5,0),ROUNDUP(IF(MOD(AE$18+INDEX(_xlfn.TEXTSPLIT(AE152,",",),0,2)+$A$18,$A$18)=0,$A$18,MOD(AE$18+INDEX(_xlfn.TEXTSPLIT(AE152,",",),0,2)+$A$18,$A$18))/5,0)))</f>
        <v>8</v>
      </c>
      <c r="AF54" s="1" cm="1">
        <f t="array" aca="1" ref="AF54" ca="1">(INDEX($K$2:$T$11,ROUNDUP(IF(MOD($A54+INDEX(_xlfn.TEXTSPLIT(AF109,",",),0,1)+$A$18,$A$18)=0,$A$18,MOD($A54+INDEX(_xlfn.TEXTSPLIT(AF109,",",),0,1)+$A$18,$A$18))/4,0),ROUNDUP(IF(MOD(AF$18+INDEX(_xlfn.TEXTSPLIT(AF109,",",),0,2)+$A$18,$A$18)=0,$A$18,MOD(AF$18+INDEX(_xlfn.TEXTSPLIT(AF109,",",),0,2)+$A$18,$A$18))/4,0)))+(INDEX($AD$2:$AK$9,ROUNDUP(IF(MOD($A54+INDEX(_xlfn.TEXTSPLIT(AF152,",",),0,1)+$A$18,$A$18)=0,$A$18,MOD($A54+INDEX(_xlfn.TEXTSPLIT(AF152,",",),0,1)+$A$18,$A$18))/5,0),ROUNDUP(IF(MOD(AF$18+INDEX(_xlfn.TEXTSPLIT(AF152,",",),0,2)+$A$18,$A$18)=0,$A$18,MOD(AF$18+INDEX(_xlfn.TEXTSPLIT(AF152,",",),0,2)+$A$18,$A$18))/5,0)))</f>
        <v>5</v>
      </c>
      <c r="AG54" s="1" cm="1">
        <f t="array" aca="1" ref="AG54" ca="1">(INDEX($K$2:$T$11,ROUNDUP(IF(MOD($A54+INDEX(_xlfn.TEXTSPLIT(AG109,",",),0,1)+$A$18,$A$18)=0,$A$18,MOD($A54+INDEX(_xlfn.TEXTSPLIT(AG109,",",),0,1)+$A$18,$A$18))/4,0),ROUNDUP(IF(MOD(AG$18+INDEX(_xlfn.TEXTSPLIT(AG109,",",),0,2)+$A$18,$A$18)=0,$A$18,MOD(AG$18+INDEX(_xlfn.TEXTSPLIT(AG109,",",),0,2)+$A$18,$A$18))/4,0)))+(INDEX($AD$2:$AK$9,ROUNDUP(IF(MOD($A54+INDEX(_xlfn.TEXTSPLIT(AG152,",",),0,1)+$A$18,$A$18)=0,$A$18,MOD($A54+INDEX(_xlfn.TEXTSPLIT(AG152,",",),0,1)+$A$18,$A$18))/5,0),ROUNDUP(IF(MOD(AG$18+INDEX(_xlfn.TEXTSPLIT(AG152,",",),0,2)+$A$18,$A$18)=0,$A$18,MOD(AG$18+INDEX(_xlfn.TEXTSPLIT(AG152,",",),0,2)+$A$18,$A$18))/5,0)))</f>
        <v>8</v>
      </c>
      <c r="AH54" s="1" cm="1">
        <f t="array" aca="1" ref="AH54" ca="1">(INDEX($K$2:$T$11,ROUNDUP(IF(MOD($A54+INDEX(_xlfn.TEXTSPLIT(AH109,",",),0,1)+$A$18,$A$18)=0,$A$18,MOD($A54+INDEX(_xlfn.TEXTSPLIT(AH109,",",),0,1)+$A$18,$A$18))/4,0),ROUNDUP(IF(MOD(AH$18+INDEX(_xlfn.TEXTSPLIT(AH109,",",),0,2)+$A$18,$A$18)=0,$A$18,MOD(AH$18+INDEX(_xlfn.TEXTSPLIT(AH109,",",),0,2)+$A$18,$A$18))/4,0)))+(INDEX($AD$2:$AK$9,ROUNDUP(IF(MOD($A54+INDEX(_xlfn.TEXTSPLIT(AH152,",",),0,1)+$A$18,$A$18)=0,$A$18,MOD($A54+INDEX(_xlfn.TEXTSPLIT(AH152,",",),0,1)+$A$18,$A$18))/5,0),ROUNDUP(IF(MOD(AH$18+INDEX(_xlfn.TEXTSPLIT(AH152,",",),0,2)+$A$18,$A$18)=0,$A$18,MOD(AH$18+INDEX(_xlfn.TEXTSPLIT(AH152,",",),0,2)+$A$18,$A$18))/5,0)))</f>
        <v>8</v>
      </c>
      <c r="AI54" s="1" cm="1">
        <f t="array" aca="1" ref="AI54" ca="1">(INDEX($K$2:$T$11,ROUNDUP(IF(MOD($A54+INDEX(_xlfn.TEXTSPLIT(AI109,",",),0,1)+$A$18,$A$18)=0,$A$18,MOD($A54+INDEX(_xlfn.TEXTSPLIT(AI109,",",),0,1)+$A$18,$A$18))/4,0),ROUNDUP(IF(MOD(AI$18+INDEX(_xlfn.TEXTSPLIT(AI109,",",),0,2)+$A$18,$A$18)=0,$A$18,MOD(AI$18+INDEX(_xlfn.TEXTSPLIT(AI109,",",),0,2)+$A$18,$A$18))/4,0)))+(INDEX($AD$2:$AK$9,ROUNDUP(IF(MOD($A54+INDEX(_xlfn.TEXTSPLIT(AI152,",",),0,1)+$A$18,$A$18)=0,$A$18,MOD($A54+INDEX(_xlfn.TEXTSPLIT(AI152,",",),0,1)+$A$18,$A$18))/5,0),ROUNDUP(IF(MOD(AI$18+INDEX(_xlfn.TEXTSPLIT(AI152,",",),0,2)+$A$18,$A$18)=0,$A$18,MOD(AI$18+INDEX(_xlfn.TEXTSPLIT(AI152,",",),0,2)+$A$18,$A$18))/5,0)))</f>
        <v>8</v>
      </c>
      <c r="AJ54" s="1" cm="1">
        <f t="array" aca="1" ref="AJ54" ca="1">(INDEX($K$2:$T$11,ROUNDUP(IF(MOD($A54+INDEX(_xlfn.TEXTSPLIT(AJ109,",",),0,1)+$A$18,$A$18)=0,$A$18,MOD($A54+INDEX(_xlfn.TEXTSPLIT(AJ109,",",),0,1)+$A$18,$A$18))/4,0),ROUNDUP(IF(MOD(AJ$18+INDEX(_xlfn.TEXTSPLIT(AJ109,",",),0,2)+$A$18,$A$18)=0,$A$18,MOD(AJ$18+INDEX(_xlfn.TEXTSPLIT(AJ109,",",),0,2)+$A$18,$A$18))/4,0)))+(INDEX($AD$2:$AK$9,ROUNDUP(IF(MOD($A54+INDEX(_xlfn.TEXTSPLIT(AJ152,",",),0,1)+$A$18,$A$18)=0,$A$18,MOD($A54+INDEX(_xlfn.TEXTSPLIT(AJ152,",",),0,1)+$A$18,$A$18))/5,0),ROUNDUP(IF(MOD(AJ$18+INDEX(_xlfn.TEXTSPLIT(AJ152,",",),0,2)+$A$18,$A$18)=0,$A$18,MOD(AJ$18+INDEX(_xlfn.TEXTSPLIT(AJ152,",",),0,2)+$A$18,$A$18))/5,0)))</f>
        <v>8</v>
      </c>
      <c r="AK54" s="1" cm="1">
        <f t="array" aca="1" ref="AK54" ca="1">(INDEX($K$2:$T$11,ROUNDUP(IF(MOD($A54+INDEX(_xlfn.TEXTSPLIT(AK109,",",),0,1)+$A$18,$A$18)=0,$A$18,MOD($A54+INDEX(_xlfn.TEXTSPLIT(AK109,",",),0,1)+$A$18,$A$18))/4,0),ROUNDUP(IF(MOD(AK$18+INDEX(_xlfn.TEXTSPLIT(AK109,",",),0,2)+$A$18,$A$18)=0,$A$18,MOD(AK$18+INDEX(_xlfn.TEXTSPLIT(AK109,",",),0,2)+$A$18,$A$18))/4,0)))+(INDEX($AD$2:$AK$9,ROUNDUP(IF(MOD($A54+INDEX(_xlfn.TEXTSPLIT(AK152,",",),0,1)+$A$18,$A$18)=0,$A$18,MOD($A54+INDEX(_xlfn.TEXTSPLIT(AK152,",",),0,1)+$A$18,$A$18))/5,0),ROUNDUP(IF(MOD(AK$18+INDEX(_xlfn.TEXTSPLIT(AK152,",",),0,2)+$A$18,$A$18)=0,$A$18,MOD(AK$18+INDEX(_xlfn.TEXTSPLIT(AK152,",",),0,2)+$A$18,$A$18))/5,0)))</f>
        <v>5</v>
      </c>
      <c r="AL54" s="1" cm="1">
        <f t="array" aca="1" ref="AL54" ca="1">(INDEX($K$2:$T$11,ROUNDUP(IF(MOD($A54+INDEX(_xlfn.TEXTSPLIT(AL109,",",),0,1)+$A$18,$A$18)=0,$A$18,MOD($A54+INDEX(_xlfn.TEXTSPLIT(AL109,",",),0,1)+$A$18,$A$18))/4,0),ROUNDUP(IF(MOD(AL$18+INDEX(_xlfn.TEXTSPLIT(AL109,",",),0,2)+$A$18,$A$18)=0,$A$18,MOD(AL$18+INDEX(_xlfn.TEXTSPLIT(AL109,",",),0,2)+$A$18,$A$18))/4,0)))+(INDEX($AD$2:$AK$9,ROUNDUP(IF(MOD($A54+INDEX(_xlfn.TEXTSPLIT(AL152,",",),0,1)+$A$18,$A$18)=0,$A$18,MOD($A54+INDEX(_xlfn.TEXTSPLIT(AL152,",",),0,1)+$A$18,$A$18))/5,0),ROUNDUP(IF(MOD(AL$18+INDEX(_xlfn.TEXTSPLIT(AL152,",",),0,2)+$A$18,$A$18)=0,$A$18,MOD(AL$18+INDEX(_xlfn.TEXTSPLIT(AL152,",",),0,2)+$A$18,$A$18))/5,0)))</f>
        <v>7</v>
      </c>
      <c r="AM54" s="1" cm="1">
        <f t="array" aca="1" ref="AM54" ca="1">(INDEX($K$2:$T$11,ROUNDUP(IF(MOD($A54+INDEX(_xlfn.TEXTSPLIT(AM109,",",),0,1)+$A$18,$A$18)=0,$A$18,MOD($A54+INDEX(_xlfn.TEXTSPLIT(AM109,",",),0,1)+$A$18,$A$18))/4,0),ROUNDUP(IF(MOD(AM$18+INDEX(_xlfn.TEXTSPLIT(AM109,",",),0,2)+$A$18,$A$18)=0,$A$18,MOD(AM$18+INDEX(_xlfn.TEXTSPLIT(AM109,",",),0,2)+$A$18,$A$18))/4,0)))+(INDEX($AD$2:$AK$9,ROUNDUP(IF(MOD($A54+INDEX(_xlfn.TEXTSPLIT(AM152,",",),0,1)+$A$18,$A$18)=0,$A$18,MOD($A54+INDEX(_xlfn.TEXTSPLIT(AM152,",",),0,1)+$A$18,$A$18))/5,0),ROUNDUP(IF(MOD(AM$18+INDEX(_xlfn.TEXTSPLIT(AM152,",",),0,2)+$A$18,$A$18)=0,$A$18,MOD(AM$18+INDEX(_xlfn.TEXTSPLIT(AM152,",",),0,2)+$A$18,$A$18))/5,0)))</f>
        <v>7</v>
      </c>
      <c r="AN54" s="1" cm="1">
        <f t="array" aca="1" ref="AN54" ca="1">(INDEX($K$2:$T$11,ROUNDUP(IF(MOD($A54+INDEX(_xlfn.TEXTSPLIT(AN109,",",),0,1)+$A$18,$A$18)=0,$A$18,MOD($A54+INDEX(_xlfn.TEXTSPLIT(AN109,",",),0,1)+$A$18,$A$18))/4,0),ROUNDUP(IF(MOD(AN$18+INDEX(_xlfn.TEXTSPLIT(AN109,",",),0,2)+$A$18,$A$18)=0,$A$18,MOD(AN$18+INDEX(_xlfn.TEXTSPLIT(AN109,",",),0,2)+$A$18,$A$18))/4,0)))+(INDEX($AD$2:$AK$9,ROUNDUP(IF(MOD($A54+INDEX(_xlfn.TEXTSPLIT(AN152,",",),0,1)+$A$18,$A$18)=0,$A$18,MOD($A54+INDEX(_xlfn.TEXTSPLIT(AN152,",",),0,1)+$A$18,$A$18))/5,0),ROUNDUP(IF(MOD(AN$18+INDEX(_xlfn.TEXTSPLIT(AN152,",",),0,2)+$A$18,$A$18)=0,$A$18,MOD(AN$18+INDEX(_xlfn.TEXTSPLIT(AN152,",",),0,2)+$A$18,$A$18))/5,0)))</f>
        <v>5</v>
      </c>
      <c r="AO54" s="1" cm="1">
        <f t="array" aca="1" ref="AO54" ca="1">(INDEX($K$2:$T$11,ROUNDUP(IF(MOD($A54+INDEX(_xlfn.TEXTSPLIT(AO109,",",),0,1)+$A$18,$A$18)=0,$A$18,MOD($A54+INDEX(_xlfn.TEXTSPLIT(AO109,",",),0,1)+$A$18,$A$18))/4,0),ROUNDUP(IF(MOD(AO$18+INDEX(_xlfn.TEXTSPLIT(AO109,",",),0,2)+$A$18,$A$18)=0,$A$18,MOD(AO$18+INDEX(_xlfn.TEXTSPLIT(AO109,",",),0,2)+$A$18,$A$18))/4,0)))+(INDEX($AD$2:$AK$9,ROUNDUP(IF(MOD($A54+INDEX(_xlfn.TEXTSPLIT(AO152,",",),0,1)+$A$18,$A$18)=0,$A$18,MOD($A54+INDEX(_xlfn.TEXTSPLIT(AO152,",",),0,1)+$A$18,$A$18))/5,0),ROUNDUP(IF(MOD(AO$18+INDEX(_xlfn.TEXTSPLIT(AO152,",",),0,2)+$A$18,$A$18)=0,$A$18,MOD(AO$18+INDEX(_xlfn.TEXTSPLIT(AO152,",",),0,2)+$A$18,$A$18))/5,0)))</f>
        <v>7</v>
      </c>
    </row>
    <row r="55" spans="1:41" ht="12.75">
      <c r="A55" s="1">
        <v>37</v>
      </c>
      <c r="B55" s="1" cm="1">
        <f t="array" aca="1" ref="B55" ca="1">(INDEX($K$2:$T$11,ROUNDUP(IF(MOD($A55+INDEX(_xlfn.TEXTSPLIT(B110,",",),0,1)+$A$18,$A$18)=0,$A$18,MOD($A55+INDEX(_xlfn.TEXTSPLIT(B110,",",),0,1)+$A$18,$A$18))/4,0),ROUNDUP(IF(MOD(B$18+INDEX(_xlfn.TEXTSPLIT(B110,",",),0,2)+$A$18,$A$18)=0,$A$18,MOD(B$18+INDEX(_xlfn.TEXTSPLIT(B110,",",),0,2)+$A$18,$A$18))/4,0)))+(INDEX($AD$2:$AK$9,ROUNDUP(IF(MOD($A55+INDEX(_xlfn.TEXTSPLIT(B153,",",),0,1)+$A$18,$A$18)=0,$A$18,MOD($A55+INDEX(_xlfn.TEXTSPLIT(B153,",",),0,1)+$A$18,$A$18))/5,0),ROUNDUP(IF(MOD(B$18+INDEX(_xlfn.TEXTSPLIT(B153,",",),0,2)+$A$18,$A$18)=0,$A$18,MOD(B$18+INDEX(_xlfn.TEXTSPLIT(B153,",",),0,2)+$A$18,$A$18))/5,0)))</f>
        <v>7</v>
      </c>
      <c r="C55" s="1" cm="1">
        <f t="array" aca="1" ref="C55" ca="1">(INDEX($K$2:$T$11,ROUNDUP(IF(MOD($A55+INDEX(_xlfn.TEXTSPLIT(C110,",",),0,1)+$A$18,$A$18)=0,$A$18,MOD($A55+INDEX(_xlfn.TEXTSPLIT(C110,",",),0,1)+$A$18,$A$18))/4,0),ROUNDUP(IF(MOD(C$18+INDEX(_xlfn.TEXTSPLIT(C110,",",),0,2)+$A$18,$A$18)=0,$A$18,MOD(C$18+INDEX(_xlfn.TEXTSPLIT(C110,",",),0,2)+$A$18,$A$18))/4,0)))+(INDEX($AD$2:$AK$9,ROUNDUP(IF(MOD($A55+INDEX(_xlfn.TEXTSPLIT(C153,",",),0,1)+$A$18,$A$18)=0,$A$18,MOD($A55+INDEX(_xlfn.TEXTSPLIT(C153,",",),0,1)+$A$18,$A$18))/5,0),ROUNDUP(IF(MOD(C$18+INDEX(_xlfn.TEXTSPLIT(C153,",",),0,2)+$A$18,$A$18)=0,$A$18,MOD(C$18+INDEX(_xlfn.TEXTSPLIT(C153,",",),0,2)+$A$18,$A$18))/5,0)))</f>
        <v>5</v>
      </c>
      <c r="D55" s="1" cm="1">
        <f t="array" aca="1" ref="D55" ca="1">(INDEX($K$2:$T$11,ROUNDUP(IF(MOD($A55+INDEX(_xlfn.TEXTSPLIT(D110,",",),0,1)+$A$18,$A$18)=0,$A$18,MOD($A55+INDEX(_xlfn.TEXTSPLIT(D110,",",),0,1)+$A$18,$A$18))/4,0),ROUNDUP(IF(MOD(D$18+INDEX(_xlfn.TEXTSPLIT(D110,",",),0,2)+$A$18,$A$18)=0,$A$18,MOD(D$18+INDEX(_xlfn.TEXTSPLIT(D110,",",),0,2)+$A$18,$A$18))/4,0)))+(INDEX($AD$2:$AK$9,ROUNDUP(IF(MOD($A55+INDEX(_xlfn.TEXTSPLIT(D153,",",),0,1)+$A$18,$A$18)=0,$A$18,MOD($A55+INDEX(_xlfn.TEXTSPLIT(D153,",",),0,1)+$A$18,$A$18))/5,0),ROUNDUP(IF(MOD(D$18+INDEX(_xlfn.TEXTSPLIT(D153,",",),0,2)+$A$18,$A$18)=0,$A$18,MOD(D$18+INDEX(_xlfn.TEXTSPLIT(D153,",",),0,2)+$A$18,$A$18))/5,0)))</f>
        <v>5</v>
      </c>
      <c r="E55" s="1" cm="1">
        <f t="array" aca="1" ref="E55" ca="1">(INDEX($K$2:$T$11,ROUNDUP(IF(MOD($A55+INDEX(_xlfn.TEXTSPLIT(E110,",",),0,1)+$A$18,$A$18)=0,$A$18,MOD($A55+INDEX(_xlfn.TEXTSPLIT(E110,",",),0,1)+$A$18,$A$18))/4,0),ROUNDUP(IF(MOD(E$18+INDEX(_xlfn.TEXTSPLIT(E110,",",),0,2)+$A$18,$A$18)=0,$A$18,MOD(E$18+INDEX(_xlfn.TEXTSPLIT(E110,",",),0,2)+$A$18,$A$18))/4,0)))+(INDEX($AD$2:$AK$9,ROUNDUP(IF(MOD($A55+INDEX(_xlfn.TEXTSPLIT(E153,",",),0,1)+$A$18,$A$18)=0,$A$18,MOD($A55+INDEX(_xlfn.TEXTSPLIT(E153,",",),0,1)+$A$18,$A$18))/5,0),ROUNDUP(IF(MOD(E$18+INDEX(_xlfn.TEXTSPLIT(E153,",",),0,2)+$A$18,$A$18)=0,$A$18,MOD(E$18+INDEX(_xlfn.TEXTSPLIT(E153,",",),0,2)+$A$18,$A$18))/5,0)))</f>
        <v>5</v>
      </c>
      <c r="F55" s="1" cm="1">
        <f t="array" aca="1" ref="F55" ca="1">(INDEX($K$2:$T$11,ROUNDUP(IF(MOD($A55+INDEX(_xlfn.TEXTSPLIT(F110,",",),0,1)+$A$18,$A$18)=0,$A$18,MOD($A55+INDEX(_xlfn.TEXTSPLIT(F110,",",),0,1)+$A$18,$A$18))/4,0),ROUNDUP(IF(MOD(F$18+INDEX(_xlfn.TEXTSPLIT(F110,",",),0,2)+$A$18,$A$18)=0,$A$18,MOD(F$18+INDEX(_xlfn.TEXTSPLIT(F110,",",),0,2)+$A$18,$A$18))/4,0)))+(INDEX($AD$2:$AK$9,ROUNDUP(IF(MOD($A55+INDEX(_xlfn.TEXTSPLIT(F153,",",),0,1)+$A$18,$A$18)=0,$A$18,MOD($A55+INDEX(_xlfn.TEXTSPLIT(F153,",",),0,1)+$A$18,$A$18))/5,0),ROUNDUP(IF(MOD(F$18+INDEX(_xlfn.TEXTSPLIT(F153,",",),0,2)+$A$18,$A$18)=0,$A$18,MOD(F$18+INDEX(_xlfn.TEXTSPLIT(F153,",",),0,2)+$A$18,$A$18))/5,0)))</f>
        <v>3</v>
      </c>
      <c r="G55" s="1" cm="1">
        <f t="array" aca="1" ref="G55" ca="1">(INDEX($K$2:$T$11,ROUNDUP(IF(MOD($A55+INDEX(_xlfn.TEXTSPLIT(G110,",",),0,1)+$A$18,$A$18)=0,$A$18,MOD($A55+INDEX(_xlfn.TEXTSPLIT(G110,",",),0,1)+$A$18,$A$18))/4,0),ROUNDUP(IF(MOD(G$18+INDEX(_xlfn.TEXTSPLIT(G110,",",),0,2)+$A$18,$A$18)=0,$A$18,MOD(G$18+INDEX(_xlfn.TEXTSPLIT(G110,",",),0,2)+$A$18,$A$18))/4,0)))+(INDEX($AD$2:$AK$9,ROUNDUP(IF(MOD($A55+INDEX(_xlfn.TEXTSPLIT(G153,",",),0,1)+$A$18,$A$18)=0,$A$18,MOD($A55+INDEX(_xlfn.TEXTSPLIT(G153,",",),0,1)+$A$18,$A$18))/5,0),ROUNDUP(IF(MOD(G$18+INDEX(_xlfn.TEXTSPLIT(G153,",",),0,2)+$A$18,$A$18)=0,$A$18,MOD(G$18+INDEX(_xlfn.TEXTSPLIT(G153,",",),0,2)+$A$18,$A$18))/5,0)))</f>
        <v>1</v>
      </c>
      <c r="H55" s="1" cm="1">
        <f t="array" aca="1" ref="H55" ca="1">(INDEX($K$2:$T$11,ROUNDUP(IF(MOD($A55+INDEX(_xlfn.TEXTSPLIT(H110,",",),0,1)+$A$18,$A$18)=0,$A$18,MOD($A55+INDEX(_xlfn.TEXTSPLIT(H110,",",),0,1)+$A$18,$A$18))/4,0),ROUNDUP(IF(MOD(H$18+INDEX(_xlfn.TEXTSPLIT(H110,",",),0,2)+$A$18,$A$18)=0,$A$18,MOD(H$18+INDEX(_xlfn.TEXTSPLIT(H110,",",),0,2)+$A$18,$A$18))/4,0)))+(INDEX($AD$2:$AK$9,ROUNDUP(IF(MOD($A55+INDEX(_xlfn.TEXTSPLIT(H153,",",),0,1)+$A$18,$A$18)=0,$A$18,MOD($A55+INDEX(_xlfn.TEXTSPLIT(H153,",",),0,1)+$A$18,$A$18))/5,0),ROUNDUP(IF(MOD(H$18+INDEX(_xlfn.TEXTSPLIT(H153,",",),0,2)+$A$18,$A$18)=0,$A$18,MOD(H$18+INDEX(_xlfn.TEXTSPLIT(H153,",",),0,2)+$A$18,$A$18))/5,0)))</f>
        <v>7</v>
      </c>
      <c r="I55" s="1" cm="1">
        <f t="array" aca="1" ref="I55" ca="1">(INDEX($K$2:$T$11,ROUNDUP(IF(MOD($A55+INDEX(_xlfn.TEXTSPLIT(I110,",",),0,1)+$A$18,$A$18)=0,$A$18,MOD($A55+INDEX(_xlfn.TEXTSPLIT(I110,",",),0,1)+$A$18,$A$18))/4,0),ROUNDUP(IF(MOD(I$18+INDEX(_xlfn.TEXTSPLIT(I110,",",),0,2)+$A$18,$A$18)=0,$A$18,MOD(I$18+INDEX(_xlfn.TEXTSPLIT(I110,",",),0,2)+$A$18,$A$18))/4,0)))+(INDEX($AD$2:$AK$9,ROUNDUP(IF(MOD($A55+INDEX(_xlfn.TEXTSPLIT(I153,",",),0,1)+$A$18,$A$18)=0,$A$18,MOD($A55+INDEX(_xlfn.TEXTSPLIT(I153,",",),0,1)+$A$18,$A$18))/5,0),ROUNDUP(IF(MOD(I$18+INDEX(_xlfn.TEXTSPLIT(I153,",",),0,2)+$A$18,$A$18)=0,$A$18,MOD(I$18+INDEX(_xlfn.TEXTSPLIT(I153,",",),0,2)+$A$18,$A$18))/5,0)))</f>
        <v>3</v>
      </c>
      <c r="J55" s="1" cm="1">
        <f t="array" aca="1" ref="J55" ca="1">(INDEX($K$2:$T$11,ROUNDUP(IF(MOD($A55+INDEX(_xlfn.TEXTSPLIT(J110,",",),0,1)+$A$18,$A$18)=0,$A$18,MOD($A55+INDEX(_xlfn.TEXTSPLIT(J110,",",),0,1)+$A$18,$A$18))/4,0),ROUNDUP(IF(MOD(J$18+INDEX(_xlfn.TEXTSPLIT(J110,",",),0,2)+$A$18,$A$18)=0,$A$18,MOD(J$18+INDEX(_xlfn.TEXTSPLIT(J110,",",),0,2)+$A$18,$A$18))/4,0)))+(INDEX($AD$2:$AK$9,ROUNDUP(IF(MOD($A55+INDEX(_xlfn.TEXTSPLIT(J153,",",),0,1)+$A$18,$A$18)=0,$A$18,MOD($A55+INDEX(_xlfn.TEXTSPLIT(J153,",",),0,1)+$A$18,$A$18))/5,0),ROUNDUP(IF(MOD(J$18+INDEX(_xlfn.TEXTSPLIT(J153,",",),0,2)+$A$18,$A$18)=0,$A$18,MOD(J$18+INDEX(_xlfn.TEXTSPLIT(J153,",",),0,2)+$A$18,$A$18))/5,0)))</f>
        <v>3</v>
      </c>
      <c r="K55" s="1" cm="1">
        <f t="array" aca="1" ref="K55" ca="1">(INDEX($K$2:$T$11,ROUNDUP(IF(MOD($A55+INDEX(_xlfn.TEXTSPLIT(K110,",",),0,1)+$A$18,$A$18)=0,$A$18,MOD($A55+INDEX(_xlfn.TEXTSPLIT(K110,",",),0,1)+$A$18,$A$18))/4,0),ROUNDUP(IF(MOD(K$18+INDEX(_xlfn.TEXTSPLIT(K110,",",),0,2)+$A$18,$A$18)=0,$A$18,MOD(K$18+INDEX(_xlfn.TEXTSPLIT(K110,",",),0,2)+$A$18,$A$18))/4,0)))+(INDEX($AD$2:$AK$9,ROUNDUP(IF(MOD($A55+INDEX(_xlfn.TEXTSPLIT(K153,",",),0,1)+$A$18,$A$18)=0,$A$18,MOD($A55+INDEX(_xlfn.TEXTSPLIT(K153,",",),0,1)+$A$18,$A$18))/5,0),ROUNDUP(IF(MOD(K$18+INDEX(_xlfn.TEXTSPLIT(K153,",",),0,2)+$A$18,$A$18)=0,$A$18,MOD(K$18+INDEX(_xlfn.TEXTSPLIT(K153,",",),0,2)+$A$18,$A$18))/5,0)))</f>
        <v>7</v>
      </c>
      <c r="L55" s="1" cm="1">
        <f t="array" aca="1" ref="L55" ca="1">(INDEX($K$2:$T$11,ROUNDUP(IF(MOD($A55+INDEX(_xlfn.TEXTSPLIT(L110,",",),0,1)+$A$18,$A$18)=0,$A$18,MOD($A55+INDEX(_xlfn.TEXTSPLIT(L110,",",),0,1)+$A$18,$A$18))/4,0),ROUNDUP(IF(MOD(L$18+INDEX(_xlfn.TEXTSPLIT(L110,",",),0,2)+$A$18,$A$18)=0,$A$18,MOD(L$18+INDEX(_xlfn.TEXTSPLIT(L110,",",),0,2)+$A$18,$A$18))/4,0)))+(INDEX($AD$2:$AK$9,ROUNDUP(IF(MOD($A55+INDEX(_xlfn.TEXTSPLIT(L153,",",),0,1)+$A$18,$A$18)=0,$A$18,MOD($A55+INDEX(_xlfn.TEXTSPLIT(L153,",",),0,1)+$A$18,$A$18))/5,0),ROUNDUP(IF(MOD(L$18+INDEX(_xlfn.TEXTSPLIT(L153,",",),0,2)+$A$18,$A$18)=0,$A$18,MOD(L$18+INDEX(_xlfn.TEXTSPLIT(L153,",",),0,2)+$A$18,$A$18))/5,0)))</f>
        <v>7</v>
      </c>
      <c r="M55" s="1" cm="1">
        <f t="array" aca="1" ref="M55" ca="1">(INDEX($K$2:$T$11,ROUNDUP(IF(MOD($A55+INDEX(_xlfn.TEXTSPLIT(M110,",",),0,1)+$A$18,$A$18)=0,$A$18,MOD($A55+INDEX(_xlfn.TEXTSPLIT(M110,",",),0,1)+$A$18,$A$18))/4,0),ROUNDUP(IF(MOD(M$18+INDEX(_xlfn.TEXTSPLIT(M110,",",),0,2)+$A$18,$A$18)=0,$A$18,MOD(M$18+INDEX(_xlfn.TEXTSPLIT(M110,",",),0,2)+$A$18,$A$18))/4,0)))+(INDEX($AD$2:$AK$9,ROUNDUP(IF(MOD($A55+INDEX(_xlfn.TEXTSPLIT(M153,",",),0,1)+$A$18,$A$18)=0,$A$18,MOD($A55+INDEX(_xlfn.TEXTSPLIT(M153,",",),0,1)+$A$18,$A$18))/5,0),ROUNDUP(IF(MOD(M$18+INDEX(_xlfn.TEXTSPLIT(M153,",",),0,2)+$A$18,$A$18)=0,$A$18,MOD(M$18+INDEX(_xlfn.TEXTSPLIT(M153,",",),0,2)+$A$18,$A$18))/5,0)))</f>
        <v>3</v>
      </c>
      <c r="N55" s="1" cm="1">
        <f t="array" aca="1" ref="N55" ca="1">(INDEX($K$2:$T$11,ROUNDUP(IF(MOD($A55+INDEX(_xlfn.TEXTSPLIT(N110,",",),0,1)+$A$18,$A$18)=0,$A$18,MOD($A55+INDEX(_xlfn.TEXTSPLIT(N110,",",),0,1)+$A$18,$A$18))/4,0),ROUNDUP(IF(MOD(N$18+INDEX(_xlfn.TEXTSPLIT(N110,",",),0,2)+$A$18,$A$18)=0,$A$18,MOD(N$18+INDEX(_xlfn.TEXTSPLIT(N110,",",),0,2)+$A$18,$A$18))/4,0)))+(INDEX($AD$2:$AK$9,ROUNDUP(IF(MOD($A55+INDEX(_xlfn.TEXTSPLIT(N153,",",),0,1)+$A$18,$A$18)=0,$A$18,MOD($A55+INDEX(_xlfn.TEXTSPLIT(N153,",",),0,1)+$A$18,$A$18))/5,0),ROUNDUP(IF(MOD(N$18+INDEX(_xlfn.TEXTSPLIT(N153,",",),0,2)+$A$18,$A$18)=0,$A$18,MOD(N$18+INDEX(_xlfn.TEXTSPLIT(N153,",",),0,2)+$A$18,$A$18))/5,0)))</f>
        <v>7</v>
      </c>
      <c r="O55" s="1" cm="1">
        <f t="array" aca="1" ref="O55" ca="1">(INDEX($K$2:$T$11,ROUNDUP(IF(MOD($A55+INDEX(_xlfn.TEXTSPLIT(O110,",",),0,1)+$A$18,$A$18)=0,$A$18,MOD($A55+INDEX(_xlfn.TEXTSPLIT(O110,",",),0,1)+$A$18,$A$18))/4,0),ROUNDUP(IF(MOD(O$18+INDEX(_xlfn.TEXTSPLIT(O110,",",),0,2)+$A$18,$A$18)=0,$A$18,MOD(O$18+INDEX(_xlfn.TEXTSPLIT(O110,",",),0,2)+$A$18,$A$18))/4,0)))+(INDEX($AD$2:$AK$9,ROUNDUP(IF(MOD($A55+INDEX(_xlfn.TEXTSPLIT(O153,",",),0,1)+$A$18,$A$18)=0,$A$18,MOD($A55+INDEX(_xlfn.TEXTSPLIT(O153,",",),0,1)+$A$18,$A$18))/5,0),ROUNDUP(IF(MOD(O$18+INDEX(_xlfn.TEXTSPLIT(O153,",",),0,2)+$A$18,$A$18)=0,$A$18,MOD(O$18+INDEX(_xlfn.TEXTSPLIT(O153,",",),0,2)+$A$18,$A$18))/5,0)))</f>
        <v>3</v>
      </c>
      <c r="P55" s="1" cm="1">
        <f t="array" aca="1" ref="P55" ca="1">(INDEX($K$2:$T$11,ROUNDUP(IF(MOD($A55+INDEX(_xlfn.TEXTSPLIT(P110,",",),0,1)+$A$18,$A$18)=0,$A$18,MOD($A55+INDEX(_xlfn.TEXTSPLIT(P110,",",),0,1)+$A$18,$A$18))/4,0),ROUNDUP(IF(MOD(P$18+INDEX(_xlfn.TEXTSPLIT(P110,",",),0,2)+$A$18,$A$18)=0,$A$18,MOD(P$18+INDEX(_xlfn.TEXTSPLIT(P110,",",),0,2)+$A$18,$A$18))/4,0)))+(INDEX($AD$2:$AK$9,ROUNDUP(IF(MOD($A55+INDEX(_xlfn.TEXTSPLIT(P153,",",),0,1)+$A$18,$A$18)=0,$A$18,MOD($A55+INDEX(_xlfn.TEXTSPLIT(P153,",",),0,1)+$A$18,$A$18))/5,0),ROUNDUP(IF(MOD(P$18+INDEX(_xlfn.TEXTSPLIT(P153,",",),0,2)+$A$18,$A$18)=0,$A$18,MOD(P$18+INDEX(_xlfn.TEXTSPLIT(P153,",",),0,2)+$A$18,$A$18))/5,0)))</f>
        <v>4</v>
      </c>
      <c r="Q55" s="1" cm="1">
        <f t="array" aca="1" ref="Q55" ca="1">(INDEX($K$2:$T$11,ROUNDUP(IF(MOD($A55+INDEX(_xlfn.TEXTSPLIT(Q110,",",),0,1)+$A$18,$A$18)=0,$A$18,MOD($A55+INDEX(_xlfn.TEXTSPLIT(Q110,",",),0,1)+$A$18,$A$18))/4,0),ROUNDUP(IF(MOD(Q$18+INDEX(_xlfn.TEXTSPLIT(Q110,",",),0,2)+$A$18,$A$18)=0,$A$18,MOD(Q$18+INDEX(_xlfn.TEXTSPLIT(Q110,",",),0,2)+$A$18,$A$18))/4,0)))+(INDEX($AD$2:$AK$9,ROUNDUP(IF(MOD($A55+INDEX(_xlfn.TEXTSPLIT(Q153,",",),0,1)+$A$18,$A$18)=0,$A$18,MOD($A55+INDEX(_xlfn.TEXTSPLIT(Q153,",",),0,1)+$A$18,$A$18))/5,0),ROUNDUP(IF(MOD(Q$18+INDEX(_xlfn.TEXTSPLIT(Q153,",",),0,2)+$A$18,$A$18)=0,$A$18,MOD(Q$18+INDEX(_xlfn.TEXTSPLIT(Q153,",",),0,2)+$A$18,$A$18))/5,0)))</f>
        <v>4</v>
      </c>
      <c r="R55" s="1" cm="1">
        <f t="array" aca="1" ref="R55" ca="1">(INDEX($K$2:$T$11,ROUNDUP(IF(MOD($A55+INDEX(_xlfn.TEXTSPLIT(R110,",",),0,1)+$A$18,$A$18)=0,$A$18,MOD($A55+INDEX(_xlfn.TEXTSPLIT(R110,",",),0,1)+$A$18,$A$18))/4,0),ROUNDUP(IF(MOD(R$18+INDEX(_xlfn.TEXTSPLIT(R110,",",),0,2)+$A$18,$A$18)=0,$A$18,MOD(R$18+INDEX(_xlfn.TEXTSPLIT(R110,",",),0,2)+$A$18,$A$18))/4,0)))+(INDEX($AD$2:$AK$9,ROUNDUP(IF(MOD($A55+INDEX(_xlfn.TEXTSPLIT(R153,",",),0,1)+$A$18,$A$18)=0,$A$18,MOD($A55+INDEX(_xlfn.TEXTSPLIT(R153,",",),0,1)+$A$18,$A$18))/5,0),ROUNDUP(IF(MOD(R$18+INDEX(_xlfn.TEXTSPLIT(R153,",",),0,2)+$A$18,$A$18)=0,$A$18,MOD(R$18+INDEX(_xlfn.TEXTSPLIT(R153,",",),0,2)+$A$18,$A$18))/5,0)))</f>
        <v>4</v>
      </c>
      <c r="S55" s="1" cm="1">
        <f t="array" aca="1" ref="S55" ca="1">(INDEX($K$2:$T$11,ROUNDUP(IF(MOD($A55+INDEX(_xlfn.TEXTSPLIT(S110,",",),0,1)+$A$18,$A$18)=0,$A$18,MOD($A55+INDEX(_xlfn.TEXTSPLIT(S110,",",),0,1)+$A$18,$A$18))/4,0),ROUNDUP(IF(MOD(S$18+INDEX(_xlfn.TEXTSPLIT(S110,",",),0,2)+$A$18,$A$18)=0,$A$18,MOD(S$18+INDEX(_xlfn.TEXTSPLIT(S110,",",),0,2)+$A$18,$A$18))/4,0)))+(INDEX($AD$2:$AK$9,ROUNDUP(IF(MOD($A55+INDEX(_xlfn.TEXTSPLIT(S153,",",),0,1)+$A$18,$A$18)=0,$A$18,MOD($A55+INDEX(_xlfn.TEXTSPLIT(S153,",",),0,1)+$A$18,$A$18))/5,0),ROUNDUP(IF(MOD(S$18+INDEX(_xlfn.TEXTSPLIT(S153,",",),0,2)+$A$18,$A$18)=0,$A$18,MOD(S$18+INDEX(_xlfn.TEXTSPLIT(S153,",",),0,2)+$A$18,$A$18))/5,0)))</f>
        <v>8</v>
      </c>
      <c r="T55" s="1" cm="1">
        <f t="array" aca="1" ref="T55" ca="1">(INDEX($K$2:$T$11,ROUNDUP(IF(MOD($A55+INDEX(_xlfn.TEXTSPLIT(T110,",",),0,1)+$A$18,$A$18)=0,$A$18,MOD($A55+INDEX(_xlfn.TEXTSPLIT(T110,",",),0,1)+$A$18,$A$18))/4,0),ROUNDUP(IF(MOD(T$18+INDEX(_xlfn.TEXTSPLIT(T110,",",),0,2)+$A$18,$A$18)=0,$A$18,MOD(T$18+INDEX(_xlfn.TEXTSPLIT(T110,",",),0,2)+$A$18,$A$18))/4,0)))+(INDEX($AD$2:$AK$9,ROUNDUP(IF(MOD($A55+INDEX(_xlfn.TEXTSPLIT(T153,",",),0,1)+$A$18,$A$18)=0,$A$18,MOD($A55+INDEX(_xlfn.TEXTSPLIT(T153,",",),0,1)+$A$18,$A$18))/5,0),ROUNDUP(IF(MOD(T$18+INDEX(_xlfn.TEXTSPLIT(T153,",",),0,2)+$A$18,$A$18)=0,$A$18,MOD(T$18+INDEX(_xlfn.TEXTSPLIT(T153,",",),0,2)+$A$18,$A$18))/5,0)))</f>
        <v>4</v>
      </c>
      <c r="U55" s="1" cm="1">
        <f t="array" aca="1" ref="U55" ca="1">(INDEX($K$2:$T$11,ROUNDUP(IF(MOD($A55+INDEX(_xlfn.TEXTSPLIT(U110,",",),0,1)+$A$18,$A$18)=0,$A$18,MOD($A55+INDEX(_xlfn.TEXTSPLIT(U110,",",),0,1)+$A$18,$A$18))/4,0),ROUNDUP(IF(MOD(U$18+INDEX(_xlfn.TEXTSPLIT(U110,",",),0,2)+$A$18,$A$18)=0,$A$18,MOD(U$18+INDEX(_xlfn.TEXTSPLIT(U110,",",),0,2)+$A$18,$A$18))/4,0)))+(INDEX($AD$2:$AK$9,ROUNDUP(IF(MOD($A55+INDEX(_xlfn.TEXTSPLIT(U153,",",),0,1)+$A$18,$A$18)=0,$A$18,MOD($A55+INDEX(_xlfn.TEXTSPLIT(U153,",",),0,1)+$A$18,$A$18))/5,0),ROUNDUP(IF(MOD(U$18+INDEX(_xlfn.TEXTSPLIT(U153,",",),0,2)+$A$18,$A$18)=0,$A$18,MOD(U$18+INDEX(_xlfn.TEXTSPLIT(U153,",",),0,2)+$A$18,$A$18))/5,0)))</f>
        <v>8</v>
      </c>
      <c r="V55" s="1" cm="1">
        <f t="array" aca="1" ref="V55" ca="1">(INDEX($K$2:$T$11,ROUNDUP(IF(MOD($A55+INDEX(_xlfn.TEXTSPLIT(V110,",",),0,1)+$A$18,$A$18)=0,$A$18,MOD($A55+INDEX(_xlfn.TEXTSPLIT(V110,",",),0,1)+$A$18,$A$18))/4,0),ROUNDUP(IF(MOD(V$18+INDEX(_xlfn.TEXTSPLIT(V110,",",),0,2)+$A$18,$A$18)=0,$A$18,MOD(V$18+INDEX(_xlfn.TEXTSPLIT(V110,",",),0,2)+$A$18,$A$18))/4,0)))+(INDEX($AD$2:$AK$9,ROUNDUP(IF(MOD($A55+INDEX(_xlfn.TEXTSPLIT(V153,",",),0,1)+$A$18,$A$18)=0,$A$18,MOD($A55+INDEX(_xlfn.TEXTSPLIT(V153,",",),0,1)+$A$18,$A$18))/5,0),ROUNDUP(IF(MOD(V$18+INDEX(_xlfn.TEXTSPLIT(V153,",",),0,2)+$A$18,$A$18)=0,$A$18,MOD(V$18+INDEX(_xlfn.TEXTSPLIT(V153,",",),0,2)+$A$18,$A$18))/5,0)))</f>
        <v>8</v>
      </c>
      <c r="W55" s="1" cm="1">
        <f t="array" aca="1" ref="W55" ca="1">(INDEX($K$2:$T$11,ROUNDUP(IF(MOD($A55+INDEX(_xlfn.TEXTSPLIT(W110,",",),0,1)+$A$18,$A$18)=0,$A$18,MOD($A55+INDEX(_xlfn.TEXTSPLIT(W110,",",),0,1)+$A$18,$A$18))/4,0),ROUNDUP(IF(MOD(W$18+INDEX(_xlfn.TEXTSPLIT(W110,",",),0,2)+$A$18,$A$18)=0,$A$18,MOD(W$18+INDEX(_xlfn.TEXTSPLIT(W110,",",),0,2)+$A$18,$A$18))/4,0)))+(INDEX($AD$2:$AK$9,ROUNDUP(IF(MOD($A55+INDEX(_xlfn.TEXTSPLIT(W153,",",),0,1)+$A$18,$A$18)=0,$A$18,MOD($A55+INDEX(_xlfn.TEXTSPLIT(W153,",",),0,1)+$A$18,$A$18))/5,0),ROUNDUP(IF(MOD(W$18+INDEX(_xlfn.TEXTSPLIT(W153,",",),0,2)+$A$18,$A$18)=0,$A$18,MOD(W$18+INDEX(_xlfn.TEXTSPLIT(W153,",",),0,2)+$A$18,$A$18))/5,0)))</f>
        <v>7</v>
      </c>
      <c r="X55" s="1" cm="1">
        <f t="array" aca="1" ref="X55" ca="1">(INDEX($K$2:$T$11,ROUNDUP(IF(MOD($A55+INDEX(_xlfn.TEXTSPLIT(X110,",",),0,1)+$A$18,$A$18)=0,$A$18,MOD($A55+INDEX(_xlfn.TEXTSPLIT(X110,",",),0,1)+$A$18,$A$18))/4,0),ROUNDUP(IF(MOD(X$18+INDEX(_xlfn.TEXTSPLIT(X110,",",),0,2)+$A$18,$A$18)=0,$A$18,MOD(X$18+INDEX(_xlfn.TEXTSPLIT(X110,",",),0,2)+$A$18,$A$18))/4,0)))+(INDEX($AD$2:$AK$9,ROUNDUP(IF(MOD($A55+INDEX(_xlfn.TEXTSPLIT(X153,",",),0,1)+$A$18,$A$18)=0,$A$18,MOD($A55+INDEX(_xlfn.TEXTSPLIT(X153,",",),0,1)+$A$18,$A$18))/5,0),ROUNDUP(IF(MOD(X$18+INDEX(_xlfn.TEXTSPLIT(X153,",",),0,2)+$A$18,$A$18)=0,$A$18,MOD(X$18+INDEX(_xlfn.TEXTSPLIT(X153,",",),0,2)+$A$18,$A$18))/5,0)))</f>
        <v>7</v>
      </c>
      <c r="Y55" s="1" cm="1">
        <f t="array" aca="1" ref="Y55" ca="1">(INDEX($K$2:$T$11,ROUNDUP(IF(MOD($A55+INDEX(_xlfn.TEXTSPLIT(Y110,",",),0,1)+$A$18,$A$18)=0,$A$18,MOD($A55+INDEX(_xlfn.TEXTSPLIT(Y110,",",),0,1)+$A$18,$A$18))/4,0),ROUNDUP(IF(MOD(Y$18+INDEX(_xlfn.TEXTSPLIT(Y110,",",),0,2)+$A$18,$A$18)=0,$A$18,MOD(Y$18+INDEX(_xlfn.TEXTSPLIT(Y110,",",),0,2)+$A$18,$A$18))/4,0)))+(INDEX($AD$2:$AK$9,ROUNDUP(IF(MOD($A55+INDEX(_xlfn.TEXTSPLIT(Y153,",",),0,1)+$A$18,$A$18)=0,$A$18,MOD($A55+INDEX(_xlfn.TEXTSPLIT(Y153,",",),0,1)+$A$18,$A$18))/5,0),ROUNDUP(IF(MOD(Y$18+INDEX(_xlfn.TEXTSPLIT(Y153,",",),0,2)+$A$18,$A$18)=0,$A$18,MOD(Y$18+INDEX(_xlfn.TEXTSPLIT(Y153,",",),0,2)+$A$18,$A$18))/5,0)))</f>
        <v>7</v>
      </c>
      <c r="Z55" s="1" cm="1">
        <f t="array" aca="1" ref="Z55" ca="1">(INDEX($K$2:$T$11,ROUNDUP(IF(MOD($A55+INDEX(_xlfn.TEXTSPLIT(Z110,",",),0,1)+$A$18,$A$18)=0,$A$18,MOD($A55+INDEX(_xlfn.TEXTSPLIT(Z110,",",),0,1)+$A$18,$A$18))/4,0),ROUNDUP(IF(MOD(Z$18+INDEX(_xlfn.TEXTSPLIT(Z110,",",),0,2)+$A$18,$A$18)=0,$A$18,MOD(Z$18+INDEX(_xlfn.TEXTSPLIT(Z110,",",),0,2)+$A$18,$A$18))/4,0)))+(INDEX($AD$2:$AK$9,ROUNDUP(IF(MOD($A55+INDEX(_xlfn.TEXTSPLIT(Z153,",",),0,1)+$A$18,$A$18)=0,$A$18,MOD($A55+INDEX(_xlfn.TEXTSPLIT(Z153,",",),0,1)+$A$18,$A$18))/5,0),ROUNDUP(IF(MOD(Z$18+INDEX(_xlfn.TEXTSPLIT(Z153,",",),0,2)+$A$18,$A$18)=0,$A$18,MOD(Z$18+INDEX(_xlfn.TEXTSPLIT(Z153,",",),0,2)+$A$18,$A$18))/5,0)))</f>
        <v>7</v>
      </c>
      <c r="AA55" s="1" cm="1">
        <f t="array" aca="1" ref="AA55" ca="1">(INDEX($K$2:$T$11,ROUNDUP(IF(MOD($A55+INDEX(_xlfn.TEXTSPLIT(AA110,",",),0,1)+$A$18,$A$18)=0,$A$18,MOD($A55+INDEX(_xlfn.TEXTSPLIT(AA110,",",),0,1)+$A$18,$A$18))/4,0),ROUNDUP(IF(MOD(AA$18+INDEX(_xlfn.TEXTSPLIT(AA110,",",),0,2)+$A$18,$A$18)=0,$A$18,MOD(AA$18+INDEX(_xlfn.TEXTSPLIT(AA110,",",),0,2)+$A$18,$A$18))/4,0)))+(INDEX($AD$2:$AK$9,ROUNDUP(IF(MOD($A55+INDEX(_xlfn.TEXTSPLIT(AA153,",",),0,1)+$A$18,$A$18)=0,$A$18,MOD($A55+INDEX(_xlfn.TEXTSPLIT(AA153,",",),0,1)+$A$18,$A$18))/5,0),ROUNDUP(IF(MOD(AA$18+INDEX(_xlfn.TEXTSPLIT(AA153,",",),0,2)+$A$18,$A$18)=0,$A$18,MOD(AA$18+INDEX(_xlfn.TEXTSPLIT(AA153,",",),0,2)+$A$18,$A$18))/5,0)))</f>
        <v>7</v>
      </c>
      <c r="AB55" s="1" cm="1">
        <f t="array" aca="1" ref="AB55" ca="1">(INDEX($K$2:$T$11,ROUNDUP(IF(MOD($A55+INDEX(_xlfn.TEXTSPLIT(AB110,",",),0,1)+$A$18,$A$18)=0,$A$18,MOD($A55+INDEX(_xlfn.TEXTSPLIT(AB110,",",),0,1)+$A$18,$A$18))/4,0),ROUNDUP(IF(MOD(AB$18+INDEX(_xlfn.TEXTSPLIT(AB110,",",),0,2)+$A$18,$A$18)=0,$A$18,MOD(AB$18+INDEX(_xlfn.TEXTSPLIT(AB110,",",),0,2)+$A$18,$A$18))/4,0)))+(INDEX($AD$2:$AK$9,ROUNDUP(IF(MOD($A55+INDEX(_xlfn.TEXTSPLIT(AB153,",",),0,1)+$A$18,$A$18)=0,$A$18,MOD($A55+INDEX(_xlfn.TEXTSPLIT(AB153,",",),0,1)+$A$18,$A$18))/5,0),ROUNDUP(IF(MOD(AB$18+INDEX(_xlfn.TEXTSPLIT(AB153,",",),0,2)+$A$18,$A$18)=0,$A$18,MOD(AB$18+INDEX(_xlfn.TEXTSPLIT(AB153,",",),0,2)+$A$18,$A$18))/5,0)))</f>
        <v>8</v>
      </c>
      <c r="AC55" s="1" cm="1">
        <f t="array" aca="1" ref="AC55" ca="1">(INDEX($K$2:$T$11,ROUNDUP(IF(MOD($A55+INDEX(_xlfn.TEXTSPLIT(AC110,",",),0,1)+$A$18,$A$18)=0,$A$18,MOD($A55+INDEX(_xlfn.TEXTSPLIT(AC110,",",),0,1)+$A$18,$A$18))/4,0),ROUNDUP(IF(MOD(AC$18+INDEX(_xlfn.TEXTSPLIT(AC110,",",),0,2)+$A$18,$A$18)=0,$A$18,MOD(AC$18+INDEX(_xlfn.TEXTSPLIT(AC110,",",),0,2)+$A$18,$A$18))/4,0)))+(INDEX($AD$2:$AK$9,ROUNDUP(IF(MOD($A55+INDEX(_xlfn.TEXTSPLIT(AC153,",",),0,1)+$A$18,$A$18)=0,$A$18,MOD($A55+INDEX(_xlfn.TEXTSPLIT(AC153,",",),0,1)+$A$18,$A$18))/5,0),ROUNDUP(IF(MOD(AC$18+INDEX(_xlfn.TEXTSPLIT(AC153,",",),0,2)+$A$18,$A$18)=0,$A$18,MOD(AC$18+INDEX(_xlfn.TEXTSPLIT(AC153,",",),0,2)+$A$18,$A$18))/5,0)))</f>
        <v>8</v>
      </c>
      <c r="AD55" s="1" cm="1">
        <f t="array" aca="1" ref="AD55" ca="1">(INDEX($K$2:$T$11,ROUNDUP(IF(MOD($A55+INDEX(_xlfn.TEXTSPLIT(AD110,",",),0,1)+$A$18,$A$18)=0,$A$18,MOD($A55+INDEX(_xlfn.TEXTSPLIT(AD110,",",),0,1)+$A$18,$A$18))/4,0),ROUNDUP(IF(MOD(AD$18+INDEX(_xlfn.TEXTSPLIT(AD110,",",),0,2)+$A$18,$A$18)=0,$A$18,MOD(AD$18+INDEX(_xlfn.TEXTSPLIT(AD110,",",),0,2)+$A$18,$A$18))/4,0)))+(INDEX($AD$2:$AK$9,ROUNDUP(IF(MOD($A55+INDEX(_xlfn.TEXTSPLIT(AD153,",",),0,1)+$A$18,$A$18)=0,$A$18,MOD($A55+INDEX(_xlfn.TEXTSPLIT(AD153,",",),0,1)+$A$18,$A$18))/5,0),ROUNDUP(IF(MOD(AD$18+INDEX(_xlfn.TEXTSPLIT(AD153,",",),0,2)+$A$18,$A$18)=0,$A$18,MOD(AD$18+INDEX(_xlfn.TEXTSPLIT(AD153,",",),0,2)+$A$18,$A$18))/5,0)))</f>
        <v>8</v>
      </c>
      <c r="AE55" s="1" cm="1">
        <f t="array" aca="1" ref="AE55" ca="1">(INDEX($K$2:$T$11,ROUNDUP(IF(MOD($A55+INDEX(_xlfn.TEXTSPLIT(AE110,",",),0,1)+$A$18,$A$18)=0,$A$18,MOD($A55+INDEX(_xlfn.TEXTSPLIT(AE110,",",),0,1)+$A$18,$A$18))/4,0),ROUNDUP(IF(MOD(AE$18+INDEX(_xlfn.TEXTSPLIT(AE110,",",),0,2)+$A$18,$A$18)=0,$A$18,MOD(AE$18+INDEX(_xlfn.TEXTSPLIT(AE110,",",),0,2)+$A$18,$A$18))/4,0)))+(INDEX($AD$2:$AK$9,ROUNDUP(IF(MOD($A55+INDEX(_xlfn.TEXTSPLIT(AE153,",",),0,1)+$A$18,$A$18)=0,$A$18,MOD($A55+INDEX(_xlfn.TEXTSPLIT(AE153,",",),0,1)+$A$18,$A$18))/5,0),ROUNDUP(IF(MOD(AE$18+INDEX(_xlfn.TEXTSPLIT(AE153,",",),0,2)+$A$18,$A$18)=0,$A$18,MOD(AE$18+INDEX(_xlfn.TEXTSPLIT(AE153,",",),0,2)+$A$18,$A$18))/5,0)))</f>
        <v>8</v>
      </c>
      <c r="AF55" s="1" cm="1">
        <f t="array" aca="1" ref="AF55" ca="1">(INDEX($K$2:$T$11,ROUNDUP(IF(MOD($A55+INDEX(_xlfn.TEXTSPLIT(AF110,",",),0,1)+$A$18,$A$18)=0,$A$18,MOD($A55+INDEX(_xlfn.TEXTSPLIT(AF110,",",),0,1)+$A$18,$A$18))/4,0),ROUNDUP(IF(MOD(AF$18+INDEX(_xlfn.TEXTSPLIT(AF110,",",),0,2)+$A$18,$A$18)=0,$A$18,MOD(AF$18+INDEX(_xlfn.TEXTSPLIT(AF110,",",),0,2)+$A$18,$A$18))/4,0)))+(INDEX($AD$2:$AK$9,ROUNDUP(IF(MOD($A55+INDEX(_xlfn.TEXTSPLIT(AF153,",",),0,1)+$A$18,$A$18)=0,$A$18,MOD($A55+INDEX(_xlfn.TEXTSPLIT(AF153,",",),0,1)+$A$18,$A$18))/5,0),ROUNDUP(IF(MOD(AF$18+INDEX(_xlfn.TEXTSPLIT(AF153,",",),0,2)+$A$18,$A$18)=0,$A$18,MOD(AF$18+INDEX(_xlfn.TEXTSPLIT(AF153,",",),0,2)+$A$18,$A$18))/5,0)))</f>
        <v>8</v>
      </c>
      <c r="AG55" s="1" cm="1">
        <f t="array" aca="1" ref="AG55" ca="1">(INDEX($K$2:$T$11,ROUNDUP(IF(MOD($A55+INDEX(_xlfn.TEXTSPLIT(AG110,",",),0,1)+$A$18,$A$18)=0,$A$18,MOD($A55+INDEX(_xlfn.TEXTSPLIT(AG110,",",),0,1)+$A$18,$A$18))/4,0),ROUNDUP(IF(MOD(AG$18+INDEX(_xlfn.TEXTSPLIT(AG110,",",),0,2)+$A$18,$A$18)=0,$A$18,MOD(AG$18+INDEX(_xlfn.TEXTSPLIT(AG110,",",),0,2)+$A$18,$A$18))/4,0)))+(INDEX($AD$2:$AK$9,ROUNDUP(IF(MOD($A55+INDEX(_xlfn.TEXTSPLIT(AG153,",",),0,1)+$A$18,$A$18)=0,$A$18,MOD($A55+INDEX(_xlfn.TEXTSPLIT(AG153,",",),0,1)+$A$18,$A$18))/5,0),ROUNDUP(IF(MOD(AG$18+INDEX(_xlfn.TEXTSPLIT(AG153,",",),0,2)+$A$18,$A$18)=0,$A$18,MOD(AG$18+INDEX(_xlfn.TEXTSPLIT(AG153,",",),0,2)+$A$18,$A$18))/5,0)))</f>
        <v>8</v>
      </c>
      <c r="AH55" s="1" cm="1">
        <f t="array" aca="1" ref="AH55" ca="1">(INDEX($K$2:$T$11,ROUNDUP(IF(MOD($A55+INDEX(_xlfn.TEXTSPLIT(AH110,",",),0,1)+$A$18,$A$18)=0,$A$18,MOD($A55+INDEX(_xlfn.TEXTSPLIT(AH110,",",),0,1)+$A$18,$A$18))/4,0),ROUNDUP(IF(MOD(AH$18+INDEX(_xlfn.TEXTSPLIT(AH110,",",),0,2)+$A$18,$A$18)=0,$A$18,MOD(AH$18+INDEX(_xlfn.TEXTSPLIT(AH110,",",),0,2)+$A$18,$A$18))/4,0)))+(INDEX($AD$2:$AK$9,ROUNDUP(IF(MOD($A55+INDEX(_xlfn.TEXTSPLIT(AH153,",",),0,1)+$A$18,$A$18)=0,$A$18,MOD($A55+INDEX(_xlfn.TEXTSPLIT(AH153,",",),0,1)+$A$18,$A$18))/5,0),ROUNDUP(IF(MOD(AH$18+INDEX(_xlfn.TEXTSPLIT(AH153,",",),0,2)+$A$18,$A$18)=0,$A$18,MOD(AH$18+INDEX(_xlfn.TEXTSPLIT(AH153,",",),0,2)+$A$18,$A$18))/5,0)))</f>
        <v>8</v>
      </c>
      <c r="AI55" s="1" cm="1">
        <f t="array" aca="1" ref="AI55" ca="1">(INDEX($K$2:$T$11,ROUNDUP(IF(MOD($A55+INDEX(_xlfn.TEXTSPLIT(AI110,",",),0,1)+$A$18,$A$18)=0,$A$18,MOD($A55+INDEX(_xlfn.TEXTSPLIT(AI110,",",),0,1)+$A$18,$A$18))/4,0),ROUNDUP(IF(MOD(AI$18+INDEX(_xlfn.TEXTSPLIT(AI110,",",),0,2)+$A$18,$A$18)=0,$A$18,MOD(AI$18+INDEX(_xlfn.TEXTSPLIT(AI110,",",),0,2)+$A$18,$A$18))/4,0)))+(INDEX($AD$2:$AK$9,ROUNDUP(IF(MOD($A55+INDEX(_xlfn.TEXTSPLIT(AI153,",",),0,1)+$A$18,$A$18)=0,$A$18,MOD($A55+INDEX(_xlfn.TEXTSPLIT(AI153,",",),0,1)+$A$18,$A$18))/5,0),ROUNDUP(IF(MOD(AI$18+INDEX(_xlfn.TEXTSPLIT(AI153,",",),0,2)+$A$18,$A$18)=0,$A$18,MOD(AI$18+INDEX(_xlfn.TEXTSPLIT(AI153,",",),0,2)+$A$18,$A$18))/5,0)))</f>
        <v>8</v>
      </c>
      <c r="AJ55" s="1" cm="1">
        <f t="array" aca="1" ref="AJ55" ca="1">(INDEX($K$2:$T$11,ROUNDUP(IF(MOD($A55+INDEX(_xlfn.TEXTSPLIT(AJ110,",",),0,1)+$A$18,$A$18)=0,$A$18,MOD($A55+INDEX(_xlfn.TEXTSPLIT(AJ110,",",),0,1)+$A$18,$A$18))/4,0),ROUNDUP(IF(MOD(AJ$18+INDEX(_xlfn.TEXTSPLIT(AJ110,",",),0,2)+$A$18,$A$18)=0,$A$18,MOD(AJ$18+INDEX(_xlfn.TEXTSPLIT(AJ110,",",),0,2)+$A$18,$A$18))/4,0)))+(INDEX($AD$2:$AK$9,ROUNDUP(IF(MOD($A55+INDEX(_xlfn.TEXTSPLIT(AJ153,",",),0,1)+$A$18,$A$18)=0,$A$18,MOD($A55+INDEX(_xlfn.TEXTSPLIT(AJ153,",",),0,1)+$A$18,$A$18))/5,0),ROUNDUP(IF(MOD(AJ$18+INDEX(_xlfn.TEXTSPLIT(AJ153,",",),0,2)+$A$18,$A$18)=0,$A$18,MOD(AJ$18+INDEX(_xlfn.TEXTSPLIT(AJ153,",",),0,2)+$A$18,$A$18))/5,0)))</f>
        <v>8</v>
      </c>
      <c r="AK55" s="1" cm="1">
        <f t="array" aca="1" ref="AK55" ca="1">(INDEX($K$2:$T$11,ROUNDUP(IF(MOD($A55+INDEX(_xlfn.TEXTSPLIT(AK110,",",),0,1)+$A$18,$A$18)=0,$A$18,MOD($A55+INDEX(_xlfn.TEXTSPLIT(AK110,",",),0,1)+$A$18,$A$18))/4,0),ROUNDUP(IF(MOD(AK$18+INDEX(_xlfn.TEXTSPLIT(AK110,",",),0,2)+$A$18,$A$18)=0,$A$18,MOD(AK$18+INDEX(_xlfn.TEXTSPLIT(AK110,",",),0,2)+$A$18,$A$18))/4,0)))+(INDEX($AD$2:$AK$9,ROUNDUP(IF(MOD($A55+INDEX(_xlfn.TEXTSPLIT(AK153,",",),0,1)+$A$18,$A$18)=0,$A$18,MOD($A55+INDEX(_xlfn.TEXTSPLIT(AK153,",",),0,1)+$A$18,$A$18))/5,0),ROUNDUP(IF(MOD(AK$18+INDEX(_xlfn.TEXTSPLIT(AK153,",",),0,2)+$A$18,$A$18)=0,$A$18,MOD(AK$18+INDEX(_xlfn.TEXTSPLIT(AK153,",",),0,2)+$A$18,$A$18))/5,0)))</f>
        <v>7</v>
      </c>
      <c r="AL55" s="1" cm="1">
        <f t="array" aca="1" ref="AL55" ca="1">(INDEX($K$2:$T$11,ROUNDUP(IF(MOD($A55+INDEX(_xlfn.TEXTSPLIT(AL110,",",),0,1)+$A$18,$A$18)=0,$A$18,MOD($A55+INDEX(_xlfn.TEXTSPLIT(AL110,",",),0,1)+$A$18,$A$18))/4,0),ROUNDUP(IF(MOD(AL$18+INDEX(_xlfn.TEXTSPLIT(AL110,",",),0,2)+$A$18,$A$18)=0,$A$18,MOD(AL$18+INDEX(_xlfn.TEXTSPLIT(AL110,",",),0,2)+$A$18,$A$18))/4,0)))+(INDEX($AD$2:$AK$9,ROUNDUP(IF(MOD($A55+INDEX(_xlfn.TEXTSPLIT(AL153,",",),0,1)+$A$18,$A$18)=0,$A$18,MOD($A55+INDEX(_xlfn.TEXTSPLIT(AL153,",",),0,1)+$A$18,$A$18))/5,0),ROUNDUP(IF(MOD(AL$18+INDEX(_xlfn.TEXTSPLIT(AL153,",",),0,2)+$A$18,$A$18)=0,$A$18,MOD(AL$18+INDEX(_xlfn.TEXTSPLIT(AL153,",",),0,2)+$A$18,$A$18))/5,0)))</f>
        <v>7</v>
      </c>
      <c r="AM55" s="1" cm="1">
        <f t="array" aca="1" ref="AM55" ca="1">(INDEX($K$2:$T$11,ROUNDUP(IF(MOD($A55+INDEX(_xlfn.TEXTSPLIT(AM110,",",),0,1)+$A$18,$A$18)=0,$A$18,MOD($A55+INDEX(_xlfn.TEXTSPLIT(AM110,",",),0,1)+$A$18,$A$18))/4,0),ROUNDUP(IF(MOD(AM$18+INDEX(_xlfn.TEXTSPLIT(AM110,",",),0,2)+$A$18,$A$18)=0,$A$18,MOD(AM$18+INDEX(_xlfn.TEXTSPLIT(AM110,",",),0,2)+$A$18,$A$18))/4,0)))+(INDEX($AD$2:$AK$9,ROUNDUP(IF(MOD($A55+INDEX(_xlfn.TEXTSPLIT(AM153,",",),0,1)+$A$18,$A$18)=0,$A$18,MOD($A55+INDEX(_xlfn.TEXTSPLIT(AM153,",",),0,1)+$A$18,$A$18))/5,0),ROUNDUP(IF(MOD(AM$18+INDEX(_xlfn.TEXTSPLIT(AM153,",",),0,2)+$A$18,$A$18)=0,$A$18,MOD(AM$18+INDEX(_xlfn.TEXTSPLIT(AM153,",",),0,2)+$A$18,$A$18))/5,0)))</f>
        <v>7</v>
      </c>
      <c r="AN55" s="1" cm="1">
        <f t="array" aca="1" ref="AN55" ca="1">(INDEX($K$2:$T$11,ROUNDUP(IF(MOD($A55+INDEX(_xlfn.TEXTSPLIT(AN110,",",),0,1)+$A$18,$A$18)=0,$A$18,MOD($A55+INDEX(_xlfn.TEXTSPLIT(AN110,",",),0,1)+$A$18,$A$18))/4,0),ROUNDUP(IF(MOD(AN$18+INDEX(_xlfn.TEXTSPLIT(AN110,",",),0,2)+$A$18,$A$18)=0,$A$18,MOD(AN$18+INDEX(_xlfn.TEXTSPLIT(AN110,",",),0,2)+$A$18,$A$18))/4,0)))+(INDEX($AD$2:$AK$9,ROUNDUP(IF(MOD($A55+INDEX(_xlfn.TEXTSPLIT(AN153,",",),0,1)+$A$18,$A$18)=0,$A$18,MOD($A55+INDEX(_xlfn.TEXTSPLIT(AN153,",",),0,1)+$A$18,$A$18))/5,0),ROUNDUP(IF(MOD(AN$18+INDEX(_xlfn.TEXTSPLIT(AN153,",",),0,2)+$A$18,$A$18)=0,$A$18,MOD(AN$18+INDEX(_xlfn.TEXTSPLIT(AN153,",",),0,2)+$A$18,$A$18))/5,0)))</f>
        <v>7</v>
      </c>
      <c r="AO55" s="1" cm="1">
        <f t="array" aca="1" ref="AO55" ca="1">(INDEX($K$2:$T$11,ROUNDUP(IF(MOD($A55+INDEX(_xlfn.TEXTSPLIT(AO110,",",),0,1)+$A$18,$A$18)=0,$A$18,MOD($A55+INDEX(_xlfn.TEXTSPLIT(AO110,",",),0,1)+$A$18,$A$18))/4,0),ROUNDUP(IF(MOD(AO$18+INDEX(_xlfn.TEXTSPLIT(AO110,",",),0,2)+$A$18,$A$18)=0,$A$18,MOD(AO$18+INDEX(_xlfn.TEXTSPLIT(AO110,",",),0,2)+$A$18,$A$18))/4,0)))+(INDEX($AD$2:$AK$9,ROUNDUP(IF(MOD($A55+INDEX(_xlfn.TEXTSPLIT(AO153,",",),0,1)+$A$18,$A$18)=0,$A$18,MOD($A55+INDEX(_xlfn.TEXTSPLIT(AO153,",",),0,1)+$A$18,$A$18))/5,0),ROUNDUP(IF(MOD(AO$18+INDEX(_xlfn.TEXTSPLIT(AO153,",",),0,2)+$A$18,$A$18)=0,$A$18,MOD(AO$18+INDEX(_xlfn.TEXTSPLIT(AO153,",",),0,2)+$A$18,$A$18))/5,0)))</f>
        <v>5</v>
      </c>
    </row>
    <row r="56" spans="1:41" ht="12.75">
      <c r="A56" s="1">
        <v>38</v>
      </c>
      <c r="B56" s="1" cm="1">
        <f t="array" aca="1" ref="B56" ca="1">(INDEX($K$2:$T$11,ROUNDUP(IF(MOD($A56+INDEX(_xlfn.TEXTSPLIT(B111,",",),0,1)+$A$18,$A$18)=0,$A$18,MOD($A56+INDEX(_xlfn.TEXTSPLIT(B111,",",),0,1)+$A$18,$A$18))/4,0),ROUNDUP(IF(MOD(B$18+INDEX(_xlfn.TEXTSPLIT(B111,",",),0,2)+$A$18,$A$18)=0,$A$18,MOD(B$18+INDEX(_xlfn.TEXTSPLIT(B111,",",),0,2)+$A$18,$A$18))/4,0)))+(INDEX($AD$2:$AK$9,ROUNDUP(IF(MOD($A56+INDEX(_xlfn.TEXTSPLIT(B154,",",),0,1)+$A$18,$A$18)=0,$A$18,MOD($A56+INDEX(_xlfn.TEXTSPLIT(B154,",",),0,1)+$A$18,$A$18))/5,0),ROUNDUP(IF(MOD(B$18+INDEX(_xlfn.TEXTSPLIT(B154,",",),0,2)+$A$18,$A$18)=0,$A$18,MOD(B$18+INDEX(_xlfn.TEXTSPLIT(B154,",",),0,2)+$A$18,$A$18))/5,0)))</f>
        <v>5</v>
      </c>
      <c r="C56" s="1" cm="1">
        <f t="array" aca="1" ref="C56" ca="1">(INDEX($K$2:$T$11,ROUNDUP(IF(MOD($A56+INDEX(_xlfn.TEXTSPLIT(C111,",",),0,1)+$A$18,$A$18)=0,$A$18,MOD($A56+INDEX(_xlfn.TEXTSPLIT(C111,",",),0,1)+$A$18,$A$18))/4,0),ROUNDUP(IF(MOD(C$18+INDEX(_xlfn.TEXTSPLIT(C111,",",),0,2)+$A$18,$A$18)=0,$A$18,MOD(C$18+INDEX(_xlfn.TEXTSPLIT(C111,",",),0,2)+$A$18,$A$18))/4,0)))+(INDEX($AD$2:$AK$9,ROUNDUP(IF(MOD($A56+INDEX(_xlfn.TEXTSPLIT(C154,",",),0,1)+$A$18,$A$18)=0,$A$18,MOD($A56+INDEX(_xlfn.TEXTSPLIT(C154,",",),0,1)+$A$18,$A$18))/5,0),ROUNDUP(IF(MOD(C$18+INDEX(_xlfn.TEXTSPLIT(C154,",",),0,2)+$A$18,$A$18)=0,$A$18,MOD(C$18+INDEX(_xlfn.TEXTSPLIT(C154,",",),0,2)+$A$18,$A$18))/5,0)))</f>
        <v>5</v>
      </c>
      <c r="D56" s="1" cm="1">
        <f t="array" aca="1" ref="D56" ca="1">(INDEX($K$2:$T$11,ROUNDUP(IF(MOD($A56+INDEX(_xlfn.TEXTSPLIT(D111,",",),0,1)+$A$18,$A$18)=0,$A$18,MOD($A56+INDEX(_xlfn.TEXTSPLIT(D111,",",),0,1)+$A$18,$A$18))/4,0),ROUNDUP(IF(MOD(D$18+INDEX(_xlfn.TEXTSPLIT(D111,",",),0,2)+$A$18,$A$18)=0,$A$18,MOD(D$18+INDEX(_xlfn.TEXTSPLIT(D111,",",),0,2)+$A$18,$A$18))/4,0)))+(INDEX($AD$2:$AK$9,ROUNDUP(IF(MOD($A56+INDEX(_xlfn.TEXTSPLIT(D154,",",),0,1)+$A$18,$A$18)=0,$A$18,MOD($A56+INDEX(_xlfn.TEXTSPLIT(D154,",",),0,1)+$A$18,$A$18))/5,0),ROUNDUP(IF(MOD(D$18+INDEX(_xlfn.TEXTSPLIT(D154,",",),0,2)+$A$18,$A$18)=0,$A$18,MOD(D$18+INDEX(_xlfn.TEXTSPLIT(D154,",",),0,2)+$A$18,$A$18))/5,0)))</f>
        <v>5</v>
      </c>
      <c r="E56" s="1" cm="1">
        <f t="array" aca="1" ref="E56" ca="1">(INDEX($K$2:$T$11,ROUNDUP(IF(MOD($A56+INDEX(_xlfn.TEXTSPLIT(E111,",",),0,1)+$A$18,$A$18)=0,$A$18,MOD($A56+INDEX(_xlfn.TEXTSPLIT(E111,",",),0,1)+$A$18,$A$18))/4,0),ROUNDUP(IF(MOD(E$18+INDEX(_xlfn.TEXTSPLIT(E111,",",),0,2)+$A$18,$A$18)=0,$A$18,MOD(E$18+INDEX(_xlfn.TEXTSPLIT(E111,",",),0,2)+$A$18,$A$18))/4,0)))+(INDEX($AD$2:$AK$9,ROUNDUP(IF(MOD($A56+INDEX(_xlfn.TEXTSPLIT(E154,",",),0,1)+$A$18,$A$18)=0,$A$18,MOD($A56+INDEX(_xlfn.TEXTSPLIT(E154,",",),0,1)+$A$18,$A$18))/5,0),ROUNDUP(IF(MOD(E$18+INDEX(_xlfn.TEXTSPLIT(E154,",",),0,2)+$A$18,$A$18)=0,$A$18,MOD(E$18+INDEX(_xlfn.TEXTSPLIT(E154,",",),0,2)+$A$18,$A$18))/5,0)))</f>
        <v>5</v>
      </c>
      <c r="F56" s="1" cm="1">
        <f t="array" aca="1" ref="F56" ca="1">(INDEX($K$2:$T$11,ROUNDUP(IF(MOD($A56+INDEX(_xlfn.TEXTSPLIT(F111,",",),0,1)+$A$18,$A$18)=0,$A$18,MOD($A56+INDEX(_xlfn.TEXTSPLIT(F111,",",),0,1)+$A$18,$A$18))/4,0),ROUNDUP(IF(MOD(F$18+INDEX(_xlfn.TEXTSPLIT(F111,",",),0,2)+$A$18,$A$18)=0,$A$18,MOD(F$18+INDEX(_xlfn.TEXTSPLIT(F111,",",),0,2)+$A$18,$A$18))/4,0)))+(INDEX($AD$2:$AK$9,ROUNDUP(IF(MOD($A56+INDEX(_xlfn.TEXTSPLIT(F154,",",),0,1)+$A$18,$A$18)=0,$A$18,MOD($A56+INDEX(_xlfn.TEXTSPLIT(F154,",",),0,1)+$A$18,$A$18))/5,0),ROUNDUP(IF(MOD(F$18+INDEX(_xlfn.TEXTSPLIT(F154,",",),0,2)+$A$18,$A$18)=0,$A$18,MOD(F$18+INDEX(_xlfn.TEXTSPLIT(F154,",",),0,2)+$A$18,$A$18))/5,0)))</f>
        <v>5</v>
      </c>
      <c r="G56" s="1" cm="1">
        <f t="array" aca="1" ref="G56" ca="1">(INDEX($K$2:$T$11,ROUNDUP(IF(MOD($A56+INDEX(_xlfn.TEXTSPLIT(G111,",",),0,1)+$A$18,$A$18)=0,$A$18,MOD($A56+INDEX(_xlfn.TEXTSPLIT(G111,",",),0,1)+$A$18,$A$18))/4,0),ROUNDUP(IF(MOD(G$18+INDEX(_xlfn.TEXTSPLIT(G111,",",),0,2)+$A$18,$A$18)=0,$A$18,MOD(G$18+INDEX(_xlfn.TEXTSPLIT(G111,",",),0,2)+$A$18,$A$18))/4,0)))+(INDEX($AD$2:$AK$9,ROUNDUP(IF(MOD($A56+INDEX(_xlfn.TEXTSPLIT(G154,",",),0,1)+$A$18,$A$18)=0,$A$18,MOD($A56+INDEX(_xlfn.TEXTSPLIT(G154,",",),0,1)+$A$18,$A$18))/5,0),ROUNDUP(IF(MOD(G$18+INDEX(_xlfn.TEXTSPLIT(G154,",",),0,2)+$A$18,$A$18)=0,$A$18,MOD(G$18+INDEX(_xlfn.TEXTSPLIT(G154,",",),0,2)+$A$18,$A$18))/5,0)))</f>
        <v>3</v>
      </c>
      <c r="H56" s="1" cm="1">
        <f t="array" aca="1" ref="H56" ca="1">(INDEX($K$2:$T$11,ROUNDUP(IF(MOD($A56+INDEX(_xlfn.TEXTSPLIT(H111,",",),0,1)+$A$18,$A$18)=0,$A$18,MOD($A56+INDEX(_xlfn.TEXTSPLIT(H111,",",),0,1)+$A$18,$A$18))/4,0),ROUNDUP(IF(MOD(H$18+INDEX(_xlfn.TEXTSPLIT(H111,",",),0,2)+$A$18,$A$18)=0,$A$18,MOD(H$18+INDEX(_xlfn.TEXTSPLIT(H111,",",),0,2)+$A$18,$A$18))/4,0)))+(INDEX($AD$2:$AK$9,ROUNDUP(IF(MOD($A56+INDEX(_xlfn.TEXTSPLIT(H154,",",),0,1)+$A$18,$A$18)=0,$A$18,MOD($A56+INDEX(_xlfn.TEXTSPLIT(H154,",",),0,1)+$A$18,$A$18))/5,0),ROUNDUP(IF(MOD(H$18+INDEX(_xlfn.TEXTSPLIT(H154,",",),0,2)+$A$18,$A$18)=0,$A$18,MOD(H$18+INDEX(_xlfn.TEXTSPLIT(H154,",",),0,2)+$A$18,$A$18))/5,0)))</f>
        <v>3</v>
      </c>
      <c r="I56" s="1" cm="1">
        <f t="array" aca="1" ref="I56" ca="1">(INDEX($K$2:$T$11,ROUNDUP(IF(MOD($A56+INDEX(_xlfn.TEXTSPLIT(I111,",",),0,1)+$A$18,$A$18)=0,$A$18,MOD($A56+INDEX(_xlfn.TEXTSPLIT(I111,",",),0,1)+$A$18,$A$18))/4,0),ROUNDUP(IF(MOD(I$18+INDEX(_xlfn.TEXTSPLIT(I111,",",),0,2)+$A$18,$A$18)=0,$A$18,MOD(I$18+INDEX(_xlfn.TEXTSPLIT(I111,",",),0,2)+$A$18,$A$18))/4,0)))+(INDEX($AD$2:$AK$9,ROUNDUP(IF(MOD($A56+INDEX(_xlfn.TEXTSPLIT(I154,",",),0,1)+$A$18,$A$18)=0,$A$18,MOD($A56+INDEX(_xlfn.TEXTSPLIT(I154,",",),0,1)+$A$18,$A$18))/5,0),ROUNDUP(IF(MOD(I$18+INDEX(_xlfn.TEXTSPLIT(I154,",",),0,2)+$A$18,$A$18)=0,$A$18,MOD(I$18+INDEX(_xlfn.TEXTSPLIT(I154,",",),0,2)+$A$18,$A$18))/5,0)))</f>
        <v>3</v>
      </c>
      <c r="J56" s="1" cm="1">
        <f t="array" aca="1" ref="J56" ca="1">(INDEX($K$2:$T$11,ROUNDUP(IF(MOD($A56+INDEX(_xlfn.TEXTSPLIT(J111,",",),0,1)+$A$18,$A$18)=0,$A$18,MOD($A56+INDEX(_xlfn.TEXTSPLIT(J111,",",),0,1)+$A$18,$A$18))/4,0),ROUNDUP(IF(MOD(J$18+INDEX(_xlfn.TEXTSPLIT(J111,",",),0,2)+$A$18,$A$18)=0,$A$18,MOD(J$18+INDEX(_xlfn.TEXTSPLIT(J111,",",),0,2)+$A$18,$A$18))/4,0)))+(INDEX($AD$2:$AK$9,ROUNDUP(IF(MOD($A56+INDEX(_xlfn.TEXTSPLIT(J154,",",),0,1)+$A$18,$A$18)=0,$A$18,MOD($A56+INDEX(_xlfn.TEXTSPLIT(J154,",",),0,1)+$A$18,$A$18))/5,0),ROUNDUP(IF(MOD(J$18+INDEX(_xlfn.TEXTSPLIT(J154,",",),0,2)+$A$18,$A$18)=0,$A$18,MOD(J$18+INDEX(_xlfn.TEXTSPLIT(J154,",",),0,2)+$A$18,$A$18))/5,0)))</f>
        <v>3</v>
      </c>
      <c r="K56" s="1" cm="1">
        <f t="array" aca="1" ref="K56" ca="1">(INDEX($K$2:$T$11,ROUNDUP(IF(MOD($A56+INDEX(_xlfn.TEXTSPLIT(K111,",",),0,1)+$A$18,$A$18)=0,$A$18,MOD($A56+INDEX(_xlfn.TEXTSPLIT(K111,",",),0,1)+$A$18,$A$18))/4,0),ROUNDUP(IF(MOD(K$18+INDEX(_xlfn.TEXTSPLIT(K111,",",),0,2)+$A$18,$A$18)=0,$A$18,MOD(K$18+INDEX(_xlfn.TEXTSPLIT(K111,",",),0,2)+$A$18,$A$18))/4,0)))+(INDEX($AD$2:$AK$9,ROUNDUP(IF(MOD($A56+INDEX(_xlfn.TEXTSPLIT(K154,",",),0,1)+$A$18,$A$18)=0,$A$18,MOD($A56+INDEX(_xlfn.TEXTSPLIT(K154,",",),0,1)+$A$18,$A$18))/5,0),ROUNDUP(IF(MOD(K$18+INDEX(_xlfn.TEXTSPLIT(K154,",",),0,2)+$A$18,$A$18)=0,$A$18,MOD(K$18+INDEX(_xlfn.TEXTSPLIT(K154,",",),0,2)+$A$18,$A$18))/5,0)))</f>
        <v>7</v>
      </c>
      <c r="L56" s="1" cm="1">
        <f t="array" aca="1" ref="L56" ca="1">(INDEX($K$2:$T$11,ROUNDUP(IF(MOD($A56+INDEX(_xlfn.TEXTSPLIT(L111,",",),0,1)+$A$18,$A$18)=0,$A$18,MOD($A56+INDEX(_xlfn.TEXTSPLIT(L111,",",),0,1)+$A$18,$A$18))/4,0),ROUNDUP(IF(MOD(L$18+INDEX(_xlfn.TEXTSPLIT(L111,",",),0,2)+$A$18,$A$18)=0,$A$18,MOD(L$18+INDEX(_xlfn.TEXTSPLIT(L111,",",),0,2)+$A$18,$A$18))/4,0)))+(INDEX($AD$2:$AK$9,ROUNDUP(IF(MOD($A56+INDEX(_xlfn.TEXTSPLIT(L154,",",),0,1)+$A$18,$A$18)=0,$A$18,MOD($A56+INDEX(_xlfn.TEXTSPLIT(L154,",",),0,1)+$A$18,$A$18))/5,0),ROUNDUP(IF(MOD(L$18+INDEX(_xlfn.TEXTSPLIT(L154,",",),0,2)+$A$18,$A$18)=0,$A$18,MOD(L$18+INDEX(_xlfn.TEXTSPLIT(L154,",",),0,2)+$A$18,$A$18))/5,0)))</f>
        <v>7</v>
      </c>
      <c r="M56" s="1" cm="1">
        <f t="array" aca="1" ref="M56" ca="1">(INDEX($K$2:$T$11,ROUNDUP(IF(MOD($A56+INDEX(_xlfn.TEXTSPLIT(M111,",",),0,1)+$A$18,$A$18)=0,$A$18,MOD($A56+INDEX(_xlfn.TEXTSPLIT(M111,",",),0,1)+$A$18,$A$18))/4,0),ROUNDUP(IF(MOD(M$18+INDEX(_xlfn.TEXTSPLIT(M111,",",),0,2)+$A$18,$A$18)=0,$A$18,MOD(M$18+INDEX(_xlfn.TEXTSPLIT(M111,",",),0,2)+$A$18,$A$18))/4,0)))+(INDEX($AD$2:$AK$9,ROUNDUP(IF(MOD($A56+INDEX(_xlfn.TEXTSPLIT(M154,",",),0,1)+$A$18,$A$18)=0,$A$18,MOD($A56+INDEX(_xlfn.TEXTSPLIT(M154,",",),0,1)+$A$18,$A$18))/5,0),ROUNDUP(IF(MOD(M$18+INDEX(_xlfn.TEXTSPLIT(M154,",",),0,2)+$A$18,$A$18)=0,$A$18,MOD(M$18+INDEX(_xlfn.TEXTSPLIT(M154,",",),0,2)+$A$18,$A$18))/5,0)))</f>
        <v>7</v>
      </c>
      <c r="N56" s="1" cm="1">
        <f t="array" aca="1" ref="N56" ca="1">(INDEX($K$2:$T$11,ROUNDUP(IF(MOD($A56+INDEX(_xlfn.TEXTSPLIT(N111,",",),0,1)+$A$18,$A$18)=0,$A$18,MOD($A56+INDEX(_xlfn.TEXTSPLIT(N111,",",),0,1)+$A$18,$A$18))/4,0),ROUNDUP(IF(MOD(N$18+INDEX(_xlfn.TEXTSPLIT(N111,",",),0,2)+$A$18,$A$18)=0,$A$18,MOD(N$18+INDEX(_xlfn.TEXTSPLIT(N111,",",),0,2)+$A$18,$A$18))/4,0)))+(INDEX($AD$2:$AK$9,ROUNDUP(IF(MOD($A56+INDEX(_xlfn.TEXTSPLIT(N154,",",),0,1)+$A$18,$A$18)=0,$A$18,MOD($A56+INDEX(_xlfn.TEXTSPLIT(N154,",",),0,1)+$A$18,$A$18))/5,0),ROUNDUP(IF(MOD(N$18+INDEX(_xlfn.TEXTSPLIT(N154,",",),0,2)+$A$18,$A$18)=0,$A$18,MOD(N$18+INDEX(_xlfn.TEXTSPLIT(N154,",",),0,2)+$A$18,$A$18))/5,0)))</f>
        <v>3</v>
      </c>
      <c r="O56" s="1" cm="1">
        <f t="array" aca="1" ref="O56" ca="1">(INDEX($K$2:$T$11,ROUNDUP(IF(MOD($A56+INDEX(_xlfn.TEXTSPLIT(O111,",",),0,1)+$A$18,$A$18)=0,$A$18,MOD($A56+INDEX(_xlfn.TEXTSPLIT(O111,",",),0,1)+$A$18,$A$18))/4,0),ROUNDUP(IF(MOD(O$18+INDEX(_xlfn.TEXTSPLIT(O111,",",),0,2)+$A$18,$A$18)=0,$A$18,MOD(O$18+INDEX(_xlfn.TEXTSPLIT(O111,",",),0,2)+$A$18,$A$18))/4,0)))+(INDEX($AD$2:$AK$9,ROUNDUP(IF(MOD($A56+INDEX(_xlfn.TEXTSPLIT(O154,",",),0,1)+$A$18,$A$18)=0,$A$18,MOD($A56+INDEX(_xlfn.TEXTSPLIT(O154,",",),0,1)+$A$18,$A$18))/5,0),ROUNDUP(IF(MOD(O$18+INDEX(_xlfn.TEXTSPLIT(O154,",",),0,2)+$A$18,$A$18)=0,$A$18,MOD(O$18+INDEX(_xlfn.TEXTSPLIT(O154,",",),0,2)+$A$18,$A$18))/5,0)))</f>
        <v>3</v>
      </c>
      <c r="P56" s="1" cm="1">
        <f t="array" aca="1" ref="P56" ca="1">(INDEX($K$2:$T$11,ROUNDUP(IF(MOD($A56+INDEX(_xlfn.TEXTSPLIT(P111,",",),0,1)+$A$18,$A$18)=0,$A$18,MOD($A56+INDEX(_xlfn.TEXTSPLIT(P111,",",),0,1)+$A$18,$A$18))/4,0),ROUNDUP(IF(MOD(P$18+INDEX(_xlfn.TEXTSPLIT(P111,",",),0,2)+$A$18,$A$18)=0,$A$18,MOD(P$18+INDEX(_xlfn.TEXTSPLIT(P111,",",),0,2)+$A$18,$A$18))/4,0)))+(INDEX($AD$2:$AK$9,ROUNDUP(IF(MOD($A56+INDEX(_xlfn.TEXTSPLIT(P154,",",),0,1)+$A$18,$A$18)=0,$A$18,MOD($A56+INDEX(_xlfn.TEXTSPLIT(P154,",",),0,1)+$A$18,$A$18))/5,0),ROUNDUP(IF(MOD(P$18+INDEX(_xlfn.TEXTSPLIT(P154,",",),0,2)+$A$18,$A$18)=0,$A$18,MOD(P$18+INDEX(_xlfn.TEXTSPLIT(P154,",",),0,2)+$A$18,$A$18))/5,0)))</f>
        <v>4</v>
      </c>
      <c r="Q56" s="1" cm="1">
        <f t="array" aca="1" ref="Q56" ca="1">(INDEX($K$2:$T$11,ROUNDUP(IF(MOD($A56+INDEX(_xlfn.TEXTSPLIT(Q111,",",),0,1)+$A$18,$A$18)=0,$A$18,MOD($A56+INDEX(_xlfn.TEXTSPLIT(Q111,",",),0,1)+$A$18,$A$18))/4,0),ROUNDUP(IF(MOD(Q$18+INDEX(_xlfn.TEXTSPLIT(Q111,",",),0,2)+$A$18,$A$18)=0,$A$18,MOD(Q$18+INDEX(_xlfn.TEXTSPLIT(Q111,",",),0,2)+$A$18,$A$18))/4,0)))+(INDEX($AD$2:$AK$9,ROUNDUP(IF(MOD($A56+INDEX(_xlfn.TEXTSPLIT(Q154,",",),0,1)+$A$18,$A$18)=0,$A$18,MOD($A56+INDEX(_xlfn.TEXTSPLIT(Q154,",",),0,1)+$A$18,$A$18))/5,0),ROUNDUP(IF(MOD(Q$18+INDEX(_xlfn.TEXTSPLIT(Q154,",",),0,2)+$A$18,$A$18)=0,$A$18,MOD(Q$18+INDEX(_xlfn.TEXTSPLIT(Q154,",",),0,2)+$A$18,$A$18))/5,0)))</f>
        <v>3</v>
      </c>
      <c r="R56" s="1" cm="1">
        <f t="array" aca="1" ref="R56" ca="1">(INDEX($K$2:$T$11,ROUNDUP(IF(MOD($A56+INDEX(_xlfn.TEXTSPLIT(R111,",",),0,1)+$A$18,$A$18)=0,$A$18,MOD($A56+INDEX(_xlfn.TEXTSPLIT(R111,",",),0,1)+$A$18,$A$18))/4,0),ROUNDUP(IF(MOD(R$18+INDEX(_xlfn.TEXTSPLIT(R111,",",),0,2)+$A$18,$A$18)=0,$A$18,MOD(R$18+INDEX(_xlfn.TEXTSPLIT(R111,",",),0,2)+$A$18,$A$18))/4,0)))+(INDEX($AD$2:$AK$9,ROUNDUP(IF(MOD($A56+INDEX(_xlfn.TEXTSPLIT(R154,",",),0,1)+$A$18,$A$18)=0,$A$18,MOD($A56+INDEX(_xlfn.TEXTSPLIT(R154,",",),0,1)+$A$18,$A$18))/5,0),ROUNDUP(IF(MOD(R$18+INDEX(_xlfn.TEXTSPLIT(R154,",",),0,2)+$A$18,$A$18)=0,$A$18,MOD(R$18+INDEX(_xlfn.TEXTSPLIT(R154,",",),0,2)+$A$18,$A$18))/5,0)))</f>
        <v>4</v>
      </c>
      <c r="S56" s="1" cm="1">
        <f t="array" aca="1" ref="S56" ca="1">(INDEX($K$2:$T$11,ROUNDUP(IF(MOD($A56+INDEX(_xlfn.TEXTSPLIT(S111,",",),0,1)+$A$18,$A$18)=0,$A$18,MOD($A56+INDEX(_xlfn.TEXTSPLIT(S111,",",),0,1)+$A$18,$A$18))/4,0),ROUNDUP(IF(MOD(S$18+INDEX(_xlfn.TEXTSPLIT(S111,",",),0,2)+$A$18,$A$18)=0,$A$18,MOD(S$18+INDEX(_xlfn.TEXTSPLIT(S111,",",),0,2)+$A$18,$A$18))/4,0)))+(INDEX($AD$2:$AK$9,ROUNDUP(IF(MOD($A56+INDEX(_xlfn.TEXTSPLIT(S154,",",),0,1)+$A$18,$A$18)=0,$A$18,MOD($A56+INDEX(_xlfn.TEXTSPLIT(S154,",",),0,1)+$A$18,$A$18))/5,0),ROUNDUP(IF(MOD(S$18+INDEX(_xlfn.TEXTSPLIT(S154,",",),0,2)+$A$18,$A$18)=0,$A$18,MOD(S$18+INDEX(_xlfn.TEXTSPLIT(S154,",",),0,2)+$A$18,$A$18))/5,0)))</f>
        <v>4</v>
      </c>
      <c r="T56" s="1" cm="1">
        <f t="array" aca="1" ref="T56" ca="1">(INDEX($K$2:$T$11,ROUNDUP(IF(MOD($A56+INDEX(_xlfn.TEXTSPLIT(T111,",",),0,1)+$A$18,$A$18)=0,$A$18,MOD($A56+INDEX(_xlfn.TEXTSPLIT(T111,",",),0,1)+$A$18,$A$18))/4,0),ROUNDUP(IF(MOD(T$18+INDEX(_xlfn.TEXTSPLIT(T111,",",),0,2)+$A$18,$A$18)=0,$A$18,MOD(T$18+INDEX(_xlfn.TEXTSPLIT(T111,",",),0,2)+$A$18,$A$18))/4,0)))+(INDEX($AD$2:$AK$9,ROUNDUP(IF(MOD($A56+INDEX(_xlfn.TEXTSPLIT(T154,",",),0,1)+$A$18,$A$18)=0,$A$18,MOD($A56+INDEX(_xlfn.TEXTSPLIT(T154,",",),0,1)+$A$18,$A$18))/5,0),ROUNDUP(IF(MOD(T$18+INDEX(_xlfn.TEXTSPLIT(T154,",",),0,2)+$A$18,$A$18)=0,$A$18,MOD(T$18+INDEX(_xlfn.TEXTSPLIT(T154,",",),0,2)+$A$18,$A$18))/5,0)))</f>
        <v>4</v>
      </c>
      <c r="U56" s="1" cm="1">
        <f t="array" aca="1" ref="U56" ca="1">(INDEX($K$2:$T$11,ROUNDUP(IF(MOD($A56+INDEX(_xlfn.TEXTSPLIT(U111,",",),0,1)+$A$18,$A$18)=0,$A$18,MOD($A56+INDEX(_xlfn.TEXTSPLIT(U111,",",),0,1)+$A$18,$A$18))/4,0),ROUNDUP(IF(MOD(U$18+INDEX(_xlfn.TEXTSPLIT(U111,",",),0,2)+$A$18,$A$18)=0,$A$18,MOD(U$18+INDEX(_xlfn.TEXTSPLIT(U111,",",),0,2)+$A$18,$A$18))/4,0)))+(INDEX($AD$2:$AK$9,ROUNDUP(IF(MOD($A56+INDEX(_xlfn.TEXTSPLIT(U154,",",),0,1)+$A$18,$A$18)=0,$A$18,MOD($A56+INDEX(_xlfn.TEXTSPLIT(U154,",",),0,1)+$A$18,$A$18))/5,0),ROUNDUP(IF(MOD(U$18+INDEX(_xlfn.TEXTSPLIT(U154,",",),0,2)+$A$18,$A$18)=0,$A$18,MOD(U$18+INDEX(_xlfn.TEXTSPLIT(U154,",",),0,2)+$A$18,$A$18))/5,0)))</f>
        <v>4</v>
      </c>
      <c r="V56" s="1" cm="1">
        <f t="array" aca="1" ref="V56" ca="1">(INDEX($K$2:$T$11,ROUNDUP(IF(MOD($A56+INDEX(_xlfn.TEXTSPLIT(V111,",",),0,1)+$A$18,$A$18)=0,$A$18,MOD($A56+INDEX(_xlfn.TEXTSPLIT(V111,",",),0,1)+$A$18,$A$18))/4,0),ROUNDUP(IF(MOD(V$18+INDEX(_xlfn.TEXTSPLIT(V111,",",),0,2)+$A$18,$A$18)=0,$A$18,MOD(V$18+INDEX(_xlfn.TEXTSPLIT(V111,",",),0,2)+$A$18,$A$18))/4,0)))+(INDEX($AD$2:$AK$9,ROUNDUP(IF(MOD($A56+INDEX(_xlfn.TEXTSPLIT(V154,",",),0,1)+$A$18,$A$18)=0,$A$18,MOD($A56+INDEX(_xlfn.TEXTSPLIT(V154,",",),0,1)+$A$18,$A$18))/5,0),ROUNDUP(IF(MOD(V$18+INDEX(_xlfn.TEXTSPLIT(V154,",",),0,2)+$A$18,$A$18)=0,$A$18,MOD(V$18+INDEX(_xlfn.TEXTSPLIT(V154,",",),0,2)+$A$18,$A$18))/5,0)))</f>
        <v>8</v>
      </c>
      <c r="W56" s="1" cm="1">
        <f t="array" aca="1" ref="W56" ca="1">(INDEX($K$2:$T$11,ROUNDUP(IF(MOD($A56+INDEX(_xlfn.TEXTSPLIT(W111,",",),0,1)+$A$18,$A$18)=0,$A$18,MOD($A56+INDEX(_xlfn.TEXTSPLIT(W111,",",),0,1)+$A$18,$A$18))/4,0),ROUNDUP(IF(MOD(W$18+INDEX(_xlfn.TEXTSPLIT(W111,",",),0,2)+$A$18,$A$18)=0,$A$18,MOD(W$18+INDEX(_xlfn.TEXTSPLIT(W111,",",),0,2)+$A$18,$A$18))/4,0)))+(INDEX($AD$2:$AK$9,ROUNDUP(IF(MOD($A56+INDEX(_xlfn.TEXTSPLIT(W154,",",),0,1)+$A$18,$A$18)=0,$A$18,MOD($A56+INDEX(_xlfn.TEXTSPLIT(W154,",",),0,1)+$A$18,$A$18))/5,0),ROUNDUP(IF(MOD(W$18+INDEX(_xlfn.TEXTSPLIT(W154,",",),0,2)+$A$18,$A$18)=0,$A$18,MOD(W$18+INDEX(_xlfn.TEXTSPLIT(W154,",",),0,2)+$A$18,$A$18))/5,0)))</f>
        <v>7</v>
      </c>
      <c r="X56" s="1" cm="1">
        <f t="array" aca="1" ref="X56" ca="1">(INDEX($K$2:$T$11,ROUNDUP(IF(MOD($A56+INDEX(_xlfn.TEXTSPLIT(X111,",",),0,1)+$A$18,$A$18)=0,$A$18,MOD($A56+INDEX(_xlfn.TEXTSPLIT(X111,",",),0,1)+$A$18,$A$18))/4,0),ROUNDUP(IF(MOD(X$18+INDEX(_xlfn.TEXTSPLIT(X111,",",),0,2)+$A$18,$A$18)=0,$A$18,MOD(X$18+INDEX(_xlfn.TEXTSPLIT(X111,",",),0,2)+$A$18,$A$18))/4,0)))+(INDEX($AD$2:$AK$9,ROUNDUP(IF(MOD($A56+INDEX(_xlfn.TEXTSPLIT(X154,",",),0,1)+$A$18,$A$18)=0,$A$18,MOD($A56+INDEX(_xlfn.TEXTSPLIT(X154,",",),0,1)+$A$18,$A$18))/5,0),ROUNDUP(IF(MOD(X$18+INDEX(_xlfn.TEXTSPLIT(X154,",",),0,2)+$A$18,$A$18)=0,$A$18,MOD(X$18+INDEX(_xlfn.TEXTSPLIT(X154,",",),0,2)+$A$18,$A$18))/5,0)))</f>
        <v>7</v>
      </c>
      <c r="Y56" s="1" cm="1">
        <f t="array" aca="1" ref="Y56" ca="1">(INDEX($K$2:$T$11,ROUNDUP(IF(MOD($A56+INDEX(_xlfn.TEXTSPLIT(Y111,",",),0,1)+$A$18,$A$18)=0,$A$18,MOD($A56+INDEX(_xlfn.TEXTSPLIT(Y111,",",),0,1)+$A$18,$A$18))/4,0),ROUNDUP(IF(MOD(Y$18+INDEX(_xlfn.TEXTSPLIT(Y111,",",),0,2)+$A$18,$A$18)=0,$A$18,MOD(Y$18+INDEX(_xlfn.TEXTSPLIT(Y111,",",),0,2)+$A$18,$A$18))/4,0)))+(INDEX($AD$2:$AK$9,ROUNDUP(IF(MOD($A56+INDEX(_xlfn.TEXTSPLIT(Y154,",",),0,1)+$A$18,$A$18)=0,$A$18,MOD($A56+INDEX(_xlfn.TEXTSPLIT(Y154,",",),0,1)+$A$18,$A$18))/5,0),ROUNDUP(IF(MOD(Y$18+INDEX(_xlfn.TEXTSPLIT(Y154,",",),0,2)+$A$18,$A$18)=0,$A$18,MOD(Y$18+INDEX(_xlfn.TEXTSPLIT(Y154,",",),0,2)+$A$18,$A$18))/5,0)))</f>
        <v>7</v>
      </c>
      <c r="Z56" s="1" cm="1">
        <f t="array" aca="1" ref="Z56" ca="1">(INDEX($K$2:$T$11,ROUNDUP(IF(MOD($A56+INDEX(_xlfn.TEXTSPLIT(Z111,",",),0,1)+$A$18,$A$18)=0,$A$18,MOD($A56+INDEX(_xlfn.TEXTSPLIT(Z111,",",),0,1)+$A$18,$A$18))/4,0),ROUNDUP(IF(MOD(Z$18+INDEX(_xlfn.TEXTSPLIT(Z111,",",),0,2)+$A$18,$A$18)=0,$A$18,MOD(Z$18+INDEX(_xlfn.TEXTSPLIT(Z111,",",),0,2)+$A$18,$A$18))/4,0)))+(INDEX($AD$2:$AK$9,ROUNDUP(IF(MOD($A56+INDEX(_xlfn.TEXTSPLIT(Z154,",",),0,1)+$A$18,$A$18)=0,$A$18,MOD($A56+INDEX(_xlfn.TEXTSPLIT(Z154,",",),0,1)+$A$18,$A$18))/5,0),ROUNDUP(IF(MOD(Z$18+INDEX(_xlfn.TEXTSPLIT(Z154,",",),0,2)+$A$18,$A$18)=0,$A$18,MOD(Z$18+INDEX(_xlfn.TEXTSPLIT(Z154,",",),0,2)+$A$18,$A$18))/5,0)))</f>
        <v>7</v>
      </c>
      <c r="AA56" s="1" cm="1">
        <f t="array" aca="1" ref="AA56" ca="1">(INDEX($K$2:$T$11,ROUNDUP(IF(MOD($A56+INDEX(_xlfn.TEXTSPLIT(AA111,",",),0,1)+$A$18,$A$18)=0,$A$18,MOD($A56+INDEX(_xlfn.TEXTSPLIT(AA111,",",),0,1)+$A$18,$A$18))/4,0),ROUNDUP(IF(MOD(AA$18+INDEX(_xlfn.TEXTSPLIT(AA111,",",),0,2)+$A$18,$A$18)=0,$A$18,MOD(AA$18+INDEX(_xlfn.TEXTSPLIT(AA111,",",),0,2)+$A$18,$A$18))/4,0)))+(INDEX($AD$2:$AK$9,ROUNDUP(IF(MOD($A56+INDEX(_xlfn.TEXTSPLIT(AA154,",",),0,1)+$A$18,$A$18)=0,$A$18,MOD($A56+INDEX(_xlfn.TEXTSPLIT(AA154,",",),0,1)+$A$18,$A$18))/5,0),ROUNDUP(IF(MOD(AA$18+INDEX(_xlfn.TEXTSPLIT(AA154,",",),0,2)+$A$18,$A$18)=0,$A$18,MOD(AA$18+INDEX(_xlfn.TEXTSPLIT(AA154,",",),0,2)+$A$18,$A$18))/5,0)))</f>
        <v>7</v>
      </c>
      <c r="AB56" s="1" cm="1">
        <f t="array" aca="1" ref="AB56" ca="1">(INDEX($K$2:$T$11,ROUNDUP(IF(MOD($A56+INDEX(_xlfn.TEXTSPLIT(AB111,",",),0,1)+$A$18,$A$18)=0,$A$18,MOD($A56+INDEX(_xlfn.TEXTSPLIT(AB111,",",),0,1)+$A$18,$A$18))/4,0),ROUNDUP(IF(MOD(AB$18+INDEX(_xlfn.TEXTSPLIT(AB111,",",),0,2)+$A$18,$A$18)=0,$A$18,MOD(AB$18+INDEX(_xlfn.TEXTSPLIT(AB111,",",),0,2)+$A$18,$A$18))/4,0)))+(INDEX($AD$2:$AK$9,ROUNDUP(IF(MOD($A56+INDEX(_xlfn.TEXTSPLIT(AB154,",",),0,1)+$A$18,$A$18)=0,$A$18,MOD($A56+INDEX(_xlfn.TEXTSPLIT(AB154,",",),0,1)+$A$18,$A$18))/5,0),ROUNDUP(IF(MOD(AB$18+INDEX(_xlfn.TEXTSPLIT(AB154,",",),0,2)+$A$18,$A$18)=0,$A$18,MOD(AB$18+INDEX(_xlfn.TEXTSPLIT(AB154,",",),0,2)+$A$18,$A$18))/5,0)))</f>
        <v>8</v>
      </c>
      <c r="AC56" s="1" cm="1">
        <f t="array" aca="1" ref="AC56" ca="1">(INDEX($K$2:$T$11,ROUNDUP(IF(MOD($A56+INDEX(_xlfn.TEXTSPLIT(AC111,",",),0,1)+$A$18,$A$18)=0,$A$18,MOD($A56+INDEX(_xlfn.TEXTSPLIT(AC111,",",),0,1)+$A$18,$A$18))/4,0),ROUNDUP(IF(MOD(AC$18+INDEX(_xlfn.TEXTSPLIT(AC111,",",),0,2)+$A$18,$A$18)=0,$A$18,MOD(AC$18+INDEX(_xlfn.TEXTSPLIT(AC111,",",),0,2)+$A$18,$A$18))/4,0)))+(INDEX($AD$2:$AK$9,ROUNDUP(IF(MOD($A56+INDEX(_xlfn.TEXTSPLIT(AC154,",",),0,1)+$A$18,$A$18)=0,$A$18,MOD($A56+INDEX(_xlfn.TEXTSPLIT(AC154,",",),0,1)+$A$18,$A$18))/5,0),ROUNDUP(IF(MOD(AC$18+INDEX(_xlfn.TEXTSPLIT(AC154,",",),0,2)+$A$18,$A$18)=0,$A$18,MOD(AC$18+INDEX(_xlfn.TEXTSPLIT(AC154,",",),0,2)+$A$18,$A$18))/5,0)))</f>
        <v>8</v>
      </c>
      <c r="AD56" s="1" cm="1">
        <f t="array" aca="1" ref="AD56" ca="1">(INDEX($K$2:$T$11,ROUNDUP(IF(MOD($A56+INDEX(_xlfn.TEXTSPLIT(AD111,",",),0,1)+$A$18,$A$18)=0,$A$18,MOD($A56+INDEX(_xlfn.TEXTSPLIT(AD111,",",),0,1)+$A$18,$A$18))/4,0),ROUNDUP(IF(MOD(AD$18+INDEX(_xlfn.TEXTSPLIT(AD111,",",),0,2)+$A$18,$A$18)=0,$A$18,MOD(AD$18+INDEX(_xlfn.TEXTSPLIT(AD111,",",),0,2)+$A$18,$A$18))/4,0)))+(INDEX($AD$2:$AK$9,ROUNDUP(IF(MOD($A56+INDEX(_xlfn.TEXTSPLIT(AD154,",",),0,1)+$A$18,$A$18)=0,$A$18,MOD($A56+INDEX(_xlfn.TEXTSPLIT(AD154,",",),0,1)+$A$18,$A$18))/5,0),ROUNDUP(IF(MOD(AD$18+INDEX(_xlfn.TEXTSPLIT(AD154,",",),0,2)+$A$18,$A$18)=0,$A$18,MOD(AD$18+INDEX(_xlfn.TEXTSPLIT(AD154,",",),0,2)+$A$18,$A$18))/5,0)))</f>
        <v>8</v>
      </c>
      <c r="AE56" s="1" cm="1">
        <f t="array" aca="1" ref="AE56" ca="1">(INDEX($K$2:$T$11,ROUNDUP(IF(MOD($A56+INDEX(_xlfn.TEXTSPLIT(AE111,",",),0,1)+$A$18,$A$18)=0,$A$18,MOD($A56+INDEX(_xlfn.TEXTSPLIT(AE111,",",),0,1)+$A$18,$A$18))/4,0),ROUNDUP(IF(MOD(AE$18+INDEX(_xlfn.TEXTSPLIT(AE111,",",),0,2)+$A$18,$A$18)=0,$A$18,MOD(AE$18+INDEX(_xlfn.TEXTSPLIT(AE111,",",),0,2)+$A$18,$A$18))/4,0)))+(INDEX($AD$2:$AK$9,ROUNDUP(IF(MOD($A56+INDEX(_xlfn.TEXTSPLIT(AE154,",",),0,1)+$A$18,$A$18)=0,$A$18,MOD($A56+INDEX(_xlfn.TEXTSPLIT(AE154,",",),0,1)+$A$18,$A$18))/5,0),ROUNDUP(IF(MOD(AE$18+INDEX(_xlfn.TEXTSPLIT(AE154,",",),0,2)+$A$18,$A$18)=0,$A$18,MOD(AE$18+INDEX(_xlfn.TEXTSPLIT(AE154,",",),0,2)+$A$18,$A$18))/5,0)))</f>
        <v>8</v>
      </c>
      <c r="AF56" s="1" cm="1">
        <f t="array" aca="1" ref="AF56" ca="1">(INDEX($K$2:$T$11,ROUNDUP(IF(MOD($A56+INDEX(_xlfn.TEXTSPLIT(AF111,",",),0,1)+$A$18,$A$18)=0,$A$18,MOD($A56+INDEX(_xlfn.TEXTSPLIT(AF111,",",),0,1)+$A$18,$A$18))/4,0),ROUNDUP(IF(MOD(AF$18+INDEX(_xlfn.TEXTSPLIT(AF111,",",),0,2)+$A$18,$A$18)=0,$A$18,MOD(AF$18+INDEX(_xlfn.TEXTSPLIT(AF111,",",),0,2)+$A$18,$A$18))/4,0)))+(INDEX($AD$2:$AK$9,ROUNDUP(IF(MOD($A56+INDEX(_xlfn.TEXTSPLIT(AF154,",",),0,1)+$A$18,$A$18)=0,$A$18,MOD($A56+INDEX(_xlfn.TEXTSPLIT(AF154,",",),0,1)+$A$18,$A$18))/5,0),ROUNDUP(IF(MOD(AF$18+INDEX(_xlfn.TEXTSPLIT(AF154,",",),0,2)+$A$18,$A$18)=0,$A$18,MOD(AF$18+INDEX(_xlfn.TEXTSPLIT(AF154,",",),0,2)+$A$18,$A$18))/5,0)))</f>
        <v>8</v>
      </c>
      <c r="AG56" s="1" cm="1">
        <f t="array" aca="1" ref="AG56" ca="1">(INDEX($K$2:$T$11,ROUNDUP(IF(MOD($A56+INDEX(_xlfn.TEXTSPLIT(AG111,",",),0,1)+$A$18,$A$18)=0,$A$18,MOD($A56+INDEX(_xlfn.TEXTSPLIT(AG111,",",),0,1)+$A$18,$A$18))/4,0),ROUNDUP(IF(MOD(AG$18+INDEX(_xlfn.TEXTSPLIT(AG111,",",),0,2)+$A$18,$A$18)=0,$A$18,MOD(AG$18+INDEX(_xlfn.TEXTSPLIT(AG111,",",),0,2)+$A$18,$A$18))/4,0)))+(INDEX($AD$2:$AK$9,ROUNDUP(IF(MOD($A56+INDEX(_xlfn.TEXTSPLIT(AG154,",",),0,1)+$A$18,$A$18)=0,$A$18,MOD($A56+INDEX(_xlfn.TEXTSPLIT(AG154,",",),0,1)+$A$18,$A$18))/5,0),ROUNDUP(IF(MOD(AG$18+INDEX(_xlfn.TEXTSPLIT(AG154,",",),0,2)+$A$18,$A$18)=0,$A$18,MOD(AG$18+INDEX(_xlfn.TEXTSPLIT(AG154,",",),0,2)+$A$18,$A$18))/5,0)))</f>
        <v>8</v>
      </c>
      <c r="AH56" s="1" cm="1">
        <f t="array" aca="1" ref="AH56" ca="1">(INDEX($K$2:$T$11,ROUNDUP(IF(MOD($A56+INDEX(_xlfn.TEXTSPLIT(AH111,",",),0,1)+$A$18,$A$18)=0,$A$18,MOD($A56+INDEX(_xlfn.TEXTSPLIT(AH111,",",),0,1)+$A$18,$A$18))/4,0),ROUNDUP(IF(MOD(AH$18+INDEX(_xlfn.TEXTSPLIT(AH111,",",),0,2)+$A$18,$A$18)=0,$A$18,MOD(AH$18+INDEX(_xlfn.TEXTSPLIT(AH111,",",),0,2)+$A$18,$A$18))/4,0)))+(INDEX($AD$2:$AK$9,ROUNDUP(IF(MOD($A56+INDEX(_xlfn.TEXTSPLIT(AH154,",",),0,1)+$A$18,$A$18)=0,$A$18,MOD($A56+INDEX(_xlfn.TEXTSPLIT(AH154,",",),0,1)+$A$18,$A$18))/5,0),ROUNDUP(IF(MOD(AH$18+INDEX(_xlfn.TEXTSPLIT(AH154,",",),0,2)+$A$18,$A$18)=0,$A$18,MOD(AH$18+INDEX(_xlfn.TEXTSPLIT(AH154,",",),0,2)+$A$18,$A$18))/5,0)))</f>
        <v>8</v>
      </c>
      <c r="AI56" s="1" cm="1">
        <f t="array" aca="1" ref="AI56" ca="1">(INDEX($K$2:$T$11,ROUNDUP(IF(MOD($A56+INDEX(_xlfn.TEXTSPLIT(AI111,",",),0,1)+$A$18,$A$18)=0,$A$18,MOD($A56+INDEX(_xlfn.TEXTSPLIT(AI111,",",),0,1)+$A$18,$A$18))/4,0),ROUNDUP(IF(MOD(AI$18+INDEX(_xlfn.TEXTSPLIT(AI111,",",),0,2)+$A$18,$A$18)=0,$A$18,MOD(AI$18+INDEX(_xlfn.TEXTSPLIT(AI111,",",),0,2)+$A$18,$A$18))/4,0)))+(INDEX($AD$2:$AK$9,ROUNDUP(IF(MOD($A56+INDEX(_xlfn.TEXTSPLIT(AI154,",",),0,1)+$A$18,$A$18)=0,$A$18,MOD($A56+INDEX(_xlfn.TEXTSPLIT(AI154,",",),0,1)+$A$18,$A$18))/5,0),ROUNDUP(IF(MOD(AI$18+INDEX(_xlfn.TEXTSPLIT(AI154,",",),0,2)+$A$18,$A$18)=0,$A$18,MOD(AI$18+INDEX(_xlfn.TEXTSPLIT(AI154,",",),0,2)+$A$18,$A$18))/5,0)))</f>
        <v>8</v>
      </c>
      <c r="AJ56" s="1" cm="1">
        <f t="array" aca="1" ref="AJ56" ca="1">(INDEX($K$2:$T$11,ROUNDUP(IF(MOD($A56+INDEX(_xlfn.TEXTSPLIT(AJ111,",",),0,1)+$A$18,$A$18)=0,$A$18,MOD($A56+INDEX(_xlfn.TEXTSPLIT(AJ111,",",),0,1)+$A$18,$A$18))/4,0),ROUNDUP(IF(MOD(AJ$18+INDEX(_xlfn.TEXTSPLIT(AJ111,",",),0,2)+$A$18,$A$18)=0,$A$18,MOD(AJ$18+INDEX(_xlfn.TEXTSPLIT(AJ111,",",),0,2)+$A$18,$A$18))/4,0)))+(INDEX($AD$2:$AK$9,ROUNDUP(IF(MOD($A56+INDEX(_xlfn.TEXTSPLIT(AJ154,",",),0,1)+$A$18,$A$18)=0,$A$18,MOD($A56+INDEX(_xlfn.TEXTSPLIT(AJ154,",",),0,1)+$A$18,$A$18))/5,0),ROUNDUP(IF(MOD(AJ$18+INDEX(_xlfn.TEXTSPLIT(AJ154,",",),0,2)+$A$18,$A$18)=0,$A$18,MOD(AJ$18+INDEX(_xlfn.TEXTSPLIT(AJ154,",",),0,2)+$A$18,$A$18))/5,0)))</f>
        <v>8</v>
      </c>
      <c r="AK56" s="1" cm="1">
        <f t="array" aca="1" ref="AK56" ca="1">(INDEX($K$2:$T$11,ROUNDUP(IF(MOD($A56+INDEX(_xlfn.TEXTSPLIT(AK111,",",),0,1)+$A$18,$A$18)=0,$A$18,MOD($A56+INDEX(_xlfn.TEXTSPLIT(AK111,",",),0,1)+$A$18,$A$18))/4,0),ROUNDUP(IF(MOD(AK$18+INDEX(_xlfn.TEXTSPLIT(AK111,",",),0,2)+$A$18,$A$18)=0,$A$18,MOD(AK$18+INDEX(_xlfn.TEXTSPLIT(AK111,",",),0,2)+$A$18,$A$18))/4,0)))+(INDEX($AD$2:$AK$9,ROUNDUP(IF(MOD($A56+INDEX(_xlfn.TEXTSPLIT(AK154,",",),0,1)+$A$18,$A$18)=0,$A$18,MOD($A56+INDEX(_xlfn.TEXTSPLIT(AK154,",",),0,1)+$A$18,$A$18))/5,0),ROUNDUP(IF(MOD(AK$18+INDEX(_xlfn.TEXTSPLIT(AK154,",",),0,2)+$A$18,$A$18)=0,$A$18,MOD(AK$18+INDEX(_xlfn.TEXTSPLIT(AK154,",",),0,2)+$A$18,$A$18))/5,0)))</f>
        <v>7</v>
      </c>
      <c r="AL56" s="1" cm="1">
        <f t="array" aca="1" ref="AL56" ca="1">(INDEX($K$2:$T$11,ROUNDUP(IF(MOD($A56+INDEX(_xlfn.TEXTSPLIT(AL111,",",),0,1)+$A$18,$A$18)=0,$A$18,MOD($A56+INDEX(_xlfn.TEXTSPLIT(AL111,",",),0,1)+$A$18,$A$18))/4,0),ROUNDUP(IF(MOD(AL$18+INDEX(_xlfn.TEXTSPLIT(AL111,",",),0,2)+$A$18,$A$18)=0,$A$18,MOD(AL$18+INDEX(_xlfn.TEXTSPLIT(AL111,",",),0,2)+$A$18,$A$18))/4,0)))+(INDEX($AD$2:$AK$9,ROUNDUP(IF(MOD($A56+INDEX(_xlfn.TEXTSPLIT(AL154,",",),0,1)+$A$18,$A$18)=0,$A$18,MOD($A56+INDEX(_xlfn.TEXTSPLIT(AL154,",",),0,1)+$A$18,$A$18))/5,0),ROUNDUP(IF(MOD(AL$18+INDEX(_xlfn.TEXTSPLIT(AL154,",",),0,2)+$A$18,$A$18)=0,$A$18,MOD(AL$18+INDEX(_xlfn.TEXTSPLIT(AL154,",",),0,2)+$A$18,$A$18))/5,0)))</f>
        <v>7</v>
      </c>
      <c r="AM56" s="1" cm="1">
        <f t="array" aca="1" ref="AM56" ca="1">(INDEX($K$2:$T$11,ROUNDUP(IF(MOD($A56+INDEX(_xlfn.TEXTSPLIT(AM111,",",),0,1)+$A$18,$A$18)=0,$A$18,MOD($A56+INDEX(_xlfn.TEXTSPLIT(AM111,",",),0,1)+$A$18,$A$18))/4,0),ROUNDUP(IF(MOD(AM$18+INDEX(_xlfn.TEXTSPLIT(AM111,",",),0,2)+$A$18,$A$18)=0,$A$18,MOD(AM$18+INDEX(_xlfn.TEXTSPLIT(AM111,",",),0,2)+$A$18,$A$18))/4,0)))+(INDEX($AD$2:$AK$9,ROUNDUP(IF(MOD($A56+INDEX(_xlfn.TEXTSPLIT(AM154,",",),0,1)+$A$18,$A$18)=0,$A$18,MOD($A56+INDEX(_xlfn.TEXTSPLIT(AM154,",",),0,1)+$A$18,$A$18))/5,0),ROUNDUP(IF(MOD(AM$18+INDEX(_xlfn.TEXTSPLIT(AM154,",",),0,2)+$A$18,$A$18)=0,$A$18,MOD(AM$18+INDEX(_xlfn.TEXTSPLIT(AM154,",",),0,2)+$A$18,$A$18))/5,0)))</f>
        <v>7</v>
      </c>
      <c r="AN56" s="1" cm="1">
        <f t="array" aca="1" ref="AN56" ca="1">(INDEX($K$2:$T$11,ROUNDUP(IF(MOD($A56+INDEX(_xlfn.TEXTSPLIT(AN111,",",),0,1)+$A$18,$A$18)=0,$A$18,MOD($A56+INDEX(_xlfn.TEXTSPLIT(AN111,",",),0,1)+$A$18,$A$18))/4,0),ROUNDUP(IF(MOD(AN$18+INDEX(_xlfn.TEXTSPLIT(AN111,",",),0,2)+$A$18,$A$18)=0,$A$18,MOD(AN$18+INDEX(_xlfn.TEXTSPLIT(AN111,",",),0,2)+$A$18,$A$18))/4,0)))+(INDEX($AD$2:$AK$9,ROUNDUP(IF(MOD($A56+INDEX(_xlfn.TEXTSPLIT(AN154,",",),0,1)+$A$18,$A$18)=0,$A$18,MOD($A56+INDEX(_xlfn.TEXTSPLIT(AN154,",",),0,1)+$A$18,$A$18))/5,0),ROUNDUP(IF(MOD(AN$18+INDEX(_xlfn.TEXTSPLIT(AN154,",",),0,2)+$A$18,$A$18)=0,$A$18,MOD(AN$18+INDEX(_xlfn.TEXTSPLIT(AN154,",",),0,2)+$A$18,$A$18))/5,0)))</f>
        <v>7</v>
      </c>
      <c r="AO56" s="1" cm="1">
        <f t="array" aca="1" ref="AO56" ca="1">(INDEX($K$2:$T$11,ROUNDUP(IF(MOD($A56+INDEX(_xlfn.TEXTSPLIT(AO111,",",),0,1)+$A$18,$A$18)=0,$A$18,MOD($A56+INDEX(_xlfn.TEXTSPLIT(AO111,",",),0,1)+$A$18,$A$18))/4,0),ROUNDUP(IF(MOD(AO$18+INDEX(_xlfn.TEXTSPLIT(AO111,",",),0,2)+$A$18,$A$18)=0,$A$18,MOD(AO$18+INDEX(_xlfn.TEXTSPLIT(AO111,",",),0,2)+$A$18,$A$18))/4,0)))+(INDEX($AD$2:$AK$9,ROUNDUP(IF(MOD($A56+INDEX(_xlfn.TEXTSPLIT(AO154,",",),0,1)+$A$18,$A$18)=0,$A$18,MOD($A56+INDEX(_xlfn.TEXTSPLIT(AO154,",",),0,1)+$A$18,$A$18))/5,0),ROUNDUP(IF(MOD(AO$18+INDEX(_xlfn.TEXTSPLIT(AO154,",",),0,2)+$A$18,$A$18)=0,$A$18,MOD(AO$18+INDEX(_xlfn.TEXTSPLIT(AO154,",",),0,2)+$A$18,$A$18))/5,0)))</f>
        <v>7</v>
      </c>
    </row>
    <row r="57" spans="1:41" ht="12.75">
      <c r="A57" s="1">
        <v>39</v>
      </c>
      <c r="B57" s="1" cm="1">
        <f t="array" aca="1" ref="B57" ca="1">(INDEX($K$2:$T$11,ROUNDUP(IF(MOD($A57+INDEX(_xlfn.TEXTSPLIT(B112,",",),0,1)+$A$18,$A$18)=0,$A$18,MOD($A57+INDEX(_xlfn.TEXTSPLIT(B112,",",),0,1)+$A$18,$A$18))/4,0),ROUNDUP(IF(MOD(B$18+INDEX(_xlfn.TEXTSPLIT(B112,",",),0,2)+$A$18,$A$18)=0,$A$18,MOD(B$18+INDEX(_xlfn.TEXTSPLIT(B112,",",),0,2)+$A$18,$A$18))/4,0)))+(INDEX($AD$2:$AK$9,ROUNDUP(IF(MOD($A57+INDEX(_xlfn.TEXTSPLIT(B155,",",),0,1)+$A$18,$A$18)=0,$A$18,MOD($A57+INDEX(_xlfn.TEXTSPLIT(B155,",",),0,1)+$A$18,$A$18))/5,0),ROUNDUP(IF(MOD(B$18+INDEX(_xlfn.TEXTSPLIT(B155,",",),0,2)+$A$18,$A$18)=0,$A$18,MOD(B$18+INDEX(_xlfn.TEXTSPLIT(B155,",",),0,2)+$A$18,$A$18))/5,0)))</f>
        <v>5</v>
      </c>
      <c r="C57" s="1" cm="1">
        <f t="array" aca="1" ref="C57" ca="1">(INDEX($K$2:$T$11,ROUNDUP(IF(MOD($A57+INDEX(_xlfn.TEXTSPLIT(C112,",",),0,1)+$A$18,$A$18)=0,$A$18,MOD($A57+INDEX(_xlfn.TEXTSPLIT(C112,",",),0,1)+$A$18,$A$18))/4,0),ROUNDUP(IF(MOD(C$18+INDEX(_xlfn.TEXTSPLIT(C112,",",),0,2)+$A$18,$A$18)=0,$A$18,MOD(C$18+INDEX(_xlfn.TEXTSPLIT(C112,",",),0,2)+$A$18,$A$18))/4,0)))+(INDEX($AD$2:$AK$9,ROUNDUP(IF(MOD($A57+INDEX(_xlfn.TEXTSPLIT(C155,",",),0,1)+$A$18,$A$18)=0,$A$18,MOD($A57+INDEX(_xlfn.TEXTSPLIT(C155,",",),0,1)+$A$18,$A$18))/5,0),ROUNDUP(IF(MOD(C$18+INDEX(_xlfn.TEXTSPLIT(C155,",",),0,2)+$A$18,$A$18)=0,$A$18,MOD(C$18+INDEX(_xlfn.TEXTSPLIT(C155,",",),0,2)+$A$18,$A$18))/5,0)))</f>
        <v>5</v>
      </c>
      <c r="D57" s="1" cm="1">
        <f t="array" aca="1" ref="D57" ca="1">(INDEX($K$2:$T$11,ROUNDUP(IF(MOD($A57+INDEX(_xlfn.TEXTSPLIT(D112,",",),0,1)+$A$18,$A$18)=0,$A$18,MOD($A57+INDEX(_xlfn.TEXTSPLIT(D112,",",),0,1)+$A$18,$A$18))/4,0),ROUNDUP(IF(MOD(D$18+INDEX(_xlfn.TEXTSPLIT(D112,",",),0,2)+$A$18,$A$18)=0,$A$18,MOD(D$18+INDEX(_xlfn.TEXTSPLIT(D112,",",),0,2)+$A$18,$A$18))/4,0)))+(INDEX($AD$2:$AK$9,ROUNDUP(IF(MOD($A57+INDEX(_xlfn.TEXTSPLIT(D155,",",),0,1)+$A$18,$A$18)=0,$A$18,MOD($A57+INDEX(_xlfn.TEXTSPLIT(D155,",",),0,1)+$A$18,$A$18))/5,0),ROUNDUP(IF(MOD(D$18+INDEX(_xlfn.TEXTSPLIT(D155,",",),0,2)+$A$18,$A$18)=0,$A$18,MOD(D$18+INDEX(_xlfn.TEXTSPLIT(D155,",",),0,2)+$A$18,$A$18))/5,0)))</f>
        <v>5</v>
      </c>
      <c r="E57" s="1" cm="1">
        <f t="array" aca="1" ref="E57" ca="1">(INDEX($K$2:$T$11,ROUNDUP(IF(MOD($A57+INDEX(_xlfn.TEXTSPLIT(E112,",",),0,1)+$A$18,$A$18)=0,$A$18,MOD($A57+INDEX(_xlfn.TEXTSPLIT(E112,",",),0,1)+$A$18,$A$18))/4,0),ROUNDUP(IF(MOD(E$18+INDEX(_xlfn.TEXTSPLIT(E112,",",),0,2)+$A$18,$A$18)=0,$A$18,MOD(E$18+INDEX(_xlfn.TEXTSPLIT(E112,",",),0,2)+$A$18,$A$18))/4,0)))+(INDEX($AD$2:$AK$9,ROUNDUP(IF(MOD($A57+INDEX(_xlfn.TEXTSPLIT(E155,",",),0,1)+$A$18,$A$18)=0,$A$18,MOD($A57+INDEX(_xlfn.TEXTSPLIT(E155,",",),0,1)+$A$18,$A$18))/5,0),ROUNDUP(IF(MOD(E$18+INDEX(_xlfn.TEXTSPLIT(E155,",",),0,2)+$A$18,$A$18)=0,$A$18,MOD(E$18+INDEX(_xlfn.TEXTSPLIT(E155,",",),0,2)+$A$18,$A$18))/5,0)))</f>
        <v>5</v>
      </c>
      <c r="F57" s="1" cm="1">
        <f t="array" aca="1" ref="F57" ca="1">(INDEX($K$2:$T$11,ROUNDUP(IF(MOD($A57+INDEX(_xlfn.TEXTSPLIT(F112,",",),0,1)+$A$18,$A$18)=0,$A$18,MOD($A57+INDEX(_xlfn.TEXTSPLIT(F112,",",),0,1)+$A$18,$A$18))/4,0),ROUNDUP(IF(MOD(F$18+INDEX(_xlfn.TEXTSPLIT(F112,",",),0,2)+$A$18,$A$18)=0,$A$18,MOD(F$18+INDEX(_xlfn.TEXTSPLIT(F112,",",),0,2)+$A$18,$A$18))/4,0)))+(INDEX($AD$2:$AK$9,ROUNDUP(IF(MOD($A57+INDEX(_xlfn.TEXTSPLIT(F155,",",),0,1)+$A$18,$A$18)=0,$A$18,MOD($A57+INDEX(_xlfn.TEXTSPLIT(F155,",",),0,1)+$A$18,$A$18))/5,0),ROUNDUP(IF(MOD(F$18+INDEX(_xlfn.TEXTSPLIT(F155,",",),0,2)+$A$18,$A$18)=0,$A$18,MOD(F$18+INDEX(_xlfn.TEXTSPLIT(F155,",",),0,2)+$A$18,$A$18))/5,0)))</f>
        <v>3</v>
      </c>
      <c r="G57" s="1" cm="1">
        <f t="array" aca="1" ref="G57" ca="1">(INDEX($K$2:$T$11,ROUNDUP(IF(MOD($A57+INDEX(_xlfn.TEXTSPLIT(G112,",",),0,1)+$A$18,$A$18)=0,$A$18,MOD($A57+INDEX(_xlfn.TEXTSPLIT(G112,",",),0,1)+$A$18,$A$18))/4,0),ROUNDUP(IF(MOD(G$18+INDEX(_xlfn.TEXTSPLIT(G112,",",),0,2)+$A$18,$A$18)=0,$A$18,MOD(G$18+INDEX(_xlfn.TEXTSPLIT(G112,",",),0,2)+$A$18,$A$18))/4,0)))+(INDEX($AD$2:$AK$9,ROUNDUP(IF(MOD($A57+INDEX(_xlfn.TEXTSPLIT(G155,",",),0,1)+$A$18,$A$18)=0,$A$18,MOD($A57+INDEX(_xlfn.TEXTSPLIT(G155,",",),0,1)+$A$18,$A$18))/5,0),ROUNDUP(IF(MOD(G$18+INDEX(_xlfn.TEXTSPLIT(G155,",",),0,2)+$A$18,$A$18)=0,$A$18,MOD(G$18+INDEX(_xlfn.TEXTSPLIT(G155,",",),0,2)+$A$18,$A$18))/5,0)))</f>
        <v>1</v>
      </c>
      <c r="H57" s="1" cm="1">
        <f t="array" aca="1" ref="H57" ca="1">(INDEX($K$2:$T$11,ROUNDUP(IF(MOD($A57+INDEX(_xlfn.TEXTSPLIT(H112,",",),0,1)+$A$18,$A$18)=0,$A$18,MOD($A57+INDEX(_xlfn.TEXTSPLIT(H112,",",),0,1)+$A$18,$A$18))/4,0),ROUNDUP(IF(MOD(H$18+INDEX(_xlfn.TEXTSPLIT(H112,",",),0,2)+$A$18,$A$18)=0,$A$18,MOD(H$18+INDEX(_xlfn.TEXTSPLIT(H112,",",),0,2)+$A$18,$A$18))/4,0)))+(INDEX($AD$2:$AK$9,ROUNDUP(IF(MOD($A57+INDEX(_xlfn.TEXTSPLIT(H155,",",),0,1)+$A$18,$A$18)=0,$A$18,MOD($A57+INDEX(_xlfn.TEXTSPLIT(H155,",",),0,1)+$A$18,$A$18))/5,0),ROUNDUP(IF(MOD(H$18+INDEX(_xlfn.TEXTSPLIT(H155,",",),0,2)+$A$18,$A$18)=0,$A$18,MOD(H$18+INDEX(_xlfn.TEXTSPLIT(H155,",",),0,2)+$A$18,$A$18))/5,0)))</f>
        <v>3</v>
      </c>
      <c r="I57" s="1" cm="1">
        <f t="array" aca="1" ref="I57" ca="1">(INDEX($K$2:$T$11,ROUNDUP(IF(MOD($A57+INDEX(_xlfn.TEXTSPLIT(I112,",",),0,1)+$A$18,$A$18)=0,$A$18,MOD($A57+INDEX(_xlfn.TEXTSPLIT(I112,",",),0,1)+$A$18,$A$18))/4,0),ROUNDUP(IF(MOD(I$18+INDEX(_xlfn.TEXTSPLIT(I112,",",),0,2)+$A$18,$A$18)=0,$A$18,MOD(I$18+INDEX(_xlfn.TEXTSPLIT(I112,",",),0,2)+$A$18,$A$18))/4,0)))+(INDEX($AD$2:$AK$9,ROUNDUP(IF(MOD($A57+INDEX(_xlfn.TEXTSPLIT(I155,",",),0,1)+$A$18,$A$18)=0,$A$18,MOD($A57+INDEX(_xlfn.TEXTSPLIT(I155,",",),0,1)+$A$18,$A$18))/5,0),ROUNDUP(IF(MOD(I$18+INDEX(_xlfn.TEXTSPLIT(I155,",",),0,2)+$A$18,$A$18)=0,$A$18,MOD(I$18+INDEX(_xlfn.TEXTSPLIT(I155,",",),0,2)+$A$18,$A$18))/5,0)))</f>
        <v>3</v>
      </c>
      <c r="J57" s="1" cm="1">
        <f t="array" aca="1" ref="J57" ca="1">(INDEX($K$2:$T$11,ROUNDUP(IF(MOD($A57+INDEX(_xlfn.TEXTSPLIT(J112,",",),0,1)+$A$18,$A$18)=0,$A$18,MOD($A57+INDEX(_xlfn.TEXTSPLIT(J112,",",),0,1)+$A$18,$A$18))/4,0),ROUNDUP(IF(MOD(J$18+INDEX(_xlfn.TEXTSPLIT(J112,",",),0,2)+$A$18,$A$18)=0,$A$18,MOD(J$18+INDEX(_xlfn.TEXTSPLIT(J112,",",),0,2)+$A$18,$A$18))/4,0)))+(INDEX($AD$2:$AK$9,ROUNDUP(IF(MOD($A57+INDEX(_xlfn.TEXTSPLIT(J155,",",),0,1)+$A$18,$A$18)=0,$A$18,MOD($A57+INDEX(_xlfn.TEXTSPLIT(J155,",",),0,1)+$A$18,$A$18))/5,0),ROUNDUP(IF(MOD(J$18+INDEX(_xlfn.TEXTSPLIT(J155,",",),0,2)+$A$18,$A$18)=0,$A$18,MOD(J$18+INDEX(_xlfn.TEXTSPLIT(J155,",",),0,2)+$A$18,$A$18))/5,0)))</f>
        <v>7</v>
      </c>
      <c r="K57" s="1" cm="1">
        <f t="array" aca="1" ref="K57" ca="1">(INDEX($K$2:$T$11,ROUNDUP(IF(MOD($A57+INDEX(_xlfn.TEXTSPLIT(K112,",",),0,1)+$A$18,$A$18)=0,$A$18,MOD($A57+INDEX(_xlfn.TEXTSPLIT(K112,",",),0,1)+$A$18,$A$18))/4,0),ROUNDUP(IF(MOD(K$18+INDEX(_xlfn.TEXTSPLIT(K112,",",),0,2)+$A$18,$A$18)=0,$A$18,MOD(K$18+INDEX(_xlfn.TEXTSPLIT(K112,",",),0,2)+$A$18,$A$18))/4,0)))+(INDEX($AD$2:$AK$9,ROUNDUP(IF(MOD($A57+INDEX(_xlfn.TEXTSPLIT(K155,",",),0,1)+$A$18,$A$18)=0,$A$18,MOD($A57+INDEX(_xlfn.TEXTSPLIT(K155,",",),0,1)+$A$18,$A$18))/5,0),ROUNDUP(IF(MOD(K$18+INDEX(_xlfn.TEXTSPLIT(K155,",",),0,2)+$A$18,$A$18)=0,$A$18,MOD(K$18+INDEX(_xlfn.TEXTSPLIT(K155,",",),0,2)+$A$18,$A$18))/5,0)))</f>
        <v>7</v>
      </c>
      <c r="L57" s="1" cm="1">
        <f t="array" aca="1" ref="L57" ca="1">(INDEX($K$2:$T$11,ROUNDUP(IF(MOD($A57+INDEX(_xlfn.TEXTSPLIT(L112,",",),0,1)+$A$18,$A$18)=0,$A$18,MOD($A57+INDEX(_xlfn.TEXTSPLIT(L112,",",),0,1)+$A$18,$A$18))/4,0),ROUNDUP(IF(MOD(L$18+INDEX(_xlfn.TEXTSPLIT(L112,",",),0,2)+$A$18,$A$18)=0,$A$18,MOD(L$18+INDEX(_xlfn.TEXTSPLIT(L112,",",),0,2)+$A$18,$A$18))/4,0)))+(INDEX($AD$2:$AK$9,ROUNDUP(IF(MOD($A57+INDEX(_xlfn.TEXTSPLIT(L155,",",),0,1)+$A$18,$A$18)=0,$A$18,MOD($A57+INDEX(_xlfn.TEXTSPLIT(L155,",",),0,1)+$A$18,$A$18))/5,0),ROUNDUP(IF(MOD(L$18+INDEX(_xlfn.TEXTSPLIT(L155,",",),0,2)+$A$18,$A$18)=0,$A$18,MOD(L$18+INDEX(_xlfn.TEXTSPLIT(L155,",",),0,2)+$A$18,$A$18))/5,0)))</f>
        <v>7</v>
      </c>
      <c r="M57" s="1" cm="1">
        <f t="array" aca="1" ref="M57" ca="1">(INDEX($K$2:$T$11,ROUNDUP(IF(MOD($A57+INDEX(_xlfn.TEXTSPLIT(M112,",",),0,1)+$A$18,$A$18)=0,$A$18,MOD($A57+INDEX(_xlfn.TEXTSPLIT(M112,",",),0,1)+$A$18,$A$18))/4,0),ROUNDUP(IF(MOD(M$18+INDEX(_xlfn.TEXTSPLIT(M112,",",),0,2)+$A$18,$A$18)=0,$A$18,MOD(M$18+INDEX(_xlfn.TEXTSPLIT(M112,",",),0,2)+$A$18,$A$18))/4,0)))+(INDEX($AD$2:$AK$9,ROUNDUP(IF(MOD($A57+INDEX(_xlfn.TEXTSPLIT(M155,",",),0,1)+$A$18,$A$18)=0,$A$18,MOD($A57+INDEX(_xlfn.TEXTSPLIT(M155,",",),0,1)+$A$18,$A$18))/5,0),ROUNDUP(IF(MOD(M$18+INDEX(_xlfn.TEXTSPLIT(M155,",",),0,2)+$A$18,$A$18)=0,$A$18,MOD(M$18+INDEX(_xlfn.TEXTSPLIT(M155,",",),0,2)+$A$18,$A$18))/5,0)))</f>
        <v>7</v>
      </c>
      <c r="N57" s="1" cm="1">
        <f t="array" aca="1" ref="N57" ca="1">(INDEX($K$2:$T$11,ROUNDUP(IF(MOD($A57+INDEX(_xlfn.TEXTSPLIT(N112,",",),0,1)+$A$18,$A$18)=0,$A$18,MOD($A57+INDEX(_xlfn.TEXTSPLIT(N112,",",),0,1)+$A$18,$A$18))/4,0),ROUNDUP(IF(MOD(N$18+INDEX(_xlfn.TEXTSPLIT(N112,",",),0,2)+$A$18,$A$18)=0,$A$18,MOD(N$18+INDEX(_xlfn.TEXTSPLIT(N112,",",),0,2)+$A$18,$A$18))/4,0)))+(INDEX($AD$2:$AK$9,ROUNDUP(IF(MOD($A57+INDEX(_xlfn.TEXTSPLIT(N155,",",),0,1)+$A$18,$A$18)=0,$A$18,MOD($A57+INDEX(_xlfn.TEXTSPLIT(N155,",",),0,1)+$A$18,$A$18))/5,0),ROUNDUP(IF(MOD(N$18+INDEX(_xlfn.TEXTSPLIT(N155,",",),0,2)+$A$18,$A$18)=0,$A$18,MOD(N$18+INDEX(_xlfn.TEXTSPLIT(N155,",",),0,2)+$A$18,$A$18))/5,0)))</f>
        <v>7</v>
      </c>
      <c r="O57" s="1" cm="1">
        <f t="array" aca="1" ref="O57" ca="1">(INDEX($K$2:$T$11,ROUNDUP(IF(MOD($A57+INDEX(_xlfn.TEXTSPLIT(O112,",",),0,1)+$A$18,$A$18)=0,$A$18,MOD($A57+INDEX(_xlfn.TEXTSPLIT(O112,",",),0,1)+$A$18,$A$18))/4,0),ROUNDUP(IF(MOD(O$18+INDEX(_xlfn.TEXTSPLIT(O112,",",),0,2)+$A$18,$A$18)=0,$A$18,MOD(O$18+INDEX(_xlfn.TEXTSPLIT(O112,",",),0,2)+$A$18,$A$18))/4,0)))+(INDEX($AD$2:$AK$9,ROUNDUP(IF(MOD($A57+INDEX(_xlfn.TEXTSPLIT(O155,",",),0,1)+$A$18,$A$18)=0,$A$18,MOD($A57+INDEX(_xlfn.TEXTSPLIT(O155,",",),0,1)+$A$18,$A$18))/5,0),ROUNDUP(IF(MOD(O$18+INDEX(_xlfn.TEXTSPLIT(O155,",",),0,2)+$A$18,$A$18)=0,$A$18,MOD(O$18+INDEX(_xlfn.TEXTSPLIT(O155,",",),0,2)+$A$18,$A$18))/5,0)))</f>
        <v>3</v>
      </c>
      <c r="P57" s="1" cm="1">
        <f t="array" aca="1" ref="P57" ca="1">(INDEX($K$2:$T$11,ROUNDUP(IF(MOD($A57+INDEX(_xlfn.TEXTSPLIT(P112,",",),0,1)+$A$18,$A$18)=0,$A$18,MOD($A57+INDEX(_xlfn.TEXTSPLIT(P112,",",),0,1)+$A$18,$A$18))/4,0),ROUNDUP(IF(MOD(P$18+INDEX(_xlfn.TEXTSPLIT(P112,",",),0,2)+$A$18,$A$18)=0,$A$18,MOD(P$18+INDEX(_xlfn.TEXTSPLIT(P112,",",),0,2)+$A$18,$A$18))/4,0)))+(INDEX($AD$2:$AK$9,ROUNDUP(IF(MOD($A57+INDEX(_xlfn.TEXTSPLIT(P155,",",),0,1)+$A$18,$A$18)=0,$A$18,MOD($A57+INDEX(_xlfn.TEXTSPLIT(P155,",",),0,1)+$A$18,$A$18))/5,0),ROUNDUP(IF(MOD(P$18+INDEX(_xlfn.TEXTSPLIT(P155,",",),0,2)+$A$18,$A$18)=0,$A$18,MOD(P$18+INDEX(_xlfn.TEXTSPLIT(P155,",",),0,2)+$A$18,$A$18))/5,0)))</f>
        <v>3</v>
      </c>
      <c r="Q57" s="1" cm="1">
        <f t="array" aca="1" ref="Q57" ca="1">(INDEX($K$2:$T$11,ROUNDUP(IF(MOD($A57+INDEX(_xlfn.TEXTSPLIT(Q112,",",),0,1)+$A$18,$A$18)=0,$A$18,MOD($A57+INDEX(_xlfn.TEXTSPLIT(Q112,",",),0,1)+$A$18,$A$18))/4,0),ROUNDUP(IF(MOD(Q$18+INDEX(_xlfn.TEXTSPLIT(Q112,",",),0,2)+$A$18,$A$18)=0,$A$18,MOD(Q$18+INDEX(_xlfn.TEXTSPLIT(Q112,",",),0,2)+$A$18,$A$18))/4,0)))+(INDEX($AD$2:$AK$9,ROUNDUP(IF(MOD($A57+INDEX(_xlfn.TEXTSPLIT(Q155,",",),0,1)+$A$18,$A$18)=0,$A$18,MOD($A57+INDEX(_xlfn.TEXTSPLIT(Q155,",",),0,1)+$A$18,$A$18))/5,0),ROUNDUP(IF(MOD(Q$18+INDEX(_xlfn.TEXTSPLIT(Q155,",",),0,2)+$A$18,$A$18)=0,$A$18,MOD(Q$18+INDEX(_xlfn.TEXTSPLIT(Q155,",",),0,2)+$A$18,$A$18))/5,0)))</f>
        <v>3</v>
      </c>
      <c r="R57" s="1" cm="1">
        <f t="array" aca="1" ref="R57" ca="1">(INDEX($K$2:$T$11,ROUNDUP(IF(MOD($A57+INDEX(_xlfn.TEXTSPLIT(R112,",",),0,1)+$A$18,$A$18)=0,$A$18,MOD($A57+INDEX(_xlfn.TEXTSPLIT(R112,",",),0,1)+$A$18,$A$18))/4,0),ROUNDUP(IF(MOD(R$18+INDEX(_xlfn.TEXTSPLIT(R112,",",),0,2)+$A$18,$A$18)=0,$A$18,MOD(R$18+INDEX(_xlfn.TEXTSPLIT(R112,",",),0,2)+$A$18,$A$18))/4,0)))+(INDEX($AD$2:$AK$9,ROUNDUP(IF(MOD($A57+INDEX(_xlfn.TEXTSPLIT(R155,",",),0,1)+$A$18,$A$18)=0,$A$18,MOD($A57+INDEX(_xlfn.TEXTSPLIT(R155,",",),0,1)+$A$18,$A$18))/5,0),ROUNDUP(IF(MOD(R$18+INDEX(_xlfn.TEXTSPLIT(R155,",",),0,2)+$A$18,$A$18)=0,$A$18,MOD(R$18+INDEX(_xlfn.TEXTSPLIT(R155,",",),0,2)+$A$18,$A$18))/5,0)))</f>
        <v>4</v>
      </c>
      <c r="S57" s="1" cm="1">
        <f t="array" aca="1" ref="S57" ca="1">(INDEX($K$2:$T$11,ROUNDUP(IF(MOD($A57+INDEX(_xlfn.TEXTSPLIT(S112,",",),0,1)+$A$18,$A$18)=0,$A$18,MOD($A57+INDEX(_xlfn.TEXTSPLIT(S112,",",),0,1)+$A$18,$A$18))/4,0),ROUNDUP(IF(MOD(S$18+INDEX(_xlfn.TEXTSPLIT(S112,",",),0,2)+$A$18,$A$18)=0,$A$18,MOD(S$18+INDEX(_xlfn.TEXTSPLIT(S112,",",),0,2)+$A$18,$A$18))/4,0)))+(INDEX($AD$2:$AK$9,ROUNDUP(IF(MOD($A57+INDEX(_xlfn.TEXTSPLIT(S155,",",),0,1)+$A$18,$A$18)=0,$A$18,MOD($A57+INDEX(_xlfn.TEXTSPLIT(S155,",",),0,1)+$A$18,$A$18))/5,0),ROUNDUP(IF(MOD(S$18+INDEX(_xlfn.TEXTSPLIT(S155,",",),0,2)+$A$18,$A$18)=0,$A$18,MOD(S$18+INDEX(_xlfn.TEXTSPLIT(S155,",",),0,2)+$A$18,$A$18))/5,0)))</f>
        <v>4</v>
      </c>
      <c r="T57" s="1" cm="1">
        <f t="array" aca="1" ref="T57" ca="1">(INDEX($K$2:$T$11,ROUNDUP(IF(MOD($A57+INDEX(_xlfn.TEXTSPLIT(T112,",",),0,1)+$A$18,$A$18)=0,$A$18,MOD($A57+INDEX(_xlfn.TEXTSPLIT(T112,",",),0,1)+$A$18,$A$18))/4,0),ROUNDUP(IF(MOD(T$18+INDEX(_xlfn.TEXTSPLIT(T112,",",),0,2)+$A$18,$A$18)=0,$A$18,MOD(T$18+INDEX(_xlfn.TEXTSPLIT(T112,",",),0,2)+$A$18,$A$18))/4,0)))+(INDEX($AD$2:$AK$9,ROUNDUP(IF(MOD($A57+INDEX(_xlfn.TEXTSPLIT(T155,",",),0,1)+$A$18,$A$18)=0,$A$18,MOD($A57+INDEX(_xlfn.TEXTSPLIT(T155,",",),0,1)+$A$18,$A$18))/5,0),ROUNDUP(IF(MOD(T$18+INDEX(_xlfn.TEXTSPLIT(T155,",",),0,2)+$A$18,$A$18)=0,$A$18,MOD(T$18+INDEX(_xlfn.TEXTSPLIT(T155,",",),0,2)+$A$18,$A$18))/5,0)))</f>
        <v>4</v>
      </c>
      <c r="U57" s="1" cm="1">
        <f t="array" aca="1" ref="U57" ca="1">(INDEX($K$2:$T$11,ROUNDUP(IF(MOD($A57+INDEX(_xlfn.TEXTSPLIT(U112,",",),0,1)+$A$18,$A$18)=0,$A$18,MOD($A57+INDEX(_xlfn.TEXTSPLIT(U112,",",),0,1)+$A$18,$A$18))/4,0),ROUNDUP(IF(MOD(U$18+INDEX(_xlfn.TEXTSPLIT(U112,",",),0,2)+$A$18,$A$18)=0,$A$18,MOD(U$18+INDEX(_xlfn.TEXTSPLIT(U112,",",),0,2)+$A$18,$A$18))/4,0)))+(INDEX($AD$2:$AK$9,ROUNDUP(IF(MOD($A57+INDEX(_xlfn.TEXTSPLIT(U155,",",),0,1)+$A$18,$A$18)=0,$A$18,MOD($A57+INDEX(_xlfn.TEXTSPLIT(U155,",",),0,1)+$A$18,$A$18))/5,0),ROUNDUP(IF(MOD(U$18+INDEX(_xlfn.TEXTSPLIT(U155,",",),0,2)+$A$18,$A$18)=0,$A$18,MOD(U$18+INDEX(_xlfn.TEXTSPLIT(U155,",",),0,2)+$A$18,$A$18))/5,0)))</f>
        <v>3</v>
      </c>
      <c r="V57" s="1" cm="1">
        <f t="array" aca="1" ref="V57" ca="1">(INDEX($K$2:$T$11,ROUNDUP(IF(MOD($A57+INDEX(_xlfn.TEXTSPLIT(V112,",",),0,1)+$A$18,$A$18)=0,$A$18,MOD($A57+INDEX(_xlfn.TEXTSPLIT(V112,",",),0,1)+$A$18,$A$18))/4,0),ROUNDUP(IF(MOD(V$18+INDEX(_xlfn.TEXTSPLIT(V112,",",),0,2)+$A$18,$A$18)=0,$A$18,MOD(V$18+INDEX(_xlfn.TEXTSPLIT(V112,",",),0,2)+$A$18,$A$18))/4,0)))+(INDEX($AD$2:$AK$9,ROUNDUP(IF(MOD($A57+INDEX(_xlfn.TEXTSPLIT(V155,",",),0,1)+$A$18,$A$18)=0,$A$18,MOD($A57+INDEX(_xlfn.TEXTSPLIT(V155,",",),0,1)+$A$18,$A$18))/5,0),ROUNDUP(IF(MOD(V$18+INDEX(_xlfn.TEXTSPLIT(V155,",",),0,2)+$A$18,$A$18)=0,$A$18,MOD(V$18+INDEX(_xlfn.TEXTSPLIT(V155,",",),0,2)+$A$18,$A$18))/5,0)))</f>
        <v>7</v>
      </c>
      <c r="W57" s="1" cm="1">
        <f t="array" aca="1" ref="W57" ca="1">(INDEX($K$2:$T$11,ROUNDUP(IF(MOD($A57+INDEX(_xlfn.TEXTSPLIT(W112,",",),0,1)+$A$18,$A$18)=0,$A$18,MOD($A57+INDEX(_xlfn.TEXTSPLIT(W112,",",),0,1)+$A$18,$A$18))/4,0),ROUNDUP(IF(MOD(W$18+INDEX(_xlfn.TEXTSPLIT(W112,",",),0,2)+$A$18,$A$18)=0,$A$18,MOD(W$18+INDEX(_xlfn.TEXTSPLIT(W112,",",),0,2)+$A$18,$A$18))/4,0)))+(INDEX($AD$2:$AK$9,ROUNDUP(IF(MOD($A57+INDEX(_xlfn.TEXTSPLIT(W155,",",),0,1)+$A$18,$A$18)=0,$A$18,MOD($A57+INDEX(_xlfn.TEXTSPLIT(W155,",",),0,1)+$A$18,$A$18))/5,0),ROUNDUP(IF(MOD(W$18+INDEX(_xlfn.TEXTSPLIT(W155,",",),0,2)+$A$18,$A$18)=0,$A$18,MOD(W$18+INDEX(_xlfn.TEXTSPLIT(W155,",",),0,2)+$A$18,$A$18))/5,0)))</f>
        <v>7</v>
      </c>
      <c r="X57" s="1" cm="1">
        <f t="array" aca="1" ref="X57" ca="1">(INDEX($K$2:$T$11,ROUNDUP(IF(MOD($A57+INDEX(_xlfn.TEXTSPLIT(X112,",",),0,1)+$A$18,$A$18)=0,$A$18,MOD($A57+INDEX(_xlfn.TEXTSPLIT(X112,",",),0,1)+$A$18,$A$18))/4,0),ROUNDUP(IF(MOD(X$18+INDEX(_xlfn.TEXTSPLIT(X112,",",),0,2)+$A$18,$A$18)=0,$A$18,MOD(X$18+INDEX(_xlfn.TEXTSPLIT(X112,",",),0,2)+$A$18,$A$18))/4,0)))+(INDEX($AD$2:$AK$9,ROUNDUP(IF(MOD($A57+INDEX(_xlfn.TEXTSPLIT(X155,",",),0,1)+$A$18,$A$18)=0,$A$18,MOD($A57+INDEX(_xlfn.TEXTSPLIT(X155,",",),0,1)+$A$18,$A$18))/5,0),ROUNDUP(IF(MOD(X$18+INDEX(_xlfn.TEXTSPLIT(X155,",",),0,2)+$A$18,$A$18)=0,$A$18,MOD(X$18+INDEX(_xlfn.TEXTSPLIT(X155,",",),0,2)+$A$18,$A$18))/5,0)))</f>
        <v>7</v>
      </c>
      <c r="Y57" s="1" cm="1">
        <f t="array" aca="1" ref="Y57" ca="1">(INDEX($K$2:$T$11,ROUNDUP(IF(MOD($A57+INDEX(_xlfn.TEXTSPLIT(Y112,",",),0,1)+$A$18,$A$18)=0,$A$18,MOD($A57+INDEX(_xlfn.TEXTSPLIT(Y112,",",),0,1)+$A$18,$A$18))/4,0),ROUNDUP(IF(MOD(Y$18+INDEX(_xlfn.TEXTSPLIT(Y112,",",),0,2)+$A$18,$A$18)=0,$A$18,MOD(Y$18+INDEX(_xlfn.TEXTSPLIT(Y112,",",),0,2)+$A$18,$A$18))/4,0)))+(INDEX($AD$2:$AK$9,ROUNDUP(IF(MOD($A57+INDEX(_xlfn.TEXTSPLIT(Y155,",",),0,1)+$A$18,$A$18)=0,$A$18,MOD($A57+INDEX(_xlfn.TEXTSPLIT(Y155,",",),0,1)+$A$18,$A$18))/5,0),ROUNDUP(IF(MOD(Y$18+INDEX(_xlfn.TEXTSPLIT(Y155,",",),0,2)+$A$18,$A$18)=0,$A$18,MOD(Y$18+INDEX(_xlfn.TEXTSPLIT(Y155,",",),0,2)+$A$18,$A$18))/5,0)))</f>
        <v>7</v>
      </c>
      <c r="Z57" s="1" cm="1">
        <f t="array" aca="1" ref="Z57" ca="1">(INDEX($K$2:$T$11,ROUNDUP(IF(MOD($A57+INDEX(_xlfn.TEXTSPLIT(Z112,",",),0,1)+$A$18,$A$18)=0,$A$18,MOD($A57+INDEX(_xlfn.TEXTSPLIT(Z112,",",),0,1)+$A$18,$A$18))/4,0),ROUNDUP(IF(MOD(Z$18+INDEX(_xlfn.TEXTSPLIT(Z112,",",),0,2)+$A$18,$A$18)=0,$A$18,MOD(Z$18+INDEX(_xlfn.TEXTSPLIT(Z112,",",),0,2)+$A$18,$A$18))/4,0)))+(INDEX($AD$2:$AK$9,ROUNDUP(IF(MOD($A57+INDEX(_xlfn.TEXTSPLIT(Z155,",",),0,1)+$A$18,$A$18)=0,$A$18,MOD($A57+INDEX(_xlfn.TEXTSPLIT(Z155,",",),0,1)+$A$18,$A$18))/5,0),ROUNDUP(IF(MOD(Z$18+INDEX(_xlfn.TEXTSPLIT(Z155,",",),0,2)+$A$18,$A$18)=0,$A$18,MOD(Z$18+INDEX(_xlfn.TEXTSPLIT(Z155,",",),0,2)+$A$18,$A$18))/5,0)))</f>
        <v>7</v>
      </c>
      <c r="AA57" s="1" cm="1">
        <f t="array" aca="1" ref="AA57" ca="1">(INDEX($K$2:$T$11,ROUNDUP(IF(MOD($A57+INDEX(_xlfn.TEXTSPLIT(AA112,",",),0,1)+$A$18,$A$18)=0,$A$18,MOD($A57+INDEX(_xlfn.TEXTSPLIT(AA112,",",),0,1)+$A$18,$A$18))/4,0),ROUNDUP(IF(MOD(AA$18+INDEX(_xlfn.TEXTSPLIT(AA112,",",),0,2)+$A$18,$A$18)=0,$A$18,MOD(AA$18+INDEX(_xlfn.TEXTSPLIT(AA112,",",),0,2)+$A$18,$A$18))/4,0)))+(INDEX($AD$2:$AK$9,ROUNDUP(IF(MOD($A57+INDEX(_xlfn.TEXTSPLIT(AA155,",",),0,1)+$A$18,$A$18)=0,$A$18,MOD($A57+INDEX(_xlfn.TEXTSPLIT(AA155,",",),0,1)+$A$18,$A$18))/5,0),ROUNDUP(IF(MOD(AA$18+INDEX(_xlfn.TEXTSPLIT(AA155,",",),0,2)+$A$18,$A$18)=0,$A$18,MOD(AA$18+INDEX(_xlfn.TEXTSPLIT(AA155,",",),0,2)+$A$18,$A$18))/5,0)))</f>
        <v>7</v>
      </c>
      <c r="AB57" s="1" cm="1">
        <f t="array" aca="1" ref="AB57" ca="1">(INDEX($K$2:$T$11,ROUNDUP(IF(MOD($A57+INDEX(_xlfn.TEXTSPLIT(AB112,",",),0,1)+$A$18,$A$18)=0,$A$18,MOD($A57+INDEX(_xlfn.TEXTSPLIT(AB112,",",),0,1)+$A$18,$A$18))/4,0),ROUNDUP(IF(MOD(AB$18+INDEX(_xlfn.TEXTSPLIT(AB112,",",),0,2)+$A$18,$A$18)=0,$A$18,MOD(AB$18+INDEX(_xlfn.TEXTSPLIT(AB112,",",),0,2)+$A$18,$A$18))/4,0)))+(INDEX($AD$2:$AK$9,ROUNDUP(IF(MOD($A57+INDEX(_xlfn.TEXTSPLIT(AB155,",",),0,1)+$A$18,$A$18)=0,$A$18,MOD($A57+INDEX(_xlfn.TEXTSPLIT(AB155,",",),0,1)+$A$18,$A$18))/5,0),ROUNDUP(IF(MOD(AB$18+INDEX(_xlfn.TEXTSPLIT(AB155,",",),0,2)+$A$18,$A$18)=0,$A$18,MOD(AB$18+INDEX(_xlfn.TEXTSPLIT(AB155,",",),0,2)+$A$18,$A$18))/5,0)))</f>
        <v>8</v>
      </c>
      <c r="AC57" s="1" cm="1">
        <f t="array" aca="1" ref="AC57" ca="1">(INDEX($K$2:$T$11,ROUNDUP(IF(MOD($A57+INDEX(_xlfn.TEXTSPLIT(AC112,",",),0,1)+$A$18,$A$18)=0,$A$18,MOD($A57+INDEX(_xlfn.TEXTSPLIT(AC112,",",),0,1)+$A$18,$A$18))/4,0),ROUNDUP(IF(MOD(AC$18+INDEX(_xlfn.TEXTSPLIT(AC112,",",),0,2)+$A$18,$A$18)=0,$A$18,MOD(AC$18+INDEX(_xlfn.TEXTSPLIT(AC112,",",),0,2)+$A$18,$A$18))/4,0)))+(INDEX($AD$2:$AK$9,ROUNDUP(IF(MOD($A57+INDEX(_xlfn.TEXTSPLIT(AC155,",",),0,1)+$A$18,$A$18)=0,$A$18,MOD($A57+INDEX(_xlfn.TEXTSPLIT(AC155,",",),0,1)+$A$18,$A$18))/5,0),ROUNDUP(IF(MOD(AC$18+INDEX(_xlfn.TEXTSPLIT(AC155,",",),0,2)+$A$18,$A$18)=0,$A$18,MOD(AC$18+INDEX(_xlfn.TEXTSPLIT(AC155,",",),0,2)+$A$18,$A$18))/5,0)))</f>
        <v>8</v>
      </c>
      <c r="AD57" s="1" cm="1">
        <f t="array" aca="1" ref="AD57" ca="1">(INDEX($K$2:$T$11,ROUNDUP(IF(MOD($A57+INDEX(_xlfn.TEXTSPLIT(AD112,",",),0,1)+$A$18,$A$18)=0,$A$18,MOD($A57+INDEX(_xlfn.TEXTSPLIT(AD112,",",),0,1)+$A$18,$A$18))/4,0),ROUNDUP(IF(MOD(AD$18+INDEX(_xlfn.TEXTSPLIT(AD112,",",),0,2)+$A$18,$A$18)=0,$A$18,MOD(AD$18+INDEX(_xlfn.TEXTSPLIT(AD112,",",),0,2)+$A$18,$A$18))/4,0)))+(INDEX($AD$2:$AK$9,ROUNDUP(IF(MOD($A57+INDEX(_xlfn.TEXTSPLIT(AD155,",",),0,1)+$A$18,$A$18)=0,$A$18,MOD($A57+INDEX(_xlfn.TEXTSPLIT(AD155,",",),0,1)+$A$18,$A$18))/5,0),ROUNDUP(IF(MOD(AD$18+INDEX(_xlfn.TEXTSPLIT(AD155,",",),0,2)+$A$18,$A$18)=0,$A$18,MOD(AD$18+INDEX(_xlfn.TEXTSPLIT(AD155,",",),0,2)+$A$18,$A$18))/5,0)))</f>
        <v>8</v>
      </c>
      <c r="AE57" s="1" cm="1">
        <f t="array" aca="1" ref="AE57" ca="1">(INDEX($K$2:$T$11,ROUNDUP(IF(MOD($A57+INDEX(_xlfn.TEXTSPLIT(AE112,",",),0,1)+$A$18,$A$18)=0,$A$18,MOD($A57+INDEX(_xlfn.TEXTSPLIT(AE112,",",),0,1)+$A$18,$A$18))/4,0),ROUNDUP(IF(MOD(AE$18+INDEX(_xlfn.TEXTSPLIT(AE112,",",),0,2)+$A$18,$A$18)=0,$A$18,MOD(AE$18+INDEX(_xlfn.TEXTSPLIT(AE112,",",),0,2)+$A$18,$A$18))/4,0)))+(INDEX($AD$2:$AK$9,ROUNDUP(IF(MOD($A57+INDEX(_xlfn.TEXTSPLIT(AE155,",",),0,1)+$A$18,$A$18)=0,$A$18,MOD($A57+INDEX(_xlfn.TEXTSPLIT(AE155,",",),0,1)+$A$18,$A$18))/5,0),ROUNDUP(IF(MOD(AE$18+INDEX(_xlfn.TEXTSPLIT(AE155,",",),0,2)+$A$18,$A$18)=0,$A$18,MOD(AE$18+INDEX(_xlfn.TEXTSPLIT(AE155,",",),0,2)+$A$18,$A$18))/5,0)))</f>
        <v>8</v>
      </c>
      <c r="AF57" s="1" cm="1">
        <f t="array" aca="1" ref="AF57" ca="1">(INDEX($K$2:$T$11,ROUNDUP(IF(MOD($A57+INDEX(_xlfn.TEXTSPLIT(AF112,",",),0,1)+$A$18,$A$18)=0,$A$18,MOD($A57+INDEX(_xlfn.TEXTSPLIT(AF112,",",),0,1)+$A$18,$A$18))/4,0),ROUNDUP(IF(MOD(AF$18+INDEX(_xlfn.TEXTSPLIT(AF112,",",),0,2)+$A$18,$A$18)=0,$A$18,MOD(AF$18+INDEX(_xlfn.TEXTSPLIT(AF112,",",),0,2)+$A$18,$A$18))/4,0)))+(INDEX($AD$2:$AK$9,ROUNDUP(IF(MOD($A57+INDEX(_xlfn.TEXTSPLIT(AF155,",",),0,1)+$A$18,$A$18)=0,$A$18,MOD($A57+INDEX(_xlfn.TEXTSPLIT(AF155,",",),0,1)+$A$18,$A$18))/5,0),ROUNDUP(IF(MOD(AF$18+INDEX(_xlfn.TEXTSPLIT(AF155,",",),0,2)+$A$18,$A$18)=0,$A$18,MOD(AF$18+INDEX(_xlfn.TEXTSPLIT(AF155,",",),0,2)+$A$18,$A$18))/5,0)))</f>
        <v>8</v>
      </c>
      <c r="AG57" s="1" cm="1">
        <f t="array" aca="1" ref="AG57" ca="1">(INDEX($K$2:$T$11,ROUNDUP(IF(MOD($A57+INDEX(_xlfn.TEXTSPLIT(AG112,",",),0,1)+$A$18,$A$18)=0,$A$18,MOD($A57+INDEX(_xlfn.TEXTSPLIT(AG112,",",),0,1)+$A$18,$A$18))/4,0),ROUNDUP(IF(MOD(AG$18+INDEX(_xlfn.TEXTSPLIT(AG112,",",),0,2)+$A$18,$A$18)=0,$A$18,MOD(AG$18+INDEX(_xlfn.TEXTSPLIT(AG112,",",),0,2)+$A$18,$A$18))/4,0)))+(INDEX($AD$2:$AK$9,ROUNDUP(IF(MOD($A57+INDEX(_xlfn.TEXTSPLIT(AG155,",",),0,1)+$A$18,$A$18)=0,$A$18,MOD($A57+INDEX(_xlfn.TEXTSPLIT(AG155,",",),0,1)+$A$18,$A$18))/5,0),ROUNDUP(IF(MOD(AG$18+INDEX(_xlfn.TEXTSPLIT(AG155,",",),0,2)+$A$18,$A$18)=0,$A$18,MOD(AG$18+INDEX(_xlfn.TEXTSPLIT(AG155,",",),0,2)+$A$18,$A$18))/5,0)))</f>
        <v>8</v>
      </c>
      <c r="AH57" s="1" cm="1">
        <f t="array" aca="1" ref="AH57" ca="1">(INDEX($K$2:$T$11,ROUNDUP(IF(MOD($A57+INDEX(_xlfn.TEXTSPLIT(AH112,",",),0,1)+$A$18,$A$18)=0,$A$18,MOD($A57+INDEX(_xlfn.TEXTSPLIT(AH112,",",),0,1)+$A$18,$A$18))/4,0),ROUNDUP(IF(MOD(AH$18+INDEX(_xlfn.TEXTSPLIT(AH112,",",),0,2)+$A$18,$A$18)=0,$A$18,MOD(AH$18+INDEX(_xlfn.TEXTSPLIT(AH112,",",),0,2)+$A$18,$A$18))/4,0)))+(INDEX($AD$2:$AK$9,ROUNDUP(IF(MOD($A57+INDEX(_xlfn.TEXTSPLIT(AH155,",",),0,1)+$A$18,$A$18)=0,$A$18,MOD($A57+INDEX(_xlfn.TEXTSPLIT(AH155,",",),0,1)+$A$18,$A$18))/5,0),ROUNDUP(IF(MOD(AH$18+INDEX(_xlfn.TEXTSPLIT(AH155,",",),0,2)+$A$18,$A$18)=0,$A$18,MOD(AH$18+INDEX(_xlfn.TEXTSPLIT(AH155,",",),0,2)+$A$18,$A$18))/5,0)))</f>
        <v>8</v>
      </c>
      <c r="AI57" s="1" cm="1">
        <f t="array" aca="1" ref="AI57" ca="1">(INDEX($K$2:$T$11,ROUNDUP(IF(MOD($A57+INDEX(_xlfn.TEXTSPLIT(AI112,",",),0,1)+$A$18,$A$18)=0,$A$18,MOD($A57+INDEX(_xlfn.TEXTSPLIT(AI112,",",),0,1)+$A$18,$A$18))/4,0),ROUNDUP(IF(MOD(AI$18+INDEX(_xlfn.TEXTSPLIT(AI112,",",),0,2)+$A$18,$A$18)=0,$A$18,MOD(AI$18+INDEX(_xlfn.TEXTSPLIT(AI112,",",),0,2)+$A$18,$A$18))/4,0)))+(INDEX($AD$2:$AK$9,ROUNDUP(IF(MOD($A57+INDEX(_xlfn.TEXTSPLIT(AI155,",",),0,1)+$A$18,$A$18)=0,$A$18,MOD($A57+INDEX(_xlfn.TEXTSPLIT(AI155,",",),0,1)+$A$18,$A$18))/5,0),ROUNDUP(IF(MOD(AI$18+INDEX(_xlfn.TEXTSPLIT(AI155,",",),0,2)+$A$18,$A$18)=0,$A$18,MOD(AI$18+INDEX(_xlfn.TEXTSPLIT(AI155,",",),0,2)+$A$18,$A$18))/5,0)))</f>
        <v>8</v>
      </c>
      <c r="AJ57" s="1" cm="1">
        <f t="array" aca="1" ref="AJ57" ca="1">(INDEX($K$2:$T$11,ROUNDUP(IF(MOD($A57+INDEX(_xlfn.TEXTSPLIT(AJ112,",",),0,1)+$A$18,$A$18)=0,$A$18,MOD($A57+INDEX(_xlfn.TEXTSPLIT(AJ112,",",),0,1)+$A$18,$A$18))/4,0),ROUNDUP(IF(MOD(AJ$18+INDEX(_xlfn.TEXTSPLIT(AJ112,",",),0,2)+$A$18,$A$18)=0,$A$18,MOD(AJ$18+INDEX(_xlfn.TEXTSPLIT(AJ112,",",),0,2)+$A$18,$A$18))/4,0)))+(INDEX($AD$2:$AK$9,ROUNDUP(IF(MOD($A57+INDEX(_xlfn.TEXTSPLIT(AJ155,",",),0,1)+$A$18,$A$18)=0,$A$18,MOD($A57+INDEX(_xlfn.TEXTSPLIT(AJ155,",",),0,1)+$A$18,$A$18))/5,0),ROUNDUP(IF(MOD(AJ$18+INDEX(_xlfn.TEXTSPLIT(AJ155,",",),0,2)+$A$18,$A$18)=0,$A$18,MOD(AJ$18+INDEX(_xlfn.TEXTSPLIT(AJ155,",",),0,2)+$A$18,$A$18))/5,0)))</f>
        <v>8</v>
      </c>
      <c r="AK57" s="1" cm="1">
        <f t="array" aca="1" ref="AK57" ca="1">(INDEX($K$2:$T$11,ROUNDUP(IF(MOD($A57+INDEX(_xlfn.TEXTSPLIT(AK112,",",),0,1)+$A$18,$A$18)=0,$A$18,MOD($A57+INDEX(_xlfn.TEXTSPLIT(AK112,",",),0,1)+$A$18,$A$18))/4,0),ROUNDUP(IF(MOD(AK$18+INDEX(_xlfn.TEXTSPLIT(AK112,",",),0,2)+$A$18,$A$18)=0,$A$18,MOD(AK$18+INDEX(_xlfn.TEXTSPLIT(AK112,",",),0,2)+$A$18,$A$18))/4,0)))+(INDEX($AD$2:$AK$9,ROUNDUP(IF(MOD($A57+INDEX(_xlfn.TEXTSPLIT(AK155,",",),0,1)+$A$18,$A$18)=0,$A$18,MOD($A57+INDEX(_xlfn.TEXTSPLIT(AK155,",",),0,1)+$A$18,$A$18))/5,0),ROUNDUP(IF(MOD(AK$18+INDEX(_xlfn.TEXTSPLIT(AK155,",",),0,2)+$A$18,$A$18)=0,$A$18,MOD(AK$18+INDEX(_xlfn.TEXTSPLIT(AK155,",",),0,2)+$A$18,$A$18))/5,0)))</f>
        <v>8</v>
      </c>
      <c r="AL57" s="1" cm="1">
        <f t="array" aca="1" ref="AL57" ca="1">(INDEX($K$2:$T$11,ROUNDUP(IF(MOD($A57+INDEX(_xlfn.TEXTSPLIT(AL112,",",),0,1)+$A$18,$A$18)=0,$A$18,MOD($A57+INDEX(_xlfn.TEXTSPLIT(AL112,",",),0,1)+$A$18,$A$18))/4,0),ROUNDUP(IF(MOD(AL$18+INDEX(_xlfn.TEXTSPLIT(AL112,",",),0,2)+$A$18,$A$18)=0,$A$18,MOD(AL$18+INDEX(_xlfn.TEXTSPLIT(AL112,",",),0,2)+$A$18,$A$18))/4,0)))+(INDEX($AD$2:$AK$9,ROUNDUP(IF(MOD($A57+INDEX(_xlfn.TEXTSPLIT(AL155,",",),0,1)+$A$18,$A$18)=0,$A$18,MOD($A57+INDEX(_xlfn.TEXTSPLIT(AL155,",",),0,1)+$A$18,$A$18))/5,0),ROUNDUP(IF(MOD(AL$18+INDEX(_xlfn.TEXTSPLIT(AL155,",",),0,2)+$A$18,$A$18)=0,$A$18,MOD(AL$18+INDEX(_xlfn.TEXTSPLIT(AL155,",",),0,2)+$A$18,$A$18))/5,0)))</f>
        <v>7</v>
      </c>
      <c r="AM57" s="1" cm="1">
        <f t="array" aca="1" ref="AM57" ca="1">(INDEX($K$2:$T$11,ROUNDUP(IF(MOD($A57+INDEX(_xlfn.TEXTSPLIT(AM112,",",),0,1)+$A$18,$A$18)=0,$A$18,MOD($A57+INDEX(_xlfn.TEXTSPLIT(AM112,",",),0,1)+$A$18,$A$18))/4,0),ROUNDUP(IF(MOD(AM$18+INDEX(_xlfn.TEXTSPLIT(AM112,",",),0,2)+$A$18,$A$18)=0,$A$18,MOD(AM$18+INDEX(_xlfn.TEXTSPLIT(AM112,",",),0,2)+$A$18,$A$18))/4,0)))+(INDEX($AD$2:$AK$9,ROUNDUP(IF(MOD($A57+INDEX(_xlfn.TEXTSPLIT(AM155,",",),0,1)+$A$18,$A$18)=0,$A$18,MOD($A57+INDEX(_xlfn.TEXTSPLIT(AM155,",",),0,1)+$A$18,$A$18))/5,0),ROUNDUP(IF(MOD(AM$18+INDEX(_xlfn.TEXTSPLIT(AM155,",",),0,2)+$A$18,$A$18)=0,$A$18,MOD(AM$18+INDEX(_xlfn.TEXTSPLIT(AM155,",",),0,2)+$A$18,$A$18))/5,0)))</f>
        <v>7</v>
      </c>
      <c r="AN57" s="1" cm="1">
        <f t="array" aca="1" ref="AN57" ca="1">(INDEX($K$2:$T$11,ROUNDUP(IF(MOD($A57+INDEX(_xlfn.TEXTSPLIT(AN112,",",),0,1)+$A$18,$A$18)=0,$A$18,MOD($A57+INDEX(_xlfn.TEXTSPLIT(AN112,",",),0,1)+$A$18,$A$18))/4,0),ROUNDUP(IF(MOD(AN$18+INDEX(_xlfn.TEXTSPLIT(AN112,",",),0,2)+$A$18,$A$18)=0,$A$18,MOD(AN$18+INDEX(_xlfn.TEXTSPLIT(AN112,",",),0,2)+$A$18,$A$18))/4,0)))+(INDEX($AD$2:$AK$9,ROUNDUP(IF(MOD($A57+INDEX(_xlfn.TEXTSPLIT(AN155,",",),0,1)+$A$18,$A$18)=0,$A$18,MOD($A57+INDEX(_xlfn.TEXTSPLIT(AN155,",",),0,1)+$A$18,$A$18))/5,0),ROUNDUP(IF(MOD(AN$18+INDEX(_xlfn.TEXTSPLIT(AN155,",",),0,2)+$A$18,$A$18)=0,$A$18,MOD(AN$18+INDEX(_xlfn.TEXTSPLIT(AN155,",",),0,2)+$A$18,$A$18))/5,0)))</f>
        <v>7</v>
      </c>
      <c r="AO57" s="1" cm="1">
        <f t="array" aca="1" ref="AO57" ca="1">(INDEX($K$2:$T$11,ROUNDUP(IF(MOD($A57+INDEX(_xlfn.TEXTSPLIT(AO112,",",),0,1)+$A$18,$A$18)=0,$A$18,MOD($A57+INDEX(_xlfn.TEXTSPLIT(AO112,",",),0,1)+$A$18,$A$18))/4,0),ROUNDUP(IF(MOD(AO$18+INDEX(_xlfn.TEXTSPLIT(AO112,",",),0,2)+$A$18,$A$18)=0,$A$18,MOD(AO$18+INDEX(_xlfn.TEXTSPLIT(AO112,",",),0,2)+$A$18,$A$18))/4,0)))+(INDEX($AD$2:$AK$9,ROUNDUP(IF(MOD($A57+INDEX(_xlfn.TEXTSPLIT(AO155,",",),0,1)+$A$18,$A$18)=0,$A$18,MOD($A57+INDEX(_xlfn.TEXTSPLIT(AO155,",",),0,1)+$A$18,$A$18))/5,0),ROUNDUP(IF(MOD(AO$18+INDEX(_xlfn.TEXTSPLIT(AO155,",",),0,2)+$A$18,$A$18)=0,$A$18,MOD(AO$18+INDEX(_xlfn.TEXTSPLIT(AO155,",",),0,2)+$A$18,$A$18))/5,0)))</f>
        <v>7</v>
      </c>
    </row>
    <row r="58" spans="1:41" ht="12.75">
      <c r="A58" s="1">
        <v>40</v>
      </c>
      <c r="B58" s="1" cm="1">
        <f t="array" aca="1" ref="B58" ca="1">(INDEX($K$2:$T$11,ROUNDUP($A58/4,0),ROUNDUP(IF(MOD(B$18+INDEX(_xlfn.TEXTSPLIT(B113,",",),0,2)+$A$18,$A$18)=0,$A$18,MOD(B$18+INDEX(_xlfn.TEXTSPLIT(B113,",",),0,2)+$A$18,$A$18))/4,0)))+(INDEX($AD$2:$AK$9,ROUNDUP($A58/5,0),ROUNDUP(IF(MOD(B$18+INDEX(_xlfn.TEXTSPLIT(B156,",",),0,2)+$A$18,$A$18)=0,$A$18,MOD(B$18+INDEX(_xlfn.TEXTSPLIT(B156,",",),0,2)+$A$18,$A$18))/5,0)))</f>
        <v>7</v>
      </c>
      <c r="C58" s="1" cm="1">
        <f t="array" aca="1" ref="C58" ca="1">(INDEX($K$2:$T$11,ROUNDUP($A58/4,0),ROUNDUP(IF(MOD(C$18+INDEX(_xlfn.TEXTSPLIT(C113,",",),0,2)+$A$18,$A$18)=0,$A$18,MOD(C$18+INDEX(_xlfn.TEXTSPLIT(C113,",",),0,2)+$A$18,$A$18))/4,0)))+(INDEX($AD$2:$AK$9,ROUNDUP($A58/5,0),ROUNDUP(IF(MOD(C$18+INDEX(_xlfn.TEXTSPLIT(C156,",",),0,2)+$A$18,$A$18)=0,$A$18,MOD(C$18+INDEX(_xlfn.TEXTSPLIT(C156,",",),0,2)+$A$18,$A$18))/5,0)))</f>
        <v>5</v>
      </c>
      <c r="D58" s="1" cm="1">
        <f t="array" aca="1" ref="D58" ca="1">(INDEX($K$2:$T$11,ROUNDUP($A58/4,0),ROUNDUP(IF(MOD(D$18+INDEX(_xlfn.TEXTSPLIT(D113,",",),0,2)+$A$18,$A$18)=0,$A$18,MOD(D$18+INDEX(_xlfn.TEXTSPLIT(D113,",",),0,2)+$A$18,$A$18))/4,0)))+(INDEX($AD$2:$AK$9,ROUNDUP($A58/5,0),ROUNDUP(IF(MOD(D$18+INDEX(_xlfn.TEXTSPLIT(D156,",",),0,2)+$A$18,$A$18)=0,$A$18,MOD(D$18+INDEX(_xlfn.TEXTSPLIT(D156,",",),0,2)+$A$18,$A$18))/5,0)))</f>
        <v>5</v>
      </c>
      <c r="E58" s="1" cm="1">
        <f t="array" aca="1" ref="E58" ca="1">(INDEX($K$2:$T$11,ROUNDUP($A58/4,0),ROUNDUP(IF(MOD(E$18+INDEX(_xlfn.TEXTSPLIT(E113,",",),0,2)+$A$18,$A$18)=0,$A$18,MOD(E$18+INDEX(_xlfn.TEXTSPLIT(E113,",",),0,2)+$A$18,$A$18))/4,0)))+(INDEX($AD$2:$AK$9,ROUNDUP($A58/5,0),ROUNDUP(IF(MOD(E$18+INDEX(_xlfn.TEXTSPLIT(E156,",",),0,2)+$A$18,$A$18)=0,$A$18,MOD(E$18+INDEX(_xlfn.TEXTSPLIT(E156,",",),0,2)+$A$18,$A$18))/5,0)))</f>
        <v>5</v>
      </c>
      <c r="F58" s="1" cm="1">
        <f t="array" aca="1" ref="F58" ca="1">(INDEX($K$2:$T$11,ROUNDUP($A58/4,0),ROUNDUP(IF(MOD(F$18+INDEX(_xlfn.TEXTSPLIT(F113,",",),0,2)+$A$18,$A$18)=0,$A$18,MOD(F$18+INDEX(_xlfn.TEXTSPLIT(F113,",",),0,2)+$A$18,$A$18))/4,0)))+(INDEX($AD$2:$AK$9,ROUNDUP($A58/5,0),ROUNDUP(IF(MOD(F$18+INDEX(_xlfn.TEXTSPLIT(F156,",",),0,2)+$A$18,$A$18)=0,$A$18,MOD(F$18+INDEX(_xlfn.TEXTSPLIT(F156,",",),0,2)+$A$18,$A$18))/5,0)))</f>
        <v>5</v>
      </c>
      <c r="G58" s="1" cm="1">
        <f t="array" aca="1" ref="G58" ca="1">(INDEX($K$2:$T$11,ROUNDUP($A58/4,0),ROUNDUP(IF(MOD(G$18+INDEX(_xlfn.TEXTSPLIT(G113,",",),0,2)+$A$18,$A$18)=0,$A$18,MOD(G$18+INDEX(_xlfn.TEXTSPLIT(G113,",",),0,2)+$A$18,$A$18))/4,0)))+(INDEX($AD$2:$AK$9,ROUNDUP($A58/5,0),ROUNDUP(IF(MOD(G$18+INDEX(_xlfn.TEXTSPLIT(G156,",",),0,2)+$A$18,$A$18)=0,$A$18,MOD(G$18+INDEX(_xlfn.TEXTSPLIT(G156,",",),0,2)+$A$18,$A$18))/5,0)))</f>
        <v>3</v>
      </c>
      <c r="H58" s="1" cm="1">
        <f t="array" aca="1" ref="H58" ca="1">(INDEX($K$2:$T$11,ROUNDUP($A58/4,0),ROUNDUP(IF(MOD(H$18+INDEX(_xlfn.TEXTSPLIT(H113,",",),0,2)+$A$18,$A$18)=0,$A$18,MOD(H$18+INDEX(_xlfn.TEXTSPLIT(H113,",",),0,2)+$A$18,$A$18))/4,0)))+(INDEX($AD$2:$AK$9,ROUNDUP($A58/5,0),ROUNDUP(IF(MOD(H$18+INDEX(_xlfn.TEXTSPLIT(H156,",",),0,2)+$A$18,$A$18)=0,$A$18,MOD(H$18+INDEX(_xlfn.TEXTSPLIT(H156,",",),0,2)+$A$18,$A$18))/5,0)))</f>
        <v>3</v>
      </c>
      <c r="I58" s="1" cm="1">
        <f t="array" aca="1" ref="I58" ca="1">(INDEX($K$2:$T$11,ROUNDUP($A58/4,0),ROUNDUP(IF(MOD(I$18+INDEX(_xlfn.TEXTSPLIT(I113,",",),0,2)+$A$18,$A$18)=0,$A$18,MOD(I$18+INDEX(_xlfn.TEXTSPLIT(I113,",",),0,2)+$A$18,$A$18))/4,0)))+(INDEX($AD$2:$AK$9,ROUNDUP($A58/5,0),ROUNDUP(IF(MOD(I$18+INDEX(_xlfn.TEXTSPLIT(I156,",",),0,2)+$A$18,$A$18)=0,$A$18,MOD(I$18+INDEX(_xlfn.TEXTSPLIT(I156,",",),0,2)+$A$18,$A$18))/5,0)))</f>
        <v>3</v>
      </c>
      <c r="J58" s="1" cm="1">
        <f t="array" aca="1" ref="J58" ca="1">(INDEX($K$2:$T$11,ROUNDUP($A58/4,0),ROUNDUP(IF(MOD(J$18+INDEX(_xlfn.TEXTSPLIT(J113,",",),0,2)+$A$18,$A$18)=0,$A$18,MOD(J$18+INDEX(_xlfn.TEXTSPLIT(J113,",",),0,2)+$A$18,$A$18))/4,0)))+(INDEX($AD$2:$AK$9,ROUNDUP($A58/5,0),ROUNDUP(IF(MOD(J$18+INDEX(_xlfn.TEXTSPLIT(J156,",",),0,2)+$A$18,$A$18)=0,$A$18,MOD(J$18+INDEX(_xlfn.TEXTSPLIT(J156,",",),0,2)+$A$18,$A$18))/5,0)))</f>
        <v>7</v>
      </c>
      <c r="K58" s="1" cm="1">
        <f t="array" aca="1" ref="K58" ca="1">(INDEX($K$2:$T$11,ROUNDUP($A58/4,0),ROUNDUP(IF(MOD(K$18+INDEX(_xlfn.TEXTSPLIT(K113,",",),0,2)+$A$18,$A$18)=0,$A$18,MOD(K$18+INDEX(_xlfn.TEXTSPLIT(K113,",",),0,2)+$A$18,$A$18))/4,0)))+(INDEX($AD$2:$AK$9,ROUNDUP($A58/5,0),ROUNDUP(IF(MOD(K$18+INDEX(_xlfn.TEXTSPLIT(K156,",",),0,2)+$A$18,$A$18)=0,$A$18,MOD(K$18+INDEX(_xlfn.TEXTSPLIT(K156,",",),0,2)+$A$18,$A$18))/5,0)))</f>
        <v>7</v>
      </c>
      <c r="L58" s="1" cm="1">
        <f t="array" aca="1" ref="L58" ca="1">(INDEX($K$2:$T$11,ROUNDUP($A58/4,0),ROUNDUP(IF(MOD(L$18+INDEX(_xlfn.TEXTSPLIT(L113,",",),0,2)+$A$18,$A$18)=0,$A$18,MOD(L$18+INDEX(_xlfn.TEXTSPLIT(L113,",",),0,2)+$A$18,$A$18))/4,0)))+(INDEX($AD$2:$AK$9,ROUNDUP($A58/5,0),ROUNDUP(IF(MOD(L$18+INDEX(_xlfn.TEXTSPLIT(L156,",",),0,2)+$A$18,$A$18)=0,$A$18,MOD(L$18+INDEX(_xlfn.TEXTSPLIT(L156,",",),0,2)+$A$18,$A$18))/5,0)))</f>
        <v>7</v>
      </c>
      <c r="M58" s="1" cm="1">
        <f t="array" aca="1" ref="M58" ca="1">(INDEX($K$2:$T$11,ROUNDUP($A58/4,0),ROUNDUP(IF(MOD(M$18+INDEX(_xlfn.TEXTSPLIT(M113,",",),0,2)+$A$18,$A$18)=0,$A$18,MOD(M$18+INDEX(_xlfn.TEXTSPLIT(M113,",",),0,2)+$A$18,$A$18))/4,0)))+(INDEX($AD$2:$AK$9,ROUNDUP($A58/5,0),ROUNDUP(IF(MOD(M$18+INDEX(_xlfn.TEXTSPLIT(M156,",",),0,2)+$A$18,$A$18)=0,$A$18,MOD(M$18+INDEX(_xlfn.TEXTSPLIT(M156,",",),0,2)+$A$18,$A$18))/5,0)))</f>
        <v>3</v>
      </c>
      <c r="N58" s="1" cm="1">
        <f t="array" aca="1" ref="N58" ca="1">(INDEX($K$2:$T$11,ROUNDUP($A58/4,0),ROUNDUP(IF(MOD(N$18+INDEX(_xlfn.TEXTSPLIT(N113,",",),0,2)+$A$18,$A$18)=0,$A$18,MOD(N$18+INDEX(_xlfn.TEXTSPLIT(N113,",",),0,2)+$A$18,$A$18))/4,0)))+(INDEX($AD$2:$AK$9,ROUNDUP($A58/5,0),ROUNDUP(IF(MOD(N$18+INDEX(_xlfn.TEXTSPLIT(N156,",",),0,2)+$A$18,$A$18)=0,$A$18,MOD(N$18+INDEX(_xlfn.TEXTSPLIT(N156,",",),0,2)+$A$18,$A$18))/5,0)))</f>
        <v>3</v>
      </c>
      <c r="O58" s="1" cm="1">
        <f t="array" aca="1" ref="O58" ca="1">(INDEX($K$2:$T$11,ROUNDUP($A58/4,0),ROUNDUP(IF(MOD(O$18+INDEX(_xlfn.TEXTSPLIT(O113,",",),0,2)+$A$18,$A$18)=0,$A$18,MOD(O$18+INDEX(_xlfn.TEXTSPLIT(O113,",",),0,2)+$A$18,$A$18))/4,0)))+(INDEX($AD$2:$AK$9,ROUNDUP($A58/5,0),ROUNDUP(IF(MOD(O$18+INDEX(_xlfn.TEXTSPLIT(O156,",",),0,2)+$A$18,$A$18)=0,$A$18,MOD(O$18+INDEX(_xlfn.TEXTSPLIT(O156,",",),0,2)+$A$18,$A$18))/5,0)))</f>
        <v>3</v>
      </c>
      <c r="P58" s="1" cm="1">
        <f t="array" aca="1" ref="P58" ca="1">(INDEX($K$2:$T$11,ROUNDUP($A58/4,0),ROUNDUP(IF(MOD(P$18+INDEX(_xlfn.TEXTSPLIT(P113,",",),0,2)+$A$18,$A$18)=0,$A$18,MOD(P$18+INDEX(_xlfn.TEXTSPLIT(P113,",",),0,2)+$A$18,$A$18))/4,0)))+(INDEX($AD$2:$AK$9,ROUNDUP($A58/5,0),ROUNDUP(IF(MOD(P$18+INDEX(_xlfn.TEXTSPLIT(P156,",",),0,2)+$A$18,$A$18)=0,$A$18,MOD(P$18+INDEX(_xlfn.TEXTSPLIT(P156,",",),0,2)+$A$18,$A$18))/5,0)))</f>
        <v>4</v>
      </c>
      <c r="Q58" s="1" cm="1">
        <f t="array" aca="1" ref="Q58" ca="1">(INDEX($K$2:$T$11,ROUNDUP($A58/4,0),ROUNDUP(IF(MOD(Q$18+INDEX(_xlfn.TEXTSPLIT(Q113,",",),0,2)+$A$18,$A$18)=0,$A$18,MOD(Q$18+INDEX(_xlfn.TEXTSPLIT(Q113,",",),0,2)+$A$18,$A$18))/4,0)))+(INDEX($AD$2:$AK$9,ROUNDUP($A58/5,0),ROUNDUP(IF(MOD(Q$18+INDEX(_xlfn.TEXTSPLIT(Q156,",",),0,2)+$A$18,$A$18)=0,$A$18,MOD(Q$18+INDEX(_xlfn.TEXTSPLIT(Q156,",",),0,2)+$A$18,$A$18))/5,0)))</f>
        <v>4</v>
      </c>
      <c r="R58" s="1" cm="1">
        <f t="array" aca="1" ref="R58" ca="1">(INDEX($K$2:$T$11,ROUNDUP($A58/4,0),ROUNDUP(IF(MOD(R$18+INDEX(_xlfn.TEXTSPLIT(R113,",",),0,2)+$A$18,$A$18)=0,$A$18,MOD(R$18+INDEX(_xlfn.TEXTSPLIT(R113,",",),0,2)+$A$18,$A$18))/4,0)))+(INDEX($AD$2:$AK$9,ROUNDUP($A58/5,0),ROUNDUP(IF(MOD(R$18+INDEX(_xlfn.TEXTSPLIT(R156,",",),0,2)+$A$18,$A$18)=0,$A$18,MOD(R$18+INDEX(_xlfn.TEXTSPLIT(R156,",",),0,2)+$A$18,$A$18))/5,0)))</f>
        <v>4</v>
      </c>
      <c r="S58" s="1" cm="1">
        <f t="array" aca="1" ref="S58" ca="1">(INDEX($K$2:$T$11,ROUNDUP($A58/4,0),ROUNDUP(IF(MOD(S$18+INDEX(_xlfn.TEXTSPLIT(S113,",",),0,2)+$A$18,$A$18)=0,$A$18,MOD(S$18+INDEX(_xlfn.TEXTSPLIT(S113,",",),0,2)+$A$18,$A$18))/4,0)))+(INDEX($AD$2:$AK$9,ROUNDUP($A58/5,0),ROUNDUP(IF(MOD(S$18+INDEX(_xlfn.TEXTSPLIT(S156,",",),0,2)+$A$18,$A$18)=0,$A$18,MOD(S$18+INDEX(_xlfn.TEXTSPLIT(S156,",",),0,2)+$A$18,$A$18))/5,0)))</f>
        <v>4</v>
      </c>
      <c r="T58" s="1" cm="1">
        <f t="array" aca="1" ref="T58" ca="1">(INDEX($K$2:$T$11,ROUNDUP($A58/4,0),ROUNDUP(IF(MOD(T$18+INDEX(_xlfn.TEXTSPLIT(T113,",",),0,2)+$A$18,$A$18)=0,$A$18,MOD(T$18+INDEX(_xlfn.TEXTSPLIT(T113,",",),0,2)+$A$18,$A$18))/4,0)))+(INDEX($AD$2:$AK$9,ROUNDUP($A58/5,0),ROUNDUP(IF(MOD(T$18+INDEX(_xlfn.TEXTSPLIT(T156,",",),0,2)+$A$18,$A$18)=0,$A$18,MOD(T$18+INDEX(_xlfn.TEXTSPLIT(T156,",",),0,2)+$A$18,$A$18))/5,0)))</f>
        <v>4</v>
      </c>
      <c r="U58" s="1" cm="1">
        <f t="array" aca="1" ref="U58" ca="1">(INDEX($K$2:$T$11,ROUNDUP($A58/4,0),ROUNDUP(IF(MOD(U$18+INDEX(_xlfn.TEXTSPLIT(U113,",",),0,2)+$A$18,$A$18)=0,$A$18,MOD(U$18+INDEX(_xlfn.TEXTSPLIT(U113,",",),0,2)+$A$18,$A$18))/4,0)))+(INDEX($AD$2:$AK$9,ROUNDUP($A58/5,0),ROUNDUP(IF(MOD(U$18+INDEX(_xlfn.TEXTSPLIT(U156,",",),0,2)+$A$18,$A$18)=0,$A$18,MOD(U$18+INDEX(_xlfn.TEXTSPLIT(U156,",",),0,2)+$A$18,$A$18))/5,0)))</f>
        <v>4</v>
      </c>
      <c r="V58" s="1" cm="1">
        <f t="array" aca="1" ref="V58" ca="1">(INDEX($K$2:$T$11,ROUNDUP($A58/4,0),ROUNDUP(IF(MOD(V$18+INDEX(_xlfn.TEXTSPLIT(V113,",",),0,2)+$A$18,$A$18)=0,$A$18,MOD(V$18+INDEX(_xlfn.TEXTSPLIT(V113,",",),0,2)+$A$18,$A$18))/4,0)))+(INDEX($AD$2:$AK$9,ROUNDUP($A58/5,0),ROUNDUP(IF(MOD(V$18+INDEX(_xlfn.TEXTSPLIT(V156,",",),0,2)+$A$18,$A$18)=0,$A$18,MOD(V$18+INDEX(_xlfn.TEXTSPLIT(V156,",",),0,2)+$A$18,$A$18))/5,0)))</f>
        <v>8</v>
      </c>
      <c r="W58" s="1" cm="1">
        <f t="array" aca="1" ref="W58" ca="1">(INDEX($K$2:$T$11,ROUNDUP($A58/4,0),ROUNDUP(IF(MOD(W$18+INDEX(_xlfn.TEXTSPLIT(W113,",",),0,2)+$A$18,$A$18)=0,$A$18,MOD(W$18+INDEX(_xlfn.TEXTSPLIT(W113,",",),0,2)+$A$18,$A$18))/4,0)))+(INDEX($AD$2:$AK$9,ROUNDUP($A58/5,0),ROUNDUP(IF(MOD(W$18+INDEX(_xlfn.TEXTSPLIT(W156,",",),0,2)+$A$18,$A$18)=0,$A$18,MOD(W$18+INDEX(_xlfn.TEXTSPLIT(W156,",",),0,2)+$A$18,$A$18))/5,0)))</f>
        <v>7</v>
      </c>
      <c r="X58" s="1" cm="1">
        <f t="array" aca="1" ref="X58" ca="1">(INDEX($K$2:$T$11,ROUNDUP($A58/4,0),ROUNDUP(IF(MOD(X$18+INDEX(_xlfn.TEXTSPLIT(X113,",",),0,2)+$A$18,$A$18)=0,$A$18,MOD(X$18+INDEX(_xlfn.TEXTSPLIT(X113,",",),0,2)+$A$18,$A$18))/4,0)))+(INDEX($AD$2:$AK$9,ROUNDUP($A58/5,0),ROUNDUP(IF(MOD(X$18+INDEX(_xlfn.TEXTSPLIT(X156,",",),0,2)+$A$18,$A$18)=0,$A$18,MOD(X$18+INDEX(_xlfn.TEXTSPLIT(X156,",",),0,2)+$A$18,$A$18))/5,0)))</f>
        <v>7</v>
      </c>
      <c r="Y58" s="1" cm="1">
        <f t="array" aca="1" ref="Y58" ca="1">(INDEX($K$2:$T$11,ROUNDUP($A58/4,0),ROUNDUP(IF(MOD(Y$18+INDEX(_xlfn.TEXTSPLIT(Y113,",",),0,2)+$A$18,$A$18)=0,$A$18,MOD(Y$18+INDEX(_xlfn.TEXTSPLIT(Y113,",",),0,2)+$A$18,$A$18))/4,0)))+(INDEX($AD$2:$AK$9,ROUNDUP($A58/5,0),ROUNDUP(IF(MOD(Y$18+INDEX(_xlfn.TEXTSPLIT(Y156,",",),0,2)+$A$18,$A$18)=0,$A$18,MOD(Y$18+INDEX(_xlfn.TEXTSPLIT(Y156,",",),0,2)+$A$18,$A$18))/5,0)))</f>
        <v>7</v>
      </c>
      <c r="Z58" s="1" cm="1">
        <f t="array" aca="1" ref="Z58" ca="1">(INDEX($K$2:$T$11,ROUNDUP($A58/4,0),ROUNDUP(IF(MOD(Z$18+INDEX(_xlfn.TEXTSPLIT(Z113,",",),0,2)+$A$18,$A$18)=0,$A$18,MOD(Z$18+INDEX(_xlfn.TEXTSPLIT(Z113,",",),0,2)+$A$18,$A$18))/4,0)))+(INDEX($AD$2:$AK$9,ROUNDUP($A58/5,0),ROUNDUP(IF(MOD(Z$18+INDEX(_xlfn.TEXTSPLIT(Z156,",",),0,2)+$A$18,$A$18)=0,$A$18,MOD(Z$18+INDEX(_xlfn.TEXTSPLIT(Z156,",",),0,2)+$A$18,$A$18))/5,0)))</f>
        <v>7</v>
      </c>
      <c r="AA58" s="1" cm="1">
        <f t="array" aca="1" ref="AA58" ca="1">(INDEX($K$2:$T$11,ROUNDUP($A58/4,0),ROUNDUP(IF(MOD(AA$18+INDEX(_xlfn.TEXTSPLIT(AA113,",",),0,2)+$A$18,$A$18)=0,$A$18,MOD(AA$18+INDEX(_xlfn.TEXTSPLIT(AA113,",",),0,2)+$A$18,$A$18))/4,0)))+(INDEX($AD$2:$AK$9,ROUNDUP($A58/5,0),ROUNDUP(IF(MOD(AA$18+INDEX(_xlfn.TEXTSPLIT(AA156,",",),0,2)+$A$18,$A$18)=0,$A$18,MOD(AA$18+INDEX(_xlfn.TEXTSPLIT(AA156,",",),0,2)+$A$18,$A$18))/5,0)))</f>
        <v>7</v>
      </c>
      <c r="AB58" s="1" cm="1">
        <f t="array" aca="1" ref="AB58" ca="1">(INDEX($K$2:$T$11,ROUNDUP($A58/4,0),ROUNDUP(IF(MOD(AB$18+INDEX(_xlfn.TEXTSPLIT(AB113,",",),0,2)+$A$18,$A$18)=0,$A$18,MOD(AB$18+INDEX(_xlfn.TEXTSPLIT(AB113,",",),0,2)+$A$18,$A$18))/4,0)))+(INDEX($AD$2:$AK$9,ROUNDUP($A58/5,0),ROUNDUP(IF(MOD(AB$18+INDEX(_xlfn.TEXTSPLIT(AB156,",",),0,2)+$A$18,$A$18)=0,$A$18,MOD(AB$18+INDEX(_xlfn.TEXTSPLIT(AB156,",",),0,2)+$A$18,$A$18))/5,0)))</f>
        <v>8</v>
      </c>
      <c r="AC58" s="1" cm="1">
        <f t="array" aca="1" ref="AC58" ca="1">(INDEX($K$2:$T$11,ROUNDUP($A58/4,0),ROUNDUP(IF(MOD(AC$18+INDEX(_xlfn.TEXTSPLIT(AC113,",",),0,2)+$A$18,$A$18)=0,$A$18,MOD(AC$18+INDEX(_xlfn.TEXTSPLIT(AC113,",",),0,2)+$A$18,$A$18))/4,0)))+(INDEX($AD$2:$AK$9,ROUNDUP($A58/5,0),ROUNDUP(IF(MOD(AC$18+INDEX(_xlfn.TEXTSPLIT(AC156,",",),0,2)+$A$18,$A$18)=0,$A$18,MOD(AC$18+INDEX(_xlfn.TEXTSPLIT(AC156,",",),0,2)+$A$18,$A$18))/5,0)))</f>
        <v>8</v>
      </c>
      <c r="AD58" s="1" cm="1">
        <f t="array" aca="1" ref="AD58" ca="1">(INDEX($K$2:$T$11,ROUNDUP($A58/4,0),ROUNDUP(IF(MOD(AD$18+INDEX(_xlfn.TEXTSPLIT(AD113,",",),0,2)+$A$18,$A$18)=0,$A$18,MOD(AD$18+INDEX(_xlfn.TEXTSPLIT(AD113,",",),0,2)+$A$18,$A$18))/4,0)))+(INDEX($AD$2:$AK$9,ROUNDUP($A58/5,0),ROUNDUP(IF(MOD(AD$18+INDEX(_xlfn.TEXTSPLIT(AD156,",",),0,2)+$A$18,$A$18)=0,$A$18,MOD(AD$18+INDEX(_xlfn.TEXTSPLIT(AD156,",",),0,2)+$A$18,$A$18))/5,0)))</f>
        <v>8</v>
      </c>
      <c r="AE58" s="1" cm="1">
        <f t="array" aca="1" ref="AE58" ca="1">(INDEX($K$2:$T$11,ROUNDUP($A58/4,0),ROUNDUP(IF(MOD(AE$18+INDEX(_xlfn.TEXTSPLIT(AE113,",",),0,2)+$A$18,$A$18)=0,$A$18,MOD(AE$18+INDEX(_xlfn.TEXTSPLIT(AE113,",",),0,2)+$A$18,$A$18))/4,0)))+(INDEX($AD$2:$AK$9,ROUNDUP($A58/5,0),ROUNDUP(IF(MOD(AE$18+INDEX(_xlfn.TEXTSPLIT(AE156,",",),0,2)+$A$18,$A$18)=0,$A$18,MOD(AE$18+INDEX(_xlfn.TEXTSPLIT(AE156,",",),0,2)+$A$18,$A$18))/5,0)))</f>
        <v>8</v>
      </c>
      <c r="AF58" s="1" cm="1">
        <f t="array" aca="1" ref="AF58" ca="1">(INDEX($K$2:$T$11,ROUNDUP($A58/4,0),ROUNDUP(IF(MOD(AF$18+INDEX(_xlfn.TEXTSPLIT(AF113,",",),0,2)+$A$18,$A$18)=0,$A$18,MOD(AF$18+INDEX(_xlfn.TEXTSPLIT(AF113,",",),0,2)+$A$18,$A$18))/4,0)))+(INDEX($AD$2:$AK$9,ROUNDUP($A58/5,0),ROUNDUP(IF(MOD(AF$18+INDEX(_xlfn.TEXTSPLIT(AF156,",",),0,2)+$A$18,$A$18)=0,$A$18,MOD(AF$18+INDEX(_xlfn.TEXTSPLIT(AF156,",",),0,2)+$A$18,$A$18))/5,0)))</f>
        <v>8</v>
      </c>
      <c r="AG58" s="1" cm="1">
        <f t="array" aca="1" ref="AG58" ca="1">(INDEX($K$2:$T$11,ROUNDUP($A58/4,0),ROUNDUP(IF(MOD(AG$18+INDEX(_xlfn.TEXTSPLIT(AG113,",",),0,2)+$A$18,$A$18)=0,$A$18,MOD(AG$18+INDEX(_xlfn.TEXTSPLIT(AG113,",",),0,2)+$A$18,$A$18))/4,0)))+(INDEX($AD$2:$AK$9,ROUNDUP($A58/5,0),ROUNDUP(IF(MOD(AG$18+INDEX(_xlfn.TEXTSPLIT(AG156,",",),0,2)+$A$18,$A$18)=0,$A$18,MOD(AG$18+INDEX(_xlfn.TEXTSPLIT(AG156,",",),0,2)+$A$18,$A$18))/5,0)))</f>
        <v>8</v>
      </c>
      <c r="AH58" s="1" cm="1">
        <f t="array" aca="1" ref="AH58" ca="1">(INDEX($K$2:$T$11,ROUNDUP($A58/4,0),ROUNDUP(IF(MOD(AH$18+INDEX(_xlfn.TEXTSPLIT(AH113,",",),0,2)+$A$18,$A$18)=0,$A$18,MOD(AH$18+INDEX(_xlfn.TEXTSPLIT(AH113,",",),0,2)+$A$18,$A$18))/4,0)))+(INDEX($AD$2:$AK$9,ROUNDUP($A58/5,0),ROUNDUP(IF(MOD(AH$18+INDEX(_xlfn.TEXTSPLIT(AH156,",",),0,2)+$A$18,$A$18)=0,$A$18,MOD(AH$18+INDEX(_xlfn.TEXTSPLIT(AH156,",",),0,2)+$A$18,$A$18))/5,0)))</f>
        <v>8</v>
      </c>
      <c r="AI58" s="1" cm="1">
        <f t="array" aca="1" ref="AI58" ca="1">(INDEX($K$2:$T$11,ROUNDUP($A58/4,0),ROUNDUP(IF(MOD(AI$18+INDEX(_xlfn.TEXTSPLIT(AI113,",",),0,2)+$A$18,$A$18)=0,$A$18,MOD(AI$18+INDEX(_xlfn.TEXTSPLIT(AI113,",",),0,2)+$A$18,$A$18))/4,0)))+(INDEX($AD$2:$AK$9,ROUNDUP($A58/5,0),ROUNDUP(IF(MOD(AI$18+INDEX(_xlfn.TEXTSPLIT(AI156,",",),0,2)+$A$18,$A$18)=0,$A$18,MOD(AI$18+INDEX(_xlfn.TEXTSPLIT(AI156,",",),0,2)+$A$18,$A$18))/5,0)))</f>
        <v>8</v>
      </c>
      <c r="AJ58" s="1" cm="1">
        <f t="array" aca="1" ref="AJ58" ca="1">(INDEX($K$2:$T$11,ROUNDUP($A58/4,0),ROUNDUP(IF(MOD(AJ$18+INDEX(_xlfn.TEXTSPLIT(AJ113,",",),0,2)+$A$18,$A$18)=0,$A$18,MOD(AJ$18+INDEX(_xlfn.TEXTSPLIT(AJ113,",",),0,2)+$A$18,$A$18))/4,0)))+(INDEX($AD$2:$AK$9,ROUNDUP($A58/5,0),ROUNDUP(IF(MOD(AJ$18+INDEX(_xlfn.TEXTSPLIT(AJ156,",",),0,2)+$A$18,$A$18)=0,$A$18,MOD(AJ$18+INDEX(_xlfn.TEXTSPLIT(AJ156,",",),0,2)+$A$18,$A$18))/5,0)))</f>
        <v>7</v>
      </c>
      <c r="AK58" s="1" cm="1">
        <f t="array" aca="1" ref="AK58" ca="1">(INDEX($K$2:$T$11,ROUNDUP($A58/4,0),ROUNDUP(IF(MOD(AK$18+INDEX(_xlfn.TEXTSPLIT(AK113,",",),0,2)+$A$18,$A$18)=0,$A$18,MOD(AK$18+INDEX(_xlfn.TEXTSPLIT(AK113,",",),0,2)+$A$18,$A$18))/4,0)))+(INDEX($AD$2:$AK$9,ROUNDUP($A58/5,0),ROUNDUP(IF(MOD(AK$18+INDEX(_xlfn.TEXTSPLIT(AK156,",",),0,2)+$A$18,$A$18)=0,$A$18,MOD(AK$18+INDEX(_xlfn.TEXTSPLIT(AK156,",",),0,2)+$A$18,$A$18))/5,0)))</f>
        <v>7</v>
      </c>
      <c r="AL58" s="1" cm="1">
        <f t="array" aca="1" ref="AL58" ca="1">(INDEX($K$2:$T$11,ROUNDUP($A58/4,0),ROUNDUP(IF(MOD(AL$18+INDEX(_xlfn.TEXTSPLIT(AL113,",",),0,2)+$A$18,$A$18)=0,$A$18,MOD(AL$18+INDEX(_xlfn.TEXTSPLIT(AL113,",",),0,2)+$A$18,$A$18))/4,0)))+(INDEX($AD$2:$AK$9,ROUNDUP($A58/5,0),ROUNDUP(IF(MOD(AL$18+INDEX(_xlfn.TEXTSPLIT(AL156,",",),0,2)+$A$18,$A$18)=0,$A$18,MOD(AL$18+INDEX(_xlfn.TEXTSPLIT(AL156,",",),0,2)+$A$18,$A$18))/5,0)))</f>
        <v>7</v>
      </c>
      <c r="AM58" s="1" cm="1">
        <f t="array" aca="1" ref="AM58" ca="1">(INDEX($K$2:$T$11,ROUNDUP($A58/4,0),ROUNDUP(IF(MOD(AM$18+INDEX(_xlfn.TEXTSPLIT(AM113,",",),0,2)+$A$18,$A$18)=0,$A$18,MOD(AM$18+INDEX(_xlfn.TEXTSPLIT(AM113,",",),0,2)+$A$18,$A$18))/4,0)))+(INDEX($AD$2:$AK$9,ROUNDUP($A58/5,0),ROUNDUP(IF(MOD(AM$18+INDEX(_xlfn.TEXTSPLIT(AM156,",",),0,2)+$A$18,$A$18)=0,$A$18,MOD(AM$18+INDEX(_xlfn.TEXTSPLIT(AM156,",",),0,2)+$A$18,$A$18))/5,0)))</f>
        <v>7</v>
      </c>
      <c r="AN58" s="1" cm="1">
        <f t="array" aca="1" ref="AN58" ca="1">(INDEX($K$2:$T$11,ROUNDUP($A58/4,0),ROUNDUP(IF(MOD(AN$18+INDEX(_xlfn.TEXTSPLIT(AN113,",",),0,2)+$A$18,$A$18)=0,$A$18,MOD(AN$18+INDEX(_xlfn.TEXTSPLIT(AN113,",",),0,2)+$A$18,$A$18))/4,0)))+(INDEX($AD$2:$AK$9,ROUNDUP($A58/5,0),ROUNDUP(IF(MOD(AN$18+INDEX(_xlfn.TEXTSPLIT(AN156,",",),0,2)+$A$18,$A$18)=0,$A$18,MOD(AN$18+INDEX(_xlfn.TEXTSPLIT(AN156,",",),0,2)+$A$18,$A$18))/5,0)))</f>
        <v>7</v>
      </c>
      <c r="AO58" s="1" cm="1">
        <f t="array" aca="1" ref="AO58" ca="1">(INDEX($K$2:$T$11,ROUNDUP($A58/4,0),ROUNDUP(IF(MOD(AO$18+INDEX(_xlfn.TEXTSPLIT(AO113,",",),0,2)+$A$18,$A$18)=0,$A$18,MOD(AO$18+INDEX(_xlfn.TEXTSPLIT(AO113,",",),0,2)+$A$18,$A$18))/4,0)))+(INDEX($AD$2:$AK$9,ROUNDUP($A58/5,0),ROUNDUP(IF(MOD(AO$18+INDEX(_xlfn.TEXTSPLIT(AO156,",",),0,2)+$A$18,$A$18)=0,$A$18,MOD(AO$18+INDEX(_xlfn.TEXTSPLIT(AO156,",",),0,2)+$A$18,$A$18))/5,0)))</f>
        <v>7</v>
      </c>
    </row>
    <row r="60" spans="1:41" ht="15.75" customHeight="1">
      <c r="A60" s="42">
        <v>10</v>
      </c>
      <c r="B60" s="42">
        <v>1</v>
      </c>
      <c r="C60" s="42">
        <v>2</v>
      </c>
      <c r="D60" s="42">
        <v>3</v>
      </c>
      <c r="E60" s="42">
        <v>4</v>
      </c>
      <c r="F60" s="42">
        <v>5</v>
      </c>
      <c r="G60" s="42">
        <v>6</v>
      </c>
      <c r="H60" s="42">
        <v>7</v>
      </c>
      <c r="I60" s="42">
        <v>8</v>
      </c>
      <c r="J60" s="42">
        <v>9</v>
      </c>
      <c r="K60" s="42">
        <v>10</v>
      </c>
      <c r="M60" s="42">
        <v>8</v>
      </c>
      <c r="N60" s="42">
        <v>1</v>
      </c>
      <c r="O60" s="42">
        <v>2</v>
      </c>
      <c r="P60" s="42">
        <v>3</v>
      </c>
      <c r="Q60" s="42">
        <v>4</v>
      </c>
      <c r="R60" s="42">
        <v>5</v>
      </c>
      <c r="S60" s="42">
        <v>6</v>
      </c>
      <c r="T60" s="42">
        <v>7</v>
      </c>
      <c r="U60" s="42">
        <v>8</v>
      </c>
    </row>
    <row r="61" spans="1:41" ht="15.75" customHeight="1">
      <c r="A61" s="42">
        <v>1</v>
      </c>
      <c r="B61" s="1" t="str">
        <f ca="1">_xlfn.TEXTJOIN(",",FALSE,"",RANDBETWEEN(-1,1))</f>
        <v>,-1</v>
      </c>
      <c r="C61" s="1" t="str">
        <f t="shared" ref="C61:K61" ca="1" si="9">_xlfn.TEXTJOIN(",",FALSE,"",RANDBETWEEN(-1,1))</f>
        <v>,1</v>
      </c>
      <c r="D61" s="1" t="str">
        <f t="shared" ca="1" si="9"/>
        <v>,-1</v>
      </c>
      <c r="E61" s="1" t="str">
        <f t="shared" ca="1" si="9"/>
        <v>,1</v>
      </c>
      <c r="F61" s="1" t="str">
        <f t="shared" ca="1" si="9"/>
        <v>,-1</v>
      </c>
      <c r="G61" s="1" t="str">
        <f t="shared" ca="1" si="9"/>
        <v>,1</v>
      </c>
      <c r="H61" s="1" t="str">
        <f t="shared" ca="1" si="9"/>
        <v>,0</v>
      </c>
      <c r="I61" s="1" t="str">
        <f t="shared" ca="1" si="9"/>
        <v>,1</v>
      </c>
      <c r="J61" s="1" t="str">
        <f t="shared" ca="1" si="9"/>
        <v>,0</v>
      </c>
      <c r="K61" s="1" t="str">
        <f t="shared" ca="1" si="9"/>
        <v>,1</v>
      </c>
      <c r="M61" s="42">
        <v>1</v>
      </c>
      <c r="N61" s="1" t="str">
        <f t="shared" ref="N61:U61" ca="1" si="10">_xlfn.TEXTJOIN(",",FALSE,"",RANDBETWEEN(-1,1))</f>
        <v>,-1</v>
      </c>
      <c r="O61" s="1" t="str">
        <f t="shared" ca="1" si="10"/>
        <v>,1</v>
      </c>
      <c r="P61" s="1" t="str">
        <f t="shared" ca="1" si="10"/>
        <v>,-1</v>
      </c>
      <c r="Q61" s="1" t="str">
        <f t="shared" ca="1" si="10"/>
        <v>,-1</v>
      </c>
      <c r="R61" s="1" t="str">
        <f t="shared" ca="1" si="10"/>
        <v>,0</v>
      </c>
      <c r="S61" s="1" t="str">
        <f t="shared" ca="1" si="10"/>
        <v>,1</v>
      </c>
      <c r="T61" s="1" t="str">
        <f t="shared" ca="1" si="10"/>
        <v>,-1</v>
      </c>
      <c r="U61" s="1" t="str">
        <f t="shared" ca="1" si="10"/>
        <v>,-1</v>
      </c>
    </row>
    <row r="62" spans="1:41" ht="15.75" customHeight="1">
      <c r="A62" s="42">
        <v>2</v>
      </c>
      <c r="B62" s="1" t="str">
        <f ca="1">_xlfn.TEXTJOIN(",",TRUE,RANDBETWEEN(-1,1),RANDBETWEEN(-1,1))</f>
        <v>1,0</v>
      </c>
      <c r="C62" s="1" t="str">
        <f ca="1">_xlfn.TEXTJOIN(",",TRUE,RANDBETWEEN(-1,1),RANDBETWEEN(-1,1))</f>
        <v>1,-1</v>
      </c>
      <c r="D62" s="1" t="str">
        <f ca="1">_xlfn.TEXTJOIN(",",TRUE,RANDBETWEEN(-1,1),RANDBETWEEN(-1,1))</f>
        <v>1,1</v>
      </c>
      <c r="E62" s="1" t="str">
        <f ca="1">_xlfn.TEXTJOIN(",",TRUE,RANDBETWEEN(-1,1),RANDBETWEEN(-1,1))</f>
        <v>1,0</v>
      </c>
      <c r="F62" s="1" t="str">
        <f ca="1">_xlfn.TEXTJOIN(",",TRUE,RANDBETWEEN(-1,1),RANDBETWEEN(-1,1))</f>
        <v>-1,1</v>
      </c>
      <c r="G62" s="1" t="str">
        <f ca="1">_xlfn.TEXTJOIN(",",TRUE,RANDBETWEEN(-1,1),RANDBETWEEN(-1,1))</f>
        <v>1,1</v>
      </c>
      <c r="H62" s="1" t="str">
        <f ca="1">_xlfn.TEXTJOIN(",",TRUE,RANDBETWEEN(-1,1),RANDBETWEEN(-1,1))</f>
        <v>0,-1</v>
      </c>
      <c r="I62" s="1" t="str">
        <f ca="1">_xlfn.TEXTJOIN(",",TRUE,RANDBETWEEN(-1,1),RANDBETWEEN(-1,1))</f>
        <v>0,0</v>
      </c>
      <c r="J62" s="1" t="str">
        <f ca="1">_xlfn.TEXTJOIN(",",TRUE,RANDBETWEEN(-1,1),RANDBETWEEN(-1,1))</f>
        <v>1,-1</v>
      </c>
      <c r="K62" s="1" t="str">
        <f ca="1">_xlfn.TEXTJOIN(",",TRUE,RANDBETWEEN(-1,1),RANDBETWEEN(-1,1))</f>
        <v>0,0</v>
      </c>
      <c r="M62" s="42">
        <v>2</v>
      </c>
      <c r="N62" s="1" t="str">
        <f ca="1">_xlfn.TEXTJOIN(",",TRUE,RANDBETWEEN(-1,1),RANDBETWEEN(-1,1))</f>
        <v>1,-1</v>
      </c>
      <c r="O62" s="1" t="str">
        <f ca="1">_xlfn.TEXTJOIN(",",TRUE,RANDBETWEEN(-1,1),RANDBETWEEN(-1,1))</f>
        <v>-1,0</v>
      </c>
      <c r="P62" s="1" t="str">
        <f ca="1">_xlfn.TEXTJOIN(",",TRUE,RANDBETWEEN(-1,1),RANDBETWEEN(-1,1))</f>
        <v>-1,1</v>
      </c>
      <c r="Q62" s="1" t="str">
        <f ca="1">_xlfn.TEXTJOIN(",",TRUE,RANDBETWEEN(-1,1),RANDBETWEEN(-1,1))</f>
        <v>-1,-1</v>
      </c>
      <c r="R62" s="1" t="str">
        <f ca="1">_xlfn.TEXTJOIN(",",TRUE,RANDBETWEEN(-1,1),RANDBETWEEN(-1,1))</f>
        <v>-1,-1</v>
      </c>
      <c r="S62" s="1" t="str">
        <f ca="1">_xlfn.TEXTJOIN(",",TRUE,RANDBETWEEN(-1,1),RANDBETWEEN(-1,1))</f>
        <v>0,-1</v>
      </c>
      <c r="T62" s="1" t="str">
        <f ca="1">_xlfn.TEXTJOIN(",",TRUE,RANDBETWEEN(-1,1),RANDBETWEEN(-1,1))</f>
        <v>-1,1</v>
      </c>
      <c r="U62" s="1" t="str">
        <f ca="1">_xlfn.TEXTJOIN(",",TRUE,RANDBETWEEN(-1,1),RANDBETWEEN(-1,1))</f>
        <v>1,0</v>
      </c>
    </row>
    <row r="63" spans="1:41" ht="15.75" customHeight="1">
      <c r="A63" s="42">
        <v>3</v>
      </c>
      <c r="B63" s="1" t="str">
        <f ca="1">_xlfn.TEXTJOIN(",",TRUE,RANDBETWEEN(-1,1),RANDBETWEEN(-1,1))</f>
        <v>-1,0</v>
      </c>
      <c r="C63" s="1" t="str">
        <f ca="1">_xlfn.TEXTJOIN(",",TRUE,RANDBETWEEN(-1,1),RANDBETWEEN(-1,1))</f>
        <v>-1,-1</v>
      </c>
      <c r="D63" s="1" t="str">
        <f ca="1">_xlfn.TEXTJOIN(",",TRUE,RANDBETWEEN(-1,1),RANDBETWEEN(-1,1))</f>
        <v>1,0</v>
      </c>
      <c r="E63" s="1" t="str">
        <f ca="1">_xlfn.TEXTJOIN(",",TRUE,RANDBETWEEN(-1,1),RANDBETWEEN(-1,1))</f>
        <v>0,1</v>
      </c>
      <c r="F63" s="1" t="str">
        <f ca="1">_xlfn.TEXTJOIN(",",TRUE,RANDBETWEEN(-1,1),RANDBETWEEN(-1,1))</f>
        <v>1,-1</v>
      </c>
      <c r="G63" s="1" t="str">
        <f ca="1">_xlfn.TEXTJOIN(",",TRUE,RANDBETWEEN(-1,1),RANDBETWEEN(-1,1))</f>
        <v>-1,0</v>
      </c>
      <c r="H63" s="1" t="str">
        <f ca="1">_xlfn.TEXTJOIN(",",TRUE,RANDBETWEEN(-1,1),RANDBETWEEN(-1,1))</f>
        <v>1,-1</v>
      </c>
      <c r="I63" s="1" t="str">
        <f ca="1">_xlfn.TEXTJOIN(",",TRUE,RANDBETWEEN(-1,1),RANDBETWEEN(-1,1))</f>
        <v>1,-1</v>
      </c>
      <c r="J63" s="1" t="str">
        <f ca="1">_xlfn.TEXTJOIN(",",TRUE,RANDBETWEEN(-1,1),RANDBETWEEN(-1,1))</f>
        <v>0,0</v>
      </c>
      <c r="K63" s="1" t="str">
        <f ca="1">_xlfn.TEXTJOIN(",",TRUE,RANDBETWEEN(-1,1),RANDBETWEEN(-1,1))</f>
        <v>0,1</v>
      </c>
      <c r="M63" s="42">
        <v>3</v>
      </c>
      <c r="N63" s="1" t="str">
        <f ca="1">_xlfn.TEXTJOIN(",",TRUE,RANDBETWEEN(-1,1),RANDBETWEEN(-1,1))</f>
        <v>-1,-1</v>
      </c>
      <c r="O63" s="1" t="str">
        <f ca="1">_xlfn.TEXTJOIN(",",TRUE,RANDBETWEEN(-1,1),RANDBETWEEN(-1,1))</f>
        <v>0,1</v>
      </c>
      <c r="P63" s="1" t="str">
        <f ca="1">_xlfn.TEXTJOIN(",",TRUE,RANDBETWEEN(-1,1),RANDBETWEEN(-1,1))</f>
        <v>0,1</v>
      </c>
      <c r="Q63" s="1" t="str">
        <f ca="1">_xlfn.TEXTJOIN(",",TRUE,RANDBETWEEN(-1,1),RANDBETWEEN(-1,1))</f>
        <v>-1,-1</v>
      </c>
      <c r="R63" s="1" t="str">
        <f ca="1">_xlfn.TEXTJOIN(",",TRUE,RANDBETWEEN(-1,1),RANDBETWEEN(-1,1))</f>
        <v>1,-1</v>
      </c>
      <c r="S63" s="1" t="str">
        <f ca="1">_xlfn.TEXTJOIN(",",TRUE,RANDBETWEEN(-1,1),RANDBETWEEN(-1,1))</f>
        <v>0,1</v>
      </c>
      <c r="T63" s="1" t="str">
        <f ca="1">_xlfn.TEXTJOIN(",",TRUE,RANDBETWEEN(-1,1),RANDBETWEEN(-1,1))</f>
        <v>0,1</v>
      </c>
      <c r="U63" s="1" t="str">
        <f ca="1">_xlfn.TEXTJOIN(",",TRUE,RANDBETWEEN(-1,1),RANDBETWEEN(-1,1))</f>
        <v>1,0</v>
      </c>
    </row>
    <row r="64" spans="1:41" ht="15.75" customHeight="1">
      <c r="A64" s="42">
        <v>4</v>
      </c>
      <c r="B64" s="1" t="str">
        <f ca="1">_xlfn.TEXTJOIN(",",TRUE,RANDBETWEEN(-1,1),RANDBETWEEN(-1,1))</f>
        <v>0,1</v>
      </c>
      <c r="C64" s="1" t="str">
        <f ca="1">_xlfn.TEXTJOIN(",",TRUE,RANDBETWEEN(-1,1),RANDBETWEEN(-1,1))</f>
        <v>-1,0</v>
      </c>
      <c r="D64" s="1" t="str">
        <f ca="1">_xlfn.TEXTJOIN(",",TRUE,RANDBETWEEN(-1,1),RANDBETWEEN(-1,1))</f>
        <v>1,1</v>
      </c>
      <c r="E64" s="1" t="str">
        <f ca="1">_xlfn.TEXTJOIN(",",TRUE,RANDBETWEEN(-1,1),RANDBETWEEN(-1,1))</f>
        <v>0,-1</v>
      </c>
      <c r="F64" s="1" t="str">
        <f ca="1">_xlfn.TEXTJOIN(",",TRUE,RANDBETWEEN(-1,1),RANDBETWEEN(-1,1))</f>
        <v>1,-1</v>
      </c>
      <c r="G64" s="1" t="str">
        <f ca="1">_xlfn.TEXTJOIN(",",TRUE,RANDBETWEEN(-1,1),RANDBETWEEN(-1,1))</f>
        <v>0,0</v>
      </c>
      <c r="H64" s="1" t="str">
        <f ca="1">_xlfn.TEXTJOIN(",",TRUE,RANDBETWEEN(-1,1),RANDBETWEEN(-1,1))</f>
        <v>0,1</v>
      </c>
      <c r="I64" s="1" t="str">
        <f ca="1">_xlfn.TEXTJOIN(",",TRUE,RANDBETWEEN(-1,1),RANDBETWEEN(-1,1))</f>
        <v>1,1</v>
      </c>
      <c r="J64" s="1" t="str">
        <f ca="1">_xlfn.TEXTJOIN(",",TRUE,RANDBETWEEN(-1,1),RANDBETWEEN(-1,1))</f>
        <v>0,-1</v>
      </c>
      <c r="K64" s="1" t="str">
        <f ca="1">_xlfn.TEXTJOIN(",",TRUE,RANDBETWEEN(-1,1),RANDBETWEEN(-1,1))</f>
        <v>-1,0</v>
      </c>
      <c r="M64" s="42">
        <v>4</v>
      </c>
      <c r="N64" s="1" t="str">
        <f ca="1">_xlfn.TEXTJOIN(",",TRUE,RANDBETWEEN(-1,1),RANDBETWEEN(-1,1))</f>
        <v>0,0</v>
      </c>
      <c r="O64" s="1" t="str">
        <f ca="1">_xlfn.TEXTJOIN(",",TRUE,RANDBETWEEN(-1,1),RANDBETWEEN(-1,1))</f>
        <v>1,0</v>
      </c>
      <c r="P64" s="1" t="str">
        <f ca="1">_xlfn.TEXTJOIN(",",TRUE,RANDBETWEEN(-1,1),RANDBETWEEN(-1,1))</f>
        <v>1,1</v>
      </c>
      <c r="Q64" s="1" t="str">
        <f ca="1">_xlfn.TEXTJOIN(",",TRUE,RANDBETWEEN(-1,1),RANDBETWEEN(-1,1))</f>
        <v>-1,1</v>
      </c>
      <c r="R64" s="1" t="str">
        <f ca="1">_xlfn.TEXTJOIN(",",TRUE,RANDBETWEEN(-1,1),RANDBETWEEN(-1,1))</f>
        <v>1,-1</v>
      </c>
      <c r="S64" s="1" t="str">
        <f ca="1">_xlfn.TEXTJOIN(",",TRUE,RANDBETWEEN(-1,1),RANDBETWEEN(-1,1))</f>
        <v>1,1</v>
      </c>
      <c r="T64" s="1" t="str">
        <f ca="1">_xlfn.TEXTJOIN(",",TRUE,RANDBETWEEN(-1,1),RANDBETWEEN(-1,1))</f>
        <v>0,-1</v>
      </c>
      <c r="U64" s="1" t="str">
        <f ca="1">_xlfn.TEXTJOIN(",",TRUE,RANDBETWEEN(-1,1),RANDBETWEEN(-1,1))</f>
        <v>0,-1</v>
      </c>
    </row>
    <row r="65" spans="1:41" ht="15.75" customHeight="1">
      <c r="A65" s="42">
        <v>5</v>
      </c>
      <c r="B65" s="1" t="str">
        <f ca="1">_xlfn.TEXTJOIN(",",TRUE,RANDBETWEEN(-1,1),RANDBETWEEN(-1,1))</f>
        <v>0,1</v>
      </c>
      <c r="C65" s="1" t="str">
        <f ca="1">_xlfn.TEXTJOIN(",",TRUE,RANDBETWEEN(-1,1),RANDBETWEEN(-1,1))</f>
        <v>1,-1</v>
      </c>
      <c r="D65" s="1" t="str">
        <f ca="1">_xlfn.TEXTJOIN(",",TRUE,RANDBETWEEN(-1,1),RANDBETWEEN(-1,1))</f>
        <v>0,0</v>
      </c>
      <c r="E65" s="1" t="str">
        <f ca="1">_xlfn.TEXTJOIN(",",TRUE,RANDBETWEEN(-1,1),RANDBETWEEN(-1,1))</f>
        <v>1,0</v>
      </c>
      <c r="F65" s="1" t="str">
        <f ca="1">_xlfn.TEXTJOIN(",",TRUE,RANDBETWEEN(-1,1),RANDBETWEEN(-1,1))</f>
        <v>-1,0</v>
      </c>
      <c r="G65" s="1" t="str">
        <f ca="1">_xlfn.TEXTJOIN(",",TRUE,RANDBETWEEN(-1,1),RANDBETWEEN(-1,1))</f>
        <v>-1,1</v>
      </c>
      <c r="H65" s="1" t="str">
        <f ca="1">_xlfn.TEXTJOIN(",",TRUE,RANDBETWEEN(-1,1),RANDBETWEEN(-1,1))</f>
        <v>1,1</v>
      </c>
      <c r="I65" s="1" t="str">
        <f ca="1">_xlfn.TEXTJOIN(",",TRUE,RANDBETWEEN(-1,1),RANDBETWEEN(-1,1))</f>
        <v>-1,0</v>
      </c>
      <c r="J65" s="1" t="str">
        <f ca="1">_xlfn.TEXTJOIN(",",TRUE,RANDBETWEEN(-1,1),RANDBETWEEN(-1,1))</f>
        <v>1,-1</v>
      </c>
      <c r="K65" s="1" t="str">
        <f ca="1">_xlfn.TEXTJOIN(",",TRUE,RANDBETWEEN(-1,1),RANDBETWEEN(-1,1))</f>
        <v>1,0</v>
      </c>
      <c r="M65" s="42">
        <v>5</v>
      </c>
      <c r="N65" s="1" t="str">
        <f ca="1">_xlfn.TEXTJOIN(",",TRUE,RANDBETWEEN(-1,1),RANDBETWEEN(-1,1))</f>
        <v>-1,-1</v>
      </c>
      <c r="O65" s="1" t="str">
        <f ca="1">_xlfn.TEXTJOIN(",",TRUE,RANDBETWEEN(-1,1),RANDBETWEEN(-1,1))</f>
        <v>-1,1</v>
      </c>
      <c r="P65" s="1" t="str">
        <f ca="1">_xlfn.TEXTJOIN(",",TRUE,RANDBETWEEN(-1,1),RANDBETWEEN(-1,1))</f>
        <v>1,1</v>
      </c>
      <c r="Q65" s="1" t="str">
        <f ca="1">_xlfn.TEXTJOIN(",",TRUE,RANDBETWEEN(-1,1),RANDBETWEEN(-1,1))</f>
        <v>1,1</v>
      </c>
      <c r="R65" s="1" t="str">
        <f ca="1">_xlfn.TEXTJOIN(",",TRUE,RANDBETWEEN(-1,1),RANDBETWEEN(-1,1))</f>
        <v>0,-1</v>
      </c>
      <c r="S65" s="1" t="str">
        <f ca="1">_xlfn.TEXTJOIN(",",TRUE,RANDBETWEEN(-1,1),RANDBETWEEN(-1,1))</f>
        <v>0,1</v>
      </c>
      <c r="T65" s="1" t="str">
        <f ca="1">_xlfn.TEXTJOIN(",",TRUE,RANDBETWEEN(-1,1),RANDBETWEEN(-1,1))</f>
        <v>-1,-1</v>
      </c>
      <c r="U65" s="1" t="str">
        <f ca="1">_xlfn.TEXTJOIN(",",TRUE,RANDBETWEEN(-1,1),RANDBETWEEN(-1,1))</f>
        <v>0,-1</v>
      </c>
    </row>
    <row r="66" spans="1:41" ht="15.75" customHeight="1">
      <c r="A66" s="42">
        <v>6</v>
      </c>
      <c r="B66" s="1" t="str">
        <f ca="1">_xlfn.TEXTJOIN(",",TRUE,RANDBETWEEN(-1,1),RANDBETWEEN(-1,1))</f>
        <v>-1,1</v>
      </c>
      <c r="C66" s="1" t="str">
        <f ca="1">_xlfn.TEXTJOIN(",",TRUE,RANDBETWEEN(-1,1),RANDBETWEEN(-1,1))</f>
        <v>1,-1</v>
      </c>
      <c r="D66" s="1" t="str">
        <f ca="1">_xlfn.TEXTJOIN(",",TRUE,RANDBETWEEN(-1,1),RANDBETWEEN(-1,1))</f>
        <v>1,1</v>
      </c>
      <c r="E66" s="1" t="str">
        <f ca="1">_xlfn.TEXTJOIN(",",TRUE,RANDBETWEEN(-1,1),RANDBETWEEN(-1,1))</f>
        <v>-1,1</v>
      </c>
      <c r="F66" s="1" t="str">
        <f ca="1">_xlfn.TEXTJOIN(",",TRUE,RANDBETWEEN(-1,1),RANDBETWEEN(-1,1))</f>
        <v>0,1</v>
      </c>
      <c r="G66" s="1" t="str">
        <f ca="1">_xlfn.TEXTJOIN(",",TRUE,RANDBETWEEN(-1,1),RANDBETWEEN(-1,1))</f>
        <v>0,-1</v>
      </c>
      <c r="H66" s="1" t="str">
        <f ca="1">_xlfn.TEXTJOIN(",",TRUE,RANDBETWEEN(-1,1),RANDBETWEEN(-1,1))</f>
        <v>1,0</v>
      </c>
      <c r="I66" s="1" t="str">
        <f ca="1">_xlfn.TEXTJOIN(",",TRUE,RANDBETWEEN(-1,1),RANDBETWEEN(-1,1))</f>
        <v>0,0</v>
      </c>
      <c r="J66" s="1" t="str">
        <f ca="1">_xlfn.TEXTJOIN(",",TRUE,RANDBETWEEN(-1,1),RANDBETWEEN(-1,1))</f>
        <v>1,1</v>
      </c>
      <c r="K66" s="1" t="str">
        <f ca="1">_xlfn.TEXTJOIN(",",TRUE,RANDBETWEEN(-1,1),RANDBETWEEN(-1,1))</f>
        <v>-1,-1</v>
      </c>
      <c r="M66" s="42">
        <v>6</v>
      </c>
      <c r="N66" s="1" t="str">
        <f ca="1">_xlfn.TEXTJOIN(",",TRUE,RANDBETWEEN(-1,1),RANDBETWEEN(-1,1))</f>
        <v>-1,0</v>
      </c>
      <c r="O66" s="1" t="str">
        <f ca="1">_xlfn.TEXTJOIN(",",TRUE,RANDBETWEEN(-1,1),RANDBETWEEN(-1,1))</f>
        <v>1,0</v>
      </c>
      <c r="P66" s="1" t="str">
        <f ca="1">_xlfn.TEXTJOIN(",",TRUE,RANDBETWEEN(-1,1),RANDBETWEEN(-1,1))</f>
        <v>-1,-1</v>
      </c>
      <c r="Q66" s="1" t="str">
        <f ca="1">_xlfn.TEXTJOIN(",",TRUE,RANDBETWEEN(-1,1),RANDBETWEEN(-1,1))</f>
        <v>1,1</v>
      </c>
      <c r="R66" s="1" t="str">
        <f ca="1">_xlfn.TEXTJOIN(",",TRUE,RANDBETWEEN(-1,1),RANDBETWEEN(-1,1))</f>
        <v>1,-1</v>
      </c>
      <c r="S66" s="1" t="str">
        <f ca="1">_xlfn.TEXTJOIN(",",TRUE,RANDBETWEEN(-1,1),RANDBETWEEN(-1,1))</f>
        <v>-1,0</v>
      </c>
      <c r="T66" s="1" t="str">
        <f ca="1">_xlfn.TEXTJOIN(",",TRUE,RANDBETWEEN(-1,1),RANDBETWEEN(-1,1))</f>
        <v>1,-1</v>
      </c>
      <c r="U66" s="1" t="str">
        <f ca="1">_xlfn.TEXTJOIN(",",TRUE,RANDBETWEEN(-1,1),RANDBETWEEN(-1,1))</f>
        <v>1,1</v>
      </c>
    </row>
    <row r="67" spans="1:41" ht="15.75" customHeight="1">
      <c r="A67" s="42">
        <v>7</v>
      </c>
      <c r="B67" s="1" t="str">
        <f ca="1">_xlfn.TEXTJOIN(",",TRUE,RANDBETWEEN(-1,1),RANDBETWEEN(-1,1))</f>
        <v>-1,-1</v>
      </c>
      <c r="C67" s="1" t="str">
        <f ca="1">_xlfn.TEXTJOIN(",",TRUE,RANDBETWEEN(-1,1),RANDBETWEEN(-1,1))</f>
        <v>-1,0</v>
      </c>
      <c r="D67" s="1" t="str">
        <f ca="1">_xlfn.TEXTJOIN(",",TRUE,RANDBETWEEN(-1,1),RANDBETWEEN(-1,1))</f>
        <v>1,0</v>
      </c>
      <c r="E67" s="1" t="str">
        <f ca="1">_xlfn.TEXTJOIN(",",TRUE,RANDBETWEEN(-1,1),RANDBETWEEN(-1,1))</f>
        <v>1,-1</v>
      </c>
      <c r="F67" s="1" t="str">
        <f ca="1">_xlfn.TEXTJOIN(",",TRUE,RANDBETWEEN(-1,1),RANDBETWEEN(-1,1))</f>
        <v>1,0</v>
      </c>
      <c r="G67" s="1" t="str">
        <f ca="1">_xlfn.TEXTJOIN(",",TRUE,RANDBETWEEN(-1,1),RANDBETWEEN(-1,1))</f>
        <v>0,0</v>
      </c>
      <c r="H67" s="1" t="str">
        <f ca="1">_xlfn.TEXTJOIN(",",TRUE,RANDBETWEEN(-1,1),RANDBETWEEN(-1,1))</f>
        <v>1,1</v>
      </c>
      <c r="I67" s="1" t="str">
        <f ca="1">_xlfn.TEXTJOIN(",",TRUE,RANDBETWEEN(-1,1),RANDBETWEEN(-1,1))</f>
        <v>0,1</v>
      </c>
      <c r="J67" s="1" t="str">
        <f ca="1">_xlfn.TEXTJOIN(",",TRUE,RANDBETWEEN(-1,1),RANDBETWEEN(-1,1))</f>
        <v>0,-1</v>
      </c>
      <c r="K67" s="1" t="str">
        <f ca="1">_xlfn.TEXTJOIN(",",TRUE,RANDBETWEEN(-1,1),RANDBETWEEN(-1,1))</f>
        <v>0,-1</v>
      </c>
      <c r="M67" s="42">
        <v>7</v>
      </c>
      <c r="N67" s="1" t="str">
        <f ca="1">_xlfn.TEXTJOIN(",",TRUE,RANDBETWEEN(-1,1),RANDBETWEEN(-1,1))</f>
        <v>0,1</v>
      </c>
      <c r="O67" s="1" t="str">
        <f ca="1">_xlfn.TEXTJOIN(",",TRUE,RANDBETWEEN(-1,1),RANDBETWEEN(-1,1))</f>
        <v>1,0</v>
      </c>
      <c r="P67" s="1" t="str">
        <f ca="1">_xlfn.TEXTJOIN(",",TRUE,RANDBETWEEN(-1,1),RANDBETWEEN(-1,1))</f>
        <v>1,0</v>
      </c>
      <c r="Q67" s="1" t="str">
        <f ca="1">_xlfn.TEXTJOIN(",",TRUE,RANDBETWEEN(-1,1),RANDBETWEEN(-1,1))</f>
        <v>0,-1</v>
      </c>
      <c r="R67" s="1" t="str">
        <f ca="1">_xlfn.TEXTJOIN(",",TRUE,RANDBETWEEN(-1,1),RANDBETWEEN(-1,1))</f>
        <v>-1,0</v>
      </c>
      <c r="S67" s="1" t="str">
        <f ca="1">_xlfn.TEXTJOIN(",",TRUE,RANDBETWEEN(-1,1),RANDBETWEEN(-1,1))</f>
        <v>0,0</v>
      </c>
      <c r="T67" s="1" t="str">
        <f ca="1">_xlfn.TEXTJOIN(",",TRUE,RANDBETWEEN(-1,1),RANDBETWEEN(-1,1))</f>
        <v>0,1</v>
      </c>
      <c r="U67" s="1" t="str">
        <f ca="1">_xlfn.TEXTJOIN(",",TRUE,RANDBETWEEN(-1,1),RANDBETWEEN(-1,1))</f>
        <v>0,0</v>
      </c>
    </row>
    <row r="68" spans="1:41" ht="15.75" customHeight="1">
      <c r="A68" s="42">
        <v>8</v>
      </c>
      <c r="B68" s="1" t="str">
        <f ca="1">_xlfn.TEXTJOIN(",",TRUE,RANDBETWEEN(-1,1),RANDBETWEEN(-1,1))</f>
        <v>-1,1</v>
      </c>
      <c r="C68" s="1" t="str">
        <f ca="1">_xlfn.TEXTJOIN(",",TRUE,RANDBETWEEN(-1,1),RANDBETWEEN(-1,1))</f>
        <v>1,1</v>
      </c>
      <c r="D68" s="1" t="str">
        <f ca="1">_xlfn.TEXTJOIN(",",TRUE,RANDBETWEEN(-1,1),RANDBETWEEN(-1,1))</f>
        <v>0,1</v>
      </c>
      <c r="E68" s="1" t="str">
        <f ca="1">_xlfn.TEXTJOIN(",",TRUE,RANDBETWEEN(-1,1),RANDBETWEEN(-1,1))</f>
        <v>0,-1</v>
      </c>
      <c r="F68" s="1" t="str">
        <f ca="1">_xlfn.TEXTJOIN(",",TRUE,RANDBETWEEN(-1,1),RANDBETWEEN(-1,1))</f>
        <v>0,1</v>
      </c>
      <c r="G68" s="1" t="str">
        <f ca="1">_xlfn.TEXTJOIN(",",TRUE,RANDBETWEEN(-1,1),RANDBETWEEN(-1,1))</f>
        <v>0,-1</v>
      </c>
      <c r="H68" s="1" t="str">
        <f ca="1">_xlfn.TEXTJOIN(",",TRUE,RANDBETWEEN(-1,1),RANDBETWEEN(-1,1))</f>
        <v>1,1</v>
      </c>
      <c r="I68" s="1" t="str">
        <f ca="1">_xlfn.TEXTJOIN(",",TRUE,RANDBETWEEN(-1,1),RANDBETWEEN(-1,1))</f>
        <v>1,1</v>
      </c>
      <c r="J68" s="1" t="str">
        <f ca="1">_xlfn.TEXTJOIN(",",TRUE,RANDBETWEEN(-1,1),RANDBETWEEN(-1,1))</f>
        <v>1,0</v>
      </c>
      <c r="K68" s="1" t="str">
        <f ca="1">_xlfn.TEXTJOIN(",",TRUE,RANDBETWEEN(-1,1),RANDBETWEEN(-1,1))</f>
        <v>0,0</v>
      </c>
      <c r="M68" s="42">
        <v>8</v>
      </c>
      <c r="N68" s="1" t="str">
        <f t="shared" ref="N68:U68" ca="1" si="11">_xlfn.TEXTJOIN(",",FALSE,"",RANDBETWEEN(-1,1))</f>
        <v>,-1</v>
      </c>
      <c r="O68" s="1" t="str">
        <f t="shared" ca="1" si="11"/>
        <v>,0</v>
      </c>
      <c r="P68" s="1" t="str">
        <f t="shared" ca="1" si="11"/>
        <v>,-1</v>
      </c>
      <c r="Q68" s="1" t="str">
        <f t="shared" ca="1" si="11"/>
        <v>,1</v>
      </c>
      <c r="R68" s="1" t="str">
        <f t="shared" ca="1" si="11"/>
        <v>,-1</v>
      </c>
      <c r="S68" s="1" t="str">
        <f t="shared" ca="1" si="11"/>
        <v>,0</v>
      </c>
      <c r="T68" s="1" t="str">
        <f t="shared" ca="1" si="11"/>
        <v>,-1</v>
      </c>
      <c r="U68" s="1" t="str">
        <f t="shared" ca="1" si="11"/>
        <v>,1</v>
      </c>
    </row>
    <row r="69" spans="1:41" ht="15.75" customHeight="1">
      <c r="A69" s="42">
        <v>9</v>
      </c>
      <c r="B69" s="1" t="str">
        <f ca="1">_xlfn.TEXTJOIN(",",TRUE,RANDBETWEEN(-1,1),RANDBETWEEN(-1,1))</f>
        <v>0,-1</v>
      </c>
      <c r="C69" s="1" t="str">
        <f ca="1">_xlfn.TEXTJOIN(",",TRUE,RANDBETWEEN(-1,1),RANDBETWEEN(-1,1))</f>
        <v>0,-1</v>
      </c>
      <c r="D69" s="1" t="str">
        <f ca="1">_xlfn.TEXTJOIN(",",TRUE,RANDBETWEEN(-1,1),RANDBETWEEN(-1,1))</f>
        <v>0,0</v>
      </c>
      <c r="E69" s="1" t="str">
        <f ca="1">_xlfn.TEXTJOIN(",",TRUE,RANDBETWEEN(-1,1),RANDBETWEEN(-1,1))</f>
        <v>1,0</v>
      </c>
      <c r="F69" s="1" t="str">
        <f ca="1">_xlfn.TEXTJOIN(",",TRUE,RANDBETWEEN(-1,1),RANDBETWEEN(-1,1))</f>
        <v>-1,-1</v>
      </c>
      <c r="G69" s="1" t="str">
        <f ca="1">_xlfn.TEXTJOIN(",",TRUE,RANDBETWEEN(-1,1),RANDBETWEEN(-1,1))</f>
        <v>1,0</v>
      </c>
      <c r="H69" s="1" t="str">
        <f ca="1">_xlfn.TEXTJOIN(",",TRUE,RANDBETWEEN(-1,1),RANDBETWEEN(-1,1))</f>
        <v>-1,-1</v>
      </c>
      <c r="I69" s="1" t="str">
        <f ca="1">_xlfn.TEXTJOIN(",",TRUE,RANDBETWEEN(-1,1),RANDBETWEEN(-1,1))</f>
        <v>1,0</v>
      </c>
      <c r="J69" s="1" t="str">
        <f ca="1">_xlfn.TEXTJOIN(",",TRUE,RANDBETWEEN(-1,1),RANDBETWEEN(-1,1))</f>
        <v>-1,-1</v>
      </c>
      <c r="K69" s="1" t="str">
        <f ca="1">_xlfn.TEXTJOIN(",",TRUE,RANDBETWEEN(-1,1),RANDBETWEEN(-1,1))</f>
        <v>0,1</v>
      </c>
    </row>
    <row r="70" spans="1:41" ht="15.75" customHeight="1">
      <c r="A70" s="42">
        <v>10</v>
      </c>
      <c r="B70" s="1" t="str">
        <f t="shared" ref="B70:K70" ca="1" si="12">_xlfn.TEXTJOIN(",",FALSE,"",RANDBETWEEN(-1,1))</f>
        <v>,1</v>
      </c>
      <c r="C70" s="1" t="str">
        <f t="shared" ca="1" si="12"/>
        <v>,1</v>
      </c>
      <c r="D70" s="1" t="str">
        <f t="shared" ca="1" si="12"/>
        <v>,-1</v>
      </c>
      <c r="E70" s="1" t="str">
        <f t="shared" ca="1" si="12"/>
        <v>,-1</v>
      </c>
      <c r="F70" s="1" t="str">
        <f t="shared" ca="1" si="12"/>
        <v>,-1</v>
      </c>
      <c r="G70" s="1" t="str">
        <f t="shared" ca="1" si="12"/>
        <v>,-1</v>
      </c>
      <c r="H70" s="1" t="str">
        <f t="shared" ca="1" si="12"/>
        <v>,1</v>
      </c>
      <c r="I70" s="1" t="str">
        <f t="shared" ca="1" si="12"/>
        <v>,1</v>
      </c>
      <c r="J70" s="1" t="str">
        <f t="shared" ca="1" si="12"/>
        <v>,0</v>
      </c>
      <c r="K70" s="1" t="str">
        <f t="shared" ca="1" si="12"/>
        <v>,1</v>
      </c>
    </row>
    <row r="73" spans="1:41" ht="15.75" customHeight="1">
      <c r="A73" s="1">
        <v>40</v>
      </c>
      <c r="B73" s="1">
        <v>1</v>
      </c>
      <c r="C73" s="1">
        <v>2</v>
      </c>
      <c r="D73" s="1">
        <v>3</v>
      </c>
      <c r="E73" s="1">
        <v>4</v>
      </c>
      <c r="F73" s="1">
        <v>5</v>
      </c>
      <c r="G73" s="1">
        <v>6</v>
      </c>
      <c r="H73" s="1">
        <v>7</v>
      </c>
      <c r="I73" s="1">
        <v>8</v>
      </c>
      <c r="J73" s="1">
        <v>9</v>
      </c>
      <c r="K73" s="1">
        <v>10</v>
      </c>
      <c r="L73" s="1">
        <v>11</v>
      </c>
      <c r="M73" s="1">
        <v>12</v>
      </c>
      <c r="N73" s="1">
        <v>13</v>
      </c>
      <c r="O73" s="1">
        <v>14</v>
      </c>
      <c r="P73" s="1">
        <v>15</v>
      </c>
      <c r="Q73" s="1">
        <v>16</v>
      </c>
      <c r="R73" s="1">
        <v>17</v>
      </c>
      <c r="S73" s="1">
        <v>18</v>
      </c>
      <c r="T73" s="1">
        <v>19</v>
      </c>
      <c r="U73" s="1">
        <v>20</v>
      </c>
      <c r="V73" s="1">
        <v>21</v>
      </c>
      <c r="W73" s="1">
        <v>22</v>
      </c>
      <c r="X73" s="1">
        <v>23</v>
      </c>
      <c r="Y73" s="1">
        <v>24</v>
      </c>
      <c r="Z73" s="1">
        <v>25</v>
      </c>
      <c r="AA73" s="1">
        <v>26</v>
      </c>
      <c r="AB73" s="1">
        <v>27</v>
      </c>
      <c r="AC73" s="1">
        <v>28</v>
      </c>
      <c r="AD73" s="1">
        <v>29</v>
      </c>
      <c r="AE73" s="1">
        <v>30</v>
      </c>
      <c r="AF73" s="1">
        <v>31</v>
      </c>
      <c r="AG73" s="1">
        <v>32</v>
      </c>
      <c r="AH73" s="1">
        <v>33</v>
      </c>
      <c r="AI73" s="1">
        <v>34</v>
      </c>
      <c r="AJ73" s="1">
        <v>35</v>
      </c>
      <c r="AK73" s="1">
        <v>36</v>
      </c>
      <c r="AL73" s="1">
        <v>37</v>
      </c>
      <c r="AM73" s="1">
        <v>38</v>
      </c>
      <c r="AN73" s="1">
        <v>39</v>
      </c>
      <c r="AO73" s="1">
        <v>40</v>
      </c>
    </row>
    <row r="74" spans="1:41" ht="15.75" customHeight="1">
      <c r="A74" s="1">
        <v>1</v>
      </c>
      <c r="B74" s="1" t="str">
        <f t="shared" ref="B74:AO74" ca="1" si="13">_xlfn.TEXTJOIN(",",FALSE,"",RANDBETWEEN(-1,1))</f>
        <v>,-1</v>
      </c>
      <c r="C74" s="1" t="str">
        <f t="shared" ca="1" si="13"/>
        <v>,1</v>
      </c>
      <c r="D74" s="1" t="str">
        <f t="shared" ca="1" si="13"/>
        <v>,-1</v>
      </c>
      <c r="E74" s="1" t="str">
        <f t="shared" ca="1" si="13"/>
        <v>,-1</v>
      </c>
      <c r="F74" s="1" t="str">
        <f t="shared" ca="1" si="13"/>
        <v>,0</v>
      </c>
      <c r="G74" s="1" t="str">
        <f t="shared" ca="1" si="13"/>
        <v>,1</v>
      </c>
      <c r="H74" s="1" t="str">
        <f t="shared" ca="1" si="13"/>
        <v>,-1</v>
      </c>
      <c r="I74" s="1" t="str">
        <f t="shared" ca="1" si="13"/>
        <v>,0</v>
      </c>
      <c r="J74" s="1" t="str">
        <f t="shared" ca="1" si="13"/>
        <v>,1</v>
      </c>
      <c r="K74" s="1" t="str">
        <f t="shared" ca="1" si="13"/>
        <v>,0</v>
      </c>
      <c r="L74" s="1" t="str">
        <f t="shared" ca="1" si="13"/>
        <v>,-1</v>
      </c>
      <c r="M74" s="1" t="str">
        <f t="shared" ca="1" si="13"/>
        <v>,0</v>
      </c>
      <c r="N74" s="1" t="str">
        <f t="shared" ca="1" si="13"/>
        <v>,0</v>
      </c>
      <c r="O74" s="1" t="str">
        <f t="shared" ca="1" si="13"/>
        <v>,-1</v>
      </c>
      <c r="P74" s="1" t="str">
        <f t="shared" ca="1" si="13"/>
        <v>,1</v>
      </c>
      <c r="Q74" s="1" t="str">
        <f t="shared" ca="1" si="13"/>
        <v>,0</v>
      </c>
      <c r="R74" s="1" t="str">
        <f t="shared" ca="1" si="13"/>
        <v>,-1</v>
      </c>
      <c r="S74" s="1" t="str">
        <f t="shared" ca="1" si="13"/>
        <v>,-1</v>
      </c>
      <c r="T74" s="1" t="str">
        <f t="shared" ca="1" si="13"/>
        <v>,1</v>
      </c>
      <c r="U74" s="1" t="str">
        <f t="shared" ca="1" si="13"/>
        <v>,1</v>
      </c>
      <c r="V74" s="1" t="str">
        <f t="shared" ca="1" si="13"/>
        <v>,-1</v>
      </c>
      <c r="W74" s="1" t="str">
        <f t="shared" ca="1" si="13"/>
        <v>,0</v>
      </c>
      <c r="X74" s="1" t="str">
        <f t="shared" ca="1" si="13"/>
        <v>,0</v>
      </c>
      <c r="Y74" s="1" t="str">
        <f t="shared" ca="1" si="13"/>
        <v>,1</v>
      </c>
      <c r="Z74" s="1" t="str">
        <f t="shared" ca="1" si="13"/>
        <v>,-1</v>
      </c>
      <c r="AA74" s="1" t="str">
        <f t="shared" ca="1" si="13"/>
        <v>,1</v>
      </c>
      <c r="AB74" s="1" t="str">
        <f t="shared" ca="1" si="13"/>
        <v>,0</v>
      </c>
      <c r="AC74" s="1" t="str">
        <f t="shared" ca="1" si="13"/>
        <v>,1</v>
      </c>
      <c r="AD74" s="1" t="str">
        <f t="shared" ca="1" si="13"/>
        <v>,-1</v>
      </c>
      <c r="AE74" s="1" t="str">
        <f t="shared" ca="1" si="13"/>
        <v>,1</v>
      </c>
      <c r="AF74" s="1" t="str">
        <f t="shared" ca="1" si="13"/>
        <v>,0</v>
      </c>
      <c r="AG74" s="1" t="str">
        <f t="shared" ca="1" si="13"/>
        <v>,0</v>
      </c>
      <c r="AH74" s="1" t="str">
        <f t="shared" ca="1" si="13"/>
        <v>,1</v>
      </c>
      <c r="AI74" s="1" t="str">
        <f t="shared" ca="1" si="13"/>
        <v>,1</v>
      </c>
      <c r="AJ74" s="1" t="str">
        <f t="shared" ca="1" si="13"/>
        <v>,-1</v>
      </c>
      <c r="AK74" s="1" t="str">
        <f t="shared" ca="1" si="13"/>
        <v>,0</v>
      </c>
      <c r="AL74" s="1" t="str">
        <f t="shared" ca="1" si="13"/>
        <v>,1</v>
      </c>
      <c r="AM74" s="1" t="str">
        <f t="shared" ca="1" si="13"/>
        <v>,-1</v>
      </c>
      <c r="AN74" s="1" t="str">
        <f t="shared" ca="1" si="13"/>
        <v>,1</v>
      </c>
      <c r="AO74" s="1" t="str">
        <f t="shared" ca="1" si="13"/>
        <v>,1</v>
      </c>
    </row>
    <row r="75" spans="1:41" ht="15.75" customHeight="1">
      <c r="A75" s="1">
        <v>2</v>
      </c>
      <c r="B75" s="1" t="str">
        <f ca="1">_xlfn.TEXTJOIN(",",TRUE,RANDBETWEEN(-1,1),RANDBETWEEN(-1,1))</f>
        <v>0,1</v>
      </c>
      <c r="C75" s="1" t="str">
        <f ca="1">_xlfn.TEXTJOIN(",",TRUE,RANDBETWEEN(-1,1),RANDBETWEEN(-1,1))</f>
        <v>-1,-1</v>
      </c>
      <c r="D75" s="1" t="str">
        <f ca="1">_xlfn.TEXTJOIN(",",TRUE,RANDBETWEEN(-1,1),RANDBETWEEN(-1,1))</f>
        <v>0,0</v>
      </c>
      <c r="E75" s="1" t="str">
        <f ca="1">_xlfn.TEXTJOIN(",",TRUE,RANDBETWEEN(-1,1),RANDBETWEEN(-1,1))</f>
        <v>1,-1</v>
      </c>
      <c r="F75" s="1" t="str">
        <f ca="1">_xlfn.TEXTJOIN(",",TRUE,RANDBETWEEN(-1,1),RANDBETWEEN(-1,1))</f>
        <v>1,-1</v>
      </c>
      <c r="G75" s="1" t="str">
        <f ca="1">_xlfn.TEXTJOIN(",",TRUE,RANDBETWEEN(-1,1),RANDBETWEEN(-1,1))</f>
        <v>1,0</v>
      </c>
      <c r="H75" s="1" t="str">
        <f ca="1">_xlfn.TEXTJOIN(",",TRUE,RANDBETWEEN(-1,1),RANDBETWEEN(-1,1))</f>
        <v>-1,0</v>
      </c>
      <c r="I75" s="1" t="str">
        <f ca="1">_xlfn.TEXTJOIN(",",TRUE,RANDBETWEEN(-1,1),RANDBETWEEN(-1,1))</f>
        <v>0,0</v>
      </c>
      <c r="J75" s="1" t="str">
        <f ca="1">_xlfn.TEXTJOIN(",",TRUE,RANDBETWEEN(-1,1),RANDBETWEEN(-1,1))</f>
        <v>-1,0</v>
      </c>
      <c r="K75" s="1" t="str">
        <f ca="1">_xlfn.TEXTJOIN(",",TRUE,RANDBETWEEN(-1,1),RANDBETWEEN(-1,1))</f>
        <v>0,0</v>
      </c>
      <c r="L75" s="1" t="str">
        <f ca="1">_xlfn.TEXTJOIN(",",TRUE,RANDBETWEEN(-1,1),RANDBETWEEN(-1,1))</f>
        <v>0,-1</v>
      </c>
      <c r="M75" s="1" t="str">
        <f ca="1">_xlfn.TEXTJOIN(",",TRUE,RANDBETWEEN(-1,1),RANDBETWEEN(-1,1))</f>
        <v>1,0</v>
      </c>
      <c r="N75" s="1" t="str">
        <f ca="1">_xlfn.TEXTJOIN(",",TRUE,RANDBETWEEN(-1,1),RANDBETWEEN(-1,1))</f>
        <v>0,1</v>
      </c>
      <c r="O75" s="1" t="str">
        <f ca="1">_xlfn.TEXTJOIN(",",TRUE,RANDBETWEEN(-1,1),RANDBETWEEN(-1,1))</f>
        <v>1,-1</v>
      </c>
      <c r="P75" s="1" t="str">
        <f ca="1">_xlfn.TEXTJOIN(",",TRUE,RANDBETWEEN(-1,1),RANDBETWEEN(-1,1))</f>
        <v>-1,0</v>
      </c>
      <c r="Q75" s="1" t="str">
        <f ca="1">_xlfn.TEXTJOIN(",",TRUE,RANDBETWEEN(-1,1),RANDBETWEEN(-1,1))</f>
        <v>0,0</v>
      </c>
      <c r="R75" s="1" t="str">
        <f ca="1">_xlfn.TEXTJOIN(",",TRUE,RANDBETWEEN(-1,1),RANDBETWEEN(-1,1))</f>
        <v>1,0</v>
      </c>
      <c r="S75" s="1" t="str">
        <f ca="1">_xlfn.TEXTJOIN(",",TRUE,RANDBETWEEN(-1,1),RANDBETWEEN(-1,1))</f>
        <v>1,-1</v>
      </c>
      <c r="T75" s="1" t="str">
        <f ca="1">_xlfn.TEXTJOIN(",",TRUE,RANDBETWEEN(-1,1),RANDBETWEEN(-1,1))</f>
        <v>1,-1</v>
      </c>
      <c r="U75" s="1" t="str">
        <f ca="1">_xlfn.TEXTJOIN(",",TRUE,RANDBETWEEN(-1,1),RANDBETWEEN(-1,1))</f>
        <v>0,1</v>
      </c>
      <c r="V75" s="1" t="str">
        <f ca="1">_xlfn.TEXTJOIN(",",TRUE,RANDBETWEEN(-1,1),RANDBETWEEN(-1,1))</f>
        <v>0,1</v>
      </c>
      <c r="W75" s="1" t="str">
        <f ca="1">_xlfn.TEXTJOIN(",",TRUE,RANDBETWEEN(-1,1),RANDBETWEEN(-1,1))</f>
        <v>0,1</v>
      </c>
      <c r="X75" s="1" t="str">
        <f ca="1">_xlfn.TEXTJOIN(",",TRUE,RANDBETWEEN(-1,1),RANDBETWEEN(-1,1))</f>
        <v>1,1</v>
      </c>
      <c r="Y75" s="1" t="str">
        <f ca="1">_xlfn.TEXTJOIN(",",TRUE,RANDBETWEEN(-1,1),RANDBETWEEN(-1,1))</f>
        <v>-1,1</v>
      </c>
      <c r="Z75" s="1" t="str">
        <f ca="1">_xlfn.TEXTJOIN(",",TRUE,RANDBETWEEN(-1,1),RANDBETWEEN(-1,1))</f>
        <v>-1,-1</v>
      </c>
      <c r="AA75" s="1" t="str">
        <f ca="1">_xlfn.TEXTJOIN(",",TRUE,RANDBETWEEN(-1,1),RANDBETWEEN(-1,1))</f>
        <v>1,0</v>
      </c>
      <c r="AB75" s="1" t="str">
        <f ca="1">_xlfn.TEXTJOIN(",",TRUE,RANDBETWEEN(-1,1),RANDBETWEEN(-1,1))</f>
        <v>-1,0</v>
      </c>
      <c r="AC75" s="1" t="str">
        <f ca="1">_xlfn.TEXTJOIN(",",TRUE,RANDBETWEEN(-1,1),RANDBETWEEN(-1,1))</f>
        <v>-1,-1</v>
      </c>
      <c r="AD75" s="1" t="str">
        <f ca="1">_xlfn.TEXTJOIN(",",TRUE,RANDBETWEEN(-1,1),RANDBETWEEN(-1,1))</f>
        <v>-1,1</v>
      </c>
      <c r="AE75" s="1" t="str">
        <f ca="1">_xlfn.TEXTJOIN(",",TRUE,RANDBETWEEN(-1,1),RANDBETWEEN(-1,1))</f>
        <v>-1,1</v>
      </c>
      <c r="AF75" s="1" t="str">
        <f ca="1">_xlfn.TEXTJOIN(",",TRUE,RANDBETWEEN(-1,1),RANDBETWEEN(-1,1))</f>
        <v>0,0</v>
      </c>
      <c r="AG75" s="1" t="str">
        <f ca="1">_xlfn.TEXTJOIN(",",TRUE,RANDBETWEEN(-1,1),RANDBETWEEN(-1,1))</f>
        <v>0,1</v>
      </c>
      <c r="AH75" s="1" t="str">
        <f ca="1">_xlfn.TEXTJOIN(",",TRUE,RANDBETWEEN(-1,1),RANDBETWEEN(-1,1))</f>
        <v>0,-1</v>
      </c>
      <c r="AI75" s="1" t="str">
        <f ca="1">_xlfn.TEXTJOIN(",",TRUE,RANDBETWEEN(-1,1),RANDBETWEEN(-1,1))</f>
        <v>0,1</v>
      </c>
      <c r="AJ75" s="1" t="str">
        <f ca="1">_xlfn.TEXTJOIN(",",TRUE,RANDBETWEEN(-1,1),RANDBETWEEN(-1,1))</f>
        <v>0,0</v>
      </c>
      <c r="AK75" s="1" t="str">
        <f ca="1">_xlfn.TEXTJOIN(",",TRUE,RANDBETWEEN(-1,1),RANDBETWEEN(-1,1))</f>
        <v>1,-1</v>
      </c>
      <c r="AL75" s="1" t="str">
        <f ca="1">_xlfn.TEXTJOIN(",",TRUE,RANDBETWEEN(-1,1),RANDBETWEEN(-1,1))</f>
        <v>1,-1</v>
      </c>
      <c r="AM75" s="1" t="str">
        <f ca="1">_xlfn.TEXTJOIN(",",TRUE,RANDBETWEEN(-1,1),RANDBETWEEN(-1,1))</f>
        <v>0,0</v>
      </c>
      <c r="AN75" s="1" t="str">
        <f ca="1">_xlfn.TEXTJOIN(",",TRUE,RANDBETWEEN(-1,1),RANDBETWEEN(-1,1))</f>
        <v>-1,0</v>
      </c>
      <c r="AO75" s="1" t="str">
        <f ca="1">_xlfn.TEXTJOIN(",",TRUE,RANDBETWEEN(-1,1),RANDBETWEEN(-1,1))</f>
        <v>-1,1</v>
      </c>
    </row>
    <row r="76" spans="1:41" ht="15.75" customHeight="1">
      <c r="A76" s="1">
        <v>3</v>
      </c>
      <c r="B76" s="1" t="str">
        <f ca="1">_xlfn.TEXTJOIN(",",TRUE,RANDBETWEEN(-1,1),RANDBETWEEN(-1,1))</f>
        <v>0,-1</v>
      </c>
      <c r="C76" s="1" t="str">
        <f ca="1">_xlfn.TEXTJOIN(",",TRUE,RANDBETWEEN(-1,1),RANDBETWEEN(-1,1))</f>
        <v>-1,0</v>
      </c>
      <c r="D76" s="1" t="str">
        <f ca="1">_xlfn.TEXTJOIN(",",TRUE,RANDBETWEEN(-1,1),RANDBETWEEN(-1,1))</f>
        <v>1,0</v>
      </c>
      <c r="E76" s="1" t="str">
        <f ca="1">_xlfn.TEXTJOIN(",",TRUE,RANDBETWEEN(-1,1),RANDBETWEEN(-1,1))</f>
        <v>0,0</v>
      </c>
      <c r="F76" s="1" t="str">
        <f ca="1">_xlfn.TEXTJOIN(",",TRUE,RANDBETWEEN(-1,1),RANDBETWEEN(-1,1))</f>
        <v>1,1</v>
      </c>
      <c r="G76" s="1" t="str">
        <f ca="1">_xlfn.TEXTJOIN(",",TRUE,RANDBETWEEN(-1,1),RANDBETWEEN(-1,1))</f>
        <v>0,-1</v>
      </c>
      <c r="H76" s="1" t="str">
        <f ca="1">_xlfn.TEXTJOIN(",",TRUE,RANDBETWEEN(-1,1),RANDBETWEEN(-1,1))</f>
        <v>0,-1</v>
      </c>
      <c r="I76" s="1" t="str">
        <f ca="1">_xlfn.TEXTJOIN(",",TRUE,RANDBETWEEN(-1,1),RANDBETWEEN(-1,1))</f>
        <v>1,-1</v>
      </c>
      <c r="J76" s="1" t="str">
        <f ca="1">_xlfn.TEXTJOIN(",",TRUE,RANDBETWEEN(-1,1),RANDBETWEEN(-1,1))</f>
        <v>0,1</v>
      </c>
      <c r="K76" s="1" t="str">
        <f ca="1">_xlfn.TEXTJOIN(",",TRUE,RANDBETWEEN(-1,1),RANDBETWEEN(-1,1))</f>
        <v>1,1</v>
      </c>
      <c r="L76" s="1" t="str">
        <f ca="1">_xlfn.TEXTJOIN(",",TRUE,RANDBETWEEN(-1,1),RANDBETWEEN(-1,1))</f>
        <v>-1,0</v>
      </c>
      <c r="M76" s="1" t="str">
        <f ca="1">_xlfn.TEXTJOIN(",",TRUE,RANDBETWEEN(-1,1),RANDBETWEEN(-1,1))</f>
        <v>1,0</v>
      </c>
      <c r="N76" s="1" t="str">
        <f ca="1">_xlfn.TEXTJOIN(",",TRUE,RANDBETWEEN(-1,1),RANDBETWEEN(-1,1))</f>
        <v>1,1</v>
      </c>
      <c r="O76" s="1" t="str">
        <f ca="1">_xlfn.TEXTJOIN(",",TRUE,RANDBETWEEN(-1,1),RANDBETWEEN(-1,1))</f>
        <v>1,0</v>
      </c>
      <c r="P76" s="1" t="str">
        <f ca="1">_xlfn.TEXTJOIN(",",TRUE,RANDBETWEEN(-1,1),RANDBETWEEN(-1,1))</f>
        <v>-1,0</v>
      </c>
      <c r="Q76" s="1" t="str">
        <f ca="1">_xlfn.TEXTJOIN(",",TRUE,RANDBETWEEN(-1,1),RANDBETWEEN(-1,1))</f>
        <v>-1,0</v>
      </c>
      <c r="R76" s="1" t="str">
        <f ca="1">_xlfn.TEXTJOIN(",",TRUE,RANDBETWEEN(-1,1),RANDBETWEEN(-1,1))</f>
        <v>1,-1</v>
      </c>
      <c r="S76" s="1" t="str">
        <f ca="1">_xlfn.TEXTJOIN(",",TRUE,RANDBETWEEN(-1,1),RANDBETWEEN(-1,1))</f>
        <v>-1,0</v>
      </c>
      <c r="T76" s="1" t="str">
        <f ca="1">_xlfn.TEXTJOIN(",",TRUE,RANDBETWEEN(-1,1),RANDBETWEEN(-1,1))</f>
        <v>-1,-1</v>
      </c>
      <c r="U76" s="1" t="str">
        <f ca="1">_xlfn.TEXTJOIN(",",TRUE,RANDBETWEEN(-1,1),RANDBETWEEN(-1,1))</f>
        <v>0,-1</v>
      </c>
      <c r="V76" s="1" t="str">
        <f ca="1">_xlfn.TEXTJOIN(",",TRUE,RANDBETWEEN(-1,1),RANDBETWEEN(-1,1))</f>
        <v>-1,1</v>
      </c>
      <c r="W76" s="1" t="str">
        <f ca="1">_xlfn.TEXTJOIN(",",TRUE,RANDBETWEEN(-1,1),RANDBETWEEN(-1,1))</f>
        <v>0,-1</v>
      </c>
      <c r="X76" s="1" t="str">
        <f ca="1">_xlfn.TEXTJOIN(",",TRUE,RANDBETWEEN(-1,1),RANDBETWEEN(-1,1))</f>
        <v>-1,1</v>
      </c>
      <c r="Y76" s="1" t="str">
        <f ca="1">_xlfn.TEXTJOIN(",",TRUE,RANDBETWEEN(-1,1),RANDBETWEEN(-1,1))</f>
        <v>0,1</v>
      </c>
      <c r="Z76" s="1" t="str">
        <f ca="1">_xlfn.TEXTJOIN(",",TRUE,RANDBETWEEN(-1,1),RANDBETWEEN(-1,1))</f>
        <v>1,-1</v>
      </c>
      <c r="AA76" s="1" t="str">
        <f ca="1">_xlfn.TEXTJOIN(",",TRUE,RANDBETWEEN(-1,1),RANDBETWEEN(-1,1))</f>
        <v>0,1</v>
      </c>
      <c r="AB76" s="1" t="str">
        <f ca="1">_xlfn.TEXTJOIN(",",TRUE,RANDBETWEEN(-1,1),RANDBETWEEN(-1,1))</f>
        <v>1,1</v>
      </c>
      <c r="AC76" s="1" t="str">
        <f ca="1">_xlfn.TEXTJOIN(",",TRUE,RANDBETWEEN(-1,1),RANDBETWEEN(-1,1))</f>
        <v>1,-1</v>
      </c>
      <c r="AD76" s="1" t="str">
        <f ca="1">_xlfn.TEXTJOIN(",",TRUE,RANDBETWEEN(-1,1),RANDBETWEEN(-1,1))</f>
        <v>-1,0</v>
      </c>
      <c r="AE76" s="1" t="str">
        <f ca="1">_xlfn.TEXTJOIN(",",TRUE,RANDBETWEEN(-1,1),RANDBETWEEN(-1,1))</f>
        <v>0,0</v>
      </c>
      <c r="AF76" s="1" t="str">
        <f ca="1">_xlfn.TEXTJOIN(",",TRUE,RANDBETWEEN(-1,1),RANDBETWEEN(-1,1))</f>
        <v>0,-1</v>
      </c>
      <c r="AG76" s="1" t="str">
        <f ca="1">_xlfn.TEXTJOIN(",",TRUE,RANDBETWEEN(-1,1),RANDBETWEEN(-1,1))</f>
        <v>0,0</v>
      </c>
      <c r="AH76" s="1" t="str">
        <f ca="1">_xlfn.TEXTJOIN(",",TRUE,RANDBETWEEN(-1,1),RANDBETWEEN(-1,1))</f>
        <v>1,-1</v>
      </c>
      <c r="AI76" s="1" t="str">
        <f ca="1">_xlfn.TEXTJOIN(",",TRUE,RANDBETWEEN(-1,1),RANDBETWEEN(-1,1))</f>
        <v>1,0</v>
      </c>
      <c r="AJ76" s="1" t="str">
        <f ca="1">_xlfn.TEXTJOIN(",",TRUE,RANDBETWEEN(-1,1),RANDBETWEEN(-1,1))</f>
        <v>-1,0</v>
      </c>
      <c r="AK76" s="1" t="str">
        <f ca="1">_xlfn.TEXTJOIN(",",TRUE,RANDBETWEEN(-1,1),RANDBETWEEN(-1,1))</f>
        <v>-1,0</v>
      </c>
      <c r="AL76" s="1" t="str">
        <f ca="1">_xlfn.TEXTJOIN(",",TRUE,RANDBETWEEN(-1,1),RANDBETWEEN(-1,1))</f>
        <v>0,-1</v>
      </c>
      <c r="AM76" s="1" t="str">
        <f ca="1">_xlfn.TEXTJOIN(",",TRUE,RANDBETWEEN(-1,1),RANDBETWEEN(-1,1))</f>
        <v>1,1</v>
      </c>
      <c r="AN76" s="1" t="str">
        <f ca="1">_xlfn.TEXTJOIN(",",TRUE,RANDBETWEEN(-1,1),RANDBETWEEN(-1,1))</f>
        <v>0,0</v>
      </c>
      <c r="AO76" s="1" t="str">
        <f ca="1">_xlfn.TEXTJOIN(",",TRUE,RANDBETWEEN(-1,1),RANDBETWEEN(-1,1))</f>
        <v>-1,-1</v>
      </c>
    </row>
    <row r="77" spans="1:41" ht="15.75" customHeight="1">
      <c r="A77" s="1">
        <v>4</v>
      </c>
      <c r="B77" s="1" t="str">
        <f ca="1">_xlfn.TEXTJOIN(",",TRUE,RANDBETWEEN(-1,1),RANDBETWEEN(-1,1))</f>
        <v>1,0</v>
      </c>
      <c r="C77" s="1" t="str">
        <f ca="1">_xlfn.TEXTJOIN(",",TRUE,RANDBETWEEN(-1,1),RANDBETWEEN(-1,1))</f>
        <v>-1,1</v>
      </c>
      <c r="D77" s="1" t="str">
        <f ca="1">_xlfn.TEXTJOIN(",",TRUE,RANDBETWEEN(-1,1),RANDBETWEEN(-1,1))</f>
        <v>0,0</v>
      </c>
      <c r="E77" s="1" t="str">
        <f ca="1">_xlfn.TEXTJOIN(",",TRUE,RANDBETWEEN(-1,1),RANDBETWEEN(-1,1))</f>
        <v>1,-1</v>
      </c>
      <c r="F77" s="1" t="str">
        <f ca="1">_xlfn.TEXTJOIN(",",TRUE,RANDBETWEEN(-1,1),RANDBETWEEN(-1,1))</f>
        <v>-1,1</v>
      </c>
      <c r="G77" s="1" t="str">
        <f ca="1">_xlfn.TEXTJOIN(",",TRUE,RANDBETWEEN(-1,1),RANDBETWEEN(-1,1))</f>
        <v>-1,-1</v>
      </c>
      <c r="H77" s="1" t="str">
        <f ca="1">_xlfn.TEXTJOIN(",",TRUE,RANDBETWEEN(-1,1),RANDBETWEEN(-1,1))</f>
        <v>0,1</v>
      </c>
      <c r="I77" s="1" t="str">
        <f ca="1">_xlfn.TEXTJOIN(",",TRUE,RANDBETWEEN(-1,1),RANDBETWEEN(-1,1))</f>
        <v>1,-1</v>
      </c>
      <c r="J77" s="1" t="str">
        <f ca="1">_xlfn.TEXTJOIN(",",TRUE,RANDBETWEEN(-1,1),RANDBETWEEN(-1,1))</f>
        <v>-1,0</v>
      </c>
      <c r="K77" s="1" t="str">
        <f ca="1">_xlfn.TEXTJOIN(",",TRUE,RANDBETWEEN(-1,1),RANDBETWEEN(-1,1))</f>
        <v>-1,0</v>
      </c>
      <c r="L77" s="1" t="str">
        <f ca="1">_xlfn.TEXTJOIN(",",TRUE,RANDBETWEEN(-1,1),RANDBETWEEN(-1,1))</f>
        <v>0,0</v>
      </c>
      <c r="M77" s="1" t="str">
        <f ca="1">_xlfn.TEXTJOIN(",",TRUE,RANDBETWEEN(-1,1),RANDBETWEEN(-1,1))</f>
        <v>0,-1</v>
      </c>
      <c r="N77" s="1" t="str">
        <f ca="1">_xlfn.TEXTJOIN(",",TRUE,RANDBETWEEN(-1,1),RANDBETWEEN(-1,1))</f>
        <v>1,-1</v>
      </c>
      <c r="O77" s="1" t="str">
        <f ca="1">_xlfn.TEXTJOIN(",",TRUE,RANDBETWEEN(-1,1),RANDBETWEEN(-1,1))</f>
        <v>0,-1</v>
      </c>
      <c r="P77" s="1" t="str">
        <f ca="1">_xlfn.TEXTJOIN(",",TRUE,RANDBETWEEN(-1,1),RANDBETWEEN(-1,1))</f>
        <v>1,0</v>
      </c>
      <c r="Q77" s="1" t="str">
        <f ca="1">_xlfn.TEXTJOIN(",",TRUE,RANDBETWEEN(-1,1),RANDBETWEEN(-1,1))</f>
        <v>-1,-1</v>
      </c>
      <c r="R77" s="1" t="str">
        <f ca="1">_xlfn.TEXTJOIN(",",TRUE,RANDBETWEEN(-1,1),RANDBETWEEN(-1,1))</f>
        <v>0,0</v>
      </c>
      <c r="S77" s="1" t="str">
        <f ca="1">_xlfn.TEXTJOIN(",",TRUE,RANDBETWEEN(-1,1),RANDBETWEEN(-1,1))</f>
        <v>-1,-1</v>
      </c>
      <c r="T77" s="1" t="str">
        <f ca="1">_xlfn.TEXTJOIN(",",TRUE,RANDBETWEEN(-1,1),RANDBETWEEN(-1,1))</f>
        <v>1,0</v>
      </c>
      <c r="U77" s="1" t="str">
        <f ca="1">_xlfn.TEXTJOIN(",",TRUE,RANDBETWEEN(-1,1),RANDBETWEEN(-1,1))</f>
        <v>0,0</v>
      </c>
      <c r="V77" s="1" t="str">
        <f ca="1">_xlfn.TEXTJOIN(",",TRUE,RANDBETWEEN(-1,1),RANDBETWEEN(-1,1))</f>
        <v>-1,1</v>
      </c>
      <c r="W77" s="1" t="str">
        <f ca="1">_xlfn.TEXTJOIN(",",TRUE,RANDBETWEEN(-1,1),RANDBETWEEN(-1,1))</f>
        <v>-1,-1</v>
      </c>
      <c r="X77" s="1" t="str">
        <f ca="1">_xlfn.TEXTJOIN(",",TRUE,RANDBETWEEN(-1,1),RANDBETWEEN(-1,1))</f>
        <v>0,1</v>
      </c>
      <c r="Y77" s="1" t="str">
        <f ca="1">_xlfn.TEXTJOIN(",",TRUE,RANDBETWEEN(-1,1),RANDBETWEEN(-1,1))</f>
        <v>1,1</v>
      </c>
      <c r="Z77" s="1" t="str">
        <f ca="1">_xlfn.TEXTJOIN(",",TRUE,RANDBETWEEN(-1,1),RANDBETWEEN(-1,1))</f>
        <v>-1,1</v>
      </c>
      <c r="AA77" s="1" t="str">
        <f ca="1">_xlfn.TEXTJOIN(",",TRUE,RANDBETWEEN(-1,1),RANDBETWEEN(-1,1))</f>
        <v>1,0</v>
      </c>
      <c r="AB77" s="1" t="str">
        <f ca="1">_xlfn.TEXTJOIN(",",TRUE,RANDBETWEEN(-1,1),RANDBETWEEN(-1,1))</f>
        <v>-1,1</v>
      </c>
      <c r="AC77" s="1" t="str">
        <f ca="1">_xlfn.TEXTJOIN(",",TRUE,RANDBETWEEN(-1,1),RANDBETWEEN(-1,1))</f>
        <v>1,0</v>
      </c>
      <c r="AD77" s="1" t="str">
        <f ca="1">_xlfn.TEXTJOIN(",",TRUE,RANDBETWEEN(-1,1),RANDBETWEEN(-1,1))</f>
        <v>1,-1</v>
      </c>
      <c r="AE77" s="1" t="str">
        <f ca="1">_xlfn.TEXTJOIN(",",TRUE,RANDBETWEEN(-1,1),RANDBETWEEN(-1,1))</f>
        <v>-1,1</v>
      </c>
      <c r="AF77" s="1" t="str">
        <f ca="1">_xlfn.TEXTJOIN(",",TRUE,RANDBETWEEN(-1,1),RANDBETWEEN(-1,1))</f>
        <v>-1,0</v>
      </c>
      <c r="AG77" s="1" t="str">
        <f ca="1">_xlfn.TEXTJOIN(",",TRUE,RANDBETWEEN(-1,1),RANDBETWEEN(-1,1))</f>
        <v>0,0</v>
      </c>
      <c r="AH77" s="1" t="str">
        <f ca="1">_xlfn.TEXTJOIN(",",TRUE,RANDBETWEEN(-1,1),RANDBETWEEN(-1,1))</f>
        <v>-1,-1</v>
      </c>
      <c r="AI77" s="1" t="str">
        <f ca="1">_xlfn.TEXTJOIN(",",TRUE,RANDBETWEEN(-1,1),RANDBETWEEN(-1,1))</f>
        <v>0,0</v>
      </c>
      <c r="AJ77" s="1" t="str">
        <f ca="1">_xlfn.TEXTJOIN(",",TRUE,RANDBETWEEN(-1,1),RANDBETWEEN(-1,1))</f>
        <v>-1,0</v>
      </c>
      <c r="AK77" s="1" t="str">
        <f ca="1">_xlfn.TEXTJOIN(",",TRUE,RANDBETWEEN(-1,1),RANDBETWEEN(-1,1))</f>
        <v>-1,-1</v>
      </c>
      <c r="AL77" s="1" t="str">
        <f ca="1">_xlfn.TEXTJOIN(",",TRUE,RANDBETWEEN(-1,1),RANDBETWEEN(-1,1))</f>
        <v>1,0</v>
      </c>
      <c r="AM77" s="1" t="str">
        <f ca="1">_xlfn.TEXTJOIN(",",TRUE,RANDBETWEEN(-1,1),RANDBETWEEN(-1,1))</f>
        <v>0,1</v>
      </c>
      <c r="AN77" s="1" t="str">
        <f ca="1">_xlfn.TEXTJOIN(",",TRUE,RANDBETWEEN(-1,1),RANDBETWEEN(-1,1))</f>
        <v>1,0</v>
      </c>
      <c r="AO77" s="1" t="str">
        <f ca="1">_xlfn.TEXTJOIN(",",TRUE,RANDBETWEEN(-1,1),RANDBETWEEN(-1,1))</f>
        <v>-1,1</v>
      </c>
    </row>
    <row r="78" spans="1:41" ht="15.75" customHeight="1">
      <c r="A78" s="1">
        <v>5</v>
      </c>
      <c r="B78" s="1" t="str">
        <f ca="1">_xlfn.TEXTJOIN(",",TRUE,RANDBETWEEN(-1,1),RANDBETWEEN(-1,1))</f>
        <v>-1,-1</v>
      </c>
      <c r="C78" s="1" t="str">
        <f ca="1">_xlfn.TEXTJOIN(",",TRUE,RANDBETWEEN(-1,1),RANDBETWEEN(-1,1))</f>
        <v>1,1</v>
      </c>
      <c r="D78" s="1" t="str">
        <f ca="1">_xlfn.TEXTJOIN(",",TRUE,RANDBETWEEN(-1,1),RANDBETWEEN(-1,1))</f>
        <v>-1,1</v>
      </c>
      <c r="E78" s="1" t="str">
        <f ca="1">_xlfn.TEXTJOIN(",",TRUE,RANDBETWEEN(-1,1),RANDBETWEEN(-1,1))</f>
        <v>-1,0</v>
      </c>
      <c r="F78" s="1" t="str">
        <f ca="1">_xlfn.TEXTJOIN(",",TRUE,RANDBETWEEN(-1,1),RANDBETWEEN(-1,1))</f>
        <v>1,1</v>
      </c>
      <c r="G78" s="1" t="str">
        <f ca="1">_xlfn.TEXTJOIN(",",TRUE,RANDBETWEEN(-1,1),RANDBETWEEN(-1,1))</f>
        <v>0,0</v>
      </c>
      <c r="H78" s="1" t="str">
        <f ca="1">_xlfn.TEXTJOIN(",",TRUE,RANDBETWEEN(-1,1),RANDBETWEEN(-1,1))</f>
        <v>0,1</v>
      </c>
      <c r="I78" s="1" t="str">
        <f ca="1">_xlfn.TEXTJOIN(",",TRUE,RANDBETWEEN(-1,1),RANDBETWEEN(-1,1))</f>
        <v>0,-1</v>
      </c>
      <c r="J78" s="1" t="str">
        <f ca="1">_xlfn.TEXTJOIN(",",TRUE,RANDBETWEEN(-1,1),RANDBETWEEN(-1,1))</f>
        <v>1,1</v>
      </c>
      <c r="K78" s="1" t="str">
        <f ca="1">_xlfn.TEXTJOIN(",",TRUE,RANDBETWEEN(-1,1),RANDBETWEEN(-1,1))</f>
        <v>0,0</v>
      </c>
      <c r="L78" s="1" t="str">
        <f ca="1">_xlfn.TEXTJOIN(",",TRUE,RANDBETWEEN(-1,1),RANDBETWEEN(-1,1))</f>
        <v>-1,1</v>
      </c>
      <c r="M78" s="1" t="str">
        <f ca="1">_xlfn.TEXTJOIN(",",TRUE,RANDBETWEEN(-1,1),RANDBETWEEN(-1,1))</f>
        <v>1,0</v>
      </c>
      <c r="N78" s="1" t="str">
        <f ca="1">_xlfn.TEXTJOIN(",",TRUE,RANDBETWEEN(-1,1),RANDBETWEEN(-1,1))</f>
        <v>-1,1</v>
      </c>
      <c r="O78" s="1" t="str">
        <f ca="1">_xlfn.TEXTJOIN(",",TRUE,RANDBETWEEN(-1,1),RANDBETWEEN(-1,1))</f>
        <v>0,0</v>
      </c>
      <c r="P78" s="1" t="str">
        <f ca="1">_xlfn.TEXTJOIN(",",TRUE,RANDBETWEEN(-1,1),RANDBETWEEN(-1,1))</f>
        <v>1,-1</v>
      </c>
      <c r="Q78" s="1" t="str">
        <f ca="1">_xlfn.TEXTJOIN(",",TRUE,RANDBETWEEN(-1,1),RANDBETWEEN(-1,1))</f>
        <v>0,1</v>
      </c>
      <c r="R78" s="1" t="str">
        <f ca="1">_xlfn.TEXTJOIN(",",TRUE,RANDBETWEEN(-1,1),RANDBETWEEN(-1,1))</f>
        <v>0,0</v>
      </c>
      <c r="S78" s="1" t="str">
        <f ca="1">_xlfn.TEXTJOIN(",",TRUE,RANDBETWEEN(-1,1),RANDBETWEEN(-1,1))</f>
        <v>1,1</v>
      </c>
      <c r="T78" s="1" t="str">
        <f ca="1">_xlfn.TEXTJOIN(",",TRUE,RANDBETWEEN(-1,1),RANDBETWEEN(-1,1))</f>
        <v>1,-1</v>
      </c>
      <c r="U78" s="1" t="str">
        <f ca="1">_xlfn.TEXTJOIN(",",TRUE,RANDBETWEEN(-1,1),RANDBETWEEN(-1,1))</f>
        <v>-1,1</v>
      </c>
      <c r="V78" s="1" t="str">
        <f ca="1">_xlfn.TEXTJOIN(",",TRUE,RANDBETWEEN(-1,1),RANDBETWEEN(-1,1))</f>
        <v>1,-1</v>
      </c>
      <c r="W78" s="1" t="str">
        <f ca="1">_xlfn.TEXTJOIN(",",TRUE,RANDBETWEEN(-1,1),RANDBETWEEN(-1,1))</f>
        <v>1,-1</v>
      </c>
      <c r="X78" s="1" t="str">
        <f ca="1">_xlfn.TEXTJOIN(",",TRUE,RANDBETWEEN(-1,1),RANDBETWEEN(-1,1))</f>
        <v>1,-1</v>
      </c>
      <c r="Y78" s="1" t="str">
        <f ca="1">_xlfn.TEXTJOIN(",",TRUE,RANDBETWEEN(-1,1),RANDBETWEEN(-1,1))</f>
        <v>1,1</v>
      </c>
      <c r="Z78" s="1" t="str">
        <f ca="1">_xlfn.TEXTJOIN(",",TRUE,RANDBETWEEN(-1,1),RANDBETWEEN(-1,1))</f>
        <v>0,0</v>
      </c>
      <c r="AA78" s="1" t="str">
        <f ca="1">_xlfn.TEXTJOIN(",",TRUE,RANDBETWEEN(-1,1),RANDBETWEEN(-1,1))</f>
        <v>-1,-1</v>
      </c>
      <c r="AB78" s="1" t="str">
        <f ca="1">_xlfn.TEXTJOIN(",",TRUE,RANDBETWEEN(-1,1),RANDBETWEEN(-1,1))</f>
        <v>0,0</v>
      </c>
      <c r="AC78" s="1" t="str">
        <f ca="1">_xlfn.TEXTJOIN(",",TRUE,RANDBETWEEN(-1,1),RANDBETWEEN(-1,1))</f>
        <v>0,1</v>
      </c>
      <c r="AD78" s="1" t="str">
        <f ca="1">_xlfn.TEXTJOIN(",",TRUE,RANDBETWEEN(-1,1),RANDBETWEEN(-1,1))</f>
        <v>-1,-1</v>
      </c>
      <c r="AE78" s="1" t="str">
        <f ca="1">_xlfn.TEXTJOIN(",",TRUE,RANDBETWEEN(-1,1),RANDBETWEEN(-1,1))</f>
        <v>-1,1</v>
      </c>
      <c r="AF78" s="1" t="str">
        <f ca="1">_xlfn.TEXTJOIN(",",TRUE,RANDBETWEEN(-1,1),RANDBETWEEN(-1,1))</f>
        <v>1,1</v>
      </c>
      <c r="AG78" s="1" t="str">
        <f ca="1">_xlfn.TEXTJOIN(",",TRUE,RANDBETWEEN(-1,1),RANDBETWEEN(-1,1))</f>
        <v>-1,-1</v>
      </c>
      <c r="AH78" s="1" t="str">
        <f ca="1">_xlfn.TEXTJOIN(",",TRUE,RANDBETWEEN(-1,1),RANDBETWEEN(-1,1))</f>
        <v>1,0</v>
      </c>
      <c r="AI78" s="1" t="str">
        <f ca="1">_xlfn.TEXTJOIN(",",TRUE,RANDBETWEEN(-1,1),RANDBETWEEN(-1,1))</f>
        <v>1,1</v>
      </c>
      <c r="AJ78" s="1" t="str">
        <f ca="1">_xlfn.TEXTJOIN(",",TRUE,RANDBETWEEN(-1,1),RANDBETWEEN(-1,1))</f>
        <v>1,1</v>
      </c>
      <c r="AK78" s="1" t="str">
        <f ca="1">_xlfn.TEXTJOIN(",",TRUE,RANDBETWEEN(-1,1),RANDBETWEEN(-1,1))</f>
        <v>1,-1</v>
      </c>
      <c r="AL78" s="1" t="str">
        <f ca="1">_xlfn.TEXTJOIN(",",TRUE,RANDBETWEEN(-1,1),RANDBETWEEN(-1,1))</f>
        <v>-1,1</v>
      </c>
      <c r="AM78" s="1" t="str">
        <f ca="1">_xlfn.TEXTJOIN(",",TRUE,RANDBETWEEN(-1,1),RANDBETWEEN(-1,1))</f>
        <v>1,-1</v>
      </c>
      <c r="AN78" s="1" t="str">
        <f ca="1">_xlfn.TEXTJOIN(",",TRUE,RANDBETWEEN(-1,1),RANDBETWEEN(-1,1))</f>
        <v>0,-1</v>
      </c>
      <c r="AO78" s="1" t="str">
        <f ca="1">_xlfn.TEXTJOIN(",",TRUE,RANDBETWEEN(-1,1),RANDBETWEEN(-1,1))</f>
        <v>-1,-1</v>
      </c>
    </row>
    <row r="79" spans="1:41" ht="15.75" customHeight="1">
      <c r="A79" s="1">
        <v>6</v>
      </c>
      <c r="B79" s="1" t="str">
        <f ca="1">_xlfn.TEXTJOIN(",",TRUE,RANDBETWEEN(-1,1),RANDBETWEEN(-1,1))</f>
        <v>-1,-1</v>
      </c>
      <c r="C79" s="1" t="str">
        <f ca="1">_xlfn.TEXTJOIN(",",TRUE,RANDBETWEEN(-1,1),RANDBETWEEN(-1,1))</f>
        <v>-1,1</v>
      </c>
      <c r="D79" s="1" t="str">
        <f ca="1">_xlfn.TEXTJOIN(",",TRUE,RANDBETWEEN(-1,1),RANDBETWEEN(-1,1))</f>
        <v>0,1</v>
      </c>
      <c r="E79" s="1" t="str">
        <f ca="1">_xlfn.TEXTJOIN(",",TRUE,RANDBETWEEN(-1,1),RANDBETWEEN(-1,1))</f>
        <v>-1,1</v>
      </c>
      <c r="F79" s="1" t="str">
        <f ca="1">_xlfn.TEXTJOIN(",",TRUE,RANDBETWEEN(-1,1),RANDBETWEEN(-1,1))</f>
        <v>1,0</v>
      </c>
      <c r="G79" s="1" t="str">
        <f ca="1">_xlfn.TEXTJOIN(",",TRUE,RANDBETWEEN(-1,1),RANDBETWEEN(-1,1))</f>
        <v>-1,1</v>
      </c>
      <c r="H79" s="1" t="str">
        <f ca="1">_xlfn.TEXTJOIN(",",TRUE,RANDBETWEEN(-1,1),RANDBETWEEN(-1,1))</f>
        <v>1,-1</v>
      </c>
      <c r="I79" s="1" t="str">
        <f ca="1">_xlfn.TEXTJOIN(",",TRUE,RANDBETWEEN(-1,1),RANDBETWEEN(-1,1))</f>
        <v>-1,-1</v>
      </c>
      <c r="J79" s="1" t="str">
        <f ca="1">_xlfn.TEXTJOIN(",",TRUE,RANDBETWEEN(-1,1),RANDBETWEEN(-1,1))</f>
        <v>0,0</v>
      </c>
      <c r="K79" s="1" t="str">
        <f ca="1">_xlfn.TEXTJOIN(",",TRUE,RANDBETWEEN(-1,1),RANDBETWEEN(-1,1))</f>
        <v>0,-1</v>
      </c>
      <c r="L79" s="1" t="str">
        <f ca="1">_xlfn.TEXTJOIN(",",TRUE,RANDBETWEEN(-1,1),RANDBETWEEN(-1,1))</f>
        <v>-1,1</v>
      </c>
      <c r="M79" s="1" t="str">
        <f ca="1">_xlfn.TEXTJOIN(",",TRUE,RANDBETWEEN(-1,1),RANDBETWEEN(-1,1))</f>
        <v>0,0</v>
      </c>
      <c r="N79" s="1" t="str">
        <f ca="1">_xlfn.TEXTJOIN(",",TRUE,RANDBETWEEN(-1,1),RANDBETWEEN(-1,1))</f>
        <v>0,1</v>
      </c>
      <c r="O79" s="1" t="str">
        <f ca="1">_xlfn.TEXTJOIN(",",TRUE,RANDBETWEEN(-1,1),RANDBETWEEN(-1,1))</f>
        <v>-1,-1</v>
      </c>
      <c r="P79" s="1" t="str">
        <f ca="1">_xlfn.TEXTJOIN(",",TRUE,RANDBETWEEN(-1,1),RANDBETWEEN(-1,1))</f>
        <v>1,0</v>
      </c>
      <c r="Q79" s="1" t="str">
        <f ca="1">_xlfn.TEXTJOIN(",",TRUE,RANDBETWEEN(-1,1),RANDBETWEEN(-1,1))</f>
        <v>0,-1</v>
      </c>
      <c r="R79" s="1" t="str">
        <f ca="1">_xlfn.TEXTJOIN(",",TRUE,RANDBETWEEN(-1,1),RANDBETWEEN(-1,1))</f>
        <v>-1,1</v>
      </c>
      <c r="S79" s="1" t="str">
        <f ca="1">_xlfn.TEXTJOIN(",",TRUE,RANDBETWEEN(-1,1),RANDBETWEEN(-1,1))</f>
        <v>1,1</v>
      </c>
      <c r="T79" s="1" t="str">
        <f ca="1">_xlfn.TEXTJOIN(",",TRUE,RANDBETWEEN(-1,1),RANDBETWEEN(-1,1))</f>
        <v>0,-1</v>
      </c>
      <c r="U79" s="1" t="str">
        <f ca="1">_xlfn.TEXTJOIN(",",TRUE,RANDBETWEEN(-1,1),RANDBETWEEN(-1,1))</f>
        <v>1,1</v>
      </c>
      <c r="V79" s="1" t="str">
        <f ca="1">_xlfn.TEXTJOIN(",",TRUE,RANDBETWEEN(-1,1),RANDBETWEEN(-1,1))</f>
        <v>1,0</v>
      </c>
      <c r="W79" s="1" t="str">
        <f ca="1">_xlfn.TEXTJOIN(",",TRUE,RANDBETWEEN(-1,1),RANDBETWEEN(-1,1))</f>
        <v>1,0</v>
      </c>
      <c r="X79" s="1" t="str">
        <f ca="1">_xlfn.TEXTJOIN(",",TRUE,RANDBETWEEN(-1,1),RANDBETWEEN(-1,1))</f>
        <v>-1,0</v>
      </c>
      <c r="Y79" s="1" t="str">
        <f ca="1">_xlfn.TEXTJOIN(",",TRUE,RANDBETWEEN(-1,1),RANDBETWEEN(-1,1))</f>
        <v>0,-1</v>
      </c>
      <c r="Z79" s="1" t="str">
        <f ca="1">_xlfn.TEXTJOIN(",",TRUE,RANDBETWEEN(-1,1),RANDBETWEEN(-1,1))</f>
        <v>0,0</v>
      </c>
      <c r="AA79" s="1" t="str">
        <f ca="1">_xlfn.TEXTJOIN(",",TRUE,RANDBETWEEN(-1,1),RANDBETWEEN(-1,1))</f>
        <v>1,-1</v>
      </c>
      <c r="AB79" s="1" t="str">
        <f ca="1">_xlfn.TEXTJOIN(",",TRUE,RANDBETWEEN(-1,1),RANDBETWEEN(-1,1))</f>
        <v>1,-1</v>
      </c>
      <c r="AC79" s="1" t="str">
        <f ca="1">_xlfn.TEXTJOIN(",",TRUE,RANDBETWEEN(-1,1),RANDBETWEEN(-1,1))</f>
        <v>0,0</v>
      </c>
      <c r="AD79" s="1" t="str">
        <f ca="1">_xlfn.TEXTJOIN(",",TRUE,RANDBETWEEN(-1,1),RANDBETWEEN(-1,1))</f>
        <v>1,0</v>
      </c>
      <c r="AE79" s="1" t="str">
        <f ca="1">_xlfn.TEXTJOIN(",",TRUE,RANDBETWEEN(-1,1),RANDBETWEEN(-1,1))</f>
        <v>1,-1</v>
      </c>
      <c r="AF79" s="1" t="str">
        <f ca="1">_xlfn.TEXTJOIN(",",TRUE,RANDBETWEEN(-1,1),RANDBETWEEN(-1,1))</f>
        <v>1,0</v>
      </c>
      <c r="AG79" s="1" t="str">
        <f ca="1">_xlfn.TEXTJOIN(",",TRUE,RANDBETWEEN(-1,1),RANDBETWEEN(-1,1))</f>
        <v>-1,1</v>
      </c>
      <c r="AH79" s="1" t="str">
        <f ca="1">_xlfn.TEXTJOIN(",",TRUE,RANDBETWEEN(-1,1),RANDBETWEEN(-1,1))</f>
        <v>-1,-1</v>
      </c>
      <c r="AI79" s="1" t="str">
        <f ca="1">_xlfn.TEXTJOIN(",",TRUE,RANDBETWEEN(-1,1),RANDBETWEEN(-1,1))</f>
        <v>1,0</v>
      </c>
      <c r="AJ79" s="1" t="str">
        <f ca="1">_xlfn.TEXTJOIN(",",TRUE,RANDBETWEEN(-1,1),RANDBETWEEN(-1,1))</f>
        <v>1,1</v>
      </c>
      <c r="AK79" s="1" t="str">
        <f ca="1">_xlfn.TEXTJOIN(",",TRUE,RANDBETWEEN(-1,1),RANDBETWEEN(-1,1))</f>
        <v>-1,0</v>
      </c>
      <c r="AL79" s="1" t="str">
        <f ca="1">_xlfn.TEXTJOIN(",",TRUE,RANDBETWEEN(-1,1),RANDBETWEEN(-1,1))</f>
        <v>-1,1</v>
      </c>
      <c r="AM79" s="1" t="str">
        <f ca="1">_xlfn.TEXTJOIN(",",TRUE,RANDBETWEEN(-1,1),RANDBETWEEN(-1,1))</f>
        <v>1,0</v>
      </c>
      <c r="AN79" s="1" t="str">
        <f ca="1">_xlfn.TEXTJOIN(",",TRUE,RANDBETWEEN(-1,1),RANDBETWEEN(-1,1))</f>
        <v>0,0</v>
      </c>
      <c r="AO79" s="1" t="str">
        <f ca="1">_xlfn.TEXTJOIN(",",TRUE,RANDBETWEEN(-1,1),RANDBETWEEN(-1,1))</f>
        <v>0,-1</v>
      </c>
    </row>
    <row r="80" spans="1:41" ht="15.75" customHeight="1">
      <c r="A80" s="1">
        <v>7</v>
      </c>
      <c r="B80" s="1" t="str">
        <f ca="1">_xlfn.TEXTJOIN(",",TRUE,RANDBETWEEN(-1,1),RANDBETWEEN(-1,1))</f>
        <v>1,-1</v>
      </c>
      <c r="C80" s="1" t="str">
        <f ca="1">_xlfn.TEXTJOIN(",",TRUE,RANDBETWEEN(-1,1),RANDBETWEEN(-1,1))</f>
        <v>0,1</v>
      </c>
      <c r="D80" s="1" t="str">
        <f ca="1">_xlfn.TEXTJOIN(",",TRUE,RANDBETWEEN(-1,1),RANDBETWEEN(-1,1))</f>
        <v>1,-1</v>
      </c>
      <c r="E80" s="1" t="str">
        <f ca="1">_xlfn.TEXTJOIN(",",TRUE,RANDBETWEEN(-1,1),RANDBETWEEN(-1,1))</f>
        <v>0,1</v>
      </c>
      <c r="F80" s="1" t="str">
        <f ca="1">_xlfn.TEXTJOIN(",",TRUE,RANDBETWEEN(-1,1),RANDBETWEEN(-1,1))</f>
        <v>1,0</v>
      </c>
      <c r="G80" s="1" t="str">
        <f ca="1">_xlfn.TEXTJOIN(",",TRUE,RANDBETWEEN(-1,1),RANDBETWEEN(-1,1))</f>
        <v>-1,0</v>
      </c>
      <c r="H80" s="1" t="str">
        <f ca="1">_xlfn.TEXTJOIN(",",TRUE,RANDBETWEEN(-1,1),RANDBETWEEN(-1,1))</f>
        <v>-1,-1</v>
      </c>
      <c r="I80" s="1" t="str">
        <f ca="1">_xlfn.TEXTJOIN(",",TRUE,RANDBETWEEN(-1,1),RANDBETWEEN(-1,1))</f>
        <v>0,-1</v>
      </c>
      <c r="J80" s="1" t="str">
        <f ca="1">_xlfn.TEXTJOIN(",",TRUE,RANDBETWEEN(-1,1),RANDBETWEEN(-1,1))</f>
        <v>-1,0</v>
      </c>
      <c r="K80" s="1" t="str">
        <f ca="1">_xlfn.TEXTJOIN(",",TRUE,RANDBETWEEN(-1,1),RANDBETWEEN(-1,1))</f>
        <v>0,1</v>
      </c>
      <c r="L80" s="1" t="str">
        <f ca="1">_xlfn.TEXTJOIN(",",TRUE,RANDBETWEEN(-1,1),RANDBETWEEN(-1,1))</f>
        <v>1,1</v>
      </c>
      <c r="M80" s="1" t="str">
        <f ca="1">_xlfn.TEXTJOIN(",",TRUE,RANDBETWEEN(-1,1),RANDBETWEEN(-1,1))</f>
        <v>0,1</v>
      </c>
      <c r="N80" s="1" t="str">
        <f ca="1">_xlfn.TEXTJOIN(",",TRUE,RANDBETWEEN(-1,1),RANDBETWEEN(-1,1))</f>
        <v>1,1</v>
      </c>
      <c r="O80" s="1" t="str">
        <f ca="1">_xlfn.TEXTJOIN(",",TRUE,RANDBETWEEN(-1,1),RANDBETWEEN(-1,1))</f>
        <v>-1,-1</v>
      </c>
      <c r="P80" s="1" t="str">
        <f ca="1">_xlfn.TEXTJOIN(",",TRUE,RANDBETWEEN(-1,1),RANDBETWEEN(-1,1))</f>
        <v>1,1</v>
      </c>
      <c r="Q80" s="1" t="str">
        <f ca="1">_xlfn.TEXTJOIN(",",TRUE,RANDBETWEEN(-1,1),RANDBETWEEN(-1,1))</f>
        <v>1,1</v>
      </c>
      <c r="R80" s="1" t="str">
        <f ca="1">_xlfn.TEXTJOIN(",",TRUE,RANDBETWEEN(-1,1),RANDBETWEEN(-1,1))</f>
        <v>1,1</v>
      </c>
      <c r="S80" s="1" t="str">
        <f ca="1">_xlfn.TEXTJOIN(",",TRUE,RANDBETWEEN(-1,1),RANDBETWEEN(-1,1))</f>
        <v>1,1</v>
      </c>
      <c r="T80" s="1" t="str">
        <f ca="1">_xlfn.TEXTJOIN(",",TRUE,RANDBETWEEN(-1,1),RANDBETWEEN(-1,1))</f>
        <v>1,0</v>
      </c>
      <c r="U80" s="1" t="str">
        <f ca="1">_xlfn.TEXTJOIN(",",TRUE,RANDBETWEEN(-1,1),RANDBETWEEN(-1,1))</f>
        <v>0,0</v>
      </c>
      <c r="V80" s="1" t="str">
        <f ca="1">_xlfn.TEXTJOIN(",",TRUE,RANDBETWEEN(-1,1),RANDBETWEEN(-1,1))</f>
        <v>1,1</v>
      </c>
      <c r="W80" s="1" t="str">
        <f ca="1">_xlfn.TEXTJOIN(",",TRUE,RANDBETWEEN(-1,1),RANDBETWEEN(-1,1))</f>
        <v>-1,-1</v>
      </c>
      <c r="X80" s="1" t="str">
        <f ca="1">_xlfn.TEXTJOIN(",",TRUE,RANDBETWEEN(-1,1),RANDBETWEEN(-1,1))</f>
        <v>-1,-1</v>
      </c>
      <c r="Y80" s="1" t="str">
        <f ca="1">_xlfn.TEXTJOIN(",",TRUE,RANDBETWEEN(-1,1),RANDBETWEEN(-1,1))</f>
        <v>-1,1</v>
      </c>
      <c r="Z80" s="1" t="str">
        <f ca="1">_xlfn.TEXTJOIN(",",TRUE,RANDBETWEEN(-1,1),RANDBETWEEN(-1,1))</f>
        <v>-1,1</v>
      </c>
      <c r="AA80" s="1" t="str">
        <f ca="1">_xlfn.TEXTJOIN(",",TRUE,RANDBETWEEN(-1,1),RANDBETWEEN(-1,1))</f>
        <v>1,0</v>
      </c>
      <c r="AB80" s="1" t="str">
        <f ca="1">_xlfn.TEXTJOIN(",",TRUE,RANDBETWEEN(-1,1),RANDBETWEEN(-1,1))</f>
        <v>1,0</v>
      </c>
      <c r="AC80" s="1" t="str">
        <f ca="1">_xlfn.TEXTJOIN(",",TRUE,RANDBETWEEN(-1,1),RANDBETWEEN(-1,1))</f>
        <v>1,1</v>
      </c>
      <c r="AD80" s="1" t="str">
        <f ca="1">_xlfn.TEXTJOIN(",",TRUE,RANDBETWEEN(-1,1),RANDBETWEEN(-1,1))</f>
        <v>1,1</v>
      </c>
      <c r="AE80" s="1" t="str">
        <f ca="1">_xlfn.TEXTJOIN(",",TRUE,RANDBETWEEN(-1,1),RANDBETWEEN(-1,1))</f>
        <v>-1,1</v>
      </c>
      <c r="AF80" s="1" t="str">
        <f ca="1">_xlfn.TEXTJOIN(",",TRUE,RANDBETWEEN(-1,1),RANDBETWEEN(-1,1))</f>
        <v>-1,1</v>
      </c>
      <c r="AG80" s="1" t="str">
        <f ca="1">_xlfn.TEXTJOIN(",",TRUE,RANDBETWEEN(-1,1),RANDBETWEEN(-1,1))</f>
        <v>-1,0</v>
      </c>
      <c r="AH80" s="1" t="str">
        <f ca="1">_xlfn.TEXTJOIN(",",TRUE,RANDBETWEEN(-1,1),RANDBETWEEN(-1,1))</f>
        <v>-1,-1</v>
      </c>
      <c r="AI80" s="1" t="str">
        <f ca="1">_xlfn.TEXTJOIN(",",TRUE,RANDBETWEEN(-1,1),RANDBETWEEN(-1,1))</f>
        <v>1,0</v>
      </c>
      <c r="AJ80" s="1" t="str">
        <f ca="1">_xlfn.TEXTJOIN(",",TRUE,RANDBETWEEN(-1,1),RANDBETWEEN(-1,1))</f>
        <v>0,1</v>
      </c>
      <c r="AK80" s="1" t="str">
        <f ca="1">_xlfn.TEXTJOIN(",",TRUE,RANDBETWEEN(-1,1),RANDBETWEEN(-1,1))</f>
        <v>-1,1</v>
      </c>
      <c r="AL80" s="1" t="str">
        <f ca="1">_xlfn.TEXTJOIN(",",TRUE,RANDBETWEEN(-1,1),RANDBETWEEN(-1,1))</f>
        <v>1,-1</v>
      </c>
      <c r="AM80" s="1" t="str">
        <f ca="1">_xlfn.TEXTJOIN(",",TRUE,RANDBETWEEN(-1,1),RANDBETWEEN(-1,1))</f>
        <v>0,1</v>
      </c>
      <c r="AN80" s="1" t="str">
        <f ca="1">_xlfn.TEXTJOIN(",",TRUE,RANDBETWEEN(-1,1),RANDBETWEEN(-1,1))</f>
        <v>-1,-1</v>
      </c>
      <c r="AO80" s="1" t="str">
        <f ca="1">_xlfn.TEXTJOIN(",",TRUE,RANDBETWEEN(-1,1),RANDBETWEEN(-1,1))</f>
        <v>-1,0</v>
      </c>
    </row>
    <row r="81" spans="1:41" ht="15.75" customHeight="1">
      <c r="A81" s="1">
        <v>8</v>
      </c>
      <c r="B81" s="1" t="str">
        <f ca="1">_xlfn.TEXTJOIN(",",TRUE,RANDBETWEEN(-1,1),RANDBETWEEN(-1,1))</f>
        <v>0,1</v>
      </c>
      <c r="C81" s="1" t="str">
        <f ca="1">_xlfn.TEXTJOIN(",",TRUE,RANDBETWEEN(-1,1),RANDBETWEEN(-1,1))</f>
        <v>1,-1</v>
      </c>
      <c r="D81" s="1" t="str">
        <f ca="1">_xlfn.TEXTJOIN(",",TRUE,RANDBETWEEN(-1,1),RANDBETWEEN(-1,1))</f>
        <v>-1,0</v>
      </c>
      <c r="E81" s="1" t="str">
        <f ca="1">_xlfn.TEXTJOIN(",",TRUE,RANDBETWEEN(-1,1),RANDBETWEEN(-1,1))</f>
        <v>1,0</v>
      </c>
      <c r="F81" s="1" t="str">
        <f ca="1">_xlfn.TEXTJOIN(",",TRUE,RANDBETWEEN(-1,1),RANDBETWEEN(-1,1))</f>
        <v>1,-1</v>
      </c>
      <c r="G81" s="1" t="str">
        <f ca="1">_xlfn.TEXTJOIN(",",TRUE,RANDBETWEEN(-1,1),RANDBETWEEN(-1,1))</f>
        <v>1,0</v>
      </c>
      <c r="H81" s="1" t="str">
        <f ca="1">_xlfn.TEXTJOIN(",",TRUE,RANDBETWEEN(-1,1),RANDBETWEEN(-1,1))</f>
        <v>-1,-1</v>
      </c>
      <c r="I81" s="1" t="str">
        <f ca="1">_xlfn.TEXTJOIN(",",TRUE,RANDBETWEEN(-1,1),RANDBETWEEN(-1,1))</f>
        <v>0,-1</v>
      </c>
      <c r="J81" s="1" t="str">
        <f ca="1">_xlfn.TEXTJOIN(",",TRUE,RANDBETWEEN(-1,1),RANDBETWEEN(-1,1))</f>
        <v>0,1</v>
      </c>
      <c r="K81" s="1" t="str">
        <f ca="1">_xlfn.TEXTJOIN(",",TRUE,RANDBETWEEN(-1,1),RANDBETWEEN(-1,1))</f>
        <v>-1,0</v>
      </c>
      <c r="L81" s="1" t="str">
        <f ca="1">_xlfn.TEXTJOIN(",",TRUE,RANDBETWEEN(-1,1),RANDBETWEEN(-1,1))</f>
        <v>-1,-1</v>
      </c>
      <c r="M81" s="1" t="str">
        <f ca="1">_xlfn.TEXTJOIN(",",TRUE,RANDBETWEEN(-1,1),RANDBETWEEN(-1,1))</f>
        <v>1,1</v>
      </c>
      <c r="N81" s="1" t="str">
        <f ca="1">_xlfn.TEXTJOIN(",",TRUE,RANDBETWEEN(-1,1),RANDBETWEEN(-1,1))</f>
        <v>1,1</v>
      </c>
      <c r="O81" s="1" t="str">
        <f ca="1">_xlfn.TEXTJOIN(",",TRUE,RANDBETWEEN(-1,1),RANDBETWEEN(-1,1))</f>
        <v>-1,1</v>
      </c>
      <c r="P81" s="1" t="str">
        <f ca="1">_xlfn.TEXTJOIN(",",TRUE,RANDBETWEEN(-1,1),RANDBETWEEN(-1,1))</f>
        <v>1,1</v>
      </c>
      <c r="Q81" s="1" t="str">
        <f ca="1">_xlfn.TEXTJOIN(",",TRUE,RANDBETWEEN(-1,1),RANDBETWEEN(-1,1))</f>
        <v>0,-1</v>
      </c>
      <c r="R81" s="1" t="str">
        <f ca="1">_xlfn.TEXTJOIN(",",TRUE,RANDBETWEEN(-1,1),RANDBETWEEN(-1,1))</f>
        <v>1,1</v>
      </c>
      <c r="S81" s="1" t="str">
        <f ca="1">_xlfn.TEXTJOIN(",",TRUE,RANDBETWEEN(-1,1),RANDBETWEEN(-1,1))</f>
        <v>0,0</v>
      </c>
      <c r="T81" s="1" t="str">
        <f ca="1">_xlfn.TEXTJOIN(",",TRUE,RANDBETWEEN(-1,1),RANDBETWEEN(-1,1))</f>
        <v>1,1</v>
      </c>
      <c r="U81" s="1" t="str">
        <f ca="1">_xlfn.TEXTJOIN(",",TRUE,RANDBETWEEN(-1,1),RANDBETWEEN(-1,1))</f>
        <v>-1,0</v>
      </c>
      <c r="V81" s="1" t="str">
        <f ca="1">_xlfn.TEXTJOIN(",",TRUE,RANDBETWEEN(-1,1),RANDBETWEEN(-1,1))</f>
        <v>1,-1</v>
      </c>
      <c r="W81" s="1" t="str">
        <f ca="1">_xlfn.TEXTJOIN(",",TRUE,RANDBETWEEN(-1,1),RANDBETWEEN(-1,1))</f>
        <v>-1,-1</v>
      </c>
      <c r="X81" s="1" t="str">
        <f ca="1">_xlfn.TEXTJOIN(",",TRUE,RANDBETWEEN(-1,1),RANDBETWEEN(-1,1))</f>
        <v>0,0</v>
      </c>
      <c r="Y81" s="1" t="str">
        <f ca="1">_xlfn.TEXTJOIN(",",TRUE,RANDBETWEEN(-1,1),RANDBETWEEN(-1,1))</f>
        <v>-1,0</v>
      </c>
      <c r="Z81" s="1" t="str">
        <f ca="1">_xlfn.TEXTJOIN(",",TRUE,RANDBETWEEN(-1,1),RANDBETWEEN(-1,1))</f>
        <v>1,1</v>
      </c>
      <c r="AA81" s="1" t="str">
        <f ca="1">_xlfn.TEXTJOIN(",",TRUE,RANDBETWEEN(-1,1),RANDBETWEEN(-1,1))</f>
        <v>1,0</v>
      </c>
      <c r="AB81" s="1" t="str">
        <f ca="1">_xlfn.TEXTJOIN(",",TRUE,RANDBETWEEN(-1,1),RANDBETWEEN(-1,1))</f>
        <v>1,-1</v>
      </c>
      <c r="AC81" s="1" t="str">
        <f ca="1">_xlfn.TEXTJOIN(",",TRUE,RANDBETWEEN(-1,1),RANDBETWEEN(-1,1))</f>
        <v>-1,0</v>
      </c>
      <c r="AD81" s="1" t="str">
        <f ca="1">_xlfn.TEXTJOIN(",",TRUE,RANDBETWEEN(-1,1),RANDBETWEEN(-1,1))</f>
        <v>-1,-1</v>
      </c>
      <c r="AE81" s="1" t="str">
        <f ca="1">_xlfn.TEXTJOIN(",",TRUE,RANDBETWEEN(-1,1),RANDBETWEEN(-1,1))</f>
        <v>0,0</v>
      </c>
      <c r="AF81" s="1" t="str">
        <f ca="1">_xlfn.TEXTJOIN(",",TRUE,RANDBETWEEN(-1,1),RANDBETWEEN(-1,1))</f>
        <v>0,0</v>
      </c>
      <c r="AG81" s="1" t="str">
        <f ca="1">_xlfn.TEXTJOIN(",",TRUE,RANDBETWEEN(-1,1),RANDBETWEEN(-1,1))</f>
        <v>1,-1</v>
      </c>
      <c r="AH81" s="1" t="str">
        <f ca="1">_xlfn.TEXTJOIN(",",TRUE,RANDBETWEEN(-1,1),RANDBETWEEN(-1,1))</f>
        <v>0,-1</v>
      </c>
      <c r="AI81" s="1" t="str">
        <f ca="1">_xlfn.TEXTJOIN(",",TRUE,RANDBETWEEN(-1,1),RANDBETWEEN(-1,1))</f>
        <v>0,0</v>
      </c>
      <c r="AJ81" s="1" t="str">
        <f ca="1">_xlfn.TEXTJOIN(",",TRUE,RANDBETWEEN(-1,1),RANDBETWEEN(-1,1))</f>
        <v>1,1</v>
      </c>
      <c r="AK81" s="1" t="str">
        <f ca="1">_xlfn.TEXTJOIN(",",TRUE,RANDBETWEEN(-1,1),RANDBETWEEN(-1,1))</f>
        <v>0,1</v>
      </c>
      <c r="AL81" s="1" t="str">
        <f ca="1">_xlfn.TEXTJOIN(",",TRUE,RANDBETWEEN(-1,1),RANDBETWEEN(-1,1))</f>
        <v>1,-1</v>
      </c>
      <c r="AM81" s="1" t="str">
        <f ca="1">_xlfn.TEXTJOIN(",",TRUE,RANDBETWEEN(-1,1),RANDBETWEEN(-1,1))</f>
        <v>1,1</v>
      </c>
      <c r="AN81" s="1" t="str">
        <f ca="1">_xlfn.TEXTJOIN(",",TRUE,RANDBETWEEN(-1,1),RANDBETWEEN(-1,1))</f>
        <v>0,0</v>
      </c>
      <c r="AO81" s="1" t="str">
        <f ca="1">_xlfn.TEXTJOIN(",",TRUE,RANDBETWEEN(-1,1),RANDBETWEEN(-1,1))</f>
        <v>-1,0</v>
      </c>
    </row>
    <row r="82" spans="1:41" ht="15.75" customHeight="1">
      <c r="A82" s="1">
        <v>9</v>
      </c>
      <c r="B82" s="1" t="str">
        <f ca="1">_xlfn.TEXTJOIN(",",TRUE,RANDBETWEEN(-1,1),RANDBETWEEN(-1,1))</f>
        <v>1,0</v>
      </c>
      <c r="C82" s="1" t="str">
        <f ca="1">_xlfn.TEXTJOIN(",",TRUE,RANDBETWEEN(-1,1),RANDBETWEEN(-1,1))</f>
        <v>1,1</v>
      </c>
      <c r="D82" s="1" t="str">
        <f ca="1">_xlfn.TEXTJOIN(",",TRUE,RANDBETWEEN(-1,1),RANDBETWEEN(-1,1))</f>
        <v>1,-1</v>
      </c>
      <c r="E82" s="1" t="str">
        <f ca="1">_xlfn.TEXTJOIN(",",TRUE,RANDBETWEEN(-1,1),RANDBETWEEN(-1,1))</f>
        <v>-1,0</v>
      </c>
      <c r="F82" s="1" t="str">
        <f ca="1">_xlfn.TEXTJOIN(",",TRUE,RANDBETWEEN(-1,1),RANDBETWEEN(-1,1))</f>
        <v>1,-1</v>
      </c>
      <c r="G82" s="1" t="str">
        <f ca="1">_xlfn.TEXTJOIN(",",TRUE,RANDBETWEEN(-1,1),RANDBETWEEN(-1,1))</f>
        <v>-1,1</v>
      </c>
      <c r="H82" s="1" t="str">
        <f ca="1">_xlfn.TEXTJOIN(",",TRUE,RANDBETWEEN(-1,1),RANDBETWEEN(-1,1))</f>
        <v>0,1</v>
      </c>
      <c r="I82" s="1" t="str">
        <f ca="1">_xlfn.TEXTJOIN(",",TRUE,RANDBETWEEN(-1,1),RANDBETWEEN(-1,1))</f>
        <v>1,0</v>
      </c>
      <c r="J82" s="1" t="str">
        <f ca="1">_xlfn.TEXTJOIN(",",TRUE,RANDBETWEEN(-1,1),RANDBETWEEN(-1,1))</f>
        <v>1,-1</v>
      </c>
      <c r="K82" s="1" t="str">
        <f ca="1">_xlfn.TEXTJOIN(",",TRUE,RANDBETWEEN(-1,1),RANDBETWEEN(-1,1))</f>
        <v>-1,-1</v>
      </c>
      <c r="L82" s="1" t="str">
        <f ca="1">_xlfn.TEXTJOIN(",",TRUE,RANDBETWEEN(-1,1),RANDBETWEEN(-1,1))</f>
        <v>-1,1</v>
      </c>
      <c r="M82" s="1" t="str">
        <f ca="1">_xlfn.TEXTJOIN(",",TRUE,RANDBETWEEN(-1,1),RANDBETWEEN(-1,1))</f>
        <v>1,1</v>
      </c>
      <c r="N82" s="1" t="str">
        <f ca="1">_xlfn.TEXTJOIN(",",TRUE,RANDBETWEEN(-1,1),RANDBETWEEN(-1,1))</f>
        <v>1,1</v>
      </c>
      <c r="O82" s="1" t="str">
        <f ca="1">_xlfn.TEXTJOIN(",",TRUE,RANDBETWEEN(-1,1),RANDBETWEEN(-1,1))</f>
        <v>1,1</v>
      </c>
      <c r="P82" s="1" t="str">
        <f ca="1">_xlfn.TEXTJOIN(",",TRUE,RANDBETWEEN(-1,1),RANDBETWEEN(-1,1))</f>
        <v>0,-1</v>
      </c>
      <c r="Q82" s="1" t="str">
        <f ca="1">_xlfn.TEXTJOIN(",",TRUE,RANDBETWEEN(-1,1),RANDBETWEEN(-1,1))</f>
        <v>-1,-1</v>
      </c>
      <c r="R82" s="1" t="str">
        <f ca="1">_xlfn.TEXTJOIN(",",TRUE,RANDBETWEEN(-1,1),RANDBETWEEN(-1,1))</f>
        <v>-1,1</v>
      </c>
      <c r="S82" s="1" t="str">
        <f ca="1">_xlfn.TEXTJOIN(",",TRUE,RANDBETWEEN(-1,1),RANDBETWEEN(-1,1))</f>
        <v>1,0</v>
      </c>
      <c r="T82" s="1" t="str">
        <f ca="1">_xlfn.TEXTJOIN(",",TRUE,RANDBETWEEN(-1,1),RANDBETWEEN(-1,1))</f>
        <v>1,1</v>
      </c>
      <c r="U82" s="1" t="str">
        <f ca="1">_xlfn.TEXTJOIN(",",TRUE,RANDBETWEEN(-1,1),RANDBETWEEN(-1,1))</f>
        <v>-1,1</v>
      </c>
      <c r="V82" s="1" t="str">
        <f ca="1">_xlfn.TEXTJOIN(",",TRUE,RANDBETWEEN(-1,1),RANDBETWEEN(-1,1))</f>
        <v>0,1</v>
      </c>
      <c r="W82" s="1" t="str">
        <f ca="1">_xlfn.TEXTJOIN(",",TRUE,RANDBETWEEN(-1,1),RANDBETWEEN(-1,1))</f>
        <v>1,1</v>
      </c>
      <c r="X82" s="1" t="str">
        <f ca="1">_xlfn.TEXTJOIN(",",TRUE,RANDBETWEEN(-1,1),RANDBETWEEN(-1,1))</f>
        <v>-1,0</v>
      </c>
      <c r="Y82" s="1" t="str">
        <f ca="1">_xlfn.TEXTJOIN(",",TRUE,RANDBETWEEN(-1,1),RANDBETWEEN(-1,1))</f>
        <v>1,1</v>
      </c>
      <c r="Z82" s="1" t="str">
        <f ca="1">_xlfn.TEXTJOIN(",",TRUE,RANDBETWEEN(-1,1),RANDBETWEEN(-1,1))</f>
        <v>0,1</v>
      </c>
      <c r="AA82" s="1" t="str">
        <f ca="1">_xlfn.TEXTJOIN(",",TRUE,RANDBETWEEN(-1,1),RANDBETWEEN(-1,1))</f>
        <v>0,0</v>
      </c>
      <c r="AB82" s="1" t="str">
        <f ca="1">_xlfn.TEXTJOIN(",",TRUE,RANDBETWEEN(-1,1),RANDBETWEEN(-1,1))</f>
        <v>-1,1</v>
      </c>
      <c r="AC82" s="1" t="str">
        <f ca="1">_xlfn.TEXTJOIN(",",TRUE,RANDBETWEEN(-1,1),RANDBETWEEN(-1,1))</f>
        <v>-1,0</v>
      </c>
      <c r="AD82" s="1" t="str">
        <f ca="1">_xlfn.TEXTJOIN(",",TRUE,RANDBETWEEN(-1,1),RANDBETWEEN(-1,1))</f>
        <v>1,0</v>
      </c>
      <c r="AE82" s="1" t="str">
        <f ca="1">_xlfn.TEXTJOIN(",",TRUE,RANDBETWEEN(-1,1),RANDBETWEEN(-1,1))</f>
        <v>-1,1</v>
      </c>
      <c r="AF82" s="1" t="str">
        <f ca="1">_xlfn.TEXTJOIN(",",TRUE,RANDBETWEEN(-1,1),RANDBETWEEN(-1,1))</f>
        <v>-1,0</v>
      </c>
      <c r="AG82" s="1" t="str">
        <f ca="1">_xlfn.TEXTJOIN(",",TRUE,RANDBETWEEN(-1,1),RANDBETWEEN(-1,1))</f>
        <v>-1,0</v>
      </c>
      <c r="AH82" s="1" t="str">
        <f ca="1">_xlfn.TEXTJOIN(",",TRUE,RANDBETWEEN(-1,1),RANDBETWEEN(-1,1))</f>
        <v>-1,0</v>
      </c>
      <c r="AI82" s="1" t="str">
        <f ca="1">_xlfn.TEXTJOIN(",",TRUE,RANDBETWEEN(-1,1),RANDBETWEEN(-1,1))</f>
        <v>-1,-1</v>
      </c>
      <c r="AJ82" s="1" t="str">
        <f ca="1">_xlfn.TEXTJOIN(",",TRUE,RANDBETWEEN(-1,1),RANDBETWEEN(-1,1))</f>
        <v>0,-1</v>
      </c>
      <c r="AK82" s="1" t="str">
        <f ca="1">_xlfn.TEXTJOIN(",",TRUE,RANDBETWEEN(-1,1),RANDBETWEEN(-1,1))</f>
        <v>1,-1</v>
      </c>
      <c r="AL82" s="1" t="str">
        <f ca="1">_xlfn.TEXTJOIN(",",TRUE,RANDBETWEEN(-1,1),RANDBETWEEN(-1,1))</f>
        <v>0,-1</v>
      </c>
      <c r="AM82" s="1" t="str">
        <f ca="1">_xlfn.TEXTJOIN(",",TRUE,RANDBETWEEN(-1,1),RANDBETWEEN(-1,1))</f>
        <v>0,1</v>
      </c>
      <c r="AN82" s="1" t="str">
        <f ca="1">_xlfn.TEXTJOIN(",",TRUE,RANDBETWEEN(-1,1),RANDBETWEEN(-1,1))</f>
        <v>-1,-1</v>
      </c>
      <c r="AO82" s="1" t="str">
        <f ca="1">_xlfn.TEXTJOIN(",",TRUE,RANDBETWEEN(-1,1),RANDBETWEEN(-1,1))</f>
        <v>1,1</v>
      </c>
    </row>
    <row r="83" spans="1:41" ht="15.75" customHeight="1">
      <c r="A83" s="1">
        <v>10</v>
      </c>
      <c r="B83" s="1" t="str">
        <f ca="1">_xlfn.TEXTJOIN(",",TRUE,RANDBETWEEN(-1,1),RANDBETWEEN(-1,1))</f>
        <v>0,-1</v>
      </c>
      <c r="C83" s="1" t="str">
        <f ca="1">_xlfn.TEXTJOIN(",",TRUE,RANDBETWEEN(-1,1),RANDBETWEEN(-1,1))</f>
        <v>-1,1</v>
      </c>
      <c r="D83" s="1" t="str">
        <f ca="1">_xlfn.TEXTJOIN(",",TRUE,RANDBETWEEN(-1,1),RANDBETWEEN(-1,1))</f>
        <v>1,1</v>
      </c>
      <c r="E83" s="1" t="str">
        <f ca="1">_xlfn.TEXTJOIN(",",TRUE,RANDBETWEEN(-1,1),RANDBETWEEN(-1,1))</f>
        <v>0,0</v>
      </c>
      <c r="F83" s="1" t="str">
        <f ca="1">_xlfn.TEXTJOIN(",",TRUE,RANDBETWEEN(-1,1),RANDBETWEEN(-1,1))</f>
        <v>-1,-1</v>
      </c>
      <c r="G83" s="1" t="str">
        <f ca="1">_xlfn.TEXTJOIN(",",TRUE,RANDBETWEEN(-1,1),RANDBETWEEN(-1,1))</f>
        <v>1,1</v>
      </c>
      <c r="H83" s="1" t="str">
        <f ca="1">_xlfn.TEXTJOIN(",",TRUE,RANDBETWEEN(-1,1),RANDBETWEEN(-1,1))</f>
        <v>-1,0</v>
      </c>
      <c r="I83" s="1" t="str">
        <f ca="1">_xlfn.TEXTJOIN(",",TRUE,RANDBETWEEN(-1,1),RANDBETWEEN(-1,1))</f>
        <v>-1,-1</v>
      </c>
      <c r="J83" s="1" t="str">
        <f ca="1">_xlfn.TEXTJOIN(",",TRUE,RANDBETWEEN(-1,1),RANDBETWEEN(-1,1))</f>
        <v>1,-1</v>
      </c>
      <c r="K83" s="1" t="str">
        <f ca="1">_xlfn.TEXTJOIN(",",TRUE,RANDBETWEEN(-1,1),RANDBETWEEN(-1,1))</f>
        <v>0,1</v>
      </c>
      <c r="L83" s="1" t="str">
        <f ca="1">_xlfn.TEXTJOIN(",",TRUE,RANDBETWEEN(-1,1),RANDBETWEEN(-1,1))</f>
        <v>-1,0</v>
      </c>
      <c r="M83" s="1" t="str">
        <f ca="1">_xlfn.TEXTJOIN(",",TRUE,RANDBETWEEN(-1,1),RANDBETWEEN(-1,1))</f>
        <v>-1,-1</v>
      </c>
      <c r="N83" s="1" t="str">
        <f ca="1">_xlfn.TEXTJOIN(",",TRUE,RANDBETWEEN(-1,1),RANDBETWEEN(-1,1))</f>
        <v>-1,1</v>
      </c>
      <c r="O83" s="1" t="str">
        <f ca="1">_xlfn.TEXTJOIN(",",TRUE,RANDBETWEEN(-1,1),RANDBETWEEN(-1,1))</f>
        <v>0,0</v>
      </c>
      <c r="P83" s="1" t="str">
        <f ca="1">_xlfn.TEXTJOIN(",",TRUE,RANDBETWEEN(-1,1),RANDBETWEEN(-1,1))</f>
        <v>-1,0</v>
      </c>
      <c r="Q83" s="1" t="str">
        <f ca="1">_xlfn.TEXTJOIN(",",TRUE,RANDBETWEEN(-1,1),RANDBETWEEN(-1,1))</f>
        <v>1,0</v>
      </c>
      <c r="R83" s="1" t="str">
        <f ca="1">_xlfn.TEXTJOIN(",",TRUE,RANDBETWEEN(-1,1),RANDBETWEEN(-1,1))</f>
        <v>0,1</v>
      </c>
      <c r="S83" s="1" t="str">
        <f ca="1">_xlfn.TEXTJOIN(",",TRUE,RANDBETWEEN(-1,1),RANDBETWEEN(-1,1))</f>
        <v>0,1</v>
      </c>
      <c r="T83" s="1" t="str">
        <f ca="1">_xlfn.TEXTJOIN(",",TRUE,RANDBETWEEN(-1,1),RANDBETWEEN(-1,1))</f>
        <v>-1,-1</v>
      </c>
      <c r="U83" s="1" t="str">
        <f ca="1">_xlfn.TEXTJOIN(",",TRUE,RANDBETWEEN(-1,1),RANDBETWEEN(-1,1))</f>
        <v>0,-1</v>
      </c>
      <c r="V83" s="1" t="str">
        <f ca="1">_xlfn.TEXTJOIN(",",TRUE,RANDBETWEEN(-1,1),RANDBETWEEN(-1,1))</f>
        <v>-1,0</v>
      </c>
      <c r="W83" s="1" t="str">
        <f ca="1">_xlfn.TEXTJOIN(",",TRUE,RANDBETWEEN(-1,1),RANDBETWEEN(-1,1))</f>
        <v>1,-1</v>
      </c>
      <c r="X83" s="1" t="str">
        <f ca="1">_xlfn.TEXTJOIN(",",TRUE,RANDBETWEEN(-1,1),RANDBETWEEN(-1,1))</f>
        <v>-1,0</v>
      </c>
      <c r="Y83" s="1" t="str">
        <f ca="1">_xlfn.TEXTJOIN(",",TRUE,RANDBETWEEN(-1,1),RANDBETWEEN(-1,1))</f>
        <v>-1,-1</v>
      </c>
      <c r="Z83" s="1" t="str">
        <f ca="1">_xlfn.TEXTJOIN(",",TRUE,RANDBETWEEN(-1,1),RANDBETWEEN(-1,1))</f>
        <v>1,0</v>
      </c>
      <c r="AA83" s="1" t="str">
        <f ca="1">_xlfn.TEXTJOIN(",",TRUE,RANDBETWEEN(-1,1),RANDBETWEEN(-1,1))</f>
        <v>0,1</v>
      </c>
      <c r="AB83" s="1" t="str">
        <f ca="1">_xlfn.TEXTJOIN(",",TRUE,RANDBETWEEN(-1,1),RANDBETWEEN(-1,1))</f>
        <v>-1,1</v>
      </c>
      <c r="AC83" s="1" t="str">
        <f ca="1">_xlfn.TEXTJOIN(",",TRUE,RANDBETWEEN(-1,1),RANDBETWEEN(-1,1))</f>
        <v>0,0</v>
      </c>
      <c r="AD83" s="1" t="str">
        <f ca="1">_xlfn.TEXTJOIN(",",TRUE,RANDBETWEEN(-1,1),RANDBETWEEN(-1,1))</f>
        <v>0,1</v>
      </c>
      <c r="AE83" s="1" t="str">
        <f ca="1">_xlfn.TEXTJOIN(",",TRUE,RANDBETWEEN(-1,1),RANDBETWEEN(-1,1))</f>
        <v>1,1</v>
      </c>
      <c r="AF83" s="1" t="str">
        <f ca="1">_xlfn.TEXTJOIN(",",TRUE,RANDBETWEEN(-1,1),RANDBETWEEN(-1,1))</f>
        <v>0,1</v>
      </c>
      <c r="AG83" s="1" t="str">
        <f ca="1">_xlfn.TEXTJOIN(",",TRUE,RANDBETWEEN(-1,1),RANDBETWEEN(-1,1))</f>
        <v>1,0</v>
      </c>
      <c r="AH83" s="1" t="str">
        <f ca="1">_xlfn.TEXTJOIN(",",TRUE,RANDBETWEEN(-1,1),RANDBETWEEN(-1,1))</f>
        <v>-1,1</v>
      </c>
      <c r="AI83" s="1" t="str">
        <f ca="1">_xlfn.TEXTJOIN(",",TRUE,RANDBETWEEN(-1,1),RANDBETWEEN(-1,1))</f>
        <v>1,-1</v>
      </c>
      <c r="AJ83" s="1" t="str">
        <f ca="1">_xlfn.TEXTJOIN(",",TRUE,RANDBETWEEN(-1,1),RANDBETWEEN(-1,1))</f>
        <v>0,-1</v>
      </c>
      <c r="AK83" s="1" t="str">
        <f ca="1">_xlfn.TEXTJOIN(",",TRUE,RANDBETWEEN(-1,1),RANDBETWEEN(-1,1))</f>
        <v>-1,0</v>
      </c>
      <c r="AL83" s="1" t="str">
        <f ca="1">_xlfn.TEXTJOIN(",",TRUE,RANDBETWEEN(-1,1),RANDBETWEEN(-1,1))</f>
        <v>-1,1</v>
      </c>
      <c r="AM83" s="1" t="str">
        <f ca="1">_xlfn.TEXTJOIN(",",TRUE,RANDBETWEEN(-1,1),RANDBETWEEN(-1,1))</f>
        <v>-1,1</v>
      </c>
      <c r="AN83" s="1" t="str">
        <f ca="1">_xlfn.TEXTJOIN(",",TRUE,RANDBETWEEN(-1,1),RANDBETWEEN(-1,1))</f>
        <v>1,0</v>
      </c>
      <c r="AO83" s="1" t="str">
        <f ca="1">_xlfn.TEXTJOIN(",",TRUE,RANDBETWEEN(-1,1),RANDBETWEEN(-1,1))</f>
        <v>-1,0</v>
      </c>
    </row>
    <row r="84" spans="1:41" ht="15.75" customHeight="1">
      <c r="A84" s="1">
        <v>11</v>
      </c>
      <c r="B84" s="1" t="str">
        <f ca="1">_xlfn.TEXTJOIN(",",TRUE,RANDBETWEEN(-1,1),RANDBETWEEN(-1,1))</f>
        <v>0,1</v>
      </c>
      <c r="C84" s="1" t="str">
        <f ca="1">_xlfn.TEXTJOIN(",",TRUE,RANDBETWEEN(-1,1),RANDBETWEEN(-1,1))</f>
        <v>0,0</v>
      </c>
      <c r="D84" s="1" t="str">
        <f ca="1">_xlfn.TEXTJOIN(",",TRUE,RANDBETWEEN(-1,1),RANDBETWEEN(-1,1))</f>
        <v>0,0</v>
      </c>
      <c r="E84" s="1" t="str">
        <f ca="1">_xlfn.TEXTJOIN(",",TRUE,RANDBETWEEN(-1,1),RANDBETWEEN(-1,1))</f>
        <v>1,1</v>
      </c>
      <c r="F84" s="1" t="str">
        <f ca="1">_xlfn.TEXTJOIN(",",TRUE,RANDBETWEEN(-1,1),RANDBETWEEN(-1,1))</f>
        <v>-1,1</v>
      </c>
      <c r="G84" s="1" t="str">
        <f ca="1">_xlfn.TEXTJOIN(",",TRUE,RANDBETWEEN(-1,1),RANDBETWEEN(-1,1))</f>
        <v>-1,0</v>
      </c>
      <c r="H84" s="1" t="str">
        <f ca="1">_xlfn.TEXTJOIN(",",TRUE,RANDBETWEEN(-1,1),RANDBETWEEN(-1,1))</f>
        <v>1,-1</v>
      </c>
      <c r="I84" s="1" t="str">
        <f ca="1">_xlfn.TEXTJOIN(",",TRUE,RANDBETWEEN(-1,1),RANDBETWEEN(-1,1))</f>
        <v>1,1</v>
      </c>
      <c r="J84" s="1" t="str">
        <f ca="1">_xlfn.TEXTJOIN(",",TRUE,RANDBETWEEN(-1,1),RANDBETWEEN(-1,1))</f>
        <v>-1,1</v>
      </c>
      <c r="K84" s="1" t="str">
        <f ca="1">_xlfn.TEXTJOIN(",",TRUE,RANDBETWEEN(-1,1),RANDBETWEEN(-1,1))</f>
        <v>0,-1</v>
      </c>
      <c r="L84" s="1" t="str">
        <f ca="1">_xlfn.TEXTJOIN(",",TRUE,RANDBETWEEN(-1,1),RANDBETWEEN(-1,1))</f>
        <v>1,0</v>
      </c>
      <c r="M84" s="1" t="str">
        <f ca="1">_xlfn.TEXTJOIN(",",TRUE,RANDBETWEEN(-1,1),RANDBETWEEN(-1,1))</f>
        <v>0,0</v>
      </c>
      <c r="N84" s="1" t="str">
        <f ca="1">_xlfn.TEXTJOIN(",",TRUE,RANDBETWEEN(-1,1),RANDBETWEEN(-1,1))</f>
        <v>1,0</v>
      </c>
      <c r="O84" s="1" t="str">
        <f ca="1">_xlfn.TEXTJOIN(",",TRUE,RANDBETWEEN(-1,1),RANDBETWEEN(-1,1))</f>
        <v>-1,0</v>
      </c>
      <c r="P84" s="1" t="str">
        <f ca="1">_xlfn.TEXTJOIN(",",TRUE,RANDBETWEEN(-1,1),RANDBETWEEN(-1,1))</f>
        <v>0,-1</v>
      </c>
      <c r="Q84" s="1" t="str">
        <f ca="1">_xlfn.TEXTJOIN(",",TRUE,RANDBETWEEN(-1,1),RANDBETWEEN(-1,1))</f>
        <v>1,0</v>
      </c>
      <c r="R84" s="1" t="str">
        <f ca="1">_xlfn.TEXTJOIN(",",TRUE,RANDBETWEEN(-1,1),RANDBETWEEN(-1,1))</f>
        <v>1,1</v>
      </c>
      <c r="S84" s="1" t="str">
        <f ca="1">_xlfn.TEXTJOIN(",",TRUE,RANDBETWEEN(-1,1),RANDBETWEEN(-1,1))</f>
        <v>-1,0</v>
      </c>
      <c r="T84" s="1" t="str">
        <f ca="1">_xlfn.TEXTJOIN(",",TRUE,RANDBETWEEN(-1,1),RANDBETWEEN(-1,1))</f>
        <v>1,1</v>
      </c>
      <c r="U84" s="1" t="str">
        <f ca="1">_xlfn.TEXTJOIN(",",TRUE,RANDBETWEEN(-1,1),RANDBETWEEN(-1,1))</f>
        <v>0,-1</v>
      </c>
      <c r="V84" s="1" t="str">
        <f ca="1">_xlfn.TEXTJOIN(",",TRUE,RANDBETWEEN(-1,1),RANDBETWEEN(-1,1))</f>
        <v>1,0</v>
      </c>
      <c r="W84" s="1" t="str">
        <f ca="1">_xlfn.TEXTJOIN(",",TRUE,RANDBETWEEN(-1,1),RANDBETWEEN(-1,1))</f>
        <v>-1,-1</v>
      </c>
      <c r="X84" s="1" t="str">
        <f ca="1">_xlfn.TEXTJOIN(",",TRUE,RANDBETWEEN(-1,1),RANDBETWEEN(-1,1))</f>
        <v>1,-1</v>
      </c>
      <c r="Y84" s="1" t="str">
        <f ca="1">_xlfn.TEXTJOIN(",",TRUE,RANDBETWEEN(-1,1),RANDBETWEEN(-1,1))</f>
        <v>-1,1</v>
      </c>
      <c r="Z84" s="1" t="str">
        <f ca="1">_xlfn.TEXTJOIN(",",TRUE,RANDBETWEEN(-1,1),RANDBETWEEN(-1,1))</f>
        <v>0,1</v>
      </c>
      <c r="AA84" s="1" t="str">
        <f ca="1">_xlfn.TEXTJOIN(",",TRUE,RANDBETWEEN(-1,1),RANDBETWEEN(-1,1))</f>
        <v>0,1</v>
      </c>
      <c r="AB84" s="1" t="str">
        <f ca="1">_xlfn.TEXTJOIN(",",TRUE,RANDBETWEEN(-1,1),RANDBETWEEN(-1,1))</f>
        <v>0,1</v>
      </c>
      <c r="AC84" s="1" t="str">
        <f ca="1">_xlfn.TEXTJOIN(",",TRUE,RANDBETWEEN(-1,1),RANDBETWEEN(-1,1))</f>
        <v>0,0</v>
      </c>
      <c r="AD84" s="1" t="str">
        <f ca="1">_xlfn.TEXTJOIN(",",TRUE,RANDBETWEEN(-1,1),RANDBETWEEN(-1,1))</f>
        <v>-1,-1</v>
      </c>
      <c r="AE84" s="1" t="str">
        <f ca="1">_xlfn.TEXTJOIN(",",TRUE,RANDBETWEEN(-1,1),RANDBETWEEN(-1,1))</f>
        <v>0,1</v>
      </c>
      <c r="AF84" s="1" t="str">
        <f ca="1">_xlfn.TEXTJOIN(",",TRUE,RANDBETWEEN(-1,1),RANDBETWEEN(-1,1))</f>
        <v>-1,1</v>
      </c>
      <c r="AG84" s="1" t="str">
        <f ca="1">_xlfn.TEXTJOIN(",",TRUE,RANDBETWEEN(-1,1),RANDBETWEEN(-1,1))</f>
        <v>1,1</v>
      </c>
      <c r="AH84" s="1" t="str">
        <f ca="1">_xlfn.TEXTJOIN(",",TRUE,RANDBETWEEN(-1,1),RANDBETWEEN(-1,1))</f>
        <v>-1,1</v>
      </c>
      <c r="AI84" s="1" t="str">
        <f ca="1">_xlfn.TEXTJOIN(",",TRUE,RANDBETWEEN(-1,1),RANDBETWEEN(-1,1))</f>
        <v>1,0</v>
      </c>
      <c r="AJ84" s="1" t="str">
        <f ca="1">_xlfn.TEXTJOIN(",",TRUE,RANDBETWEEN(-1,1),RANDBETWEEN(-1,1))</f>
        <v>0,1</v>
      </c>
      <c r="AK84" s="1" t="str">
        <f ca="1">_xlfn.TEXTJOIN(",",TRUE,RANDBETWEEN(-1,1),RANDBETWEEN(-1,1))</f>
        <v>1,1</v>
      </c>
      <c r="AL84" s="1" t="str">
        <f ca="1">_xlfn.TEXTJOIN(",",TRUE,RANDBETWEEN(-1,1),RANDBETWEEN(-1,1))</f>
        <v>1,1</v>
      </c>
      <c r="AM84" s="1" t="str">
        <f ca="1">_xlfn.TEXTJOIN(",",TRUE,RANDBETWEEN(-1,1),RANDBETWEEN(-1,1))</f>
        <v>0,-1</v>
      </c>
      <c r="AN84" s="1" t="str">
        <f ca="1">_xlfn.TEXTJOIN(",",TRUE,RANDBETWEEN(-1,1),RANDBETWEEN(-1,1))</f>
        <v>-1,-1</v>
      </c>
      <c r="AO84" s="1" t="str">
        <f ca="1">_xlfn.TEXTJOIN(",",TRUE,RANDBETWEEN(-1,1),RANDBETWEEN(-1,1))</f>
        <v>0,1</v>
      </c>
    </row>
    <row r="85" spans="1:41" ht="15.75" customHeight="1">
      <c r="A85" s="1">
        <v>12</v>
      </c>
      <c r="B85" s="1" t="str">
        <f ca="1">_xlfn.TEXTJOIN(",",TRUE,RANDBETWEEN(-1,1),RANDBETWEEN(-1,1))</f>
        <v>-1,1</v>
      </c>
      <c r="C85" s="1" t="str">
        <f ca="1">_xlfn.TEXTJOIN(",",TRUE,RANDBETWEEN(-1,1),RANDBETWEEN(-1,1))</f>
        <v>0,-1</v>
      </c>
      <c r="D85" s="1" t="str">
        <f ca="1">_xlfn.TEXTJOIN(",",TRUE,RANDBETWEEN(-1,1),RANDBETWEEN(-1,1))</f>
        <v>1,1</v>
      </c>
      <c r="E85" s="1" t="str">
        <f ca="1">_xlfn.TEXTJOIN(",",TRUE,RANDBETWEEN(-1,1),RANDBETWEEN(-1,1))</f>
        <v>0,1</v>
      </c>
      <c r="F85" s="1" t="str">
        <f ca="1">_xlfn.TEXTJOIN(",",TRUE,RANDBETWEEN(-1,1),RANDBETWEEN(-1,1))</f>
        <v>-1,1</v>
      </c>
      <c r="G85" s="1" t="str">
        <f ca="1">_xlfn.TEXTJOIN(",",TRUE,RANDBETWEEN(-1,1),RANDBETWEEN(-1,1))</f>
        <v>0,-1</v>
      </c>
      <c r="H85" s="1" t="str">
        <f ca="1">_xlfn.TEXTJOIN(",",TRUE,RANDBETWEEN(-1,1),RANDBETWEEN(-1,1))</f>
        <v>-1,0</v>
      </c>
      <c r="I85" s="1" t="str">
        <f ca="1">_xlfn.TEXTJOIN(",",TRUE,RANDBETWEEN(-1,1),RANDBETWEEN(-1,1))</f>
        <v>-1,-1</v>
      </c>
      <c r="J85" s="1" t="str">
        <f ca="1">_xlfn.TEXTJOIN(",",TRUE,RANDBETWEEN(-1,1),RANDBETWEEN(-1,1))</f>
        <v>0,1</v>
      </c>
      <c r="K85" s="1" t="str">
        <f ca="1">_xlfn.TEXTJOIN(",",TRUE,RANDBETWEEN(-1,1),RANDBETWEEN(-1,1))</f>
        <v>0,-1</v>
      </c>
      <c r="L85" s="1" t="str">
        <f ca="1">_xlfn.TEXTJOIN(",",TRUE,RANDBETWEEN(-1,1),RANDBETWEEN(-1,1))</f>
        <v>0,1</v>
      </c>
      <c r="M85" s="1" t="str">
        <f ca="1">_xlfn.TEXTJOIN(",",TRUE,RANDBETWEEN(-1,1),RANDBETWEEN(-1,1))</f>
        <v>1,1</v>
      </c>
      <c r="N85" s="1" t="str">
        <f ca="1">_xlfn.TEXTJOIN(",",TRUE,RANDBETWEEN(-1,1),RANDBETWEEN(-1,1))</f>
        <v>1,-1</v>
      </c>
      <c r="O85" s="1" t="str">
        <f ca="1">_xlfn.TEXTJOIN(",",TRUE,RANDBETWEEN(-1,1),RANDBETWEEN(-1,1))</f>
        <v>1,-1</v>
      </c>
      <c r="P85" s="1" t="str">
        <f ca="1">_xlfn.TEXTJOIN(",",TRUE,RANDBETWEEN(-1,1),RANDBETWEEN(-1,1))</f>
        <v>1,0</v>
      </c>
      <c r="Q85" s="1" t="str">
        <f ca="1">_xlfn.TEXTJOIN(",",TRUE,RANDBETWEEN(-1,1),RANDBETWEEN(-1,1))</f>
        <v>-1,0</v>
      </c>
      <c r="R85" s="1" t="str">
        <f ca="1">_xlfn.TEXTJOIN(",",TRUE,RANDBETWEEN(-1,1),RANDBETWEEN(-1,1))</f>
        <v>0,0</v>
      </c>
      <c r="S85" s="1" t="str">
        <f ca="1">_xlfn.TEXTJOIN(",",TRUE,RANDBETWEEN(-1,1),RANDBETWEEN(-1,1))</f>
        <v>-1,0</v>
      </c>
      <c r="T85" s="1" t="str">
        <f ca="1">_xlfn.TEXTJOIN(",",TRUE,RANDBETWEEN(-1,1),RANDBETWEEN(-1,1))</f>
        <v>0,-1</v>
      </c>
      <c r="U85" s="1" t="str">
        <f ca="1">_xlfn.TEXTJOIN(",",TRUE,RANDBETWEEN(-1,1),RANDBETWEEN(-1,1))</f>
        <v>-1,-1</v>
      </c>
      <c r="V85" s="1" t="str">
        <f ca="1">_xlfn.TEXTJOIN(",",TRUE,RANDBETWEEN(-1,1),RANDBETWEEN(-1,1))</f>
        <v>1,-1</v>
      </c>
      <c r="W85" s="1" t="str">
        <f ca="1">_xlfn.TEXTJOIN(",",TRUE,RANDBETWEEN(-1,1),RANDBETWEEN(-1,1))</f>
        <v>-1,0</v>
      </c>
      <c r="X85" s="1" t="str">
        <f ca="1">_xlfn.TEXTJOIN(",",TRUE,RANDBETWEEN(-1,1),RANDBETWEEN(-1,1))</f>
        <v>0,1</v>
      </c>
      <c r="Y85" s="1" t="str">
        <f ca="1">_xlfn.TEXTJOIN(",",TRUE,RANDBETWEEN(-1,1),RANDBETWEEN(-1,1))</f>
        <v>-1,-1</v>
      </c>
      <c r="Z85" s="1" t="str">
        <f ca="1">_xlfn.TEXTJOIN(",",TRUE,RANDBETWEEN(-1,1),RANDBETWEEN(-1,1))</f>
        <v>-1,-1</v>
      </c>
      <c r="AA85" s="1" t="str">
        <f ca="1">_xlfn.TEXTJOIN(",",TRUE,RANDBETWEEN(-1,1),RANDBETWEEN(-1,1))</f>
        <v>1,0</v>
      </c>
      <c r="AB85" s="1" t="str">
        <f ca="1">_xlfn.TEXTJOIN(",",TRUE,RANDBETWEEN(-1,1),RANDBETWEEN(-1,1))</f>
        <v>1,0</v>
      </c>
      <c r="AC85" s="1" t="str">
        <f ca="1">_xlfn.TEXTJOIN(",",TRUE,RANDBETWEEN(-1,1),RANDBETWEEN(-1,1))</f>
        <v>-1,0</v>
      </c>
      <c r="AD85" s="1" t="str">
        <f ca="1">_xlfn.TEXTJOIN(",",TRUE,RANDBETWEEN(-1,1),RANDBETWEEN(-1,1))</f>
        <v>0,1</v>
      </c>
      <c r="AE85" s="1" t="str">
        <f ca="1">_xlfn.TEXTJOIN(",",TRUE,RANDBETWEEN(-1,1),RANDBETWEEN(-1,1))</f>
        <v>0,0</v>
      </c>
      <c r="AF85" s="1" t="str">
        <f ca="1">_xlfn.TEXTJOIN(",",TRUE,RANDBETWEEN(-1,1),RANDBETWEEN(-1,1))</f>
        <v>0,1</v>
      </c>
      <c r="AG85" s="1" t="str">
        <f ca="1">_xlfn.TEXTJOIN(",",TRUE,RANDBETWEEN(-1,1),RANDBETWEEN(-1,1))</f>
        <v>-1,-1</v>
      </c>
      <c r="AH85" s="1" t="str">
        <f ca="1">_xlfn.TEXTJOIN(",",TRUE,RANDBETWEEN(-1,1),RANDBETWEEN(-1,1))</f>
        <v>0,0</v>
      </c>
      <c r="AI85" s="1" t="str">
        <f ca="1">_xlfn.TEXTJOIN(",",TRUE,RANDBETWEEN(-1,1),RANDBETWEEN(-1,1))</f>
        <v>-1,0</v>
      </c>
      <c r="AJ85" s="1" t="str">
        <f ca="1">_xlfn.TEXTJOIN(",",TRUE,RANDBETWEEN(-1,1),RANDBETWEEN(-1,1))</f>
        <v>0,-1</v>
      </c>
      <c r="AK85" s="1" t="str">
        <f ca="1">_xlfn.TEXTJOIN(",",TRUE,RANDBETWEEN(-1,1),RANDBETWEEN(-1,1))</f>
        <v>1,1</v>
      </c>
      <c r="AL85" s="1" t="str">
        <f ca="1">_xlfn.TEXTJOIN(",",TRUE,RANDBETWEEN(-1,1),RANDBETWEEN(-1,1))</f>
        <v>0,1</v>
      </c>
      <c r="AM85" s="1" t="str">
        <f ca="1">_xlfn.TEXTJOIN(",",TRUE,RANDBETWEEN(-1,1),RANDBETWEEN(-1,1))</f>
        <v>0,0</v>
      </c>
      <c r="AN85" s="1" t="str">
        <f ca="1">_xlfn.TEXTJOIN(",",TRUE,RANDBETWEEN(-1,1),RANDBETWEEN(-1,1))</f>
        <v>0,1</v>
      </c>
      <c r="AO85" s="1" t="str">
        <f ca="1">_xlfn.TEXTJOIN(",",TRUE,RANDBETWEEN(-1,1),RANDBETWEEN(-1,1))</f>
        <v>-1,0</v>
      </c>
    </row>
    <row r="86" spans="1:41" ht="15.75" customHeight="1">
      <c r="A86" s="1">
        <v>13</v>
      </c>
      <c r="B86" s="1" t="str">
        <f ca="1">_xlfn.TEXTJOIN(",",TRUE,RANDBETWEEN(-1,1),RANDBETWEEN(-1,1))</f>
        <v>1,-1</v>
      </c>
      <c r="C86" s="1" t="str">
        <f ca="1">_xlfn.TEXTJOIN(",",TRUE,RANDBETWEEN(-1,1),RANDBETWEEN(-1,1))</f>
        <v>1,1</v>
      </c>
      <c r="D86" s="1" t="str">
        <f ca="1">_xlfn.TEXTJOIN(",",TRUE,RANDBETWEEN(-1,1),RANDBETWEEN(-1,1))</f>
        <v>0,-1</v>
      </c>
      <c r="E86" s="1" t="str">
        <f ca="1">_xlfn.TEXTJOIN(",",TRUE,RANDBETWEEN(-1,1),RANDBETWEEN(-1,1))</f>
        <v>-1,1</v>
      </c>
      <c r="F86" s="1" t="str">
        <f ca="1">_xlfn.TEXTJOIN(",",TRUE,RANDBETWEEN(-1,1),RANDBETWEEN(-1,1))</f>
        <v>-1,-1</v>
      </c>
      <c r="G86" s="1" t="str">
        <f ca="1">_xlfn.TEXTJOIN(",",TRUE,RANDBETWEEN(-1,1),RANDBETWEEN(-1,1))</f>
        <v>1,1</v>
      </c>
      <c r="H86" s="1" t="str">
        <f ca="1">_xlfn.TEXTJOIN(",",TRUE,RANDBETWEEN(-1,1),RANDBETWEEN(-1,1))</f>
        <v>1,0</v>
      </c>
      <c r="I86" s="1" t="str">
        <f ca="1">_xlfn.TEXTJOIN(",",TRUE,RANDBETWEEN(-1,1),RANDBETWEEN(-1,1))</f>
        <v>0,1</v>
      </c>
      <c r="J86" s="1" t="str">
        <f ca="1">_xlfn.TEXTJOIN(",",TRUE,RANDBETWEEN(-1,1),RANDBETWEEN(-1,1))</f>
        <v>1,1</v>
      </c>
      <c r="K86" s="1" t="str">
        <f ca="1">_xlfn.TEXTJOIN(",",TRUE,RANDBETWEEN(-1,1),RANDBETWEEN(-1,1))</f>
        <v>-1,0</v>
      </c>
      <c r="L86" s="1" t="str">
        <f ca="1">_xlfn.TEXTJOIN(",",TRUE,RANDBETWEEN(-1,1),RANDBETWEEN(-1,1))</f>
        <v>0,1</v>
      </c>
      <c r="M86" s="1" t="str">
        <f ca="1">_xlfn.TEXTJOIN(",",TRUE,RANDBETWEEN(-1,1),RANDBETWEEN(-1,1))</f>
        <v>-1,-1</v>
      </c>
      <c r="N86" s="1" t="str">
        <f ca="1">_xlfn.TEXTJOIN(",",TRUE,RANDBETWEEN(-1,1),RANDBETWEEN(-1,1))</f>
        <v>-1,-1</v>
      </c>
      <c r="O86" s="1" t="str">
        <f ca="1">_xlfn.TEXTJOIN(",",TRUE,RANDBETWEEN(-1,1),RANDBETWEEN(-1,1))</f>
        <v>-1,-1</v>
      </c>
      <c r="P86" s="1" t="str">
        <f ca="1">_xlfn.TEXTJOIN(",",TRUE,RANDBETWEEN(-1,1),RANDBETWEEN(-1,1))</f>
        <v>-1,-1</v>
      </c>
      <c r="Q86" s="1" t="str">
        <f ca="1">_xlfn.TEXTJOIN(",",TRUE,RANDBETWEEN(-1,1),RANDBETWEEN(-1,1))</f>
        <v>1,0</v>
      </c>
      <c r="R86" s="1" t="str">
        <f ca="1">_xlfn.TEXTJOIN(",",TRUE,RANDBETWEEN(-1,1),RANDBETWEEN(-1,1))</f>
        <v>-1,-1</v>
      </c>
      <c r="S86" s="1" t="str">
        <f ca="1">_xlfn.TEXTJOIN(",",TRUE,RANDBETWEEN(-1,1),RANDBETWEEN(-1,1))</f>
        <v>-1,-1</v>
      </c>
      <c r="T86" s="1" t="str">
        <f ca="1">_xlfn.TEXTJOIN(",",TRUE,RANDBETWEEN(-1,1),RANDBETWEEN(-1,1))</f>
        <v>1,-1</v>
      </c>
      <c r="U86" s="1" t="str">
        <f ca="1">_xlfn.TEXTJOIN(",",TRUE,RANDBETWEEN(-1,1),RANDBETWEEN(-1,1))</f>
        <v>0,-1</v>
      </c>
      <c r="V86" s="1" t="str">
        <f ca="1">_xlfn.TEXTJOIN(",",TRUE,RANDBETWEEN(-1,1),RANDBETWEEN(-1,1))</f>
        <v>-1,-1</v>
      </c>
      <c r="W86" s="1" t="str">
        <f ca="1">_xlfn.TEXTJOIN(",",TRUE,RANDBETWEEN(-1,1),RANDBETWEEN(-1,1))</f>
        <v>0,0</v>
      </c>
      <c r="X86" s="1" t="str">
        <f ca="1">_xlfn.TEXTJOIN(",",TRUE,RANDBETWEEN(-1,1),RANDBETWEEN(-1,1))</f>
        <v>-1,0</v>
      </c>
      <c r="Y86" s="1" t="str">
        <f ca="1">_xlfn.TEXTJOIN(",",TRUE,RANDBETWEEN(-1,1),RANDBETWEEN(-1,1))</f>
        <v>-1,1</v>
      </c>
      <c r="Z86" s="1" t="str">
        <f ca="1">_xlfn.TEXTJOIN(",",TRUE,RANDBETWEEN(-1,1),RANDBETWEEN(-1,1))</f>
        <v>-1,0</v>
      </c>
      <c r="AA86" s="1" t="str">
        <f ca="1">_xlfn.TEXTJOIN(",",TRUE,RANDBETWEEN(-1,1),RANDBETWEEN(-1,1))</f>
        <v>1,0</v>
      </c>
      <c r="AB86" s="1" t="str">
        <f ca="1">_xlfn.TEXTJOIN(",",TRUE,RANDBETWEEN(-1,1),RANDBETWEEN(-1,1))</f>
        <v>1,-1</v>
      </c>
      <c r="AC86" s="1" t="str">
        <f ca="1">_xlfn.TEXTJOIN(",",TRUE,RANDBETWEEN(-1,1),RANDBETWEEN(-1,1))</f>
        <v>-1,1</v>
      </c>
      <c r="AD86" s="1" t="str">
        <f ca="1">_xlfn.TEXTJOIN(",",TRUE,RANDBETWEEN(-1,1),RANDBETWEEN(-1,1))</f>
        <v>0,0</v>
      </c>
      <c r="AE86" s="1" t="str">
        <f ca="1">_xlfn.TEXTJOIN(",",TRUE,RANDBETWEEN(-1,1),RANDBETWEEN(-1,1))</f>
        <v>1,1</v>
      </c>
      <c r="AF86" s="1" t="str">
        <f ca="1">_xlfn.TEXTJOIN(",",TRUE,RANDBETWEEN(-1,1),RANDBETWEEN(-1,1))</f>
        <v>1,-1</v>
      </c>
      <c r="AG86" s="1" t="str">
        <f ca="1">_xlfn.TEXTJOIN(",",TRUE,RANDBETWEEN(-1,1),RANDBETWEEN(-1,1))</f>
        <v>0,-1</v>
      </c>
      <c r="AH86" s="1" t="str">
        <f ca="1">_xlfn.TEXTJOIN(",",TRUE,RANDBETWEEN(-1,1),RANDBETWEEN(-1,1))</f>
        <v>0,-1</v>
      </c>
      <c r="AI86" s="1" t="str">
        <f ca="1">_xlfn.TEXTJOIN(",",TRUE,RANDBETWEEN(-1,1),RANDBETWEEN(-1,1))</f>
        <v>-1,0</v>
      </c>
      <c r="AJ86" s="1" t="str">
        <f ca="1">_xlfn.TEXTJOIN(",",TRUE,RANDBETWEEN(-1,1),RANDBETWEEN(-1,1))</f>
        <v>1,1</v>
      </c>
      <c r="AK86" s="1" t="str">
        <f ca="1">_xlfn.TEXTJOIN(",",TRUE,RANDBETWEEN(-1,1),RANDBETWEEN(-1,1))</f>
        <v>1,1</v>
      </c>
      <c r="AL86" s="1" t="str">
        <f ca="1">_xlfn.TEXTJOIN(",",TRUE,RANDBETWEEN(-1,1),RANDBETWEEN(-1,1))</f>
        <v>0,-1</v>
      </c>
      <c r="AM86" s="1" t="str">
        <f ca="1">_xlfn.TEXTJOIN(",",TRUE,RANDBETWEEN(-1,1),RANDBETWEEN(-1,1))</f>
        <v>0,0</v>
      </c>
      <c r="AN86" s="1" t="str">
        <f ca="1">_xlfn.TEXTJOIN(",",TRUE,RANDBETWEEN(-1,1),RANDBETWEEN(-1,1))</f>
        <v>-1,0</v>
      </c>
      <c r="AO86" s="1" t="str">
        <f ca="1">_xlfn.TEXTJOIN(",",TRUE,RANDBETWEEN(-1,1),RANDBETWEEN(-1,1))</f>
        <v>0,0</v>
      </c>
    </row>
    <row r="87" spans="1:41" ht="15.75" customHeight="1">
      <c r="A87" s="1">
        <v>14</v>
      </c>
      <c r="B87" s="1" t="str">
        <f ca="1">_xlfn.TEXTJOIN(",",TRUE,RANDBETWEEN(-1,1),RANDBETWEEN(-1,1))</f>
        <v>-1,-1</v>
      </c>
      <c r="C87" s="1" t="str">
        <f ca="1">_xlfn.TEXTJOIN(",",TRUE,RANDBETWEEN(-1,1),RANDBETWEEN(-1,1))</f>
        <v>1,0</v>
      </c>
      <c r="D87" s="1" t="str">
        <f ca="1">_xlfn.TEXTJOIN(",",TRUE,RANDBETWEEN(-1,1),RANDBETWEEN(-1,1))</f>
        <v>-1,0</v>
      </c>
      <c r="E87" s="1" t="str">
        <f ca="1">_xlfn.TEXTJOIN(",",TRUE,RANDBETWEEN(-1,1),RANDBETWEEN(-1,1))</f>
        <v>0,0</v>
      </c>
      <c r="F87" s="1" t="str">
        <f ca="1">_xlfn.TEXTJOIN(",",TRUE,RANDBETWEEN(-1,1),RANDBETWEEN(-1,1))</f>
        <v>-1,1</v>
      </c>
      <c r="G87" s="1" t="str">
        <f ca="1">_xlfn.TEXTJOIN(",",TRUE,RANDBETWEEN(-1,1),RANDBETWEEN(-1,1))</f>
        <v>0,-1</v>
      </c>
      <c r="H87" s="1" t="str">
        <f ca="1">_xlfn.TEXTJOIN(",",TRUE,RANDBETWEEN(-1,1),RANDBETWEEN(-1,1))</f>
        <v>0,1</v>
      </c>
      <c r="I87" s="1" t="str">
        <f ca="1">_xlfn.TEXTJOIN(",",TRUE,RANDBETWEEN(-1,1),RANDBETWEEN(-1,1))</f>
        <v>-1,-1</v>
      </c>
      <c r="J87" s="1" t="str">
        <f ca="1">_xlfn.TEXTJOIN(",",TRUE,RANDBETWEEN(-1,1),RANDBETWEEN(-1,1))</f>
        <v>0,1</v>
      </c>
      <c r="K87" s="1" t="str">
        <f ca="1">_xlfn.TEXTJOIN(",",TRUE,RANDBETWEEN(-1,1),RANDBETWEEN(-1,1))</f>
        <v>1,0</v>
      </c>
      <c r="L87" s="1" t="str">
        <f ca="1">_xlfn.TEXTJOIN(",",TRUE,RANDBETWEEN(-1,1),RANDBETWEEN(-1,1))</f>
        <v>-1,0</v>
      </c>
      <c r="M87" s="1" t="str">
        <f ca="1">_xlfn.TEXTJOIN(",",TRUE,RANDBETWEEN(-1,1),RANDBETWEEN(-1,1))</f>
        <v>0,1</v>
      </c>
      <c r="N87" s="1" t="str">
        <f ca="1">_xlfn.TEXTJOIN(",",TRUE,RANDBETWEEN(-1,1),RANDBETWEEN(-1,1))</f>
        <v>-1,1</v>
      </c>
      <c r="O87" s="1" t="str">
        <f ca="1">_xlfn.TEXTJOIN(",",TRUE,RANDBETWEEN(-1,1),RANDBETWEEN(-1,1))</f>
        <v>0,1</v>
      </c>
      <c r="P87" s="1" t="str">
        <f ca="1">_xlfn.TEXTJOIN(",",TRUE,RANDBETWEEN(-1,1),RANDBETWEEN(-1,1))</f>
        <v>-1,1</v>
      </c>
      <c r="Q87" s="1" t="str">
        <f ca="1">_xlfn.TEXTJOIN(",",TRUE,RANDBETWEEN(-1,1),RANDBETWEEN(-1,1))</f>
        <v>-1,1</v>
      </c>
      <c r="R87" s="1" t="str">
        <f ca="1">_xlfn.TEXTJOIN(",",TRUE,RANDBETWEEN(-1,1),RANDBETWEEN(-1,1))</f>
        <v>-1,1</v>
      </c>
      <c r="S87" s="1" t="str">
        <f ca="1">_xlfn.TEXTJOIN(",",TRUE,RANDBETWEEN(-1,1),RANDBETWEEN(-1,1))</f>
        <v>1,1</v>
      </c>
      <c r="T87" s="1" t="str">
        <f ca="1">_xlfn.TEXTJOIN(",",TRUE,RANDBETWEEN(-1,1),RANDBETWEEN(-1,1))</f>
        <v>-1,1</v>
      </c>
      <c r="U87" s="1" t="str">
        <f ca="1">_xlfn.TEXTJOIN(",",TRUE,RANDBETWEEN(-1,1),RANDBETWEEN(-1,1))</f>
        <v>-1,1</v>
      </c>
      <c r="V87" s="1" t="str">
        <f ca="1">_xlfn.TEXTJOIN(",",TRUE,RANDBETWEEN(-1,1),RANDBETWEEN(-1,1))</f>
        <v>-1,1</v>
      </c>
      <c r="W87" s="1" t="str">
        <f ca="1">_xlfn.TEXTJOIN(",",TRUE,RANDBETWEEN(-1,1),RANDBETWEEN(-1,1))</f>
        <v>-1,1</v>
      </c>
      <c r="X87" s="1" t="str">
        <f ca="1">_xlfn.TEXTJOIN(",",TRUE,RANDBETWEEN(-1,1),RANDBETWEEN(-1,1))</f>
        <v>1,-1</v>
      </c>
      <c r="Y87" s="1" t="str">
        <f ca="1">_xlfn.TEXTJOIN(",",TRUE,RANDBETWEEN(-1,1),RANDBETWEEN(-1,1))</f>
        <v>-1,1</v>
      </c>
      <c r="Z87" s="1" t="str">
        <f ca="1">_xlfn.TEXTJOIN(",",TRUE,RANDBETWEEN(-1,1),RANDBETWEEN(-1,1))</f>
        <v>-1,-1</v>
      </c>
      <c r="AA87" s="1" t="str">
        <f ca="1">_xlfn.TEXTJOIN(",",TRUE,RANDBETWEEN(-1,1),RANDBETWEEN(-1,1))</f>
        <v>-1,0</v>
      </c>
      <c r="AB87" s="1" t="str">
        <f ca="1">_xlfn.TEXTJOIN(",",TRUE,RANDBETWEEN(-1,1),RANDBETWEEN(-1,1))</f>
        <v>-1,0</v>
      </c>
      <c r="AC87" s="1" t="str">
        <f ca="1">_xlfn.TEXTJOIN(",",TRUE,RANDBETWEEN(-1,1),RANDBETWEEN(-1,1))</f>
        <v>1,-1</v>
      </c>
      <c r="AD87" s="1" t="str">
        <f ca="1">_xlfn.TEXTJOIN(",",TRUE,RANDBETWEEN(-1,1),RANDBETWEEN(-1,1))</f>
        <v>1,1</v>
      </c>
      <c r="AE87" s="1" t="str">
        <f ca="1">_xlfn.TEXTJOIN(",",TRUE,RANDBETWEEN(-1,1),RANDBETWEEN(-1,1))</f>
        <v>1,1</v>
      </c>
      <c r="AF87" s="1" t="str">
        <f ca="1">_xlfn.TEXTJOIN(",",TRUE,RANDBETWEEN(-1,1),RANDBETWEEN(-1,1))</f>
        <v>1,1</v>
      </c>
      <c r="AG87" s="1" t="str">
        <f ca="1">_xlfn.TEXTJOIN(",",TRUE,RANDBETWEEN(-1,1),RANDBETWEEN(-1,1))</f>
        <v>1,-1</v>
      </c>
      <c r="AH87" s="1" t="str">
        <f ca="1">_xlfn.TEXTJOIN(",",TRUE,RANDBETWEEN(-1,1),RANDBETWEEN(-1,1))</f>
        <v>0,0</v>
      </c>
      <c r="AI87" s="1" t="str">
        <f ca="1">_xlfn.TEXTJOIN(",",TRUE,RANDBETWEEN(-1,1),RANDBETWEEN(-1,1))</f>
        <v>1,-1</v>
      </c>
      <c r="AJ87" s="1" t="str">
        <f ca="1">_xlfn.TEXTJOIN(",",TRUE,RANDBETWEEN(-1,1),RANDBETWEEN(-1,1))</f>
        <v>-1,1</v>
      </c>
      <c r="AK87" s="1" t="str">
        <f ca="1">_xlfn.TEXTJOIN(",",TRUE,RANDBETWEEN(-1,1),RANDBETWEEN(-1,1))</f>
        <v>0,-1</v>
      </c>
      <c r="AL87" s="1" t="str">
        <f ca="1">_xlfn.TEXTJOIN(",",TRUE,RANDBETWEEN(-1,1),RANDBETWEEN(-1,1))</f>
        <v>1,1</v>
      </c>
      <c r="AM87" s="1" t="str">
        <f ca="1">_xlfn.TEXTJOIN(",",TRUE,RANDBETWEEN(-1,1),RANDBETWEEN(-1,1))</f>
        <v>1,1</v>
      </c>
      <c r="AN87" s="1" t="str">
        <f ca="1">_xlfn.TEXTJOIN(",",TRUE,RANDBETWEEN(-1,1),RANDBETWEEN(-1,1))</f>
        <v>-1,1</v>
      </c>
      <c r="AO87" s="1" t="str">
        <f ca="1">_xlfn.TEXTJOIN(",",TRUE,RANDBETWEEN(-1,1),RANDBETWEEN(-1,1))</f>
        <v>0,0</v>
      </c>
    </row>
    <row r="88" spans="1:41" ht="15.75" customHeight="1">
      <c r="A88" s="1">
        <v>15</v>
      </c>
      <c r="B88" s="1" t="str">
        <f ca="1">_xlfn.TEXTJOIN(",",TRUE,RANDBETWEEN(-1,1),RANDBETWEEN(-1,1))</f>
        <v>0,0</v>
      </c>
      <c r="C88" s="1" t="str">
        <f ca="1">_xlfn.TEXTJOIN(",",TRUE,RANDBETWEEN(-1,1),RANDBETWEEN(-1,1))</f>
        <v>1,-1</v>
      </c>
      <c r="D88" s="1" t="str">
        <f ca="1">_xlfn.TEXTJOIN(",",TRUE,RANDBETWEEN(-1,1),RANDBETWEEN(-1,1))</f>
        <v>-1,-1</v>
      </c>
      <c r="E88" s="1" t="str">
        <f ca="1">_xlfn.TEXTJOIN(",",TRUE,RANDBETWEEN(-1,1),RANDBETWEEN(-1,1))</f>
        <v>1,0</v>
      </c>
      <c r="F88" s="1" t="str">
        <f ca="1">_xlfn.TEXTJOIN(",",TRUE,RANDBETWEEN(-1,1),RANDBETWEEN(-1,1))</f>
        <v>1,-1</v>
      </c>
      <c r="G88" s="1" t="str">
        <f ca="1">_xlfn.TEXTJOIN(",",TRUE,RANDBETWEEN(-1,1),RANDBETWEEN(-1,1))</f>
        <v>-1,-1</v>
      </c>
      <c r="H88" s="1" t="str">
        <f ca="1">_xlfn.TEXTJOIN(",",TRUE,RANDBETWEEN(-1,1),RANDBETWEEN(-1,1))</f>
        <v>-1,-1</v>
      </c>
      <c r="I88" s="1" t="str">
        <f ca="1">_xlfn.TEXTJOIN(",",TRUE,RANDBETWEEN(-1,1),RANDBETWEEN(-1,1))</f>
        <v>-1,-1</v>
      </c>
      <c r="J88" s="1" t="str">
        <f ca="1">_xlfn.TEXTJOIN(",",TRUE,RANDBETWEEN(-1,1),RANDBETWEEN(-1,1))</f>
        <v>-1,0</v>
      </c>
      <c r="K88" s="1" t="str">
        <f ca="1">_xlfn.TEXTJOIN(",",TRUE,RANDBETWEEN(-1,1),RANDBETWEEN(-1,1))</f>
        <v>1,1</v>
      </c>
      <c r="L88" s="1" t="str">
        <f ca="1">_xlfn.TEXTJOIN(",",TRUE,RANDBETWEEN(-1,1),RANDBETWEEN(-1,1))</f>
        <v>-1,1</v>
      </c>
      <c r="M88" s="1" t="str">
        <f ca="1">_xlfn.TEXTJOIN(",",TRUE,RANDBETWEEN(-1,1),RANDBETWEEN(-1,1))</f>
        <v>-1,-1</v>
      </c>
      <c r="N88" s="1" t="str">
        <f ca="1">_xlfn.TEXTJOIN(",",TRUE,RANDBETWEEN(-1,1),RANDBETWEEN(-1,1))</f>
        <v>-1,-1</v>
      </c>
      <c r="O88" s="1" t="str">
        <f ca="1">_xlfn.TEXTJOIN(",",TRUE,RANDBETWEEN(-1,1),RANDBETWEEN(-1,1))</f>
        <v>-1,1</v>
      </c>
      <c r="P88" s="1" t="str">
        <f ca="1">_xlfn.TEXTJOIN(",",TRUE,RANDBETWEEN(-1,1),RANDBETWEEN(-1,1))</f>
        <v>0,0</v>
      </c>
      <c r="Q88" s="1" t="str">
        <f ca="1">_xlfn.TEXTJOIN(",",TRUE,RANDBETWEEN(-1,1),RANDBETWEEN(-1,1))</f>
        <v>1,1</v>
      </c>
      <c r="R88" s="1" t="str">
        <f ca="1">_xlfn.TEXTJOIN(",",TRUE,RANDBETWEEN(-1,1),RANDBETWEEN(-1,1))</f>
        <v>0,1</v>
      </c>
      <c r="S88" s="1" t="str">
        <f ca="1">_xlfn.TEXTJOIN(",",TRUE,RANDBETWEEN(-1,1),RANDBETWEEN(-1,1))</f>
        <v>-1,1</v>
      </c>
      <c r="T88" s="1" t="str">
        <f ca="1">_xlfn.TEXTJOIN(",",TRUE,RANDBETWEEN(-1,1),RANDBETWEEN(-1,1))</f>
        <v>-1,0</v>
      </c>
      <c r="U88" s="1" t="str">
        <f ca="1">_xlfn.TEXTJOIN(",",TRUE,RANDBETWEEN(-1,1),RANDBETWEEN(-1,1))</f>
        <v>0,1</v>
      </c>
      <c r="V88" s="1" t="str">
        <f ca="1">_xlfn.TEXTJOIN(",",TRUE,RANDBETWEEN(-1,1),RANDBETWEEN(-1,1))</f>
        <v>0,-1</v>
      </c>
      <c r="W88" s="1" t="str">
        <f ca="1">_xlfn.TEXTJOIN(",",TRUE,RANDBETWEEN(-1,1),RANDBETWEEN(-1,1))</f>
        <v>1,0</v>
      </c>
      <c r="X88" s="1" t="str">
        <f ca="1">_xlfn.TEXTJOIN(",",TRUE,RANDBETWEEN(-1,1),RANDBETWEEN(-1,1))</f>
        <v>1,-1</v>
      </c>
      <c r="Y88" s="1" t="str">
        <f ca="1">_xlfn.TEXTJOIN(",",TRUE,RANDBETWEEN(-1,1),RANDBETWEEN(-1,1))</f>
        <v>1,-1</v>
      </c>
      <c r="Z88" s="1" t="str">
        <f ca="1">_xlfn.TEXTJOIN(",",TRUE,RANDBETWEEN(-1,1),RANDBETWEEN(-1,1))</f>
        <v>0,1</v>
      </c>
      <c r="AA88" s="1" t="str">
        <f ca="1">_xlfn.TEXTJOIN(",",TRUE,RANDBETWEEN(-1,1),RANDBETWEEN(-1,1))</f>
        <v>0,0</v>
      </c>
      <c r="AB88" s="1" t="str">
        <f ca="1">_xlfn.TEXTJOIN(",",TRUE,RANDBETWEEN(-1,1),RANDBETWEEN(-1,1))</f>
        <v>0,1</v>
      </c>
      <c r="AC88" s="1" t="str">
        <f ca="1">_xlfn.TEXTJOIN(",",TRUE,RANDBETWEEN(-1,1),RANDBETWEEN(-1,1))</f>
        <v>0,1</v>
      </c>
      <c r="AD88" s="1" t="str">
        <f ca="1">_xlfn.TEXTJOIN(",",TRUE,RANDBETWEEN(-1,1),RANDBETWEEN(-1,1))</f>
        <v>0,0</v>
      </c>
      <c r="AE88" s="1" t="str">
        <f ca="1">_xlfn.TEXTJOIN(",",TRUE,RANDBETWEEN(-1,1),RANDBETWEEN(-1,1))</f>
        <v>1,0</v>
      </c>
      <c r="AF88" s="1" t="str">
        <f ca="1">_xlfn.TEXTJOIN(",",TRUE,RANDBETWEEN(-1,1),RANDBETWEEN(-1,1))</f>
        <v>1,1</v>
      </c>
      <c r="AG88" s="1" t="str">
        <f ca="1">_xlfn.TEXTJOIN(",",TRUE,RANDBETWEEN(-1,1),RANDBETWEEN(-1,1))</f>
        <v>-1,-1</v>
      </c>
      <c r="AH88" s="1" t="str">
        <f ca="1">_xlfn.TEXTJOIN(",",TRUE,RANDBETWEEN(-1,1),RANDBETWEEN(-1,1))</f>
        <v>1,-1</v>
      </c>
      <c r="AI88" s="1" t="str">
        <f ca="1">_xlfn.TEXTJOIN(",",TRUE,RANDBETWEEN(-1,1),RANDBETWEEN(-1,1))</f>
        <v>-1,-1</v>
      </c>
      <c r="AJ88" s="1" t="str">
        <f ca="1">_xlfn.TEXTJOIN(",",TRUE,RANDBETWEEN(-1,1),RANDBETWEEN(-1,1))</f>
        <v>0,1</v>
      </c>
      <c r="AK88" s="1" t="str">
        <f ca="1">_xlfn.TEXTJOIN(",",TRUE,RANDBETWEEN(-1,1),RANDBETWEEN(-1,1))</f>
        <v>0,0</v>
      </c>
      <c r="AL88" s="1" t="str">
        <f ca="1">_xlfn.TEXTJOIN(",",TRUE,RANDBETWEEN(-1,1),RANDBETWEEN(-1,1))</f>
        <v>0,0</v>
      </c>
      <c r="AM88" s="1" t="str">
        <f ca="1">_xlfn.TEXTJOIN(",",TRUE,RANDBETWEEN(-1,1),RANDBETWEEN(-1,1))</f>
        <v>1,0</v>
      </c>
      <c r="AN88" s="1" t="str">
        <f ca="1">_xlfn.TEXTJOIN(",",TRUE,RANDBETWEEN(-1,1),RANDBETWEEN(-1,1))</f>
        <v>1,1</v>
      </c>
      <c r="AO88" s="1" t="str">
        <f ca="1">_xlfn.TEXTJOIN(",",TRUE,RANDBETWEEN(-1,1),RANDBETWEEN(-1,1))</f>
        <v>0,-1</v>
      </c>
    </row>
    <row r="89" spans="1:41" ht="15.75" customHeight="1">
      <c r="A89" s="1">
        <v>16</v>
      </c>
      <c r="B89" s="1" t="str">
        <f ca="1">_xlfn.TEXTJOIN(",",TRUE,RANDBETWEEN(-1,1),RANDBETWEEN(-1,1))</f>
        <v>-1,0</v>
      </c>
      <c r="C89" s="1" t="str">
        <f ca="1">_xlfn.TEXTJOIN(",",TRUE,RANDBETWEEN(-1,1),RANDBETWEEN(-1,1))</f>
        <v>-1,0</v>
      </c>
      <c r="D89" s="1" t="str">
        <f ca="1">_xlfn.TEXTJOIN(",",TRUE,RANDBETWEEN(-1,1),RANDBETWEEN(-1,1))</f>
        <v>-1,0</v>
      </c>
      <c r="E89" s="1" t="str">
        <f ca="1">_xlfn.TEXTJOIN(",",TRUE,RANDBETWEEN(-1,1),RANDBETWEEN(-1,1))</f>
        <v>0,0</v>
      </c>
      <c r="F89" s="1" t="str">
        <f ca="1">_xlfn.TEXTJOIN(",",TRUE,RANDBETWEEN(-1,1),RANDBETWEEN(-1,1))</f>
        <v>-1,0</v>
      </c>
      <c r="G89" s="1" t="str">
        <f ca="1">_xlfn.TEXTJOIN(",",TRUE,RANDBETWEEN(-1,1),RANDBETWEEN(-1,1))</f>
        <v>1,0</v>
      </c>
      <c r="H89" s="1" t="str">
        <f ca="1">_xlfn.TEXTJOIN(",",TRUE,RANDBETWEEN(-1,1),RANDBETWEEN(-1,1))</f>
        <v>1,0</v>
      </c>
      <c r="I89" s="1" t="str">
        <f ca="1">_xlfn.TEXTJOIN(",",TRUE,RANDBETWEEN(-1,1),RANDBETWEEN(-1,1))</f>
        <v>0,0</v>
      </c>
      <c r="J89" s="1" t="str">
        <f ca="1">_xlfn.TEXTJOIN(",",TRUE,RANDBETWEEN(-1,1),RANDBETWEEN(-1,1))</f>
        <v>-1,0</v>
      </c>
      <c r="K89" s="1" t="str">
        <f ca="1">_xlfn.TEXTJOIN(",",TRUE,RANDBETWEEN(-1,1),RANDBETWEEN(-1,1))</f>
        <v>0,-1</v>
      </c>
      <c r="L89" s="1" t="str">
        <f ca="1">_xlfn.TEXTJOIN(",",TRUE,RANDBETWEEN(-1,1),RANDBETWEEN(-1,1))</f>
        <v>-1,-1</v>
      </c>
      <c r="M89" s="1" t="str">
        <f ca="1">_xlfn.TEXTJOIN(",",TRUE,RANDBETWEEN(-1,1),RANDBETWEEN(-1,1))</f>
        <v>0,0</v>
      </c>
      <c r="N89" s="1" t="str">
        <f ca="1">_xlfn.TEXTJOIN(",",TRUE,RANDBETWEEN(-1,1),RANDBETWEEN(-1,1))</f>
        <v>-1,-1</v>
      </c>
      <c r="O89" s="1" t="str">
        <f ca="1">_xlfn.TEXTJOIN(",",TRUE,RANDBETWEEN(-1,1),RANDBETWEEN(-1,1))</f>
        <v>1,-1</v>
      </c>
      <c r="P89" s="1" t="str">
        <f ca="1">_xlfn.TEXTJOIN(",",TRUE,RANDBETWEEN(-1,1),RANDBETWEEN(-1,1))</f>
        <v>1,0</v>
      </c>
      <c r="Q89" s="1" t="str">
        <f ca="1">_xlfn.TEXTJOIN(",",TRUE,RANDBETWEEN(-1,1),RANDBETWEEN(-1,1))</f>
        <v>-1,1</v>
      </c>
      <c r="R89" s="1" t="str">
        <f ca="1">_xlfn.TEXTJOIN(",",TRUE,RANDBETWEEN(-1,1),RANDBETWEEN(-1,1))</f>
        <v>-1,-1</v>
      </c>
      <c r="S89" s="1" t="str">
        <f ca="1">_xlfn.TEXTJOIN(",",TRUE,RANDBETWEEN(-1,1),RANDBETWEEN(-1,1))</f>
        <v>0,1</v>
      </c>
      <c r="T89" s="1" t="str">
        <f ca="1">_xlfn.TEXTJOIN(",",TRUE,RANDBETWEEN(-1,1),RANDBETWEEN(-1,1))</f>
        <v>0,1</v>
      </c>
      <c r="U89" s="1" t="str">
        <f ca="1">_xlfn.TEXTJOIN(",",TRUE,RANDBETWEEN(-1,1),RANDBETWEEN(-1,1))</f>
        <v>1,0</v>
      </c>
      <c r="V89" s="1" t="str">
        <f ca="1">_xlfn.TEXTJOIN(",",TRUE,RANDBETWEEN(-1,1),RANDBETWEEN(-1,1))</f>
        <v>1,0</v>
      </c>
      <c r="W89" s="1" t="str">
        <f ca="1">_xlfn.TEXTJOIN(",",TRUE,RANDBETWEEN(-1,1),RANDBETWEEN(-1,1))</f>
        <v>1,1</v>
      </c>
      <c r="X89" s="1" t="str">
        <f ca="1">_xlfn.TEXTJOIN(",",TRUE,RANDBETWEEN(-1,1),RANDBETWEEN(-1,1))</f>
        <v>0,-1</v>
      </c>
      <c r="Y89" s="1" t="str">
        <f ca="1">_xlfn.TEXTJOIN(",",TRUE,RANDBETWEEN(-1,1),RANDBETWEEN(-1,1))</f>
        <v>-1,1</v>
      </c>
      <c r="Z89" s="1" t="str">
        <f ca="1">_xlfn.TEXTJOIN(",",TRUE,RANDBETWEEN(-1,1),RANDBETWEEN(-1,1))</f>
        <v>0,0</v>
      </c>
      <c r="AA89" s="1" t="str">
        <f ca="1">_xlfn.TEXTJOIN(",",TRUE,RANDBETWEEN(-1,1),RANDBETWEEN(-1,1))</f>
        <v>-1,1</v>
      </c>
      <c r="AB89" s="1" t="str">
        <f ca="1">_xlfn.TEXTJOIN(",",TRUE,RANDBETWEEN(-1,1),RANDBETWEEN(-1,1))</f>
        <v>0,0</v>
      </c>
      <c r="AC89" s="1" t="str">
        <f ca="1">_xlfn.TEXTJOIN(",",TRUE,RANDBETWEEN(-1,1),RANDBETWEEN(-1,1))</f>
        <v>1,-1</v>
      </c>
      <c r="AD89" s="1" t="str">
        <f ca="1">_xlfn.TEXTJOIN(",",TRUE,RANDBETWEEN(-1,1),RANDBETWEEN(-1,1))</f>
        <v>1,1</v>
      </c>
      <c r="AE89" s="1" t="str">
        <f ca="1">_xlfn.TEXTJOIN(",",TRUE,RANDBETWEEN(-1,1),RANDBETWEEN(-1,1))</f>
        <v>1,-1</v>
      </c>
      <c r="AF89" s="1" t="str">
        <f ca="1">_xlfn.TEXTJOIN(",",TRUE,RANDBETWEEN(-1,1),RANDBETWEEN(-1,1))</f>
        <v>1,1</v>
      </c>
      <c r="AG89" s="1" t="str">
        <f ca="1">_xlfn.TEXTJOIN(",",TRUE,RANDBETWEEN(-1,1),RANDBETWEEN(-1,1))</f>
        <v>0,1</v>
      </c>
      <c r="AH89" s="1" t="str">
        <f ca="1">_xlfn.TEXTJOIN(",",TRUE,RANDBETWEEN(-1,1),RANDBETWEEN(-1,1))</f>
        <v>0,-1</v>
      </c>
      <c r="AI89" s="1" t="str">
        <f ca="1">_xlfn.TEXTJOIN(",",TRUE,RANDBETWEEN(-1,1),RANDBETWEEN(-1,1))</f>
        <v>0,-1</v>
      </c>
      <c r="AJ89" s="1" t="str">
        <f ca="1">_xlfn.TEXTJOIN(",",TRUE,RANDBETWEEN(-1,1),RANDBETWEEN(-1,1))</f>
        <v>1,0</v>
      </c>
      <c r="AK89" s="1" t="str">
        <f ca="1">_xlfn.TEXTJOIN(",",TRUE,RANDBETWEEN(-1,1),RANDBETWEEN(-1,1))</f>
        <v>0,0</v>
      </c>
      <c r="AL89" s="1" t="str">
        <f ca="1">_xlfn.TEXTJOIN(",",TRUE,RANDBETWEEN(-1,1),RANDBETWEEN(-1,1))</f>
        <v>-1,1</v>
      </c>
      <c r="AM89" s="1" t="str">
        <f ca="1">_xlfn.TEXTJOIN(",",TRUE,RANDBETWEEN(-1,1),RANDBETWEEN(-1,1))</f>
        <v>0,0</v>
      </c>
      <c r="AN89" s="1" t="str">
        <f ca="1">_xlfn.TEXTJOIN(",",TRUE,RANDBETWEEN(-1,1),RANDBETWEEN(-1,1))</f>
        <v>-1,-1</v>
      </c>
      <c r="AO89" s="1" t="str">
        <f ca="1">_xlfn.TEXTJOIN(",",TRUE,RANDBETWEEN(-1,1),RANDBETWEEN(-1,1))</f>
        <v>1,1</v>
      </c>
    </row>
    <row r="90" spans="1:41" ht="15.75" customHeight="1">
      <c r="A90" s="1">
        <v>17</v>
      </c>
      <c r="B90" s="1" t="str">
        <f ca="1">_xlfn.TEXTJOIN(",",TRUE,RANDBETWEEN(-1,1),RANDBETWEEN(-1,1))</f>
        <v>-1,1</v>
      </c>
      <c r="C90" s="1" t="str">
        <f ca="1">_xlfn.TEXTJOIN(",",TRUE,RANDBETWEEN(-1,1),RANDBETWEEN(-1,1))</f>
        <v>-1,0</v>
      </c>
      <c r="D90" s="1" t="str">
        <f ca="1">_xlfn.TEXTJOIN(",",TRUE,RANDBETWEEN(-1,1),RANDBETWEEN(-1,1))</f>
        <v>1,1</v>
      </c>
      <c r="E90" s="1" t="str">
        <f ca="1">_xlfn.TEXTJOIN(",",TRUE,RANDBETWEEN(-1,1),RANDBETWEEN(-1,1))</f>
        <v>-1,0</v>
      </c>
      <c r="F90" s="1" t="str">
        <f ca="1">_xlfn.TEXTJOIN(",",TRUE,RANDBETWEEN(-1,1),RANDBETWEEN(-1,1))</f>
        <v>-1,1</v>
      </c>
      <c r="G90" s="1" t="str">
        <f ca="1">_xlfn.TEXTJOIN(",",TRUE,RANDBETWEEN(-1,1),RANDBETWEEN(-1,1))</f>
        <v>0,1</v>
      </c>
      <c r="H90" s="1" t="str">
        <f ca="1">_xlfn.TEXTJOIN(",",TRUE,RANDBETWEEN(-1,1),RANDBETWEEN(-1,1))</f>
        <v>0,-1</v>
      </c>
      <c r="I90" s="1" t="str">
        <f ca="1">_xlfn.TEXTJOIN(",",TRUE,RANDBETWEEN(-1,1),RANDBETWEEN(-1,1))</f>
        <v>-1,-1</v>
      </c>
      <c r="J90" s="1" t="str">
        <f ca="1">_xlfn.TEXTJOIN(",",TRUE,RANDBETWEEN(-1,1),RANDBETWEEN(-1,1))</f>
        <v>0,0</v>
      </c>
      <c r="K90" s="1" t="str">
        <f ca="1">_xlfn.TEXTJOIN(",",TRUE,RANDBETWEEN(-1,1),RANDBETWEEN(-1,1))</f>
        <v>-1,0</v>
      </c>
      <c r="L90" s="1" t="str">
        <f ca="1">_xlfn.TEXTJOIN(",",TRUE,RANDBETWEEN(-1,1),RANDBETWEEN(-1,1))</f>
        <v>1,-1</v>
      </c>
      <c r="M90" s="1" t="str">
        <f ca="1">_xlfn.TEXTJOIN(",",TRUE,RANDBETWEEN(-1,1),RANDBETWEEN(-1,1))</f>
        <v>-1,0</v>
      </c>
      <c r="N90" s="1" t="str">
        <f ca="1">_xlfn.TEXTJOIN(",",TRUE,RANDBETWEEN(-1,1),RANDBETWEEN(-1,1))</f>
        <v>1,1</v>
      </c>
      <c r="O90" s="1" t="str">
        <f ca="1">_xlfn.TEXTJOIN(",",TRUE,RANDBETWEEN(-1,1),RANDBETWEEN(-1,1))</f>
        <v>-1,-1</v>
      </c>
      <c r="P90" s="1" t="str">
        <f ca="1">_xlfn.TEXTJOIN(",",TRUE,RANDBETWEEN(-1,1),RANDBETWEEN(-1,1))</f>
        <v>1,0</v>
      </c>
      <c r="Q90" s="1" t="str">
        <f ca="1">_xlfn.TEXTJOIN(",",TRUE,RANDBETWEEN(-1,1),RANDBETWEEN(-1,1))</f>
        <v>1,1</v>
      </c>
      <c r="R90" s="1" t="str">
        <f ca="1">_xlfn.TEXTJOIN(",",TRUE,RANDBETWEEN(-1,1),RANDBETWEEN(-1,1))</f>
        <v>-1,0</v>
      </c>
      <c r="S90" s="1" t="str">
        <f ca="1">_xlfn.TEXTJOIN(",",TRUE,RANDBETWEEN(-1,1),RANDBETWEEN(-1,1))</f>
        <v>1,-1</v>
      </c>
      <c r="T90" s="1" t="str">
        <f ca="1">_xlfn.TEXTJOIN(",",TRUE,RANDBETWEEN(-1,1),RANDBETWEEN(-1,1))</f>
        <v>0,-1</v>
      </c>
      <c r="U90" s="1" t="str">
        <f ca="1">_xlfn.TEXTJOIN(",",TRUE,RANDBETWEEN(-1,1),RANDBETWEEN(-1,1))</f>
        <v>0,-1</v>
      </c>
      <c r="V90" s="1" t="str">
        <f ca="1">_xlfn.TEXTJOIN(",",TRUE,RANDBETWEEN(-1,1),RANDBETWEEN(-1,1))</f>
        <v>0,-1</v>
      </c>
      <c r="W90" s="1" t="str">
        <f ca="1">_xlfn.TEXTJOIN(",",TRUE,RANDBETWEEN(-1,1),RANDBETWEEN(-1,1))</f>
        <v>0,-1</v>
      </c>
      <c r="X90" s="1" t="str">
        <f ca="1">_xlfn.TEXTJOIN(",",TRUE,RANDBETWEEN(-1,1),RANDBETWEEN(-1,1))</f>
        <v>-1,1</v>
      </c>
      <c r="Y90" s="1" t="str">
        <f ca="1">_xlfn.TEXTJOIN(",",TRUE,RANDBETWEEN(-1,1),RANDBETWEEN(-1,1))</f>
        <v>0,1</v>
      </c>
      <c r="Z90" s="1" t="str">
        <f ca="1">_xlfn.TEXTJOIN(",",TRUE,RANDBETWEEN(-1,1),RANDBETWEEN(-1,1))</f>
        <v>1,-1</v>
      </c>
      <c r="AA90" s="1" t="str">
        <f ca="1">_xlfn.TEXTJOIN(",",TRUE,RANDBETWEEN(-1,1),RANDBETWEEN(-1,1))</f>
        <v>0,-1</v>
      </c>
      <c r="AB90" s="1" t="str">
        <f ca="1">_xlfn.TEXTJOIN(",",TRUE,RANDBETWEEN(-1,1),RANDBETWEEN(-1,1))</f>
        <v>0,1</v>
      </c>
      <c r="AC90" s="1" t="str">
        <f ca="1">_xlfn.TEXTJOIN(",",TRUE,RANDBETWEEN(-1,1),RANDBETWEEN(-1,1))</f>
        <v>1,-1</v>
      </c>
      <c r="AD90" s="1" t="str">
        <f ca="1">_xlfn.TEXTJOIN(",",TRUE,RANDBETWEEN(-1,1),RANDBETWEEN(-1,1))</f>
        <v>1,-1</v>
      </c>
      <c r="AE90" s="1" t="str">
        <f ca="1">_xlfn.TEXTJOIN(",",TRUE,RANDBETWEEN(-1,1),RANDBETWEEN(-1,1))</f>
        <v>1,0</v>
      </c>
      <c r="AF90" s="1" t="str">
        <f ca="1">_xlfn.TEXTJOIN(",",TRUE,RANDBETWEEN(-1,1),RANDBETWEEN(-1,1))</f>
        <v>-1,1</v>
      </c>
      <c r="AG90" s="1" t="str">
        <f ca="1">_xlfn.TEXTJOIN(",",TRUE,RANDBETWEEN(-1,1),RANDBETWEEN(-1,1))</f>
        <v>-1,0</v>
      </c>
      <c r="AH90" s="1" t="str">
        <f ca="1">_xlfn.TEXTJOIN(",",TRUE,RANDBETWEEN(-1,1),RANDBETWEEN(-1,1))</f>
        <v>-1,0</v>
      </c>
      <c r="AI90" s="1" t="str">
        <f ca="1">_xlfn.TEXTJOIN(",",TRUE,RANDBETWEEN(-1,1),RANDBETWEEN(-1,1))</f>
        <v>1,-1</v>
      </c>
      <c r="AJ90" s="1" t="str">
        <f ca="1">_xlfn.TEXTJOIN(",",TRUE,RANDBETWEEN(-1,1),RANDBETWEEN(-1,1))</f>
        <v>1,0</v>
      </c>
      <c r="AK90" s="1" t="str">
        <f ca="1">_xlfn.TEXTJOIN(",",TRUE,RANDBETWEEN(-1,1),RANDBETWEEN(-1,1))</f>
        <v>0,-1</v>
      </c>
      <c r="AL90" s="1" t="str">
        <f ca="1">_xlfn.TEXTJOIN(",",TRUE,RANDBETWEEN(-1,1),RANDBETWEEN(-1,1))</f>
        <v>0,-1</v>
      </c>
      <c r="AM90" s="1" t="str">
        <f ca="1">_xlfn.TEXTJOIN(",",TRUE,RANDBETWEEN(-1,1),RANDBETWEEN(-1,1))</f>
        <v>1,0</v>
      </c>
      <c r="AN90" s="1" t="str">
        <f ca="1">_xlfn.TEXTJOIN(",",TRUE,RANDBETWEEN(-1,1),RANDBETWEEN(-1,1))</f>
        <v>1,0</v>
      </c>
      <c r="AO90" s="1" t="str">
        <f ca="1">_xlfn.TEXTJOIN(",",TRUE,RANDBETWEEN(-1,1),RANDBETWEEN(-1,1))</f>
        <v>1,1</v>
      </c>
    </row>
    <row r="91" spans="1:41" ht="15.75" customHeight="1">
      <c r="A91" s="1">
        <v>18</v>
      </c>
      <c r="B91" s="1" t="str">
        <f ca="1">_xlfn.TEXTJOIN(",",TRUE,RANDBETWEEN(-1,1),RANDBETWEEN(-1,1))</f>
        <v>0,-1</v>
      </c>
      <c r="C91" s="1" t="str">
        <f ca="1">_xlfn.TEXTJOIN(",",TRUE,RANDBETWEEN(-1,1),RANDBETWEEN(-1,1))</f>
        <v>-1,0</v>
      </c>
      <c r="D91" s="1" t="str">
        <f ca="1">_xlfn.TEXTJOIN(",",TRUE,RANDBETWEEN(-1,1),RANDBETWEEN(-1,1))</f>
        <v>0,1</v>
      </c>
      <c r="E91" s="1" t="str">
        <f ca="1">_xlfn.TEXTJOIN(",",TRUE,RANDBETWEEN(-1,1),RANDBETWEEN(-1,1))</f>
        <v>1,0</v>
      </c>
      <c r="F91" s="1" t="str">
        <f ca="1">_xlfn.TEXTJOIN(",",TRUE,RANDBETWEEN(-1,1),RANDBETWEEN(-1,1))</f>
        <v>1,1</v>
      </c>
      <c r="G91" s="1" t="str">
        <f ca="1">_xlfn.TEXTJOIN(",",TRUE,RANDBETWEEN(-1,1),RANDBETWEEN(-1,1))</f>
        <v>1,0</v>
      </c>
      <c r="H91" s="1" t="str">
        <f ca="1">_xlfn.TEXTJOIN(",",TRUE,RANDBETWEEN(-1,1),RANDBETWEEN(-1,1))</f>
        <v>1,-1</v>
      </c>
      <c r="I91" s="1" t="str">
        <f ca="1">_xlfn.TEXTJOIN(",",TRUE,RANDBETWEEN(-1,1),RANDBETWEEN(-1,1))</f>
        <v>-1,-1</v>
      </c>
      <c r="J91" s="1" t="str">
        <f ca="1">_xlfn.TEXTJOIN(",",TRUE,RANDBETWEEN(-1,1),RANDBETWEEN(-1,1))</f>
        <v>-1,1</v>
      </c>
      <c r="K91" s="1" t="str">
        <f ca="1">_xlfn.TEXTJOIN(",",TRUE,RANDBETWEEN(-1,1),RANDBETWEEN(-1,1))</f>
        <v>1,1</v>
      </c>
      <c r="L91" s="1" t="str">
        <f ca="1">_xlfn.TEXTJOIN(",",TRUE,RANDBETWEEN(-1,1),RANDBETWEEN(-1,1))</f>
        <v>-1,0</v>
      </c>
      <c r="M91" s="1" t="str">
        <f ca="1">_xlfn.TEXTJOIN(",",TRUE,RANDBETWEEN(-1,1),RANDBETWEEN(-1,1))</f>
        <v>1,0</v>
      </c>
      <c r="N91" s="1" t="str">
        <f ca="1">_xlfn.TEXTJOIN(",",TRUE,RANDBETWEEN(-1,1),RANDBETWEEN(-1,1))</f>
        <v>0,-1</v>
      </c>
      <c r="O91" s="1" t="str">
        <f ca="1">_xlfn.TEXTJOIN(",",TRUE,RANDBETWEEN(-1,1),RANDBETWEEN(-1,1))</f>
        <v>0,1</v>
      </c>
      <c r="P91" s="1" t="str">
        <f ca="1">_xlfn.TEXTJOIN(",",TRUE,RANDBETWEEN(-1,1),RANDBETWEEN(-1,1))</f>
        <v>0,1</v>
      </c>
      <c r="Q91" s="1" t="str">
        <f ca="1">_xlfn.TEXTJOIN(",",TRUE,RANDBETWEEN(-1,1),RANDBETWEEN(-1,1))</f>
        <v>1,-1</v>
      </c>
      <c r="R91" s="1" t="str">
        <f ca="1">_xlfn.TEXTJOIN(",",TRUE,RANDBETWEEN(-1,1),RANDBETWEEN(-1,1))</f>
        <v>0,-1</v>
      </c>
      <c r="S91" s="1" t="str">
        <f ca="1">_xlfn.TEXTJOIN(",",TRUE,RANDBETWEEN(-1,1),RANDBETWEEN(-1,1))</f>
        <v>0,0</v>
      </c>
      <c r="T91" s="1" t="str">
        <f ca="1">_xlfn.TEXTJOIN(",",TRUE,RANDBETWEEN(-1,1),RANDBETWEEN(-1,1))</f>
        <v>1,0</v>
      </c>
      <c r="U91" s="1" t="str">
        <f ca="1">_xlfn.TEXTJOIN(",",TRUE,RANDBETWEEN(-1,1),RANDBETWEEN(-1,1))</f>
        <v>0,-1</v>
      </c>
      <c r="V91" s="1" t="str">
        <f ca="1">_xlfn.TEXTJOIN(",",TRUE,RANDBETWEEN(-1,1),RANDBETWEEN(-1,1))</f>
        <v>0,-1</v>
      </c>
      <c r="W91" s="1" t="str">
        <f ca="1">_xlfn.TEXTJOIN(",",TRUE,RANDBETWEEN(-1,1),RANDBETWEEN(-1,1))</f>
        <v>0,-1</v>
      </c>
      <c r="X91" s="1" t="str">
        <f ca="1">_xlfn.TEXTJOIN(",",TRUE,RANDBETWEEN(-1,1),RANDBETWEEN(-1,1))</f>
        <v>1,-1</v>
      </c>
      <c r="Y91" s="1" t="str">
        <f ca="1">_xlfn.TEXTJOIN(",",TRUE,RANDBETWEEN(-1,1),RANDBETWEEN(-1,1))</f>
        <v>-1,0</v>
      </c>
      <c r="Z91" s="1" t="str">
        <f ca="1">_xlfn.TEXTJOIN(",",TRUE,RANDBETWEEN(-1,1),RANDBETWEEN(-1,1))</f>
        <v>-1,-1</v>
      </c>
      <c r="AA91" s="1" t="str">
        <f ca="1">_xlfn.TEXTJOIN(",",TRUE,RANDBETWEEN(-1,1),RANDBETWEEN(-1,1))</f>
        <v>-1,-1</v>
      </c>
      <c r="AB91" s="1" t="str">
        <f ca="1">_xlfn.TEXTJOIN(",",TRUE,RANDBETWEEN(-1,1),RANDBETWEEN(-1,1))</f>
        <v>1,1</v>
      </c>
      <c r="AC91" s="1" t="str">
        <f ca="1">_xlfn.TEXTJOIN(",",TRUE,RANDBETWEEN(-1,1),RANDBETWEEN(-1,1))</f>
        <v>0,0</v>
      </c>
      <c r="AD91" s="1" t="str">
        <f ca="1">_xlfn.TEXTJOIN(",",TRUE,RANDBETWEEN(-1,1),RANDBETWEEN(-1,1))</f>
        <v>0,1</v>
      </c>
      <c r="AE91" s="1" t="str">
        <f ca="1">_xlfn.TEXTJOIN(",",TRUE,RANDBETWEEN(-1,1),RANDBETWEEN(-1,1))</f>
        <v>-1,0</v>
      </c>
      <c r="AF91" s="1" t="str">
        <f ca="1">_xlfn.TEXTJOIN(",",TRUE,RANDBETWEEN(-1,1),RANDBETWEEN(-1,1))</f>
        <v>0,0</v>
      </c>
      <c r="AG91" s="1" t="str">
        <f ca="1">_xlfn.TEXTJOIN(",",TRUE,RANDBETWEEN(-1,1),RANDBETWEEN(-1,1))</f>
        <v>0,0</v>
      </c>
      <c r="AH91" s="1" t="str">
        <f ca="1">_xlfn.TEXTJOIN(",",TRUE,RANDBETWEEN(-1,1),RANDBETWEEN(-1,1))</f>
        <v>1,-1</v>
      </c>
      <c r="AI91" s="1" t="str">
        <f ca="1">_xlfn.TEXTJOIN(",",TRUE,RANDBETWEEN(-1,1),RANDBETWEEN(-1,1))</f>
        <v>0,1</v>
      </c>
      <c r="AJ91" s="1" t="str">
        <f ca="1">_xlfn.TEXTJOIN(",",TRUE,RANDBETWEEN(-1,1),RANDBETWEEN(-1,1))</f>
        <v>0,-1</v>
      </c>
      <c r="AK91" s="1" t="str">
        <f ca="1">_xlfn.TEXTJOIN(",",TRUE,RANDBETWEEN(-1,1),RANDBETWEEN(-1,1))</f>
        <v>-1,0</v>
      </c>
      <c r="AL91" s="1" t="str">
        <f ca="1">_xlfn.TEXTJOIN(",",TRUE,RANDBETWEEN(-1,1),RANDBETWEEN(-1,1))</f>
        <v>1,1</v>
      </c>
      <c r="AM91" s="1" t="str">
        <f ca="1">_xlfn.TEXTJOIN(",",TRUE,RANDBETWEEN(-1,1),RANDBETWEEN(-1,1))</f>
        <v>1,1</v>
      </c>
      <c r="AN91" s="1" t="str">
        <f ca="1">_xlfn.TEXTJOIN(",",TRUE,RANDBETWEEN(-1,1),RANDBETWEEN(-1,1))</f>
        <v>0,-1</v>
      </c>
      <c r="AO91" s="1" t="str">
        <f ca="1">_xlfn.TEXTJOIN(",",TRUE,RANDBETWEEN(-1,1),RANDBETWEEN(-1,1))</f>
        <v>1,1</v>
      </c>
    </row>
    <row r="92" spans="1:41" ht="15.75" customHeight="1">
      <c r="A92" s="1">
        <v>19</v>
      </c>
      <c r="B92" s="1" t="str">
        <f ca="1">_xlfn.TEXTJOIN(",",TRUE,RANDBETWEEN(-1,1),RANDBETWEEN(-1,1))</f>
        <v>1,0</v>
      </c>
      <c r="C92" s="1" t="str">
        <f ca="1">_xlfn.TEXTJOIN(",",TRUE,RANDBETWEEN(-1,1),RANDBETWEEN(-1,1))</f>
        <v>0,0</v>
      </c>
      <c r="D92" s="1" t="str">
        <f ca="1">_xlfn.TEXTJOIN(",",TRUE,RANDBETWEEN(-1,1),RANDBETWEEN(-1,1))</f>
        <v>1,-1</v>
      </c>
      <c r="E92" s="1" t="str">
        <f ca="1">_xlfn.TEXTJOIN(",",TRUE,RANDBETWEEN(-1,1),RANDBETWEEN(-1,1))</f>
        <v>-1,0</v>
      </c>
      <c r="F92" s="1" t="str">
        <f ca="1">_xlfn.TEXTJOIN(",",TRUE,RANDBETWEEN(-1,1),RANDBETWEEN(-1,1))</f>
        <v>1,1</v>
      </c>
      <c r="G92" s="1" t="str">
        <f ca="1">_xlfn.TEXTJOIN(",",TRUE,RANDBETWEEN(-1,1),RANDBETWEEN(-1,1))</f>
        <v>-1,0</v>
      </c>
      <c r="H92" s="1" t="str">
        <f ca="1">_xlfn.TEXTJOIN(",",TRUE,RANDBETWEEN(-1,1),RANDBETWEEN(-1,1))</f>
        <v>1,1</v>
      </c>
      <c r="I92" s="1" t="str">
        <f ca="1">_xlfn.TEXTJOIN(",",TRUE,RANDBETWEEN(-1,1),RANDBETWEEN(-1,1))</f>
        <v>0,0</v>
      </c>
      <c r="J92" s="1" t="str">
        <f ca="1">_xlfn.TEXTJOIN(",",TRUE,RANDBETWEEN(-1,1),RANDBETWEEN(-1,1))</f>
        <v>0,1</v>
      </c>
      <c r="K92" s="1" t="str">
        <f ca="1">_xlfn.TEXTJOIN(",",TRUE,RANDBETWEEN(-1,1),RANDBETWEEN(-1,1))</f>
        <v>-1,1</v>
      </c>
      <c r="L92" s="1" t="str">
        <f ca="1">_xlfn.TEXTJOIN(",",TRUE,RANDBETWEEN(-1,1),RANDBETWEEN(-1,1))</f>
        <v>0,0</v>
      </c>
      <c r="M92" s="1" t="str">
        <f ca="1">_xlfn.TEXTJOIN(",",TRUE,RANDBETWEEN(-1,1),RANDBETWEEN(-1,1))</f>
        <v>0,1</v>
      </c>
      <c r="N92" s="1" t="str">
        <f ca="1">_xlfn.TEXTJOIN(",",TRUE,RANDBETWEEN(-1,1),RANDBETWEEN(-1,1))</f>
        <v>1,-1</v>
      </c>
      <c r="O92" s="1" t="str">
        <f ca="1">_xlfn.TEXTJOIN(",",TRUE,RANDBETWEEN(-1,1),RANDBETWEEN(-1,1))</f>
        <v>0,1</v>
      </c>
      <c r="P92" s="1" t="str">
        <f ca="1">_xlfn.TEXTJOIN(",",TRUE,RANDBETWEEN(-1,1),RANDBETWEEN(-1,1))</f>
        <v>-1,0</v>
      </c>
      <c r="Q92" s="1" t="str">
        <f ca="1">_xlfn.TEXTJOIN(",",TRUE,RANDBETWEEN(-1,1),RANDBETWEEN(-1,1))</f>
        <v>1,-1</v>
      </c>
      <c r="R92" s="1" t="str">
        <f ca="1">_xlfn.TEXTJOIN(",",TRUE,RANDBETWEEN(-1,1),RANDBETWEEN(-1,1))</f>
        <v>-1,-1</v>
      </c>
      <c r="S92" s="1" t="str">
        <f ca="1">_xlfn.TEXTJOIN(",",TRUE,RANDBETWEEN(-1,1),RANDBETWEEN(-1,1))</f>
        <v>-1,0</v>
      </c>
      <c r="T92" s="1" t="str">
        <f ca="1">_xlfn.TEXTJOIN(",",TRUE,RANDBETWEEN(-1,1),RANDBETWEEN(-1,1))</f>
        <v>-1,1</v>
      </c>
      <c r="U92" s="1" t="str">
        <f ca="1">_xlfn.TEXTJOIN(",",TRUE,RANDBETWEEN(-1,1),RANDBETWEEN(-1,1))</f>
        <v>1,1</v>
      </c>
      <c r="V92" s="1" t="str">
        <f ca="1">_xlfn.TEXTJOIN(",",TRUE,RANDBETWEEN(-1,1),RANDBETWEEN(-1,1))</f>
        <v>0,-1</v>
      </c>
      <c r="W92" s="1" t="str">
        <f ca="1">_xlfn.TEXTJOIN(",",TRUE,RANDBETWEEN(-1,1),RANDBETWEEN(-1,1))</f>
        <v>-1,-1</v>
      </c>
      <c r="X92" s="1" t="str">
        <f ca="1">_xlfn.TEXTJOIN(",",TRUE,RANDBETWEEN(-1,1),RANDBETWEEN(-1,1))</f>
        <v>1,0</v>
      </c>
      <c r="Y92" s="1" t="str">
        <f ca="1">_xlfn.TEXTJOIN(",",TRUE,RANDBETWEEN(-1,1),RANDBETWEEN(-1,1))</f>
        <v>0,0</v>
      </c>
      <c r="Z92" s="1" t="str">
        <f ca="1">_xlfn.TEXTJOIN(",",TRUE,RANDBETWEEN(-1,1),RANDBETWEEN(-1,1))</f>
        <v>0,1</v>
      </c>
      <c r="AA92" s="1" t="str">
        <f ca="1">_xlfn.TEXTJOIN(",",TRUE,RANDBETWEEN(-1,1),RANDBETWEEN(-1,1))</f>
        <v>1,1</v>
      </c>
      <c r="AB92" s="1" t="str">
        <f ca="1">_xlfn.TEXTJOIN(",",TRUE,RANDBETWEEN(-1,1),RANDBETWEEN(-1,1))</f>
        <v>0,0</v>
      </c>
      <c r="AC92" s="1" t="str">
        <f ca="1">_xlfn.TEXTJOIN(",",TRUE,RANDBETWEEN(-1,1),RANDBETWEEN(-1,1))</f>
        <v>1,0</v>
      </c>
      <c r="AD92" s="1" t="str">
        <f ca="1">_xlfn.TEXTJOIN(",",TRUE,RANDBETWEEN(-1,1),RANDBETWEEN(-1,1))</f>
        <v>1,0</v>
      </c>
      <c r="AE92" s="1" t="str">
        <f ca="1">_xlfn.TEXTJOIN(",",TRUE,RANDBETWEEN(-1,1),RANDBETWEEN(-1,1))</f>
        <v>1,1</v>
      </c>
      <c r="AF92" s="1" t="str">
        <f ca="1">_xlfn.TEXTJOIN(",",TRUE,RANDBETWEEN(-1,1),RANDBETWEEN(-1,1))</f>
        <v>0,-1</v>
      </c>
      <c r="AG92" s="1" t="str">
        <f ca="1">_xlfn.TEXTJOIN(",",TRUE,RANDBETWEEN(-1,1),RANDBETWEEN(-1,1))</f>
        <v>0,-1</v>
      </c>
      <c r="AH92" s="1" t="str">
        <f ca="1">_xlfn.TEXTJOIN(",",TRUE,RANDBETWEEN(-1,1),RANDBETWEEN(-1,1))</f>
        <v>1,1</v>
      </c>
      <c r="AI92" s="1" t="str">
        <f ca="1">_xlfn.TEXTJOIN(",",TRUE,RANDBETWEEN(-1,1),RANDBETWEEN(-1,1))</f>
        <v>-1,0</v>
      </c>
      <c r="AJ92" s="1" t="str">
        <f ca="1">_xlfn.TEXTJOIN(",",TRUE,RANDBETWEEN(-1,1),RANDBETWEEN(-1,1))</f>
        <v>1,0</v>
      </c>
      <c r="AK92" s="1" t="str">
        <f ca="1">_xlfn.TEXTJOIN(",",TRUE,RANDBETWEEN(-1,1),RANDBETWEEN(-1,1))</f>
        <v>1,1</v>
      </c>
      <c r="AL92" s="1" t="str">
        <f ca="1">_xlfn.TEXTJOIN(",",TRUE,RANDBETWEEN(-1,1),RANDBETWEEN(-1,1))</f>
        <v>-1,-1</v>
      </c>
      <c r="AM92" s="1" t="str">
        <f ca="1">_xlfn.TEXTJOIN(",",TRUE,RANDBETWEEN(-1,1),RANDBETWEEN(-1,1))</f>
        <v>-1,1</v>
      </c>
      <c r="AN92" s="1" t="str">
        <f ca="1">_xlfn.TEXTJOIN(",",TRUE,RANDBETWEEN(-1,1),RANDBETWEEN(-1,1))</f>
        <v>1,0</v>
      </c>
      <c r="AO92" s="1" t="str">
        <f ca="1">_xlfn.TEXTJOIN(",",TRUE,RANDBETWEEN(-1,1),RANDBETWEEN(-1,1))</f>
        <v>-1,1</v>
      </c>
    </row>
    <row r="93" spans="1:41" ht="15.75" customHeight="1">
      <c r="A93" s="1">
        <v>20</v>
      </c>
      <c r="B93" s="1" t="str">
        <f ca="1">_xlfn.TEXTJOIN(",",TRUE,RANDBETWEEN(-1,1),RANDBETWEEN(-1,1))</f>
        <v>0,-1</v>
      </c>
      <c r="C93" s="1" t="str">
        <f ca="1">_xlfn.TEXTJOIN(",",TRUE,RANDBETWEEN(-1,1),RANDBETWEEN(-1,1))</f>
        <v>-1,-1</v>
      </c>
      <c r="D93" s="1" t="str">
        <f ca="1">_xlfn.TEXTJOIN(",",TRUE,RANDBETWEEN(-1,1),RANDBETWEEN(-1,1))</f>
        <v>-1,1</v>
      </c>
      <c r="E93" s="1" t="str">
        <f ca="1">_xlfn.TEXTJOIN(",",TRUE,RANDBETWEEN(-1,1),RANDBETWEEN(-1,1))</f>
        <v>-1,0</v>
      </c>
      <c r="F93" s="1" t="str">
        <f ca="1">_xlfn.TEXTJOIN(",",TRUE,RANDBETWEEN(-1,1),RANDBETWEEN(-1,1))</f>
        <v>0,0</v>
      </c>
      <c r="G93" s="1" t="str">
        <f ca="1">_xlfn.TEXTJOIN(",",TRUE,RANDBETWEEN(-1,1),RANDBETWEEN(-1,1))</f>
        <v>0,1</v>
      </c>
      <c r="H93" s="1" t="str">
        <f ca="1">_xlfn.TEXTJOIN(",",TRUE,RANDBETWEEN(-1,1),RANDBETWEEN(-1,1))</f>
        <v>-1,-1</v>
      </c>
      <c r="I93" s="1" t="str">
        <f ca="1">_xlfn.TEXTJOIN(",",TRUE,RANDBETWEEN(-1,1),RANDBETWEEN(-1,1))</f>
        <v>0,1</v>
      </c>
      <c r="J93" s="1" t="str">
        <f ca="1">_xlfn.TEXTJOIN(",",TRUE,RANDBETWEEN(-1,1),RANDBETWEEN(-1,1))</f>
        <v>1,-1</v>
      </c>
      <c r="K93" s="1" t="str">
        <f ca="1">_xlfn.TEXTJOIN(",",TRUE,RANDBETWEEN(-1,1),RANDBETWEEN(-1,1))</f>
        <v>1,1</v>
      </c>
      <c r="L93" s="1" t="str">
        <f ca="1">_xlfn.TEXTJOIN(",",TRUE,RANDBETWEEN(-1,1),RANDBETWEEN(-1,1))</f>
        <v>1,-1</v>
      </c>
      <c r="M93" s="1" t="str">
        <f ca="1">_xlfn.TEXTJOIN(",",TRUE,RANDBETWEEN(-1,1),RANDBETWEEN(-1,1))</f>
        <v>0,1</v>
      </c>
      <c r="N93" s="1" t="str">
        <f ca="1">_xlfn.TEXTJOIN(",",TRUE,RANDBETWEEN(-1,1),RANDBETWEEN(-1,1))</f>
        <v>-1,0</v>
      </c>
      <c r="O93" s="1" t="str">
        <f ca="1">_xlfn.TEXTJOIN(",",TRUE,RANDBETWEEN(-1,1),RANDBETWEEN(-1,1))</f>
        <v>-1,1</v>
      </c>
      <c r="P93" s="1" t="str">
        <f ca="1">_xlfn.TEXTJOIN(",",TRUE,RANDBETWEEN(-1,1),RANDBETWEEN(-1,1))</f>
        <v>0,0</v>
      </c>
      <c r="Q93" s="1" t="str">
        <f ca="1">_xlfn.TEXTJOIN(",",TRUE,RANDBETWEEN(-1,1),RANDBETWEEN(-1,1))</f>
        <v>0,-1</v>
      </c>
      <c r="R93" s="1" t="str">
        <f ca="1">_xlfn.TEXTJOIN(",",TRUE,RANDBETWEEN(-1,1),RANDBETWEEN(-1,1))</f>
        <v>1,-1</v>
      </c>
      <c r="S93" s="1" t="str">
        <f ca="1">_xlfn.TEXTJOIN(",",TRUE,RANDBETWEEN(-1,1),RANDBETWEEN(-1,1))</f>
        <v>0,0</v>
      </c>
      <c r="T93" s="1" t="str">
        <f ca="1">_xlfn.TEXTJOIN(",",TRUE,RANDBETWEEN(-1,1),RANDBETWEEN(-1,1))</f>
        <v>1,0</v>
      </c>
      <c r="U93" s="1" t="str">
        <f ca="1">_xlfn.TEXTJOIN(",",TRUE,RANDBETWEEN(-1,1),RANDBETWEEN(-1,1))</f>
        <v>1,-1</v>
      </c>
      <c r="V93" s="1" t="str">
        <f ca="1">_xlfn.TEXTJOIN(",",TRUE,RANDBETWEEN(-1,1),RANDBETWEEN(-1,1))</f>
        <v>-1,-1</v>
      </c>
      <c r="W93" s="1" t="str">
        <f ca="1">_xlfn.TEXTJOIN(",",TRUE,RANDBETWEEN(-1,1),RANDBETWEEN(-1,1))</f>
        <v>0,1</v>
      </c>
      <c r="X93" s="1" t="str">
        <f ca="1">_xlfn.TEXTJOIN(",",TRUE,RANDBETWEEN(-1,1),RANDBETWEEN(-1,1))</f>
        <v>1,1</v>
      </c>
      <c r="Y93" s="1" t="str">
        <f ca="1">_xlfn.TEXTJOIN(",",TRUE,RANDBETWEEN(-1,1),RANDBETWEEN(-1,1))</f>
        <v>-1,0</v>
      </c>
      <c r="Z93" s="1" t="str">
        <f ca="1">_xlfn.TEXTJOIN(",",TRUE,RANDBETWEEN(-1,1),RANDBETWEEN(-1,1))</f>
        <v>-1,0</v>
      </c>
      <c r="AA93" s="1" t="str">
        <f ca="1">_xlfn.TEXTJOIN(",",TRUE,RANDBETWEEN(-1,1),RANDBETWEEN(-1,1))</f>
        <v>1,-1</v>
      </c>
      <c r="AB93" s="1" t="str">
        <f ca="1">_xlfn.TEXTJOIN(",",TRUE,RANDBETWEEN(-1,1),RANDBETWEEN(-1,1))</f>
        <v>0,0</v>
      </c>
      <c r="AC93" s="1" t="str">
        <f ca="1">_xlfn.TEXTJOIN(",",TRUE,RANDBETWEEN(-1,1),RANDBETWEEN(-1,1))</f>
        <v>1,0</v>
      </c>
      <c r="AD93" s="1" t="str">
        <f ca="1">_xlfn.TEXTJOIN(",",TRUE,RANDBETWEEN(-1,1),RANDBETWEEN(-1,1))</f>
        <v>0,-1</v>
      </c>
      <c r="AE93" s="1" t="str">
        <f ca="1">_xlfn.TEXTJOIN(",",TRUE,RANDBETWEEN(-1,1),RANDBETWEEN(-1,1))</f>
        <v>-1,1</v>
      </c>
      <c r="AF93" s="1" t="str">
        <f ca="1">_xlfn.TEXTJOIN(",",TRUE,RANDBETWEEN(-1,1),RANDBETWEEN(-1,1))</f>
        <v>0,0</v>
      </c>
      <c r="AG93" s="1" t="str">
        <f ca="1">_xlfn.TEXTJOIN(",",TRUE,RANDBETWEEN(-1,1),RANDBETWEEN(-1,1))</f>
        <v>-1,-1</v>
      </c>
      <c r="AH93" s="1" t="str">
        <f ca="1">_xlfn.TEXTJOIN(",",TRUE,RANDBETWEEN(-1,1),RANDBETWEEN(-1,1))</f>
        <v>1,0</v>
      </c>
      <c r="AI93" s="1" t="str">
        <f ca="1">_xlfn.TEXTJOIN(",",TRUE,RANDBETWEEN(-1,1),RANDBETWEEN(-1,1))</f>
        <v>1,0</v>
      </c>
      <c r="AJ93" s="1" t="str">
        <f ca="1">_xlfn.TEXTJOIN(",",TRUE,RANDBETWEEN(-1,1),RANDBETWEEN(-1,1))</f>
        <v>0,1</v>
      </c>
      <c r="AK93" s="1" t="str">
        <f ca="1">_xlfn.TEXTJOIN(",",TRUE,RANDBETWEEN(-1,1),RANDBETWEEN(-1,1))</f>
        <v>-1,-1</v>
      </c>
      <c r="AL93" s="1" t="str">
        <f ca="1">_xlfn.TEXTJOIN(",",TRUE,RANDBETWEEN(-1,1),RANDBETWEEN(-1,1))</f>
        <v>1,-1</v>
      </c>
      <c r="AM93" s="1" t="str">
        <f ca="1">_xlfn.TEXTJOIN(",",TRUE,RANDBETWEEN(-1,1),RANDBETWEEN(-1,1))</f>
        <v>1,-1</v>
      </c>
      <c r="AN93" s="1" t="str">
        <f ca="1">_xlfn.TEXTJOIN(",",TRUE,RANDBETWEEN(-1,1),RANDBETWEEN(-1,1))</f>
        <v>-1,1</v>
      </c>
      <c r="AO93" s="1" t="str">
        <f ca="1">_xlfn.TEXTJOIN(",",TRUE,RANDBETWEEN(-1,1),RANDBETWEEN(-1,1))</f>
        <v>-1,-1</v>
      </c>
    </row>
    <row r="94" spans="1:41" ht="15.75" customHeight="1">
      <c r="A94" s="1">
        <v>21</v>
      </c>
      <c r="B94" s="1" t="str">
        <f ca="1">_xlfn.TEXTJOIN(",",TRUE,RANDBETWEEN(-1,1),RANDBETWEEN(-1,1))</f>
        <v>0,1</v>
      </c>
      <c r="C94" s="1" t="str">
        <f ca="1">_xlfn.TEXTJOIN(",",TRUE,RANDBETWEEN(-1,1),RANDBETWEEN(-1,1))</f>
        <v>1,1</v>
      </c>
      <c r="D94" s="1" t="str">
        <f ca="1">_xlfn.TEXTJOIN(",",TRUE,RANDBETWEEN(-1,1),RANDBETWEEN(-1,1))</f>
        <v>1,-1</v>
      </c>
      <c r="E94" s="1" t="str">
        <f ca="1">_xlfn.TEXTJOIN(",",TRUE,RANDBETWEEN(-1,1),RANDBETWEEN(-1,1))</f>
        <v>1,-1</v>
      </c>
      <c r="F94" s="1" t="str">
        <f ca="1">_xlfn.TEXTJOIN(",",TRUE,RANDBETWEEN(-1,1),RANDBETWEEN(-1,1))</f>
        <v>0,1</v>
      </c>
      <c r="G94" s="1" t="str">
        <f ca="1">_xlfn.TEXTJOIN(",",TRUE,RANDBETWEEN(-1,1),RANDBETWEEN(-1,1))</f>
        <v>1,0</v>
      </c>
      <c r="H94" s="1" t="str">
        <f ca="1">_xlfn.TEXTJOIN(",",TRUE,RANDBETWEEN(-1,1),RANDBETWEEN(-1,1))</f>
        <v>1,1</v>
      </c>
      <c r="I94" s="1" t="str">
        <f ca="1">_xlfn.TEXTJOIN(",",TRUE,RANDBETWEEN(-1,1),RANDBETWEEN(-1,1))</f>
        <v>0,0</v>
      </c>
      <c r="J94" s="1" t="str">
        <f ca="1">_xlfn.TEXTJOIN(",",TRUE,RANDBETWEEN(-1,1),RANDBETWEEN(-1,1))</f>
        <v>-1,-1</v>
      </c>
      <c r="K94" s="1" t="str">
        <f ca="1">_xlfn.TEXTJOIN(",",TRUE,RANDBETWEEN(-1,1),RANDBETWEEN(-1,1))</f>
        <v>0,1</v>
      </c>
      <c r="L94" s="1" t="str">
        <f ca="1">_xlfn.TEXTJOIN(",",TRUE,RANDBETWEEN(-1,1),RANDBETWEEN(-1,1))</f>
        <v>0,0</v>
      </c>
      <c r="M94" s="1" t="str">
        <f ca="1">_xlfn.TEXTJOIN(",",TRUE,RANDBETWEEN(-1,1),RANDBETWEEN(-1,1))</f>
        <v>1,-1</v>
      </c>
      <c r="N94" s="1" t="str">
        <f ca="1">_xlfn.TEXTJOIN(",",TRUE,RANDBETWEEN(-1,1),RANDBETWEEN(-1,1))</f>
        <v>-1,1</v>
      </c>
      <c r="O94" s="1" t="str">
        <f ca="1">_xlfn.TEXTJOIN(",",TRUE,RANDBETWEEN(-1,1),RANDBETWEEN(-1,1))</f>
        <v>-1,-1</v>
      </c>
      <c r="P94" s="1" t="str">
        <f ca="1">_xlfn.TEXTJOIN(",",TRUE,RANDBETWEEN(-1,1),RANDBETWEEN(-1,1))</f>
        <v>1,0</v>
      </c>
      <c r="Q94" s="1" t="str">
        <f ca="1">_xlfn.TEXTJOIN(",",TRUE,RANDBETWEEN(-1,1),RANDBETWEEN(-1,1))</f>
        <v>0,-1</v>
      </c>
      <c r="R94" s="1" t="str">
        <f ca="1">_xlfn.TEXTJOIN(",",TRUE,RANDBETWEEN(-1,1),RANDBETWEEN(-1,1))</f>
        <v>0,-1</v>
      </c>
      <c r="S94" s="1" t="str">
        <f ca="1">_xlfn.TEXTJOIN(",",TRUE,RANDBETWEEN(-1,1),RANDBETWEEN(-1,1))</f>
        <v>1,-1</v>
      </c>
      <c r="T94" s="1" t="str">
        <f ca="1">_xlfn.TEXTJOIN(",",TRUE,RANDBETWEEN(-1,1),RANDBETWEEN(-1,1))</f>
        <v>-1,-1</v>
      </c>
      <c r="U94" s="1" t="str">
        <f ca="1">_xlfn.TEXTJOIN(",",TRUE,RANDBETWEEN(-1,1),RANDBETWEEN(-1,1))</f>
        <v>0,1</v>
      </c>
      <c r="V94" s="1" t="str">
        <f ca="1">_xlfn.TEXTJOIN(",",TRUE,RANDBETWEEN(-1,1),RANDBETWEEN(-1,1))</f>
        <v>1,-1</v>
      </c>
      <c r="W94" s="1" t="str">
        <f ca="1">_xlfn.TEXTJOIN(",",TRUE,RANDBETWEEN(-1,1),RANDBETWEEN(-1,1))</f>
        <v>1,1</v>
      </c>
      <c r="X94" s="1" t="str">
        <f ca="1">_xlfn.TEXTJOIN(",",TRUE,RANDBETWEEN(-1,1),RANDBETWEEN(-1,1))</f>
        <v>0,0</v>
      </c>
      <c r="Y94" s="1" t="str">
        <f ca="1">_xlfn.TEXTJOIN(",",TRUE,RANDBETWEEN(-1,1),RANDBETWEEN(-1,1))</f>
        <v>-1,0</v>
      </c>
      <c r="Z94" s="1" t="str">
        <f ca="1">_xlfn.TEXTJOIN(",",TRUE,RANDBETWEEN(-1,1),RANDBETWEEN(-1,1))</f>
        <v>0,0</v>
      </c>
      <c r="AA94" s="1" t="str">
        <f ca="1">_xlfn.TEXTJOIN(",",TRUE,RANDBETWEEN(-1,1),RANDBETWEEN(-1,1))</f>
        <v>0,0</v>
      </c>
      <c r="AB94" s="1" t="str">
        <f ca="1">_xlfn.TEXTJOIN(",",TRUE,RANDBETWEEN(-1,1),RANDBETWEEN(-1,1))</f>
        <v>1,0</v>
      </c>
      <c r="AC94" s="1" t="str">
        <f ca="1">_xlfn.TEXTJOIN(",",TRUE,RANDBETWEEN(-1,1),RANDBETWEEN(-1,1))</f>
        <v>0,-1</v>
      </c>
      <c r="AD94" s="1" t="str">
        <f ca="1">_xlfn.TEXTJOIN(",",TRUE,RANDBETWEEN(-1,1),RANDBETWEEN(-1,1))</f>
        <v>-1,0</v>
      </c>
      <c r="AE94" s="1" t="str">
        <f ca="1">_xlfn.TEXTJOIN(",",TRUE,RANDBETWEEN(-1,1),RANDBETWEEN(-1,1))</f>
        <v>1,0</v>
      </c>
      <c r="AF94" s="1" t="str">
        <f ca="1">_xlfn.TEXTJOIN(",",TRUE,RANDBETWEEN(-1,1),RANDBETWEEN(-1,1))</f>
        <v>1,0</v>
      </c>
      <c r="AG94" s="1" t="str">
        <f ca="1">_xlfn.TEXTJOIN(",",TRUE,RANDBETWEEN(-1,1),RANDBETWEEN(-1,1))</f>
        <v>-1,-1</v>
      </c>
      <c r="AH94" s="1" t="str">
        <f ca="1">_xlfn.TEXTJOIN(",",TRUE,RANDBETWEEN(-1,1),RANDBETWEEN(-1,1))</f>
        <v>1,0</v>
      </c>
      <c r="AI94" s="1" t="str">
        <f ca="1">_xlfn.TEXTJOIN(",",TRUE,RANDBETWEEN(-1,1),RANDBETWEEN(-1,1))</f>
        <v>-1,1</v>
      </c>
      <c r="AJ94" s="1" t="str">
        <f ca="1">_xlfn.TEXTJOIN(",",TRUE,RANDBETWEEN(-1,1),RANDBETWEEN(-1,1))</f>
        <v>1,0</v>
      </c>
      <c r="AK94" s="1" t="str">
        <f ca="1">_xlfn.TEXTJOIN(",",TRUE,RANDBETWEEN(-1,1),RANDBETWEEN(-1,1))</f>
        <v>1,-1</v>
      </c>
      <c r="AL94" s="1" t="str">
        <f ca="1">_xlfn.TEXTJOIN(",",TRUE,RANDBETWEEN(-1,1),RANDBETWEEN(-1,1))</f>
        <v>0,-1</v>
      </c>
      <c r="AM94" s="1" t="str">
        <f ca="1">_xlfn.TEXTJOIN(",",TRUE,RANDBETWEEN(-1,1),RANDBETWEEN(-1,1))</f>
        <v>1,0</v>
      </c>
      <c r="AN94" s="1" t="str">
        <f ca="1">_xlfn.TEXTJOIN(",",TRUE,RANDBETWEEN(-1,1),RANDBETWEEN(-1,1))</f>
        <v>1,1</v>
      </c>
      <c r="AO94" s="1" t="str">
        <f ca="1">_xlfn.TEXTJOIN(",",TRUE,RANDBETWEEN(-1,1),RANDBETWEEN(-1,1))</f>
        <v>1,-1</v>
      </c>
    </row>
    <row r="95" spans="1:41" ht="15.75" customHeight="1">
      <c r="A95" s="1">
        <v>22</v>
      </c>
      <c r="B95" s="1" t="str">
        <f ca="1">_xlfn.TEXTJOIN(",",TRUE,RANDBETWEEN(-1,1),RANDBETWEEN(-1,1))</f>
        <v>1,0</v>
      </c>
      <c r="C95" s="1" t="str">
        <f ca="1">_xlfn.TEXTJOIN(",",TRUE,RANDBETWEEN(-1,1),RANDBETWEEN(-1,1))</f>
        <v>1,0</v>
      </c>
      <c r="D95" s="1" t="str">
        <f ca="1">_xlfn.TEXTJOIN(",",TRUE,RANDBETWEEN(-1,1),RANDBETWEEN(-1,1))</f>
        <v>1,1</v>
      </c>
      <c r="E95" s="1" t="str">
        <f ca="1">_xlfn.TEXTJOIN(",",TRUE,RANDBETWEEN(-1,1),RANDBETWEEN(-1,1))</f>
        <v>1,1</v>
      </c>
      <c r="F95" s="1" t="str">
        <f ca="1">_xlfn.TEXTJOIN(",",TRUE,RANDBETWEEN(-1,1),RANDBETWEEN(-1,1))</f>
        <v>1,0</v>
      </c>
      <c r="G95" s="1" t="str">
        <f ca="1">_xlfn.TEXTJOIN(",",TRUE,RANDBETWEEN(-1,1),RANDBETWEEN(-1,1))</f>
        <v>0,0</v>
      </c>
      <c r="H95" s="1" t="str">
        <f ca="1">_xlfn.TEXTJOIN(",",TRUE,RANDBETWEEN(-1,1),RANDBETWEEN(-1,1))</f>
        <v>1,-1</v>
      </c>
      <c r="I95" s="1" t="str">
        <f ca="1">_xlfn.TEXTJOIN(",",TRUE,RANDBETWEEN(-1,1),RANDBETWEEN(-1,1))</f>
        <v>0,0</v>
      </c>
      <c r="J95" s="1" t="str">
        <f ca="1">_xlfn.TEXTJOIN(",",TRUE,RANDBETWEEN(-1,1),RANDBETWEEN(-1,1))</f>
        <v>0,-1</v>
      </c>
      <c r="K95" s="1" t="str">
        <f ca="1">_xlfn.TEXTJOIN(",",TRUE,RANDBETWEEN(-1,1),RANDBETWEEN(-1,1))</f>
        <v>0,1</v>
      </c>
      <c r="L95" s="1" t="str">
        <f ca="1">_xlfn.TEXTJOIN(",",TRUE,RANDBETWEEN(-1,1),RANDBETWEEN(-1,1))</f>
        <v>0,0</v>
      </c>
      <c r="M95" s="1" t="str">
        <f ca="1">_xlfn.TEXTJOIN(",",TRUE,RANDBETWEEN(-1,1),RANDBETWEEN(-1,1))</f>
        <v>-1,0</v>
      </c>
      <c r="N95" s="1" t="str">
        <f ca="1">_xlfn.TEXTJOIN(",",TRUE,RANDBETWEEN(-1,1),RANDBETWEEN(-1,1))</f>
        <v>-1,-1</v>
      </c>
      <c r="O95" s="1" t="str">
        <f ca="1">_xlfn.TEXTJOIN(",",TRUE,RANDBETWEEN(-1,1),RANDBETWEEN(-1,1))</f>
        <v>0,0</v>
      </c>
      <c r="P95" s="1" t="str">
        <f ca="1">_xlfn.TEXTJOIN(",",TRUE,RANDBETWEEN(-1,1),RANDBETWEEN(-1,1))</f>
        <v>1,0</v>
      </c>
      <c r="Q95" s="1" t="str">
        <f ca="1">_xlfn.TEXTJOIN(",",TRUE,RANDBETWEEN(-1,1),RANDBETWEEN(-1,1))</f>
        <v>1,1</v>
      </c>
      <c r="R95" s="1" t="str">
        <f ca="1">_xlfn.TEXTJOIN(",",TRUE,RANDBETWEEN(-1,1),RANDBETWEEN(-1,1))</f>
        <v>0,-1</v>
      </c>
      <c r="S95" s="1" t="str">
        <f ca="1">_xlfn.TEXTJOIN(",",TRUE,RANDBETWEEN(-1,1),RANDBETWEEN(-1,1))</f>
        <v>0,1</v>
      </c>
      <c r="T95" s="1" t="str">
        <f ca="1">_xlfn.TEXTJOIN(",",TRUE,RANDBETWEEN(-1,1),RANDBETWEEN(-1,1))</f>
        <v>0,-1</v>
      </c>
      <c r="U95" s="1" t="str">
        <f ca="1">_xlfn.TEXTJOIN(",",TRUE,RANDBETWEEN(-1,1),RANDBETWEEN(-1,1))</f>
        <v>-1,0</v>
      </c>
      <c r="V95" s="1" t="str">
        <f ca="1">_xlfn.TEXTJOIN(",",TRUE,RANDBETWEEN(-1,1),RANDBETWEEN(-1,1))</f>
        <v>0,0</v>
      </c>
      <c r="W95" s="1" t="str">
        <f ca="1">_xlfn.TEXTJOIN(",",TRUE,RANDBETWEEN(-1,1),RANDBETWEEN(-1,1))</f>
        <v>-1,-1</v>
      </c>
      <c r="X95" s="1" t="str">
        <f ca="1">_xlfn.TEXTJOIN(",",TRUE,RANDBETWEEN(-1,1),RANDBETWEEN(-1,1))</f>
        <v>0,-1</v>
      </c>
      <c r="Y95" s="1" t="str">
        <f ca="1">_xlfn.TEXTJOIN(",",TRUE,RANDBETWEEN(-1,1),RANDBETWEEN(-1,1))</f>
        <v>0,0</v>
      </c>
      <c r="Z95" s="1" t="str">
        <f ca="1">_xlfn.TEXTJOIN(",",TRUE,RANDBETWEEN(-1,1),RANDBETWEEN(-1,1))</f>
        <v>-1,0</v>
      </c>
      <c r="AA95" s="1" t="str">
        <f ca="1">_xlfn.TEXTJOIN(",",TRUE,RANDBETWEEN(-1,1),RANDBETWEEN(-1,1))</f>
        <v>-1,1</v>
      </c>
      <c r="AB95" s="1" t="str">
        <f ca="1">_xlfn.TEXTJOIN(",",TRUE,RANDBETWEEN(-1,1),RANDBETWEEN(-1,1))</f>
        <v>0,-1</v>
      </c>
      <c r="AC95" s="1" t="str">
        <f ca="1">_xlfn.TEXTJOIN(",",TRUE,RANDBETWEEN(-1,1),RANDBETWEEN(-1,1))</f>
        <v>0,0</v>
      </c>
      <c r="AD95" s="1" t="str">
        <f ca="1">_xlfn.TEXTJOIN(",",TRUE,RANDBETWEEN(-1,1),RANDBETWEEN(-1,1))</f>
        <v>0,1</v>
      </c>
      <c r="AE95" s="1" t="str">
        <f ca="1">_xlfn.TEXTJOIN(",",TRUE,RANDBETWEEN(-1,1),RANDBETWEEN(-1,1))</f>
        <v>-1,-1</v>
      </c>
      <c r="AF95" s="1" t="str">
        <f ca="1">_xlfn.TEXTJOIN(",",TRUE,RANDBETWEEN(-1,1),RANDBETWEEN(-1,1))</f>
        <v>1,1</v>
      </c>
      <c r="AG95" s="1" t="str">
        <f ca="1">_xlfn.TEXTJOIN(",",TRUE,RANDBETWEEN(-1,1),RANDBETWEEN(-1,1))</f>
        <v>-1,0</v>
      </c>
      <c r="AH95" s="1" t="str">
        <f ca="1">_xlfn.TEXTJOIN(",",TRUE,RANDBETWEEN(-1,1),RANDBETWEEN(-1,1))</f>
        <v>1,0</v>
      </c>
      <c r="AI95" s="1" t="str">
        <f ca="1">_xlfn.TEXTJOIN(",",TRUE,RANDBETWEEN(-1,1),RANDBETWEEN(-1,1))</f>
        <v>1,-1</v>
      </c>
      <c r="AJ95" s="1" t="str">
        <f ca="1">_xlfn.TEXTJOIN(",",TRUE,RANDBETWEEN(-1,1),RANDBETWEEN(-1,1))</f>
        <v>1,0</v>
      </c>
      <c r="AK95" s="1" t="str">
        <f ca="1">_xlfn.TEXTJOIN(",",TRUE,RANDBETWEEN(-1,1),RANDBETWEEN(-1,1))</f>
        <v>1,-1</v>
      </c>
      <c r="AL95" s="1" t="str">
        <f ca="1">_xlfn.TEXTJOIN(",",TRUE,RANDBETWEEN(-1,1),RANDBETWEEN(-1,1))</f>
        <v>1,-1</v>
      </c>
      <c r="AM95" s="1" t="str">
        <f ca="1">_xlfn.TEXTJOIN(",",TRUE,RANDBETWEEN(-1,1),RANDBETWEEN(-1,1))</f>
        <v>0,1</v>
      </c>
      <c r="AN95" s="1" t="str">
        <f ca="1">_xlfn.TEXTJOIN(",",TRUE,RANDBETWEEN(-1,1),RANDBETWEEN(-1,1))</f>
        <v>0,-1</v>
      </c>
      <c r="AO95" s="1" t="str">
        <f ca="1">_xlfn.TEXTJOIN(",",TRUE,RANDBETWEEN(-1,1),RANDBETWEEN(-1,1))</f>
        <v>-1,0</v>
      </c>
    </row>
    <row r="96" spans="1:41" ht="15.75" customHeight="1">
      <c r="A96" s="1">
        <v>23</v>
      </c>
      <c r="B96" s="1" t="str">
        <f ca="1">_xlfn.TEXTJOIN(",",TRUE,RANDBETWEEN(-1,1),RANDBETWEEN(-1,1))</f>
        <v>-1,-1</v>
      </c>
      <c r="C96" s="1" t="str">
        <f ca="1">_xlfn.TEXTJOIN(",",TRUE,RANDBETWEEN(-1,1),RANDBETWEEN(-1,1))</f>
        <v>0,0</v>
      </c>
      <c r="D96" s="1" t="str">
        <f ca="1">_xlfn.TEXTJOIN(",",TRUE,RANDBETWEEN(-1,1),RANDBETWEEN(-1,1))</f>
        <v>-1,1</v>
      </c>
      <c r="E96" s="1" t="str">
        <f ca="1">_xlfn.TEXTJOIN(",",TRUE,RANDBETWEEN(-1,1),RANDBETWEEN(-1,1))</f>
        <v>-1,1</v>
      </c>
      <c r="F96" s="1" t="str">
        <f ca="1">_xlfn.TEXTJOIN(",",TRUE,RANDBETWEEN(-1,1),RANDBETWEEN(-1,1))</f>
        <v>0,0</v>
      </c>
      <c r="G96" s="1" t="str">
        <f ca="1">_xlfn.TEXTJOIN(",",TRUE,RANDBETWEEN(-1,1),RANDBETWEEN(-1,1))</f>
        <v>-1,1</v>
      </c>
      <c r="H96" s="1" t="str">
        <f ca="1">_xlfn.TEXTJOIN(",",TRUE,RANDBETWEEN(-1,1),RANDBETWEEN(-1,1))</f>
        <v>-1,1</v>
      </c>
      <c r="I96" s="1" t="str">
        <f ca="1">_xlfn.TEXTJOIN(",",TRUE,RANDBETWEEN(-1,1),RANDBETWEEN(-1,1))</f>
        <v>-1,0</v>
      </c>
      <c r="J96" s="1" t="str">
        <f ca="1">_xlfn.TEXTJOIN(",",TRUE,RANDBETWEEN(-1,1),RANDBETWEEN(-1,1))</f>
        <v>0,0</v>
      </c>
      <c r="K96" s="1" t="str">
        <f ca="1">_xlfn.TEXTJOIN(",",TRUE,RANDBETWEEN(-1,1),RANDBETWEEN(-1,1))</f>
        <v>1,1</v>
      </c>
      <c r="L96" s="1" t="str">
        <f ca="1">_xlfn.TEXTJOIN(",",TRUE,RANDBETWEEN(-1,1),RANDBETWEEN(-1,1))</f>
        <v>-1,-1</v>
      </c>
      <c r="M96" s="1" t="str">
        <f ca="1">_xlfn.TEXTJOIN(",",TRUE,RANDBETWEEN(-1,1),RANDBETWEEN(-1,1))</f>
        <v>1,-1</v>
      </c>
      <c r="N96" s="1" t="str">
        <f ca="1">_xlfn.TEXTJOIN(",",TRUE,RANDBETWEEN(-1,1),RANDBETWEEN(-1,1))</f>
        <v>0,1</v>
      </c>
      <c r="O96" s="1" t="str">
        <f ca="1">_xlfn.TEXTJOIN(",",TRUE,RANDBETWEEN(-1,1),RANDBETWEEN(-1,1))</f>
        <v>0,0</v>
      </c>
      <c r="P96" s="1" t="str">
        <f ca="1">_xlfn.TEXTJOIN(",",TRUE,RANDBETWEEN(-1,1),RANDBETWEEN(-1,1))</f>
        <v>1,0</v>
      </c>
      <c r="Q96" s="1" t="str">
        <f ca="1">_xlfn.TEXTJOIN(",",TRUE,RANDBETWEEN(-1,1),RANDBETWEEN(-1,1))</f>
        <v>1,0</v>
      </c>
      <c r="R96" s="1" t="str">
        <f ca="1">_xlfn.TEXTJOIN(",",TRUE,RANDBETWEEN(-1,1),RANDBETWEEN(-1,1))</f>
        <v>0,0</v>
      </c>
      <c r="S96" s="1" t="str">
        <f ca="1">_xlfn.TEXTJOIN(",",TRUE,RANDBETWEEN(-1,1),RANDBETWEEN(-1,1))</f>
        <v>-1,0</v>
      </c>
      <c r="T96" s="1" t="str">
        <f ca="1">_xlfn.TEXTJOIN(",",TRUE,RANDBETWEEN(-1,1),RANDBETWEEN(-1,1))</f>
        <v>1,0</v>
      </c>
      <c r="U96" s="1" t="str">
        <f ca="1">_xlfn.TEXTJOIN(",",TRUE,RANDBETWEEN(-1,1),RANDBETWEEN(-1,1))</f>
        <v>0,0</v>
      </c>
      <c r="V96" s="1" t="str">
        <f ca="1">_xlfn.TEXTJOIN(",",TRUE,RANDBETWEEN(-1,1),RANDBETWEEN(-1,1))</f>
        <v>-1,1</v>
      </c>
      <c r="W96" s="1" t="str">
        <f ca="1">_xlfn.TEXTJOIN(",",TRUE,RANDBETWEEN(-1,1),RANDBETWEEN(-1,1))</f>
        <v>1,0</v>
      </c>
      <c r="X96" s="1" t="str">
        <f ca="1">_xlfn.TEXTJOIN(",",TRUE,RANDBETWEEN(-1,1),RANDBETWEEN(-1,1))</f>
        <v>0,1</v>
      </c>
      <c r="Y96" s="1" t="str">
        <f ca="1">_xlfn.TEXTJOIN(",",TRUE,RANDBETWEEN(-1,1),RANDBETWEEN(-1,1))</f>
        <v>-1,-1</v>
      </c>
      <c r="Z96" s="1" t="str">
        <f ca="1">_xlfn.TEXTJOIN(",",TRUE,RANDBETWEEN(-1,1),RANDBETWEEN(-1,1))</f>
        <v>0,-1</v>
      </c>
      <c r="AA96" s="1" t="str">
        <f ca="1">_xlfn.TEXTJOIN(",",TRUE,RANDBETWEEN(-1,1),RANDBETWEEN(-1,1))</f>
        <v>1,0</v>
      </c>
      <c r="AB96" s="1" t="str">
        <f ca="1">_xlfn.TEXTJOIN(",",TRUE,RANDBETWEEN(-1,1),RANDBETWEEN(-1,1))</f>
        <v>1,1</v>
      </c>
      <c r="AC96" s="1" t="str">
        <f ca="1">_xlfn.TEXTJOIN(",",TRUE,RANDBETWEEN(-1,1),RANDBETWEEN(-1,1))</f>
        <v>1,1</v>
      </c>
      <c r="AD96" s="1" t="str">
        <f ca="1">_xlfn.TEXTJOIN(",",TRUE,RANDBETWEEN(-1,1),RANDBETWEEN(-1,1))</f>
        <v>1,-1</v>
      </c>
      <c r="AE96" s="1" t="str">
        <f ca="1">_xlfn.TEXTJOIN(",",TRUE,RANDBETWEEN(-1,1),RANDBETWEEN(-1,1))</f>
        <v>1,-1</v>
      </c>
      <c r="AF96" s="1" t="str">
        <f ca="1">_xlfn.TEXTJOIN(",",TRUE,RANDBETWEEN(-1,1),RANDBETWEEN(-1,1))</f>
        <v>-1,1</v>
      </c>
      <c r="AG96" s="1" t="str">
        <f ca="1">_xlfn.TEXTJOIN(",",TRUE,RANDBETWEEN(-1,1),RANDBETWEEN(-1,1))</f>
        <v>1,1</v>
      </c>
      <c r="AH96" s="1" t="str">
        <f ca="1">_xlfn.TEXTJOIN(",",TRUE,RANDBETWEEN(-1,1),RANDBETWEEN(-1,1))</f>
        <v>-1,-1</v>
      </c>
      <c r="AI96" s="1" t="str">
        <f ca="1">_xlfn.TEXTJOIN(",",TRUE,RANDBETWEEN(-1,1),RANDBETWEEN(-1,1))</f>
        <v>1,1</v>
      </c>
      <c r="AJ96" s="1" t="str">
        <f ca="1">_xlfn.TEXTJOIN(",",TRUE,RANDBETWEEN(-1,1),RANDBETWEEN(-1,1))</f>
        <v>-1,0</v>
      </c>
      <c r="AK96" s="1" t="str">
        <f ca="1">_xlfn.TEXTJOIN(",",TRUE,RANDBETWEEN(-1,1),RANDBETWEEN(-1,1))</f>
        <v>-1,0</v>
      </c>
      <c r="AL96" s="1" t="str">
        <f ca="1">_xlfn.TEXTJOIN(",",TRUE,RANDBETWEEN(-1,1),RANDBETWEEN(-1,1))</f>
        <v>0,1</v>
      </c>
      <c r="AM96" s="1" t="str">
        <f ca="1">_xlfn.TEXTJOIN(",",TRUE,RANDBETWEEN(-1,1),RANDBETWEEN(-1,1))</f>
        <v>-1,1</v>
      </c>
      <c r="AN96" s="1" t="str">
        <f ca="1">_xlfn.TEXTJOIN(",",TRUE,RANDBETWEEN(-1,1),RANDBETWEEN(-1,1))</f>
        <v>0,0</v>
      </c>
      <c r="AO96" s="1" t="str">
        <f ca="1">_xlfn.TEXTJOIN(",",TRUE,RANDBETWEEN(-1,1),RANDBETWEEN(-1,1))</f>
        <v>1,-1</v>
      </c>
    </row>
    <row r="97" spans="1:41" ht="15.75" customHeight="1">
      <c r="A97" s="1">
        <v>24</v>
      </c>
      <c r="B97" s="1" t="str">
        <f ca="1">_xlfn.TEXTJOIN(",",TRUE,RANDBETWEEN(-1,1),RANDBETWEEN(-1,1))</f>
        <v>1,0</v>
      </c>
      <c r="C97" s="1" t="str">
        <f ca="1">_xlfn.TEXTJOIN(",",TRUE,RANDBETWEEN(-1,1),RANDBETWEEN(-1,1))</f>
        <v>0,1</v>
      </c>
      <c r="D97" s="1" t="str">
        <f ca="1">_xlfn.TEXTJOIN(",",TRUE,RANDBETWEEN(-1,1),RANDBETWEEN(-1,1))</f>
        <v>1,0</v>
      </c>
      <c r="E97" s="1" t="str">
        <f ca="1">_xlfn.TEXTJOIN(",",TRUE,RANDBETWEEN(-1,1),RANDBETWEEN(-1,1))</f>
        <v>0,0</v>
      </c>
      <c r="F97" s="1" t="str">
        <f ca="1">_xlfn.TEXTJOIN(",",TRUE,RANDBETWEEN(-1,1),RANDBETWEEN(-1,1))</f>
        <v>1,-1</v>
      </c>
      <c r="G97" s="1" t="str">
        <f ca="1">_xlfn.TEXTJOIN(",",TRUE,RANDBETWEEN(-1,1),RANDBETWEEN(-1,1))</f>
        <v>1,0</v>
      </c>
      <c r="H97" s="1" t="str">
        <f ca="1">_xlfn.TEXTJOIN(",",TRUE,RANDBETWEEN(-1,1),RANDBETWEEN(-1,1))</f>
        <v>0,0</v>
      </c>
      <c r="I97" s="1" t="str">
        <f ca="1">_xlfn.TEXTJOIN(",",TRUE,RANDBETWEEN(-1,1),RANDBETWEEN(-1,1))</f>
        <v>0,1</v>
      </c>
      <c r="J97" s="1" t="str">
        <f ca="1">_xlfn.TEXTJOIN(",",TRUE,RANDBETWEEN(-1,1),RANDBETWEEN(-1,1))</f>
        <v>1,1</v>
      </c>
      <c r="K97" s="1" t="str">
        <f ca="1">_xlfn.TEXTJOIN(",",TRUE,RANDBETWEEN(-1,1),RANDBETWEEN(-1,1))</f>
        <v>-1,0</v>
      </c>
      <c r="L97" s="1" t="str">
        <f ca="1">_xlfn.TEXTJOIN(",",TRUE,RANDBETWEEN(-1,1),RANDBETWEEN(-1,1))</f>
        <v>0,1</v>
      </c>
      <c r="M97" s="1" t="str">
        <f ca="1">_xlfn.TEXTJOIN(",",TRUE,RANDBETWEEN(-1,1),RANDBETWEEN(-1,1))</f>
        <v>-1,1</v>
      </c>
      <c r="N97" s="1" t="str">
        <f ca="1">_xlfn.TEXTJOIN(",",TRUE,RANDBETWEEN(-1,1),RANDBETWEEN(-1,1))</f>
        <v>1,0</v>
      </c>
      <c r="O97" s="1" t="str">
        <f ca="1">_xlfn.TEXTJOIN(",",TRUE,RANDBETWEEN(-1,1),RANDBETWEEN(-1,1))</f>
        <v>-1,0</v>
      </c>
      <c r="P97" s="1" t="str">
        <f ca="1">_xlfn.TEXTJOIN(",",TRUE,RANDBETWEEN(-1,1),RANDBETWEEN(-1,1))</f>
        <v>-1,-1</v>
      </c>
      <c r="Q97" s="1" t="str">
        <f ca="1">_xlfn.TEXTJOIN(",",TRUE,RANDBETWEEN(-1,1),RANDBETWEEN(-1,1))</f>
        <v>1,-1</v>
      </c>
      <c r="R97" s="1" t="str">
        <f ca="1">_xlfn.TEXTJOIN(",",TRUE,RANDBETWEEN(-1,1),RANDBETWEEN(-1,1))</f>
        <v>0,-1</v>
      </c>
      <c r="S97" s="1" t="str">
        <f ca="1">_xlfn.TEXTJOIN(",",TRUE,RANDBETWEEN(-1,1),RANDBETWEEN(-1,1))</f>
        <v>0,-1</v>
      </c>
      <c r="T97" s="1" t="str">
        <f ca="1">_xlfn.TEXTJOIN(",",TRUE,RANDBETWEEN(-1,1),RANDBETWEEN(-1,1))</f>
        <v>0,1</v>
      </c>
      <c r="U97" s="1" t="str">
        <f ca="1">_xlfn.TEXTJOIN(",",TRUE,RANDBETWEEN(-1,1),RANDBETWEEN(-1,1))</f>
        <v>-1,0</v>
      </c>
      <c r="V97" s="1" t="str">
        <f ca="1">_xlfn.TEXTJOIN(",",TRUE,RANDBETWEEN(-1,1),RANDBETWEEN(-1,1))</f>
        <v>1,1</v>
      </c>
      <c r="W97" s="1" t="str">
        <f ca="1">_xlfn.TEXTJOIN(",",TRUE,RANDBETWEEN(-1,1),RANDBETWEEN(-1,1))</f>
        <v>1,1</v>
      </c>
      <c r="X97" s="1" t="str">
        <f ca="1">_xlfn.TEXTJOIN(",",TRUE,RANDBETWEEN(-1,1),RANDBETWEEN(-1,1))</f>
        <v>0,0</v>
      </c>
      <c r="Y97" s="1" t="str">
        <f ca="1">_xlfn.TEXTJOIN(",",TRUE,RANDBETWEEN(-1,1),RANDBETWEEN(-1,1))</f>
        <v>1,0</v>
      </c>
      <c r="Z97" s="1" t="str">
        <f ca="1">_xlfn.TEXTJOIN(",",TRUE,RANDBETWEEN(-1,1),RANDBETWEEN(-1,1))</f>
        <v>1,0</v>
      </c>
      <c r="AA97" s="1" t="str">
        <f ca="1">_xlfn.TEXTJOIN(",",TRUE,RANDBETWEEN(-1,1),RANDBETWEEN(-1,1))</f>
        <v>0,0</v>
      </c>
      <c r="AB97" s="1" t="str">
        <f ca="1">_xlfn.TEXTJOIN(",",TRUE,RANDBETWEEN(-1,1),RANDBETWEEN(-1,1))</f>
        <v>-1,0</v>
      </c>
      <c r="AC97" s="1" t="str">
        <f ca="1">_xlfn.TEXTJOIN(",",TRUE,RANDBETWEEN(-1,1),RANDBETWEEN(-1,1))</f>
        <v>0,-1</v>
      </c>
      <c r="AD97" s="1" t="str">
        <f ca="1">_xlfn.TEXTJOIN(",",TRUE,RANDBETWEEN(-1,1),RANDBETWEEN(-1,1))</f>
        <v>-1,1</v>
      </c>
      <c r="AE97" s="1" t="str">
        <f ca="1">_xlfn.TEXTJOIN(",",TRUE,RANDBETWEEN(-1,1),RANDBETWEEN(-1,1))</f>
        <v>0,-1</v>
      </c>
      <c r="AF97" s="1" t="str">
        <f ca="1">_xlfn.TEXTJOIN(",",TRUE,RANDBETWEEN(-1,1),RANDBETWEEN(-1,1))</f>
        <v>0,-1</v>
      </c>
      <c r="AG97" s="1" t="str">
        <f ca="1">_xlfn.TEXTJOIN(",",TRUE,RANDBETWEEN(-1,1),RANDBETWEEN(-1,1))</f>
        <v>1,0</v>
      </c>
      <c r="AH97" s="1" t="str">
        <f ca="1">_xlfn.TEXTJOIN(",",TRUE,RANDBETWEEN(-1,1),RANDBETWEEN(-1,1))</f>
        <v>1,0</v>
      </c>
      <c r="AI97" s="1" t="str">
        <f ca="1">_xlfn.TEXTJOIN(",",TRUE,RANDBETWEEN(-1,1),RANDBETWEEN(-1,1))</f>
        <v>-1,-1</v>
      </c>
      <c r="AJ97" s="1" t="str">
        <f ca="1">_xlfn.TEXTJOIN(",",TRUE,RANDBETWEEN(-1,1),RANDBETWEEN(-1,1))</f>
        <v>1,0</v>
      </c>
      <c r="AK97" s="1" t="str">
        <f ca="1">_xlfn.TEXTJOIN(",",TRUE,RANDBETWEEN(-1,1),RANDBETWEEN(-1,1))</f>
        <v>-1,1</v>
      </c>
      <c r="AL97" s="1" t="str">
        <f ca="1">_xlfn.TEXTJOIN(",",TRUE,RANDBETWEEN(-1,1),RANDBETWEEN(-1,1))</f>
        <v>1,0</v>
      </c>
      <c r="AM97" s="1" t="str">
        <f ca="1">_xlfn.TEXTJOIN(",",TRUE,RANDBETWEEN(-1,1),RANDBETWEEN(-1,1))</f>
        <v>-1,0</v>
      </c>
      <c r="AN97" s="1" t="str">
        <f ca="1">_xlfn.TEXTJOIN(",",TRUE,RANDBETWEEN(-1,1),RANDBETWEEN(-1,1))</f>
        <v>-1,-1</v>
      </c>
      <c r="AO97" s="1" t="str">
        <f ca="1">_xlfn.TEXTJOIN(",",TRUE,RANDBETWEEN(-1,1),RANDBETWEEN(-1,1))</f>
        <v>1,-1</v>
      </c>
    </row>
    <row r="98" spans="1:41" ht="15.75" customHeight="1">
      <c r="A98" s="1">
        <v>25</v>
      </c>
      <c r="B98" s="1" t="str">
        <f ca="1">_xlfn.TEXTJOIN(",",TRUE,RANDBETWEEN(-1,1),RANDBETWEEN(-1,1))</f>
        <v>-1,-1</v>
      </c>
      <c r="C98" s="1" t="str">
        <f ca="1">_xlfn.TEXTJOIN(",",TRUE,RANDBETWEEN(-1,1),RANDBETWEEN(-1,1))</f>
        <v>0,0</v>
      </c>
      <c r="D98" s="1" t="str">
        <f ca="1">_xlfn.TEXTJOIN(",",TRUE,RANDBETWEEN(-1,1),RANDBETWEEN(-1,1))</f>
        <v>-1,1</v>
      </c>
      <c r="E98" s="1" t="str">
        <f ca="1">_xlfn.TEXTJOIN(",",TRUE,RANDBETWEEN(-1,1),RANDBETWEEN(-1,1))</f>
        <v>-1,0</v>
      </c>
      <c r="F98" s="1" t="str">
        <f ca="1">_xlfn.TEXTJOIN(",",TRUE,RANDBETWEEN(-1,1),RANDBETWEEN(-1,1))</f>
        <v>1,0</v>
      </c>
      <c r="G98" s="1" t="str">
        <f ca="1">_xlfn.TEXTJOIN(",",TRUE,RANDBETWEEN(-1,1),RANDBETWEEN(-1,1))</f>
        <v>1,1</v>
      </c>
      <c r="H98" s="1" t="str">
        <f ca="1">_xlfn.TEXTJOIN(",",TRUE,RANDBETWEEN(-1,1),RANDBETWEEN(-1,1))</f>
        <v>-1,1</v>
      </c>
      <c r="I98" s="1" t="str">
        <f ca="1">_xlfn.TEXTJOIN(",",TRUE,RANDBETWEEN(-1,1),RANDBETWEEN(-1,1))</f>
        <v>0,-1</v>
      </c>
      <c r="J98" s="1" t="str">
        <f ca="1">_xlfn.TEXTJOIN(",",TRUE,RANDBETWEEN(-1,1),RANDBETWEEN(-1,1))</f>
        <v>1,-1</v>
      </c>
      <c r="K98" s="1" t="str">
        <f ca="1">_xlfn.TEXTJOIN(",",TRUE,RANDBETWEEN(-1,1),RANDBETWEEN(-1,1))</f>
        <v>-1,0</v>
      </c>
      <c r="L98" s="1" t="str">
        <f ca="1">_xlfn.TEXTJOIN(",",TRUE,RANDBETWEEN(-1,1),RANDBETWEEN(-1,1))</f>
        <v>-1,0</v>
      </c>
      <c r="M98" s="1" t="str">
        <f ca="1">_xlfn.TEXTJOIN(",",TRUE,RANDBETWEEN(-1,1),RANDBETWEEN(-1,1))</f>
        <v>1,-1</v>
      </c>
      <c r="N98" s="1" t="str">
        <f ca="1">_xlfn.TEXTJOIN(",",TRUE,RANDBETWEEN(-1,1),RANDBETWEEN(-1,1))</f>
        <v>-1,-1</v>
      </c>
      <c r="O98" s="1" t="str">
        <f ca="1">_xlfn.TEXTJOIN(",",TRUE,RANDBETWEEN(-1,1),RANDBETWEEN(-1,1))</f>
        <v>1,-1</v>
      </c>
      <c r="P98" s="1" t="str">
        <f ca="1">_xlfn.TEXTJOIN(",",TRUE,RANDBETWEEN(-1,1),RANDBETWEEN(-1,1))</f>
        <v>0,1</v>
      </c>
      <c r="Q98" s="1" t="str">
        <f ca="1">_xlfn.TEXTJOIN(",",TRUE,RANDBETWEEN(-1,1),RANDBETWEEN(-1,1))</f>
        <v>-1,-1</v>
      </c>
      <c r="R98" s="1" t="str">
        <f ca="1">_xlfn.TEXTJOIN(",",TRUE,RANDBETWEEN(-1,1),RANDBETWEEN(-1,1))</f>
        <v>1,0</v>
      </c>
      <c r="S98" s="1" t="str">
        <f ca="1">_xlfn.TEXTJOIN(",",TRUE,RANDBETWEEN(-1,1),RANDBETWEEN(-1,1))</f>
        <v>1,1</v>
      </c>
      <c r="T98" s="1" t="str">
        <f ca="1">_xlfn.TEXTJOIN(",",TRUE,RANDBETWEEN(-1,1),RANDBETWEEN(-1,1))</f>
        <v>-1,-1</v>
      </c>
      <c r="U98" s="1" t="str">
        <f ca="1">_xlfn.TEXTJOIN(",",TRUE,RANDBETWEEN(-1,1),RANDBETWEEN(-1,1))</f>
        <v>0,-1</v>
      </c>
      <c r="V98" s="1" t="str">
        <f ca="1">_xlfn.TEXTJOIN(",",TRUE,RANDBETWEEN(-1,1),RANDBETWEEN(-1,1))</f>
        <v>-1,-1</v>
      </c>
      <c r="W98" s="1" t="str">
        <f ca="1">_xlfn.TEXTJOIN(",",TRUE,RANDBETWEEN(-1,1),RANDBETWEEN(-1,1))</f>
        <v>1,0</v>
      </c>
      <c r="X98" s="1" t="str">
        <f ca="1">_xlfn.TEXTJOIN(",",TRUE,RANDBETWEEN(-1,1),RANDBETWEEN(-1,1))</f>
        <v>1,-1</v>
      </c>
      <c r="Y98" s="1" t="str">
        <f ca="1">_xlfn.TEXTJOIN(",",TRUE,RANDBETWEEN(-1,1),RANDBETWEEN(-1,1))</f>
        <v>0,0</v>
      </c>
      <c r="Z98" s="1" t="str">
        <f ca="1">_xlfn.TEXTJOIN(",",TRUE,RANDBETWEEN(-1,1),RANDBETWEEN(-1,1))</f>
        <v>-1,1</v>
      </c>
      <c r="AA98" s="1" t="str">
        <f ca="1">_xlfn.TEXTJOIN(",",TRUE,RANDBETWEEN(-1,1),RANDBETWEEN(-1,1))</f>
        <v>0,1</v>
      </c>
      <c r="AB98" s="1" t="str">
        <f ca="1">_xlfn.TEXTJOIN(",",TRUE,RANDBETWEEN(-1,1),RANDBETWEEN(-1,1))</f>
        <v>-1,1</v>
      </c>
      <c r="AC98" s="1" t="str">
        <f ca="1">_xlfn.TEXTJOIN(",",TRUE,RANDBETWEEN(-1,1),RANDBETWEEN(-1,1))</f>
        <v>-1,-1</v>
      </c>
      <c r="AD98" s="1" t="str">
        <f ca="1">_xlfn.TEXTJOIN(",",TRUE,RANDBETWEEN(-1,1),RANDBETWEEN(-1,1))</f>
        <v>1,-1</v>
      </c>
      <c r="AE98" s="1" t="str">
        <f ca="1">_xlfn.TEXTJOIN(",",TRUE,RANDBETWEEN(-1,1),RANDBETWEEN(-1,1))</f>
        <v>-1,0</v>
      </c>
      <c r="AF98" s="1" t="str">
        <f ca="1">_xlfn.TEXTJOIN(",",TRUE,RANDBETWEEN(-1,1),RANDBETWEEN(-1,1))</f>
        <v>-1,0</v>
      </c>
      <c r="AG98" s="1" t="str">
        <f ca="1">_xlfn.TEXTJOIN(",",TRUE,RANDBETWEEN(-1,1),RANDBETWEEN(-1,1))</f>
        <v>1,1</v>
      </c>
      <c r="AH98" s="1" t="str">
        <f ca="1">_xlfn.TEXTJOIN(",",TRUE,RANDBETWEEN(-1,1),RANDBETWEEN(-1,1))</f>
        <v>-1,-1</v>
      </c>
      <c r="AI98" s="1" t="str">
        <f ca="1">_xlfn.TEXTJOIN(",",TRUE,RANDBETWEEN(-1,1),RANDBETWEEN(-1,1))</f>
        <v>-1,-1</v>
      </c>
      <c r="AJ98" s="1" t="str">
        <f ca="1">_xlfn.TEXTJOIN(",",TRUE,RANDBETWEEN(-1,1),RANDBETWEEN(-1,1))</f>
        <v>0,0</v>
      </c>
      <c r="AK98" s="1" t="str">
        <f ca="1">_xlfn.TEXTJOIN(",",TRUE,RANDBETWEEN(-1,1),RANDBETWEEN(-1,1))</f>
        <v>-1,1</v>
      </c>
      <c r="AL98" s="1" t="str">
        <f ca="1">_xlfn.TEXTJOIN(",",TRUE,RANDBETWEEN(-1,1),RANDBETWEEN(-1,1))</f>
        <v>-1,1</v>
      </c>
      <c r="AM98" s="1" t="str">
        <f ca="1">_xlfn.TEXTJOIN(",",TRUE,RANDBETWEEN(-1,1),RANDBETWEEN(-1,1))</f>
        <v>-1,-1</v>
      </c>
      <c r="AN98" s="1" t="str">
        <f ca="1">_xlfn.TEXTJOIN(",",TRUE,RANDBETWEEN(-1,1),RANDBETWEEN(-1,1))</f>
        <v>1,0</v>
      </c>
      <c r="AO98" s="1" t="str">
        <f ca="1">_xlfn.TEXTJOIN(",",TRUE,RANDBETWEEN(-1,1),RANDBETWEEN(-1,1))</f>
        <v>1,1</v>
      </c>
    </row>
    <row r="99" spans="1:41" ht="15.75" customHeight="1">
      <c r="A99" s="1">
        <v>26</v>
      </c>
      <c r="B99" s="1" t="str">
        <f ca="1">_xlfn.TEXTJOIN(",",TRUE,RANDBETWEEN(-1,1),RANDBETWEEN(-1,1))</f>
        <v>1,-1</v>
      </c>
      <c r="C99" s="1" t="str">
        <f ca="1">_xlfn.TEXTJOIN(",",TRUE,RANDBETWEEN(-1,1),RANDBETWEEN(-1,1))</f>
        <v>0,1</v>
      </c>
      <c r="D99" s="1" t="str">
        <f ca="1">_xlfn.TEXTJOIN(",",TRUE,RANDBETWEEN(-1,1),RANDBETWEEN(-1,1))</f>
        <v>0,1</v>
      </c>
      <c r="E99" s="1" t="str">
        <f ca="1">_xlfn.TEXTJOIN(",",TRUE,RANDBETWEEN(-1,1),RANDBETWEEN(-1,1))</f>
        <v>1,-1</v>
      </c>
      <c r="F99" s="1" t="str">
        <f ca="1">_xlfn.TEXTJOIN(",",TRUE,RANDBETWEEN(-1,1),RANDBETWEEN(-1,1))</f>
        <v>0,1</v>
      </c>
      <c r="G99" s="1" t="str">
        <f ca="1">_xlfn.TEXTJOIN(",",TRUE,RANDBETWEEN(-1,1),RANDBETWEEN(-1,1))</f>
        <v>1,0</v>
      </c>
      <c r="H99" s="1" t="str">
        <f ca="1">_xlfn.TEXTJOIN(",",TRUE,RANDBETWEEN(-1,1),RANDBETWEEN(-1,1))</f>
        <v>-1,0</v>
      </c>
      <c r="I99" s="1" t="str">
        <f ca="1">_xlfn.TEXTJOIN(",",TRUE,RANDBETWEEN(-1,1),RANDBETWEEN(-1,1))</f>
        <v>1,-1</v>
      </c>
      <c r="J99" s="1" t="str">
        <f ca="1">_xlfn.TEXTJOIN(",",TRUE,RANDBETWEEN(-1,1),RANDBETWEEN(-1,1))</f>
        <v>0,-1</v>
      </c>
      <c r="K99" s="1" t="str">
        <f ca="1">_xlfn.TEXTJOIN(",",TRUE,RANDBETWEEN(-1,1),RANDBETWEEN(-1,1))</f>
        <v>0,-1</v>
      </c>
      <c r="L99" s="1" t="str">
        <f ca="1">_xlfn.TEXTJOIN(",",TRUE,RANDBETWEEN(-1,1),RANDBETWEEN(-1,1))</f>
        <v>1,1</v>
      </c>
      <c r="M99" s="1" t="str">
        <f ca="1">_xlfn.TEXTJOIN(",",TRUE,RANDBETWEEN(-1,1),RANDBETWEEN(-1,1))</f>
        <v>1,0</v>
      </c>
      <c r="N99" s="1" t="str">
        <f ca="1">_xlfn.TEXTJOIN(",",TRUE,RANDBETWEEN(-1,1),RANDBETWEEN(-1,1))</f>
        <v>0,1</v>
      </c>
      <c r="O99" s="1" t="str">
        <f ca="1">_xlfn.TEXTJOIN(",",TRUE,RANDBETWEEN(-1,1),RANDBETWEEN(-1,1))</f>
        <v>-1,-1</v>
      </c>
      <c r="P99" s="1" t="str">
        <f ca="1">_xlfn.TEXTJOIN(",",TRUE,RANDBETWEEN(-1,1),RANDBETWEEN(-1,1))</f>
        <v>0,0</v>
      </c>
      <c r="Q99" s="1" t="str">
        <f ca="1">_xlfn.TEXTJOIN(",",TRUE,RANDBETWEEN(-1,1),RANDBETWEEN(-1,1))</f>
        <v>0,-1</v>
      </c>
      <c r="R99" s="1" t="str">
        <f ca="1">_xlfn.TEXTJOIN(",",TRUE,RANDBETWEEN(-1,1),RANDBETWEEN(-1,1))</f>
        <v>1,-1</v>
      </c>
      <c r="S99" s="1" t="str">
        <f ca="1">_xlfn.TEXTJOIN(",",TRUE,RANDBETWEEN(-1,1),RANDBETWEEN(-1,1))</f>
        <v>1,-1</v>
      </c>
      <c r="T99" s="1" t="str">
        <f ca="1">_xlfn.TEXTJOIN(",",TRUE,RANDBETWEEN(-1,1),RANDBETWEEN(-1,1))</f>
        <v>0,-1</v>
      </c>
      <c r="U99" s="1" t="str">
        <f ca="1">_xlfn.TEXTJOIN(",",TRUE,RANDBETWEEN(-1,1),RANDBETWEEN(-1,1))</f>
        <v>-1,-1</v>
      </c>
      <c r="V99" s="1" t="str">
        <f ca="1">_xlfn.TEXTJOIN(",",TRUE,RANDBETWEEN(-1,1),RANDBETWEEN(-1,1))</f>
        <v>0,-1</v>
      </c>
      <c r="W99" s="1" t="str">
        <f ca="1">_xlfn.TEXTJOIN(",",TRUE,RANDBETWEEN(-1,1),RANDBETWEEN(-1,1))</f>
        <v>1,1</v>
      </c>
      <c r="X99" s="1" t="str">
        <f ca="1">_xlfn.TEXTJOIN(",",TRUE,RANDBETWEEN(-1,1),RANDBETWEEN(-1,1))</f>
        <v>-1,1</v>
      </c>
      <c r="Y99" s="1" t="str">
        <f ca="1">_xlfn.TEXTJOIN(",",TRUE,RANDBETWEEN(-1,1),RANDBETWEEN(-1,1))</f>
        <v>1,0</v>
      </c>
      <c r="Z99" s="1" t="str">
        <f ca="1">_xlfn.TEXTJOIN(",",TRUE,RANDBETWEEN(-1,1),RANDBETWEEN(-1,1))</f>
        <v>-1,-1</v>
      </c>
      <c r="AA99" s="1" t="str">
        <f ca="1">_xlfn.TEXTJOIN(",",TRUE,RANDBETWEEN(-1,1),RANDBETWEEN(-1,1))</f>
        <v>0,1</v>
      </c>
      <c r="AB99" s="1" t="str">
        <f ca="1">_xlfn.TEXTJOIN(",",TRUE,RANDBETWEEN(-1,1),RANDBETWEEN(-1,1))</f>
        <v>-1,0</v>
      </c>
      <c r="AC99" s="1" t="str">
        <f ca="1">_xlfn.TEXTJOIN(",",TRUE,RANDBETWEEN(-1,1),RANDBETWEEN(-1,1))</f>
        <v>-1,0</v>
      </c>
      <c r="AD99" s="1" t="str">
        <f ca="1">_xlfn.TEXTJOIN(",",TRUE,RANDBETWEEN(-1,1),RANDBETWEEN(-1,1))</f>
        <v>0,-1</v>
      </c>
      <c r="AE99" s="1" t="str">
        <f ca="1">_xlfn.TEXTJOIN(",",TRUE,RANDBETWEEN(-1,1),RANDBETWEEN(-1,1))</f>
        <v>1,0</v>
      </c>
      <c r="AF99" s="1" t="str">
        <f ca="1">_xlfn.TEXTJOIN(",",TRUE,RANDBETWEEN(-1,1),RANDBETWEEN(-1,1))</f>
        <v>0,0</v>
      </c>
      <c r="AG99" s="1" t="str">
        <f ca="1">_xlfn.TEXTJOIN(",",TRUE,RANDBETWEEN(-1,1),RANDBETWEEN(-1,1))</f>
        <v>-1,1</v>
      </c>
      <c r="AH99" s="1" t="str">
        <f ca="1">_xlfn.TEXTJOIN(",",TRUE,RANDBETWEEN(-1,1),RANDBETWEEN(-1,1))</f>
        <v>1,0</v>
      </c>
      <c r="AI99" s="1" t="str">
        <f ca="1">_xlfn.TEXTJOIN(",",TRUE,RANDBETWEEN(-1,1),RANDBETWEEN(-1,1))</f>
        <v>-1,1</v>
      </c>
      <c r="AJ99" s="1" t="str">
        <f ca="1">_xlfn.TEXTJOIN(",",TRUE,RANDBETWEEN(-1,1),RANDBETWEEN(-1,1))</f>
        <v>1,-1</v>
      </c>
      <c r="AK99" s="1" t="str">
        <f ca="1">_xlfn.TEXTJOIN(",",TRUE,RANDBETWEEN(-1,1),RANDBETWEEN(-1,1))</f>
        <v>1,1</v>
      </c>
      <c r="AL99" s="1" t="str">
        <f ca="1">_xlfn.TEXTJOIN(",",TRUE,RANDBETWEEN(-1,1),RANDBETWEEN(-1,1))</f>
        <v>-1,0</v>
      </c>
      <c r="AM99" s="1" t="str">
        <f ca="1">_xlfn.TEXTJOIN(",",TRUE,RANDBETWEEN(-1,1),RANDBETWEEN(-1,1))</f>
        <v>-1,-1</v>
      </c>
      <c r="AN99" s="1" t="str">
        <f ca="1">_xlfn.TEXTJOIN(",",TRUE,RANDBETWEEN(-1,1),RANDBETWEEN(-1,1))</f>
        <v>0,1</v>
      </c>
      <c r="AO99" s="1" t="str">
        <f ca="1">_xlfn.TEXTJOIN(",",TRUE,RANDBETWEEN(-1,1),RANDBETWEEN(-1,1))</f>
        <v>1,0</v>
      </c>
    </row>
    <row r="100" spans="1:41" ht="15.75" customHeight="1">
      <c r="A100" s="1">
        <v>27</v>
      </c>
      <c r="B100" s="1" t="str">
        <f ca="1">_xlfn.TEXTJOIN(",",TRUE,RANDBETWEEN(-1,1),RANDBETWEEN(-1,1))</f>
        <v>-1,0</v>
      </c>
      <c r="C100" s="1" t="str">
        <f ca="1">_xlfn.TEXTJOIN(",",TRUE,RANDBETWEEN(-1,1),RANDBETWEEN(-1,1))</f>
        <v>0,0</v>
      </c>
      <c r="D100" s="1" t="str">
        <f ca="1">_xlfn.TEXTJOIN(",",TRUE,RANDBETWEEN(-1,1),RANDBETWEEN(-1,1))</f>
        <v>0,0</v>
      </c>
      <c r="E100" s="1" t="str">
        <f ca="1">_xlfn.TEXTJOIN(",",TRUE,RANDBETWEEN(-1,1),RANDBETWEEN(-1,1))</f>
        <v>0,0</v>
      </c>
      <c r="F100" s="1" t="str">
        <f ca="1">_xlfn.TEXTJOIN(",",TRUE,RANDBETWEEN(-1,1),RANDBETWEEN(-1,1))</f>
        <v>0,0</v>
      </c>
      <c r="G100" s="1" t="str">
        <f ca="1">_xlfn.TEXTJOIN(",",TRUE,RANDBETWEEN(-1,1),RANDBETWEEN(-1,1))</f>
        <v>1,1</v>
      </c>
      <c r="H100" s="1" t="str">
        <f ca="1">_xlfn.TEXTJOIN(",",TRUE,RANDBETWEEN(-1,1),RANDBETWEEN(-1,1))</f>
        <v>0,-1</v>
      </c>
      <c r="I100" s="1" t="str">
        <f ca="1">_xlfn.TEXTJOIN(",",TRUE,RANDBETWEEN(-1,1),RANDBETWEEN(-1,1))</f>
        <v>-1,1</v>
      </c>
      <c r="J100" s="1" t="str">
        <f ca="1">_xlfn.TEXTJOIN(",",TRUE,RANDBETWEEN(-1,1),RANDBETWEEN(-1,1))</f>
        <v>-1,1</v>
      </c>
      <c r="K100" s="1" t="str">
        <f ca="1">_xlfn.TEXTJOIN(",",TRUE,RANDBETWEEN(-1,1),RANDBETWEEN(-1,1))</f>
        <v>1,-1</v>
      </c>
      <c r="L100" s="1" t="str">
        <f ca="1">_xlfn.TEXTJOIN(",",TRUE,RANDBETWEEN(-1,1),RANDBETWEEN(-1,1))</f>
        <v>1,0</v>
      </c>
      <c r="M100" s="1" t="str">
        <f ca="1">_xlfn.TEXTJOIN(",",TRUE,RANDBETWEEN(-1,1),RANDBETWEEN(-1,1))</f>
        <v>1,0</v>
      </c>
      <c r="N100" s="1" t="str">
        <f ca="1">_xlfn.TEXTJOIN(",",TRUE,RANDBETWEEN(-1,1),RANDBETWEEN(-1,1))</f>
        <v>1,1</v>
      </c>
      <c r="O100" s="1" t="str">
        <f ca="1">_xlfn.TEXTJOIN(",",TRUE,RANDBETWEEN(-1,1),RANDBETWEEN(-1,1))</f>
        <v>1,1</v>
      </c>
      <c r="P100" s="1" t="str">
        <f ca="1">_xlfn.TEXTJOIN(",",TRUE,RANDBETWEEN(-1,1),RANDBETWEEN(-1,1))</f>
        <v>-1,0</v>
      </c>
      <c r="Q100" s="1" t="str">
        <f ca="1">_xlfn.TEXTJOIN(",",TRUE,RANDBETWEEN(-1,1),RANDBETWEEN(-1,1))</f>
        <v>1,-1</v>
      </c>
      <c r="R100" s="1" t="str">
        <f ca="1">_xlfn.TEXTJOIN(",",TRUE,RANDBETWEEN(-1,1),RANDBETWEEN(-1,1))</f>
        <v>-1,0</v>
      </c>
      <c r="S100" s="1" t="str">
        <f ca="1">_xlfn.TEXTJOIN(",",TRUE,RANDBETWEEN(-1,1),RANDBETWEEN(-1,1))</f>
        <v>-1,-1</v>
      </c>
      <c r="T100" s="1" t="str">
        <f ca="1">_xlfn.TEXTJOIN(",",TRUE,RANDBETWEEN(-1,1),RANDBETWEEN(-1,1))</f>
        <v>0,0</v>
      </c>
      <c r="U100" s="1" t="str">
        <f ca="1">_xlfn.TEXTJOIN(",",TRUE,RANDBETWEEN(-1,1),RANDBETWEEN(-1,1))</f>
        <v>0,0</v>
      </c>
      <c r="V100" s="1" t="str">
        <f ca="1">_xlfn.TEXTJOIN(",",TRUE,RANDBETWEEN(-1,1),RANDBETWEEN(-1,1))</f>
        <v>0,1</v>
      </c>
      <c r="W100" s="1" t="str">
        <f ca="1">_xlfn.TEXTJOIN(",",TRUE,RANDBETWEEN(-1,1),RANDBETWEEN(-1,1))</f>
        <v>0,-1</v>
      </c>
      <c r="X100" s="1" t="str">
        <f ca="1">_xlfn.TEXTJOIN(",",TRUE,RANDBETWEEN(-1,1),RANDBETWEEN(-1,1))</f>
        <v>1,0</v>
      </c>
      <c r="Y100" s="1" t="str">
        <f ca="1">_xlfn.TEXTJOIN(",",TRUE,RANDBETWEEN(-1,1),RANDBETWEEN(-1,1))</f>
        <v>-1,0</v>
      </c>
      <c r="Z100" s="1" t="str">
        <f ca="1">_xlfn.TEXTJOIN(",",TRUE,RANDBETWEEN(-1,1),RANDBETWEEN(-1,1))</f>
        <v>0,1</v>
      </c>
      <c r="AA100" s="1" t="str">
        <f ca="1">_xlfn.TEXTJOIN(",",TRUE,RANDBETWEEN(-1,1),RANDBETWEEN(-1,1))</f>
        <v>-1,0</v>
      </c>
      <c r="AB100" s="1" t="str">
        <f ca="1">_xlfn.TEXTJOIN(",",TRUE,RANDBETWEEN(-1,1),RANDBETWEEN(-1,1))</f>
        <v>0,0</v>
      </c>
      <c r="AC100" s="1" t="str">
        <f ca="1">_xlfn.TEXTJOIN(",",TRUE,RANDBETWEEN(-1,1),RANDBETWEEN(-1,1))</f>
        <v>-1,-1</v>
      </c>
      <c r="AD100" s="1" t="str">
        <f ca="1">_xlfn.TEXTJOIN(",",TRUE,RANDBETWEEN(-1,1),RANDBETWEEN(-1,1))</f>
        <v>-1,0</v>
      </c>
      <c r="AE100" s="1" t="str">
        <f ca="1">_xlfn.TEXTJOIN(",",TRUE,RANDBETWEEN(-1,1),RANDBETWEEN(-1,1))</f>
        <v>1,0</v>
      </c>
      <c r="AF100" s="1" t="str">
        <f ca="1">_xlfn.TEXTJOIN(",",TRUE,RANDBETWEEN(-1,1),RANDBETWEEN(-1,1))</f>
        <v>1,1</v>
      </c>
      <c r="AG100" s="1" t="str">
        <f ca="1">_xlfn.TEXTJOIN(",",TRUE,RANDBETWEEN(-1,1),RANDBETWEEN(-1,1))</f>
        <v>0,-1</v>
      </c>
      <c r="AH100" s="1" t="str">
        <f ca="1">_xlfn.TEXTJOIN(",",TRUE,RANDBETWEEN(-1,1),RANDBETWEEN(-1,1))</f>
        <v>0,-1</v>
      </c>
      <c r="AI100" s="1" t="str">
        <f ca="1">_xlfn.TEXTJOIN(",",TRUE,RANDBETWEEN(-1,1),RANDBETWEEN(-1,1))</f>
        <v>1,1</v>
      </c>
      <c r="AJ100" s="1" t="str">
        <f ca="1">_xlfn.TEXTJOIN(",",TRUE,RANDBETWEEN(-1,1),RANDBETWEEN(-1,1))</f>
        <v>1,-1</v>
      </c>
      <c r="AK100" s="1" t="str">
        <f ca="1">_xlfn.TEXTJOIN(",",TRUE,RANDBETWEEN(-1,1),RANDBETWEEN(-1,1))</f>
        <v>1,1</v>
      </c>
      <c r="AL100" s="1" t="str">
        <f ca="1">_xlfn.TEXTJOIN(",",TRUE,RANDBETWEEN(-1,1),RANDBETWEEN(-1,1))</f>
        <v>0,1</v>
      </c>
      <c r="AM100" s="1" t="str">
        <f ca="1">_xlfn.TEXTJOIN(",",TRUE,RANDBETWEEN(-1,1),RANDBETWEEN(-1,1))</f>
        <v>1,0</v>
      </c>
      <c r="AN100" s="1" t="str">
        <f ca="1">_xlfn.TEXTJOIN(",",TRUE,RANDBETWEEN(-1,1),RANDBETWEEN(-1,1))</f>
        <v>0,-1</v>
      </c>
      <c r="AO100" s="1" t="str">
        <f ca="1">_xlfn.TEXTJOIN(",",TRUE,RANDBETWEEN(-1,1),RANDBETWEEN(-1,1))</f>
        <v>1,1</v>
      </c>
    </row>
    <row r="101" spans="1:41" ht="15.75" customHeight="1">
      <c r="A101" s="1">
        <v>28</v>
      </c>
      <c r="B101" s="1" t="str">
        <f ca="1">_xlfn.TEXTJOIN(",",TRUE,RANDBETWEEN(-1,1),RANDBETWEEN(-1,1))</f>
        <v>1,1</v>
      </c>
      <c r="C101" s="1" t="str">
        <f ca="1">_xlfn.TEXTJOIN(",",TRUE,RANDBETWEEN(-1,1),RANDBETWEEN(-1,1))</f>
        <v>0,1</v>
      </c>
      <c r="D101" s="1" t="str">
        <f ca="1">_xlfn.TEXTJOIN(",",TRUE,RANDBETWEEN(-1,1),RANDBETWEEN(-1,1))</f>
        <v>0,1</v>
      </c>
      <c r="E101" s="1" t="str">
        <f ca="1">_xlfn.TEXTJOIN(",",TRUE,RANDBETWEEN(-1,1),RANDBETWEEN(-1,1))</f>
        <v>0,0</v>
      </c>
      <c r="F101" s="1" t="str">
        <f ca="1">_xlfn.TEXTJOIN(",",TRUE,RANDBETWEEN(-1,1),RANDBETWEEN(-1,1))</f>
        <v>-1,0</v>
      </c>
      <c r="G101" s="1" t="str">
        <f ca="1">_xlfn.TEXTJOIN(",",TRUE,RANDBETWEEN(-1,1),RANDBETWEEN(-1,1))</f>
        <v>-1,-1</v>
      </c>
      <c r="H101" s="1" t="str">
        <f ca="1">_xlfn.TEXTJOIN(",",TRUE,RANDBETWEEN(-1,1),RANDBETWEEN(-1,1))</f>
        <v>0,-1</v>
      </c>
      <c r="I101" s="1" t="str">
        <f ca="1">_xlfn.TEXTJOIN(",",TRUE,RANDBETWEEN(-1,1),RANDBETWEEN(-1,1))</f>
        <v>1,-1</v>
      </c>
      <c r="J101" s="1" t="str">
        <f ca="1">_xlfn.TEXTJOIN(",",TRUE,RANDBETWEEN(-1,1),RANDBETWEEN(-1,1))</f>
        <v>0,0</v>
      </c>
      <c r="K101" s="1" t="str">
        <f ca="1">_xlfn.TEXTJOIN(",",TRUE,RANDBETWEEN(-1,1),RANDBETWEEN(-1,1))</f>
        <v>-1,-1</v>
      </c>
      <c r="L101" s="1" t="str">
        <f ca="1">_xlfn.TEXTJOIN(",",TRUE,RANDBETWEEN(-1,1),RANDBETWEEN(-1,1))</f>
        <v>1,1</v>
      </c>
      <c r="M101" s="1" t="str">
        <f ca="1">_xlfn.TEXTJOIN(",",TRUE,RANDBETWEEN(-1,1),RANDBETWEEN(-1,1))</f>
        <v>-1,-1</v>
      </c>
      <c r="N101" s="1" t="str">
        <f ca="1">_xlfn.TEXTJOIN(",",TRUE,RANDBETWEEN(-1,1),RANDBETWEEN(-1,1))</f>
        <v>0,0</v>
      </c>
      <c r="O101" s="1" t="str">
        <f ca="1">_xlfn.TEXTJOIN(",",TRUE,RANDBETWEEN(-1,1),RANDBETWEEN(-1,1))</f>
        <v>1,-1</v>
      </c>
      <c r="P101" s="1" t="str">
        <f ca="1">_xlfn.TEXTJOIN(",",TRUE,RANDBETWEEN(-1,1),RANDBETWEEN(-1,1))</f>
        <v>0,1</v>
      </c>
      <c r="Q101" s="1" t="str">
        <f ca="1">_xlfn.TEXTJOIN(",",TRUE,RANDBETWEEN(-1,1),RANDBETWEEN(-1,1))</f>
        <v>0,0</v>
      </c>
      <c r="R101" s="1" t="str">
        <f ca="1">_xlfn.TEXTJOIN(",",TRUE,RANDBETWEEN(-1,1),RANDBETWEEN(-1,1))</f>
        <v>1,0</v>
      </c>
      <c r="S101" s="1" t="str">
        <f ca="1">_xlfn.TEXTJOIN(",",TRUE,RANDBETWEEN(-1,1),RANDBETWEEN(-1,1))</f>
        <v>1,0</v>
      </c>
      <c r="T101" s="1" t="str">
        <f ca="1">_xlfn.TEXTJOIN(",",TRUE,RANDBETWEEN(-1,1),RANDBETWEEN(-1,1))</f>
        <v>1,-1</v>
      </c>
      <c r="U101" s="1" t="str">
        <f ca="1">_xlfn.TEXTJOIN(",",TRUE,RANDBETWEEN(-1,1),RANDBETWEEN(-1,1))</f>
        <v>-1,1</v>
      </c>
      <c r="V101" s="1" t="str">
        <f ca="1">_xlfn.TEXTJOIN(",",TRUE,RANDBETWEEN(-1,1),RANDBETWEEN(-1,1))</f>
        <v>-1,1</v>
      </c>
      <c r="W101" s="1" t="str">
        <f ca="1">_xlfn.TEXTJOIN(",",TRUE,RANDBETWEEN(-1,1),RANDBETWEEN(-1,1))</f>
        <v>1,0</v>
      </c>
      <c r="X101" s="1" t="str">
        <f ca="1">_xlfn.TEXTJOIN(",",TRUE,RANDBETWEEN(-1,1),RANDBETWEEN(-1,1))</f>
        <v>-1,0</v>
      </c>
      <c r="Y101" s="1" t="str">
        <f ca="1">_xlfn.TEXTJOIN(",",TRUE,RANDBETWEEN(-1,1),RANDBETWEEN(-1,1))</f>
        <v>-1,-1</v>
      </c>
      <c r="Z101" s="1" t="str">
        <f ca="1">_xlfn.TEXTJOIN(",",TRUE,RANDBETWEEN(-1,1),RANDBETWEEN(-1,1))</f>
        <v>-1,0</v>
      </c>
      <c r="AA101" s="1" t="str">
        <f ca="1">_xlfn.TEXTJOIN(",",TRUE,RANDBETWEEN(-1,1),RANDBETWEEN(-1,1))</f>
        <v>1,0</v>
      </c>
      <c r="AB101" s="1" t="str">
        <f ca="1">_xlfn.TEXTJOIN(",",TRUE,RANDBETWEEN(-1,1),RANDBETWEEN(-1,1))</f>
        <v>1,-1</v>
      </c>
      <c r="AC101" s="1" t="str">
        <f ca="1">_xlfn.TEXTJOIN(",",TRUE,RANDBETWEEN(-1,1),RANDBETWEEN(-1,1))</f>
        <v>0,-1</v>
      </c>
      <c r="AD101" s="1" t="str">
        <f ca="1">_xlfn.TEXTJOIN(",",TRUE,RANDBETWEEN(-1,1),RANDBETWEEN(-1,1))</f>
        <v>1,1</v>
      </c>
      <c r="AE101" s="1" t="str">
        <f ca="1">_xlfn.TEXTJOIN(",",TRUE,RANDBETWEEN(-1,1),RANDBETWEEN(-1,1))</f>
        <v>0,-1</v>
      </c>
      <c r="AF101" s="1" t="str">
        <f ca="1">_xlfn.TEXTJOIN(",",TRUE,RANDBETWEEN(-1,1),RANDBETWEEN(-1,1))</f>
        <v>1,-1</v>
      </c>
      <c r="AG101" s="1" t="str">
        <f ca="1">_xlfn.TEXTJOIN(",",TRUE,RANDBETWEEN(-1,1),RANDBETWEEN(-1,1))</f>
        <v>-1,0</v>
      </c>
      <c r="AH101" s="1" t="str">
        <f ca="1">_xlfn.TEXTJOIN(",",TRUE,RANDBETWEEN(-1,1),RANDBETWEEN(-1,1))</f>
        <v>-1,1</v>
      </c>
      <c r="AI101" s="1" t="str">
        <f ca="1">_xlfn.TEXTJOIN(",",TRUE,RANDBETWEEN(-1,1),RANDBETWEEN(-1,1))</f>
        <v>0,1</v>
      </c>
      <c r="AJ101" s="1" t="str">
        <f ca="1">_xlfn.TEXTJOIN(",",TRUE,RANDBETWEEN(-1,1),RANDBETWEEN(-1,1))</f>
        <v>1,-1</v>
      </c>
      <c r="AK101" s="1" t="str">
        <f ca="1">_xlfn.TEXTJOIN(",",TRUE,RANDBETWEEN(-1,1),RANDBETWEEN(-1,1))</f>
        <v>-1,0</v>
      </c>
      <c r="AL101" s="1" t="str">
        <f ca="1">_xlfn.TEXTJOIN(",",TRUE,RANDBETWEEN(-1,1),RANDBETWEEN(-1,1))</f>
        <v>0,1</v>
      </c>
      <c r="AM101" s="1" t="str">
        <f ca="1">_xlfn.TEXTJOIN(",",TRUE,RANDBETWEEN(-1,1),RANDBETWEEN(-1,1))</f>
        <v>1,1</v>
      </c>
      <c r="AN101" s="1" t="str">
        <f ca="1">_xlfn.TEXTJOIN(",",TRUE,RANDBETWEEN(-1,1),RANDBETWEEN(-1,1))</f>
        <v>0,0</v>
      </c>
      <c r="AO101" s="1" t="str">
        <f ca="1">_xlfn.TEXTJOIN(",",TRUE,RANDBETWEEN(-1,1),RANDBETWEEN(-1,1))</f>
        <v>-1,-1</v>
      </c>
    </row>
    <row r="102" spans="1:41" ht="15.75" customHeight="1">
      <c r="A102" s="1">
        <v>29</v>
      </c>
      <c r="B102" s="1" t="str">
        <f ca="1">_xlfn.TEXTJOIN(",",TRUE,RANDBETWEEN(-1,1),RANDBETWEEN(-1,1))</f>
        <v>-1,0</v>
      </c>
      <c r="C102" s="1" t="str">
        <f ca="1">_xlfn.TEXTJOIN(",",TRUE,RANDBETWEEN(-1,1),RANDBETWEEN(-1,1))</f>
        <v>-1,-1</v>
      </c>
      <c r="D102" s="1" t="str">
        <f ca="1">_xlfn.TEXTJOIN(",",TRUE,RANDBETWEEN(-1,1),RANDBETWEEN(-1,1))</f>
        <v>1,-1</v>
      </c>
      <c r="E102" s="1" t="str">
        <f ca="1">_xlfn.TEXTJOIN(",",TRUE,RANDBETWEEN(-1,1),RANDBETWEEN(-1,1))</f>
        <v>1,1</v>
      </c>
      <c r="F102" s="1" t="str">
        <f ca="1">_xlfn.TEXTJOIN(",",TRUE,RANDBETWEEN(-1,1),RANDBETWEEN(-1,1))</f>
        <v>1,-1</v>
      </c>
      <c r="G102" s="1" t="str">
        <f ca="1">_xlfn.TEXTJOIN(",",TRUE,RANDBETWEEN(-1,1),RANDBETWEEN(-1,1))</f>
        <v>0,0</v>
      </c>
      <c r="H102" s="1" t="str">
        <f ca="1">_xlfn.TEXTJOIN(",",TRUE,RANDBETWEEN(-1,1),RANDBETWEEN(-1,1))</f>
        <v>1,-1</v>
      </c>
      <c r="I102" s="1" t="str">
        <f ca="1">_xlfn.TEXTJOIN(",",TRUE,RANDBETWEEN(-1,1),RANDBETWEEN(-1,1))</f>
        <v>-1,0</v>
      </c>
      <c r="J102" s="1" t="str">
        <f ca="1">_xlfn.TEXTJOIN(",",TRUE,RANDBETWEEN(-1,1),RANDBETWEEN(-1,1))</f>
        <v>1,0</v>
      </c>
      <c r="K102" s="1" t="str">
        <f ca="1">_xlfn.TEXTJOIN(",",TRUE,RANDBETWEEN(-1,1),RANDBETWEEN(-1,1))</f>
        <v>0,1</v>
      </c>
      <c r="L102" s="1" t="str">
        <f ca="1">_xlfn.TEXTJOIN(",",TRUE,RANDBETWEEN(-1,1),RANDBETWEEN(-1,1))</f>
        <v>0,0</v>
      </c>
      <c r="M102" s="1" t="str">
        <f ca="1">_xlfn.TEXTJOIN(",",TRUE,RANDBETWEEN(-1,1),RANDBETWEEN(-1,1))</f>
        <v>0,-1</v>
      </c>
      <c r="N102" s="1" t="str">
        <f ca="1">_xlfn.TEXTJOIN(",",TRUE,RANDBETWEEN(-1,1),RANDBETWEEN(-1,1))</f>
        <v>1,-1</v>
      </c>
      <c r="O102" s="1" t="str">
        <f ca="1">_xlfn.TEXTJOIN(",",TRUE,RANDBETWEEN(-1,1),RANDBETWEEN(-1,1))</f>
        <v>-1,0</v>
      </c>
      <c r="P102" s="1" t="str">
        <f ca="1">_xlfn.TEXTJOIN(",",TRUE,RANDBETWEEN(-1,1),RANDBETWEEN(-1,1))</f>
        <v>1,-1</v>
      </c>
      <c r="Q102" s="1" t="str">
        <f ca="1">_xlfn.TEXTJOIN(",",TRUE,RANDBETWEEN(-1,1),RANDBETWEEN(-1,1))</f>
        <v>-1,1</v>
      </c>
      <c r="R102" s="1" t="str">
        <f ca="1">_xlfn.TEXTJOIN(",",TRUE,RANDBETWEEN(-1,1),RANDBETWEEN(-1,1))</f>
        <v>1,-1</v>
      </c>
      <c r="S102" s="1" t="str">
        <f ca="1">_xlfn.TEXTJOIN(",",TRUE,RANDBETWEEN(-1,1),RANDBETWEEN(-1,1))</f>
        <v>1,1</v>
      </c>
      <c r="T102" s="1" t="str">
        <f ca="1">_xlfn.TEXTJOIN(",",TRUE,RANDBETWEEN(-1,1),RANDBETWEEN(-1,1))</f>
        <v>-1,1</v>
      </c>
      <c r="U102" s="1" t="str">
        <f ca="1">_xlfn.TEXTJOIN(",",TRUE,RANDBETWEEN(-1,1),RANDBETWEEN(-1,1))</f>
        <v>-1,0</v>
      </c>
      <c r="V102" s="1" t="str">
        <f ca="1">_xlfn.TEXTJOIN(",",TRUE,RANDBETWEEN(-1,1),RANDBETWEEN(-1,1))</f>
        <v>0,1</v>
      </c>
      <c r="W102" s="1" t="str">
        <f ca="1">_xlfn.TEXTJOIN(",",TRUE,RANDBETWEEN(-1,1),RANDBETWEEN(-1,1))</f>
        <v>1,0</v>
      </c>
      <c r="X102" s="1" t="str">
        <f ca="1">_xlfn.TEXTJOIN(",",TRUE,RANDBETWEEN(-1,1),RANDBETWEEN(-1,1))</f>
        <v>0,0</v>
      </c>
      <c r="Y102" s="1" t="str">
        <f ca="1">_xlfn.TEXTJOIN(",",TRUE,RANDBETWEEN(-1,1),RANDBETWEEN(-1,1))</f>
        <v>-1,0</v>
      </c>
      <c r="Z102" s="1" t="str">
        <f ca="1">_xlfn.TEXTJOIN(",",TRUE,RANDBETWEEN(-1,1),RANDBETWEEN(-1,1))</f>
        <v>0,-1</v>
      </c>
      <c r="AA102" s="1" t="str">
        <f ca="1">_xlfn.TEXTJOIN(",",TRUE,RANDBETWEEN(-1,1),RANDBETWEEN(-1,1))</f>
        <v>0,1</v>
      </c>
      <c r="AB102" s="1" t="str">
        <f ca="1">_xlfn.TEXTJOIN(",",TRUE,RANDBETWEEN(-1,1),RANDBETWEEN(-1,1))</f>
        <v>1,0</v>
      </c>
      <c r="AC102" s="1" t="str">
        <f ca="1">_xlfn.TEXTJOIN(",",TRUE,RANDBETWEEN(-1,1),RANDBETWEEN(-1,1))</f>
        <v>-1,0</v>
      </c>
      <c r="AD102" s="1" t="str">
        <f ca="1">_xlfn.TEXTJOIN(",",TRUE,RANDBETWEEN(-1,1),RANDBETWEEN(-1,1))</f>
        <v>1,0</v>
      </c>
      <c r="AE102" s="1" t="str">
        <f ca="1">_xlfn.TEXTJOIN(",",TRUE,RANDBETWEEN(-1,1),RANDBETWEEN(-1,1))</f>
        <v>0,0</v>
      </c>
      <c r="AF102" s="1" t="str">
        <f ca="1">_xlfn.TEXTJOIN(",",TRUE,RANDBETWEEN(-1,1),RANDBETWEEN(-1,1))</f>
        <v>1,0</v>
      </c>
      <c r="AG102" s="1" t="str">
        <f ca="1">_xlfn.TEXTJOIN(",",TRUE,RANDBETWEEN(-1,1),RANDBETWEEN(-1,1))</f>
        <v>1,0</v>
      </c>
      <c r="AH102" s="1" t="str">
        <f ca="1">_xlfn.TEXTJOIN(",",TRUE,RANDBETWEEN(-1,1),RANDBETWEEN(-1,1))</f>
        <v>0,-1</v>
      </c>
      <c r="AI102" s="1" t="str">
        <f ca="1">_xlfn.TEXTJOIN(",",TRUE,RANDBETWEEN(-1,1),RANDBETWEEN(-1,1))</f>
        <v>1,1</v>
      </c>
      <c r="AJ102" s="1" t="str">
        <f ca="1">_xlfn.TEXTJOIN(",",TRUE,RANDBETWEEN(-1,1),RANDBETWEEN(-1,1))</f>
        <v>-1,0</v>
      </c>
      <c r="AK102" s="1" t="str">
        <f ca="1">_xlfn.TEXTJOIN(",",TRUE,RANDBETWEEN(-1,1),RANDBETWEEN(-1,1))</f>
        <v>1,1</v>
      </c>
      <c r="AL102" s="1" t="str">
        <f ca="1">_xlfn.TEXTJOIN(",",TRUE,RANDBETWEEN(-1,1),RANDBETWEEN(-1,1))</f>
        <v>0,0</v>
      </c>
      <c r="AM102" s="1" t="str">
        <f ca="1">_xlfn.TEXTJOIN(",",TRUE,RANDBETWEEN(-1,1),RANDBETWEEN(-1,1))</f>
        <v>-1,0</v>
      </c>
      <c r="AN102" s="1" t="str">
        <f ca="1">_xlfn.TEXTJOIN(",",TRUE,RANDBETWEEN(-1,1),RANDBETWEEN(-1,1))</f>
        <v>0,-1</v>
      </c>
      <c r="AO102" s="1" t="str">
        <f ca="1">_xlfn.TEXTJOIN(",",TRUE,RANDBETWEEN(-1,1),RANDBETWEEN(-1,1))</f>
        <v>0,-1</v>
      </c>
    </row>
    <row r="103" spans="1:41" ht="15.75" customHeight="1">
      <c r="A103" s="1">
        <v>30</v>
      </c>
      <c r="B103" s="1" t="str">
        <f ca="1">_xlfn.TEXTJOIN(",",TRUE,RANDBETWEEN(-1,1),RANDBETWEEN(-1,1))</f>
        <v>-1,-1</v>
      </c>
      <c r="C103" s="1" t="str">
        <f ca="1">_xlfn.TEXTJOIN(",",TRUE,RANDBETWEEN(-1,1),RANDBETWEEN(-1,1))</f>
        <v>-1,0</v>
      </c>
      <c r="D103" s="1" t="str">
        <f ca="1">_xlfn.TEXTJOIN(",",TRUE,RANDBETWEEN(-1,1),RANDBETWEEN(-1,1))</f>
        <v>0,-1</v>
      </c>
      <c r="E103" s="1" t="str">
        <f ca="1">_xlfn.TEXTJOIN(",",TRUE,RANDBETWEEN(-1,1),RANDBETWEEN(-1,1))</f>
        <v>-1,1</v>
      </c>
      <c r="F103" s="1" t="str">
        <f ca="1">_xlfn.TEXTJOIN(",",TRUE,RANDBETWEEN(-1,1),RANDBETWEEN(-1,1))</f>
        <v>0,-1</v>
      </c>
      <c r="G103" s="1" t="str">
        <f ca="1">_xlfn.TEXTJOIN(",",TRUE,RANDBETWEEN(-1,1),RANDBETWEEN(-1,1))</f>
        <v>-1,1</v>
      </c>
      <c r="H103" s="1" t="str">
        <f ca="1">_xlfn.TEXTJOIN(",",TRUE,RANDBETWEEN(-1,1),RANDBETWEEN(-1,1))</f>
        <v>0,-1</v>
      </c>
      <c r="I103" s="1" t="str">
        <f ca="1">_xlfn.TEXTJOIN(",",TRUE,RANDBETWEEN(-1,1),RANDBETWEEN(-1,1))</f>
        <v>0,1</v>
      </c>
      <c r="J103" s="1" t="str">
        <f ca="1">_xlfn.TEXTJOIN(",",TRUE,RANDBETWEEN(-1,1),RANDBETWEEN(-1,1))</f>
        <v>-1,0</v>
      </c>
      <c r="K103" s="1" t="str">
        <f ca="1">_xlfn.TEXTJOIN(",",TRUE,RANDBETWEEN(-1,1),RANDBETWEEN(-1,1))</f>
        <v>1,0</v>
      </c>
      <c r="L103" s="1" t="str">
        <f ca="1">_xlfn.TEXTJOIN(",",TRUE,RANDBETWEEN(-1,1),RANDBETWEEN(-1,1))</f>
        <v>-1,0</v>
      </c>
      <c r="M103" s="1" t="str">
        <f ca="1">_xlfn.TEXTJOIN(",",TRUE,RANDBETWEEN(-1,1),RANDBETWEEN(-1,1))</f>
        <v>1,-1</v>
      </c>
      <c r="N103" s="1" t="str">
        <f ca="1">_xlfn.TEXTJOIN(",",TRUE,RANDBETWEEN(-1,1),RANDBETWEEN(-1,1))</f>
        <v>1,-1</v>
      </c>
      <c r="O103" s="1" t="str">
        <f ca="1">_xlfn.TEXTJOIN(",",TRUE,RANDBETWEEN(-1,1),RANDBETWEEN(-1,1))</f>
        <v>-1,-1</v>
      </c>
      <c r="P103" s="1" t="str">
        <f ca="1">_xlfn.TEXTJOIN(",",TRUE,RANDBETWEEN(-1,1),RANDBETWEEN(-1,1))</f>
        <v>0,1</v>
      </c>
      <c r="Q103" s="1" t="str">
        <f ca="1">_xlfn.TEXTJOIN(",",TRUE,RANDBETWEEN(-1,1),RANDBETWEEN(-1,1))</f>
        <v>0,1</v>
      </c>
      <c r="R103" s="1" t="str">
        <f ca="1">_xlfn.TEXTJOIN(",",TRUE,RANDBETWEEN(-1,1),RANDBETWEEN(-1,1))</f>
        <v>-1,0</v>
      </c>
      <c r="S103" s="1" t="str">
        <f ca="1">_xlfn.TEXTJOIN(",",TRUE,RANDBETWEEN(-1,1),RANDBETWEEN(-1,1))</f>
        <v>0,1</v>
      </c>
      <c r="T103" s="1" t="str">
        <f ca="1">_xlfn.TEXTJOIN(",",TRUE,RANDBETWEEN(-1,1),RANDBETWEEN(-1,1))</f>
        <v>-1,0</v>
      </c>
      <c r="U103" s="1" t="str">
        <f ca="1">_xlfn.TEXTJOIN(",",TRUE,RANDBETWEEN(-1,1),RANDBETWEEN(-1,1))</f>
        <v>0,1</v>
      </c>
      <c r="V103" s="1" t="str">
        <f ca="1">_xlfn.TEXTJOIN(",",TRUE,RANDBETWEEN(-1,1),RANDBETWEEN(-1,1))</f>
        <v>-1,1</v>
      </c>
      <c r="W103" s="1" t="str">
        <f ca="1">_xlfn.TEXTJOIN(",",TRUE,RANDBETWEEN(-1,1),RANDBETWEEN(-1,1))</f>
        <v>0,-1</v>
      </c>
      <c r="X103" s="1" t="str">
        <f ca="1">_xlfn.TEXTJOIN(",",TRUE,RANDBETWEEN(-1,1),RANDBETWEEN(-1,1))</f>
        <v>-1,0</v>
      </c>
      <c r="Y103" s="1" t="str">
        <f ca="1">_xlfn.TEXTJOIN(",",TRUE,RANDBETWEEN(-1,1),RANDBETWEEN(-1,1))</f>
        <v>-1,0</v>
      </c>
      <c r="Z103" s="1" t="str">
        <f ca="1">_xlfn.TEXTJOIN(",",TRUE,RANDBETWEEN(-1,1),RANDBETWEEN(-1,1))</f>
        <v>1,1</v>
      </c>
      <c r="AA103" s="1" t="str">
        <f ca="1">_xlfn.TEXTJOIN(",",TRUE,RANDBETWEEN(-1,1),RANDBETWEEN(-1,1))</f>
        <v>-1,-1</v>
      </c>
      <c r="AB103" s="1" t="str">
        <f ca="1">_xlfn.TEXTJOIN(",",TRUE,RANDBETWEEN(-1,1),RANDBETWEEN(-1,1))</f>
        <v>1,0</v>
      </c>
      <c r="AC103" s="1" t="str">
        <f ca="1">_xlfn.TEXTJOIN(",",TRUE,RANDBETWEEN(-1,1),RANDBETWEEN(-1,1))</f>
        <v>-1,1</v>
      </c>
      <c r="AD103" s="1" t="str">
        <f ca="1">_xlfn.TEXTJOIN(",",TRUE,RANDBETWEEN(-1,1),RANDBETWEEN(-1,1))</f>
        <v>0,-1</v>
      </c>
      <c r="AE103" s="1" t="str">
        <f ca="1">_xlfn.TEXTJOIN(",",TRUE,RANDBETWEEN(-1,1),RANDBETWEEN(-1,1))</f>
        <v>-1,0</v>
      </c>
      <c r="AF103" s="1" t="str">
        <f ca="1">_xlfn.TEXTJOIN(",",TRUE,RANDBETWEEN(-1,1),RANDBETWEEN(-1,1))</f>
        <v>0,-1</v>
      </c>
      <c r="AG103" s="1" t="str">
        <f ca="1">_xlfn.TEXTJOIN(",",TRUE,RANDBETWEEN(-1,1),RANDBETWEEN(-1,1))</f>
        <v>1,1</v>
      </c>
      <c r="AH103" s="1" t="str">
        <f ca="1">_xlfn.TEXTJOIN(",",TRUE,RANDBETWEEN(-1,1),RANDBETWEEN(-1,1))</f>
        <v>-1,-1</v>
      </c>
      <c r="AI103" s="1" t="str">
        <f ca="1">_xlfn.TEXTJOIN(",",TRUE,RANDBETWEEN(-1,1),RANDBETWEEN(-1,1))</f>
        <v>-1,1</v>
      </c>
      <c r="AJ103" s="1" t="str">
        <f ca="1">_xlfn.TEXTJOIN(",",TRUE,RANDBETWEEN(-1,1),RANDBETWEEN(-1,1))</f>
        <v>0,-1</v>
      </c>
      <c r="AK103" s="1" t="str">
        <f ca="1">_xlfn.TEXTJOIN(",",TRUE,RANDBETWEEN(-1,1),RANDBETWEEN(-1,1))</f>
        <v>-1,1</v>
      </c>
      <c r="AL103" s="1" t="str">
        <f ca="1">_xlfn.TEXTJOIN(",",TRUE,RANDBETWEEN(-1,1),RANDBETWEEN(-1,1))</f>
        <v>-1,1</v>
      </c>
      <c r="AM103" s="1" t="str">
        <f ca="1">_xlfn.TEXTJOIN(",",TRUE,RANDBETWEEN(-1,1),RANDBETWEEN(-1,1))</f>
        <v>1,0</v>
      </c>
      <c r="AN103" s="1" t="str">
        <f ca="1">_xlfn.TEXTJOIN(",",TRUE,RANDBETWEEN(-1,1),RANDBETWEEN(-1,1))</f>
        <v>0,0</v>
      </c>
      <c r="AO103" s="1" t="str">
        <f ca="1">_xlfn.TEXTJOIN(",",TRUE,RANDBETWEEN(-1,1),RANDBETWEEN(-1,1))</f>
        <v>0,1</v>
      </c>
    </row>
    <row r="104" spans="1:41" ht="15.75" customHeight="1">
      <c r="A104" s="1">
        <v>31</v>
      </c>
      <c r="B104" s="1" t="str">
        <f ca="1">_xlfn.TEXTJOIN(",",TRUE,RANDBETWEEN(-1,1),RANDBETWEEN(-1,1))</f>
        <v>0,1</v>
      </c>
      <c r="C104" s="1" t="str">
        <f ca="1">_xlfn.TEXTJOIN(",",TRUE,RANDBETWEEN(-1,1),RANDBETWEEN(-1,1))</f>
        <v>-1,1</v>
      </c>
      <c r="D104" s="1" t="str">
        <f ca="1">_xlfn.TEXTJOIN(",",TRUE,RANDBETWEEN(-1,1),RANDBETWEEN(-1,1))</f>
        <v>0,0</v>
      </c>
      <c r="E104" s="1" t="str">
        <f ca="1">_xlfn.TEXTJOIN(",",TRUE,RANDBETWEEN(-1,1),RANDBETWEEN(-1,1))</f>
        <v>0,1</v>
      </c>
      <c r="F104" s="1" t="str">
        <f ca="1">_xlfn.TEXTJOIN(",",TRUE,RANDBETWEEN(-1,1),RANDBETWEEN(-1,1))</f>
        <v>-1,0</v>
      </c>
      <c r="G104" s="1" t="str">
        <f ca="1">_xlfn.TEXTJOIN(",",TRUE,RANDBETWEEN(-1,1),RANDBETWEEN(-1,1))</f>
        <v>0,1</v>
      </c>
      <c r="H104" s="1" t="str">
        <f ca="1">_xlfn.TEXTJOIN(",",TRUE,RANDBETWEEN(-1,1),RANDBETWEEN(-1,1))</f>
        <v>0,-1</v>
      </c>
      <c r="I104" s="1" t="str">
        <f ca="1">_xlfn.TEXTJOIN(",",TRUE,RANDBETWEEN(-1,1),RANDBETWEEN(-1,1))</f>
        <v>1,1</v>
      </c>
      <c r="J104" s="1" t="str">
        <f ca="1">_xlfn.TEXTJOIN(",",TRUE,RANDBETWEEN(-1,1),RANDBETWEEN(-1,1))</f>
        <v>0,-1</v>
      </c>
      <c r="K104" s="1" t="str">
        <f ca="1">_xlfn.TEXTJOIN(",",TRUE,RANDBETWEEN(-1,1),RANDBETWEEN(-1,1))</f>
        <v>-1,0</v>
      </c>
      <c r="L104" s="1" t="str">
        <f ca="1">_xlfn.TEXTJOIN(",",TRUE,RANDBETWEEN(-1,1),RANDBETWEEN(-1,1))</f>
        <v>1,1</v>
      </c>
      <c r="M104" s="1" t="str">
        <f ca="1">_xlfn.TEXTJOIN(",",TRUE,RANDBETWEEN(-1,1),RANDBETWEEN(-1,1))</f>
        <v>1,0</v>
      </c>
      <c r="N104" s="1" t="str">
        <f ca="1">_xlfn.TEXTJOIN(",",TRUE,RANDBETWEEN(-1,1),RANDBETWEEN(-1,1))</f>
        <v>1,0</v>
      </c>
      <c r="O104" s="1" t="str">
        <f ca="1">_xlfn.TEXTJOIN(",",TRUE,RANDBETWEEN(-1,1),RANDBETWEEN(-1,1))</f>
        <v>-1,0</v>
      </c>
      <c r="P104" s="1" t="str">
        <f ca="1">_xlfn.TEXTJOIN(",",TRUE,RANDBETWEEN(-1,1),RANDBETWEEN(-1,1))</f>
        <v>-1,0</v>
      </c>
      <c r="Q104" s="1" t="str">
        <f ca="1">_xlfn.TEXTJOIN(",",TRUE,RANDBETWEEN(-1,1),RANDBETWEEN(-1,1))</f>
        <v>-1,1</v>
      </c>
      <c r="R104" s="1" t="str">
        <f ca="1">_xlfn.TEXTJOIN(",",TRUE,RANDBETWEEN(-1,1),RANDBETWEEN(-1,1))</f>
        <v>-1,-1</v>
      </c>
      <c r="S104" s="1" t="str">
        <f ca="1">_xlfn.TEXTJOIN(",",TRUE,RANDBETWEEN(-1,1),RANDBETWEEN(-1,1))</f>
        <v>1,1</v>
      </c>
      <c r="T104" s="1" t="str">
        <f ca="1">_xlfn.TEXTJOIN(",",TRUE,RANDBETWEEN(-1,1),RANDBETWEEN(-1,1))</f>
        <v>-1,0</v>
      </c>
      <c r="U104" s="1" t="str">
        <f ca="1">_xlfn.TEXTJOIN(",",TRUE,RANDBETWEEN(-1,1),RANDBETWEEN(-1,1))</f>
        <v>1,-1</v>
      </c>
      <c r="V104" s="1" t="str">
        <f ca="1">_xlfn.TEXTJOIN(",",TRUE,RANDBETWEEN(-1,1),RANDBETWEEN(-1,1))</f>
        <v>0,0</v>
      </c>
      <c r="W104" s="1" t="str">
        <f ca="1">_xlfn.TEXTJOIN(",",TRUE,RANDBETWEEN(-1,1),RANDBETWEEN(-1,1))</f>
        <v>-1,0</v>
      </c>
      <c r="X104" s="1" t="str">
        <f ca="1">_xlfn.TEXTJOIN(",",TRUE,RANDBETWEEN(-1,1),RANDBETWEEN(-1,1))</f>
        <v>0,-1</v>
      </c>
      <c r="Y104" s="1" t="str">
        <f ca="1">_xlfn.TEXTJOIN(",",TRUE,RANDBETWEEN(-1,1),RANDBETWEEN(-1,1))</f>
        <v>1,0</v>
      </c>
      <c r="Z104" s="1" t="str">
        <f ca="1">_xlfn.TEXTJOIN(",",TRUE,RANDBETWEEN(-1,1),RANDBETWEEN(-1,1))</f>
        <v>0,0</v>
      </c>
      <c r="AA104" s="1" t="str">
        <f ca="1">_xlfn.TEXTJOIN(",",TRUE,RANDBETWEEN(-1,1),RANDBETWEEN(-1,1))</f>
        <v>-1,0</v>
      </c>
      <c r="AB104" s="1" t="str">
        <f ca="1">_xlfn.TEXTJOIN(",",TRUE,RANDBETWEEN(-1,1),RANDBETWEEN(-1,1))</f>
        <v>0,-1</v>
      </c>
      <c r="AC104" s="1" t="str">
        <f ca="1">_xlfn.TEXTJOIN(",",TRUE,RANDBETWEEN(-1,1),RANDBETWEEN(-1,1))</f>
        <v>0,1</v>
      </c>
      <c r="AD104" s="1" t="str">
        <f ca="1">_xlfn.TEXTJOIN(",",TRUE,RANDBETWEEN(-1,1),RANDBETWEEN(-1,1))</f>
        <v>0,-1</v>
      </c>
      <c r="AE104" s="1" t="str">
        <f ca="1">_xlfn.TEXTJOIN(",",TRUE,RANDBETWEEN(-1,1),RANDBETWEEN(-1,1))</f>
        <v>-1,1</v>
      </c>
      <c r="AF104" s="1" t="str">
        <f ca="1">_xlfn.TEXTJOIN(",",TRUE,RANDBETWEEN(-1,1),RANDBETWEEN(-1,1))</f>
        <v>1,-1</v>
      </c>
      <c r="AG104" s="1" t="str">
        <f ca="1">_xlfn.TEXTJOIN(",",TRUE,RANDBETWEEN(-1,1),RANDBETWEEN(-1,1))</f>
        <v>0,0</v>
      </c>
      <c r="AH104" s="1" t="str">
        <f ca="1">_xlfn.TEXTJOIN(",",TRUE,RANDBETWEEN(-1,1),RANDBETWEEN(-1,1))</f>
        <v>0,0</v>
      </c>
      <c r="AI104" s="1" t="str">
        <f ca="1">_xlfn.TEXTJOIN(",",TRUE,RANDBETWEEN(-1,1),RANDBETWEEN(-1,1))</f>
        <v>-1,0</v>
      </c>
      <c r="AJ104" s="1" t="str">
        <f ca="1">_xlfn.TEXTJOIN(",",TRUE,RANDBETWEEN(-1,1),RANDBETWEEN(-1,1))</f>
        <v>0,1</v>
      </c>
      <c r="AK104" s="1" t="str">
        <f ca="1">_xlfn.TEXTJOIN(",",TRUE,RANDBETWEEN(-1,1),RANDBETWEEN(-1,1))</f>
        <v>-1,-1</v>
      </c>
      <c r="AL104" s="1" t="str">
        <f ca="1">_xlfn.TEXTJOIN(",",TRUE,RANDBETWEEN(-1,1),RANDBETWEEN(-1,1))</f>
        <v>-1,0</v>
      </c>
      <c r="AM104" s="1" t="str">
        <f ca="1">_xlfn.TEXTJOIN(",",TRUE,RANDBETWEEN(-1,1),RANDBETWEEN(-1,1))</f>
        <v>1,-1</v>
      </c>
      <c r="AN104" s="1" t="str">
        <f ca="1">_xlfn.TEXTJOIN(",",TRUE,RANDBETWEEN(-1,1),RANDBETWEEN(-1,1))</f>
        <v>1,0</v>
      </c>
      <c r="AO104" s="1" t="str">
        <f ca="1">_xlfn.TEXTJOIN(",",TRUE,RANDBETWEEN(-1,1),RANDBETWEEN(-1,1))</f>
        <v>-1,1</v>
      </c>
    </row>
    <row r="105" spans="1:41" ht="15.75" customHeight="1">
      <c r="A105" s="1">
        <v>32</v>
      </c>
      <c r="B105" s="1" t="str">
        <f ca="1">_xlfn.TEXTJOIN(",",TRUE,RANDBETWEEN(-1,1),RANDBETWEEN(-1,1))</f>
        <v>-1,1</v>
      </c>
      <c r="C105" s="1" t="str">
        <f ca="1">_xlfn.TEXTJOIN(",",TRUE,RANDBETWEEN(-1,1),RANDBETWEEN(-1,1))</f>
        <v>0,1</v>
      </c>
      <c r="D105" s="1" t="str">
        <f ca="1">_xlfn.TEXTJOIN(",",TRUE,RANDBETWEEN(-1,1),RANDBETWEEN(-1,1))</f>
        <v>1,-1</v>
      </c>
      <c r="E105" s="1" t="str">
        <f ca="1">_xlfn.TEXTJOIN(",",TRUE,RANDBETWEEN(-1,1),RANDBETWEEN(-1,1))</f>
        <v>0,-1</v>
      </c>
      <c r="F105" s="1" t="str">
        <f ca="1">_xlfn.TEXTJOIN(",",TRUE,RANDBETWEEN(-1,1),RANDBETWEEN(-1,1))</f>
        <v>-1,1</v>
      </c>
      <c r="G105" s="1" t="str">
        <f ca="1">_xlfn.TEXTJOIN(",",TRUE,RANDBETWEEN(-1,1),RANDBETWEEN(-1,1))</f>
        <v>0,-1</v>
      </c>
      <c r="H105" s="1" t="str">
        <f ca="1">_xlfn.TEXTJOIN(",",TRUE,RANDBETWEEN(-1,1),RANDBETWEEN(-1,1))</f>
        <v>0,-1</v>
      </c>
      <c r="I105" s="1" t="str">
        <f ca="1">_xlfn.TEXTJOIN(",",TRUE,RANDBETWEEN(-1,1),RANDBETWEEN(-1,1))</f>
        <v>-1,1</v>
      </c>
      <c r="J105" s="1" t="str">
        <f ca="1">_xlfn.TEXTJOIN(",",TRUE,RANDBETWEEN(-1,1),RANDBETWEEN(-1,1))</f>
        <v>-1,1</v>
      </c>
      <c r="K105" s="1" t="str">
        <f ca="1">_xlfn.TEXTJOIN(",",TRUE,RANDBETWEEN(-1,1),RANDBETWEEN(-1,1))</f>
        <v>0,-1</v>
      </c>
      <c r="L105" s="1" t="str">
        <f ca="1">_xlfn.TEXTJOIN(",",TRUE,RANDBETWEEN(-1,1),RANDBETWEEN(-1,1))</f>
        <v>0,0</v>
      </c>
      <c r="M105" s="1" t="str">
        <f ca="1">_xlfn.TEXTJOIN(",",TRUE,RANDBETWEEN(-1,1),RANDBETWEEN(-1,1))</f>
        <v>0,-1</v>
      </c>
      <c r="N105" s="1" t="str">
        <f ca="1">_xlfn.TEXTJOIN(",",TRUE,RANDBETWEEN(-1,1),RANDBETWEEN(-1,1))</f>
        <v>1,-1</v>
      </c>
      <c r="O105" s="1" t="str">
        <f ca="1">_xlfn.TEXTJOIN(",",TRUE,RANDBETWEEN(-1,1),RANDBETWEEN(-1,1))</f>
        <v>0,1</v>
      </c>
      <c r="P105" s="1" t="str">
        <f ca="1">_xlfn.TEXTJOIN(",",TRUE,RANDBETWEEN(-1,1),RANDBETWEEN(-1,1))</f>
        <v>1,1</v>
      </c>
      <c r="Q105" s="1" t="str">
        <f ca="1">_xlfn.TEXTJOIN(",",TRUE,RANDBETWEEN(-1,1),RANDBETWEEN(-1,1))</f>
        <v>0,0</v>
      </c>
      <c r="R105" s="1" t="str">
        <f ca="1">_xlfn.TEXTJOIN(",",TRUE,RANDBETWEEN(-1,1),RANDBETWEEN(-1,1))</f>
        <v>-1,1</v>
      </c>
      <c r="S105" s="1" t="str">
        <f ca="1">_xlfn.TEXTJOIN(",",TRUE,RANDBETWEEN(-1,1),RANDBETWEEN(-1,1))</f>
        <v>0,-1</v>
      </c>
      <c r="T105" s="1" t="str">
        <f ca="1">_xlfn.TEXTJOIN(",",TRUE,RANDBETWEEN(-1,1),RANDBETWEEN(-1,1))</f>
        <v>1,1</v>
      </c>
      <c r="U105" s="1" t="str">
        <f ca="1">_xlfn.TEXTJOIN(",",TRUE,RANDBETWEEN(-1,1),RANDBETWEEN(-1,1))</f>
        <v>-1,0</v>
      </c>
      <c r="V105" s="1" t="str">
        <f ca="1">_xlfn.TEXTJOIN(",",TRUE,RANDBETWEEN(-1,1),RANDBETWEEN(-1,1))</f>
        <v>1,1</v>
      </c>
      <c r="W105" s="1" t="str">
        <f ca="1">_xlfn.TEXTJOIN(",",TRUE,RANDBETWEEN(-1,1),RANDBETWEEN(-1,1))</f>
        <v>-1,-1</v>
      </c>
      <c r="X105" s="1" t="str">
        <f ca="1">_xlfn.TEXTJOIN(",",TRUE,RANDBETWEEN(-1,1),RANDBETWEEN(-1,1))</f>
        <v>1,0</v>
      </c>
      <c r="Y105" s="1" t="str">
        <f ca="1">_xlfn.TEXTJOIN(",",TRUE,RANDBETWEEN(-1,1),RANDBETWEEN(-1,1))</f>
        <v>1,-1</v>
      </c>
      <c r="Z105" s="1" t="str">
        <f ca="1">_xlfn.TEXTJOIN(",",TRUE,RANDBETWEEN(-1,1),RANDBETWEEN(-1,1))</f>
        <v>1,-1</v>
      </c>
      <c r="AA105" s="1" t="str">
        <f ca="1">_xlfn.TEXTJOIN(",",TRUE,RANDBETWEEN(-1,1),RANDBETWEEN(-1,1))</f>
        <v>-1,1</v>
      </c>
      <c r="AB105" s="1" t="str">
        <f ca="1">_xlfn.TEXTJOIN(",",TRUE,RANDBETWEEN(-1,1),RANDBETWEEN(-1,1))</f>
        <v>-1,0</v>
      </c>
      <c r="AC105" s="1" t="str">
        <f ca="1">_xlfn.TEXTJOIN(",",TRUE,RANDBETWEEN(-1,1),RANDBETWEEN(-1,1))</f>
        <v>0,0</v>
      </c>
      <c r="AD105" s="1" t="str">
        <f ca="1">_xlfn.TEXTJOIN(",",TRUE,RANDBETWEEN(-1,1),RANDBETWEEN(-1,1))</f>
        <v>0,0</v>
      </c>
      <c r="AE105" s="1" t="str">
        <f ca="1">_xlfn.TEXTJOIN(",",TRUE,RANDBETWEEN(-1,1),RANDBETWEEN(-1,1))</f>
        <v>1,1</v>
      </c>
      <c r="AF105" s="1" t="str">
        <f ca="1">_xlfn.TEXTJOIN(",",TRUE,RANDBETWEEN(-1,1),RANDBETWEEN(-1,1))</f>
        <v>1,-1</v>
      </c>
      <c r="AG105" s="1" t="str">
        <f ca="1">_xlfn.TEXTJOIN(",",TRUE,RANDBETWEEN(-1,1),RANDBETWEEN(-1,1))</f>
        <v>-1,0</v>
      </c>
      <c r="AH105" s="1" t="str">
        <f ca="1">_xlfn.TEXTJOIN(",",TRUE,RANDBETWEEN(-1,1),RANDBETWEEN(-1,1))</f>
        <v>-1,1</v>
      </c>
      <c r="AI105" s="1" t="str">
        <f ca="1">_xlfn.TEXTJOIN(",",TRUE,RANDBETWEEN(-1,1),RANDBETWEEN(-1,1))</f>
        <v>1,-1</v>
      </c>
      <c r="AJ105" s="1" t="str">
        <f ca="1">_xlfn.TEXTJOIN(",",TRUE,RANDBETWEEN(-1,1),RANDBETWEEN(-1,1))</f>
        <v>1,-1</v>
      </c>
      <c r="AK105" s="1" t="str">
        <f ca="1">_xlfn.TEXTJOIN(",",TRUE,RANDBETWEEN(-1,1),RANDBETWEEN(-1,1))</f>
        <v>1,-1</v>
      </c>
      <c r="AL105" s="1" t="str">
        <f ca="1">_xlfn.TEXTJOIN(",",TRUE,RANDBETWEEN(-1,1),RANDBETWEEN(-1,1))</f>
        <v>0,0</v>
      </c>
      <c r="AM105" s="1" t="str">
        <f ca="1">_xlfn.TEXTJOIN(",",TRUE,RANDBETWEEN(-1,1),RANDBETWEEN(-1,1))</f>
        <v>1,1</v>
      </c>
      <c r="AN105" s="1" t="str">
        <f ca="1">_xlfn.TEXTJOIN(",",TRUE,RANDBETWEEN(-1,1),RANDBETWEEN(-1,1))</f>
        <v>0,0</v>
      </c>
      <c r="AO105" s="1" t="str">
        <f ca="1">_xlfn.TEXTJOIN(",",TRUE,RANDBETWEEN(-1,1),RANDBETWEEN(-1,1))</f>
        <v>1,1</v>
      </c>
    </row>
    <row r="106" spans="1:41" ht="15.75" customHeight="1">
      <c r="A106" s="1">
        <v>33</v>
      </c>
      <c r="B106" s="1" t="str">
        <f ca="1">_xlfn.TEXTJOIN(",",TRUE,RANDBETWEEN(-1,1),RANDBETWEEN(-1,1))</f>
        <v>0,1</v>
      </c>
      <c r="C106" s="1" t="str">
        <f ca="1">_xlfn.TEXTJOIN(",",TRUE,RANDBETWEEN(-1,1),RANDBETWEEN(-1,1))</f>
        <v>0,0</v>
      </c>
      <c r="D106" s="1" t="str">
        <f ca="1">_xlfn.TEXTJOIN(",",TRUE,RANDBETWEEN(-1,1),RANDBETWEEN(-1,1))</f>
        <v>-1,0</v>
      </c>
      <c r="E106" s="1" t="str">
        <f ca="1">_xlfn.TEXTJOIN(",",TRUE,RANDBETWEEN(-1,1),RANDBETWEEN(-1,1))</f>
        <v>-1,-1</v>
      </c>
      <c r="F106" s="1" t="str">
        <f ca="1">_xlfn.TEXTJOIN(",",TRUE,RANDBETWEEN(-1,1),RANDBETWEEN(-1,1))</f>
        <v>-1,1</v>
      </c>
      <c r="G106" s="1" t="str">
        <f ca="1">_xlfn.TEXTJOIN(",",TRUE,RANDBETWEEN(-1,1),RANDBETWEEN(-1,1))</f>
        <v>-1,-1</v>
      </c>
      <c r="H106" s="1" t="str">
        <f ca="1">_xlfn.TEXTJOIN(",",TRUE,RANDBETWEEN(-1,1),RANDBETWEEN(-1,1))</f>
        <v>-1,0</v>
      </c>
      <c r="I106" s="1" t="str">
        <f ca="1">_xlfn.TEXTJOIN(",",TRUE,RANDBETWEEN(-1,1),RANDBETWEEN(-1,1))</f>
        <v>-1,1</v>
      </c>
      <c r="J106" s="1" t="str">
        <f ca="1">_xlfn.TEXTJOIN(",",TRUE,RANDBETWEEN(-1,1),RANDBETWEEN(-1,1))</f>
        <v>-1,0</v>
      </c>
      <c r="K106" s="1" t="str">
        <f ca="1">_xlfn.TEXTJOIN(",",TRUE,RANDBETWEEN(-1,1),RANDBETWEEN(-1,1))</f>
        <v>0,0</v>
      </c>
      <c r="L106" s="1" t="str">
        <f ca="1">_xlfn.TEXTJOIN(",",TRUE,RANDBETWEEN(-1,1),RANDBETWEEN(-1,1))</f>
        <v>-1,-1</v>
      </c>
      <c r="M106" s="1" t="str">
        <f ca="1">_xlfn.TEXTJOIN(",",TRUE,RANDBETWEEN(-1,1),RANDBETWEEN(-1,1))</f>
        <v>-1,1</v>
      </c>
      <c r="N106" s="1" t="str">
        <f ca="1">_xlfn.TEXTJOIN(",",TRUE,RANDBETWEEN(-1,1),RANDBETWEEN(-1,1))</f>
        <v>0,-1</v>
      </c>
      <c r="O106" s="1" t="str">
        <f ca="1">_xlfn.TEXTJOIN(",",TRUE,RANDBETWEEN(-1,1),RANDBETWEEN(-1,1))</f>
        <v>1,1</v>
      </c>
      <c r="P106" s="1" t="str">
        <f ca="1">_xlfn.TEXTJOIN(",",TRUE,RANDBETWEEN(-1,1),RANDBETWEEN(-1,1))</f>
        <v>0,1</v>
      </c>
      <c r="Q106" s="1" t="str">
        <f ca="1">_xlfn.TEXTJOIN(",",TRUE,RANDBETWEEN(-1,1),RANDBETWEEN(-1,1))</f>
        <v>1,0</v>
      </c>
      <c r="R106" s="1" t="str">
        <f ca="1">_xlfn.TEXTJOIN(",",TRUE,RANDBETWEEN(-1,1),RANDBETWEEN(-1,1))</f>
        <v>-1,-1</v>
      </c>
      <c r="S106" s="1" t="str">
        <f ca="1">_xlfn.TEXTJOIN(",",TRUE,RANDBETWEEN(-1,1),RANDBETWEEN(-1,1))</f>
        <v>1,0</v>
      </c>
      <c r="T106" s="1" t="str">
        <f ca="1">_xlfn.TEXTJOIN(",",TRUE,RANDBETWEEN(-1,1),RANDBETWEEN(-1,1))</f>
        <v>1,-1</v>
      </c>
      <c r="U106" s="1" t="str">
        <f ca="1">_xlfn.TEXTJOIN(",",TRUE,RANDBETWEEN(-1,1),RANDBETWEEN(-1,1))</f>
        <v>0,1</v>
      </c>
      <c r="V106" s="1" t="str">
        <f ca="1">_xlfn.TEXTJOIN(",",TRUE,RANDBETWEEN(-1,1),RANDBETWEEN(-1,1))</f>
        <v>0,0</v>
      </c>
      <c r="W106" s="1" t="str">
        <f ca="1">_xlfn.TEXTJOIN(",",TRUE,RANDBETWEEN(-1,1),RANDBETWEEN(-1,1))</f>
        <v>1,0</v>
      </c>
      <c r="X106" s="1" t="str">
        <f ca="1">_xlfn.TEXTJOIN(",",TRUE,RANDBETWEEN(-1,1),RANDBETWEEN(-1,1))</f>
        <v>0,0</v>
      </c>
      <c r="Y106" s="1" t="str">
        <f ca="1">_xlfn.TEXTJOIN(",",TRUE,RANDBETWEEN(-1,1),RANDBETWEEN(-1,1))</f>
        <v>0,1</v>
      </c>
      <c r="Z106" s="1" t="str">
        <f ca="1">_xlfn.TEXTJOIN(",",TRUE,RANDBETWEEN(-1,1),RANDBETWEEN(-1,1))</f>
        <v>1,0</v>
      </c>
      <c r="AA106" s="1" t="str">
        <f ca="1">_xlfn.TEXTJOIN(",",TRUE,RANDBETWEEN(-1,1),RANDBETWEEN(-1,1))</f>
        <v>-1,0</v>
      </c>
      <c r="AB106" s="1" t="str">
        <f ca="1">_xlfn.TEXTJOIN(",",TRUE,RANDBETWEEN(-1,1),RANDBETWEEN(-1,1))</f>
        <v>-1,-1</v>
      </c>
      <c r="AC106" s="1" t="str">
        <f ca="1">_xlfn.TEXTJOIN(",",TRUE,RANDBETWEEN(-1,1),RANDBETWEEN(-1,1))</f>
        <v>1,-1</v>
      </c>
      <c r="AD106" s="1" t="str">
        <f ca="1">_xlfn.TEXTJOIN(",",TRUE,RANDBETWEEN(-1,1),RANDBETWEEN(-1,1))</f>
        <v>-1,1</v>
      </c>
      <c r="AE106" s="1" t="str">
        <f ca="1">_xlfn.TEXTJOIN(",",TRUE,RANDBETWEEN(-1,1),RANDBETWEEN(-1,1))</f>
        <v>0,0</v>
      </c>
      <c r="AF106" s="1" t="str">
        <f ca="1">_xlfn.TEXTJOIN(",",TRUE,RANDBETWEEN(-1,1),RANDBETWEEN(-1,1))</f>
        <v>1,0</v>
      </c>
      <c r="AG106" s="1" t="str">
        <f ca="1">_xlfn.TEXTJOIN(",",TRUE,RANDBETWEEN(-1,1),RANDBETWEEN(-1,1))</f>
        <v>1,0</v>
      </c>
      <c r="AH106" s="1" t="str">
        <f ca="1">_xlfn.TEXTJOIN(",",TRUE,RANDBETWEEN(-1,1),RANDBETWEEN(-1,1))</f>
        <v>-1,0</v>
      </c>
      <c r="AI106" s="1" t="str">
        <f ca="1">_xlfn.TEXTJOIN(",",TRUE,RANDBETWEEN(-1,1),RANDBETWEEN(-1,1))</f>
        <v>-1,1</v>
      </c>
      <c r="AJ106" s="1" t="str">
        <f ca="1">_xlfn.TEXTJOIN(",",TRUE,RANDBETWEEN(-1,1),RANDBETWEEN(-1,1))</f>
        <v>0,-1</v>
      </c>
      <c r="AK106" s="1" t="str">
        <f ca="1">_xlfn.TEXTJOIN(",",TRUE,RANDBETWEEN(-1,1),RANDBETWEEN(-1,1))</f>
        <v>1,1</v>
      </c>
      <c r="AL106" s="1" t="str">
        <f ca="1">_xlfn.TEXTJOIN(",",TRUE,RANDBETWEEN(-1,1),RANDBETWEEN(-1,1))</f>
        <v>0,-1</v>
      </c>
      <c r="AM106" s="1" t="str">
        <f ca="1">_xlfn.TEXTJOIN(",",TRUE,RANDBETWEEN(-1,1),RANDBETWEEN(-1,1))</f>
        <v>0,0</v>
      </c>
      <c r="AN106" s="1" t="str">
        <f ca="1">_xlfn.TEXTJOIN(",",TRUE,RANDBETWEEN(-1,1),RANDBETWEEN(-1,1))</f>
        <v>-1,0</v>
      </c>
      <c r="AO106" s="1" t="str">
        <f ca="1">_xlfn.TEXTJOIN(",",TRUE,RANDBETWEEN(-1,1),RANDBETWEEN(-1,1))</f>
        <v>1,1</v>
      </c>
    </row>
    <row r="107" spans="1:41" ht="15.75" customHeight="1">
      <c r="A107" s="1">
        <v>34</v>
      </c>
      <c r="B107" s="1" t="str">
        <f ca="1">_xlfn.TEXTJOIN(",",TRUE,RANDBETWEEN(-1,1),RANDBETWEEN(-1,1))</f>
        <v>-1,0</v>
      </c>
      <c r="C107" s="1" t="str">
        <f ca="1">_xlfn.TEXTJOIN(",",TRUE,RANDBETWEEN(-1,1),RANDBETWEEN(-1,1))</f>
        <v>-1,-1</v>
      </c>
      <c r="D107" s="1" t="str">
        <f ca="1">_xlfn.TEXTJOIN(",",TRUE,RANDBETWEEN(-1,1),RANDBETWEEN(-1,1))</f>
        <v>1,-1</v>
      </c>
      <c r="E107" s="1" t="str">
        <f ca="1">_xlfn.TEXTJOIN(",",TRUE,RANDBETWEEN(-1,1),RANDBETWEEN(-1,1))</f>
        <v>-1,1</v>
      </c>
      <c r="F107" s="1" t="str">
        <f ca="1">_xlfn.TEXTJOIN(",",TRUE,RANDBETWEEN(-1,1),RANDBETWEEN(-1,1))</f>
        <v>-1,0</v>
      </c>
      <c r="G107" s="1" t="str">
        <f ca="1">_xlfn.TEXTJOIN(",",TRUE,RANDBETWEEN(-1,1),RANDBETWEEN(-1,1))</f>
        <v>1,0</v>
      </c>
      <c r="H107" s="1" t="str">
        <f ca="1">_xlfn.TEXTJOIN(",",TRUE,RANDBETWEEN(-1,1),RANDBETWEEN(-1,1))</f>
        <v>-1,0</v>
      </c>
      <c r="I107" s="1" t="str">
        <f ca="1">_xlfn.TEXTJOIN(",",TRUE,RANDBETWEEN(-1,1),RANDBETWEEN(-1,1))</f>
        <v>1,-1</v>
      </c>
      <c r="J107" s="1" t="str">
        <f ca="1">_xlfn.TEXTJOIN(",",TRUE,RANDBETWEEN(-1,1),RANDBETWEEN(-1,1))</f>
        <v>0,1</v>
      </c>
      <c r="K107" s="1" t="str">
        <f ca="1">_xlfn.TEXTJOIN(",",TRUE,RANDBETWEEN(-1,1),RANDBETWEEN(-1,1))</f>
        <v>1,0</v>
      </c>
      <c r="L107" s="1" t="str">
        <f ca="1">_xlfn.TEXTJOIN(",",TRUE,RANDBETWEEN(-1,1),RANDBETWEEN(-1,1))</f>
        <v>-1,-1</v>
      </c>
      <c r="M107" s="1" t="str">
        <f ca="1">_xlfn.TEXTJOIN(",",TRUE,RANDBETWEEN(-1,1),RANDBETWEEN(-1,1))</f>
        <v>1,0</v>
      </c>
      <c r="N107" s="1" t="str">
        <f ca="1">_xlfn.TEXTJOIN(",",TRUE,RANDBETWEEN(-1,1),RANDBETWEEN(-1,1))</f>
        <v>1,0</v>
      </c>
      <c r="O107" s="1" t="str">
        <f ca="1">_xlfn.TEXTJOIN(",",TRUE,RANDBETWEEN(-1,1),RANDBETWEEN(-1,1))</f>
        <v>0,0</v>
      </c>
      <c r="P107" s="1" t="str">
        <f ca="1">_xlfn.TEXTJOIN(",",TRUE,RANDBETWEEN(-1,1),RANDBETWEEN(-1,1))</f>
        <v>-1,-1</v>
      </c>
      <c r="Q107" s="1" t="str">
        <f ca="1">_xlfn.TEXTJOIN(",",TRUE,RANDBETWEEN(-1,1),RANDBETWEEN(-1,1))</f>
        <v>1,1</v>
      </c>
      <c r="R107" s="1" t="str">
        <f ca="1">_xlfn.TEXTJOIN(",",TRUE,RANDBETWEEN(-1,1),RANDBETWEEN(-1,1))</f>
        <v>0,0</v>
      </c>
      <c r="S107" s="1" t="str">
        <f ca="1">_xlfn.TEXTJOIN(",",TRUE,RANDBETWEEN(-1,1),RANDBETWEEN(-1,1))</f>
        <v>-1,-1</v>
      </c>
      <c r="T107" s="1" t="str">
        <f ca="1">_xlfn.TEXTJOIN(",",TRUE,RANDBETWEEN(-1,1),RANDBETWEEN(-1,1))</f>
        <v>0,1</v>
      </c>
      <c r="U107" s="1" t="str">
        <f ca="1">_xlfn.TEXTJOIN(",",TRUE,RANDBETWEEN(-1,1),RANDBETWEEN(-1,1))</f>
        <v>1,1</v>
      </c>
      <c r="V107" s="1" t="str">
        <f ca="1">_xlfn.TEXTJOIN(",",TRUE,RANDBETWEEN(-1,1),RANDBETWEEN(-1,1))</f>
        <v>1,-1</v>
      </c>
      <c r="W107" s="1" t="str">
        <f ca="1">_xlfn.TEXTJOIN(",",TRUE,RANDBETWEEN(-1,1),RANDBETWEEN(-1,1))</f>
        <v>1,-1</v>
      </c>
      <c r="X107" s="1" t="str">
        <f ca="1">_xlfn.TEXTJOIN(",",TRUE,RANDBETWEEN(-1,1),RANDBETWEEN(-1,1))</f>
        <v>1,-1</v>
      </c>
      <c r="Y107" s="1" t="str">
        <f ca="1">_xlfn.TEXTJOIN(",",TRUE,RANDBETWEEN(-1,1),RANDBETWEEN(-1,1))</f>
        <v>-1,1</v>
      </c>
      <c r="Z107" s="1" t="str">
        <f ca="1">_xlfn.TEXTJOIN(",",TRUE,RANDBETWEEN(-1,1),RANDBETWEEN(-1,1))</f>
        <v>1,-1</v>
      </c>
      <c r="AA107" s="1" t="str">
        <f ca="1">_xlfn.TEXTJOIN(",",TRUE,RANDBETWEEN(-1,1),RANDBETWEEN(-1,1))</f>
        <v>0,-1</v>
      </c>
      <c r="AB107" s="1" t="str">
        <f ca="1">_xlfn.TEXTJOIN(",",TRUE,RANDBETWEEN(-1,1),RANDBETWEEN(-1,1))</f>
        <v>-1,-1</v>
      </c>
      <c r="AC107" s="1" t="str">
        <f ca="1">_xlfn.TEXTJOIN(",",TRUE,RANDBETWEEN(-1,1),RANDBETWEEN(-1,1))</f>
        <v>0,-1</v>
      </c>
      <c r="AD107" s="1" t="str">
        <f ca="1">_xlfn.TEXTJOIN(",",TRUE,RANDBETWEEN(-1,1),RANDBETWEEN(-1,1))</f>
        <v>-1,0</v>
      </c>
      <c r="AE107" s="1" t="str">
        <f ca="1">_xlfn.TEXTJOIN(",",TRUE,RANDBETWEEN(-1,1),RANDBETWEEN(-1,1))</f>
        <v>-1,0</v>
      </c>
      <c r="AF107" s="1" t="str">
        <f ca="1">_xlfn.TEXTJOIN(",",TRUE,RANDBETWEEN(-1,1),RANDBETWEEN(-1,1))</f>
        <v>1,0</v>
      </c>
      <c r="AG107" s="1" t="str">
        <f ca="1">_xlfn.TEXTJOIN(",",TRUE,RANDBETWEEN(-1,1),RANDBETWEEN(-1,1))</f>
        <v>0,0</v>
      </c>
      <c r="AH107" s="1" t="str">
        <f ca="1">_xlfn.TEXTJOIN(",",TRUE,RANDBETWEEN(-1,1),RANDBETWEEN(-1,1))</f>
        <v>-1,1</v>
      </c>
      <c r="AI107" s="1" t="str">
        <f ca="1">_xlfn.TEXTJOIN(",",TRUE,RANDBETWEEN(-1,1),RANDBETWEEN(-1,1))</f>
        <v>-1,-1</v>
      </c>
      <c r="AJ107" s="1" t="str">
        <f ca="1">_xlfn.TEXTJOIN(",",TRUE,RANDBETWEEN(-1,1),RANDBETWEEN(-1,1))</f>
        <v>-1,0</v>
      </c>
      <c r="AK107" s="1" t="str">
        <f ca="1">_xlfn.TEXTJOIN(",",TRUE,RANDBETWEEN(-1,1),RANDBETWEEN(-1,1))</f>
        <v>-1,0</v>
      </c>
      <c r="AL107" s="1" t="str">
        <f ca="1">_xlfn.TEXTJOIN(",",TRUE,RANDBETWEEN(-1,1),RANDBETWEEN(-1,1))</f>
        <v>0,-1</v>
      </c>
      <c r="AM107" s="1" t="str">
        <f ca="1">_xlfn.TEXTJOIN(",",TRUE,RANDBETWEEN(-1,1),RANDBETWEEN(-1,1))</f>
        <v>0,-1</v>
      </c>
      <c r="AN107" s="1" t="str">
        <f ca="1">_xlfn.TEXTJOIN(",",TRUE,RANDBETWEEN(-1,1),RANDBETWEEN(-1,1))</f>
        <v>0,-1</v>
      </c>
      <c r="AO107" s="1" t="str">
        <f ca="1">_xlfn.TEXTJOIN(",",TRUE,RANDBETWEEN(-1,1),RANDBETWEEN(-1,1))</f>
        <v>-1,0</v>
      </c>
    </row>
    <row r="108" spans="1:41" ht="15.75" customHeight="1">
      <c r="A108" s="1">
        <v>35</v>
      </c>
      <c r="B108" s="1" t="str">
        <f ca="1">_xlfn.TEXTJOIN(",",TRUE,RANDBETWEEN(-1,1),RANDBETWEEN(-1,1))</f>
        <v>0,-1</v>
      </c>
      <c r="C108" s="1" t="str">
        <f ca="1">_xlfn.TEXTJOIN(",",TRUE,RANDBETWEEN(-1,1),RANDBETWEEN(-1,1))</f>
        <v>1,0</v>
      </c>
      <c r="D108" s="1" t="str">
        <f ca="1">_xlfn.TEXTJOIN(",",TRUE,RANDBETWEEN(-1,1),RANDBETWEEN(-1,1))</f>
        <v>0,-1</v>
      </c>
      <c r="E108" s="1" t="str">
        <f ca="1">_xlfn.TEXTJOIN(",",TRUE,RANDBETWEEN(-1,1),RANDBETWEEN(-1,1))</f>
        <v>-1,1</v>
      </c>
      <c r="F108" s="1" t="str">
        <f ca="1">_xlfn.TEXTJOIN(",",TRUE,RANDBETWEEN(-1,1),RANDBETWEEN(-1,1))</f>
        <v>-1,-1</v>
      </c>
      <c r="G108" s="1" t="str">
        <f ca="1">_xlfn.TEXTJOIN(",",TRUE,RANDBETWEEN(-1,1),RANDBETWEEN(-1,1))</f>
        <v>0,1</v>
      </c>
      <c r="H108" s="1" t="str">
        <f ca="1">_xlfn.TEXTJOIN(",",TRUE,RANDBETWEEN(-1,1),RANDBETWEEN(-1,1))</f>
        <v>1,1</v>
      </c>
      <c r="I108" s="1" t="str">
        <f ca="1">_xlfn.TEXTJOIN(",",TRUE,RANDBETWEEN(-1,1),RANDBETWEEN(-1,1))</f>
        <v>-1,-1</v>
      </c>
      <c r="J108" s="1" t="str">
        <f ca="1">_xlfn.TEXTJOIN(",",TRUE,RANDBETWEEN(-1,1),RANDBETWEEN(-1,1))</f>
        <v>0,-1</v>
      </c>
      <c r="K108" s="1" t="str">
        <f ca="1">_xlfn.TEXTJOIN(",",TRUE,RANDBETWEEN(-1,1),RANDBETWEEN(-1,1))</f>
        <v>0,-1</v>
      </c>
      <c r="L108" s="1" t="str">
        <f ca="1">_xlfn.TEXTJOIN(",",TRUE,RANDBETWEEN(-1,1),RANDBETWEEN(-1,1))</f>
        <v>0,1</v>
      </c>
      <c r="M108" s="1" t="str">
        <f ca="1">_xlfn.TEXTJOIN(",",TRUE,RANDBETWEEN(-1,1),RANDBETWEEN(-1,1))</f>
        <v>-1,1</v>
      </c>
      <c r="N108" s="1" t="str">
        <f ca="1">_xlfn.TEXTJOIN(",",TRUE,RANDBETWEEN(-1,1),RANDBETWEEN(-1,1))</f>
        <v>0,-1</v>
      </c>
      <c r="O108" s="1" t="str">
        <f ca="1">_xlfn.TEXTJOIN(",",TRUE,RANDBETWEEN(-1,1),RANDBETWEEN(-1,1))</f>
        <v>1,0</v>
      </c>
      <c r="P108" s="1" t="str">
        <f ca="1">_xlfn.TEXTJOIN(",",TRUE,RANDBETWEEN(-1,1),RANDBETWEEN(-1,1))</f>
        <v>-1,1</v>
      </c>
      <c r="Q108" s="1" t="str">
        <f ca="1">_xlfn.TEXTJOIN(",",TRUE,RANDBETWEEN(-1,1),RANDBETWEEN(-1,1))</f>
        <v>0,-1</v>
      </c>
      <c r="R108" s="1" t="str">
        <f ca="1">_xlfn.TEXTJOIN(",",TRUE,RANDBETWEEN(-1,1),RANDBETWEEN(-1,1))</f>
        <v>1,1</v>
      </c>
      <c r="S108" s="1" t="str">
        <f ca="1">_xlfn.TEXTJOIN(",",TRUE,RANDBETWEEN(-1,1),RANDBETWEEN(-1,1))</f>
        <v>1,-1</v>
      </c>
      <c r="T108" s="1" t="str">
        <f ca="1">_xlfn.TEXTJOIN(",",TRUE,RANDBETWEEN(-1,1),RANDBETWEEN(-1,1))</f>
        <v>0,1</v>
      </c>
      <c r="U108" s="1" t="str">
        <f ca="1">_xlfn.TEXTJOIN(",",TRUE,RANDBETWEEN(-1,1),RANDBETWEEN(-1,1))</f>
        <v>1,-1</v>
      </c>
      <c r="V108" s="1" t="str">
        <f ca="1">_xlfn.TEXTJOIN(",",TRUE,RANDBETWEEN(-1,1),RANDBETWEEN(-1,1))</f>
        <v>1,1</v>
      </c>
      <c r="W108" s="1" t="str">
        <f ca="1">_xlfn.TEXTJOIN(",",TRUE,RANDBETWEEN(-1,1),RANDBETWEEN(-1,1))</f>
        <v>1,-1</v>
      </c>
      <c r="X108" s="1" t="str">
        <f ca="1">_xlfn.TEXTJOIN(",",TRUE,RANDBETWEEN(-1,1),RANDBETWEEN(-1,1))</f>
        <v>0,0</v>
      </c>
      <c r="Y108" s="1" t="str">
        <f ca="1">_xlfn.TEXTJOIN(",",TRUE,RANDBETWEEN(-1,1),RANDBETWEEN(-1,1))</f>
        <v>0,1</v>
      </c>
      <c r="Z108" s="1" t="str">
        <f ca="1">_xlfn.TEXTJOIN(",",TRUE,RANDBETWEEN(-1,1),RANDBETWEEN(-1,1))</f>
        <v>1,0</v>
      </c>
      <c r="AA108" s="1" t="str">
        <f ca="1">_xlfn.TEXTJOIN(",",TRUE,RANDBETWEEN(-1,1),RANDBETWEEN(-1,1))</f>
        <v>1,0</v>
      </c>
      <c r="AB108" s="1" t="str">
        <f ca="1">_xlfn.TEXTJOIN(",",TRUE,RANDBETWEEN(-1,1),RANDBETWEEN(-1,1))</f>
        <v>0,1</v>
      </c>
      <c r="AC108" s="1" t="str">
        <f ca="1">_xlfn.TEXTJOIN(",",TRUE,RANDBETWEEN(-1,1),RANDBETWEEN(-1,1))</f>
        <v>0,-1</v>
      </c>
      <c r="AD108" s="1" t="str">
        <f ca="1">_xlfn.TEXTJOIN(",",TRUE,RANDBETWEEN(-1,1),RANDBETWEEN(-1,1))</f>
        <v>-1,-1</v>
      </c>
      <c r="AE108" s="1" t="str">
        <f ca="1">_xlfn.TEXTJOIN(",",TRUE,RANDBETWEEN(-1,1),RANDBETWEEN(-1,1))</f>
        <v>1,0</v>
      </c>
      <c r="AF108" s="1" t="str">
        <f ca="1">_xlfn.TEXTJOIN(",",TRUE,RANDBETWEEN(-1,1),RANDBETWEEN(-1,1))</f>
        <v>-1,-1</v>
      </c>
      <c r="AG108" s="1" t="str">
        <f ca="1">_xlfn.TEXTJOIN(",",TRUE,RANDBETWEEN(-1,1),RANDBETWEEN(-1,1))</f>
        <v>1,0</v>
      </c>
      <c r="AH108" s="1" t="str">
        <f ca="1">_xlfn.TEXTJOIN(",",TRUE,RANDBETWEEN(-1,1),RANDBETWEEN(-1,1))</f>
        <v>1,1</v>
      </c>
      <c r="AI108" s="1" t="str">
        <f ca="1">_xlfn.TEXTJOIN(",",TRUE,RANDBETWEEN(-1,1),RANDBETWEEN(-1,1))</f>
        <v>0,1</v>
      </c>
      <c r="AJ108" s="1" t="str">
        <f ca="1">_xlfn.TEXTJOIN(",",TRUE,RANDBETWEEN(-1,1),RANDBETWEEN(-1,1))</f>
        <v>1,0</v>
      </c>
      <c r="AK108" s="1" t="str">
        <f ca="1">_xlfn.TEXTJOIN(",",TRUE,RANDBETWEEN(-1,1),RANDBETWEEN(-1,1))</f>
        <v>-1,-1</v>
      </c>
      <c r="AL108" s="1" t="str">
        <f ca="1">_xlfn.TEXTJOIN(",",TRUE,RANDBETWEEN(-1,1),RANDBETWEEN(-1,1))</f>
        <v>1,1</v>
      </c>
      <c r="AM108" s="1" t="str">
        <f ca="1">_xlfn.TEXTJOIN(",",TRUE,RANDBETWEEN(-1,1),RANDBETWEEN(-1,1))</f>
        <v>-1,0</v>
      </c>
      <c r="AN108" s="1" t="str">
        <f ca="1">_xlfn.TEXTJOIN(",",TRUE,RANDBETWEEN(-1,1),RANDBETWEEN(-1,1))</f>
        <v>-1,0</v>
      </c>
      <c r="AO108" s="1" t="str">
        <f ca="1">_xlfn.TEXTJOIN(",",TRUE,RANDBETWEEN(-1,1),RANDBETWEEN(-1,1))</f>
        <v>-1,0</v>
      </c>
    </row>
    <row r="109" spans="1:41" ht="15.75" customHeight="1">
      <c r="A109" s="1">
        <v>36</v>
      </c>
      <c r="B109" s="1" t="str">
        <f ca="1">_xlfn.TEXTJOIN(",",TRUE,RANDBETWEEN(-1,1),RANDBETWEEN(-1,1))</f>
        <v>0,1</v>
      </c>
      <c r="C109" s="1" t="str">
        <f ca="1">_xlfn.TEXTJOIN(",",TRUE,RANDBETWEEN(-1,1),RANDBETWEEN(-1,1))</f>
        <v>1,0</v>
      </c>
      <c r="D109" s="1" t="str">
        <f ca="1">_xlfn.TEXTJOIN(",",TRUE,RANDBETWEEN(-1,1),RANDBETWEEN(-1,1))</f>
        <v>0,1</v>
      </c>
      <c r="E109" s="1" t="str">
        <f ca="1">_xlfn.TEXTJOIN(",",TRUE,RANDBETWEEN(-1,1),RANDBETWEEN(-1,1))</f>
        <v>1,1</v>
      </c>
      <c r="F109" s="1" t="str">
        <f ca="1">_xlfn.TEXTJOIN(",",TRUE,RANDBETWEEN(-1,1),RANDBETWEEN(-1,1))</f>
        <v>0,-1</v>
      </c>
      <c r="G109" s="1" t="str">
        <f ca="1">_xlfn.TEXTJOIN(",",TRUE,RANDBETWEEN(-1,1),RANDBETWEEN(-1,1))</f>
        <v>1,0</v>
      </c>
      <c r="H109" s="1" t="str">
        <f ca="1">_xlfn.TEXTJOIN(",",TRUE,RANDBETWEEN(-1,1),RANDBETWEEN(-1,1))</f>
        <v>0,1</v>
      </c>
      <c r="I109" s="1" t="str">
        <f ca="1">_xlfn.TEXTJOIN(",",TRUE,RANDBETWEEN(-1,1),RANDBETWEEN(-1,1))</f>
        <v>0,0</v>
      </c>
      <c r="J109" s="1" t="str">
        <f ca="1">_xlfn.TEXTJOIN(",",TRUE,RANDBETWEEN(-1,1),RANDBETWEEN(-1,1))</f>
        <v>1,-1</v>
      </c>
      <c r="K109" s="1" t="str">
        <f ca="1">_xlfn.TEXTJOIN(",",TRUE,RANDBETWEEN(-1,1),RANDBETWEEN(-1,1))</f>
        <v>0,1</v>
      </c>
      <c r="L109" s="1" t="str">
        <f ca="1">_xlfn.TEXTJOIN(",",TRUE,RANDBETWEEN(-1,1),RANDBETWEEN(-1,1))</f>
        <v>1,0</v>
      </c>
      <c r="M109" s="1" t="str">
        <f ca="1">_xlfn.TEXTJOIN(",",TRUE,RANDBETWEEN(-1,1),RANDBETWEEN(-1,1))</f>
        <v>0,-1</v>
      </c>
      <c r="N109" s="1" t="str">
        <f ca="1">_xlfn.TEXTJOIN(",",TRUE,RANDBETWEEN(-1,1),RANDBETWEEN(-1,1))</f>
        <v>0,-1</v>
      </c>
      <c r="O109" s="1" t="str">
        <f ca="1">_xlfn.TEXTJOIN(",",TRUE,RANDBETWEEN(-1,1),RANDBETWEEN(-1,1))</f>
        <v>1,-1</v>
      </c>
      <c r="P109" s="1" t="str">
        <f ca="1">_xlfn.TEXTJOIN(",",TRUE,RANDBETWEEN(-1,1),RANDBETWEEN(-1,1))</f>
        <v>-1,-1</v>
      </c>
      <c r="Q109" s="1" t="str">
        <f ca="1">_xlfn.TEXTJOIN(",",TRUE,RANDBETWEEN(-1,1),RANDBETWEEN(-1,1))</f>
        <v>1,0</v>
      </c>
      <c r="R109" s="1" t="str">
        <f ca="1">_xlfn.TEXTJOIN(",",TRUE,RANDBETWEEN(-1,1),RANDBETWEEN(-1,1))</f>
        <v>0,-1</v>
      </c>
      <c r="S109" s="1" t="str">
        <f ca="1">_xlfn.TEXTJOIN(",",TRUE,RANDBETWEEN(-1,1),RANDBETWEEN(-1,1))</f>
        <v>-1,0</v>
      </c>
      <c r="T109" s="1" t="str">
        <f ca="1">_xlfn.TEXTJOIN(",",TRUE,RANDBETWEEN(-1,1),RANDBETWEEN(-1,1))</f>
        <v>-1,0</v>
      </c>
      <c r="U109" s="1" t="str">
        <f ca="1">_xlfn.TEXTJOIN(",",TRUE,RANDBETWEEN(-1,1),RANDBETWEEN(-1,1))</f>
        <v>1,1</v>
      </c>
      <c r="V109" s="1" t="str">
        <f ca="1">_xlfn.TEXTJOIN(",",TRUE,RANDBETWEEN(-1,1),RANDBETWEEN(-1,1))</f>
        <v>-1,0</v>
      </c>
      <c r="W109" s="1" t="str">
        <f ca="1">_xlfn.TEXTJOIN(",",TRUE,RANDBETWEEN(-1,1),RANDBETWEEN(-1,1))</f>
        <v>0,-1</v>
      </c>
      <c r="X109" s="1" t="str">
        <f ca="1">_xlfn.TEXTJOIN(",",TRUE,RANDBETWEEN(-1,1),RANDBETWEEN(-1,1))</f>
        <v>0,1</v>
      </c>
      <c r="Y109" s="1" t="str">
        <f ca="1">_xlfn.TEXTJOIN(",",TRUE,RANDBETWEEN(-1,1),RANDBETWEEN(-1,1))</f>
        <v>1,1</v>
      </c>
      <c r="Z109" s="1" t="str">
        <f ca="1">_xlfn.TEXTJOIN(",",TRUE,RANDBETWEEN(-1,1),RANDBETWEEN(-1,1))</f>
        <v>-1,-1</v>
      </c>
      <c r="AA109" s="1" t="str">
        <f ca="1">_xlfn.TEXTJOIN(",",TRUE,RANDBETWEEN(-1,1),RANDBETWEEN(-1,1))</f>
        <v>-1,1</v>
      </c>
      <c r="AB109" s="1" t="str">
        <f ca="1">_xlfn.TEXTJOIN(",",TRUE,RANDBETWEEN(-1,1),RANDBETWEEN(-1,1))</f>
        <v>1,1</v>
      </c>
      <c r="AC109" s="1" t="str">
        <f ca="1">_xlfn.TEXTJOIN(",",TRUE,RANDBETWEEN(-1,1),RANDBETWEEN(-1,1))</f>
        <v>-1,1</v>
      </c>
      <c r="AD109" s="1" t="str">
        <f ca="1">_xlfn.TEXTJOIN(",",TRUE,RANDBETWEEN(-1,1),RANDBETWEEN(-1,1))</f>
        <v>0,1</v>
      </c>
      <c r="AE109" s="1" t="str">
        <f ca="1">_xlfn.TEXTJOIN(",",TRUE,RANDBETWEEN(-1,1),RANDBETWEEN(-1,1))</f>
        <v>1,1</v>
      </c>
      <c r="AF109" s="1" t="str">
        <f ca="1">_xlfn.TEXTJOIN(",",TRUE,RANDBETWEEN(-1,1),RANDBETWEEN(-1,1))</f>
        <v>1,1</v>
      </c>
      <c r="AG109" s="1" t="str">
        <f ca="1">_xlfn.TEXTJOIN(",",TRUE,RANDBETWEEN(-1,1),RANDBETWEEN(-1,1))</f>
        <v>-1,-1</v>
      </c>
      <c r="AH109" s="1" t="str">
        <f ca="1">_xlfn.TEXTJOIN(",",TRUE,RANDBETWEEN(-1,1),RANDBETWEEN(-1,1))</f>
        <v>-1,0</v>
      </c>
      <c r="AI109" s="1" t="str">
        <f ca="1">_xlfn.TEXTJOIN(",",TRUE,RANDBETWEEN(-1,1),RANDBETWEEN(-1,1))</f>
        <v>-1,0</v>
      </c>
      <c r="AJ109" s="1" t="str">
        <f ca="1">_xlfn.TEXTJOIN(",",TRUE,RANDBETWEEN(-1,1),RANDBETWEEN(-1,1))</f>
        <v>1,-1</v>
      </c>
      <c r="AK109" s="1" t="str">
        <f ca="1">_xlfn.TEXTJOIN(",",TRUE,RANDBETWEEN(-1,1),RANDBETWEEN(-1,1))</f>
        <v>-1,1</v>
      </c>
      <c r="AL109" s="1" t="str">
        <f ca="1">_xlfn.TEXTJOIN(",",TRUE,RANDBETWEEN(-1,1),RANDBETWEEN(-1,1))</f>
        <v>0,1</v>
      </c>
      <c r="AM109" s="1" t="str">
        <f ca="1">_xlfn.TEXTJOIN(",",TRUE,RANDBETWEEN(-1,1),RANDBETWEEN(-1,1))</f>
        <v>1,-1</v>
      </c>
      <c r="AN109" s="1" t="str">
        <f ca="1">_xlfn.TEXTJOIN(",",TRUE,RANDBETWEEN(-1,1),RANDBETWEEN(-1,1))</f>
        <v>0,-1</v>
      </c>
      <c r="AO109" s="1" t="str">
        <f ca="1">_xlfn.TEXTJOIN(",",TRUE,RANDBETWEEN(-1,1),RANDBETWEEN(-1,1))</f>
        <v>-1,-1</v>
      </c>
    </row>
    <row r="110" spans="1:41" ht="15.75" customHeight="1">
      <c r="A110" s="1">
        <v>37</v>
      </c>
      <c r="B110" s="1" t="str">
        <f ca="1">_xlfn.TEXTJOIN(",",TRUE,RANDBETWEEN(-1,1),RANDBETWEEN(-1,1))</f>
        <v>-1,0</v>
      </c>
      <c r="C110" s="1" t="str">
        <f ca="1">_xlfn.TEXTJOIN(",",TRUE,RANDBETWEEN(-1,1),RANDBETWEEN(-1,1))</f>
        <v>1,-1</v>
      </c>
      <c r="D110" s="1" t="str">
        <f ca="1">_xlfn.TEXTJOIN(",",TRUE,RANDBETWEEN(-1,1),RANDBETWEEN(-1,1))</f>
        <v>-1,-1</v>
      </c>
      <c r="E110" s="1" t="str">
        <f ca="1">_xlfn.TEXTJOIN(",",TRUE,RANDBETWEEN(-1,1),RANDBETWEEN(-1,1))</f>
        <v>0,-1</v>
      </c>
      <c r="F110" s="1" t="str">
        <f ca="1">_xlfn.TEXTJOIN(",",TRUE,RANDBETWEEN(-1,1),RANDBETWEEN(-1,1))</f>
        <v>0,1</v>
      </c>
      <c r="G110" s="1" t="str">
        <f ca="1">_xlfn.TEXTJOIN(",",TRUE,RANDBETWEEN(-1,1),RANDBETWEEN(-1,1))</f>
        <v>0,-1</v>
      </c>
      <c r="H110" s="1" t="str">
        <f ca="1">_xlfn.TEXTJOIN(",",TRUE,RANDBETWEEN(-1,1),RANDBETWEEN(-1,1))</f>
        <v>-1,-1</v>
      </c>
      <c r="I110" s="1" t="str">
        <f ca="1">_xlfn.TEXTJOIN(",",TRUE,RANDBETWEEN(-1,1),RANDBETWEEN(-1,1))</f>
        <v>1,-1</v>
      </c>
      <c r="J110" s="1" t="str">
        <f ca="1">_xlfn.TEXTJOIN(",",TRUE,RANDBETWEEN(-1,1),RANDBETWEEN(-1,1))</f>
        <v>-1,1</v>
      </c>
      <c r="K110" s="1" t="str">
        <f ca="1">_xlfn.TEXTJOIN(",",TRUE,RANDBETWEEN(-1,1),RANDBETWEEN(-1,1))</f>
        <v>0,-1</v>
      </c>
      <c r="L110" s="1" t="str">
        <f ca="1">_xlfn.TEXTJOIN(",",TRUE,RANDBETWEEN(-1,1),RANDBETWEEN(-1,1))</f>
        <v>0,1</v>
      </c>
      <c r="M110" s="1" t="str">
        <f ca="1">_xlfn.TEXTJOIN(",",TRUE,RANDBETWEEN(-1,1),RANDBETWEEN(-1,1))</f>
        <v>1,1</v>
      </c>
      <c r="N110" s="1" t="str">
        <f ca="1">_xlfn.TEXTJOIN(",",TRUE,RANDBETWEEN(-1,1),RANDBETWEEN(-1,1))</f>
        <v>1,-1</v>
      </c>
      <c r="O110" s="1" t="str">
        <f ca="1">_xlfn.TEXTJOIN(",",TRUE,RANDBETWEEN(-1,1),RANDBETWEEN(-1,1))</f>
        <v>-1,0</v>
      </c>
      <c r="P110" s="1" t="str">
        <f ca="1">_xlfn.TEXTJOIN(",",TRUE,RANDBETWEEN(-1,1),RANDBETWEEN(-1,1))</f>
        <v>-1,1</v>
      </c>
      <c r="Q110" s="1" t="str">
        <f ca="1">_xlfn.TEXTJOIN(",",TRUE,RANDBETWEEN(-1,1),RANDBETWEEN(-1,1))</f>
        <v>-1,0</v>
      </c>
      <c r="R110" s="1" t="str">
        <f ca="1">_xlfn.TEXTJOIN(",",TRUE,RANDBETWEEN(-1,1),RANDBETWEEN(-1,1))</f>
        <v>1,0</v>
      </c>
      <c r="S110" s="1" t="str">
        <f ca="1">_xlfn.TEXTJOIN(",",TRUE,RANDBETWEEN(-1,1),RANDBETWEEN(-1,1))</f>
        <v>-1,1</v>
      </c>
      <c r="T110" s="1" t="str">
        <f ca="1">_xlfn.TEXTJOIN(",",TRUE,RANDBETWEEN(-1,1),RANDBETWEEN(-1,1))</f>
        <v>1,-1</v>
      </c>
      <c r="U110" s="1" t="str">
        <f ca="1">_xlfn.TEXTJOIN(",",TRUE,RANDBETWEEN(-1,1),RANDBETWEEN(-1,1))</f>
        <v>-1,1</v>
      </c>
      <c r="V110" s="1" t="str">
        <f ca="1">_xlfn.TEXTJOIN(",",TRUE,RANDBETWEEN(-1,1),RANDBETWEEN(-1,1))</f>
        <v>-1,1</v>
      </c>
      <c r="W110" s="1" t="str">
        <f ca="1">_xlfn.TEXTJOIN(",",TRUE,RANDBETWEEN(-1,1),RANDBETWEEN(-1,1))</f>
        <v>1,0</v>
      </c>
      <c r="X110" s="1" t="str">
        <f ca="1">_xlfn.TEXTJOIN(",",TRUE,RANDBETWEEN(-1,1),RANDBETWEEN(-1,1))</f>
        <v>1,-1</v>
      </c>
      <c r="Y110" s="1" t="str">
        <f ca="1">_xlfn.TEXTJOIN(",",TRUE,RANDBETWEEN(-1,1),RANDBETWEEN(-1,1))</f>
        <v>-1,-1</v>
      </c>
      <c r="Z110" s="1" t="str">
        <f ca="1">_xlfn.TEXTJOIN(",",TRUE,RANDBETWEEN(-1,1),RANDBETWEEN(-1,1))</f>
        <v>-1,1</v>
      </c>
      <c r="AA110" s="1" t="str">
        <f ca="1">_xlfn.TEXTJOIN(",",TRUE,RANDBETWEEN(-1,1),RANDBETWEEN(-1,1))</f>
        <v>0,0</v>
      </c>
      <c r="AB110" s="1" t="str">
        <f ca="1">_xlfn.TEXTJOIN(",",TRUE,RANDBETWEEN(-1,1),RANDBETWEEN(-1,1))</f>
        <v>0,-1</v>
      </c>
      <c r="AC110" s="1" t="str">
        <f ca="1">_xlfn.TEXTJOIN(",",TRUE,RANDBETWEEN(-1,1),RANDBETWEEN(-1,1))</f>
        <v>1,-1</v>
      </c>
      <c r="AD110" s="1" t="str">
        <f ca="1">_xlfn.TEXTJOIN(",",TRUE,RANDBETWEEN(-1,1),RANDBETWEEN(-1,1))</f>
        <v>-1,-1</v>
      </c>
      <c r="AE110" s="1" t="str">
        <f ca="1">_xlfn.TEXTJOIN(",",TRUE,RANDBETWEEN(-1,1),RANDBETWEEN(-1,1))</f>
        <v>0,-1</v>
      </c>
      <c r="AF110" s="1" t="str">
        <f ca="1">_xlfn.TEXTJOIN(",",TRUE,RANDBETWEEN(-1,1),RANDBETWEEN(-1,1))</f>
        <v>0,-1</v>
      </c>
      <c r="AG110" s="1" t="str">
        <f ca="1">_xlfn.TEXTJOIN(",",TRUE,RANDBETWEEN(-1,1),RANDBETWEEN(-1,1))</f>
        <v>0,-1</v>
      </c>
      <c r="AH110" s="1" t="str">
        <f ca="1">_xlfn.TEXTJOIN(",",TRUE,RANDBETWEEN(-1,1),RANDBETWEEN(-1,1))</f>
        <v>1,-1</v>
      </c>
      <c r="AI110" s="1" t="str">
        <f ca="1">_xlfn.TEXTJOIN(",",TRUE,RANDBETWEEN(-1,1),RANDBETWEEN(-1,1))</f>
        <v>0,1</v>
      </c>
      <c r="AJ110" s="1" t="str">
        <f ca="1">_xlfn.TEXTJOIN(",",TRUE,RANDBETWEEN(-1,1),RANDBETWEEN(-1,1))</f>
        <v>-1,0</v>
      </c>
      <c r="AK110" s="1" t="str">
        <f ca="1">_xlfn.TEXTJOIN(",",TRUE,RANDBETWEEN(-1,1),RANDBETWEEN(-1,1))</f>
        <v>1,1</v>
      </c>
      <c r="AL110" s="1" t="str">
        <f ca="1">_xlfn.TEXTJOIN(",",TRUE,RANDBETWEEN(-1,1),RANDBETWEEN(-1,1))</f>
        <v>0,1</v>
      </c>
      <c r="AM110" s="1" t="str">
        <f ca="1">_xlfn.TEXTJOIN(",",TRUE,RANDBETWEEN(-1,1),RANDBETWEEN(-1,1))</f>
        <v>0,-1</v>
      </c>
      <c r="AN110" s="1" t="str">
        <f ca="1">_xlfn.TEXTJOIN(",",TRUE,RANDBETWEEN(-1,1),RANDBETWEEN(-1,1))</f>
        <v>0,0</v>
      </c>
      <c r="AO110" s="1" t="str">
        <f ca="1">_xlfn.TEXTJOIN(",",TRUE,RANDBETWEEN(-1,1),RANDBETWEEN(-1,1))</f>
        <v>0,-1</v>
      </c>
    </row>
    <row r="111" spans="1:41" ht="15.75" customHeight="1">
      <c r="A111" s="1">
        <v>38</v>
      </c>
      <c r="B111" s="1" t="str">
        <f ca="1">_xlfn.TEXTJOIN(",",TRUE,RANDBETWEEN(-1,1),RANDBETWEEN(-1,1))</f>
        <v>-1,-1</v>
      </c>
      <c r="C111" s="1" t="str">
        <f ca="1">_xlfn.TEXTJOIN(",",TRUE,RANDBETWEEN(-1,1),RANDBETWEEN(-1,1))</f>
        <v>1,1</v>
      </c>
      <c r="D111" s="1" t="str">
        <f ca="1">_xlfn.TEXTJOIN(",",TRUE,RANDBETWEEN(-1,1),RANDBETWEEN(-1,1))</f>
        <v>0,-1</v>
      </c>
      <c r="E111" s="1" t="str">
        <f ca="1">_xlfn.TEXTJOIN(",",TRUE,RANDBETWEEN(-1,1),RANDBETWEEN(-1,1))</f>
        <v>1,-1</v>
      </c>
      <c r="F111" s="1" t="str">
        <f ca="1">_xlfn.TEXTJOIN(",",TRUE,RANDBETWEEN(-1,1),RANDBETWEEN(-1,1))</f>
        <v>0,-1</v>
      </c>
      <c r="G111" s="1" t="str">
        <f ca="1">_xlfn.TEXTJOIN(",",TRUE,RANDBETWEEN(-1,1),RANDBETWEEN(-1,1))</f>
        <v>-1,1</v>
      </c>
      <c r="H111" s="1" t="str">
        <f ca="1">_xlfn.TEXTJOIN(",",TRUE,RANDBETWEEN(-1,1),RANDBETWEEN(-1,1))</f>
        <v>-1,0</v>
      </c>
      <c r="I111" s="1" t="str">
        <f ca="1">_xlfn.TEXTJOIN(",",TRUE,RANDBETWEEN(-1,1),RANDBETWEEN(-1,1))</f>
        <v>1,-1</v>
      </c>
      <c r="J111" s="1" t="str">
        <f ca="1">_xlfn.TEXTJOIN(",",TRUE,RANDBETWEEN(-1,1),RANDBETWEEN(-1,1))</f>
        <v>1,-1</v>
      </c>
      <c r="K111" s="1" t="str">
        <f ca="1">_xlfn.TEXTJOIN(",",TRUE,RANDBETWEEN(-1,1),RANDBETWEEN(-1,1))</f>
        <v>0,0</v>
      </c>
      <c r="L111" s="1" t="str">
        <f ca="1">_xlfn.TEXTJOIN(",",TRUE,RANDBETWEEN(-1,1),RANDBETWEEN(-1,1))</f>
        <v>1,1</v>
      </c>
      <c r="M111" s="1" t="str">
        <f ca="1">_xlfn.TEXTJOIN(",",TRUE,RANDBETWEEN(-1,1),RANDBETWEEN(-1,1))</f>
        <v>1,-1</v>
      </c>
      <c r="N111" s="1" t="str">
        <f ca="1">_xlfn.TEXTJOIN(",",TRUE,RANDBETWEEN(-1,1),RANDBETWEEN(-1,1))</f>
        <v>1,1</v>
      </c>
      <c r="O111" s="1" t="str">
        <f ca="1">_xlfn.TEXTJOIN(",",TRUE,RANDBETWEEN(-1,1),RANDBETWEEN(-1,1))</f>
        <v>1,-1</v>
      </c>
      <c r="P111" s="1" t="str">
        <f ca="1">_xlfn.TEXTJOIN(",",TRUE,RANDBETWEEN(-1,1),RANDBETWEEN(-1,1))</f>
        <v>-1,-1</v>
      </c>
      <c r="Q111" s="1" t="str">
        <f ca="1">_xlfn.TEXTJOIN(",",TRUE,RANDBETWEEN(-1,1),RANDBETWEEN(-1,1))</f>
        <v>1,1</v>
      </c>
      <c r="R111" s="1" t="str">
        <f ca="1">_xlfn.TEXTJOIN(",",TRUE,RANDBETWEEN(-1,1),RANDBETWEEN(-1,1))</f>
        <v>0,1</v>
      </c>
      <c r="S111" s="1" t="str">
        <f ca="1">_xlfn.TEXTJOIN(",",TRUE,RANDBETWEEN(-1,1),RANDBETWEEN(-1,1))</f>
        <v>-1,-1</v>
      </c>
      <c r="T111" s="1" t="str">
        <f ca="1">_xlfn.TEXTJOIN(",",TRUE,RANDBETWEEN(-1,1),RANDBETWEEN(-1,1))</f>
        <v>0,0</v>
      </c>
      <c r="U111" s="1" t="str">
        <f ca="1">_xlfn.TEXTJOIN(",",TRUE,RANDBETWEEN(-1,1),RANDBETWEEN(-1,1))</f>
        <v>0,0</v>
      </c>
      <c r="V111" s="1" t="str">
        <f ca="1">_xlfn.TEXTJOIN(",",TRUE,RANDBETWEEN(-1,1),RANDBETWEEN(-1,1))</f>
        <v>1,0</v>
      </c>
      <c r="W111" s="1" t="str">
        <f ca="1">_xlfn.TEXTJOIN(",",TRUE,RANDBETWEEN(-1,1),RANDBETWEEN(-1,1))</f>
        <v>1,0</v>
      </c>
      <c r="X111" s="1" t="str">
        <f ca="1">_xlfn.TEXTJOIN(",",TRUE,RANDBETWEEN(-1,1),RANDBETWEEN(-1,1))</f>
        <v>1,-1</v>
      </c>
      <c r="Y111" s="1" t="str">
        <f ca="1">_xlfn.TEXTJOIN(",",TRUE,RANDBETWEEN(-1,1),RANDBETWEEN(-1,1))</f>
        <v>-1,-1</v>
      </c>
      <c r="Z111" s="1" t="str">
        <f ca="1">_xlfn.TEXTJOIN(",",TRUE,RANDBETWEEN(-1,1),RANDBETWEEN(-1,1))</f>
        <v>-1,1</v>
      </c>
      <c r="AA111" s="1" t="str">
        <f ca="1">_xlfn.TEXTJOIN(",",TRUE,RANDBETWEEN(-1,1),RANDBETWEEN(-1,1))</f>
        <v>1,0</v>
      </c>
      <c r="AB111" s="1" t="str">
        <f ca="1">_xlfn.TEXTJOIN(",",TRUE,RANDBETWEEN(-1,1),RANDBETWEEN(-1,1))</f>
        <v>1,0</v>
      </c>
      <c r="AC111" s="1" t="str">
        <f ca="1">_xlfn.TEXTJOIN(",",TRUE,RANDBETWEEN(-1,1),RANDBETWEEN(-1,1))</f>
        <v>-1,0</v>
      </c>
      <c r="AD111" s="1" t="str">
        <f ca="1">_xlfn.TEXTJOIN(",",TRUE,RANDBETWEEN(-1,1),RANDBETWEEN(-1,1))</f>
        <v>0,0</v>
      </c>
      <c r="AE111" s="1" t="str">
        <f ca="1">_xlfn.TEXTJOIN(",",TRUE,RANDBETWEEN(-1,1),RANDBETWEEN(-1,1))</f>
        <v>0,1</v>
      </c>
      <c r="AF111" s="1" t="str">
        <f ca="1">_xlfn.TEXTJOIN(",",TRUE,RANDBETWEEN(-1,1),RANDBETWEEN(-1,1))</f>
        <v>0,1</v>
      </c>
      <c r="AG111" s="1" t="str">
        <f ca="1">_xlfn.TEXTJOIN(",",TRUE,RANDBETWEEN(-1,1),RANDBETWEEN(-1,1))</f>
        <v>0,1</v>
      </c>
      <c r="AH111" s="1" t="str">
        <f ca="1">_xlfn.TEXTJOIN(",",TRUE,RANDBETWEEN(-1,1),RANDBETWEEN(-1,1))</f>
        <v>0,1</v>
      </c>
      <c r="AI111" s="1" t="str">
        <f ca="1">_xlfn.TEXTJOIN(",",TRUE,RANDBETWEEN(-1,1),RANDBETWEEN(-1,1))</f>
        <v>0,1</v>
      </c>
      <c r="AJ111" s="1" t="str">
        <f ca="1">_xlfn.TEXTJOIN(",",TRUE,RANDBETWEEN(-1,1),RANDBETWEEN(-1,1))</f>
        <v>0,1</v>
      </c>
      <c r="AK111" s="1" t="str">
        <f ca="1">_xlfn.TEXTJOIN(",",TRUE,RANDBETWEEN(-1,1),RANDBETWEEN(-1,1))</f>
        <v>1,-1</v>
      </c>
      <c r="AL111" s="1" t="str">
        <f ca="1">_xlfn.TEXTJOIN(",",TRUE,RANDBETWEEN(-1,1),RANDBETWEEN(-1,1))</f>
        <v>0,-1</v>
      </c>
      <c r="AM111" s="1" t="str">
        <f ca="1">_xlfn.TEXTJOIN(",",TRUE,RANDBETWEEN(-1,1),RANDBETWEEN(-1,1))</f>
        <v>-1,-1</v>
      </c>
      <c r="AN111" s="1" t="str">
        <f ca="1">_xlfn.TEXTJOIN(",",TRUE,RANDBETWEEN(-1,1),RANDBETWEEN(-1,1))</f>
        <v>0,-1</v>
      </c>
      <c r="AO111" s="1" t="str">
        <f ca="1">_xlfn.TEXTJOIN(",",TRUE,RANDBETWEEN(-1,1),RANDBETWEEN(-1,1))</f>
        <v>-1,1</v>
      </c>
    </row>
    <row r="112" spans="1:41" ht="15.75" customHeight="1">
      <c r="A112" s="1">
        <v>39</v>
      </c>
      <c r="B112" s="1" t="str">
        <f ca="1">_xlfn.TEXTJOIN(",",TRUE,RANDBETWEEN(-1,1),RANDBETWEEN(-1,1))</f>
        <v>1,1</v>
      </c>
      <c r="C112" s="1" t="str">
        <f ca="1">_xlfn.TEXTJOIN(",",TRUE,RANDBETWEEN(-1,1),RANDBETWEEN(-1,1))</f>
        <v>1,-1</v>
      </c>
      <c r="D112" s="1" t="str">
        <f ca="1">_xlfn.TEXTJOIN(",",TRUE,RANDBETWEEN(-1,1),RANDBETWEEN(-1,1))</f>
        <v>1,1</v>
      </c>
      <c r="E112" s="1" t="str">
        <f ca="1">_xlfn.TEXTJOIN(",",TRUE,RANDBETWEEN(-1,1),RANDBETWEEN(-1,1))</f>
        <v>-1,0</v>
      </c>
      <c r="F112" s="1" t="str">
        <f ca="1">_xlfn.TEXTJOIN(",",TRUE,RANDBETWEEN(-1,1),RANDBETWEEN(-1,1))</f>
        <v>1,1</v>
      </c>
      <c r="G112" s="1" t="str">
        <f ca="1">_xlfn.TEXTJOIN(",",TRUE,RANDBETWEEN(-1,1),RANDBETWEEN(-1,1))</f>
        <v>0,1</v>
      </c>
      <c r="H112" s="1" t="str">
        <f ca="1">_xlfn.TEXTJOIN(",",TRUE,RANDBETWEEN(-1,1),RANDBETWEEN(-1,1))</f>
        <v>-1,-1</v>
      </c>
      <c r="I112" s="1" t="str">
        <f ca="1">_xlfn.TEXTJOIN(",",TRUE,RANDBETWEEN(-1,1),RANDBETWEEN(-1,1))</f>
        <v>0,-1</v>
      </c>
      <c r="J112" s="1" t="str">
        <f ca="1">_xlfn.TEXTJOIN(",",TRUE,RANDBETWEEN(-1,1),RANDBETWEEN(-1,1))</f>
        <v>-1,1</v>
      </c>
      <c r="K112" s="1" t="str">
        <f ca="1">_xlfn.TEXTJOIN(",",TRUE,RANDBETWEEN(-1,1),RANDBETWEEN(-1,1))</f>
        <v>0,1</v>
      </c>
      <c r="L112" s="1" t="str">
        <f ca="1">_xlfn.TEXTJOIN(",",TRUE,RANDBETWEEN(-1,1),RANDBETWEEN(-1,1))</f>
        <v>0,1</v>
      </c>
      <c r="M112" s="1" t="str">
        <f ca="1">_xlfn.TEXTJOIN(",",TRUE,RANDBETWEEN(-1,1),RANDBETWEEN(-1,1))</f>
        <v>0,0</v>
      </c>
      <c r="N112" s="1" t="str">
        <f ca="1">_xlfn.TEXTJOIN(",",TRUE,RANDBETWEEN(-1,1),RANDBETWEEN(-1,1))</f>
        <v>1,-1</v>
      </c>
      <c r="O112" s="1" t="str">
        <f ca="1">_xlfn.TEXTJOIN(",",TRUE,RANDBETWEEN(-1,1),RANDBETWEEN(-1,1))</f>
        <v>-1,-1</v>
      </c>
      <c r="P112" s="1" t="str">
        <f ca="1">_xlfn.TEXTJOIN(",",TRUE,RANDBETWEEN(-1,1),RANDBETWEEN(-1,1))</f>
        <v>-1,0</v>
      </c>
      <c r="Q112" s="1" t="str">
        <f ca="1">_xlfn.TEXTJOIN(",",TRUE,RANDBETWEEN(-1,1),RANDBETWEEN(-1,1))</f>
        <v>-1,-1</v>
      </c>
      <c r="R112" s="1" t="str">
        <f ca="1">_xlfn.TEXTJOIN(",",TRUE,RANDBETWEEN(-1,1),RANDBETWEEN(-1,1))</f>
        <v>1,1</v>
      </c>
      <c r="S112" s="1" t="str">
        <f ca="1">_xlfn.TEXTJOIN(",",TRUE,RANDBETWEEN(-1,1),RANDBETWEEN(-1,1))</f>
        <v>0,0</v>
      </c>
      <c r="T112" s="1" t="str">
        <f ca="1">_xlfn.TEXTJOIN(",",TRUE,RANDBETWEEN(-1,1),RANDBETWEEN(-1,1))</f>
        <v>-1,0</v>
      </c>
      <c r="U112" s="1" t="str">
        <f ca="1">_xlfn.TEXTJOIN(",",TRUE,RANDBETWEEN(-1,1),RANDBETWEEN(-1,1))</f>
        <v>0,-1</v>
      </c>
      <c r="V112" s="1" t="str">
        <f ca="1">_xlfn.TEXTJOIN(",",TRUE,RANDBETWEEN(-1,1),RANDBETWEEN(-1,1))</f>
        <v>-1,1</v>
      </c>
      <c r="W112" s="1" t="str">
        <f ca="1">_xlfn.TEXTJOIN(",",TRUE,RANDBETWEEN(-1,1),RANDBETWEEN(-1,1))</f>
        <v>0,1</v>
      </c>
      <c r="X112" s="1" t="str">
        <f ca="1">_xlfn.TEXTJOIN(",",TRUE,RANDBETWEEN(-1,1),RANDBETWEEN(-1,1))</f>
        <v>-1,-1</v>
      </c>
      <c r="Y112" s="1" t="str">
        <f ca="1">_xlfn.TEXTJOIN(",",TRUE,RANDBETWEEN(-1,1),RANDBETWEEN(-1,1))</f>
        <v>1,-1</v>
      </c>
      <c r="Z112" s="1" t="str">
        <f ca="1">_xlfn.TEXTJOIN(",",TRUE,RANDBETWEEN(-1,1),RANDBETWEEN(-1,1))</f>
        <v>1,0</v>
      </c>
      <c r="AA112" s="1" t="str">
        <f ca="1">_xlfn.TEXTJOIN(",",TRUE,RANDBETWEEN(-1,1),RANDBETWEEN(-1,1))</f>
        <v>0,-1</v>
      </c>
      <c r="AB112" s="1" t="str">
        <f ca="1">_xlfn.TEXTJOIN(",",TRUE,RANDBETWEEN(-1,1),RANDBETWEEN(-1,1))</f>
        <v>-1,-1</v>
      </c>
      <c r="AC112" s="1" t="str">
        <f ca="1">_xlfn.TEXTJOIN(",",TRUE,RANDBETWEEN(-1,1),RANDBETWEEN(-1,1))</f>
        <v>-1,-1</v>
      </c>
      <c r="AD112" s="1" t="str">
        <f ca="1">_xlfn.TEXTJOIN(",",TRUE,RANDBETWEEN(-1,1),RANDBETWEEN(-1,1))</f>
        <v>-1,1</v>
      </c>
      <c r="AE112" s="1" t="str">
        <f ca="1">_xlfn.TEXTJOIN(",",TRUE,RANDBETWEEN(-1,1),RANDBETWEEN(-1,1))</f>
        <v>-1,1</v>
      </c>
      <c r="AF112" s="1" t="str">
        <f ca="1">_xlfn.TEXTJOIN(",",TRUE,RANDBETWEEN(-1,1),RANDBETWEEN(-1,1))</f>
        <v>1,0</v>
      </c>
      <c r="AG112" s="1" t="str">
        <f ca="1">_xlfn.TEXTJOIN(",",TRUE,RANDBETWEEN(-1,1),RANDBETWEEN(-1,1))</f>
        <v>0,0</v>
      </c>
      <c r="AH112" s="1" t="str">
        <f ca="1">_xlfn.TEXTJOIN(",",TRUE,RANDBETWEEN(-1,1),RANDBETWEEN(-1,1))</f>
        <v>0,1</v>
      </c>
      <c r="AI112" s="1" t="str">
        <f ca="1">_xlfn.TEXTJOIN(",",TRUE,RANDBETWEEN(-1,1),RANDBETWEEN(-1,1))</f>
        <v>-1,1</v>
      </c>
      <c r="AJ112" s="1" t="str">
        <f ca="1">_xlfn.TEXTJOIN(",",TRUE,RANDBETWEEN(-1,1),RANDBETWEEN(-1,1))</f>
        <v>0,0</v>
      </c>
      <c r="AK112" s="1" t="str">
        <f ca="1">_xlfn.TEXTJOIN(",",TRUE,RANDBETWEEN(-1,1),RANDBETWEEN(-1,1))</f>
        <v>1,-1</v>
      </c>
      <c r="AL112" s="1" t="str">
        <f ca="1">_xlfn.TEXTJOIN(",",TRUE,RANDBETWEEN(-1,1),RANDBETWEEN(-1,1))</f>
        <v>1,1</v>
      </c>
      <c r="AM112" s="1" t="str">
        <f ca="1">_xlfn.TEXTJOIN(",",TRUE,RANDBETWEEN(-1,1),RANDBETWEEN(-1,1))</f>
        <v>-1,0</v>
      </c>
      <c r="AN112" s="1" t="str">
        <f ca="1">_xlfn.TEXTJOIN(",",TRUE,RANDBETWEEN(-1,1),RANDBETWEEN(-1,1))</f>
        <v>1,-1</v>
      </c>
      <c r="AO112" s="1" t="str">
        <f ca="1">_xlfn.TEXTJOIN(",",TRUE,RANDBETWEEN(-1,1),RANDBETWEEN(-1,1))</f>
        <v>-1,-1</v>
      </c>
    </row>
    <row r="113" spans="1:41" ht="15.75" customHeight="1">
      <c r="A113" s="1">
        <v>40</v>
      </c>
      <c r="B113" s="1" t="str">
        <f t="shared" ref="B113:AO113" ca="1" si="14">_xlfn.TEXTJOIN(",",FALSE,"",RANDBETWEEN(-1,1))</f>
        <v>,0</v>
      </c>
      <c r="C113" s="1" t="str">
        <f t="shared" ca="1" si="14"/>
        <v>,1</v>
      </c>
      <c r="D113" s="1" t="str">
        <f t="shared" ca="1" si="14"/>
        <v>,0</v>
      </c>
      <c r="E113" s="1" t="str">
        <f t="shared" ca="1" si="14"/>
        <v>,-1</v>
      </c>
      <c r="F113" s="1" t="str">
        <f t="shared" ca="1" si="14"/>
        <v>,-1</v>
      </c>
      <c r="G113" s="1" t="str">
        <f t="shared" ca="1" si="14"/>
        <v>,1</v>
      </c>
      <c r="H113" s="1" t="str">
        <f t="shared" ca="1" si="14"/>
        <v>,1</v>
      </c>
      <c r="I113" s="1" t="str">
        <f t="shared" ca="1" si="14"/>
        <v>,-1</v>
      </c>
      <c r="J113" s="1" t="str">
        <f t="shared" ca="1" si="14"/>
        <v>,1</v>
      </c>
      <c r="K113" s="1" t="str">
        <f t="shared" ca="1" si="14"/>
        <v>,0</v>
      </c>
      <c r="L113" s="1" t="str">
        <f t="shared" ca="1" si="14"/>
        <v>,-1</v>
      </c>
      <c r="M113" s="1" t="str">
        <f t="shared" ca="1" si="14"/>
        <v>,1</v>
      </c>
      <c r="N113" s="1" t="str">
        <f t="shared" ca="1" si="14"/>
        <v>,1</v>
      </c>
      <c r="O113" s="1" t="str">
        <f t="shared" ca="1" si="14"/>
        <v>,-1</v>
      </c>
      <c r="P113" s="1" t="str">
        <f t="shared" ca="1" si="14"/>
        <v>,0</v>
      </c>
      <c r="Q113" s="1" t="str">
        <f t="shared" ca="1" si="14"/>
        <v>,0</v>
      </c>
      <c r="R113" s="1" t="str">
        <f t="shared" ca="1" si="14"/>
        <v>,0</v>
      </c>
      <c r="S113" s="1" t="str">
        <f t="shared" ca="1" si="14"/>
        <v>,1</v>
      </c>
      <c r="T113" s="1" t="str">
        <f t="shared" ca="1" si="14"/>
        <v>,0</v>
      </c>
      <c r="U113" s="1" t="str">
        <f t="shared" ca="1" si="14"/>
        <v>,0</v>
      </c>
      <c r="V113" s="1" t="str">
        <f t="shared" ca="1" si="14"/>
        <v>,0</v>
      </c>
      <c r="W113" s="1" t="str">
        <f t="shared" ca="1" si="14"/>
        <v>,-1</v>
      </c>
      <c r="X113" s="1" t="str">
        <f t="shared" ca="1" si="14"/>
        <v>,0</v>
      </c>
      <c r="Y113" s="1" t="str">
        <f t="shared" ca="1" si="14"/>
        <v>,-1</v>
      </c>
      <c r="Z113" s="1" t="str">
        <f t="shared" ca="1" si="14"/>
        <v>,1</v>
      </c>
      <c r="AA113" s="1" t="str">
        <f t="shared" ca="1" si="14"/>
        <v>,1</v>
      </c>
      <c r="AB113" s="1" t="str">
        <f t="shared" ca="1" si="14"/>
        <v>,1</v>
      </c>
      <c r="AC113" s="1" t="str">
        <f t="shared" ca="1" si="14"/>
        <v>,0</v>
      </c>
      <c r="AD113" s="1" t="str">
        <f t="shared" ca="1" si="14"/>
        <v>,0</v>
      </c>
      <c r="AE113" s="1" t="str">
        <f t="shared" ca="1" si="14"/>
        <v>,0</v>
      </c>
      <c r="AF113" s="1" t="str">
        <f t="shared" ca="1" si="14"/>
        <v>,-1</v>
      </c>
      <c r="AG113" s="1" t="str">
        <f t="shared" ca="1" si="14"/>
        <v>,-1</v>
      </c>
      <c r="AH113" s="1" t="str">
        <f t="shared" ca="1" si="14"/>
        <v>,0</v>
      </c>
      <c r="AI113" s="1" t="str">
        <f t="shared" ca="1" si="14"/>
        <v>,-1</v>
      </c>
      <c r="AJ113" s="1" t="str">
        <f t="shared" ca="1" si="14"/>
        <v>,-1</v>
      </c>
      <c r="AK113" s="1" t="str">
        <f t="shared" ca="1" si="14"/>
        <v>,1</v>
      </c>
      <c r="AL113" s="1" t="str">
        <f t="shared" ca="1" si="14"/>
        <v>,0</v>
      </c>
      <c r="AM113" s="1" t="str">
        <f t="shared" ca="1" si="14"/>
        <v>,0</v>
      </c>
      <c r="AN113" s="1" t="str">
        <f t="shared" ca="1" si="14"/>
        <v>,1</v>
      </c>
      <c r="AO113" s="1" t="str">
        <f t="shared" ca="1" si="14"/>
        <v>,-1</v>
      </c>
    </row>
    <row r="116" spans="1:41" ht="15.75" customHeight="1">
      <c r="A116" s="1">
        <v>40</v>
      </c>
      <c r="B116" s="1">
        <v>1</v>
      </c>
      <c r="C116" s="1">
        <v>2</v>
      </c>
      <c r="D116" s="1">
        <v>3</v>
      </c>
      <c r="E116" s="1">
        <v>4</v>
      </c>
      <c r="F116" s="1">
        <v>5</v>
      </c>
      <c r="G116" s="1">
        <v>6</v>
      </c>
      <c r="H116" s="1">
        <v>7</v>
      </c>
      <c r="I116" s="1">
        <v>8</v>
      </c>
      <c r="J116" s="1">
        <v>9</v>
      </c>
      <c r="K116" s="1">
        <v>10</v>
      </c>
      <c r="L116" s="1">
        <v>11</v>
      </c>
      <c r="M116" s="1">
        <v>12</v>
      </c>
      <c r="N116" s="1">
        <v>13</v>
      </c>
      <c r="O116" s="1">
        <v>14</v>
      </c>
      <c r="P116" s="1">
        <v>15</v>
      </c>
      <c r="Q116" s="1">
        <v>16</v>
      </c>
      <c r="R116" s="1">
        <v>17</v>
      </c>
      <c r="S116" s="1">
        <v>18</v>
      </c>
      <c r="T116" s="1">
        <v>19</v>
      </c>
      <c r="U116" s="1">
        <v>20</v>
      </c>
      <c r="V116" s="1">
        <v>21</v>
      </c>
      <c r="W116" s="1">
        <v>22</v>
      </c>
      <c r="X116" s="1">
        <v>23</v>
      </c>
      <c r="Y116" s="1">
        <v>24</v>
      </c>
      <c r="Z116" s="1">
        <v>25</v>
      </c>
      <c r="AA116" s="1">
        <v>26</v>
      </c>
      <c r="AB116" s="1">
        <v>27</v>
      </c>
      <c r="AC116" s="1">
        <v>28</v>
      </c>
      <c r="AD116" s="1">
        <v>29</v>
      </c>
      <c r="AE116" s="1">
        <v>30</v>
      </c>
      <c r="AF116" s="1">
        <v>31</v>
      </c>
      <c r="AG116" s="1">
        <v>32</v>
      </c>
      <c r="AH116" s="1">
        <v>33</v>
      </c>
      <c r="AI116" s="1">
        <v>34</v>
      </c>
      <c r="AJ116" s="1">
        <v>35</v>
      </c>
      <c r="AK116" s="1">
        <v>36</v>
      </c>
      <c r="AL116" s="1">
        <v>37</v>
      </c>
      <c r="AM116" s="1">
        <v>38</v>
      </c>
      <c r="AN116" s="1">
        <v>39</v>
      </c>
      <c r="AO116" s="1">
        <v>40</v>
      </c>
    </row>
    <row r="117" spans="1:41" ht="15.75" customHeight="1">
      <c r="A117" s="1">
        <v>1</v>
      </c>
      <c r="B117" s="1" t="str">
        <f t="shared" ref="B117:AO117" ca="1" si="15">_xlfn.TEXTJOIN(",",FALSE,"",RANDBETWEEN(-1,1))</f>
        <v>,0</v>
      </c>
      <c r="C117" s="1" t="str">
        <f t="shared" ca="1" si="15"/>
        <v>,1</v>
      </c>
      <c r="D117" s="1" t="str">
        <f t="shared" ca="1" si="15"/>
        <v>,1</v>
      </c>
      <c r="E117" s="1" t="str">
        <f t="shared" ca="1" si="15"/>
        <v>,0</v>
      </c>
      <c r="F117" s="1" t="str">
        <f t="shared" ca="1" si="15"/>
        <v>,-1</v>
      </c>
      <c r="G117" s="1" t="str">
        <f t="shared" ca="1" si="15"/>
        <v>,0</v>
      </c>
      <c r="H117" s="1" t="str">
        <f t="shared" ca="1" si="15"/>
        <v>,-1</v>
      </c>
      <c r="I117" s="1" t="str">
        <f t="shared" ca="1" si="15"/>
        <v>,1</v>
      </c>
      <c r="J117" s="1" t="str">
        <f t="shared" ca="1" si="15"/>
        <v>,1</v>
      </c>
      <c r="K117" s="1" t="str">
        <f t="shared" ca="1" si="15"/>
        <v>,-1</v>
      </c>
      <c r="L117" s="1" t="str">
        <f t="shared" ca="1" si="15"/>
        <v>,1</v>
      </c>
      <c r="M117" s="1" t="str">
        <f t="shared" ca="1" si="15"/>
        <v>,0</v>
      </c>
      <c r="N117" s="1" t="str">
        <f t="shared" ca="1" si="15"/>
        <v>,1</v>
      </c>
      <c r="O117" s="1" t="str">
        <f t="shared" ca="1" si="15"/>
        <v>,0</v>
      </c>
      <c r="P117" s="1" t="str">
        <f t="shared" ca="1" si="15"/>
        <v>,-1</v>
      </c>
      <c r="Q117" s="1" t="str">
        <f t="shared" ca="1" si="15"/>
        <v>,1</v>
      </c>
      <c r="R117" s="1" t="str">
        <f t="shared" ca="1" si="15"/>
        <v>,-1</v>
      </c>
      <c r="S117" s="1" t="str">
        <f t="shared" ca="1" si="15"/>
        <v>,0</v>
      </c>
      <c r="T117" s="1" t="str">
        <f t="shared" ca="1" si="15"/>
        <v>,1</v>
      </c>
      <c r="U117" s="1" t="str">
        <f t="shared" ca="1" si="15"/>
        <v>,1</v>
      </c>
      <c r="V117" s="1" t="str">
        <f t="shared" ca="1" si="15"/>
        <v>,1</v>
      </c>
      <c r="W117" s="1" t="str">
        <f t="shared" ca="1" si="15"/>
        <v>,-1</v>
      </c>
      <c r="X117" s="1" t="str">
        <f t="shared" ca="1" si="15"/>
        <v>,-1</v>
      </c>
      <c r="Y117" s="1" t="str">
        <f t="shared" ca="1" si="15"/>
        <v>,1</v>
      </c>
      <c r="Z117" s="1" t="str">
        <f t="shared" ca="1" si="15"/>
        <v>,1</v>
      </c>
      <c r="AA117" s="1" t="str">
        <f t="shared" ca="1" si="15"/>
        <v>,0</v>
      </c>
      <c r="AB117" s="1" t="str">
        <f t="shared" ca="1" si="15"/>
        <v>,1</v>
      </c>
      <c r="AC117" s="1" t="str">
        <f t="shared" ca="1" si="15"/>
        <v>,-1</v>
      </c>
      <c r="AD117" s="1" t="str">
        <f t="shared" ca="1" si="15"/>
        <v>,0</v>
      </c>
      <c r="AE117" s="1" t="str">
        <f t="shared" ca="1" si="15"/>
        <v>,0</v>
      </c>
      <c r="AF117" s="1" t="str">
        <f t="shared" ca="1" si="15"/>
        <v>,0</v>
      </c>
      <c r="AG117" s="1" t="str">
        <f t="shared" ca="1" si="15"/>
        <v>,0</v>
      </c>
      <c r="AH117" s="1" t="str">
        <f t="shared" ca="1" si="15"/>
        <v>,1</v>
      </c>
      <c r="AI117" s="1" t="str">
        <f t="shared" ca="1" si="15"/>
        <v>,1</v>
      </c>
      <c r="AJ117" s="1" t="str">
        <f t="shared" ca="1" si="15"/>
        <v>,1</v>
      </c>
      <c r="AK117" s="1" t="str">
        <f t="shared" ca="1" si="15"/>
        <v>,-1</v>
      </c>
      <c r="AL117" s="1" t="str">
        <f t="shared" ca="1" si="15"/>
        <v>,1</v>
      </c>
      <c r="AM117" s="1" t="str">
        <f t="shared" ca="1" si="15"/>
        <v>,-1</v>
      </c>
      <c r="AN117" s="1" t="str">
        <f t="shared" ca="1" si="15"/>
        <v>,1</v>
      </c>
      <c r="AO117" s="1" t="str">
        <f t="shared" ca="1" si="15"/>
        <v>,1</v>
      </c>
    </row>
    <row r="118" spans="1:41" ht="15.75" customHeight="1">
      <c r="A118" s="1">
        <v>2</v>
      </c>
      <c r="B118" s="1" t="str">
        <f ca="1">_xlfn.TEXTJOIN(",",TRUE,RANDBETWEEN(-1,1),RANDBETWEEN(-1,1))</f>
        <v>0,1</v>
      </c>
      <c r="C118" s="1" t="str">
        <f ca="1">_xlfn.TEXTJOIN(",",TRUE,RANDBETWEEN(-1,1),RANDBETWEEN(-1,1))</f>
        <v>1,-1</v>
      </c>
      <c r="D118" s="1" t="str">
        <f ca="1">_xlfn.TEXTJOIN(",",TRUE,RANDBETWEEN(-1,1),RANDBETWEEN(-1,1))</f>
        <v>-1,0</v>
      </c>
      <c r="E118" s="1" t="str">
        <f ca="1">_xlfn.TEXTJOIN(",",TRUE,RANDBETWEEN(-1,1),RANDBETWEEN(-1,1))</f>
        <v>0,1</v>
      </c>
      <c r="F118" s="1" t="str">
        <f ca="1">_xlfn.TEXTJOIN(",",TRUE,RANDBETWEEN(-1,1),RANDBETWEEN(-1,1))</f>
        <v>-1,0</v>
      </c>
      <c r="G118" s="1" t="str">
        <f ca="1">_xlfn.TEXTJOIN(",",TRUE,RANDBETWEEN(-1,1),RANDBETWEEN(-1,1))</f>
        <v>1,1</v>
      </c>
      <c r="H118" s="1" t="str">
        <f ca="1">_xlfn.TEXTJOIN(",",TRUE,RANDBETWEEN(-1,1),RANDBETWEEN(-1,1))</f>
        <v>-1,-1</v>
      </c>
      <c r="I118" s="1" t="str">
        <f ca="1">_xlfn.TEXTJOIN(",",TRUE,RANDBETWEEN(-1,1),RANDBETWEEN(-1,1))</f>
        <v>-1,1</v>
      </c>
      <c r="J118" s="1" t="str">
        <f ca="1">_xlfn.TEXTJOIN(",",TRUE,RANDBETWEEN(-1,1),RANDBETWEEN(-1,1))</f>
        <v>-1,1</v>
      </c>
      <c r="K118" s="1" t="str">
        <f ca="1">_xlfn.TEXTJOIN(",",TRUE,RANDBETWEEN(-1,1),RANDBETWEEN(-1,1))</f>
        <v>-1,0</v>
      </c>
      <c r="L118" s="1" t="str">
        <f ca="1">_xlfn.TEXTJOIN(",",TRUE,RANDBETWEEN(-1,1),RANDBETWEEN(-1,1))</f>
        <v>1,-1</v>
      </c>
      <c r="M118" s="1" t="str">
        <f ca="1">_xlfn.TEXTJOIN(",",TRUE,RANDBETWEEN(-1,1),RANDBETWEEN(-1,1))</f>
        <v>0,1</v>
      </c>
      <c r="N118" s="1" t="str">
        <f ca="1">_xlfn.TEXTJOIN(",",TRUE,RANDBETWEEN(-1,1),RANDBETWEEN(-1,1))</f>
        <v>0,1</v>
      </c>
      <c r="O118" s="1" t="str">
        <f ca="1">_xlfn.TEXTJOIN(",",TRUE,RANDBETWEEN(-1,1),RANDBETWEEN(-1,1))</f>
        <v>1,-1</v>
      </c>
      <c r="P118" s="1" t="str">
        <f ca="1">_xlfn.TEXTJOIN(",",TRUE,RANDBETWEEN(-1,1),RANDBETWEEN(-1,1))</f>
        <v>-1,1</v>
      </c>
      <c r="Q118" s="1" t="str">
        <f ca="1">_xlfn.TEXTJOIN(",",TRUE,RANDBETWEEN(-1,1),RANDBETWEEN(-1,1))</f>
        <v>-1,1</v>
      </c>
      <c r="R118" s="1" t="str">
        <f ca="1">_xlfn.TEXTJOIN(",",TRUE,RANDBETWEEN(-1,1),RANDBETWEEN(-1,1))</f>
        <v>-1,0</v>
      </c>
      <c r="S118" s="1" t="str">
        <f ca="1">_xlfn.TEXTJOIN(",",TRUE,RANDBETWEEN(-1,1),RANDBETWEEN(-1,1))</f>
        <v>-1,0</v>
      </c>
      <c r="T118" s="1" t="str">
        <f ca="1">_xlfn.TEXTJOIN(",",TRUE,RANDBETWEEN(-1,1),RANDBETWEEN(-1,1))</f>
        <v>-1,0</v>
      </c>
      <c r="U118" s="1" t="str">
        <f ca="1">_xlfn.TEXTJOIN(",",TRUE,RANDBETWEEN(-1,1),RANDBETWEEN(-1,1))</f>
        <v>0,-1</v>
      </c>
      <c r="V118" s="1" t="str">
        <f ca="1">_xlfn.TEXTJOIN(",",TRUE,RANDBETWEEN(-1,1),RANDBETWEEN(-1,1))</f>
        <v>0,-1</v>
      </c>
      <c r="W118" s="1" t="str">
        <f ca="1">_xlfn.TEXTJOIN(",",TRUE,RANDBETWEEN(-1,1),RANDBETWEEN(-1,1))</f>
        <v>-1,-1</v>
      </c>
      <c r="X118" s="1" t="str">
        <f ca="1">_xlfn.TEXTJOIN(",",TRUE,RANDBETWEEN(-1,1),RANDBETWEEN(-1,1))</f>
        <v>0,0</v>
      </c>
      <c r="Y118" s="1" t="str">
        <f ca="1">_xlfn.TEXTJOIN(",",TRUE,RANDBETWEEN(-1,1),RANDBETWEEN(-1,1))</f>
        <v>1,0</v>
      </c>
      <c r="Z118" s="1" t="str">
        <f ca="1">_xlfn.TEXTJOIN(",",TRUE,RANDBETWEEN(-1,1),RANDBETWEEN(-1,1))</f>
        <v>-1,-1</v>
      </c>
      <c r="AA118" s="1" t="str">
        <f ca="1">_xlfn.TEXTJOIN(",",TRUE,RANDBETWEEN(-1,1),RANDBETWEEN(-1,1))</f>
        <v>0,1</v>
      </c>
      <c r="AB118" s="1" t="str">
        <f ca="1">_xlfn.TEXTJOIN(",",TRUE,RANDBETWEEN(-1,1),RANDBETWEEN(-1,1))</f>
        <v>0,-1</v>
      </c>
      <c r="AC118" s="1" t="str">
        <f ca="1">_xlfn.TEXTJOIN(",",TRUE,RANDBETWEEN(-1,1),RANDBETWEEN(-1,1))</f>
        <v>-1,-1</v>
      </c>
      <c r="AD118" s="1" t="str">
        <f ca="1">_xlfn.TEXTJOIN(",",TRUE,RANDBETWEEN(-1,1),RANDBETWEEN(-1,1))</f>
        <v>1,1</v>
      </c>
      <c r="AE118" s="1" t="str">
        <f ca="1">_xlfn.TEXTJOIN(",",TRUE,RANDBETWEEN(-1,1),RANDBETWEEN(-1,1))</f>
        <v>-1,0</v>
      </c>
      <c r="AF118" s="1" t="str">
        <f ca="1">_xlfn.TEXTJOIN(",",TRUE,RANDBETWEEN(-1,1),RANDBETWEEN(-1,1))</f>
        <v>0,-1</v>
      </c>
      <c r="AG118" s="1" t="str">
        <f ca="1">_xlfn.TEXTJOIN(",",TRUE,RANDBETWEEN(-1,1),RANDBETWEEN(-1,1))</f>
        <v>-1,0</v>
      </c>
      <c r="AH118" s="1" t="str">
        <f ca="1">_xlfn.TEXTJOIN(",",TRUE,RANDBETWEEN(-1,1),RANDBETWEEN(-1,1))</f>
        <v>-1,1</v>
      </c>
      <c r="AI118" s="1" t="str">
        <f ca="1">_xlfn.TEXTJOIN(",",TRUE,RANDBETWEEN(-1,1),RANDBETWEEN(-1,1))</f>
        <v>-1,-1</v>
      </c>
      <c r="AJ118" s="1" t="str">
        <f ca="1">_xlfn.TEXTJOIN(",",TRUE,RANDBETWEEN(-1,1),RANDBETWEEN(-1,1))</f>
        <v>1,-1</v>
      </c>
      <c r="AK118" s="1" t="str">
        <f ca="1">_xlfn.TEXTJOIN(",",TRUE,RANDBETWEEN(-1,1),RANDBETWEEN(-1,1))</f>
        <v>-1,0</v>
      </c>
      <c r="AL118" s="1" t="str">
        <f ca="1">_xlfn.TEXTJOIN(",",TRUE,RANDBETWEEN(-1,1),RANDBETWEEN(-1,1))</f>
        <v>0,1</v>
      </c>
      <c r="AM118" s="1" t="str">
        <f ca="1">_xlfn.TEXTJOIN(",",TRUE,RANDBETWEEN(-1,1),RANDBETWEEN(-1,1))</f>
        <v>0,1</v>
      </c>
      <c r="AN118" s="1" t="str">
        <f ca="1">_xlfn.TEXTJOIN(",",TRUE,RANDBETWEEN(-1,1),RANDBETWEEN(-1,1))</f>
        <v>0,1</v>
      </c>
      <c r="AO118" s="1" t="str">
        <f ca="1">_xlfn.TEXTJOIN(",",TRUE,RANDBETWEEN(-1,1),RANDBETWEEN(-1,1))</f>
        <v>1,-1</v>
      </c>
    </row>
    <row r="119" spans="1:41" ht="15.75" customHeight="1">
      <c r="A119" s="1">
        <v>3</v>
      </c>
      <c r="B119" s="1" t="str">
        <f ca="1">_xlfn.TEXTJOIN(",",TRUE,RANDBETWEEN(-1,1),RANDBETWEEN(-1,1))</f>
        <v>0,1</v>
      </c>
      <c r="C119" s="1" t="str">
        <f ca="1">_xlfn.TEXTJOIN(",",TRUE,RANDBETWEEN(-1,1),RANDBETWEEN(-1,1))</f>
        <v>0,0</v>
      </c>
      <c r="D119" s="1" t="str">
        <f ca="1">_xlfn.TEXTJOIN(",",TRUE,RANDBETWEEN(-1,1),RANDBETWEEN(-1,1))</f>
        <v>-1,-1</v>
      </c>
      <c r="E119" s="1" t="str">
        <f ca="1">_xlfn.TEXTJOIN(",",TRUE,RANDBETWEEN(-1,1),RANDBETWEEN(-1,1))</f>
        <v>1,-1</v>
      </c>
      <c r="F119" s="1" t="str">
        <f ca="1">_xlfn.TEXTJOIN(",",TRUE,RANDBETWEEN(-1,1),RANDBETWEEN(-1,1))</f>
        <v>-1,0</v>
      </c>
      <c r="G119" s="1" t="str">
        <f ca="1">_xlfn.TEXTJOIN(",",TRUE,RANDBETWEEN(-1,1),RANDBETWEEN(-1,1))</f>
        <v>1,1</v>
      </c>
      <c r="H119" s="1" t="str">
        <f ca="1">_xlfn.TEXTJOIN(",",TRUE,RANDBETWEEN(-1,1),RANDBETWEEN(-1,1))</f>
        <v>-1,1</v>
      </c>
      <c r="I119" s="1" t="str">
        <f ca="1">_xlfn.TEXTJOIN(",",TRUE,RANDBETWEEN(-1,1),RANDBETWEEN(-1,1))</f>
        <v>1,-1</v>
      </c>
      <c r="J119" s="1" t="str">
        <f ca="1">_xlfn.TEXTJOIN(",",TRUE,RANDBETWEEN(-1,1),RANDBETWEEN(-1,1))</f>
        <v>1,-1</v>
      </c>
      <c r="K119" s="1" t="str">
        <f ca="1">_xlfn.TEXTJOIN(",",TRUE,RANDBETWEEN(-1,1),RANDBETWEEN(-1,1))</f>
        <v>1,1</v>
      </c>
      <c r="L119" s="1" t="str">
        <f ca="1">_xlfn.TEXTJOIN(",",TRUE,RANDBETWEEN(-1,1),RANDBETWEEN(-1,1))</f>
        <v>0,-1</v>
      </c>
      <c r="M119" s="1" t="str">
        <f ca="1">_xlfn.TEXTJOIN(",",TRUE,RANDBETWEEN(-1,1),RANDBETWEEN(-1,1))</f>
        <v>-1,0</v>
      </c>
      <c r="N119" s="1" t="str">
        <f ca="1">_xlfn.TEXTJOIN(",",TRUE,RANDBETWEEN(-1,1),RANDBETWEEN(-1,1))</f>
        <v>-1,1</v>
      </c>
      <c r="O119" s="1" t="str">
        <f ca="1">_xlfn.TEXTJOIN(",",TRUE,RANDBETWEEN(-1,1),RANDBETWEEN(-1,1))</f>
        <v>0,0</v>
      </c>
      <c r="P119" s="1" t="str">
        <f ca="1">_xlfn.TEXTJOIN(",",TRUE,RANDBETWEEN(-1,1),RANDBETWEEN(-1,1))</f>
        <v>-1,1</v>
      </c>
      <c r="Q119" s="1" t="str">
        <f ca="1">_xlfn.TEXTJOIN(",",TRUE,RANDBETWEEN(-1,1),RANDBETWEEN(-1,1))</f>
        <v>0,1</v>
      </c>
      <c r="R119" s="1" t="str">
        <f ca="1">_xlfn.TEXTJOIN(",",TRUE,RANDBETWEEN(-1,1),RANDBETWEEN(-1,1))</f>
        <v>-1,1</v>
      </c>
      <c r="S119" s="1" t="str">
        <f ca="1">_xlfn.TEXTJOIN(",",TRUE,RANDBETWEEN(-1,1),RANDBETWEEN(-1,1))</f>
        <v>-1,0</v>
      </c>
      <c r="T119" s="1" t="str">
        <f ca="1">_xlfn.TEXTJOIN(",",TRUE,RANDBETWEEN(-1,1),RANDBETWEEN(-1,1))</f>
        <v>-1,0</v>
      </c>
      <c r="U119" s="1" t="str">
        <f ca="1">_xlfn.TEXTJOIN(",",TRUE,RANDBETWEEN(-1,1),RANDBETWEEN(-1,1))</f>
        <v>1,0</v>
      </c>
      <c r="V119" s="1" t="str">
        <f ca="1">_xlfn.TEXTJOIN(",",TRUE,RANDBETWEEN(-1,1),RANDBETWEEN(-1,1))</f>
        <v>-1,0</v>
      </c>
      <c r="W119" s="1" t="str">
        <f ca="1">_xlfn.TEXTJOIN(",",TRUE,RANDBETWEEN(-1,1),RANDBETWEEN(-1,1))</f>
        <v>-1,0</v>
      </c>
      <c r="X119" s="1" t="str">
        <f ca="1">_xlfn.TEXTJOIN(",",TRUE,RANDBETWEEN(-1,1),RANDBETWEEN(-1,1))</f>
        <v>-1,0</v>
      </c>
      <c r="Y119" s="1" t="str">
        <f ca="1">_xlfn.TEXTJOIN(",",TRUE,RANDBETWEEN(-1,1),RANDBETWEEN(-1,1))</f>
        <v>-1,-1</v>
      </c>
      <c r="Z119" s="1" t="str">
        <f ca="1">_xlfn.TEXTJOIN(",",TRUE,RANDBETWEEN(-1,1),RANDBETWEEN(-1,1))</f>
        <v>1,0</v>
      </c>
      <c r="AA119" s="1" t="str">
        <f ca="1">_xlfn.TEXTJOIN(",",TRUE,RANDBETWEEN(-1,1),RANDBETWEEN(-1,1))</f>
        <v>0,1</v>
      </c>
      <c r="AB119" s="1" t="str">
        <f ca="1">_xlfn.TEXTJOIN(",",TRUE,RANDBETWEEN(-1,1),RANDBETWEEN(-1,1))</f>
        <v>-1,0</v>
      </c>
      <c r="AC119" s="1" t="str">
        <f ca="1">_xlfn.TEXTJOIN(",",TRUE,RANDBETWEEN(-1,1),RANDBETWEEN(-1,1))</f>
        <v>-1,0</v>
      </c>
      <c r="AD119" s="1" t="str">
        <f ca="1">_xlfn.TEXTJOIN(",",TRUE,RANDBETWEEN(-1,1),RANDBETWEEN(-1,1))</f>
        <v>0,-1</v>
      </c>
      <c r="AE119" s="1" t="str">
        <f ca="1">_xlfn.TEXTJOIN(",",TRUE,RANDBETWEEN(-1,1),RANDBETWEEN(-1,1))</f>
        <v>-1,-1</v>
      </c>
      <c r="AF119" s="1" t="str">
        <f ca="1">_xlfn.TEXTJOIN(",",TRUE,RANDBETWEEN(-1,1),RANDBETWEEN(-1,1))</f>
        <v>-1,-1</v>
      </c>
      <c r="AG119" s="1" t="str">
        <f ca="1">_xlfn.TEXTJOIN(",",TRUE,RANDBETWEEN(-1,1),RANDBETWEEN(-1,1))</f>
        <v>-1,0</v>
      </c>
      <c r="AH119" s="1" t="str">
        <f ca="1">_xlfn.TEXTJOIN(",",TRUE,RANDBETWEEN(-1,1),RANDBETWEEN(-1,1))</f>
        <v>0,-1</v>
      </c>
      <c r="AI119" s="1" t="str">
        <f ca="1">_xlfn.TEXTJOIN(",",TRUE,RANDBETWEEN(-1,1),RANDBETWEEN(-1,1))</f>
        <v>0,0</v>
      </c>
      <c r="AJ119" s="1" t="str">
        <f ca="1">_xlfn.TEXTJOIN(",",TRUE,RANDBETWEEN(-1,1),RANDBETWEEN(-1,1))</f>
        <v>0,0</v>
      </c>
      <c r="AK119" s="1" t="str">
        <f ca="1">_xlfn.TEXTJOIN(",",TRUE,RANDBETWEEN(-1,1),RANDBETWEEN(-1,1))</f>
        <v>-1,1</v>
      </c>
      <c r="AL119" s="1" t="str">
        <f ca="1">_xlfn.TEXTJOIN(",",TRUE,RANDBETWEEN(-1,1),RANDBETWEEN(-1,1))</f>
        <v>1,-1</v>
      </c>
      <c r="AM119" s="1" t="str">
        <f ca="1">_xlfn.TEXTJOIN(",",TRUE,RANDBETWEEN(-1,1),RANDBETWEEN(-1,1))</f>
        <v>0,-1</v>
      </c>
      <c r="AN119" s="1" t="str">
        <f ca="1">_xlfn.TEXTJOIN(",",TRUE,RANDBETWEEN(-1,1),RANDBETWEEN(-1,1))</f>
        <v>1,-1</v>
      </c>
      <c r="AO119" s="1" t="str">
        <f ca="1">_xlfn.TEXTJOIN(",",TRUE,RANDBETWEEN(-1,1),RANDBETWEEN(-1,1))</f>
        <v>1,0</v>
      </c>
    </row>
    <row r="120" spans="1:41" ht="15.75" customHeight="1">
      <c r="A120" s="1">
        <v>4</v>
      </c>
      <c r="B120" s="1" t="str">
        <f ca="1">_xlfn.TEXTJOIN(",",TRUE,RANDBETWEEN(-1,1),RANDBETWEEN(-1,1))</f>
        <v>0,-1</v>
      </c>
      <c r="C120" s="1" t="str">
        <f ca="1">_xlfn.TEXTJOIN(",",TRUE,RANDBETWEEN(-1,1),RANDBETWEEN(-1,1))</f>
        <v>0,1</v>
      </c>
      <c r="D120" s="1" t="str">
        <f ca="1">_xlfn.TEXTJOIN(",",TRUE,RANDBETWEEN(-1,1),RANDBETWEEN(-1,1))</f>
        <v>0,0</v>
      </c>
      <c r="E120" s="1" t="str">
        <f ca="1">_xlfn.TEXTJOIN(",",TRUE,RANDBETWEEN(-1,1),RANDBETWEEN(-1,1))</f>
        <v>0,-1</v>
      </c>
      <c r="F120" s="1" t="str">
        <f ca="1">_xlfn.TEXTJOIN(",",TRUE,RANDBETWEEN(-1,1),RANDBETWEEN(-1,1))</f>
        <v>1,0</v>
      </c>
      <c r="G120" s="1" t="str">
        <f ca="1">_xlfn.TEXTJOIN(",",TRUE,RANDBETWEEN(-1,1),RANDBETWEEN(-1,1))</f>
        <v>0,-1</v>
      </c>
      <c r="H120" s="1" t="str">
        <f ca="1">_xlfn.TEXTJOIN(",",TRUE,RANDBETWEEN(-1,1),RANDBETWEEN(-1,1))</f>
        <v>0,0</v>
      </c>
      <c r="I120" s="1" t="str">
        <f ca="1">_xlfn.TEXTJOIN(",",TRUE,RANDBETWEEN(-1,1),RANDBETWEEN(-1,1))</f>
        <v>-1,1</v>
      </c>
      <c r="J120" s="1" t="str">
        <f ca="1">_xlfn.TEXTJOIN(",",TRUE,RANDBETWEEN(-1,1),RANDBETWEEN(-1,1))</f>
        <v>0,1</v>
      </c>
      <c r="K120" s="1" t="str">
        <f ca="1">_xlfn.TEXTJOIN(",",TRUE,RANDBETWEEN(-1,1),RANDBETWEEN(-1,1))</f>
        <v>0,1</v>
      </c>
      <c r="L120" s="1" t="str">
        <f ca="1">_xlfn.TEXTJOIN(",",TRUE,RANDBETWEEN(-1,1),RANDBETWEEN(-1,1))</f>
        <v>1,1</v>
      </c>
      <c r="M120" s="1" t="str">
        <f ca="1">_xlfn.TEXTJOIN(",",TRUE,RANDBETWEEN(-1,1),RANDBETWEEN(-1,1))</f>
        <v>1,0</v>
      </c>
      <c r="N120" s="1" t="str">
        <f ca="1">_xlfn.TEXTJOIN(",",TRUE,RANDBETWEEN(-1,1),RANDBETWEEN(-1,1))</f>
        <v>0,-1</v>
      </c>
      <c r="O120" s="1" t="str">
        <f ca="1">_xlfn.TEXTJOIN(",",TRUE,RANDBETWEEN(-1,1),RANDBETWEEN(-1,1))</f>
        <v>-1,-1</v>
      </c>
      <c r="P120" s="1" t="str">
        <f ca="1">_xlfn.TEXTJOIN(",",TRUE,RANDBETWEEN(-1,1),RANDBETWEEN(-1,1))</f>
        <v>-1,-1</v>
      </c>
      <c r="Q120" s="1" t="str">
        <f ca="1">_xlfn.TEXTJOIN(",",TRUE,RANDBETWEEN(-1,1),RANDBETWEEN(-1,1))</f>
        <v>-1,-1</v>
      </c>
      <c r="R120" s="1" t="str">
        <f ca="1">_xlfn.TEXTJOIN(",",TRUE,RANDBETWEEN(-1,1),RANDBETWEEN(-1,1))</f>
        <v>0,1</v>
      </c>
      <c r="S120" s="1" t="str">
        <f ca="1">_xlfn.TEXTJOIN(",",TRUE,RANDBETWEEN(-1,1),RANDBETWEEN(-1,1))</f>
        <v>1,1</v>
      </c>
      <c r="T120" s="1" t="str">
        <f ca="1">_xlfn.TEXTJOIN(",",TRUE,RANDBETWEEN(-1,1),RANDBETWEEN(-1,1))</f>
        <v>-1,1</v>
      </c>
      <c r="U120" s="1" t="str">
        <f ca="1">_xlfn.TEXTJOIN(",",TRUE,RANDBETWEEN(-1,1),RANDBETWEEN(-1,1))</f>
        <v>0,-1</v>
      </c>
      <c r="V120" s="1" t="str">
        <f ca="1">_xlfn.TEXTJOIN(",",TRUE,RANDBETWEEN(-1,1),RANDBETWEEN(-1,1))</f>
        <v>0,0</v>
      </c>
      <c r="W120" s="1" t="str">
        <f ca="1">_xlfn.TEXTJOIN(",",TRUE,RANDBETWEEN(-1,1),RANDBETWEEN(-1,1))</f>
        <v>-1,0</v>
      </c>
      <c r="X120" s="1" t="str">
        <f ca="1">_xlfn.TEXTJOIN(",",TRUE,RANDBETWEEN(-1,1),RANDBETWEEN(-1,1))</f>
        <v>1,1</v>
      </c>
      <c r="Y120" s="1" t="str">
        <f ca="1">_xlfn.TEXTJOIN(",",TRUE,RANDBETWEEN(-1,1),RANDBETWEEN(-1,1))</f>
        <v>-1,1</v>
      </c>
      <c r="Z120" s="1" t="str">
        <f ca="1">_xlfn.TEXTJOIN(",",TRUE,RANDBETWEEN(-1,1),RANDBETWEEN(-1,1))</f>
        <v>-1,-1</v>
      </c>
      <c r="AA120" s="1" t="str">
        <f ca="1">_xlfn.TEXTJOIN(",",TRUE,RANDBETWEEN(-1,1),RANDBETWEEN(-1,1))</f>
        <v>0,0</v>
      </c>
      <c r="AB120" s="1" t="str">
        <f ca="1">_xlfn.TEXTJOIN(",",TRUE,RANDBETWEEN(-1,1),RANDBETWEEN(-1,1))</f>
        <v>0,-1</v>
      </c>
      <c r="AC120" s="1" t="str">
        <f ca="1">_xlfn.TEXTJOIN(",",TRUE,RANDBETWEEN(-1,1),RANDBETWEEN(-1,1))</f>
        <v>-1,0</v>
      </c>
      <c r="AD120" s="1" t="str">
        <f ca="1">_xlfn.TEXTJOIN(",",TRUE,RANDBETWEEN(-1,1),RANDBETWEEN(-1,1))</f>
        <v>0,0</v>
      </c>
      <c r="AE120" s="1" t="str">
        <f ca="1">_xlfn.TEXTJOIN(",",TRUE,RANDBETWEEN(-1,1),RANDBETWEEN(-1,1))</f>
        <v>-1,1</v>
      </c>
      <c r="AF120" s="1" t="str">
        <f ca="1">_xlfn.TEXTJOIN(",",TRUE,RANDBETWEEN(-1,1),RANDBETWEEN(-1,1))</f>
        <v>0,1</v>
      </c>
      <c r="AG120" s="1" t="str">
        <f ca="1">_xlfn.TEXTJOIN(",",TRUE,RANDBETWEEN(-1,1),RANDBETWEEN(-1,1))</f>
        <v>1,1</v>
      </c>
      <c r="AH120" s="1" t="str">
        <f ca="1">_xlfn.TEXTJOIN(",",TRUE,RANDBETWEEN(-1,1),RANDBETWEEN(-1,1))</f>
        <v>0,-1</v>
      </c>
      <c r="AI120" s="1" t="str">
        <f ca="1">_xlfn.TEXTJOIN(",",TRUE,RANDBETWEEN(-1,1),RANDBETWEEN(-1,1))</f>
        <v>0,-1</v>
      </c>
      <c r="AJ120" s="1" t="str">
        <f ca="1">_xlfn.TEXTJOIN(",",TRUE,RANDBETWEEN(-1,1),RANDBETWEEN(-1,1))</f>
        <v>-1,1</v>
      </c>
      <c r="AK120" s="1" t="str">
        <f ca="1">_xlfn.TEXTJOIN(",",TRUE,RANDBETWEEN(-1,1),RANDBETWEEN(-1,1))</f>
        <v>0,-1</v>
      </c>
      <c r="AL120" s="1" t="str">
        <f ca="1">_xlfn.TEXTJOIN(",",TRUE,RANDBETWEEN(-1,1),RANDBETWEEN(-1,1))</f>
        <v>0,1</v>
      </c>
      <c r="AM120" s="1" t="str">
        <f ca="1">_xlfn.TEXTJOIN(",",TRUE,RANDBETWEEN(-1,1),RANDBETWEEN(-1,1))</f>
        <v>0,0</v>
      </c>
      <c r="AN120" s="1" t="str">
        <f ca="1">_xlfn.TEXTJOIN(",",TRUE,RANDBETWEEN(-1,1),RANDBETWEEN(-1,1))</f>
        <v>1,-1</v>
      </c>
      <c r="AO120" s="1" t="str">
        <f ca="1">_xlfn.TEXTJOIN(",",TRUE,RANDBETWEEN(-1,1),RANDBETWEEN(-1,1))</f>
        <v>0,1</v>
      </c>
    </row>
    <row r="121" spans="1:41" ht="15.75" customHeight="1">
      <c r="A121" s="1">
        <v>5</v>
      </c>
      <c r="B121" s="1" t="str">
        <f ca="1">_xlfn.TEXTJOIN(",",TRUE,RANDBETWEEN(-1,1),RANDBETWEEN(-1,1))</f>
        <v>0,0</v>
      </c>
      <c r="C121" s="1" t="str">
        <f ca="1">_xlfn.TEXTJOIN(",",TRUE,RANDBETWEEN(-1,1),RANDBETWEEN(-1,1))</f>
        <v>-1,1</v>
      </c>
      <c r="D121" s="1" t="str">
        <f ca="1">_xlfn.TEXTJOIN(",",TRUE,RANDBETWEEN(-1,1),RANDBETWEEN(-1,1))</f>
        <v>-1,0</v>
      </c>
      <c r="E121" s="1" t="str">
        <f ca="1">_xlfn.TEXTJOIN(",",TRUE,RANDBETWEEN(-1,1),RANDBETWEEN(-1,1))</f>
        <v>1,1</v>
      </c>
      <c r="F121" s="1" t="str">
        <f ca="1">_xlfn.TEXTJOIN(",",TRUE,RANDBETWEEN(-1,1),RANDBETWEEN(-1,1))</f>
        <v>1,0</v>
      </c>
      <c r="G121" s="1" t="str">
        <f ca="1">_xlfn.TEXTJOIN(",",TRUE,RANDBETWEEN(-1,1),RANDBETWEEN(-1,1))</f>
        <v>1,0</v>
      </c>
      <c r="H121" s="1" t="str">
        <f ca="1">_xlfn.TEXTJOIN(",",TRUE,RANDBETWEEN(-1,1),RANDBETWEEN(-1,1))</f>
        <v>1,1</v>
      </c>
      <c r="I121" s="1" t="str">
        <f ca="1">_xlfn.TEXTJOIN(",",TRUE,RANDBETWEEN(-1,1),RANDBETWEEN(-1,1))</f>
        <v>0,1</v>
      </c>
      <c r="J121" s="1" t="str">
        <f ca="1">_xlfn.TEXTJOIN(",",TRUE,RANDBETWEEN(-1,1),RANDBETWEEN(-1,1))</f>
        <v>-1,0</v>
      </c>
      <c r="K121" s="1" t="str">
        <f ca="1">_xlfn.TEXTJOIN(",",TRUE,RANDBETWEEN(-1,1),RANDBETWEEN(-1,1))</f>
        <v>0,1</v>
      </c>
      <c r="L121" s="1" t="str">
        <f ca="1">_xlfn.TEXTJOIN(",",TRUE,RANDBETWEEN(-1,1),RANDBETWEEN(-1,1))</f>
        <v>-1,1</v>
      </c>
      <c r="M121" s="1" t="str">
        <f ca="1">_xlfn.TEXTJOIN(",",TRUE,RANDBETWEEN(-1,1),RANDBETWEEN(-1,1))</f>
        <v>1,-1</v>
      </c>
      <c r="N121" s="1" t="str">
        <f ca="1">_xlfn.TEXTJOIN(",",TRUE,RANDBETWEEN(-1,1),RANDBETWEEN(-1,1))</f>
        <v>0,0</v>
      </c>
      <c r="O121" s="1" t="str">
        <f ca="1">_xlfn.TEXTJOIN(",",TRUE,RANDBETWEEN(-1,1),RANDBETWEEN(-1,1))</f>
        <v>1,1</v>
      </c>
      <c r="P121" s="1" t="str">
        <f ca="1">_xlfn.TEXTJOIN(",",TRUE,RANDBETWEEN(-1,1),RANDBETWEEN(-1,1))</f>
        <v>0,-1</v>
      </c>
      <c r="Q121" s="1" t="str">
        <f ca="1">_xlfn.TEXTJOIN(",",TRUE,RANDBETWEEN(-1,1),RANDBETWEEN(-1,1))</f>
        <v>0,1</v>
      </c>
      <c r="R121" s="1" t="str">
        <f ca="1">_xlfn.TEXTJOIN(",",TRUE,RANDBETWEEN(-1,1),RANDBETWEEN(-1,1))</f>
        <v>-1,-1</v>
      </c>
      <c r="S121" s="1" t="str">
        <f ca="1">_xlfn.TEXTJOIN(",",TRUE,RANDBETWEEN(-1,1),RANDBETWEEN(-1,1))</f>
        <v>0,1</v>
      </c>
      <c r="T121" s="1" t="str">
        <f ca="1">_xlfn.TEXTJOIN(",",TRUE,RANDBETWEEN(-1,1),RANDBETWEEN(-1,1))</f>
        <v>0,-1</v>
      </c>
      <c r="U121" s="1" t="str">
        <f ca="1">_xlfn.TEXTJOIN(",",TRUE,RANDBETWEEN(-1,1),RANDBETWEEN(-1,1))</f>
        <v>-1,-1</v>
      </c>
      <c r="V121" s="1" t="str">
        <f ca="1">_xlfn.TEXTJOIN(",",TRUE,RANDBETWEEN(-1,1),RANDBETWEEN(-1,1))</f>
        <v>-1,0</v>
      </c>
      <c r="W121" s="1" t="str">
        <f ca="1">_xlfn.TEXTJOIN(",",TRUE,RANDBETWEEN(-1,1),RANDBETWEEN(-1,1))</f>
        <v>0,0</v>
      </c>
      <c r="X121" s="1" t="str">
        <f ca="1">_xlfn.TEXTJOIN(",",TRUE,RANDBETWEEN(-1,1),RANDBETWEEN(-1,1))</f>
        <v>-1,-1</v>
      </c>
      <c r="Y121" s="1" t="str">
        <f ca="1">_xlfn.TEXTJOIN(",",TRUE,RANDBETWEEN(-1,1),RANDBETWEEN(-1,1))</f>
        <v>0,0</v>
      </c>
      <c r="Z121" s="1" t="str">
        <f ca="1">_xlfn.TEXTJOIN(",",TRUE,RANDBETWEEN(-1,1),RANDBETWEEN(-1,1))</f>
        <v>1,0</v>
      </c>
      <c r="AA121" s="1" t="str">
        <f ca="1">_xlfn.TEXTJOIN(",",TRUE,RANDBETWEEN(-1,1),RANDBETWEEN(-1,1))</f>
        <v>1,1</v>
      </c>
      <c r="AB121" s="1" t="str">
        <f ca="1">_xlfn.TEXTJOIN(",",TRUE,RANDBETWEEN(-1,1),RANDBETWEEN(-1,1))</f>
        <v>1,-1</v>
      </c>
      <c r="AC121" s="1" t="str">
        <f ca="1">_xlfn.TEXTJOIN(",",TRUE,RANDBETWEEN(-1,1),RANDBETWEEN(-1,1))</f>
        <v>0,1</v>
      </c>
      <c r="AD121" s="1" t="str">
        <f ca="1">_xlfn.TEXTJOIN(",",TRUE,RANDBETWEEN(-1,1),RANDBETWEEN(-1,1))</f>
        <v>1,-1</v>
      </c>
      <c r="AE121" s="1" t="str">
        <f ca="1">_xlfn.TEXTJOIN(",",TRUE,RANDBETWEEN(-1,1),RANDBETWEEN(-1,1))</f>
        <v>0,1</v>
      </c>
      <c r="AF121" s="1" t="str">
        <f ca="1">_xlfn.TEXTJOIN(",",TRUE,RANDBETWEEN(-1,1),RANDBETWEEN(-1,1))</f>
        <v>1,0</v>
      </c>
      <c r="AG121" s="1" t="str">
        <f ca="1">_xlfn.TEXTJOIN(",",TRUE,RANDBETWEEN(-1,1),RANDBETWEEN(-1,1))</f>
        <v>1,1</v>
      </c>
      <c r="AH121" s="1" t="str">
        <f ca="1">_xlfn.TEXTJOIN(",",TRUE,RANDBETWEEN(-1,1),RANDBETWEEN(-1,1))</f>
        <v>-1,1</v>
      </c>
      <c r="AI121" s="1" t="str">
        <f ca="1">_xlfn.TEXTJOIN(",",TRUE,RANDBETWEEN(-1,1),RANDBETWEEN(-1,1))</f>
        <v>-1,-1</v>
      </c>
      <c r="AJ121" s="1" t="str">
        <f ca="1">_xlfn.TEXTJOIN(",",TRUE,RANDBETWEEN(-1,1),RANDBETWEEN(-1,1))</f>
        <v>0,1</v>
      </c>
      <c r="AK121" s="1" t="str">
        <f ca="1">_xlfn.TEXTJOIN(",",TRUE,RANDBETWEEN(-1,1),RANDBETWEEN(-1,1))</f>
        <v>0,0</v>
      </c>
      <c r="AL121" s="1" t="str">
        <f ca="1">_xlfn.TEXTJOIN(",",TRUE,RANDBETWEEN(-1,1),RANDBETWEEN(-1,1))</f>
        <v>0,1</v>
      </c>
      <c r="AM121" s="1" t="str">
        <f ca="1">_xlfn.TEXTJOIN(",",TRUE,RANDBETWEEN(-1,1),RANDBETWEEN(-1,1))</f>
        <v>1,-1</v>
      </c>
      <c r="AN121" s="1" t="str">
        <f ca="1">_xlfn.TEXTJOIN(",",TRUE,RANDBETWEEN(-1,1),RANDBETWEEN(-1,1))</f>
        <v>0,1</v>
      </c>
      <c r="AO121" s="1" t="str">
        <f ca="1">_xlfn.TEXTJOIN(",",TRUE,RANDBETWEEN(-1,1),RANDBETWEEN(-1,1))</f>
        <v>1,1</v>
      </c>
    </row>
    <row r="122" spans="1:41" ht="15.75" customHeight="1">
      <c r="A122" s="1">
        <v>6</v>
      </c>
      <c r="B122" s="1" t="str">
        <f ca="1">_xlfn.TEXTJOIN(",",TRUE,RANDBETWEEN(-1,1),RANDBETWEEN(-1,1))</f>
        <v>0,0</v>
      </c>
      <c r="C122" s="1" t="str">
        <f ca="1">_xlfn.TEXTJOIN(",",TRUE,RANDBETWEEN(-1,1),RANDBETWEEN(-1,1))</f>
        <v>-1,0</v>
      </c>
      <c r="D122" s="1" t="str">
        <f ca="1">_xlfn.TEXTJOIN(",",TRUE,RANDBETWEEN(-1,1),RANDBETWEEN(-1,1))</f>
        <v>-1,-1</v>
      </c>
      <c r="E122" s="1" t="str">
        <f ca="1">_xlfn.TEXTJOIN(",",TRUE,RANDBETWEEN(-1,1),RANDBETWEEN(-1,1))</f>
        <v>0,-1</v>
      </c>
      <c r="F122" s="1" t="str">
        <f ca="1">_xlfn.TEXTJOIN(",",TRUE,RANDBETWEEN(-1,1),RANDBETWEEN(-1,1))</f>
        <v>-1,1</v>
      </c>
      <c r="G122" s="1" t="str">
        <f ca="1">_xlfn.TEXTJOIN(",",TRUE,RANDBETWEEN(-1,1),RANDBETWEEN(-1,1))</f>
        <v>-1,0</v>
      </c>
      <c r="H122" s="1" t="str">
        <f ca="1">_xlfn.TEXTJOIN(",",TRUE,RANDBETWEEN(-1,1),RANDBETWEEN(-1,1))</f>
        <v>1,0</v>
      </c>
      <c r="I122" s="1" t="str">
        <f ca="1">_xlfn.TEXTJOIN(",",TRUE,RANDBETWEEN(-1,1),RANDBETWEEN(-1,1))</f>
        <v>0,1</v>
      </c>
      <c r="J122" s="1" t="str">
        <f ca="1">_xlfn.TEXTJOIN(",",TRUE,RANDBETWEEN(-1,1),RANDBETWEEN(-1,1))</f>
        <v>0,-1</v>
      </c>
      <c r="K122" s="1" t="str">
        <f ca="1">_xlfn.TEXTJOIN(",",TRUE,RANDBETWEEN(-1,1),RANDBETWEEN(-1,1))</f>
        <v>-1,-1</v>
      </c>
      <c r="L122" s="1" t="str">
        <f ca="1">_xlfn.TEXTJOIN(",",TRUE,RANDBETWEEN(-1,1),RANDBETWEEN(-1,1))</f>
        <v>-1,-1</v>
      </c>
      <c r="M122" s="1" t="str">
        <f ca="1">_xlfn.TEXTJOIN(",",TRUE,RANDBETWEEN(-1,1),RANDBETWEEN(-1,1))</f>
        <v>1,0</v>
      </c>
      <c r="N122" s="1" t="str">
        <f ca="1">_xlfn.TEXTJOIN(",",TRUE,RANDBETWEEN(-1,1),RANDBETWEEN(-1,1))</f>
        <v>-1,-1</v>
      </c>
      <c r="O122" s="1" t="str">
        <f ca="1">_xlfn.TEXTJOIN(",",TRUE,RANDBETWEEN(-1,1),RANDBETWEEN(-1,1))</f>
        <v>1,1</v>
      </c>
      <c r="P122" s="1" t="str">
        <f ca="1">_xlfn.TEXTJOIN(",",TRUE,RANDBETWEEN(-1,1),RANDBETWEEN(-1,1))</f>
        <v>0,-1</v>
      </c>
      <c r="Q122" s="1" t="str">
        <f ca="1">_xlfn.TEXTJOIN(",",TRUE,RANDBETWEEN(-1,1),RANDBETWEEN(-1,1))</f>
        <v>-1,0</v>
      </c>
      <c r="R122" s="1" t="str">
        <f ca="1">_xlfn.TEXTJOIN(",",TRUE,RANDBETWEEN(-1,1),RANDBETWEEN(-1,1))</f>
        <v>1,0</v>
      </c>
      <c r="S122" s="1" t="str">
        <f ca="1">_xlfn.TEXTJOIN(",",TRUE,RANDBETWEEN(-1,1),RANDBETWEEN(-1,1))</f>
        <v>-1,0</v>
      </c>
      <c r="T122" s="1" t="str">
        <f ca="1">_xlfn.TEXTJOIN(",",TRUE,RANDBETWEEN(-1,1),RANDBETWEEN(-1,1))</f>
        <v>0,0</v>
      </c>
      <c r="U122" s="1" t="str">
        <f ca="1">_xlfn.TEXTJOIN(",",TRUE,RANDBETWEEN(-1,1),RANDBETWEEN(-1,1))</f>
        <v>0,-1</v>
      </c>
      <c r="V122" s="1" t="str">
        <f ca="1">_xlfn.TEXTJOIN(",",TRUE,RANDBETWEEN(-1,1),RANDBETWEEN(-1,1))</f>
        <v>-1,1</v>
      </c>
      <c r="W122" s="1" t="str">
        <f ca="1">_xlfn.TEXTJOIN(",",TRUE,RANDBETWEEN(-1,1),RANDBETWEEN(-1,1))</f>
        <v>0,0</v>
      </c>
      <c r="X122" s="1" t="str">
        <f ca="1">_xlfn.TEXTJOIN(",",TRUE,RANDBETWEEN(-1,1),RANDBETWEEN(-1,1))</f>
        <v>-1,-1</v>
      </c>
      <c r="Y122" s="1" t="str">
        <f ca="1">_xlfn.TEXTJOIN(",",TRUE,RANDBETWEEN(-1,1),RANDBETWEEN(-1,1))</f>
        <v>-1,-1</v>
      </c>
      <c r="Z122" s="1" t="str">
        <f ca="1">_xlfn.TEXTJOIN(",",TRUE,RANDBETWEEN(-1,1),RANDBETWEEN(-1,1))</f>
        <v>-1,1</v>
      </c>
      <c r="AA122" s="1" t="str">
        <f ca="1">_xlfn.TEXTJOIN(",",TRUE,RANDBETWEEN(-1,1),RANDBETWEEN(-1,1))</f>
        <v>-1,1</v>
      </c>
      <c r="AB122" s="1" t="str">
        <f ca="1">_xlfn.TEXTJOIN(",",TRUE,RANDBETWEEN(-1,1),RANDBETWEEN(-1,1))</f>
        <v>0,0</v>
      </c>
      <c r="AC122" s="1" t="str">
        <f ca="1">_xlfn.TEXTJOIN(",",TRUE,RANDBETWEEN(-1,1),RANDBETWEEN(-1,1))</f>
        <v>1,1</v>
      </c>
      <c r="AD122" s="1" t="str">
        <f ca="1">_xlfn.TEXTJOIN(",",TRUE,RANDBETWEEN(-1,1),RANDBETWEEN(-1,1))</f>
        <v>1,1</v>
      </c>
      <c r="AE122" s="1" t="str">
        <f ca="1">_xlfn.TEXTJOIN(",",TRUE,RANDBETWEEN(-1,1),RANDBETWEEN(-1,1))</f>
        <v>-1,-1</v>
      </c>
      <c r="AF122" s="1" t="str">
        <f ca="1">_xlfn.TEXTJOIN(",",TRUE,RANDBETWEEN(-1,1),RANDBETWEEN(-1,1))</f>
        <v>0,0</v>
      </c>
      <c r="AG122" s="1" t="str">
        <f ca="1">_xlfn.TEXTJOIN(",",TRUE,RANDBETWEEN(-1,1),RANDBETWEEN(-1,1))</f>
        <v>1,0</v>
      </c>
      <c r="AH122" s="1" t="str">
        <f ca="1">_xlfn.TEXTJOIN(",",TRUE,RANDBETWEEN(-1,1),RANDBETWEEN(-1,1))</f>
        <v>-1,0</v>
      </c>
      <c r="AI122" s="1" t="str">
        <f ca="1">_xlfn.TEXTJOIN(",",TRUE,RANDBETWEEN(-1,1),RANDBETWEEN(-1,1))</f>
        <v>1,-1</v>
      </c>
      <c r="AJ122" s="1" t="str">
        <f ca="1">_xlfn.TEXTJOIN(",",TRUE,RANDBETWEEN(-1,1),RANDBETWEEN(-1,1))</f>
        <v>-1,0</v>
      </c>
      <c r="AK122" s="1" t="str">
        <f ca="1">_xlfn.TEXTJOIN(",",TRUE,RANDBETWEEN(-1,1),RANDBETWEEN(-1,1))</f>
        <v>1,1</v>
      </c>
      <c r="AL122" s="1" t="str">
        <f ca="1">_xlfn.TEXTJOIN(",",TRUE,RANDBETWEEN(-1,1),RANDBETWEEN(-1,1))</f>
        <v>0,0</v>
      </c>
      <c r="AM122" s="1" t="str">
        <f ca="1">_xlfn.TEXTJOIN(",",TRUE,RANDBETWEEN(-1,1),RANDBETWEEN(-1,1))</f>
        <v>1,1</v>
      </c>
      <c r="AN122" s="1" t="str">
        <f ca="1">_xlfn.TEXTJOIN(",",TRUE,RANDBETWEEN(-1,1),RANDBETWEEN(-1,1))</f>
        <v>1,1</v>
      </c>
      <c r="AO122" s="1" t="str">
        <f ca="1">_xlfn.TEXTJOIN(",",TRUE,RANDBETWEEN(-1,1),RANDBETWEEN(-1,1))</f>
        <v>-1,-1</v>
      </c>
    </row>
    <row r="123" spans="1:41" ht="15.75" customHeight="1">
      <c r="A123" s="1">
        <v>7</v>
      </c>
      <c r="B123" s="1" t="str">
        <f ca="1">_xlfn.TEXTJOIN(",",TRUE,RANDBETWEEN(-1,1),RANDBETWEEN(-1,1))</f>
        <v>-1,1</v>
      </c>
      <c r="C123" s="1" t="str">
        <f ca="1">_xlfn.TEXTJOIN(",",TRUE,RANDBETWEEN(-1,1),RANDBETWEEN(-1,1))</f>
        <v>1,-1</v>
      </c>
      <c r="D123" s="1" t="str">
        <f ca="1">_xlfn.TEXTJOIN(",",TRUE,RANDBETWEEN(-1,1),RANDBETWEEN(-1,1))</f>
        <v>0,-1</v>
      </c>
      <c r="E123" s="1" t="str">
        <f ca="1">_xlfn.TEXTJOIN(",",TRUE,RANDBETWEEN(-1,1),RANDBETWEEN(-1,1))</f>
        <v>1,0</v>
      </c>
      <c r="F123" s="1" t="str">
        <f ca="1">_xlfn.TEXTJOIN(",",TRUE,RANDBETWEEN(-1,1),RANDBETWEEN(-1,1))</f>
        <v>-1,1</v>
      </c>
      <c r="G123" s="1" t="str">
        <f ca="1">_xlfn.TEXTJOIN(",",TRUE,RANDBETWEEN(-1,1),RANDBETWEEN(-1,1))</f>
        <v>-1,0</v>
      </c>
      <c r="H123" s="1" t="str">
        <f ca="1">_xlfn.TEXTJOIN(",",TRUE,RANDBETWEEN(-1,1),RANDBETWEEN(-1,1))</f>
        <v>-1,-1</v>
      </c>
      <c r="I123" s="1" t="str">
        <f ca="1">_xlfn.TEXTJOIN(",",TRUE,RANDBETWEEN(-1,1),RANDBETWEEN(-1,1))</f>
        <v>1,-1</v>
      </c>
      <c r="J123" s="1" t="str">
        <f ca="1">_xlfn.TEXTJOIN(",",TRUE,RANDBETWEEN(-1,1),RANDBETWEEN(-1,1))</f>
        <v>0,-1</v>
      </c>
      <c r="K123" s="1" t="str">
        <f ca="1">_xlfn.TEXTJOIN(",",TRUE,RANDBETWEEN(-1,1),RANDBETWEEN(-1,1))</f>
        <v>-1,-1</v>
      </c>
      <c r="L123" s="1" t="str">
        <f ca="1">_xlfn.TEXTJOIN(",",TRUE,RANDBETWEEN(-1,1),RANDBETWEEN(-1,1))</f>
        <v>-1,0</v>
      </c>
      <c r="M123" s="1" t="str">
        <f ca="1">_xlfn.TEXTJOIN(",",TRUE,RANDBETWEEN(-1,1),RANDBETWEEN(-1,1))</f>
        <v>1,-1</v>
      </c>
      <c r="N123" s="1" t="str">
        <f ca="1">_xlfn.TEXTJOIN(",",TRUE,RANDBETWEEN(-1,1),RANDBETWEEN(-1,1))</f>
        <v>1,-1</v>
      </c>
      <c r="O123" s="1" t="str">
        <f ca="1">_xlfn.TEXTJOIN(",",TRUE,RANDBETWEEN(-1,1),RANDBETWEEN(-1,1))</f>
        <v>1,-1</v>
      </c>
      <c r="P123" s="1" t="str">
        <f ca="1">_xlfn.TEXTJOIN(",",TRUE,RANDBETWEEN(-1,1),RANDBETWEEN(-1,1))</f>
        <v>-1,-1</v>
      </c>
      <c r="Q123" s="1" t="str">
        <f ca="1">_xlfn.TEXTJOIN(",",TRUE,RANDBETWEEN(-1,1),RANDBETWEEN(-1,1))</f>
        <v>1,-1</v>
      </c>
      <c r="R123" s="1" t="str">
        <f ca="1">_xlfn.TEXTJOIN(",",TRUE,RANDBETWEEN(-1,1),RANDBETWEEN(-1,1))</f>
        <v>0,-1</v>
      </c>
      <c r="S123" s="1" t="str">
        <f ca="1">_xlfn.TEXTJOIN(",",TRUE,RANDBETWEEN(-1,1),RANDBETWEEN(-1,1))</f>
        <v>0,-1</v>
      </c>
      <c r="T123" s="1" t="str">
        <f ca="1">_xlfn.TEXTJOIN(",",TRUE,RANDBETWEEN(-1,1),RANDBETWEEN(-1,1))</f>
        <v>1,-1</v>
      </c>
      <c r="U123" s="1" t="str">
        <f ca="1">_xlfn.TEXTJOIN(",",TRUE,RANDBETWEEN(-1,1),RANDBETWEEN(-1,1))</f>
        <v>0,-1</v>
      </c>
      <c r="V123" s="1" t="str">
        <f ca="1">_xlfn.TEXTJOIN(",",TRUE,RANDBETWEEN(-1,1),RANDBETWEEN(-1,1))</f>
        <v>0,1</v>
      </c>
      <c r="W123" s="1" t="str">
        <f ca="1">_xlfn.TEXTJOIN(",",TRUE,RANDBETWEEN(-1,1),RANDBETWEEN(-1,1))</f>
        <v>0,-1</v>
      </c>
      <c r="X123" s="1" t="str">
        <f ca="1">_xlfn.TEXTJOIN(",",TRUE,RANDBETWEEN(-1,1),RANDBETWEEN(-1,1))</f>
        <v>1,1</v>
      </c>
      <c r="Y123" s="1" t="str">
        <f ca="1">_xlfn.TEXTJOIN(",",TRUE,RANDBETWEEN(-1,1),RANDBETWEEN(-1,1))</f>
        <v>1,1</v>
      </c>
      <c r="Z123" s="1" t="str">
        <f ca="1">_xlfn.TEXTJOIN(",",TRUE,RANDBETWEEN(-1,1),RANDBETWEEN(-1,1))</f>
        <v>1,0</v>
      </c>
      <c r="AA123" s="1" t="str">
        <f ca="1">_xlfn.TEXTJOIN(",",TRUE,RANDBETWEEN(-1,1),RANDBETWEEN(-1,1))</f>
        <v>0,0</v>
      </c>
      <c r="AB123" s="1" t="str">
        <f ca="1">_xlfn.TEXTJOIN(",",TRUE,RANDBETWEEN(-1,1),RANDBETWEEN(-1,1))</f>
        <v>-1,1</v>
      </c>
      <c r="AC123" s="1" t="str">
        <f ca="1">_xlfn.TEXTJOIN(",",TRUE,RANDBETWEEN(-1,1),RANDBETWEEN(-1,1))</f>
        <v>-1,0</v>
      </c>
      <c r="AD123" s="1" t="str">
        <f ca="1">_xlfn.TEXTJOIN(",",TRUE,RANDBETWEEN(-1,1),RANDBETWEEN(-1,1))</f>
        <v>0,-1</v>
      </c>
      <c r="AE123" s="1" t="str">
        <f ca="1">_xlfn.TEXTJOIN(",",TRUE,RANDBETWEEN(-1,1),RANDBETWEEN(-1,1))</f>
        <v>0,1</v>
      </c>
      <c r="AF123" s="1" t="str">
        <f ca="1">_xlfn.TEXTJOIN(",",TRUE,RANDBETWEEN(-1,1),RANDBETWEEN(-1,1))</f>
        <v>1,1</v>
      </c>
      <c r="AG123" s="1" t="str">
        <f ca="1">_xlfn.TEXTJOIN(",",TRUE,RANDBETWEEN(-1,1),RANDBETWEEN(-1,1))</f>
        <v>1,0</v>
      </c>
      <c r="AH123" s="1" t="str">
        <f ca="1">_xlfn.TEXTJOIN(",",TRUE,RANDBETWEEN(-1,1),RANDBETWEEN(-1,1))</f>
        <v>1,0</v>
      </c>
      <c r="AI123" s="1" t="str">
        <f ca="1">_xlfn.TEXTJOIN(",",TRUE,RANDBETWEEN(-1,1),RANDBETWEEN(-1,1))</f>
        <v>0,-1</v>
      </c>
      <c r="AJ123" s="1" t="str">
        <f ca="1">_xlfn.TEXTJOIN(",",TRUE,RANDBETWEEN(-1,1),RANDBETWEEN(-1,1))</f>
        <v>-1,1</v>
      </c>
      <c r="AK123" s="1" t="str">
        <f ca="1">_xlfn.TEXTJOIN(",",TRUE,RANDBETWEEN(-1,1),RANDBETWEEN(-1,1))</f>
        <v>0,1</v>
      </c>
      <c r="AL123" s="1" t="str">
        <f ca="1">_xlfn.TEXTJOIN(",",TRUE,RANDBETWEEN(-1,1),RANDBETWEEN(-1,1))</f>
        <v>-1,0</v>
      </c>
      <c r="AM123" s="1" t="str">
        <f ca="1">_xlfn.TEXTJOIN(",",TRUE,RANDBETWEEN(-1,1),RANDBETWEEN(-1,1))</f>
        <v>-1,-1</v>
      </c>
      <c r="AN123" s="1" t="str">
        <f ca="1">_xlfn.TEXTJOIN(",",TRUE,RANDBETWEEN(-1,1),RANDBETWEEN(-1,1))</f>
        <v>1,1</v>
      </c>
      <c r="AO123" s="1" t="str">
        <f ca="1">_xlfn.TEXTJOIN(",",TRUE,RANDBETWEEN(-1,1),RANDBETWEEN(-1,1))</f>
        <v>1,-1</v>
      </c>
    </row>
    <row r="124" spans="1:41" ht="15.75" customHeight="1">
      <c r="A124" s="1">
        <v>8</v>
      </c>
      <c r="B124" s="1" t="str">
        <f ca="1">_xlfn.TEXTJOIN(",",TRUE,RANDBETWEEN(-1,1),RANDBETWEEN(-1,1))</f>
        <v>0,-1</v>
      </c>
      <c r="C124" s="1" t="str">
        <f ca="1">_xlfn.TEXTJOIN(",",TRUE,RANDBETWEEN(-1,1),RANDBETWEEN(-1,1))</f>
        <v>-1,0</v>
      </c>
      <c r="D124" s="1" t="str">
        <f ca="1">_xlfn.TEXTJOIN(",",TRUE,RANDBETWEEN(-1,1),RANDBETWEEN(-1,1))</f>
        <v>1,-1</v>
      </c>
      <c r="E124" s="1" t="str">
        <f ca="1">_xlfn.TEXTJOIN(",",TRUE,RANDBETWEEN(-1,1),RANDBETWEEN(-1,1))</f>
        <v>0,-1</v>
      </c>
      <c r="F124" s="1" t="str">
        <f ca="1">_xlfn.TEXTJOIN(",",TRUE,RANDBETWEEN(-1,1),RANDBETWEEN(-1,1))</f>
        <v>0,-1</v>
      </c>
      <c r="G124" s="1" t="str">
        <f ca="1">_xlfn.TEXTJOIN(",",TRUE,RANDBETWEEN(-1,1),RANDBETWEEN(-1,1))</f>
        <v>1,1</v>
      </c>
      <c r="H124" s="1" t="str">
        <f ca="1">_xlfn.TEXTJOIN(",",TRUE,RANDBETWEEN(-1,1),RANDBETWEEN(-1,1))</f>
        <v>0,1</v>
      </c>
      <c r="I124" s="1" t="str">
        <f ca="1">_xlfn.TEXTJOIN(",",TRUE,RANDBETWEEN(-1,1),RANDBETWEEN(-1,1))</f>
        <v>0,0</v>
      </c>
      <c r="J124" s="1" t="str">
        <f ca="1">_xlfn.TEXTJOIN(",",TRUE,RANDBETWEEN(-1,1),RANDBETWEEN(-1,1))</f>
        <v>1,1</v>
      </c>
      <c r="K124" s="1" t="str">
        <f ca="1">_xlfn.TEXTJOIN(",",TRUE,RANDBETWEEN(-1,1),RANDBETWEEN(-1,1))</f>
        <v>1,1</v>
      </c>
      <c r="L124" s="1" t="str">
        <f ca="1">_xlfn.TEXTJOIN(",",TRUE,RANDBETWEEN(-1,1),RANDBETWEEN(-1,1))</f>
        <v>1,0</v>
      </c>
      <c r="M124" s="1" t="str">
        <f ca="1">_xlfn.TEXTJOIN(",",TRUE,RANDBETWEEN(-1,1),RANDBETWEEN(-1,1))</f>
        <v>1,0</v>
      </c>
      <c r="N124" s="1" t="str">
        <f ca="1">_xlfn.TEXTJOIN(",",TRUE,RANDBETWEEN(-1,1),RANDBETWEEN(-1,1))</f>
        <v>0,-1</v>
      </c>
      <c r="O124" s="1" t="str">
        <f ca="1">_xlfn.TEXTJOIN(",",TRUE,RANDBETWEEN(-1,1),RANDBETWEEN(-1,1))</f>
        <v>-1,1</v>
      </c>
      <c r="P124" s="1" t="str">
        <f ca="1">_xlfn.TEXTJOIN(",",TRUE,RANDBETWEEN(-1,1),RANDBETWEEN(-1,1))</f>
        <v>0,-1</v>
      </c>
      <c r="Q124" s="1" t="str">
        <f ca="1">_xlfn.TEXTJOIN(",",TRUE,RANDBETWEEN(-1,1),RANDBETWEEN(-1,1))</f>
        <v>0,1</v>
      </c>
      <c r="R124" s="1" t="str">
        <f ca="1">_xlfn.TEXTJOIN(",",TRUE,RANDBETWEEN(-1,1),RANDBETWEEN(-1,1))</f>
        <v>-1,0</v>
      </c>
      <c r="S124" s="1" t="str">
        <f ca="1">_xlfn.TEXTJOIN(",",TRUE,RANDBETWEEN(-1,1),RANDBETWEEN(-1,1))</f>
        <v>1,0</v>
      </c>
      <c r="T124" s="1" t="str">
        <f ca="1">_xlfn.TEXTJOIN(",",TRUE,RANDBETWEEN(-1,1),RANDBETWEEN(-1,1))</f>
        <v>0,-1</v>
      </c>
      <c r="U124" s="1" t="str">
        <f ca="1">_xlfn.TEXTJOIN(",",TRUE,RANDBETWEEN(-1,1),RANDBETWEEN(-1,1))</f>
        <v>-1,0</v>
      </c>
      <c r="V124" s="1" t="str">
        <f ca="1">_xlfn.TEXTJOIN(",",TRUE,RANDBETWEEN(-1,1),RANDBETWEEN(-1,1))</f>
        <v>-1,1</v>
      </c>
      <c r="W124" s="1" t="str">
        <f ca="1">_xlfn.TEXTJOIN(",",TRUE,RANDBETWEEN(-1,1),RANDBETWEEN(-1,1))</f>
        <v>-1,1</v>
      </c>
      <c r="X124" s="1" t="str">
        <f ca="1">_xlfn.TEXTJOIN(",",TRUE,RANDBETWEEN(-1,1),RANDBETWEEN(-1,1))</f>
        <v>0,-1</v>
      </c>
      <c r="Y124" s="1" t="str">
        <f ca="1">_xlfn.TEXTJOIN(",",TRUE,RANDBETWEEN(-1,1),RANDBETWEEN(-1,1))</f>
        <v>-1,1</v>
      </c>
      <c r="Z124" s="1" t="str">
        <f ca="1">_xlfn.TEXTJOIN(",",TRUE,RANDBETWEEN(-1,1),RANDBETWEEN(-1,1))</f>
        <v>-1,0</v>
      </c>
      <c r="AA124" s="1" t="str">
        <f ca="1">_xlfn.TEXTJOIN(",",TRUE,RANDBETWEEN(-1,1),RANDBETWEEN(-1,1))</f>
        <v>-1,0</v>
      </c>
      <c r="AB124" s="1" t="str">
        <f ca="1">_xlfn.TEXTJOIN(",",TRUE,RANDBETWEEN(-1,1),RANDBETWEEN(-1,1))</f>
        <v>1,-1</v>
      </c>
      <c r="AC124" s="1" t="str">
        <f ca="1">_xlfn.TEXTJOIN(",",TRUE,RANDBETWEEN(-1,1),RANDBETWEEN(-1,1))</f>
        <v>-1,-1</v>
      </c>
      <c r="AD124" s="1" t="str">
        <f ca="1">_xlfn.TEXTJOIN(",",TRUE,RANDBETWEEN(-1,1),RANDBETWEEN(-1,1))</f>
        <v>-1,1</v>
      </c>
      <c r="AE124" s="1" t="str">
        <f ca="1">_xlfn.TEXTJOIN(",",TRUE,RANDBETWEEN(-1,1),RANDBETWEEN(-1,1))</f>
        <v>1,1</v>
      </c>
      <c r="AF124" s="1" t="str">
        <f ca="1">_xlfn.TEXTJOIN(",",TRUE,RANDBETWEEN(-1,1),RANDBETWEEN(-1,1))</f>
        <v>1,-1</v>
      </c>
      <c r="AG124" s="1" t="str">
        <f ca="1">_xlfn.TEXTJOIN(",",TRUE,RANDBETWEEN(-1,1),RANDBETWEEN(-1,1))</f>
        <v>-1,1</v>
      </c>
      <c r="AH124" s="1" t="str">
        <f ca="1">_xlfn.TEXTJOIN(",",TRUE,RANDBETWEEN(-1,1),RANDBETWEEN(-1,1))</f>
        <v>-1,0</v>
      </c>
      <c r="AI124" s="1" t="str">
        <f ca="1">_xlfn.TEXTJOIN(",",TRUE,RANDBETWEEN(-1,1),RANDBETWEEN(-1,1))</f>
        <v>0,-1</v>
      </c>
      <c r="AJ124" s="1" t="str">
        <f ca="1">_xlfn.TEXTJOIN(",",TRUE,RANDBETWEEN(-1,1),RANDBETWEEN(-1,1))</f>
        <v>0,0</v>
      </c>
      <c r="AK124" s="1" t="str">
        <f ca="1">_xlfn.TEXTJOIN(",",TRUE,RANDBETWEEN(-1,1),RANDBETWEEN(-1,1))</f>
        <v>1,0</v>
      </c>
      <c r="AL124" s="1" t="str">
        <f ca="1">_xlfn.TEXTJOIN(",",TRUE,RANDBETWEEN(-1,1),RANDBETWEEN(-1,1))</f>
        <v>-1,-1</v>
      </c>
      <c r="AM124" s="1" t="str">
        <f ca="1">_xlfn.TEXTJOIN(",",TRUE,RANDBETWEEN(-1,1),RANDBETWEEN(-1,1))</f>
        <v>0,0</v>
      </c>
      <c r="AN124" s="1" t="str">
        <f ca="1">_xlfn.TEXTJOIN(",",TRUE,RANDBETWEEN(-1,1),RANDBETWEEN(-1,1))</f>
        <v>-1,-1</v>
      </c>
      <c r="AO124" s="1" t="str">
        <f ca="1">_xlfn.TEXTJOIN(",",TRUE,RANDBETWEEN(-1,1),RANDBETWEEN(-1,1))</f>
        <v>0,0</v>
      </c>
    </row>
    <row r="125" spans="1:41" ht="15.75" customHeight="1">
      <c r="A125" s="1">
        <v>9</v>
      </c>
      <c r="B125" s="1" t="str">
        <f ca="1">_xlfn.TEXTJOIN(",",TRUE,RANDBETWEEN(-1,1),RANDBETWEEN(-1,1))</f>
        <v>0,0</v>
      </c>
      <c r="C125" s="1" t="str">
        <f ca="1">_xlfn.TEXTJOIN(",",TRUE,RANDBETWEEN(-1,1),RANDBETWEEN(-1,1))</f>
        <v>1,1</v>
      </c>
      <c r="D125" s="1" t="str">
        <f ca="1">_xlfn.TEXTJOIN(",",TRUE,RANDBETWEEN(-1,1),RANDBETWEEN(-1,1))</f>
        <v>-1,1</v>
      </c>
      <c r="E125" s="1" t="str">
        <f ca="1">_xlfn.TEXTJOIN(",",TRUE,RANDBETWEEN(-1,1),RANDBETWEEN(-1,1))</f>
        <v>0,1</v>
      </c>
      <c r="F125" s="1" t="str">
        <f ca="1">_xlfn.TEXTJOIN(",",TRUE,RANDBETWEEN(-1,1),RANDBETWEEN(-1,1))</f>
        <v>0,-1</v>
      </c>
      <c r="G125" s="1" t="str">
        <f ca="1">_xlfn.TEXTJOIN(",",TRUE,RANDBETWEEN(-1,1),RANDBETWEEN(-1,1))</f>
        <v>1,0</v>
      </c>
      <c r="H125" s="1" t="str">
        <f ca="1">_xlfn.TEXTJOIN(",",TRUE,RANDBETWEEN(-1,1),RANDBETWEEN(-1,1))</f>
        <v>-1,0</v>
      </c>
      <c r="I125" s="1" t="str">
        <f ca="1">_xlfn.TEXTJOIN(",",TRUE,RANDBETWEEN(-1,1),RANDBETWEEN(-1,1))</f>
        <v>0,0</v>
      </c>
      <c r="J125" s="1" t="str">
        <f ca="1">_xlfn.TEXTJOIN(",",TRUE,RANDBETWEEN(-1,1),RANDBETWEEN(-1,1))</f>
        <v>0,-1</v>
      </c>
      <c r="K125" s="1" t="str">
        <f ca="1">_xlfn.TEXTJOIN(",",TRUE,RANDBETWEEN(-1,1),RANDBETWEEN(-1,1))</f>
        <v>-1,0</v>
      </c>
      <c r="L125" s="1" t="str">
        <f ca="1">_xlfn.TEXTJOIN(",",TRUE,RANDBETWEEN(-1,1),RANDBETWEEN(-1,1))</f>
        <v>-1,0</v>
      </c>
      <c r="M125" s="1" t="str">
        <f ca="1">_xlfn.TEXTJOIN(",",TRUE,RANDBETWEEN(-1,1),RANDBETWEEN(-1,1))</f>
        <v>1,-1</v>
      </c>
      <c r="N125" s="1" t="str">
        <f ca="1">_xlfn.TEXTJOIN(",",TRUE,RANDBETWEEN(-1,1),RANDBETWEEN(-1,1))</f>
        <v>0,-1</v>
      </c>
      <c r="O125" s="1" t="str">
        <f ca="1">_xlfn.TEXTJOIN(",",TRUE,RANDBETWEEN(-1,1),RANDBETWEEN(-1,1))</f>
        <v>0,0</v>
      </c>
      <c r="P125" s="1" t="str">
        <f ca="1">_xlfn.TEXTJOIN(",",TRUE,RANDBETWEEN(-1,1),RANDBETWEEN(-1,1))</f>
        <v>0,0</v>
      </c>
      <c r="Q125" s="1" t="str">
        <f ca="1">_xlfn.TEXTJOIN(",",TRUE,RANDBETWEEN(-1,1),RANDBETWEEN(-1,1))</f>
        <v>1,1</v>
      </c>
      <c r="R125" s="1" t="str">
        <f ca="1">_xlfn.TEXTJOIN(",",TRUE,RANDBETWEEN(-1,1),RANDBETWEEN(-1,1))</f>
        <v>-1,0</v>
      </c>
      <c r="S125" s="1" t="str">
        <f ca="1">_xlfn.TEXTJOIN(",",TRUE,RANDBETWEEN(-1,1),RANDBETWEEN(-1,1))</f>
        <v>-1,1</v>
      </c>
      <c r="T125" s="1" t="str">
        <f ca="1">_xlfn.TEXTJOIN(",",TRUE,RANDBETWEEN(-1,1),RANDBETWEEN(-1,1))</f>
        <v>1,0</v>
      </c>
      <c r="U125" s="1" t="str">
        <f ca="1">_xlfn.TEXTJOIN(",",TRUE,RANDBETWEEN(-1,1),RANDBETWEEN(-1,1))</f>
        <v>1,1</v>
      </c>
      <c r="V125" s="1" t="str">
        <f ca="1">_xlfn.TEXTJOIN(",",TRUE,RANDBETWEEN(-1,1),RANDBETWEEN(-1,1))</f>
        <v>-1,1</v>
      </c>
      <c r="W125" s="1" t="str">
        <f ca="1">_xlfn.TEXTJOIN(",",TRUE,RANDBETWEEN(-1,1),RANDBETWEEN(-1,1))</f>
        <v>-1,-1</v>
      </c>
      <c r="X125" s="1" t="str">
        <f ca="1">_xlfn.TEXTJOIN(",",TRUE,RANDBETWEEN(-1,1),RANDBETWEEN(-1,1))</f>
        <v>0,-1</v>
      </c>
      <c r="Y125" s="1" t="str">
        <f ca="1">_xlfn.TEXTJOIN(",",TRUE,RANDBETWEEN(-1,1),RANDBETWEEN(-1,1))</f>
        <v>0,-1</v>
      </c>
      <c r="Z125" s="1" t="str">
        <f ca="1">_xlfn.TEXTJOIN(",",TRUE,RANDBETWEEN(-1,1),RANDBETWEEN(-1,1))</f>
        <v>1,0</v>
      </c>
      <c r="AA125" s="1" t="str">
        <f ca="1">_xlfn.TEXTJOIN(",",TRUE,RANDBETWEEN(-1,1),RANDBETWEEN(-1,1))</f>
        <v>-1,0</v>
      </c>
      <c r="AB125" s="1" t="str">
        <f ca="1">_xlfn.TEXTJOIN(",",TRUE,RANDBETWEEN(-1,1),RANDBETWEEN(-1,1))</f>
        <v>-1,0</v>
      </c>
      <c r="AC125" s="1" t="str">
        <f ca="1">_xlfn.TEXTJOIN(",",TRUE,RANDBETWEEN(-1,1),RANDBETWEEN(-1,1))</f>
        <v>-1,0</v>
      </c>
      <c r="AD125" s="1" t="str">
        <f ca="1">_xlfn.TEXTJOIN(",",TRUE,RANDBETWEEN(-1,1),RANDBETWEEN(-1,1))</f>
        <v>1,-1</v>
      </c>
      <c r="AE125" s="1" t="str">
        <f ca="1">_xlfn.TEXTJOIN(",",TRUE,RANDBETWEEN(-1,1),RANDBETWEEN(-1,1))</f>
        <v>-1,1</v>
      </c>
      <c r="AF125" s="1" t="str">
        <f ca="1">_xlfn.TEXTJOIN(",",TRUE,RANDBETWEEN(-1,1),RANDBETWEEN(-1,1))</f>
        <v>1,-1</v>
      </c>
      <c r="AG125" s="1" t="str">
        <f ca="1">_xlfn.TEXTJOIN(",",TRUE,RANDBETWEEN(-1,1),RANDBETWEEN(-1,1))</f>
        <v>-1,-1</v>
      </c>
      <c r="AH125" s="1" t="str">
        <f ca="1">_xlfn.TEXTJOIN(",",TRUE,RANDBETWEEN(-1,1),RANDBETWEEN(-1,1))</f>
        <v>1,0</v>
      </c>
      <c r="AI125" s="1" t="str">
        <f ca="1">_xlfn.TEXTJOIN(",",TRUE,RANDBETWEEN(-1,1),RANDBETWEEN(-1,1))</f>
        <v>1,1</v>
      </c>
      <c r="AJ125" s="1" t="str">
        <f ca="1">_xlfn.TEXTJOIN(",",TRUE,RANDBETWEEN(-1,1),RANDBETWEEN(-1,1))</f>
        <v>0,0</v>
      </c>
      <c r="AK125" s="1" t="str">
        <f ca="1">_xlfn.TEXTJOIN(",",TRUE,RANDBETWEEN(-1,1),RANDBETWEEN(-1,1))</f>
        <v>-1,-1</v>
      </c>
      <c r="AL125" s="1" t="str">
        <f ca="1">_xlfn.TEXTJOIN(",",TRUE,RANDBETWEEN(-1,1),RANDBETWEEN(-1,1))</f>
        <v>-1,1</v>
      </c>
      <c r="AM125" s="1" t="str">
        <f ca="1">_xlfn.TEXTJOIN(",",TRUE,RANDBETWEEN(-1,1),RANDBETWEEN(-1,1))</f>
        <v>-1,0</v>
      </c>
      <c r="AN125" s="1" t="str">
        <f ca="1">_xlfn.TEXTJOIN(",",TRUE,RANDBETWEEN(-1,1),RANDBETWEEN(-1,1))</f>
        <v>0,1</v>
      </c>
      <c r="AO125" s="1" t="str">
        <f ca="1">_xlfn.TEXTJOIN(",",TRUE,RANDBETWEEN(-1,1),RANDBETWEEN(-1,1))</f>
        <v>-1,0</v>
      </c>
    </row>
    <row r="126" spans="1:41" ht="15.75" customHeight="1">
      <c r="A126" s="1">
        <v>10</v>
      </c>
      <c r="B126" s="1" t="str">
        <f ca="1">_xlfn.TEXTJOIN(",",TRUE,RANDBETWEEN(-1,1),RANDBETWEEN(-1,1))</f>
        <v>-1,-1</v>
      </c>
      <c r="C126" s="1" t="str">
        <f ca="1">_xlfn.TEXTJOIN(",",TRUE,RANDBETWEEN(-1,1),RANDBETWEEN(-1,1))</f>
        <v>-1,0</v>
      </c>
      <c r="D126" s="1" t="str">
        <f ca="1">_xlfn.TEXTJOIN(",",TRUE,RANDBETWEEN(-1,1),RANDBETWEEN(-1,1))</f>
        <v>0,0</v>
      </c>
      <c r="E126" s="1" t="str">
        <f ca="1">_xlfn.TEXTJOIN(",",TRUE,RANDBETWEEN(-1,1),RANDBETWEEN(-1,1))</f>
        <v>0,-1</v>
      </c>
      <c r="F126" s="1" t="str">
        <f ca="1">_xlfn.TEXTJOIN(",",TRUE,RANDBETWEEN(-1,1),RANDBETWEEN(-1,1))</f>
        <v>0,-1</v>
      </c>
      <c r="G126" s="1" t="str">
        <f ca="1">_xlfn.TEXTJOIN(",",TRUE,RANDBETWEEN(-1,1),RANDBETWEEN(-1,1))</f>
        <v>0,-1</v>
      </c>
      <c r="H126" s="1" t="str">
        <f ca="1">_xlfn.TEXTJOIN(",",TRUE,RANDBETWEEN(-1,1),RANDBETWEEN(-1,1))</f>
        <v>0,-1</v>
      </c>
      <c r="I126" s="1" t="str">
        <f ca="1">_xlfn.TEXTJOIN(",",TRUE,RANDBETWEEN(-1,1),RANDBETWEEN(-1,1))</f>
        <v>1,0</v>
      </c>
      <c r="J126" s="1" t="str">
        <f ca="1">_xlfn.TEXTJOIN(",",TRUE,RANDBETWEEN(-1,1),RANDBETWEEN(-1,1))</f>
        <v>0,1</v>
      </c>
      <c r="K126" s="1" t="str">
        <f ca="1">_xlfn.TEXTJOIN(",",TRUE,RANDBETWEEN(-1,1),RANDBETWEEN(-1,1))</f>
        <v>0,0</v>
      </c>
      <c r="L126" s="1" t="str">
        <f ca="1">_xlfn.TEXTJOIN(",",TRUE,RANDBETWEEN(-1,1),RANDBETWEEN(-1,1))</f>
        <v>1,-1</v>
      </c>
      <c r="M126" s="1" t="str">
        <f ca="1">_xlfn.TEXTJOIN(",",TRUE,RANDBETWEEN(-1,1),RANDBETWEEN(-1,1))</f>
        <v>1,-1</v>
      </c>
      <c r="N126" s="1" t="str">
        <f ca="1">_xlfn.TEXTJOIN(",",TRUE,RANDBETWEEN(-1,1),RANDBETWEEN(-1,1))</f>
        <v>0,1</v>
      </c>
      <c r="O126" s="1" t="str">
        <f ca="1">_xlfn.TEXTJOIN(",",TRUE,RANDBETWEEN(-1,1),RANDBETWEEN(-1,1))</f>
        <v>1,0</v>
      </c>
      <c r="P126" s="1" t="str">
        <f ca="1">_xlfn.TEXTJOIN(",",TRUE,RANDBETWEEN(-1,1),RANDBETWEEN(-1,1))</f>
        <v>1,0</v>
      </c>
      <c r="Q126" s="1" t="str">
        <f ca="1">_xlfn.TEXTJOIN(",",TRUE,RANDBETWEEN(-1,1),RANDBETWEEN(-1,1))</f>
        <v>0,0</v>
      </c>
      <c r="R126" s="1" t="str">
        <f ca="1">_xlfn.TEXTJOIN(",",TRUE,RANDBETWEEN(-1,1),RANDBETWEEN(-1,1))</f>
        <v>-1,1</v>
      </c>
      <c r="S126" s="1" t="str">
        <f ca="1">_xlfn.TEXTJOIN(",",TRUE,RANDBETWEEN(-1,1),RANDBETWEEN(-1,1))</f>
        <v>-1,-1</v>
      </c>
      <c r="T126" s="1" t="str">
        <f ca="1">_xlfn.TEXTJOIN(",",TRUE,RANDBETWEEN(-1,1),RANDBETWEEN(-1,1))</f>
        <v>1,0</v>
      </c>
      <c r="U126" s="1" t="str">
        <f ca="1">_xlfn.TEXTJOIN(",",TRUE,RANDBETWEEN(-1,1),RANDBETWEEN(-1,1))</f>
        <v>0,-1</v>
      </c>
      <c r="V126" s="1" t="str">
        <f ca="1">_xlfn.TEXTJOIN(",",TRUE,RANDBETWEEN(-1,1),RANDBETWEEN(-1,1))</f>
        <v>0,-1</v>
      </c>
      <c r="W126" s="1" t="str">
        <f ca="1">_xlfn.TEXTJOIN(",",TRUE,RANDBETWEEN(-1,1),RANDBETWEEN(-1,1))</f>
        <v>0,0</v>
      </c>
      <c r="X126" s="1" t="str">
        <f ca="1">_xlfn.TEXTJOIN(",",TRUE,RANDBETWEEN(-1,1),RANDBETWEEN(-1,1))</f>
        <v>1,-1</v>
      </c>
      <c r="Y126" s="1" t="str">
        <f ca="1">_xlfn.TEXTJOIN(",",TRUE,RANDBETWEEN(-1,1),RANDBETWEEN(-1,1))</f>
        <v>-1,-1</v>
      </c>
      <c r="Z126" s="1" t="str">
        <f ca="1">_xlfn.TEXTJOIN(",",TRUE,RANDBETWEEN(-1,1),RANDBETWEEN(-1,1))</f>
        <v>1,1</v>
      </c>
      <c r="AA126" s="1" t="str">
        <f ca="1">_xlfn.TEXTJOIN(",",TRUE,RANDBETWEEN(-1,1),RANDBETWEEN(-1,1))</f>
        <v>1,1</v>
      </c>
      <c r="AB126" s="1" t="str">
        <f ca="1">_xlfn.TEXTJOIN(",",TRUE,RANDBETWEEN(-1,1),RANDBETWEEN(-1,1))</f>
        <v>0,0</v>
      </c>
      <c r="AC126" s="1" t="str">
        <f ca="1">_xlfn.TEXTJOIN(",",TRUE,RANDBETWEEN(-1,1),RANDBETWEEN(-1,1))</f>
        <v>1,1</v>
      </c>
      <c r="AD126" s="1" t="str">
        <f ca="1">_xlfn.TEXTJOIN(",",TRUE,RANDBETWEEN(-1,1),RANDBETWEEN(-1,1))</f>
        <v>1,-1</v>
      </c>
      <c r="AE126" s="1" t="str">
        <f ca="1">_xlfn.TEXTJOIN(",",TRUE,RANDBETWEEN(-1,1),RANDBETWEEN(-1,1))</f>
        <v>1,0</v>
      </c>
      <c r="AF126" s="1" t="str">
        <f ca="1">_xlfn.TEXTJOIN(",",TRUE,RANDBETWEEN(-1,1),RANDBETWEEN(-1,1))</f>
        <v>1,-1</v>
      </c>
      <c r="AG126" s="1" t="str">
        <f ca="1">_xlfn.TEXTJOIN(",",TRUE,RANDBETWEEN(-1,1),RANDBETWEEN(-1,1))</f>
        <v>1,-1</v>
      </c>
      <c r="AH126" s="1" t="str">
        <f ca="1">_xlfn.TEXTJOIN(",",TRUE,RANDBETWEEN(-1,1),RANDBETWEEN(-1,1))</f>
        <v>0,-1</v>
      </c>
      <c r="AI126" s="1" t="str">
        <f ca="1">_xlfn.TEXTJOIN(",",TRUE,RANDBETWEEN(-1,1),RANDBETWEEN(-1,1))</f>
        <v>-1,1</v>
      </c>
      <c r="AJ126" s="1" t="str">
        <f ca="1">_xlfn.TEXTJOIN(",",TRUE,RANDBETWEEN(-1,1),RANDBETWEEN(-1,1))</f>
        <v>0,0</v>
      </c>
      <c r="AK126" s="1" t="str">
        <f ca="1">_xlfn.TEXTJOIN(",",TRUE,RANDBETWEEN(-1,1),RANDBETWEEN(-1,1))</f>
        <v>1,0</v>
      </c>
      <c r="AL126" s="1" t="str">
        <f ca="1">_xlfn.TEXTJOIN(",",TRUE,RANDBETWEEN(-1,1),RANDBETWEEN(-1,1))</f>
        <v>1,1</v>
      </c>
      <c r="AM126" s="1" t="str">
        <f ca="1">_xlfn.TEXTJOIN(",",TRUE,RANDBETWEEN(-1,1),RANDBETWEEN(-1,1))</f>
        <v>1,-1</v>
      </c>
      <c r="AN126" s="1" t="str">
        <f ca="1">_xlfn.TEXTJOIN(",",TRUE,RANDBETWEEN(-1,1),RANDBETWEEN(-1,1))</f>
        <v>1,-1</v>
      </c>
      <c r="AO126" s="1" t="str">
        <f ca="1">_xlfn.TEXTJOIN(",",TRUE,RANDBETWEEN(-1,1),RANDBETWEEN(-1,1))</f>
        <v>-1,1</v>
      </c>
    </row>
    <row r="127" spans="1:41" ht="15.75" customHeight="1">
      <c r="A127" s="1">
        <v>11</v>
      </c>
      <c r="B127" s="1" t="str">
        <f ca="1">_xlfn.TEXTJOIN(",",TRUE,RANDBETWEEN(-1,1),RANDBETWEEN(-1,1))</f>
        <v>-1,-1</v>
      </c>
      <c r="C127" s="1" t="str">
        <f ca="1">_xlfn.TEXTJOIN(",",TRUE,RANDBETWEEN(-1,1),RANDBETWEEN(-1,1))</f>
        <v>-1,1</v>
      </c>
      <c r="D127" s="1" t="str">
        <f ca="1">_xlfn.TEXTJOIN(",",TRUE,RANDBETWEEN(-1,1),RANDBETWEEN(-1,1))</f>
        <v>1,-1</v>
      </c>
      <c r="E127" s="1" t="str">
        <f ca="1">_xlfn.TEXTJOIN(",",TRUE,RANDBETWEEN(-1,1),RANDBETWEEN(-1,1))</f>
        <v>1,1</v>
      </c>
      <c r="F127" s="1" t="str">
        <f ca="1">_xlfn.TEXTJOIN(",",TRUE,RANDBETWEEN(-1,1),RANDBETWEEN(-1,1))</f>
        <v>-1,0</v>
      </c>
      <c r="G127" s="1" t="str">
        <f ca="1">_xlfn.TEXTJOIN(",",TRUE,RANDBETWEEN(-1,1),RANDBETWEEN(-1,1))</f>
        <v>1,-1</v>
      </c>
      <c r="H127" s="1" t="str">
        <f ca="1">_xlfn.TEXTJOIN(",",TRUE,RANDBETWEEN(-1,1),RANDBETWEEN(-1,1))</f>
        <v>0,1</v>
      </c>
      <c r="I127" s="1" t="str">
        <f ca="1">_xlfn.TEXTJOIN(",",TRUE,RANDBETWEEN(-1,1),RANDBETWEEN(-1,1))</f>
        <v>-1,-1</v>
      </c>
      <c r="J127" s="1" t="str">
        <f ca="1">_xlfn.TEXTJOIN(",",TRUE,RANDBETWEEN(-1,1),RANDBETWEEN(-1,1))</f>
        <v>1,1</v>
      </c>
      <c r="K127" s="1" t="str">
        <f ca="1">_xlfn.TEXTJOIN(",",TRUE,RANDBETWEEN(-1,1),RANDBETWEEN(-1,1))</f>
        <v>0,0</v>
      </c>
      <c r="L127" s="1" t="str">
        <f ca="1">_xlfn.TEXTJOIN(",",TRUE,RANDBETWEEN(-1,1),RANDBETWEEN(-1,1))</f>
        <v>-1,0</v>
      </c>
      <c r="M127" s="1" t="str">
        <f ca="1">_xlfn.TEXTJOIN(",",TRUE,RANDBETWEEN(-1,1),RANDBETWEEN(-1,1))</f>
        <v>1,-1</v>
      </c>
      <c r="N127" s="1" t="str">
        <f ca="1">_xlfn.TEXTJOIN(",",TRUE,RANDBETWEEN(-1,1),RANDBETWEEN(-1,1))</f>
        <v>-1,1</v>
      </c>
      <c r="O127" s="1" t="str">
        <f ca="1">_xlfn.TEXTJOIN(",",TRUE,RANDBETWEEN(-1,1),RANDBETWEEN(-1,1))</f>
        <v>0,0</v>
      </c>
      <c r="P127" s="1" t="str">
        <f ca="1">_xlfn.TEXTJOIN(",",TRUE,RANDBETWEEN(-1,1),RANDBETWEEN(-1,1))</f>
        <v>0,0</v>
      </c>
      <c r="Q127" s="1" t="str">
        <f ca="1">_xlfn.TEXTJOIN(",",TRUE,RANDBETWEEN(-1,1),RANDBETWEEN(-1,1))</f>
        <v>0,-1</v>
      </c>
      <c r="R127" s="1" t="str">
        <f ca="1">_xlfn.TEXTJOIN(",",TRUE,RANDBETWEEN(-1,1),RANDBETWEEN(-1,1))</f>
        <v>1,-1</v>
      </c>
      <c r="S127" s="1" t="str">
        <f ca="1">_xlfn.TEXTJOIN(",",TRUE,RANDBETWEEN(-1,1),RANDBETWEEN(-1,1))</f>
        <v>-1,0</v>
      </c>
      <c r="T127" s="1" t="str">
        <f ca="1">_xlfn.TEXTJOIN(",",TRUE,RANDBETWEEN(-1,1),RANDBETWEEN(-1,1))</f>
        <v>0,0</v>
      </c>
      <c r="U127" s="1" t="str">
        <f ca="1">_xlfn.TEXTJOIN(",",TRUE,RANDBETWEEN(-1,1),RANDBETWEEN(-1,1))</f>
        <v>-1,-1</v>
      </c>
      <c r="V127" s="1" t="str">
        <f ca="1">_xlfn.TEXTJOIN(",",TRUE,RANDBETWEEN(-1,1),RANDBETWEEN(-1,1))</f>
        <v>-1,-1</v>
      </c>
      <c r="W127" s="1" t="str">
        <f ca="1">_xlfn.TEXTJOIN(",",TRUE,RANDBETWEEN(-1,1),RANDBETWEEN(-1,1))</f>
        <v>-1,-1</v>
      </c>
      <c r="X127" s="1" t="str">
        <f ca="1">_xlfn.TEXTJOIN(",",TRUE,RANDBETWEEN(-1,1),RANDBETWEEN(-1,1))</f>
        <v>1,1</v>
      </c>
      <c r="Y127" s="1" t="str">
        <f ca="1">_xlfn.TEXTJOIN(",",TRUE,RANDBETWEEN(-1,1),RANDBETWEEN(-1,1))</f>
        <v>1,0</v>
      </c>
      <c r="Z127" s="1" t="str">
        <f ca="1">_xlfn.TEXTJOIN(",",TRUE,RANDBETWEEN(-1,1),RANDBETWEEN(-1,1))</f>
        <v>-1,0</v>
      </c>
      <c r="AA127" s="1" t="str">
        <f ca="1">_xlfn.TEXTJOIN(",",TRUE,RANDBETWEEN(-1,1),RANDBETWEEN(-1,1))</f>
        <v>-1,1</v>
      </c>
      <c r="AB127" s="1" t="str">
        <f ca="1">_xlfn.TEXTJOIN(",",TRUE,RANDBETWEEN(-1,1),RANDBETWEEN(-1,1))</f>
        <v>1,1</v>
      </c>
      <c r="AC127" s="1" t="str">
        <f ca="1">_xlfn.TEXTJOIN(",",TRUE,RANDBETWEEN(-1,1),RANDBETWEEN(-1,1))</f>
        <v>-1,0</v>
      </c>
      <c r="AD127" s="1" t="str">
        <f ca="1">_xlfn.TEXTJOIN(",",TRUE,RANDBETWEEN(-1,1),RANDBETWEEN(-1,1))</f>
        <v>1,1</v>
      </c>
      <c r="AE127" s="1" t="str">
        <f ca="1">_xlfn.TEXTJOIN(",",TRUE,RANDBETWEEN(-1,1),RANDBETWEEN(-1,1))</f>
        <v>-1,-1</v>
      </c>
      <c r="AF127" s="1" t="str">
        <f ca="1">_xlfn.TEXTJOIN(",",TRUE,RANDBETWEEN(-1,1),RANDBETWEEN(-1,1))</f>
        <v>0,0</v>
      </c>
      <c r="AG127" s="1" t="str">
        <f ca="1">_xlfn.TEXTJOIN(",",TRUE,RANDBETWEEN(-1,1),RANDBETWEEN(-1,1))</f>
        <v>0,-1</v>
      </c>
      <c r="AH127" s="1" t="str">
        <f ca="1">_xlfn.TEXTJOIN(",",TRUE,RANDBETWEEN(-1,1),RANDBETWEEN(-1,1))</f>
        <v>-1,0</v>
      </c>
      <c r="AI127" s="1" t="str">
        <f ca="1">_xlfn.TEXTJOIN(",",TRUE,RANDBETWEEN(-1,1),RANDBETWEEN(-1,1))</f>
        <v>-1,0</v>
      </c>
      <c r="AJ127" s="1" t="str">
        <f ca="1">_xlfn.TEXTJOIN(",",TRUE,RANDBETWEEN(-1,1),RANDBETWEEN(-1,1))</f>
        <v>1,-1</v>
      </c>
      <c r="AK127" s="1" t="str">
        <f ca="1">_xlfn.TEXTJOIN(",",TRUE,RANDBETWEEN(-1,1),RANDBETWEEN(-1,1))</f>
        <v>0,0</v>
      </c>
      <c r="AL127" s="1" t="str">
        <f ca="1">_xlfn.TEXTJOIN(",",TRUE,RANDBETWEEN(-1,1),RANDBETWEEN(-1,1))</f>
        <v>0,0</v>
      </c>
      <c r="AM127" s="1" t="str">
        <f ca="1">_xlfn.TEXTJOIN(",",TRUE,RANDBETWEEN(-1,1),RANDBETWEEN(-1,1))</f>
        <v>0,0</v>
      </c>
      <c r="AN127" s="1" t="str">
        <f ca="1">_xlfn.TEXTJOIN(",",TRUE,RANDBETWEEN(-1,1),RANDBETWEEN(-1,1))</f>
        <v>-1,-1</v>
      </c>
      <c r="AO127" s="1" t="str">
        <f ca="1">_xlfn.TEXTJOIN(",",TRUE,RANDBETWEEN(-1,1),RANDBETWEEN(-1,1))</f>
        <v>1,1</v>
      </c>
    </row>
    <row r="128" spans="1:41" ht="15.75" customHeight="1">
      <c r="A128" s="1">
        <v>12</v>
      </c>
      <c r="B128" s="1" t="str">
        <f ca="1">_xlfn.TEXTJOIN(",",TRUE,RANDBETWEEN(-1,1),RANDBETWEEN(-1,1))</f>
        <v>0,0</v>
      </c>
      <c r="C128" s="1" t="str">
        <f ca="1">_xlfn.TEXTJOIN(",",TRUE,RANDBETWEEN(-1,1),RANDBETWEEN(-1,1))</f>
        <v>-1,0</v>
      </c>
      <c r="D128" s="1" t="str">
        <f ca="1">_xlfn.TEXTJOIN(",",TRUE,RANDBETWEEN(-1,1),RANDBETWEEN(-1,1))</f>
        <v>1,-1</v>
      </c>
      <c r="E128" s="1" t="str">
        <f ca="1">_xlfn.TEXTJOIN(",",TRUE,RANDBETWEEN(-1,1),RANDBETWEEN(-1,1))</f>
        <v>-1,0</v>
      </c>
      <c r="F128" s="1" t="str">
        <f ca="1">_xlfn.TEXTJOIN(",",TRUE,RANDBETWEEN(-1,1),RANDBETWEEN(-1,1))</f>
        <v>1,-1</v>
      </c>
      <c r="G128" s="1" t="str">
        <f ca="1">_xlfn.TEXTJOIN(",",TRUE,RANDBETWEEN(-1,1),RANDBETWEEN(-1,1))</f>
        <v>0,1</v>
      </c>
      <c r="H128" s="1" t="str">
        <f ca="1">_xlfn.TEXTJOIN(",",TRUE,RANDBETWEEN(-1,1),RANDBETWEEN(-1,1))</f>
        <v>1,1</v>
      </c>
      <c r="I128" s="1" t="str">
        <f ca="1">_xlfn.TEXTJOIN(",",TRUE,RANDBETWEEN(-1,1),RANDBETWEEN(-1,1))</f>
        <v>1,0</v>
      </c>
      <c r="J128" s="1" t="str">
        <f ca="1">_xlfn.TEXTJOIN(",",TRUE,RANDBETWEEN(-1,1),RANDBETWEEN(-1,1))</f>
        <v>1,1</v>
      </c>
      <c r="K128" s="1" t="str">
        <f ca="1">_xlfn.TEXTJOIN(",",TRUE,RANDBETWEEN(-1,1),RANDBETWEEN(-1,1))</f>
        <v>0,0</v>
      </c>
      <c r="L128" s="1" t="str">
        <f ca="1">_xlfn.TEXTJOIN(",",TRUE,RANDBETWEEN(-1,1),RANDBETWEEN(-1,1))</f>
        <v>0,-1</v>
      </c>
      <c r="M128" s="1" t="str">
        <f ca="1">_xlfn.TEXTJOIN(",",TRUE,RANDBETWEEN(-1,1),RANDBETWEEN(-1,1))</f>
        <v>1,-1</v>
      </c>
      <c r="N128" s="1" t="str">
        <f ca="1">_xlfn.TEXTJOIN(",",TRUE,RANDBETWEEN(-1,1),RANDBETWEEN(-1,1))</f>
        <v>1,-1</v>
      </c>
      <c r="O128" s="1" t="str">
        <f ca="1">_xlfn.TEXTJOIN(",",TRUE,RANDBETWEEN(-1,1),RANDBETWEEN(-1,1))</f>
        <v>1,1</v>
      </c>
      <c r="P128" s="1" t="str">
        <f ca="1">_xlfn.TEXTJOIN(",",TRUE,RANDBETWEEN(-1,1),RANDBETWEEN(-1,1))</f>
        <v>-1,1</v>
      </c>
      <c r="Q128" s="1" t="str">
        <f ca="1">_xlfn.TEXTJOIN(",",TRUE,RANDBETWEEN(-1,1),RANDBETWEEN(-1,1))</f>
        <v>-1,0</v>
      </c>
      <c r="R128" s="1" t="str">
        <f ca="1">_xlfn.TEXTJOIN(",",TRUE,RANDBETWEEN(-1,1),RANDBETWEEN(-1,1))</f>
        <v>0,-1</v>
      </c>
      <c r="S128" s="1" t="str">
        <f ca="1">_xlfn.TEXTJOIN(",",TRUE,RANDBETWEEN(-1,1),RANDBETWEEN(-1,1))</f>
        <v>0,-1</v>
      </c>
      <c r="T128" s="1" t="str">
        <f ca="1">_xlfn.TEXTJOIN(",",TRUE,RANDBETWEEN(-1,1),RANDBETWEEN(-1,1))</f>
        <v>1,1</v>
      </c>
      <c r="U128" s="1" t="str">
        <f ca="1">_xlfn.TEXTJOIN(",",TRUE,RANDBETWEEN(-1,1),RANDBETWEEN(-1,1))</f>
        <v>0,0</v>
      </c>
      <c r="V128" s="1" t="str">
        <f ca="1">_xlfn.TEXTJOIN(",",TRUE,RANDBETWEEN(-1,1),RANDBETWEEN(-1,1))</f>
        <v>0,0</v>
      </c>
      <c r="W128" s="1" t="str">
        <f ca="1">_xlfn.TEXTJOIN(",",TRUE,RANDBETWEEN(-1,1),RANDBETWEEN(-1,1))</f>
        <v>-1,-1</v>
      </c>
      <c r="X128" s="1" t="str">
        <f ca="1">_xlfn.TEXTJOIN(",",TRUE,RANDBETWEEN(-1,1),RANDBETWEEN(-1,1))</f>
        <v>0,-1</v>
      </c>
      <c r="Y128" s="1" t="str">
        <f ca="1">_xlfn.TEXTJOIN(",",TRUE,RANDBETWEEN(-1,1),RANDBETWEEN(-1,1))</f>
        <v>0,0</v>
      </c>
      <c r="Z128" s="1" t="str">
        <f ca="1">_xlfn.TEXTJOIN(",",TRUE,RANDBETWEEN(-1,1),RANDBETWEEN(-1,1))</f>
        <v>-1,1</v>
      </c>
      <c r="AA128" s="1" t="str">
        <f ca="1">_xlfn.TEXTJOIN(",",TRUE,RANDBETWEEN(-1,1),RANDBETWEEN(-1,1))</f>
        <v>1,1</v>
      </c>
      <c r="AB128" s="1" t="str">
        <f ca="1">_xlfn.TEXTJOIN(",",TRUE,RANDBETWEEN(-1,1),RANDBETWEEN(-1,1))</f>
        <v>0,0</v>
      </c>
      <c r="AC128" s="1" t="str">
        <f ca="1">_xlfn.TEXTJOIN(",",TRUE,RANDBETWEEN(-1,1),RANDBETWEEN(-1,1))</f>
        <v>0,1</v>
      </c>
      <c r="AD128" s="1" t="str">
        <f ca="1">_xlfn.TEXTJOIN(",",TRUE,RANDBETWEEN(-1,1),RANDBETWEEN(-1,1))</f>
        <v>0,1</v>
      </c>
      <c r="AE128" s="1" t="str">
        <f ca="1">_xlfn.TEXTJOIN(",",TRUE,RANDBETWEEN(-1,1),RANDBETWEEN(-1,1))</f>
        <v>0,1</v>
      </c>
      <c r="AF128" s="1" t="str">
        <f ca="1">_xlfn.TEXTJOIN(",",TRUE,RANDBETWEEN(-1,1),RANDBETWEEN(-1,1))</f>
        <v>0,1</v>
      </c>
      <c r="AG128" s="1" t="str">
        <f ca="1">_xlfn.TEXTJOIN(",",TRUE,RANDBETWEEN(-1,1),RANDBETWEEN(-1,1))</f>
        <v>-1,-1</v>
      </c>
      <c r="AH128" s="1" t="str">
        <f ca="1">_xlfn.TEXTJOIN(",",TRUE,RANDBETWEEN(-1,1),RANDBETWEEN(-1,1))</f>
        <v>-1,1</v>
      </c>
      <c r="AI128" s="1" t="str">
        <f ca="1">_xlfn.TEXTJOIN(",",TRUE,RANDBETWEEN(-1,1),RANDBETWEEN(-1,1))</f>
        <v>1,-1</v>
      </c>
      <c r="AJ128" s="1" t="str">
        <f ca="1">_xlfn.TEXTJOIN(",",TRUE,RANDBETWEEN(-1,1),RANDBETWEEN(-1,1))</f>
        <v>1,0</v>
      </c>
      <c r="AK128" s="1" t="str">
        <f ca="1">_xlfn.TEXTJOIN(",",TRUE,RANDBETWEEN(-1,1),RANDBETWEEN(-1,1))</f>
        <v>-1,0</v>
      </c>
      <c r="AL128" s="1" t="str">
        <f ca="1">_xlfn.TEXTJOIN(",",TRUE,RANDBETWEEN(-1,1),RANDBETWEEN(-1,1))</f>
        <v>1,0</v>
      </c>
      <c r="AM128" s="1" t="str">
        <f ca="1">_xlfn.TEXTJOIN(",",TRUE,RANDBETWEEN(-1,1),RANDBETWEEN(-1,1))</f>
        <v>1,0</v>
      </c>
      <c r="AN128" s="1" t="str">
        <f ca="1">_xlfn.TEXTJOIN(",",TRUE,RANDBETWEEN(-1,1),RANDBETWEEN(-1,1))</f>
        <v>0,1</v>
      </c>
      <c r="AO128" s="1" t="str">
        <f ca="1">_xlfn.TEXTJOIN(",",TRUE,RANDBETWEEN(-1,1),RANDBETWEEN(-1,1))</f>
        <v>1,0</v>
      </c>
    </row>
    <row r="129" spans="1:41" ht="15.75" customHeight="1">
      <c r="A129" s="1">
        <v>13</v>
      </c>
      <c r="B129" s="1" t="str">
        <f ca="1">_xlfn.TEXTJOIN(",",TRUE,RANDBETWEEN(-1,1),RANDBETWEEN(-1,1))</f>
        <v>0,-1</v>
      </c>
      <c r="C129" s="1" t="str">
        <f ca="1">_xlfn.TEXTJOIN(",",TRUE,RANDBETWEEN(-1,1),RANDBETWEEN(-1,1))</f>
        <v>0,-1</v>
      </c>
      <c r="D129" s="1" t="str">
        <f ca="1">_xlfn.TEXTJOIN(",",TRUE,RANDBETWEEN(-1,1),RANDBETWEEN(-1,1))</f>
        <v>1,1</v>
      </c>
      <c r="E129" s="1" t="str">
        <f ca="1">_xlfn.TEXTJOIN(",",TRUE,RANDBETWEEN(-1,1),RANDBETWEEN(-1,1))</f>
        <v>0,0</v>
      </c>
      <c r="F129" s="1" t="str">
        <f ca="1">_xlfn.TEXTJOIN(",",TRUE,RANDBETWEEN(-1,1),RANDBETWEEN(-1,1))</f>
        <v>-1,1</v>
      </c>
      <c r="G129" s="1" t="str">
        <f ca="1">_xlfn.TEXTJOIN(",",TRUE,RANDBETWEEN(-1,1),RANDBETWEEN(-1,1))</f>
        <v>1,-1</v>
      </c>
      <c r="H129" s="1" t="str">
        <f ca="1">_xlfn.TEXTJOIN(",",TRUE,RANDBETWEEN(-1,1),RANDBETWEEN(-1,1))</f>
        <v>1,-1</v>
      </c>
      <c r="I129" s="1" t="str">
        <f ca="1">_xlfn.TEXTJOIN(",",TRUE,RANDBETWEEN(-1,1),RANDBETWEEN(-1,1))</f>
        <v>0,0</v>
      </c>
      <c r="J129" s="1" t="str">
        <f ca="1">_xlfn.TEXTJOIN(",",TRUE,RANDBETWEEN(-1,1),RANDBETWEEN(-1,1))</f>
        <v>0,1</v>
      </c>
      <c r="K129" s="1" t="str">
        <f ca="1">_xlfn.TEXTJOIN(",",TRUE,RANDBETWEEN(-1,1),RANDBETWEEN(-1,1))</f>
        <v>1,-1</v>
      </c>
      <c r="L129" s="1" t="str">
        <f ca="1">_xlfn.TEXTJOIN(",",TRUE,RANDBETWEEN(-1,1),RANDBETWEEN(-1,1))</f>
        <v>1,1</v>
      </c>
      <c r="M129" s="1" t="str">
        <f ca="1">_xlfn.TEXTJOIN(",",TRUE,RANDBETWEEN(-1,1),RANDBETWEEN(-1,1))</f>
        <v>0,0</v>
      </c>
      <c r="N129" s="1" t="str">
        <f ca="1">_xlfn.TEXTJOIN(",",TRUE,RANDBETWEEN(-1,1),RANDBETWEEN(-1,1))</f>
        <v>0,1</v>
      </c>
      <c r="O129" s="1" t="str">
        <f ca="1">_xlfn.TEXTJOIN(",",TRUE,RANDBETWEEN(-1,1),RANDBETWEEN(-1,1))</f>
        <v>-1,0</v>
      </c>
      <c r="P129" s="1" t="str">
        <f ca="1">_xlfn.TEXTJOIN(",",TRUE,RANDBETWEEN(-1,1),RANDBETWEEN(-1,1))</f>
        <v>1,1</v>
      </c>
      <c r="Q129" s="1" t="str">
        <f ca="1">_xlfn.TEXTJOIN(",",TRUE,RANDBETWEEN(-1,1),RANDBETWEEN(-1,1))</f>
        <v>0,-1</v>
      </c>
      <c r="R129" s="1" t="str">
        <f ca="1">_xlfn.TEXTJOIN(",",TRUE,RANDBETWEEN(-1,1),RANDBETWEEN(-1,1))</f>
        <v>0,1</v>
      </c>
      <c r="S129" s="1" t="str">
        <f ca="1">_xlfn.TEXTJOIN(",",TRUE,RANDBETWEEN(-1,1),RANDBETWEEN(-1,1))</f>
        <v>1,1</v>
      </c>
      <c r="T129" s="1" t="str">
        <f ca="1">_xlfn.TEXTJOIN(",",TRUE,RANDBETWEEN(-1,1),RANDBETWEEN(-1,1))</f>
        <v>1,1</v>
      </c>
      <c r="U129" s="1" t="str">
        <f ca="1">_xlfn.TEXTJOIN(",",TRUE,RANDBETWEEN(-1,1),RANDBETWEEN(-1,1))</f>
        <v>1,-1</v>
      </c>
      <c r="V129" s="1" t="str">
        <f ca="1">_xlfn.TEXTJOIN(",",TRUE,RANDBETWEEN(-1,1),RANDBETWEEN(-1,1))</f>
        <v>-1,-1</v>
      </c>
      <c r="W129" s="1" t="str">
        <f ca="1">_xlfn.TEXTJOIN(",",TRUE,RANDBETWEEN(-1,1),RANDBETWEEN(-1,1))</f>
        <v>1,-1</v>
      </c>
      <c r="X129" s="1" t="str">
        <f ca="1">_xlfn.TEXTJOIN(",",TRUE,RANDBETWEEN(-1,1),RANDBETWEEN(-1,1))</f>
        <v>-1,0</v>
      </c>
      <c r="Y129" s="1" t="str">
        <f ca="1">_xlfn.TEXTJOIN(",",TRUE,RANDBETWEEN(-1,1),RANDBETWEEN(-1,1))</f>
        <v>1,0</v>
      </c>
      <c r="Z129" s="1" t="str">
        <f ca="1">_xlfn.TEXTJOIN(",",TRUE,RANDBETWEEN(-1,1),RANDBETWEEN(-1,1))</f>
        <v>1,0</v>
      </c>
      <c r="AA129" s="1" t="str">
        <f ca="1">_xlfn.TEXTJOIN(",",TRUE,RANDBETWEEN(-1,1),RANDBETWEEN(-1,1))</f>
        <v>0,1</v>
      </c>
      <c r="AB129" s="1" t="str">
        <f ca="1">_xlfn.TEXTJOIN(",",TRUE,RANDBETWEEN(-1,1),RANDBETWEEN(-1,1))</f>
        <v>0,1</v>
      </c>
      <c r="AC129" s="1" t="str">
        <f ca="1">_xlfn.TEXTJOIN(",",TRUE,RANDBETWEEN(-1,1),RANDBETWEEN(-1,1))</f>
        <v>1,0</v>
      </c>
      <c r="AD129" s="1" t="str">
        <f ca="1">_xlfn.TEXTJOIN(",",TRUE,RANDBETWEEN(-1,1),RANDBETWEEN(-1,1))</f>
        <v>1,1</v>
      </c>
      <c r="AE129" s="1" t="str">
        <f ca="1">_xlfn.TEXTJOIN(",",TRUE,RANDBETWEEN(-1,1),RANDBETWEEN(-1,1))</f>
        <v>0,0</v>
      </c>
      <c r="AF129" s="1" t="str">
        <f ca="1">_xlfn.TEXTJOIN(",",TRUE,RANDBETWEEN(-1,1),RANDBETWEEN(-1,1))</f>
        <v>-1,0</v>
      </c>
      <c r="AG129" s="1" t="str">
        <f ca="1">_xlfn.TEXTJOIN(",",TRUE,RANDBETWEEN(-1,1),RANDBETWEEN(-1,1))</f>
        <v>1,-1</v>
      </c>
      <c r="AH129" s="1" t="str">
        <f ca="1">_xlfn.TEXTJOIN(",",TRUE,RANDBETWEEN(-1,1),RANDBETWEEN(-1,1))</f>
        <v>0,-1</v>
      </c>
      <c r="AI129" s="1" t="str">
        <f ca="1">_xlfn.TEXTJOIN(",",TRUE,RANDBETWEEN(-1,1),RANDBETWEEN(-1,1))</f>
        <v>0,1</v>
      </c>
      <c r="AJ129" s="1" t="str">
        <f ca="1">_xlfn.TEXTJOIN(",",TRUE,RANDBETWEEN(-1,1),RANDBETWEEN(-1,1))</f>
        <v>1,1</v>
      </c>
      <c r="AK129" s="1" t="str">
        <f ca="1">_xlfn.TEXTJOIN(",",TRUE,RANDBETWEEN(-1,1),RANDBETWEEN(-1,1))</f>
        <v>-1,-1</v>
      </c>
      <c r="AL129" s="1" t="str">
        <f ca="1">_xlfn.TEXTJOIN(",",TRUE,RANDBETWEEN(-1,1),RANDBETWEEN(-1,1))</f>
        <v>1,1</v>
      </c>
      <c r="AM129" s="1" t="str">
        <f ca="1">_xlfn.TEXTJOIN(",",TRUE,RANDBETWEEN(-1,1),RANDBETWEEN(-1,1))</f>
        <v>-1,-1</v>
      </c>
      <c r="AN129" s="1" t="str">
        <f ca="1">_xlfn.TEXTJOIN(",",TRUE,RANDBETWEEN(-1,1),RANDBETWEEN(-1,1))</f>
        <v>0,-1</v>
      </c>
      <c r="AO129" s="1" t="str">
        <f ca="1">_xlfn.TEXTJOIN(",",TRUE,RANDBETWEEN(-1,1),RANDBETWEEN(-1,1))</f>
        <v>-1,-1</v>
      </c>
    </row>
    <row r="130" spans="1:41" ht="15.75" customHeight="1">
      <c r="A130" s="1">
        <v>14</v>
      </c>
      <c r="B130" s="1" t="str">
        <f ca="1">_xlfn.TEXTJOIN(",",TRUE,RANDBETWEEN(-1,1),RANDBETWEEN(-1,1))</f>
        <v>1,1</v>
      </c>
      <c r="C130" s="1" t="str">
        <f ca="1">_xlfn.TEXTJOIN(",",TRUE,RANDBETWEEN(-1,1),RANDBETWEEN(-1,1))</f>
        <v>-1,-1</v>
      </c>
      <c r="D130" s="1" t="str">
        <f ca="1">_xlfn.TEXTJOIN(",",TRUE,RANDBETWEEN(-1,1),RANDBETWEEN(-1,1))</f>
        <v>0,0</v>
      </c>
      <c r="E130" s="1" t="str">
        <f ca="1">_xlfn.TEXTJOIN(",",TRUE,RANDBETWEEN(-1,1),RANDBETWEEN(-1,1))</f>
        <v>0,1</v>
      </c>
      <c r="F130" s="1" t="str">
        <f ca="1">_xlfn.TEXTJOIN(",",TRUE,RANDBETWEEN(-1,1),RANDBETWEEN(-1,1))</f>
        <v>-1,1</v>
      </c>
      <c r="G130" s="1" t="str">
        <f ca="1">_xlfn.TEXTJOIN(",",TRUE,RANDBETWEEN(-1,1),RANDBETWEEN(-1,1))</f>
        <v>-1,-1</v>
      </c>
      <c r="H130" s="1" t="str">
        <f ca="1">_xlfn.TEXTJOIN(",",TRUE,RANDBETWEEN(-1,1),RANDBETWEEN(-1,1))</f>
        <v>-1,1</v>
      </c>
      <c r="I130" s="1" t="str">
        <f ca="1">_xlfn.TEXTJOIN(",",TRUE,RANDBETWEEN(-1,1),RANDBETWEEN(-1,1))</f>
        <v>0,0</v>
      </c>
      <c r="J130" s="1" t="str">
        <f ca="1">_xlfn.TEXTJOIN(",",TRUE,RANDBETWEEN(-1,1),RANDBETWEEN(-1,1))</f>
        <v>1,0</v>
      </c>
      <c r="K130" s="1" t="str">
        <f ca="1">_xlfn.TEXTJOIN(",",TRUE,RANDBETWEEN(-1,1),RANDBETWEEN(-1,1))</f>
        <v>0,-1</v>
      </c>
      <c r="L130" s="1" t="str">
        <f ca="1">_xlfn.TEXTJOIN(",",TRUE,RANDBETWEEN(-1,1),RANDBETWEEN(-1,1))</f>
        <v>-1,-1</v>
      </c>
      <c r="M130" s="1" t="str">
        <f ca="1">_xlfn.TEXTJOIN(",",TRUE,RANDBETWEEN(-1,1),RANDBETWEEN(-1,1))</f>
        <v>0,1</v>
      </c>
      <c r="N130" s="1" t="str">
        <f ca="1">_xlfn.TEXTJOIN(",",TRUE,RANDBETWEEN(-1,1),RANDBETWEEN(-1,1))</f>
        <v>-1,1</v>
      </c>
      <c r="O130" s="1" t="str">
        <f ca="1">_xlfn.TEXTJOIN(",",TRUE,RANDBETWEEN(-1,1),RANDBETWEEN(-1,1))</f>
        <v>1,0</v>
      </c>
      <c r="P130" s="1" t="str">
        <f ca="1">_xlfn.TEXTJOIN(",",TRUE,RANDBETWEEN(-1,1),RANDBETWEEN(-1,1))</f>
        <v>1,1</v>
      </c>
      <c r="Q130" s="1" t="str">
        <f ca="1">_xlfn.TEXTJOIN(",",TRUE,RANDBETWEEN(-1,1),RANDBETWEEN(-1,1))</f>
        <v>0,1</v>
      </c>
      <c r="R130" s="1" t="str">
        <f ca="1">_xlfn.TEXTJOIN(",",TRUE,RANDBETWEEN(-1,1),RANDBETWEEN(-1,1))</f>
        <v>0,-1</v>
      </c>
      <c r="S130" s="1" t="str">
        <f ca="1">_xlfn.TEXTJOIN(",",TRUE,RANDBETWEEN(-1,1),RANDBETWEEN(-1,1))</f>
        <v>-1,0</v>
      </c>
      <c r="T130" s="1" t="str">
        <f ca="1">_xlfn.TEXTJOIN(",",TRUE,RANDBETWEEN(-1,1),RANDBETWEEN(-1,1))</f>
        <v>-1,-1</v>
      </c>
      <c r="U130" s="1" t="str">
        <f ca="1">_xlfn.TEXTJOIN(",",TRUE,RANDBETWEEN(-1,1),RANDBETWEEN(-1,1))</f>
        <v>1,-1</v>
      </c>
      <c r="V130" s="1" t="str">
        <f ca="1">_xlfn.TEXTJOIN(",",TRUE,RANDBETWEEN(-1,1),RANDBETWEEN(-1,1))</f>
        <v>1,0</v>
      </c>
      <c r="W130" s="1" t="str">
        <f ca="1">_xlfn.TEXTJOIN(",",TRUE,RANDBETWEEN(-1,1),RANDBETWEEN(-1,1))</f>
        <v>1,1</v>
      </c>
      <c r="X130" s="1" t="str">
        <f ca="1">_xlfn.TEXTJOIN(",",TRUE,RANDBETWEEN(-1,1),RANDBETWEEN(-1,1))</f>
        <v>1,0</v>
      </c>
      <c r="Y130" s="1" t="str">
        <f ca="1">_xlfn.TEXTJOIN(",",TRUE,RANDBETWEEN(-1,1),RANDBETWEEN(-1,1))</f>
        <v>0,-1</v>
      </c>
      <c r="Z130" s="1" t="str">
        <f ca="1">_xlfn.TEXTJOIN(",",TRUE,RANDBETWEEN(-1,1),RANDBETWEEN(-1,1))</f>
        <v>1,0</v>
      </c>
      <c r="AA130" s="1" t="str">
        <f ca="1">_xlfn.TEXTJOIN(",",TRUE,RANDBETWEEN(-1,1),RANDBETWEEN(-1,1))</f>
        <v>0,1</v>
      </c>
      <c r="AB130" s="1" t="str">
        <f ca="1">_xlfn.TEXTJOIN(",",TRUE,RANDBETWEEN(-1,1),RANDBETWEEN(-1,1))</f>
        <v>-1,-1</v>
      </c>
      <c r="AC130" s="1" t="str">
        <f ca="1">_xlfn.TEXTJOIN(",",TRUE,RANDBETWEEN(-1,1),RANDBETWEEN(-1,1))</f>
        <v>1,1</v>
      </c>
      <c r="AD130" s="1" t="str">
        <f ca="1">_xlfn.TEXTJOIN(",",TRUE,RANDBETWEEN(-1,1),RANDBETWEEN(-1,1))</f>
        <v>-1,0</v>
      </c>
      <c r="AE130" s="1" t="str">
        <f ca="1">_xlfn.TEXTJOIN(",",TRUE,RANDBETWEEN(-1,1),RANDBETWEEN(-1,1))</f>
        <v>-1,0</v>
      </c>
      <c r="AF130" s="1" t="str">
        <f ca="1">_xlfn.TEXTJOIN(",",TRUE,RANDBETWEEN(-1,1),RANDBETWEEN(-1,1))</f>
        <v>1,1</v>
      </c>
      <c r="AG130" s="1" t="str">
        <f ca="1">_xlfn.TEXTJOIN(",",TRUE,RANDBETWEEN(-1,1),RANDBETWEEN(-1,1))</f>
        <v>0,0</v>
      </c>
      <c r="AH130" s="1" t="str">
        <f ca="1">_xlfn.TEXTJOIN(",",TRUE,RANDBETWEEN(-1,1),RANDBETWEEN(-1,1))</f>
        <v>0,1</v>
      </c>
      <c r="AI130" s="1" t="str">
        <f ca="1">_xlfn.TEXTJOIN(",",TRUE,RANDBETWEEN(-1,1),RANDBETWEEN(-1,1))</f>
        <v>0,-1</v>
      </c>
      <c r="AJ130" s="1" t="str">
        <f ca="1">_xlfn.TEXTJOIN(",",TRUE,RANDBETWEEN(-1,1),RANDBETWEEN(-1,1))</f>
        <v>-1,-1</v>
      </c>
      <c r="AK130" s="1" t="str">
        <f ca="1">_xlfn.TEXTJOIN(",",TRUE,RANDBETWEEN(-1,1),RANDBETWEEN(-1,1))</f>
        <v>0,1</v>
      </c>
      <c r="AL130" s="1" t="str">
        <f ca="1">_xlfn.TEXTJOIN(",",TRUE,RANDBETWEEN(-1,1),RANDBETWEEN(-1,1))</f>
        <v>1,1</v>
      </c>
      <c r="AM130" s="1" t="str">
        <f ca="1">_xlfn.TEXTJOIN(",",TRUE,RANDBETWEEN(-1,1),RANDBETWEEN(-1,1))</f>
        <v>-1,0</v>
      </c>
      <c r="AN130" s="1" t="str">
        <f ca="1">_xlfn.TEXTJOIN(",",TRUE,RANDBETWEEN(-1,1),RANDBETWEEN(-1,1))</f>
        <v>-1,1</v>
      </c>
      <c r="AO130" s="1" t="str">
        <f ca="1">_xlfn.TEXTJOIN(",",TRUE,RANDBETWEEN(-1,1),RANDBETWEEN(-1,1))</f>
        <v>0,1</v>
      </c>
    </row>
    <row r="131" spans="1:41" ht="15.75" customHeight="1">
      <c r="A131" s="1">
        <v>15</v>
      </c>
      <c r="B131" s="1" t="str">
        <f ca="1">_xlfn.TEXTJOIN(",",TRUE,RANDBETWEEN(-1,1),RANDBETWEEN(-1,1))</f>
        <v>1,0</v>
      </c>
      <c r="C131" s="1" t="str">
        <f ca="1">_xlfn.TEXTJOIN(",",TRUE,RANDBETWEEN(-1,1),RANDBETWEEN(-1,1))</f>
        <v>0,1</v>
      </c>
      <c r="D131" s="1" t="str">
        <f ca="1">_xlfn.TEXTJOIN(",",TRUE,RANDBETWEEN(-1,1),RANDBETWEEN(-1,1))</f>
        <v>-1,1</v>
      </c>
      <c r="E131" s="1" t="str">
        <f ca="1">_xlfn.TEXTJOIN(",",TRUE,RANDBETWEEN(-1,1),RANDBETWEEN(-1,1))</f>
        <v>1,1</v>
      </c>
      <c r="F131" s="1" t="str">
        <f ca="1">_xlfn.TEXTJOIN(",",TRUE,RANDBETWEEN(-1,1),RANDBETWEEN(-1,1))</f>
        <v>1,0</v>
      </c>
      <c r="G131" s="1" t="str">
        <f ca="1">_xlfn.TEXTJOIN(",",TRUE,RANDBETWEEN(-1,1),RANDBETWEEN(-1,1))</f>
        <v>-1,1</v>
      </c>
      <c r="H131" s="1" t="str">
        <f ca="1">_xlfn.TEXTJOIN(",",TRUE,RANDBETWEEN(-1,1),RANDBETWEEN(-1,1))</f>
        <v>1,0</v>
      </c>
      <c r="I131" s="1" t="str">
        <f ca="1">_xlfn.TEXTJOIN(",",TRUE,RANDBETWEEN(-1,1),RANDBETWEEN(-1,1))</f>
        <v>-1,0</v>
      </c>
      <c r="J131" s="1" t="str">
        <f ca="1">_xlfn.TEXTJOIN(",",TRUE,RANDBETWEEN(-1,1),RANDBETWEEN(-1,1))</f>
        <v>0,-1</v>
      </c>
      <c r="K131" s="1" t="str">
        <f ca="1">_xlfn.TEXTJOIN(",",TRUE,RANDBETWEEN(-1,1),RANDBETWEEN(-1,1))</f>
        <v>0,0</v>
      </c>
      <c r="L131" s="1" t="str">
        <f ca="1">_xlfn.TEXTJOIN(",",TRUE,RANDBETWEEN(-1,1),RANDBETWEEN(-1,1))</f>
        <v>-1,0</v>
      </c>
      <c r="M131" s="1" t="str">
        <f ca="1">_xlfn.TEXTJOIN(",",TRUE,RANDBETWEEN(-1,1),RANDBETWEEN(-1,1))</f>
        <v>-1,-1</v>
      </c>
      <c r="N131" s="1" t="str">
        <f ca="1">_xlfn.TEXTJOIN(",",TRUE,RANDBETWEEN(-1,1),RANDBETWEEN(-1,1))</f>
        <v>-1,-1</v>
      </c>
      <c r="O131" s="1" t="str">
        <f ca="1">_xlfn.TEXTJOIN(",",TRUE,RANDBETWEEN(-1,1),RANDBETWEEN(-1,1))</f>
        <v>0,1</v>
      </c>
      <c r="P131" s="1" t="str">
        <f ca="1">_xlfn.TEXTJOIN(",",TRUE,RANDBETWEEN(-1,1),RANDBETWEEN(-1,1))</f>
        <v>0,1</v>
      </c>
      <c r="Q131" s="1" t="str">
        <f ca="1">_xlfn.TEXTJOIN(",",TRUE,RANDBETWEEN(-1,1),RANDBETWEEN(-1,1))</f>
        <v>-1,0</v>
      </c>
      <c r="R131" s="1" t="str">
        <f ca="1">_xlfn.TEXTJOIN(",",TRUE,RANDBETWEEN(-1,1),RANDBETWEEN(-1,1))</f>
        <v>1,0</v>
      </c>
      <c r="S131" s="1" t="str">
        <f ca="1">_xlfn.TEXTJOIN(",",TRUE,RANDBETWEEN(-1,1),RANDBETWEEN(-1,1))</f>
        <v>1,-1</v>
      </c>
      <c r="T131" s="1" t="str">
        <f ca="1">_xlfn.TEXTJOIN(",",TRUE,RANDBETWEEN(-1,1),RANDBETWEEN(-1,1))</f>
        <v>-1,0</v>
      </c>
      <c r="U131" s="1" t="str">
        <f ca="1">_xlfn.TEXTJOIN(",",TRUE,RANDBETWEEN(-1,1),RANDBETWEEN(-1,1))</f>
        <v>0,-1</v>
      </c>
      <c r="V131" s="1" t="str">
        <f ca="1">_xlfn.TEXTJOIN(",",TRUE,RANDBETWEEN(-1,1),RANDBETWEEN(-1,1))</f>
        <v>0,0</v>
      </c>
      <c r="W131" s="1" t="str">
        <f ca="1">_xlfn.TEXTJOIN(",",TRUE,RANDBETWEEN(-1,1),RANDBETWEEN(-1,1))</f>
        <v>0,-1</v>
      </c>
      <c r="X131" s="1" t="str">
        <f ca="1">_xlfn.TEXTJOIN(",",TRUE,RANDBETWEEN(-1,1),RANDBETWEEN(-1,1))</f>
        <v>0,-1</v>
      </c>
      <c r="Y131" s="1" t="str">
        <f ca="1">_xlfn.TEXTJOIN(",",TRUE,RANDBETWEEN(-1,1),RANDBETWEEN(-1,1))</f>
        <v>0,-1</v>
      </c>
      <c r="Z131" s="1" t="str">
        <f ca="1">_xlfn.TEXTJOIN(",",TRUE,RANDBETWEEN(-1,1),RANDBETWEEN(-1,1))</f>
        <v>0,-1</v>
      </c>
      <c r="AA131" s="1" t="str">
        <f ca="1">_xlfn.TEXTJOIN(",",TRUE,RANDBETWEEN(-1,1),RANDBETWEEN(-1,1))</f>
        <v>1,1</v>
      </c>
      <c r="AB131" s="1" t="str">
        <f ca="1">_xlfn.TEXTJOIN(",",TRUE,RANDBETWEEN(-1,1),RANDBETWEEN(-1,1))</f>
        <v>0,0</v>
      </c>
      <c r="AC131" s="1" t="str">
        <f ca="1">_xlfn.TEXTJOIN(",",TRUE,RANDBETWEEN(-1,1),RANDBETWEEN(-1,1))</f>
        <v>-1,1</v>
      </c>
      <c r="AD131" s="1" t="str">
        <f ca="1">_xlfn.TEXTJOIN(",",TRUE,RANDBETWEEN(-1,1),RANDBETWEEN(-1,1))</f>
        <v>1,-1</v>
      </c>
      <c r="AE131" s="1" t="str">
        <f ca="1">_xlfn.TEXTJOIN(",",TRUE,RANDBETWEEN(-1,1),RANDBETWEEN(-1,1))</f>
        <v>0,0</v>
      </c>
      <c r="AF131" s="1" t="str">
        <f ca="1">_xlfn.TEXTJOIN(",",TRUE,RANDBETWEEN(-1,1),RANDBETWEEN(-1,1))</f>
        <v>-1,0</v>
      </c>
      <c r="AG131" s="1" t="str">
        <f ca="1">_xlfn.TEXTJOIN(",",TRUE,RANDBETWEEN(-1,1),RANDBETWEEN(-1,1))</f>
        <v>-1,-1</v>
      </c>
      <c r="AH131" s="1" t="str">
        <f ca="1">_xlfn.TEXTJOIN(",",TRUE,RANDBETWEEN(-1,1),RANDBETWEEN(-1,1))</f>
        <v>1,1</v>
      </c>
      <c r="AI131" s="1" t="str">
        <f ca="1">_xlfn.TEXTJOIN(",",TRUE,RANDBETWEEN(-1,1),RANDBETWEEN(-1,1))</f>
        <v>1,-1</v>
      </c>
      <c r="AJ131" s="1" t="str">
        <f ca="1">_xlfn.TEXTJOIN(",",TRUE,RANDBETWEEN(-1,1),RANDBETWEEN(-1,1))</f>
        <v>-1,0</v>
      </c>
      <c r="AK131" s="1" t="str">
        <f ca="1">_xlfn.TEXTJOIN(",",TRUE,RANDBETWEEN(-1,1),RANDBETWEEN(-1,1))</f>
        <v>-1,0</v>
      </c>
      <c r="AL131" s="1" t="str">
        <f ca="1">_xlfn.TEXTJOIN(",",TRUE,RANDBETWEEN(-1,1),RANDBETWEEN(-1,1))</f>
        <v>-1,1</v>
      </c>
      <c r="AM131" s="1" t="str">
        <f ca="1">_xlfn.TEXTJOIN(",",TRUE,RANDBETWEEN(-1,1),RANDBETWEEN(-1,1))</f>
        <v>1,-1</v>
      </c>
      <c r="AN131" s="1" t="str">
        <f ca="1">_xlfn.TEXTJOIN(",",TRUE,RANDBETWEEN(-1,1),RANDBETWEEN(-1,1))</f>
        <v>1,-1</v>
      </c>
      <c r="AO131" s="1" t="str">
        <f ca="1">_xlfn.TEXTJOIN(",",TRUE,RANDBETWEEN(-1,1),RANDBETWEEN(-1,1))</f>
        <v>1,0</v>
      </c>
    </row>
    <row r="132" spans="1:41" ht="15.75" customHeight="1">
      <c r="A132" s="1">
        <v>16</v>
      </c>
      <c r="B132" s="1" t="str">
        <f ca="1">_xlfn.TEXTJOIN(",",TRUE,RANDBETWEEN(-1,1),RANDBETWEEN(-1,1))</f>
        <v>0,1</v>
      </c>
      <c r="C132" s="1" t="str">
        <f ca="1">_xlfn.TEXTJOIN(",",TRUE,RANDBETWEEN(-1,1),RANDBETWEEN(-1,1))</f>
        <v>-1,0</v>
      </c>
      <c r="D132" s="1" t="str">
        <f ca="1">_xlfn.TEXTJOIN(",",TRUE,RANDBETWEEN(-1,1),RANDBETWEEN(-1,1))</f>
        <v>0,1</v>
      </c>
      <c r="E132" s="1" t="str">
        <f ca="1">_xlfn.TEXTJOIN(",",TRUE,RANDBETWEEN(-1,1),RANDBETWEEN(-1,1))</f>
        <v>-1,-1</v>
      </c>
      <c r="F132" s="1" t="str">
        <f ca="1">_xlfn.TEXTJOIN(",",TRUE,RANDBETWEEN(-1,1),RANDBETWEEN(-1,1))</f>
        <v>-1,-1</v>
      </c>
      <c r="G132" s="1" t="str">
        <f ca="1">_xlfn.TEXTJOIN(",",TRUE,RANDBETWEEN(-1,1),RANDBETWEEN(-1,1))</f>
        <v>-1,1</v>
      </c>
      <c r="H132" s="1" t="str">
        <f ca="1">_xlfn.TEXTJOIN(",",TRUE,RANDBETWEEN(-1,1),RANDBETWEEN(-1,1))</f>
        <v>1,-1</v>
      </c>
      <c r="I132" s="1" t="str">
        <f ca="1">_xlfn.TEXTJOIN(",",TRUE,RANDBETWEEN(-1,1),RANDBETWEEN(-1,1))</f>
        <v>-1,1</v>
      </c>
      <c r="J132" s="1" t="str">
        <f ca="1">_xlfn.TEXTJOIN(",",TRUE,RANDBETWEEN(-1,1),RANDBETWEEN(-1,1))</f>
        <v>0,0</v>
      </c>
      <c r="K132" s="1" t="str">
        <f ca="1">_xlfn.TEXTJOIN(",",TRUE,RANDBETWEEN(-1,1),RANDBETWEEN(-1,1))</f>
        <v>0,1</v>
      </c>
      <c r="L132" s="1" t="str">
        <f ca="1">_xlfn.TEXTJOIN(",",TRUE,RANDBETWEEN(-1,1),RANDBETWEEN(-1,1))</f>
        <v>0,0</v>
      </c>
      <c r="M132" s="1" t="str">
        <f ca="1">_xlfn.TEXTJOIN(",",TRUE,RANDBETWEEN(-1,1),RANDBETWEEN(-1,1))</f>
        <v>1,-1</v>
      </c>
      <c r="N132" s="1" t="str">
        <f ca="1">_xlfn.TEXTJOIN(",",TRUE,RANDBETWEEN(-1,1),RANDBETWEEN(-1,1))</f>
        <v>-1,0</v>
      </c>
      <c r="O132" s="1" t="str">
        <f ca="1">_xlfn.TEXTJOIN(",",TRUE,RANDBETWEEN(-1,1),RANDBETWEEN(-1,1))</f>
        <v>0,0</v>
      </c>
      <c r="P132" s="1" t="str">
        <f ca="1">_xlfn.TEXTJOIN(",",TRUE,RANDBETWEEN(-1,1),RANDBETWEEN(-1,1))</f>
        <v>-1,1</v>
      </c>
      <c r="Q132" s="1" t="str">
        <f ca="1">_xlfn.TEXTJOIN(",",TRUE,RANDBETWEEN(-1,1),RANDBETWEEN(-1,1))</f>
        <v>0,1</v>
      </c>
      <c r="R132" s="1" t="str">
        <f ca="1">_xlfn.TEXTJOIN(",",TRUE,RANDBETWEEN(-1,1),RANDBETWEEN(-1,1))</f>
        <v>1,-1</v>
      </c>
      <c r="S132" s="1" t="str">
        <f ca="1">_xlfn.TEXTJOIN(",",TRUE,RANDBETWEEN(-1,1),RANDBETWEEN(-1,1))</f>
        <v>1,-1</v>
      </c>
      <c r="T132" s="1" t="str">
        <f ca="1">_xlfn.TEXTJOIN(",",TRUE,RANDBETWEEN(-1,1),RANDBETWEEN(-1,1))</f>
        <v>-1,1</v>
      </c>
      <c r="U132" s="1" t="str">
        <f ca="1">_xlfn.TEXTJOIN(",",TRUE,RANDBETWEEN(-1,1),RANDBETWEEN(-1,1))</f>
        <v>-1,-1</v>
      </c>
      <c r="V132" s="1" t="str">
        <f ca="1">_xlfn.TEXTJOIN(",",TRUE,RANDBETWEEN(-1,1),RANDBETWEEN(-1,1))</f>
        <v>1,1</v>
      </c>
      <c r="W132" s="1" t="str">
        <f ca="1">_xlfn.TEXTJOIN(",",TRUE,RANDBETWEEN(-1,1),RANDBETWEEN(-1,1))</f>
        <v>0,1</v>
      </c>
      <c r="X132" s="1" t="str">
        <f ca="1">_xlfn.TEXTJOIN(",",TRUE,RANDBETWEEN(-1,1),RANDBETWEEN(-1,1))</f>
        <v>1,0</v>
      </c>
      <c r="Y132" s="1" t="str">
        <f ca="1">_xlfn.TEXTJOIN(",",TRUE,RANDBETWEEN(-1,1),RANDBETWEEN(-1,1))</f>
        <v>0,-1</v>
      </c>
      <c r="Z132" s="1" t="str">
        <f ca="1">_xlfn.TEXTJOIN(",",TRUE,RANDBETWEEN(-1,1),RANDBETWEEN(-1,1))</f>
        <v>-1,1</v>
      </c>
      <c r="AA132" s="1" t="str">
        <f ca="1">_xlfn.TEXTJOIN(",",TRUE,RANDBETWEEN(-1,1),RANDBETWEEN(-1,1))</f>
        <v>1,-1</v>
      </c>
      <c r="AB132" s="1" t="str">
        <f ca="1">_xlfn.TEXTJOIN(",",TRUE,RANDBETWEEN(-1,1),RANDBETWEEN(-1,1))</f>
        <v>-1,1</v>
      </c>
      <c r="AC132" s="1" t="str">
        <f ca="1">_xlfn.TEXTJOIN(",",TRUE,RANDBETWEEN(-1,1),RANDBETWEEN(-1,1))</f>
        <v>0,1</v>
      </c>
      <c r="AD132" s="1" t="str">
        <f ca="1">_xlfn.TEXTJOIN(",",TRUE,RANDBETWEEN(-1,1),RANDBETWEEN(-1,1))</f>
        <v>1,1</v>
      </c>
      <c r="AE132" s="1" t="str">
        <f ca="1">_xlfn.TEXTJOIN(",",TRUE,RANDBETWEEN(-1,1),RANDBETWEEN(-1,1))</f>
        <v>1,1</v>
      </c>
      <c r="AF132" s="1" t="str">
        <f ca="1">_xlfn.TEXTJOIN(",",TRUE,RANDBETWEEN(-1,1),RANDBETWEEN(-1,1))</f>
        <v>1,1</v>
      </c>
      <c r="AG132" s="1" t="str">
        <f ca="1">_xlfn.TEXTJOIN(",",TRUE,RANDBETWEEN(-1,1),RANDBETWEEN(-1,1))</f>
        <v>1,1</v>
      </c>
      <c r="AH132" s="1" t="str">
        <f ca="1">_xlfn.TEXTJOIN(",",TRUE,RANDBETWEEN(-1,1),RANDBETWEEN(-1,1))</f>
        <v>-1,1</v>
      </c>
      <c r="AI132" s="1" t="str">
        <f ca="1">_xlfn.TEXTJOIN(",",TRUE,RANDBETWEEN(-1,1),RANDBETWEEN(-1,1))</f>
        <v>1,-1</v>
      </c>
      <c r="AJ132" s="1" t="str">
        <f ca="1">_xlfn.TEXTJOIN(",",TRUE,RANDBETWEEN(-1,1),RANDBETWEEN(-1,1))</f>
        <v>0,-1</v>
      </c>
      <c r="AK132" s="1" t="str">
        <f ca="1">_xlfn.TEXTJOIN(",",TRUE,RANDBETWEEN(-1,1),RANDBETWEEN(-1,1))</f>
        <v>0,-1</v>
      </c>
      <c r="AL132" s="1" t="str">
        <f ca="1">_xlfn.TEXTJOIN(",",TRUE,RANDBETWEEN(-1,1),RANDBETWEEN(-1,1))</f>
        <v>1,-1</v>
      </c>
      <c r="AM132" s="1" t="str">
        <f ca="1">_xlfn.TEXTJOIN(",",TRUE,RANDBETWEEN(-1,1),RANDBETWEEN(-1,1))</f>
        <v>1,-1</v>
      </c>
      <c r="AN132" s="1" t="str">
        <f ca="1">_xlfn.TEXTJOIN(",",TRUE,RANDBETWEEN(-1,1),RANDBETWEEN(-1,1))</f>
        <v>1,0</v>
      </c>
      <c r="AO132" s="1" t="str">
        <f ca="1">_xlfn.TEXTJOIN(",",TRUE,RANDBETWEEN(-1,1),RANDBETWEEN(-1,1))</f>
        <v>1,1</v>
      </c>
    </row>
    <row r="133" spans="1:41" ht="15.75" customHeight="1">
      <c r="A133" s="1">
        <v>17</v>
      </c>
      <c r="B133" s="1" t="str">
        <f ca="1">_xlfn.TEXTJOIN(",",TRUE,RANDBETWEEN(-1,1),RANDBETWEEN(-1,1))</f>
        <v>0,1</v>
      </c>
      <c r="C133" s="1" t="str">
        <f ca="1">_xlfn.TEXTJOIN(",",TRUE,RANDBETWEEN(-1,1),RANDBETWEEN(-1,1))</f>
        <v>-1,1</v>
      </c>
      <c r="D133" s="1" t="str">
        <f ca="1">_xlfn.TEXTJOIN(",",TRUE,RANDBETWEEN(-1,1),RANDBETWEEN(-1,1))</f>
        <v>1,-1</v>
      </c>
      <c r="E133" s="1" t="str">
        <f ca="1">_xlfn.TEXTJOIN(",",TRUE,RANDBETWEEN(-1,1),RANDBETWEEN(-1,1))</f>
        <v>1,0</v>
      </c>
      <c r="F133" s="1" t="str">
        <f ca="1">_xlfn.TEXTJOIN(",",TRUE,RANDBETWEEN(-1,1),RANDBETWEEN(-1,1))</f>
        <v>1,0</v>
      </c>
      <c r="G133" s="1" t="str">
        <f ca="1">_xlfn.TEXTJOIN(",",TRUE,RANDBETWEEN(-1,1),RANDBETWEEN(-1,1))</f>
        <v>-1,-1</v>
      </c>
      <c r="H133" s="1" t="str">
        <f ca="1">_xlfn.TEXTJOIN(",",TRUE,RANDBETWEEN(-1,1),RANDBETWEEN(-1,1))</f>
        <v>0,1</v>
      </c>
      <c r="I133" s="1" t="str">
        <f ca="1">_xlfn.TEXTJOIN(",",TRUE,RANDBETWEEN(-1,1),RANDBETWEEN(-1,1))</f>
        <v>-1,1</v>
      </c>
      <c r="J133" s="1" t="str">
        <f ca="1">_xlfn.TEXTJOIN(",",TRUE,RANDBETWEEN(-1,1),RANDBETWEEN(-1,1))</f>
        <v>-1,0</v>
      </c>
      <c r="K133" s="1" t="str">
        <f ca="1">_xlfn.TEXTJOIN(",",TRUE,RANDBETWEEN(-1,1),RANDBETWEEN(-1,1))</f>
        <v>0,0</v>
      </c>
      <c r="L133" s="1" t="str">
        <f ca="1">_xlfn.TEXTJOIN(",",TRUE,RANDBETWEEN(-1,1),RANDBETWEEN(-1,1))</f>
        <v>1,1</v>
      </c>
      <c r="M133" s="1" t="str">
        <f ca="1">_xlfn.TEXTJOIN(",",TRUE,RANDBETWEEN(-1,1),RANDBETWEEN(-1,1))</f>
        <v>0,0</v>
      </c>
      <c r="N133" s="1" t="str">
        <f ca="1">_xlfn.TEXTJOIN(",",TRUE,RANDBETWEEN(-1,1),RANDBETWEEN(-1,1))</f>
        <v>1,1</v>
      </c>
      <c r="O133" s="1" t="str">
        <f ca="1">_xlfn.TEXTJOIN(",",TRUE,RANDBETWEEN(-1,1),RANDBETWEEN(-1,1))</f>
        <v>1,1</v>
      </c>
      <c r="P133" s="1" t="str">
        <f ca="1">_xlfn.TEXTJOIN(",",TRUE,RANDBETWEEN(-1,1),RANDBETWEEN(-1,1))</f>
        <v>1,-1</v>
      </c>
      <c r="Q133" s="1" t="str">
        <f ca="1">_xlfn.TEXTJOIN(",",TRUE,RANDBETWEEN(-1,1),RANDBETWEEN(-1,1))</f>
        <v>1,0</v>
      </c>
      <c r="R133" s="1" t="str">
        <f ca="1">_xlfn.TEXTJOIN(",",TRUE,RANDBETWEEN(-1,1),RANDBETWEEN(-1,1))</f>
        <v>-1,0</v>
      </c>
      <c r="S133" s="1" t="str">
        <f ca="1">_xlfn.TEXTJOIN(",",TRUE,RANDBETWEEN(-1,1),RANDBETWEEN(-1,1))</f>
        <v>-1,1</v>
      </c>
      <c r="T133" s="1" t="str">
        <f ca="1">_xlfn.TEXTJOIN(",",TRUE,RANDBETWEEN(-1,1),RANDBETWEEN(-1,1))</f>
        <v>1,0</v>
      </c>
      <c r="U133" s="1" t="str">
        <f ca="1">_xlfn.TEXTJOIN(",",TRUE,RANDBETWEEN(-1,1),RANDBETWEEN(-1,1))</f>
        <v>1,-1</v>
      </c>
      <c r="V133" s="1" t="str">
        <f ca="1">_xlfn.TEXTJOIN(",",TRUE,RANDBETWEEN(-1,1),RANDBETWEEN(-1,1))</f>
        <v>1,-1</v>
      </c>
      <c r="W133" s="1" t="str">
        <f ca="1">_xlfn.TEXTJOIN(",",TRUE,RANDBETWEEN(-1,1),RANDBETWEEN(-1,1))</f>
        <v>-1,0</v>
      </c>
      <c r="X133" s="1" t="str">
        <f ca="1">_xlfn.TEXTJOIN(",",TRUE,RANDBETWEEN(-1,1),RANDBETWEEN(-1,1))</f>
        <v>-1,0</v>
      </c>
      <c r="Y133" s="1" t="str">
        <f ca="1">_xlfn.TEXTJOIN(",",TRUE,RANDBETWEEN(-1,1),RANDBETWEEN(-1,1))</f>
        <v>-1,1</v>
      </c>
      <c r="Z133" s="1" t="str">
        <f ca="1">_xlfn.TEXTJOIN(",",TRUE,RANDBETWEEN(-1,1),RANDBETWEEN(-1,1))</f>
        <v>0,0</v>
      </c>
      <c r="AA133" s="1" t="str">
        <f ca="1">_xlfn.TEXTJOIN(",",TRUE,RANDBETWEEN(-1,1),RANDBETWEEN(-1,1))</f>
        <v>1,1</v>
      </c>
      <c r="AB133" s="1" t="str">
        <f ca="1">_xlfn.TEXTJOIN(",",TRUE,RANDBETWEEN(-1,1),RANDBETWEEN(-1,1))</f>
        <v>-1,-1</v>
      </c>
      <c r="AC133" s="1" t="str">
        <f ca="1">_xlfn.TEXTJOIN(",",TRUE,RANDBETWEEN(-1,1),RANDBETWEEN(-1,1))</f>
        <v>-1,0</v>
      </c>
      <c r="AD133" s="1" t="str">
        <f ca="1">_xlfn.TEXTJOIN(",",TRUE,RANDBETWEEN(-1,1),RANDBETWEEN(-1,1))</f>
        <v>-1,-1</v>
      </c>
      <c r="AE133" s="1" t="str">
        <f ca="1">_xlfn.TEXTJOIN(",",TRUE,RANDBETWEEN(-1,1),RANDBETWEEN(-1,1))</f>
        <v>1,0</v>
      </c>
      <c r="AF133" s="1" t="str">
        <f ca="1">_xlfn.TEXTJOIN(",",TRUE,RANDBETWEEN(-1,1),RANDBETWEEN(-1,1))</f>
        <v>1,-1</v>
      </c>
      <c r="AG133" s="1" t="str">
        <f ca="1">_xlfn.TEXTJOIN(",",TRUE,RANDBETWEEN(-1,1),RANDBETWEEN(-1,1))</f>
        <v>-1,0</v>
      </c>
      <c r="AH133" s="1" t="str">
        <f ca="1">_xlfn.TEXTJOIN(",",TRUE,RANDBETWEEN(-1,1),RANDBETWEEN(-1,1))</f>
        <v>-1,0</v>
      </c>
      <c r="AI133" s="1" t="str">
        <f ca="1">_xlfn.TEXTJOIN(",",TRUE,RANDBETWEEN(-1,1),RANDBETWEEN(-1,1))</f>
        <v>0,-1</v>
      </c>
      <c r="AJ133" s="1" t="str">
        <f ca="1">_xlfn.TEXTJOIN(",",TRUE,RANDBETWEEN(-1,1),RANDBETWEEN(-1,1))</f>
        <v>-1,-1</v>
      </c>
      <c r="AK133" s="1" t="str">
        <f ca="1">_xlfn.TEXTJOIN(",",TRUE,RANDBETWEEN(-1,1),RANDBETWEEN(-1,1))</f>
        <v>-1,1</v>
      </c>
      <c r="AL133" s="1" t="str">
        <f ca="1">_xlfn.TEXTJOIN(",",TRUE,RANDBETWEEN(-1,1),RANDBETWEEN(-1,1))</f>
        <v>0,-1</v>
      </c>
      <c r="AM133" s="1" t="str">
        <f ca="1">_xlfn.TEXTJOIN(",",TRUE,RANDBETWEEN(-1,1),RANDBETWEEN(-1,1))</f>
        <v>-1,-1</v>
      </c>
      <c r="AN133" s="1" t="str">
        <f ca="1">_xlfn.TEXTJOIN(",",TRUE,RANDBETWEEN(-1,1),RANDBETWEEN(-1,1))</f>
        <v>1,1</v>
      </c>
      <c r="AO133" s="1" t="str">
        <f ca="1">_xlfn.TEXTJOIN(",",TRUE,RANDBETWEEN(-1,1),RANDBETWEEN(-1,1))</f>
        <v>-1,1</v>
      </c>
    </row>
    <row r="134" spans="1:41" ht="15.75" customHeight="1">
      <c r="A134" s="1">
        <v>18</v>
      </c>
      <c r="B134" s="1" t="str">
        <f ca="1">_xlfn.TEXTJOIN(",",TRUE,RANDBETWEEN(-1,1),RANDBETWEEN(-1,1))</f>
        <v>-1,0</v>
      </c>
      <c r="C134" s="1" t="str">
        <f ca="1">_xlfn.TEXTJOIN(",",TRUE,RANDBETWEEN(-1,1),RANDBETWEEN(-1,1))</f>
        <v>1,0</v>
      </c>
      <c r="D134" s="1" t="str">
        <f ca="1">_xlfn.TEXTJOIN(",",TRUE,RANDBETWEEN(-1,1),RANDBETWEEN(-1,1))</f>
        <v>1,1</v>
      </c>
      <c r="E134" s="1" t="str">
        <f ca="1">_xlfn.TEXTJOIN(",",TRUE,RANDBETWEEN(-1,1),RANDBETWEEN(-1,1))</f>
        <v>0,-1</v>
      </c>
      <c r="F134" s="1" t="str">
        <f ca="1">_xlfn.TEXTJOIN(",",TRUE,RANDBETWEEN(-1,1),RANDBETWEEN(-1,1))</f>
        <v>1,0</v>
      </c>
      <c r="G134" s="1" t="str">
        <f ca="1">_xlfn.TEXTJOIN(",",TRUE,RANDBETWEEN(-1,1),RANDBETWEEN(-1,1))</f>
        <v>0,0</v>
      </c>
      <c r="H134" s="1" t="str">
        <f ca="1">_xlfn.TEXTJOIN(",",TRUE,RANDBETWEEN(-1,1),RANDBETWEEN(-1,1))</f>
        <v>1,0</v>
      </c>
      <c r="I134" s="1" t="str">
        <f ca="1">_xlfn.TEXTJOIN(",",TRUE,RANDBETWEEN(-1,1),RANDBETWEEN(-1,1))</f>
        <v>1,-1</v>
      </c>
      <c r="J134" s="1" t="str">
        <f ca="1">_xlfn.TEXTJOIN(",",TRUE,RANDBETWEEN(-1,1),RANDBETWEEN(-1,1))</f>
        <v>1,0</v>
      </c>
      <c r="K134" s="1" t="str">
        <f ca="1">_xlfn.TEXTJOIN(",",TRUE,RANDBETWEEN(-1,1),RANDBETWEEN(-1,1))</f>
        <v>0,-1</v>
      </c>
      <c r="L134" s="1" t="str">
        <f ca="1">_xlfn.TEXTJOIN(",",TRUE,RANDBETWEEN(-1,1),RANDBETWEEN(-1,1))</f>
        <v>-1,0</v>
      </c>
      <c r="M134" s="1" t="str">
        <f ca="1">_xlfn.TEXTJOIN(",",TRUE,RANDBETWEEN(-1,1),RANDBETWEEN(-1,1))</f>
        <v>1,0</v>
      </c>
      <c r="N134" s="1" t="str">
        <f ca="1">_xlfn.TEXTJOIN(",",TRUE,RANDBETWEEN(-1,1),RANDBETWEEN(-1,1))</f>
        <v>-1,-1</v>
      </c>
      <c r="O134" s="1" t="str">
        <f ca="1">_xlfn.TEXTJOIN(",",TRUE,RANDBETWEEN(-1,1),RANDBETWEEN(-1,1))</f>
        <v>0,1</v>
      </c>
      <c r="P134" s="1" t="str">
        <f ca="1">_xlfn.TEXTJOIN(",",TRUE,RANDBETWEEN(-1,1),RANDBETWEEN(-1,1))</f>
        <v>0,1</v>
      </c>
      <c r="Q134" s="1" t="str">
        <f ca="1">_xlfn.TEXTJOIN(",",TRUE,RANDBETWEEN(-1,1),RANDBETWEEN(-1,1))</f>
        <v>0,1</v>
      </c>
      <c r="R134" s="1" t="str">
        <f ca="1">_xlfn.TEXTJOIN(",",TRUE,RANDBETWEEN(-1,1),RANDBETWEEN(-1,1))</f>
        <v>-1,0</v>
      </c>
      <c r="S134" s="1" t="str">
        <f ca="1">_xlfn.TEXTJOIN(",",TRUE,RANDBETWEEN(-1,1),RANDBETWEEN(-1,1))</f>
        <v>1,1</v>
      </c>
      <c r="T134" s="1" t="str">
        <f ca="1">_xlfn.TEXTJOIN(",",TRUE,RANDBETWEEN(-1,1),RANDBETWEEN(-1,1))</f>
        <v>0,1</v>
      </c>
      <c r="U134" s="1" t="str">
        <f ca="1">_xlfn.TEXTJOIN(",",TRUE,RANDBETWEEN(-1,1),RANDBETWEEN(-1,1))</f>
        <v>-1,-1</v>
      </c>
      <c r="V134" s="1" t="str">
        <f ca="1">_xlfn.TEXTJOIN(",",TRUE,RANDBETWEEN(-1,1),RANDBETWEEN(-1,1))</f>
        <v>1,1</v>
      </c>
      <c r="W134" s="1" t="str">
        <f ca="1">_xlfn.TEXTJOIN(",",TRUE,RANDBETWEEN(-1,1),RANDBETWEEN(-1,1))</f>
        <v>1,0</v>
      </c>
      <c r="X134" s="1" t="str">
        <f ca="1">_xlfn.TEXTJOIN(",",TRUE,RANDBETWEEN(-1,1),RANDBETWEEN(-1,1))</f>
        <v>0,-1</v>
      </c>
      <c r="Y134" s="1" t="str">
        <f ca="1">_xlfn.TEXTJOIN(",",TRUE,RANDBETWEEN(-1,1),RANDBETWEEN(-1,1))</f>
        <v>-1,-1</v>
      </c>
      <c r="Z134" s="1" t="str">
        <f ca="1">_xlfn.TEXTJOIN(",",TRUE,RANDBETWEEN(-1,1),RANDBETWEEN(-1,1))</f>
        <v>1,1</v>
      </c>
      <c r="AA134" s="1" t="str">
        <f ca="1">_xlfn.TEXTJOIN(",",TRUE,RANDBETWEEN(-1,1),RANDBETWEEN(-1,1))</f>
        <v>1,0</v>
      </c>
      <c r="AB134" s="1" t="str">
        <f ca="1">_xlfn.TEXTJOIN(",",TRUE,RANDBETWEEN(-1,1),RANDBETWEEN(-1,1))</f>
        <v>-1,-1</v>
      </c>
      <c r="AC134" s="1" t="str">
        <f ca="1">_xlfn.TEXTJOIN(",",TRUE,RANDBETWEEN(-1,1),RANDBETWEEN(-1,1))</f>
        <v>0,0</v>
      </c>
      <c r="AD134" s="1" t="str">
        <f ca="1">_xlfn.TEXTJOIN(",",TRUE,RANDBETWEEN(-1,1),RANDBETWEEN(-1,1))</f>
        <v>1,1</v>
      </c>
      <c r="AE134" s="1" t="str">
        <f ca="1">_xlfn.TEXTJOIN(",",TRUE,RANDBETWEEN(-1,1),RANDBETWEEN(-1,1))</f>
        <v>1,0</v>
      </c>
      <c r="AF134" s="1" t="str">
        <f ca="1">_xlfn.TEXTJOIN(",",TRUE,RANDBETWEEN(-1,1),RANDBETWEEN(-1,1))</f>
        <v>-1,-1</v>
      </c>
      <c r="AG134" s="1" t="str">
        <f ca="1">_xlfn.TEXTJOIN(",",TRUE,RANDBETWEEN(-1,1),RANDBETWEEN(-1,1))</f>
        <v>-1,-1</v>
      </c>
      <c r="AH134" s="1" t="str">
        <f ca="1">_xlfn.TEXTJOIN(",",TRUE,RANDBETWEEN(-1,1),RANDBETWEEN(-1,1))</f>
        <v>1,1</v>
      </c>
      <c r="AI134" s="1" t="str">
        <f ca="1">_xlfn.TEXTJOIN(",",TRUE,RANDBETWEEN(-1,1),RANDBETWEEN(-1,1))</f>
        <v>-1,1</v>
      </c>
      <c r="AJ134" s="1" t="str">
        <f ca="1">_xlfn.TEXTJOIN(",",TRUE,RANDBETWEEN(-1,1),RANDBETWEEN(-1,1))</f>
        <v>1,-1</v>
      </c>
      <c r="AK134" s="1" t="str">
        <f ca="1">_xlfn.TEXTJOIN(",",TRUE,RANDBETWEEN(-1,1),RANDBETWEEN(-1,1))</f>
        <v>-1,0</v>
      </c>
      <c r="AL134" s="1" t="str">
        <f ca="1">_xlfn.TEXTJOIN(",",TRUE,RANDBETWEEN(-1,1),RANDBETWEEN(-1,1))</f>
        <v>0,1</v>
      </c>
      <c r="AM134" s="1" t="str">
        <f ca="1">_xlfn.TEXTJOIN(",",TRUE,RANDBETWEEN(-1,1),RANDBETWEEN(-1,1))</f>
        <v>-1,1</v>
      </c>
      <c r="AN134" s="1" t="str">
        <f ca="1">_xlfn.TEXTJOIN(",",TRUE,RANDBETWEEN(-1,1),RANDBETWEEN(-1,1))</f>
        <v>0,0</v>
      </c>
      <c r="AO134" s="1" t="str">
        <f ca="1">_xlfn.TEXTJOIN(",",TRUE,RANDBETWEEN(-1,1),RANDBETWEEN(-1,1))</f>
        <v>-1,1</v>
      </c>
    </row>
    <row r="135" spans="1:41" ht="15.75" customHeight="1">
      <c r="A135" s="1">
        <v>19</v>
      </c>
      <c r="B135" s="1" t="str">
        <f ca="1">_xlfn.TEXTJOIN(",",TRUE,RANDBETWEEN(-1,1),RANDBETWEEN(-1,1))</f>
        <v>-1,0</v>
      </c>
      <c r="C135" s="1" t="str">
        <f ca="1">_xlfn.TEXTJOIN(",",TRUE,RANDBETWEEN(-1,1),RANDBETWEEN(-1,1))</f>
        <v>-1,0</v>
      </c>
      <c r="D135" s="1" t="str">
        <f ca="1">_xlfn.TEXTJOIN(",",TRUE,RANDBETWEEN(-1,1),RANDBETWEEN(-1,1))</f>
        <v>1,0</v>
      </c>
      <c r="E135" s="1" t="str">
        <f ca="1">_xlfn.TEXTJOIN(",",TRUE,RANDBETWEEN(-1,1),RANDBETWEEN(-1,1))</f>
        <v>-1,0</v>
      </c>
      <c r="F135" s="1" t="str">
        <f ca="1">_xlfn.TEXTJOIN(",",TRUE,RANDBETWEEN(-1,1),RANDBETWEEN(-1,1))</f>
        <v>1,1</v>
      </c>
      <c r="G135" s="1" t="str">
        <f ca="1">_xlfn.TEXTJOIN(",",TRUE,RANDBETWEEN(-1,1),RANDBETWEEN(-1,1))</f>
        <v>0,0</v>
      </c>
      <c r="H135" s="1" t="str">
        <f ca="1">_xlfn.TEXTJOIN(",",TRUE,RANDBETWEEN(-1,1),RANDBETWEEN(-1,1))</f>
        <v>0,-1</v>
      </c>
      <c r="I135" s="1" t="str">
        <f ca="1">_xlfn.TEXTJOIN(",",TRUE,RANDBETWEEN(-1,1),RANDBETWEEN(-1,1))</f>
        <v>1,1</v>
      </c>
      <c r="J135" s="1" t="str">
        <f ca="1">_xlfn.TEXTJOIN(",",TRUE,RANDBETWEEN(-1,1),RANDBETWEEN(-1,1))</f>
        <v>-1,-1</v>
      </c>
      <c r="K135" s="1" t="str">
        <f ca="1">_xlfn.TEXTJOIN(",",TRUE,RANDBETWEEN(-1,1),RANDBETWEEN(-1,1))</f>
        <v>-1,-1</v>
      </c>
      <c r="L135" s="1" t="str">
        <f ca="1">_xlfn.TEXTJOIN(",",TRUE,RANDBETWEEN(-1,1),RANDBETWEEN(-1,1))</f>
        <v>-1,-1</v>
      </c>
      <c r="M135" s="1" t="str">
        <f ca="1">_xlfn.TEXTJOIN(",",TRUE,RANDBETWEEN(-1,1),RANDBETWEEN(-1,1))</f>
        <v>1,1</v>
      </c>
      <c r="N135" s="1" t="str">
        <f ca="1">_xlfn.TEXTJOIN(",",TRUE,RANDBETWEEN(-1,1),RANDBETWEEN(-1,1))</f>
        <v>-1,1</v>
      </c>
      <c r="O135" s="1" t="str">
        <f ca="1">_xlfn.TEXTJOIN(",",TRUE,RANDBETWEEN(-1,1),RANDBETWEEN(-1,1))</f>
        <v>0,-1</v>
      </c>
      <c r="P135" s="1" t="str">
        <f ca="1">_xlfn.TEXTJOIN(",",TRUE,RANDBETWEEN(-1,1),RANDBETWEEN(-1,1))</f>
        <v>1,1</v>
      </c>
      <c r="Q135" s="1" t="str">
        <f ca="1">_xlfn.TEXTJOIN(",",TRUE,RANDBETWEEN(-1,1),RANDBETWEEN(-1,1))</f>
        <v>0,-1</v>
      </c>
      <c r="R135" s="1" t="str">
        <f ca="1">_xlfn.TEXTJOIN(",",TRUE,RANDBETWEEN(-1,1),RANDBETWEEN(-1,1))</f>
        <v>1,-1</v>
      </c>
      <c r="S135" s="1" t="str">
        <f ca="1">_xlfn.TEXTJOIN(",",TRUE,RANDBETWEEN(-1,1),RANDBETWEEN(-1,1))</f>
        <v>0,1</v>
      </c>
      <c r="T135" s="1" t="str">
        <f ca="1">_xlfn.TEXTJOIN(",",TRUE,RANDBETWEEN(-1,1),RANDBETWEEN(-1,1))</f>
        <v>1,0</v>
      </c>
      <c r="U135" s="1" t="str">
        <f ca="1">_xlfn.TEXTJOIN(",",TRUE,RANDBETWEEN(-1,1),RANDBETWEEN(-1,1))</f>
        <v>-1,0</v>
      </c>
      <c r="V135" s="1" t="str">
        <f ca="1">_xlfn.TEXTJOIN(",",TRUE,RANDBETWEEN(-1,1),RANDBETWEEN(-1,1))</f>
        <v>-1,-1</v>
      </c>
      <c r="W135" s="1" t="str">
        <f ca="1">_xlfn.TEXTJOIN(",",TRUE,RANDBETWEEN(-1,1),RANDBETWEEN(-1,1))</f>
        <v>1,-1</v>
      </c>
      <c r="X135" s="1" t="str">
        <f ca="1">_xlfn.TEXTJOIN(",",TRUE,RANDBETWEEN(-1,1),RANDBETWEEN(-1,1))</f>
        <v>-1,1</v>
      </c>
      <c r="Y135" s="1" t="str">
        <f ca="1">_xlfn.TEXTJOIN(",",TRUE,RANDBETWEEN(-1,1),RANDBETWEEN(-1,1))</f>
        <v>-1,-1</v>
      </c>
      <c r="Z135" s="1" t="str">
        <f ca="1">_xlfn.TEXTJOIN(",",TRUE,RANDBETWEEN(-1,1),RANDBETWEEN(-1,1))</f>
        <v>-1,-1</v>
      </c>
      <c r="AA135" s="1" t="str">
        <f ca="1">_xlfn.TEXTJOIN(",",TRUE,RANDBETWEEN(-1,1),RANDBETWEEN(-1,1))</f>
        <v>-1,1</v>
      </c>
      <c r="AB135" s="1" t="str">
        <f ca="1">_xlfn.TEXTJOIN(",",TRUE,RANDBETWEEN(-1,1),RANDBETWEEN(-1,1))</f>
        <v>1,1</v>
      </c>
      <c r="AC135" s="1" t="str">
        <f ca="1">_xlfn.TEXTJOIN(",",TRUE,RANDBETWEEN(-1,1),RANDBETWEEN(-1,1))</f>
        <v>-1,0</v>
      </c>
      <c r="AD135" s="1" t="str">
        <f ca="1">_xlfn.TEXTJOIN(",",TRUE,RANDBETWEEN(-1,1),RANDBETWEEN(-1,1))</f>
        <v>-1,1</v>
      </c>
      <c r="AE135" s="1" t="str">
        <f ca="1">_xlfn.TEXTJOIN(",",TRUE,RANDBETWEEN(-1,1),RANDBETWEEN(-1,1))</f>
        <v>-1,-1</v>
      </c>
      <c r="AF135" s="1" t="str">
        <f ca="1">_xlfn.TEXTJOIN(",",TRUE,RANDBETWEEN(-1,1),RANDBETWEEN(-1,1))</f>
        <v>-1,-1</v>
      </c>
      <c r="AG135" s="1" t="str">
        <f ca="1">_xlfn.TEXTJOIN(",",TRUE,RANDBETWEEN(-1,1),RANDBETWEEN(-1,1))</f>
        <v>-1,-1</v>
      </c>
      <c r="AH135" s="1" t="str">
        <f ca="1">_xlfn.TEXTJOIN(",",TRUE,RANDBETWEEN(-1,1),RANDBETWEEN(-1,1))</f>
        <v>0,0</v>
      </c>
      <c r="AI135" s="1" t="str">
        <f ca="1">_xlfn.TEXTJOIN(",",TRUE,RANDBETWEEN(-1,1),RANDBETWEEN(-1,1))</f>
        <v>1,0</v>
      </c>
      <c r="AJ135" s="1" t="str">
        <f ca="1">_xlfn.TEXTJOIN(",",TRUE,RANDBETWEEN(-1,1),RANDBETWEEN(-1,1))</f>
        <v>1,1</v>
      </c>
      <c r="AK135" s="1" t="str">
        <f ca="1">_xlfn.TEXTJOIN(",",TRUE,RANDBETWEEN(-1,1),RANDBETWEEN(-1,1))</f>
        <v>1,1</v>
      </c>
      <c r="AL135" s="1" t="str">
        <f ca="1">_xlfn.TEXTJOIN(",",TRUE,RANDBETWEEN(-1,1),RANDBETWEEN(-1,1))</f>
        <v>-1,1</v>
      </c>
      <c r="AM135" s="1" t="str">
        <f ca="1">_xlfn.TEXTJOIN(",",TRUE,RANDBETWEEN(-1,1),RANDBETWEEN(-1,1))</f>
        <v>1,1</v>
      </c>
      <c r="AN135" s="1" t="str">
        <f ca="1">_xlfn.TEXTJOIN(",",TRUE,RANDBETWEEN(-1,1),RANDBETWEEN(-1,1))</f>
        <v>0,1</v>
      </c>
      <c r="AO135" s="1" t="str">
        <f ca="1">_xlfn.TEXTJOIN(",",TRUE,RANDBETWEEN(-1,1),RANDBETWEEN(-1,1))</f>
        <v>1,0</v>
      </c>
    </row>
    <row r="136" spans="1:41" ht="15.75" customHeight="1">
      <c r="A136" s="1">
        <v>20</v>
      </c>
      <c r="B136" s="1" t="str">
        <f ca="1">_xlfn.TEXTJOIN(",",TRUE,RANDBETWEEN(-1,1),RANDBETWEEN(-1,1))</f>
        <v>1,-1</v>
      </c>
      <c r="C136" s="1" t="str">
        <f ca="1">_xlfn.TEXTJOIN(",",TRUE,RANDBETWEEN(-1,1),RANDBETWEEN(-1,1))</f>
        <v>1,0</v>
      </c>
      <c r="D136" s="1" t="str">
        <f ca="1">_xlfn.TEXTJOIN(",",TRUE,RANDBETWEEN(-1,1),RANDBETWEEN(-1,1))</f>
        <v>0,1</v>
      </c>
      <c r="E136" s="1" t="str">
        <f ca="1">_xlfn.TEXTJOIN(",",TRUE,RANDBETWEEN(-1,1),RANDBETWEEN(-1,1))</f>
        <v>0,0</v>
      </c>
      <c r="F136" s="1" t="str">
        <f ca="1">_xlfn.TEXTJOIN(",",TRUE,RANDBETWEEN(-1,1),RANDBETWEEN(-1,1))</f>
        <v>1,1</v>
      </c>
      <c r="G136" s="1" t="str">
        <f ca="1">_xlfn.TEXTJOIN(",",TRUE,RANDBETWEEN(-1,1),RANDBETWEEN(-1,1))</f>
        <v>-1,1</v>
      </c>
      <c r="H136" s="1" t="str">
        <f ca="1">_xlfn.TEXTJOIN(",",TRUE,RANDBETWEEN(-1,1),RANDBETWEEN(-1,1))</f>
        <v>1,1</v>
      </c>
      <c r="I136" s="1" t="str">
        <f ca="1">_xlfn.TEXTJOIN(",",TRUE,RANDBETWEEN(-1,1),RANDBETWEEN(-1,1))</f>
        <v>1,1</v>
      </c>
      <c r="J136" s="1" t="str">
        <f ca="1">_xlfn.TEXTJOIN(",",TRUE,RANDBETWEEN(-1,1),RANDBETWEEN(-1,1))</f>
        <v>1,1</v>
      </c>
      <c r="K136" s="1" t="str">
        <f ca="1">_xlfn.TEXTJOIN(",",TRUE,RANDBETWEEN(-1,1),RANDBETWEEN(-1,1))</f>
        <v>-1,-1</v>
      </c>
      <c r="L136" s="1" t="str">
        <f ca="1">_xlfn.TEXTJOIN(",",TRUE,RANDBETWEEN(-1,1),RANDBETWEEN(-1,1))</f>
        <v>1,1</v>
      </c>
      <c r="M136" s="1" t="str">
        <f ca="1">_xlfn.TEXTJOIN(",",TRUE,RANDBETWEEN(-1,1),RANDBETWEEN(-1,1))</f>
        <v>-1,1</v>
      </c>
      <c r="N136" s="1" t="str">
        <f ca="1">_xlfn.TEXTJOIN(",",TRUE,RANDBETWEEN(-1,1),RANDBETWEEN(-1,1))</f>
        <v>-1,-1</v>
      </c>
      <c r="O136" s="1" t="str">
        <f ca="1">_xlfn.TEXTJOIN(",",TRUE,RANDBETWEEN(-1,1),RANDBETWEEN(-1,1))</f>
        <v>1,0</v>
      </c>
      <c r="P136" s="1" t="str">
        <f ca="1">_xlfn.TEXTJOIN(",",TRUE,RANDBETWEEN(-1,1),RANDBETWEEN(-1,1))</f>
        <v>0,-1</v>
      </c>
      <c r="Q136" s="1" t="str">
        <f ca="1">_xlfn.TEXTJOIN(",",TRUE,RANDBETWEEN(-1,1),RANDBETWEEN(-1,1))</f>
        <v>0,1</v>
      </c>
      <c r="R136" s="1" t="str">
        <f ca="1">_xlfn.TEXTJOIN(",",TRUE,RANDBETWEEN(-1,1),RANDBETWEEN(-1,1))</f>
        <v>0,0</v>
      </c>
      <c r="S136" s="1" t="str">
        <f ca="1">_xlfn.TEXTJOIN(",",TRUE,RANDBETWEEN(-1,1),RANDBETWEEN(-1,1))</f>
        <v>-1,-1</v>
      </c>
      <c r="T136" s="1" t="str">
        <f ca="1">_xlfn.TEXTJOIN(",",TRUE,RANDBETWEEN(-1,1),RANDBETWEEN(-1,1))</f>
        <v>1,0</v>
      </c>
      <c r="U136" s="1" t="str">
        <f ca="1">_xlfn.TEXTJOIN(",",TRUE,RANDBETWEEN(-1,1),RANDBETWEEN(-1,1))</f>
        <v>1,0</v>
      </c>
      <c r="V136" s="1" t="str">
        <f ca="1">_xlfn.TEXTJOIN(",",TRUE,RANDBETWEEN(-1,1),RANDBETWEEN(-1,1))</f>
        <v>0,1</v>
      </c>
      <c r="W136" s="1" t="str">
        <f ca="1">_xlfn.TEXTJOIN(",",TRUE,RANDBETWEEN(-1,1),RANDBETWEEN(-1,1))</f>
        <v>1,1</v>
      </c>
      <c r="X136" s="1" t="str">
        <f ca="1">_xlfn.TEXTJOIN(",",TRUE,RANDBETWEEN(-1,1),RANDBETWEEN(-1,1))</f>
        <v>0,0</v>
      </c>
      <c r="Y136" s="1" t="str">
        <f ca="1">_xlfn.TEXTJOIN(",",TRUE,RANDBETWEEN(-1,1),RANDBETWEEN(-1,1))</f>
        <v>1,1</v>
      </c>
      <c r="Z136" s="1" t="str">
        <f ca="1">_xlfn.TEXTJOIN(",",TRUE,RANDBETWEEN(-1,1),RANDBETWEEN(-1,1))</f>
        <v>0,0</v>
      </c>
      <c r="AA136" s="1" t="str">
        <f ca="1">_xlfn.TEXTJOIN(",",TRUE,RANDBETWEEN(-1,1),RANDBETWEEN(-1,1))</f>
        <v>1,0</v>
      </c>
      <c r="AB136" s="1" t="str">
        <f ca="1">_xlfn.TEXTJOIN(",",TRUE,RANDBETWEEN(-1,1),RANDBETWEEN(-1,1))</f>
        <v>0,1</v>
      </c>
      <c r="AC136" s="1" t="str">
        <f ca="1">_xlfn.TEXTJOIN(",",TRUE,RANDBETWEEN(-1,1),RANDBETWEEN(-1,1))</f>
        <v>0,0</v>
      </c>
      <c r="AD136" s="1" t="str">
        <f ca="1">_xlfn.TEXTJOIN(",",TRUE,RANDBETWEEN(-1,1),RANDBETWEEN(-1,1))</f>
        <v>-1,-1</v>
      </c>
      <c r="AE136" s="1" t="str">
        <f ca="1">_xlfn.TEXTJOIN(",",TRUE,RANDBETWEEN(-1,1),RANDBETWEEN(-1,1))</f>
        <v>1,1</v>
      </c>
      <c r="AF136" s="1" t="str">
        <f ca="1">_xlfn.TEXTJOIN(",",TRUE,RANDBETWEEN(-1,1),RANDBETWEEN(-1,1))</f>
        <v>1,-1</v>
      </c>
      <c r="AG136" s="1" t="str">
        <f ca="1">_xlfn.TEXTJOIN(",",TRUE,RANDBETWEEN(-1,1),RANDBETWEEN(-1,1))</f>
        <v>-1,1</v>
      </c>
      <c r="AH136" s="1" t="str">
        <f ca="1">_xlfn.TEXTJOIN(",",TRUE,RANDBETWEEN(-1,1),RANDBETWEEN(-1,1))</f>
        <v>-1,0</v>
      </c>
      <c r="AI136" s="1" t="str">
        <f ca="1">_xlfn.TEXTJOIN(",",TRUE,RANDBETWEEN(-1,1),RANDBETWEEN(-1,1))</f>
        <v>0,1</v>
      </c>
      <c r="AJ136" s="1" t="str">
        <f ca="1">_xlfn.TEXTJOIN(",",TRUE,RANDBETWEEN(-1,1),RANDBETWEEN(-1,1))</f>
        <v>-1,-1</v>
      </c>
      <c r="AK136" s="1" t="str">
        <f ca="1">_xlfn.TEXTJOIN(",",TRUE,RANDBETWEEN(-1,1),RANDBETWEEN(-1,1))</f>
        <v>0,0</v>
      </c>
      <c r="AL136" s="1" t="str">
        <f ca="1">_xlfn.TEXTJOIN(",",TRUE,RANDBETWEEN(-1,1),RANDBETWEEN(-1,1))</f>
        <v>-1,-1</v>
      </c>
      <c r="AM136" s="1" t="str">
        <f ca="1">_xlfn.TEXTJOIN(",",TRUE,RANDBETWEEN(-1,1),RANDBETWEEN(-1,1))</f>
        <v>1,1</v>
      </c>
      <c r="AN136" s="1" t="str">
        <f ca="1">_xlfn.TEXTJOIN(",",TRUE,RANDBETWEEN(-1,1),RANDBETWEEN(-1,1))</f>
        <v>-1,-1</v>
      </c>
      <c r="AO136" s="1" t="str">
        <f ca="1">_xlfn.TEXTJOIN(",",TRUE,RANDBETWEEN(-1,1),RANDBETWEEN(-1,1))</f>
        <v>1,0</v>
      </c>
    </row>
    <row r="137" spans="1:41" ht="15.75" customHeight="1">
      <c r="A137" s="1">
        <v>21</v>
      </c>
      <c r="B137" s="1" t="str">
        <f ca="1">_xlfn.TEXTJOIN(",",TRUE,RANDBETWEEN(-1,1),RANDBETWEEN(-1,1))</f>
        <v>-1,-1</v>
      </c>
      <c r="C137" s="1" t="str">
        <f ca="1">_xlfn.TEXTJOIN(",",TRUE,RANDBETWEEN(-1,1),RANDBETWEEN(-1,1))</f>
        <v>0,1</v>
      </c>
      <c r="D137" s="1" t="str">
        <f ca="1">_xlfn.TEXTJOIN(",",TRUE,RANDBETWEEN(-1,1),RANDBETWEEN(-1,1))</f>
        <v>1,-1</v>
      </c>
      <c r="E137" s="1" t="str">
        <f ca="1">_xlfn.TEXTJOIN(",",TRUE,RANDBETWEEN(-1,1),RANDBETWEEN(-1,1))</f>
        <v>1,0</v>
      </c>
      <c r="F137" s="1" t="str">
        <f ca="1">_xlfn.TEXTJOIN(",",TRUE,RANDBETWEEN(-1,1),RANDBETWEEN(-1,1))</f>
        <v>1,1</v>
      </c>
      <c r="G137" s="1" t="str">
        <f ca="1">_xlfn.TEXTJOIN(",",TRUE,RANDBETWEEN(-1,1),RANDBETWEEN(-1,1))</f>
        <v>-1,0</v>
      </c>
      <c r="H137" s="1" t="str">
        <f ca="1">_xlfn.TEXTJOIN(",",TRUE,RANDBETWEEN(-1,1),RANDBETWEEN(-1,1))</f>
        <v>0,0</v>
      </c>
      <c r="I137" s="1" t="str">
        <f ca="1">_xlfn.TEXTJOIN(",",TRUE,RANDBETWEEN(-1,1),RANDBETWEEN(-1,1))</f>
        <v>0,-1</v>
      </c>
      <c r="J137" s="1" t="str">
        <f ca="1">_xlfn.TEXTJOIN(",",TRUE,RANDBETWEEN(-1,1),RANDBETWEEN(-1,1))</f>
        <v>1,0</v>
      </c>
      <c r="K137" s="1" t="str">
        <f ca="1">_xlfn.TEXTJOIN(",",TRUE,RANDBETWEEN(-1,1),RANDBETWEEN(-1,1))</f>
        <v>1,1</v>
      </c>
      <c r="L137" s="1" t="str">
        <f ca="1">_xlfn.TEXTJOIN(",",TRUE,RANDBETWEEN(-1,1),RANDBETWEEN(-1,1))</f>
        <v>0,-1</v>
      </c>
      <c r="M137" s="1" t="str">
        <f ca="1">_xlfn.TEXTJOIN(",",TRUE,RANDBETWEEN(-1,1),RANDBETWEEN(-1,1))</f>
        <v>0,-1</v>
      </c>
      <c r="N137" s="1" t="str">
        <f ca="1">_xlfn.TEXTJOIN(",",TRUE,RANDBETWEEN(-1,1),RANDBETWEEN(-1,1))</f>
        <v>-1,1</v>
      </c>
      <c r="O137" s="1" t="str">
        <f ca="1">_xlfn.TEXTJOIN(",",TRUE,RANDBETWEEN(-1,1),RANDBETWEEN(-1,1))</f>
        <v>-1,0</v>
      </c>
      <c r="P137" s="1" t="str">
        <f ca="1">_xlfn.TEXTJOIN(",",TRUE,RANDBETWEEN(-1,1),RANDBETWEEN(-1,1))</f>
        <v>-1,1</v>
      </c>
      <c r="Q137" s="1" t="str">
        <f ca="1">_xlfn.TEXTJOIN(",",TRUE,RANDBETWEEN(-1,1),RANDBETWEEN(-1,1))</f>
        <v>1,-1</v>
      </c>
      <c r="R137" s="1" t="str">
        <f ca="1">_xlfn.TEXTJOIN(",",TRUE,RANDBETWEEN(-1,1),RANDBETWEEN(-1,1))</f>
        <v>0,1</v>
      </c>
      <c r="S137" s="1" t="str">
        <f ca="1">_xlfn.TEXTJOIN(",",TRUE,RANDBETWEEN(-1,1),RANDBETWEEN(-1,1))</f>
        <v>-1,1</v>
      </c>
      <c r="T137" s="1" t="str">
        <f ca="1">_xlfn.TEXTJOIN(",",TRUE,RANDBETWEEN(-1,1),RANDBETWEEN(-1,1))</f>
        <v>-1,0</v>
      </c>
      <c r="U137" s="1" t="str">
        <f ca="1">_xlfn.TEXTJOIN(",",TRUE,RANDBETWEEN(-1,1),RANDBETWEEN(-1,1))</f>
        <v>1,1</v>
      </c>
      <c r="V137" s="1" t="str">
        <f ca="1">_xlfn.TEXTJOIN(",",TRUE,RANDBETWEEN(-1,1),RANDBETWEEN(-1,1))</f>
        <v>-1,1</v>
      </c>
      <c r="W137" s="1" t="str">
        <f ca="1">_xlfn.TEXTJOIN(",",TRUE,RANDBETWEEN(-1,1),RANDBETWEEN(-1,1))</f>
        <v>0,-1</v>
      </c>
      <c r="X137" s="1" t="str">
        <f ca="1">_xlfn.TEXTJOIN(",",TRUE,RANDBETWEEN(-1,1),RANDBETWEEN(-1,1))</f>
        <v>-1,0</v>
      </c>
      <c r="Y137" s="1" t="str">
        <f ca="1">_xlfn.TEXTJOIN(",",TRUE,RANDBETWEEN(-1,1),RANDBETWEEN(-1,1))</f>
        <v>0,1</v>
      </c>
      <c r="Z137" s="1" t="str">
        <f ca="1">_xlfn.TEXTJOIN(",",TRUE,RANDBETWEEN(-1,1),RANDBETWEEN(-1,1))</f>
        <v>0,-1</v>
      </c>
      <c r="AA137" s="1" t="str">
        <f ca="1">_xlfn.TEXTJOIN(",",TRUE,RANDBETWEEN(-1,1),RANDBETWEEN(-1,1))</f>
        <v>0,0</v>
      </c>
      <c r="AB137" s="1" t="str">
        <f ca="1">_xlfn.TEXTJOIN(",",TRUE,RANDBETWEEN(-1,1),RANDBETWEEN(-1,1))</f>
        <v>1,0</v>
      </c>
      <c r="AC137" s="1" t="str">
        <f ca="1">_xlfn.TEXTJOIN(",",TRUE,RANDBETWEEN(-1,1),RANDBETWEEN(-1,1))</f>
        <v>0,1</v>
      </c>
      <c r="AD137" s="1" t="str">
        <f ca="1">_xlfn.TEXTJOIN(",",TRUE,RANDBETWEEN(-1,1),RANDBETWEEN(-1,1))</f>
        <v>1,-1</v>
      </c>
      <c r="AE137" s="1" t="str">
        <f ca="1">_xlfn.TEXTJOIN(",",TRUE,RANDBETWEEN(-1,1),RANDBETWEEN(-1,1))</f>
        <v>0,0</v>
      </c>
      <c r="AF137" s="1" t="str">
        <f ca="1">_xlfn.TEXTJOIN(",",TRUE,RANDBETWEEN(-1,1),RANDBETWEEN(-1,1))</f>
        <v>1,0</v>
      </c>
      <c r="AG137" s="1" t="str">
        <f ca="1">_xlfn.TEXTJOIN(",",TRUE,RANDBETWEEN(-1,1),RANDBETWEEN(-1,1))</f>
        <v>0,0</v>
      </c>
      <c r="AH137" s="1" t="str">
        <f ca="1">_xlfn.TEXTJOIN(",",TRUE,RANDBETWEEN(-1,1),RANDBETWEEN(-1,1))</f>
        <v>1,1</v>
      </c>
      <c r="AI137" s="1" t="str">
        <f ca="1">_xlfn.TEXTJOIN(",",TRUE,RANDBETWEEN(-1,1),RANDBETWEEN(-1,1))</f>
        <v>1,1</v>
      </c>
      <c r="AJ137" s="1" t="str">
        <f ca="1">_xlfn.TEXTJOIN(",",TRUE,RANDBETWEEN(-1,1),RANDBETWEEN(-1,1))</f>
        <v>-1,-1</v>
      </c>
      <c r="AK137" s="1" t="str">
        <f ca="1">_xlfn.TEXTJOIN(",",TRUE,RANDBETWEEN(-1,1),RANDBETWEEN(-1,1))</f>
        <v>0,-1</v>
      </c>
      <c r="AL137" s="1" t="str">
        <f ca="1">_xlfn.TEXTJOIN(",",TRUE,RANDBETWEEN(-1,1),RANDBETWEEN(-1,1))</f>
        <v>1,0</v>
      </c>
      <c r="AM137" s="1" t="str">
        <f ca="1">_xlfn.TEXTJOIN(",",TRUE,RANDBETWEEN(-1,1),RANDBETWEEN(-1,1))</f>
        <v>1,-1</v>
      </c>
      <c r="AN137" s="1" t="str">
        <f ca="1">_xlfn.TEXTJOIN(",",TRUE,RANDBETWEEN(-1,1),RANDBETWEEN(-1,1))</f>
        <v>0,1</v>
      </c>
      <c r="AO137" s="1" t="str">
        <f ca="1">_xlfn.TEXTJOIN(",",TRUE,RANDBETWEEN(-1,1),RANDBETWEEN(-1,1))</f>
        <v>1,0</v>
      </c>
    </row>
    <row r="138" spans="1:41" ht="15.75" customHeight="1">
      <c r="A138" s="1">
        <v>22</v>
      </c>
      <c r="B138" s="1" t="str">
        <f ca="1">_xlfn.TEXTJOIN(",",TRUE,RANDBETWEEN(-1,1),RANDBETWEEN(-1,1))</f>
        <v>-1,1</v>
      </c>
      <c r="C138" s="1" t="str">
        <f ca="1">_xlfn.TEXTJOIN(",",TRUE,RANDBETWEEN(-1,1),RANDBETWEEN(-1,1))</f>
        <v>0,-1</v>
      </c>
      <c r="D138" s="1" t="str">
        <f ca="1">_xlfn.TEXTJOIN(",",TRUE,RANDBETWEEN(-1,1),RANDBETWEEN(-1,1))</f>
        <v>0,-1</v>
      </c>
      <c r="E138" s="1" t="str">
        <f ca="1">_xlfn.TEXTJOIN(",",TRUE,RANDBETWEEN(-1,1),RANDBETWEEN(-1,1))</f>
        <v>1,1</v>
      </c>
      <c r="F138" s="1" t="str">
        <f ca="1">_xlfn.TEXTJOIN(",",TRUE,RANDBETWEEN(-1,1),RANDBETWEEN(-1,1))</f>
        <v>-1,0</v>
      </c>
      <c r="G138" s="1" t="str">
        <f ca="1">_xlfn.TEXTJOIN(",",TRUE,RANDBETWEEN(-1,1),RANDBETWEEN(-1,1))</f>
        <v>1,1</v>
      </c>
      <c r="H138" s="1" t="str">
        <f ca="1">_xlfn.TEXTJOIN(",",TRUE,RANDBETWEEN(-1,1),RANDBETWEEN(-1,1))</f>
        <v>-1,1</v>
      </c>
      <c r="I138" s="1" t="str">
        <f ca="1">_xlfn.TEXTJOIN(",",TRUE,RANDBETWEEN(-1,1),RANDBETWEEN(-1,1))</f>
        <v>0,-1</v>
      </c>
      <c r="J138" s="1" t="str">
        <f ca="1">_xlfn.TEXTJOIN(",",TRUE,RANDBETWEEN(-1,1),RANDBETWEEN(-1,1))</f>
        <v>1,1</v>
      </c>
      <c r="K138" s="1" t="str">
        <f ca="1">_xlfn.TEXTJOIN(",",TRUE,RANDBETWEEN(-1,1),RANDBETWEEN(-1,1))</f>
        <v>0,-1</v>
      </c>
      <c r="L138" s="1" t="str">
        <f ca="1">_xlfn.TEXTJOIN(",",TRUE,RANDBETWEEN(-1,1),RANDBETWEEN(-1,1))</f>
        <v>0,0</v>
      </c>
      <c r="M138" s="1" t="str">
        <f ca="1">_xlfn.TEXTJOIN(",",TRUE,RANDBETWEEN(-1,1),RANDBETWEEN(-1,1))</f>
        <v>-1,-1</v>
      </c>
      <c r="N138" s="1" t="str">
        <f ca="1">_xlfn.TEXTJOIN(",",TRUE,RANDBETWEEN(-1,1),RANDBETWEEN(-1,1))</f>
        <v>1,-1</v>
      </c>
      <c r="O138" s="1" t="str">
        <f ca="1">_xlfn.TEXTJOIN(",",TRUE,RANDBETWEEN(-1,1),RANDBETWEEN(-1,1))</f>
        <v>1,0</v>
      </c>
      <c r="P138" s="1" t="str">
        <f ca="1">_xlfn.TEXTJOIN(",",TRUE,RANDBETWEEN(-1,1),RANDBETWEEN(-1,1))</f>
        <v>-1,0</v>
      </c>
      <c r="Q138" s="1" t="str">
        <f ca="1">_xlfn.TEXTJOIN(",",TRUE,RANDBETWEEN(-1,1),RANDBETWEEN(-1,1))</f>
        <v>-1,0</v>
      </c>
      <c r="R138" s="1" t="str">
        <f ca="1">_xlfn.TEXTJOIN(",",TRUE,RANDBETWEEN(-1,1),RANDBETWEEN(-1,1))</f>
        <v>1,-1</v>
      </c>
      <c r="S138" s="1" t="str">
        <f ca="1">_xlfn.TEXTJOIN(",",TRUE,RANDBETWEEN(-1,1),RANDBETWEEN(-1,1))</f>
        <v>0,-1</v>
      </c>
      <c r="T138" s="1" t="str">
        <f ca="1">_xlfn.TEXTJOIN(",",TRUE,RANDBETWEEN(-1,1),RANDBETWEEN(-1,1))</f>
        <v>0,-1</v>
      </c>
      <c r="U138" s="1" t="str">
        <f ca="1">_xlfn.TEXTJOIN(",",TRUE,RANDBETWEEN(-1,1),RANDBETWEEN(-1,1))</f>
        <v>0,0</v>
      </c>
      <c r="V138" s="1" t="str">
        <f ca="1">_xlfn.TEXTJOIN(",",TRUE,RANDBETWEEN(-1,1),RANDBETWEEN(-1,1))</f>
        <v>-1,0</v>
      </c>
      <c r="W138" s="1" t="str">
        <f ca="1">_xlfn.TEXTJOIN(",",TRUE,RANDBETWEEN(-1,1),RANDBETWEEN(-1,1))</f>
        <v>1,1</v>
      </c>
      <c r="X138" s="1" t="str">
        <f ca="1">_xlfn.TEXTJOIN(",",TRUE,RANDBETWEEN(-1,1),RANDBETWEEN(-1,1))</f>
        <v>1,0</v>
      </c>
      <c r="Y138" s="1" t="str">
        <f ca="1">_xlfn.TEXTJOIN(",",TRUE,RANDBETWEEN(-1,1),RANDBETWEEN(-1,1))</f>
        <v>0,-1</v>
      </c>
      <c r="Z138" s="1" t="str">
        <f ca="1">_xlfn.TEXTJOIN(",",TRUE,RANDBETWEEN(-1,1),RANDBETWEEN(-1,1))</f>
        <v>1,-1</v>
      </c>
      <c r="AA138" s="1" t="str">
        <f ca="1">_xlfn.TEXTJOIN(",",TRUE,RANDBETWEEN(-1,1),RANDBETWEEN(-1,1))</f>
        <v>-1,-1</v>
      </c>
      <c r="AB138" s="1" t="str">
        <f ca="1">_xlfn.TEXTJOIN(",",TRUE,RANDBETWEEN(-1,1),RANDBETWEEN(-1,1))</f>
        <v>1,-1</v>
      </c>
      <c r="AC138" s="1" t="str">
        <f ca="1">_xlfn.TEXTJOIN(",",TRUE,RANDBETWEEN(-1,1),RANDBETWEEN(-1,1))</f>
        <v>0,-1</v>
      </c>
      <c r="AD138" s="1" t="str">
        <f ca="1">_xlfn.TEXTJOIN(",",TRUE,RANDBETWEEN(-1,1),RANDBETWEEN(-1,1))</f>
        <v>1,-1</v>
      </c>
      <c r="AE138" s="1" t="str">
        <f ca="1">_xlfn.TEXTJOIN(",",TRUE,RANDBETWEEN(-1,1),RANDBETWEEN(-1,1))</f>
        <v>0,0</v>
      </c>
      <c r="AF138" s="1" t="str">
        <f ca="1">_xlfn.TEXTJOIN(",",TRUE,RANDBETWEEN(-1,1),RANDBETWEEN(-1,1))</f>
        <v>-1,-1</v>
      </c>
      <c r="AG138" s="1" t="str">
        <f ca="1">_xlfn.TEXTJOIN(",",TRUE,RANDBETWEEN(-1,1),RANDBETWEEN(-1,1))</f>
        <v>0,0</v>
      </c>
      <c r="AH138" s="1" t="str">
        <f ca="1">_xlfn.TEXTJOIN(",",TRUE,RANDBETWEEN(-1,1),RANDBETWEEN(-1,1))</f>
        <v>0,1</v>
      </c>
      <c r="AI138" s="1" t="str">
        <f ca="1">_xlfn.TEXTJOIN(",",TRUE,RANDBETWEEN(-1,1),RANDBETWEEN(-1,1))</f>
        <v>-1,-1</v>
      </c>
      <c r="AJ138" s="1" t="str">
        <f ca="1">_xlfn.TEXTJOIN(",",TRUE,RANDBETWEEN(-1,1),RANDBETWEEN(-1,1))</f>
        <v>0,1</v>
      </c>
      <c r="AK138" s="1" t="str">
        <f ca="1">_xlfn.TEXTJOIN(",",TRUE,RANDBETWEEN(-1,1),RANDBETWEEN(-1,1))</f>
        <v>-1,0</v>
      </c>
      <c r="AL138" s="1" t="str">
        <f ca="1">_xlfn.TEXTJOIN(",",TRUE,RANDBETWEEN(-1,1),RANDBETWEEN(-1,1))</f>
        <v>-1,1</v>
      </c>
      <c r="AM138" s="1" t="str">
        <f ca="1">_xlfn.TEXTJOIN(",",TRUE,RANDBETWEEN(-1,1),RANDBETWEEN(-1,1))</f>
        <v>0,-1</v>
      </c>
      <c r="AN138" s="1" t="str">
        <f ca="1">_xlfn.TEXTJOIN(",",TRUE,RANDBETWEEN(-1,1),RANDBETWEEN(-1,1))</f>
        <v>-1,1</v>
      </c>
      <c r="AO138" s="1" t="str">
        <f ca="1">_xlfn.TEXTJOIN(",",TRUE,RANDBETWEEN(-1,1),RANDBETWEEN(-1,1))</f>
        <v>1,-1</v>
      </c>
    </row>
    <row r="139" spans="1:41" ht="15.75" customHeight="1">
      <c r="A139" s="1">
        <v>23</v>
      </c>
      <c r="B139" s="1" t="str">
        <f ca="1">_xlfn.TEXTJOIN(",",TRUE,RANDBETWEEN(-1,1),RANDBETWEEN(-1,1))</f>
        <v>0,-1</v>
      </c>
      <c r="C139" s="1" t="str">
        <f ca="1">_xlfn.TEXTJOIN(",",TRUE,RANDBETWEEN(-1,1),RANDBETWEEN(-1,1))</f>
        <v>-1,1</v>
      </c>
      <c r="D139" s="1" t="str">
        <f ca="1">_xlfn.TEXTJOIN(",",TRUE,RANDBETWEEN(-1,1),RANDBETWEEN(-1,1))</f>
        <v>1,1</v>
      </c>
      <c r="E139" s="1" t="str">
        <f ca="1">_xlfn.TEXTJOIN(",",TRUE,RANDBETWEEN(-1,1),RANDBETWEEN(-1,1))</f>
        <v>-1,1</v>
      </c>
      <c r="F139" s="1" t="str">
        <f ca="1">_xlfn.TEXTJOIN(",",TRUE,RANDBETWEEN(-1,1),RANDBETWEEN(-1,1))</f>
        <v>-1,0</v>
      </c>
      <c r="G139" s="1" t="str">
        <f ca="1">_xlfn.TEXTJOIN(",",TRUE,RANDBETWEEN(-1,1),RANDBETWEEN(-1,1))</f>
        <v>1,0</v>
      </c>
      <c r="H139" s="1" t="str">
        <f ca="1">_xlfn.TEXTJOIN(",",TRUE,RANDBETWEEN(-1,1),RANDBETWEEN(-1,1))</f>
        <v>1,-1</v>
      </c>
      <c r="I139" s="1" t="str">
        <f ca="1">_xlfn.TEXTJOIN(",",TRUE,RANDBETWEEN(-1,1),RANDBETWEEN(-1,1))</f>
        <v>0,-1</v>
      </c>
      <c r="J139" s="1" t="str">
        <f ca="1">_xlfn.TEXTJOIN(",",TRUE,RANDBETWEEN(-1,1),RANDBETWEEN(-1,1))</f>
        <v>-1,1</v>
      </c>
      <c r="K139" s="1" t="str">
        <f ca="1">_xlfn.TEXTJOIN(",",TRUE,RANDBETWEEN(-1,1),RANDBETWEEN(-1,1))</f>
        <v>-1,-1</v>
      </c>
      <c r="L139" s="1" t="str">
        <f ca="1">_xlfn.TEXTJOIN(",",TRUE,RANDBETWEEN(-1,1),RANDBETWEEN(-1,1))</f>
        <v>1,1</v>
      </c>
      <c r="M139" s="1" t="str">
        <f ca="1">_xlfn.TEXTJOIN(",",TRUE,RANDBETWEEN(-1,1),RANDBETWEEN(-1,1))</f>
        <v>0,0</v>
      </c>
      <c r="N139" s="1" t="str">
        <f ca="1">_xlfn.TEXTJOIN(",",TRUE,RANDBETWEEN(-1,1),RANDBETWEEN(-1,1))</f>
        <v>-1,0</v>
      </c>
      <c r="O139" s="1" t="str">
        <f ca="1">_xlfn.TEXTJOIN(",",TRUE,RANDBETWEEN(-1,1),RANDBETWEEN(-1,1))</f>
        <v>1,1</v>
      </c>
      <c r="P139" s="1" t="str">
        <f ca="1">_xlfn.TEXTJOIN(",",TRUE,RANDBETWEEN(-1,1),RANDBETWEEN(-1,1))</f>
        <v>0,1</v>
      </c>
      <c r="Q139" s="1" t="str">
        <f ca="1">_xlfn.TEXTJOIN(",",TRUE,RANDBETWEEN(-1,1),RANDBETWEEN(-1,1))</f>
        <v>1,0</v>
      </c>
      <c r="R139" s="1" t="str">
        <f ca="1">_xlfn.TEXTJOIN(",",TRUE,RANDBETWEEN(-1,1),RANDBETWEEN(-1,1))</f>
        <v>1,-1</v>
      </c>
      <c r="S139" s="1" t="str">
        <f ca="1">_xlfn.TEXTJOIN(",",TRUE,RANDBETWEEN(-1,1),RANDBETWEEN(-1,1))</f>
        <v>-1,0</v>
      </c>
      <c r="T139" s="1" t="str">
        <f ca="1">_xlfn.TEXTJOIN(",",TRUE,RANDBETWEEN(-1,1),RANDBETWEEN(-1,1))</f>
        <v>-1,0</v>
      </c>
      <c r="U139" s="1" t="str">
        <f ca="1">_xlfn.TEXTJOIN(",",TRUE,RANDBETWEEN(-1,1),RANDBETWEEN(-1,1))</f>
        <v>0,-1</v>
      </c>
      <c r="V139" s="1" t="str">
        <f ca="1">_xlfn.TEXTJOIN(",",TRUE,RANDBETWEEN(-1,1),RANDBETWEEN(-1,1))</f>
        <v>1,1</v>
      </c>
      <c r="W139" s="1" t="str">
        <f ca="1">_xlfn.TEXTJOIN(",",TRUE,RANDBETWEEN(-1,1),RANDBETWEEN(-1,1))</f>
        <v>-1,0</v>
      </c>
      <c r="X139" s="1" t="str">
        <f ca="1">_xlfn.TEXTJOIN(",",TRUE,RANDBETWEEN(-1,1),RANDBETWEEN(-1,1))</f>
        <v>-1,-1</v>
      </c>
      <c r="Y139" s="1" t="str">
        <f ca="1">_xlfn.TEXTJOIN(",",TRUE,RANDBETWEEN(-1,1),RANDBETWEEN(-1,1))</f>
        <v>1,-1</v>
      </c>
      <c r="Z139" s="1" t="str">
        <f ca="1">_xlfn.TEXTJOIN(",",TRUE,RANDBETWEEN(-1,1),RANDBETWEEN(-1,1))</f>
        <v>1,1</v>
      </c>
      <c r="AA139" s="1" t="str">
        <f ca="1">_xlfn.TEXTJOIN(",",TRUE,RANDBETWEEN(-1,1),RANDBETWEEN(-1,1))</f>
        <v>-1,1</v>
      </c>
      <c r="AB139" s="1" t="str">
        <f ca="1">_xlfn.TEXTJOIN(",",TRUE,RANDBETWEEN(-1,1),RANDBETWEEN(-1,1))</f>
        <v>-1,1</v>
      </c>
      <c r="AC139" s="1" t="str">
        <f ca="1">_xlfn.TEXTJOIN(",",TRUE,RANDBETWEEN(-1,1),RANDBETWEEN(-1,1))</f>
        <v>-1,0</v>
      </c>
      <c r="AD139" s="1" t="str">
        <f ca="1">_xlfn.TEXTJOIN(",",TRUE,RANDBETWEEN(-1,1),RANDBETWEEN(-1,1))</f>
        <v>-1,-1</v>
      </c>
      <c r="AE139" s="1" t="str">
        <f ca="1">_xlfn.TEXTJOIN(",",TRUE,RANDBETWEEN(-1,1),RANDBETWEEN(-1,1))</f>
        <v>-1,1</v>
      </c>
      <c r="AF139" s="1" t="str">
        <f ca="1">_xlfn.TEXTJOIN(",",TRUE,RANDBETWEEN(-1,1),RANDBETWEEN(-1,1))</f>
        <v>1,-1</v>
      </c>
      <c r="AG139" s="1" t="str">
        <f ca="1">_xlfn.TEXTJOIN(",",TRUE,RANDBETWEEN(-1,1),RANDBETWEEN(-1,1))</f>
        <v>1,1</v>
      </c>
      <c r="AH139" s="1" t="str">
        <f ca="1">_xlfn.TEXTJOIN(",",TRUE,RANDBETWEEN(-1,1),RANDBETWEEN(-1,1))</f>
        <v>-1,0</v>
      </c>
      <c r="AI139" s="1" t="str">
        <f ca="1">_xlfn.TEXTJOIN(",",TRUE,RANDBETWEEN(-1,1),RANDBETWEEN(-1,1))</f>
        <v>0,-1</v>
      </c>
      <c r="AJ139" s="1" t="str">
        <f ca="1">_xlfn.TEXTJOIN(",",TRUE,RANDBETWEEN(-1,1),RANDBETWEEN(-1,1))</f>
        <v>1,-1</v>
      </c>
      <c r="AK139" s="1" t="str">
        <f ca="1">_xlfn.TEXTJOIN(",",TRUE,RANDBETWEEN(-1,1),RANDBETWEEN(-1,1))</f>
        <v>-1,-1</v>
      </c>
      <c r="AL139" s="1" t="str">
        <f ca="1">_xlfn.TEXTJOIN(",",TRUE,RANDBETWEEN(-1,1),RANDBETWEEN(-1,1))</f>
        <v>0,-1</v>
      </c>
      <c r="AM139" s="1" t="str">
        <f ca="1">_xlfn.TEXTJOIN(",",TRUE,RANDBETWEEN(-1,1),RANDBETWEEN(-1,1))</f>
        <v>1,1</v>
      </c>
      <c r="AN139" s="1" t="str">
        <f ca="1">_xlfn.TEXTJOIN(",",TRUE,RANDBETWEEN(-1,1),RANDBETWEEN(-1,1))</f>
        <v>1,0</v>
      </c>
      <c r="AO139" s="1" t="str">
        <f ca="1">_xlfn.TEXTJOIN(",",TRUE,RANDBETWEEN(-1,1),RANDBETWEEN(-1,1))</f>
        <v>1,0</v>
      </c>
    </row>
    <row r="140" spans="1:41" ht="15.75" customHeight="1">
      <c r="A140" s="1">
        <v>24</v>
      </c>
      <c r="B140" s="1" t="str">
        <f ca="1">_xlfn.TEXTJOIN(",",TRUE,RANDBETWEEN(-1,1),RANDBETWEEN(-1,1))</f>
        <v>-1,1</v>
      </c>
      <c r="C140" s="1" t="str">
        <f ca="1">_xlfn.TEXTJOIN(",",TRUE,RANDBETWEEN(-1,1),RANDBETWEEN(-1,1))</f>
        <v>-1,1</v>
      </c>
      <c r="D140" s="1" t="str">
        <f ca="1">_xlfn.TEXTJOIN(",",TRUE,RANDBETWEEN(-1,1),RANDBETWEEN(-1,1))</f>
        <v>0,-1</v>
      </c>
      <c r="E140" s="1" t="str">
        <f ca="1">_xlfn.TEXTJOIN(",",TRUE,RANDBETWEEN(-1,1),RANDBETWEEN(-1,1))</f>
        <v>-1,0</v>
      </c>
      <c r="F140" s="1" t="str">
        <f ca="1">_xlfn.TEXTJOIN(",",TRUE,RANDBETWEEN(-1,1),RANDBETWEEN(-1,1))</f>
        <v>-1,0</v>
      </c>
      <c r="G140" s="1" t="str">
        <f ca="1">_xlfn.TEXTJOIN(",",TRUE,RANDBETWEEN(-1,1),RANDBETWEEN(-1,1))</f>
        <v>0,-1</v>
      </c>
      <c r="H140" s="1" t="str">
        <f ca="1">_xlfn.TEXTJOIN(",",TRUE,RANDBETWEEN(-1,1),RANDBETWEEN(-1,1))</f>
        <v>1,0</v>
      </c>
      <c r="I140" s="1" t="str">
        <f ca="1">_xlfn.TEXTJOIN(",",TRUE,RANDBETWEEN(-1,1),RANDBETWEEN(-1,1))</f>
        <v>-1,0</v>
      </c>
      <c r="J140" s="1" t="str">
        <f ca="1">_xlfn.TEXTJOIN(",",TRUE,RANDBETWEEN(-1,1),RANDBETWEEN(-1,1))</f>
        <v>1,1</v>
      </c>
      <c r="K140" s="1" t="str">
        <f ca="1">_xlfn.TEXTJOIN(",",TRUE,RANDBETWEEN(-1,1),RANDBETWEEN(-1,1))</f>
        <v>1,-1</v>
      </c>
      <c r="L140" s="1" t="str">
        <f ca="1">_xlfn.TEXTJOIN(",",TRUE,RANDBETWEEN(-1,1),RANDBETWEEN(-1,1))</f>
        <v>1,0</v>
      </c>
      <c r="M140" s="1" t="str">
        <f ca="1">_xlfn.TEXTJOIN(",",TRUE,RANDBETWEEN(-1,1),RANDBETWEEN(-1,1))</f>
        <v>0,0</v>
      </c>
      <c r="N140" s="1" t="str">
        <f ca="1">_xlfn.TEXTJOIN(",",TRUE,RANDBETWEEN(-1,1),RANDBETWEEN(-1,1))</f>
        <v>0,-1</v>
      </c>
      <c r="O140" s="1" t="str">
        <f ca="1">_xlfn.TEXTJOIN(",",TRUE,RANDBETWEEN(-1,1),RANDBETWEEN(-1,1))</f>
        <v>0,0</v>
      </c>
      <c r="P140" s="1" t="str">
        <f ca="1">_xlfn.TEXTJOIN(",",TRUE,RANDBETWEEN(-1,1),RANDBETWEEN(-1,1))</f>
        <v>1,0</v>
      </c>
      <c r="Q140" s="1" t="str">
        <f ca="1">_xlfn.TEXTJOIN(",",TRUE,RANDBETWEEN(-1,1),RANDBETWEEN(-1,1))</f>
        <v>-1,-1</v>
      </c>
      <c r="R140" s="1" t="str">
        <f ca="1">_xlfn.TEXTJOIN(",",TRUE,RANDBETWEEN(-1,1),RANDBETWEEN(-1,1))</f>
        <v>1,0</v>
      </c>
      <c r="S140" s="1" t="str">
        <f ca="1">_xlfn.TEXTJOIN(",",TRUE,RANDBETWEEN(-1,1),RANDBETWEEN(-1,1))</f>
        <v>1,0</v>
      </c>
      <c r="T140" s="1" t="str">
        <f ca="1">_xlfn.TEXTJOIN(",",TRUE,RANDBETWEEN(-1,1),RANDBETWEEN(-1,1))</f>
        <v>1,1</v>
      </c>
      <c r="U140" s="1" t="str">
        <f ca="1">_xlfn.TEXTJOIN(",",TRUE,RANDBETWEEN(-1,1),RANDBETWEEN(-1,1))</f>
        <v>-1,0</v>
      </c>
      <c r="V140" s="1" t="str">
        <f ca="1">_xlfn.TEXTJOIN(",",TRUE,RANDBETWEEN(-1,1),RANDBETWEEN(-1,1))</f>
        <v>1,-1</v>
      </c>
      <c r="W140" s="1" t="str">
        <f ca="1">_xlfn.TEXTJOIN(",",TRUE,RANDBETWEEN(-1,1),RANDBETWEEN(-1,1))</f>
        <v>0,-1</v>
      </c>
      <c r="X140" s="1" t="str">
        <f ca="1">_xlfn.TEXTJOIN(",",TRUE,RANDBETWEEN(-1,1),RANDBETWEEN(-1,1))</f>
        <v>-1,1</v>
      </c>
      <c r="Y140" s="1" t="str">
        <f ca="1">_xlfn.TEXTJOIN(",",TRUE,RANDBETWEEN(-1,1),RANDBETWEEN(-1,1))</f>
        <v>-1,0</v>
      </c>
      <c r="Z140" s="1" t="str">
        <f ca="1">_xlfn.TEXTJOIN(",",TRUE,RANDBETWEEN(-1,1),RANDBETWEEN(-1,1))</f>
        <v>1,1</v>
      </c>
      <c r="AA140" s="1" t="str">
        <f ca="1">_xlfn.TEXTJOIN(",",TRUE,RANDBETWEEN(-1,1),RANDBETWEEN(-1,1))</f>
        <v>-1,1</v>
      </c>
      <c r="AB140" s="1" t="str">
        <f ca="1">_xlfn.TEXTJOIN(",",TRUE,RANDBETWEEN(-1,1),RANDBETWEEN(-1,1))</f>
        <v>0,1</v>
      </c>
      <c r="AC140" s="1" t="str">
        <f ca="1">_xlfn.TEXTJOIN(",",TRUE,RANDBETWEEN(-1,1),RANDBETWEEN(-1,1))</f>
        <v>-1,0</v>
      </c>
      <c r="AD140" s="1" t="str">
        <f ca="1">_xlfn.TEXTJOIN(",",TRUE,RANDBETWEEN(-1,1),RANDBETWEEN(-1,1))</f>
        <v>1,0</v>
      </c>
      <c r="AE140" s="1" t="str">
        <f ca="1">_xlfn.TEXTJOIN(",",TRUE,RANDBETWEEN(-1,1),RANDBETWEEN(-1,1))</f>
        <v>-1,1</v>
      </c>
      <c r="AF140" s="1" t="str">
        <f ca="1">_xlfn.TEXTJOIN(",",TRUE,RANDBETWEEN(-1,1),RANDBETWEEN(-1,1))</f>
        <v>-1,1</v>
      </c>
      <c r="AG140" s="1" t="str">
        <f ca="1">_xlfn.TEXTJOIN(",",TRUE,RANDBETWEEN(-1,1),RANDBETWEEN(-1,1))</f>
        <v>1,0</v>
      </c>
      <c r="AH140" s="1" t="str">
        <f ca="1">_xlfn.TEXTJOIN(",",TRUE,RANDBETWEEN(-1,1),RANDBETWEEN(-1,1))</f>
        <v>-1,0</v>
      </c>
      <c r="AI140" s="1" t="str">
        <f ca="1">_xlfn.TEXTJOIN(",",TRUE,RANDBETWEEN(-1,1),RANDBETWEEN(-1,1))</f>
        <v>1,1</v>
      </c>
      <c r="AJ140" s="1" t="str">
        <f ca="1">_xlfn.TEXTJOIN(",",TRUE,RANDBETWEEN(-1,1),RANDBETWEEN(-1,1))</f>
        <v>1,1</v>
      </c>
      <c r="AK140" s="1" t="str">
        <f ca="1">_xlfn.TEXTJOIN(",",TRUE,RANDBETWEEN(-1,1),RANDBETWEEN(-1,1))</f>
        <v>0,1</v>
      </c>
      <c r="AL140" s="1" t="str">
        <f ca="1">_xlfn.TEXTJOIN(",",TRUE,RANDBETWEEN(-1,1),RANDBETWEEN(-1,1))</f>
        <v>0,-1</v>
      </c>
      <c r="AM140" s="1" t="str">
        <f ca="1">_xlfn.TEXTJOIN(",",TRUE,RANDBETWEEN(-1,1),RANDBETWEEN(-1,1))</f>
        <v>1,-1</v>
      </c>
      <c r="AN140" s="1" t="str">
        <f ca="1">_xlfn.TEXTJOIN(",",TRUE,RANDBETWEEN(-1,1),RANDBETWEEN(-1,1))</f>
        <v>1,0</v>
      </c>
      <c r="AO140" s="1" t="str">
        <f ca="1">_xlfn.TEXTJOIN(",",TRUE,RANDBETWEEN(-1,1),RANDBETWEEN(-1,1))</f>
        <v>-1,1</v>
      </c>
    </row>
    <row r="141" spans="1:41" ht="15.75" customHeight="1">
      <c r="A141" s="1">
        <v>25</v>
      </c>
      <c r="B141" s="1" t="str">
        <f ca="1">_xlfn.TEXTJOIN(",",TRUE,RANDBETWEEN(-1,1),RANDBETWEEN(-1,1))</f>
        <v>-1,1</v>
      </c>
      <c r="C141" s="1" t="str">
        <f ca="1">_xlfn.TEXTJOIN(",",TRUE,RANDBETWEEN(-1,1),RANDBETWEEN(-1,1))</f>
        <v>-1,-1</v>
      </c>
      <c r="D141" s="1" t="str">
        <f ca="1">_xlfn.TEXTJOIN(",",TRUE,RANDBETWEEN(-1,1),RANDBETWEEN(-1,1))</f>
        <v>0,1</v>
      </c>
      <c r="E141" s="1" t="str">
        <f ca="1">_xlfn.TEXTJOIN(",",TRUE,RANDBETWEEN(-1,1),RANDBETWEEN(-1,1))</f>
        <v>-1,1</v>
      </c>
      <c r="F141" s="1" t="str">
        <f ca="1">_xlfn.TEXTJOIN(",",TRUE,RANDBETWEEN(-1,1),RANDBETWEEN(-1,1))</f>
        <v>0,-1</v>
      </c>
      <c r="G141" s="1" t="str">
        <f ca="1">_xlfn.TEXTJOIN(",",TRUE,RANDBETWEEN(-1,1),RANDBETWEEN(-1,1))</f>
        <v>-1,0</v>
      </c>
      <c r="H141" s="1" t="str">
        <f ca="1">_xlfn.TEXTJOIN(",",TRUE,RANDBETWEEN(-1,1),RANDBETWEEN(-1,1))</f>
        <v>-1,1</v>
      </c>
      <c r="I141" s="1" t="str">
        <f ca="1">_xlfn.TEXTJOIN(",",TRUE,RANDBETWEEN(-1,1),RANDBETWEEN(-1,1))</f>
        <v>-1,-1</v>
      </c>
      <c r="J141" s="1" t="str">
        <f ca="1">_xlfn.TEXTJOIN(",",TRUE,RANDBETWEEN(-1,1),RANDBETWEEN(-1,1))</f>
        <v>-1,0</v>
      </c>
      <c r="K141" s="1" t="str">
        <f ca="1">_xlfn.TEXTJOIN(",",TRUE,RANDBETWEEN(-1,1),RANDBETWEEN(-1,1))</f>
        <v>-1,1</v>
      </c>
      <c r="L141" s="1" t="str">
        <f ca="1">_xlfn.TEXTJOIN(",",TRUE,RANDBETWEEN(-1,1),RANDBETWEEN(-1,1))</f>
        <v>1,1</v>
      </c>
      <c r="M141" s="1" t="str">
        <f ca="1">_xlfn.TEXTJOIN(",",TRUE,RANDBETWEEN(-1,1),RANDBETWEEN(-1,1))</f>
        <v>1,1</v>
      </c>
      <c r="N141" s="1" t="str">
        <f ca="1">_xlfn.TEXTJOIN(",",TRUE,RANDBETWEEN(-1,1),RANDBETWEEN(-1,1))</f>
        <v>0,1</v>
      </c>
      <c r="O141" s="1" t="str">
        <f ca="1">_xlfn.TEXTJOIN(",",TRUE,RANDBETWEEN(-1,1),RANDBETWEEN(-1,1))</f>
        <v>-1,-1</v>
      </c>
      <c r="P141" s="1" t="str">
        <f ca="1">_xlfn.TEXTJOIN(",",TRUE,RANDBETWEEN(-1,1),RANDBETWEEN(-1,1))</f>
        <v>0,0</v>
      </c>
      <c r="Q141" s="1" t="str">
        <f ca="1">_xlfn.TEXTJOIN(",",TRUE,RANDBETWEEN(-1,1),RANDBETWEEN(-1,1))</f>
        <v>0,0</v>
      </c>
      <c r="R141" s="1" t="str">
        <f ca="1">_xlfn.TEXTJOIN(",",TRUE,RANDBETWEEN(-1,1),RANDBETWEEN(-1,1))</f>
        <v>1,0</v>
      </c>
      <c r="S141" s="1" t="str">
        <f ca="1">_xlfn.TEXTJOIN(",",TRUE,RANDBETWEEN(-1,1),RANDBETWEEN(-1,1))</f>
        <v>0,-1</v>
      </c>
      <c r="T141" s="1" t="str">
        <f ca="1">_xlfn.TEXTJOIN(",",TRUE,RANDBETWEEN(-1,1),RANDBETWEEN(-1,1))</f>
        <v>0,1</v>
      </c>
      <c r="U141" s="1" t="str">
        <f ca="1">_xlfn.TEXTJOIN(",",TRUE,RANDBETWEEN(-1,1),RANDBETWEEN(-1,1))</f>
        <v>0,0</v>
      </c>
      <c r="V141" s="1" t="str">
        <f ca="1">_xlfn.TEXTJOIN(",",TRUE,RANDBETWEEN(-1,1),RANDBETWEEN(-1,1))</f>
        <v>1,1</v>
      </c>
      <c r="W141" s="1" t="str">
        <f ca="1">_xlfn.TEXTJOIN(",",TRUE,RANDBETWEEN(-1,1),RANDBETWEEN(-1,1))</f>
        <v>0,-1</v>
      </c>
      <c r="X141" s="1" t="str">
        <f ca="1">_xlfn.TEXTJOIN(",",TRUE,RANDBETWEEN(-1,1),RANDBETWEEN(-1,1))</f>
        <v>-1,-1</v>
      </c>
      <c r="Y141" s="1" t="str">
        <f ca="1">_xlfn.TEXTJOIN(",",TRUE,RANDBETWEEN(-1,1),RANDBETWEEN(-1,1))</f>
        <v>-1,-1</v>
      </c>
      <c r="Z141" s="1" t="str">
        <f ca="1">_xlfn.TEXTJOIN(",",TRUE,RANDBETWEEN(-1,1),RANDBETWEEN(-1,1))</f>
        <v>0,-1</v>
      </c>
      <c r="AA141" s="1" t="str">
        <f ca="1">_xlfn.TEXTJOIN(",",TRUE,RANDBETWEEN(-1,1),RANDBETWEEN(-1,1))</f>
        <v>0,1</v>
      </c>
      <c r="AB141" s="1" t="str">
        <f ca="1">_xlfn.TEXTJOIN(",",TRUE,RANDBETWEEN(-1,1),RANDBETWEEN(-1,1))</f>
        <v>-1,1</v>
      </c>
      <c r="AC141" s="1" t="str">
        <f ca="1">_xlfn.TEXTJOIN(",",TRUE,RANDBETWEEN(-1,1),RANDBETWEEN(-1,1))</f>
        <v>0,1</v>
      </c>
      <c r="AD141" s="1" t="str">
        <f ca="1">_xlfn.TEXTJOIN(",",TRUE,RANDBETWEEN(-1,1),RANDBETWEEN(-1,1))</f>
        <v>0,1</v>
      </c>
      <c r="AE141" s="1" t="str">
        <f ca="1">_xlfn.TEXTJOIN(",",TRUE,RANDBETWEEN(-1,1),RANDBETWEEN(-1,1))</f>
        <v>1,-1</v>
      </c>
      <c r="AF141" s="1" t="str">
        <f ca="1">_xlfn.TEXTJOIN(",",TRUE,RANDBETWEEN(-1,1),RANDBETWEEN(-1,1))</f>
        <v>-1,1</v>
      </c>
      <c r="AG141" s="1" t="str">
        <f ca="1">_xlfn.TEXTJOIN(",",TRUE,RANDBETWEEN(-1,1),RANDBETWEEN(-1,1))</f>
        <v>1,0</v>
      </c>
      <c r="AH141" s="1" t="str">
        <f ca="1">_xlfn.TEXTJOIN(",",TRUE,RANDBETWEEN(-1,1),RANDBETWEEN(-1,1))</f>
        <v>0,-1</v>
      </c>
      <c r="AI141" s="1" t="str">
        <f ca="1">_xlfn.TEXTJOIN(",",TRUE,RANDBETWEEN(-1,1),RANDBETWEEN(-1,1))</f>
        <v>1,0</v>
      </c>
      <c r="AJ141" s="1" t="str">
        <f ca="1">_xlfn.TEXTJOIN(",",TRUE,RANDBETWEEN(-1,1),RANDBETWEEN(-1,1))</f>
        <v>0,1</v>
      </c>
      <c r="AK141" s="1" t="str">
        <f ca="1">_xlfn.TEXTJOIN(",",TRUE,RANDBETWEEN(-1,1),RANDBETWEEN(-1,1))</f>
        <v>-1,1</v>
      </c>
      <c r="AL141" s="1" t="str">
        <f ca="1">_xlfn.TEXTJOIN(",",TRUE,RANDBETWEEN(-1,1),RANDBETWEEN(-1,1))</f>
        <v>1,-1</v>
      </c>
      <c r="AM141" s="1" t="str">
        <f ca="1">_xlfn.TEXTJOIN(",",TRUE,RANDBETWEEN(-1,1),RANDBETWEEN(-1,1))</f>
        <v>1,0</v>
      </c>
      <c r="AN141" s="1" t="str">
        <f ca="1">_xlfn.TEXTJOIN(",",TRUE,RANDBETWEEN(-1,1),RANDBETWEEN(-1,1))</f>
        <v>0,1</v>
      </c>
      <c r="AO141" s="1" t="str">
        <f ca="1">_xlfn.TEXTJOIN(",",TRUE,RANDBETWEEN(-1,1),RANDBETWEEN(-1,1))</f>
        <v>-1,0</v>
      </c>
    </row>
    <row r="142" spans="1:41" ht="15.75" customHeight="1">
      <c r="A142" s="1">
        <v>26</v>
      </c>
      <c r="B142" s="1" t="str">
        <f ca="1">_xlfn.TEXTJOIN(",",TRUE,RANDBETWEEN(-1,1),RANDBETWEEN(-1,1))</f>
        <v>0,-1</v>
      </c>
      <c r="C142" s="1" t="str">
        <f ca="1">_xlfn.TEXTJOIN(",",TRUE,RANDBETWEEN(-1,1),RANDBETWEEN(-1,1))</f>
        <v>0,1</v>
      </c>
      <c r="D142" s="1" t="str">
        <f ca="1">_xlfn.TEXTJOIN(",",TRUE,RANDBETWEEN(-1,1),RANDBETWEEN(-1,1))</f>
        <v>-1,1</v>
      </c>
      <c r="E142" s="1" t="str">
        <f ca="1">_xlfn.TEXTJOIN(",",TRUE,RANDBETWEEN(-1,1),RANDBETWEEN(-1,1))</f>
        <v>1,1</v>
      </c>
      <c r="F142" s="1" t="str">
        <f ca="1">_xlfn.TEXTJOIN(",",TRUE,RANDBETWEEN(-1,1),RANDBETWEEN(-1,1))</f>
        <v>1,1</v>
      </c>
      <c r="G142" s="1" t="str">
        <f ca="1">_xlfn.TEXTJOIN(",",TRUE,RANDBETWEEN(-1,1),RANDBETWEEN(-1,1))</f>
        <v>0,-1</v>
      </c>
      <c r="H142" s="1" t="str">
        <f ca="1">_xlfn.TEXTJOIN(",",TRUE,RANDBETWEEN(-1,1),RANDBETWEEN(-1,1))</f>
        <v>0,0</v>
      </c>
      <c r="I142" s="1" t="str">
        <f ca="1">_xlfn.TEXTJOIN(",",TRUE,RANDBETWEEN(-1,1),RANDBETWEEN(-1,1))</f>
        <v>-1,0</v>
      </c>
      <c r="J142" s="1" t="str">
        <f ca="1">_xlfn.TEXTJOIN(",",TRUE,RANDBETWEEN(-1,1),RANDBETWEEN(-1,1))</f>
        <v>1,-1</v>
      </c>
      <c r="K142" s="1" t="str">
        <f ca="1">_xlfn.TEXTJOIN(",",TRUE,RANDBETWEEN(-1,1),RANDBETWEEN(-1,1))</f>
        <v>0,-1</v>
      </c>
      <c r="L142" s="1" t="str">
        <f ca="1">_xlfn.TEXTJOIN(",",TRUE,RANDBETWEEN(-1,1),RANDBETWEEN(-1,1))</f>
        <v>1,-1</v>
      </c>
      <c r="M142" s="1" t="str">
        <f ca="1">_xlfn.TEXTJOIN(",",TRUE,RANDBETWEEN(-1,1),RANDBETWEEN(-1,1))</f>
        <v>1,1</v>
      </c>
      <c r="N142" s="1" t="str">
        <f ca="1">_xlfn.TEXTJOIN(",",TRUE,RANDBETWEEN(-1,1),RANDBETWEEN(-1,1))</f>
        <v>-1,0</v>
      </c>
      <c r="O142" s="1" t="str">
        <f ca="1">_xlfn.TEXTJOIN(",",TRUE,RANDBETWEEN(-1,1),RANDBETWEEN(-1,1))</f>
        <v>1,1</v>
      </c>
      <c r="P142" s="1" t="str">
        <f ca="1">_xlfn.TEXTJOIN(",",TRUE,RANDBETWEEN(-1,1),RANDBETWEEN(-1,1))</f>
        <v>1,-1</v>
      </c>
      <c r="Q142" s="1" t="str">
        <f ca="1">_xlfn.TEXTJOIN(",",TRUE,RANDBETWEEN(-1,1),RANDBETWEEN(-1,1))</f>
        <v>1,1</v>
      </c>
      <c r="R142" s="1" t="str">
        <f ca="1">_xlfn.TEXTJOIN(",",TRUE,RANDBETWEEN(-1,1),RANDBETWEEN(-1,1))</f>
        <v>-1,-1</v>
      </c>
      <c r="S142" s="1" t="str">
        <f ca="1">_xlfn.TEXTJOIN(",",TRUE,RANDBETWEEN(-1,1),RANDBETWEEN(-1,1))</f>
        <v>-1,1</v>
      </c>
      <c r="T142" s="1" t="str">
        <f ca="1">_xlfn.TEXTJOIN(",",TRUE,RANDBETWEEN(-1,1),RANDBETWEEN(-1,1))</f>
        <v>-1,0</v>
      </c>
      <c r="U142" s="1" t="str">
        <f ca="1">_xlfn.TEXTJOIN(",",TRUE,RANDBETWEEN(-1,1),RANDBETWEEN(-1,1))</f>
        <v>-1,-1</v>
      </c>
      <c r="V142" s="1" t="str">
        <f ca="1">_xlfn.TEXTJOIN(",",TRUE,RANDBETWEEN(-1,1),RANDBETWEEN(-1,1))</f>
        <v>1,0</v>
      </c>
      <c r="W142" s="1" t="str">
        <f ca="1">_xlfn.TEXTJOIN(",",TRUE,RANDBETWEEN(-1,1),RANDBETWEEN(-1,1))</f>
        <v>-1,1</v>
      </c>
      <c r="X142" s="1" t="str">
        <f ca="1">_xlfn.TEXTJOIN(",",TRUE,RANDBETWEEN(-1,1),RANDBETWEEN(-1,1))</f>
        <v>0,1</v>
      </c>
      <c r="Y142" s="1" t="str">
        <f ca="1">_xlfn.TEXTJOIN(",",TRUE,RANDBETWEEN(-1,1),RANDBETWEEN(-1,1))</f>
        <v>0,-1</v>
      </c>
      <c r="Z142" s="1" t="str">
        <f ca="1">_xlfn.TEXTJOIN(",",TRUE,RANDBETWEEN(-1,1),RANDBETWEEN(-1,1))</f>
        <v>-1,1</v>
      </c>
      <c r="AA142" s="1" t="str">
        <f ca="1">_xlfn.TEXTJOIN(",",TRUE,RANDBETWEEN(-1,1),RANDBETWEEN(-1,1))</f>
        <v>1,1</v>
      </c>
      <c r="AB142" s="1" t="str">
        <f ca="1">_xlfn.TEXTJOIN(",",TRUE,RANDBETWEEN(-1,1),RANDBETWEEN(-1,1))</f>
        <v>1,0</v>
      </c>
      <c r="AC142" s="1" t="str">
        <f ca="1">_xlfn.TEXTJOIN(",",TRUE,RANDBETWEEN(-1,1),RANDBETWEEN(-1,1))</f>
        <v>0,0</v>
      </c>
      <c r="AD142" s="1" t="str">
        <f ca="1">_xlfn.TEXTJOIN(",",TRUE,RANDBETWEEN(-1,1),RANDBETWEEN(-1,1))</f>
        <v>1,0</v>
      </c>
      <c r="AE142" s="1" t="str">
        <f ca="1">_xlfn.TEXTJOIN(",",TRUE,RANDBETWEEN(-1,1),RANDBETWEEN(-1,1))</f>
        <v>1,-1</v>
      </c>
      <c r="AF142" s="1" t="str">
        <f ca="1">_xlfn.TEXTJOIN(",",TRUE,RANDBETWEEN(-1,1),RANDBETWEEN(-1,1))</f>
        <v>1,0</v>
      </c>
      <c r="AG142" s="1" t="str">
        <f ca="1">_xlfn.TEXTJOIN(",",TRUE,RANDBETWEEN(-1,1),RANDBETWEEN(-1,1))</f>
        <v>-1,-1</v>
      </c>
      <c r="AH142" s="1" t="str">
        <f ca="1">_xlfn.TEXTJOIN(",",TRUE,RANDBETWEEN(-1,1),RANDBETWEEN(-1,1))</f>
        <v>1,0</v>
      </c>
      <c r="AI142" s="1" t="str">
        <f ca="1">_xlfn.TEXTJOIN(",",TRUE,RANDBETWEEN(-1,1),RANDBETWEEN(-1,1))</f>
        <v>0,0</v>
      </c>
      <c r="AJ142" s="1" t="str">
        <f ca="1">_xlfn.TEXTJOIN(",",TRUE,RANDBETWEEN(-1,1),RANDBETWEEN(-1,1))</f>
        <v>-1,1</v>
      </c>
      <c r="AK142" s="1" t="str">
        <f ca="1">_xlfn.TEXTJOIN(",",TRUE,RANDBETWEEN(-1,1),RANDBETWEEN(-1,1))</f>
        <v>1,-1</v>
      </c>
      <c r="AL142" s="1" t="str">
        <f ca="1">_xlfn.TEXTJOIN(",",TRUE,RANDBETWEEN(-1,1),RANDBETWEEN(-1,1))</f>
        <v>0,1</v>
      </c>
      <c r="AM142" s="1" t="str">
        <f ca="1">_xlfn.TEXTJOIN(",",TRUE,RANDBETWEEN(-1,1),RANDBETWEEN(-1,1))</f>
        <v>1,1</v>
      </c>
      <c r="AN142" s="1" t="str">
        <f ca="1">_xlfn.TEXTJOIN(",",TRUE,RANDBETWEEN(-1,1),RANDBETWEEN(-1,1))</f>
        <v>-1,0</v>
      </c>
      <c r="AO142" s="1" t="str">
        <f ca="1">_xlfn.TEXTJOIN(",",TRUE,RANDBETWEEN(-1,1),RANDBETWEEN(-1,1))</f>
        <v>0,-1</v>
      </c>
    </row>
    <row r="143" spans="1:41" ht="15.75" customHeight="1">
      <c r="A143" s="1">
        <v>27</v>
      </c>
      <c r="B143" s="1" t="str">
        <f ca="1">_xlfn.TEXTJOIN(",",TRUE,RANDBETWEEN(-1,1),RANDBETWEEN(-1,1))</f>
        <v>1,1</v>
      </c>
      <c r="C143" s="1" t="str">
        <f ca="1">_xlfn.TEXTJOIN(",",TRUE,RANDBETWEEN(-1,1),RANDBETWEEN(-1,1))</f>
        <v>0,-1</v>
      </c>
      <c r="D143" s="1" t="str">
        <f ca="1">_xlfn.TEXTJOIN(",",TRUE,RANDBETWEEN(-1,1),RANDBETWEEN(-1,1))</f>
        <v>0,1</v>
      </c>
      <c r="E143" s="1" t="str">
        <f ca="1">_xlfn.TEXTJOIN(",",TRUE,RANDBETWEEN(-1,1),RANDBETWEEN(-1,1))</f>
        <v>0,-1</v>
      </c>
      <c r="F143" s="1" t="str">
        <f ca="1">_xlfn.TEXTJOIN(",",TRUE,RANDBETWEEN(-1,1),RANDBETWEEN(-1,1))</f>
        <v>1,-1</v>
      </c>
      <c r="G143" s="1" t="str">
        <f ca="1">_xlfn.TEXTJOIN(",",TRUE,RANDBETWEEN(-1,1),RANDBETWEEN(-1,1))</f>
        <v>0,-1</v>
      </c>
      <c r="H143" s="1" t="str">
        <f ca="1">_xlfn.TEXTJOIN(",",TRUE,RANDBETWEEN(-1,1),RANDBETWEEN(-1,1))</f>
        <v>0,0</v>
      </c>
      <c r="I143" s="1" t="str">
        <f ca="1">_xlfn.TEXTJOIN(",",TRUE,RANDBETWEEN(-1,1),RANDBETWEEN(-1,1))</f>
        <v>0,-1</v>
      </c>
      <c r="J143" s="1" t="str">
        <f ca="1">_xlfn.TEXTJOIN(",",TRUE,RANDBETWEEN(-1,1),RANDBETWEEN(-1,1))</f>
        <v>-1,0</v>
      </c>
      <c r="K143" s="1" t="str">
        <f ca="1">_xlfn.TEXTJOIN(",",TRUE,RANDBETWEEN(-1,1),RANDBETWEEN(-1,1))</f>
        <v>1,-1</v>
      </c>
      <c r="L143" s="1" t="str">
        <f ca="1">_xlfn.TEXTJOIN(",",TRUE,RANDBETWEEN(-1,1),RANDBETWEEN(-1,1))</f>
        <v>0,1</v>
      </c>
      <c r="M143" s="1" t="str">
        <f ca="1">_xlfn.TEXTJOIN(",",TRUE,RANDBETWEEN(-1,1),RANDBETWEEN(-1,1))</f>
        <v>-1,-1</v>
      </c>
      <c r="N143" s="1" t="str">
        <f ca="1">_xlfn.TEXTJOIN(",",TRUE,RANDBETWEEN(-1,1),RANDBETWEEN(-1,1))</f>
        <v>-1,1</v>
      </c>
      <c r="O143" s="1" t="str">
        <f ca="1">_xlfn.TEXTJOIN(",",TRUE,RANDBETWEEN(-1,1),RANDBETWEEN(-1,1))</f>
        <v>-1,0</v>
      </c>
      <c r="P143" s="1" t="str">
        <f ca="1">_xlfn.TEXTJOIN(",",TRUE,RANDBETWEEN(-1,1),RANDBETWEEN(-1,1))</f>
        <v>1,-1</v>
      </c>
      <c r="Q143" s="1" t="str">
        <f ca="1">_xlfn.TEXTJOIN(",",TRUE,RANDBETWEEN(-1,1),RANDBETWEEN(-1,1))</f>
        <v>-1,1</v>
      </c>
      <c r="R143" s="1" t="str">
        <f ca="1">_xlfn.TEXTJOIN(",",TRUE,RANDBETWEEN(-1,1),RANDBETWEEN(-1,1))</f>
        <v>-1,-1</v>
      </c>
      <c r="S143" s="1" t="str">
        <f ca="1">_xlfn.TEXTJOIN(",",TRUE,RANDBETWEEN(-1,1),RANDBETWEEN(-1,1))</f>
        <v>0,-1</v>
      </c>
      <c r="T143" s="1" t="str">
        <f ca="1">_xlfn.TEXTJOIN(",",TRUE,RANDBETWEEN(-1,1),RANDBETWEEN(-1,1))</f>
        <v>1,1</v>
      </c>
      <c r="U143" s="1" t="str">
        <f ca="1">_xlfn.TEXTJOIN(",",TRUE,RANDBETWEEN(-1,1),RANDBETWEEN(-1,1))</f>
        <v>0,1</v>
      </c>
      <c r="V143" s="1" t="str">
        <f ca="1">_xlfn.TEXTJOIN(",",TRUE,RANDBETWEEN(-1,1),RANDBETWEEN(-1,1))</f>
        <v>0,-1</v>
      </c>
      <c r="W143" s="1" t="str">
        <f ca="1">_xlfn.TEXTJOIN(",",TRUE,RANDBETWEEN(-1,1),RANDBETWEEN(-1,1))</f>
        <v>1,1</v>
      </c>
      <c r="X143" s="1" t="str">
        <f ca="1">_xlfn.TEXTJOIN(",",TRUE,RANDBETWEEN(-1,1),RANDBETWEEN(-1,1))</f>
        <v>1,0</v>
      </c>
      <c r="Y143" s="1" t="str">
        <f ca="1">_xlfn.TEXTJOIN(",",TRUE,RANDBETWEEN(-1,1),RANDBETWEEN(-1,1))</f>
        <v>1,1</v>
      </c>
      <c r="Z143" s="1" t="str">
        <f ca="1">_xlfn.TEXTJOIN(",",TRUE,RANDBETWEEN(-1,1),RANDBETWEEN(-1,1))</f>
        <v>-1,-1</v>
      </c>
      <c r="AA143" s="1" t="str">
        <f ca="1">_xlfn.TEXTJOIN(",",TRUE,RANDBETWEEN(-1,1),RANDBETWEEN(-1,1))</f>
        <v>0,-1</v>
      </c>
      <c r="AB143" s="1" t="str">
        <f ca="1">_xlfn.TEXTJOIN(",",TRUE,RANDBETWEEN(-1,1),RANDBETWEEN(-1,1))</f>
        <v>-1,0</v>
      </c>
      <c r="AC143" s="1" t="str">
        <f ca="1">_xlfn.TEXTJOIN(",",TRUE,RANDBETWEEN(-1,1),RANDBETWEEN(-1,1))</f>
        <v>-1,-1</v>
      </c>
      <c r="AD143" s="1" t="str">
        <f ca="1">_xlfn.TEXTJOIN(",",TRUE,RANDBETWEEN(-1,1),RANDBETWEEN(-1,1))</f>
        <v>1,-1</v>
      </c>
      <c r="AE143" s="1" t="str">
        <f ca="1">_xlfn.TEXTJOIN(",",TRUE,RANDBETWEEN(-1,1),RANDBETWEEN(-1,1))</f>
        <v>-1,0</v>
      </c>
      <c r="AF143" s="1" t="str">
        <f ca="1">_xlfn.TEXTJOIN(",",TRUE,RANDBETWEEN(-1,1),RANDBETWEEN(-1,1))</f>
        <v>1,0</v>
      </c>
      <c r="AG143" s="1" t="str">
        <f ca="1">_xlfn.TEXTJOIN(",",TRUE,RANDBETWEEN(-1,1),RANDBETWEEN(-1,1))</f>
        <v>0,-1</v>
      </c>
      <c r="AH143" s="1" t="str">
        <f ca="1">_xlfn.TEXTJOIN(",",TRUE,RANDBETWEEN(-1,1),RANDBETWEEN(-1,1))</f>
        <v>-1,1</v>
      </c>
      <c r="AI143" s="1" t="str">
        <f ca="1">_xlfn.TEXTJOIN(",",TRUE,RANDBETWEEN(-1,1),RANDBETWEEN(-1,1))</f>
        <v>0,-1</v>
      </c>
      <c r="AJ143" s="1" t="str">
        <f ca="1">_xlfn.TEXTJOIN(",",TRUE,RANDBETWEEN(-1,1),RANDBETWEEN(-1,1))</f>
        <v>-1,-1</v>
      </c>
      <c r="AK143" s="1" t="str">
        <f ca="1">_xlfn.TEXTJOIN(",",TRUE,RANDBETWEEN(-1,1),RANDBETWEEN(-1,1))</f>
        <v>1,-1</v>
      </c>
      <c r="AL143" s="1" t="str">
        <f ca="1">_xlfn.TEXTJOIN(",",TRUE,RANDBETWEEN(-1,1),RANDBETWEEN(-1,1))</f>
        <v>-1,1</v>
      </c>
      <c r="AM143" s="1" t="str">
        <f ca="1">_xlfn.TEXTJOIN(",",TRUE,RANDBETWEEN(-1,1),RANDBETWEEN(-1,1))</f>
        <v>0,1</v>
      </c>
      <c r="AN143" s="1" t="str">
        <f ca="1">_xlfn.TEXTJOIN(",",TRUE,RANDBETWEEN(-1,1),RANDBETWEEN(-1,1))</f>
        <v>-1,-1</v>
      </c>
      <c r="AO143" s="1" t="str">
        <f ca="1">_xlfn.TEXTJOIN(",",TRUE,RANDBETWEEN(-1,1),RANDBETWEEN(-1,1))</f>
        <v>-1,0</v>
      </c>
    </row>
    <row r="144" spans="1:41" ht="15.75" customHeight="1">
      <c r="A144" s="1">
        <v>28</v>
      </c>
      <c r="B144" s="1" t="str">
        <f ca="1">_xlfn.TEXTJOIN(",",TRUE,RANDBETWEEN(-1,1),RANDBETWEEN(-1,1))</f>
        <v>-1,0</v>
      </c>
      <c r="C144" s="1" t="str">
        <f ca="1">_xlfn.TEXTJOIN(",",TRUE,RANDBETWEEN(-1,1),RANDBETWEEN(-1,1))</f>
        <v>-1,-1</v>
      </c>
      <c r="D144" s="1" t="str">
        <f ca="1">_xlfn.TEXTJOIN(",",TRUE,RANDBETWEEN(-1,1),RANDBETWEEN(-1,1))</f>
        <v>-1,-1</v>
      </c>
      <c r="E144" s="1" t="str">
        <f ca="1">_xlfn.TEXTJOIN(",",TRUE,RANDBETWEEN(-1,1),RANDBETWEEN(-1,1))</f>
        <v>0,0</v>
      </c>
      <c r="F144" s="1" t="str">
        <f ca="1">_xlfn.TEXTJOIN(",",TRUE,RANDBETWEEN(-1,1),RANDBETWEEN(-1,1))</f>
        <v>0,-1</v>
      </c>
      <c r="G144" s="1" t="str">
        <f ca="1">_xlfn.TEXTJOIN(",",TRUE,RANDBETWEEN(-1,1),RANDBETWEEN(-1,1))</f>
        <v>-1,-1</v>
      </c>
      <c r="H144" s="1" t="str">
        <f ca="1">_xlfn.TEXTJOIN(",",TRUE,RANDBETWEEN(-1,1),RANDBETWEEN(-1,1))</f>
        <v>1,-1</v>
      </c>
      <c r="I144" s="1" t="str">
        <f ca="1">_xlfn.TEXTJOIN(",",TRUE,RANDBETWEEN(-1,1),RANDBETWEEN(-1,1))</f>
        <v>1,-1</v>
      </c>
      <c r="J144" s="1" t="str">
        <f ca="1">_xlfn.TEXTJOIN(",",TRUE,RANDBETWEEN(-1,1),RANDBETWEEN(-1,1))</f>
        <v>1,1</v>
      </c>
      <c r="K144" s="1" t="str">
        <f ca="1">_xlfn.TEXTJOIN(",",TRUE,RANDBETWEEN(-1,1),RANDBETWEEN(-1,1))</f>
        <v>0,-1</v>
      </c>
      <c r="L144" s="1" t="str">
        <f ca="1">_xlfn.TEXTJOIN(",",TRUE,RANDBETWEEN(-1,1),RANDBETWEEN(-1,1))</f>
        <v>0,-1</v>
      </c>
      <c r="M144" s="1" t="str">
        <f ca="1">_xlfn.TEXTJOIN(",",TRUE,RANDBETWEEN(-1,1),RANDBETWEEN(-1,1))</f>
        <v>0,0</v>
      </c>
      <c r="N144" s="1" t="str">
        <f ca="1">_xlfn.TEXTJOIN(",",TRUE,RANDBETWEEN(-1,1),RANDBETWEEN(-1,1))</f>
        <v>0,-1</v>
      </c>
      <c r="O144" s="1" t="str">
        <f ca="1">_xlfn.TEXTJOIN(",",TRUE,RANDBETWEEN(-1,1),RANDBETWEEN(-1,1))</f>
        <v>0,-1</v>
      </c>
      <c r="P144" s="1" t="str">
        <f ca="1">_xlfn.TEXTJOIN(",",TRUE,RANDBETWEEN(-1,1),RANDBETWEEN(-1,1))</f>
        <v>-1,0</v>
      </c>
      <c r="Q144" s="1" t="str">
        <f ca="1">_xlfn.TEXTJOIN(",",TRUE,RANDBETWEEN(-1,1),RANDBETWEEN(-1,1))</f>
        <v>-1,-1</v>
      </c>
      <c r="R144" s="1" t="str">
        <f ca="1">_xlfn.TEXTJOIN(",",TRUE,RANDBETWEEN(-1,1),RANDBETWEEN(-1,1))</f>
        <v>0,1</v>
      </c>
      <c r="S144" s="1" t="str">
        <f ca="1">_xlfn.TEXTJOIN(",",TRUE,RANDBETWEEN(-1,1),RANDBETWEEN(-1,1))</f>
        <v>0,0</v>
      </c>
      <c r="T144" s="1" t="str">
        <f ca="1">_xlfn.TEXTJOIN(",",TRUE,RANDBETWEEN(-1,1),RANDBETWEEN(-1,1))</f>
        <v>0,0</v>
      </c>
      <c r="U144" s="1" t="str">
        <f ca="1">_xlfn.TEXTJOIN(",",TRUE,RANDBETWEEN(-1,1),RANDBETWEEN(-1,1))</f>
        <v>0,-1</v>
      </c>
      <c r="V144" s="1" t="str">
        <f ca="1">_xlfn.TEXTJOIN(",",TRUE,RANDBETWEEN(-1,1),RANDBETWEEN(-1,1))</f>
        <v>-1,1</v>
      </c>
      <c r="W144" s="1" t="str">
        <f ca="1">_xlfn.TEXTJOIN(",",TRUE,RANDBETWEEN(-1,1),RANDBETWEEN(-1,1))</f>
        <v>-1,-1</v>
      </c>
      <c r="X144" s="1" t="str">
        <f ca="1">_xlfn.TEXTJOIN(",",TRUE,RANDBETWEEN(-1,1),RANDBETWEEN(-1,1))</f>
        <v>-1,1</v>
      </c>
      <c r="Y144" s="1" t="str">
        <f ca="1">_xlfn.TEXTJOIN(",",TRUE,RANDBETWEEN(-1,1),RANDBETWEEN(-1,1))</f>
        <v>1,-1</v>
      </c>
      <c r="Z144" s="1" t="str">
        <f ca="1">_xlfn.TEXTJOIN(",",TRUE,RANDBETWEEN(-1,1),RANDBETWEEN(-1,1))</f>
        <v>0,1</v>
      </c>
      <c r="AA144" s="1" t="str">
        <f ca="1">_xlfn.TEXTJOIN(",",TRUE,RANDBETWEEN(-1,1),RANDBETWEEN(-1,1))</f>
        <v>-1,1</v>
      </c>
      <c r="AB144" s="1" t="str">
        <f ca="1">_xlfn.TEXTJOIN(",",TRUE,RANDBETWEEN(-1,1),RANDBETWEEN(-1,1))</f>
        <v>1,-1</v>
      </c>
      <c r="AC144" s="1" t="str">
        <f ca="1">_xlfn.TEXTJOIN(",",TRUE,RANDBETWEEN(-1,1),RANDBETWEEN(-1,1))</f>
        <v>1,0</v>
      </c>
      <c r="AD144" s="1" t="str">
        <f ca="1">_xlfn.TEXTJOIN(",",TRUE,RANDBETWEEN(-1,1),RANDBETWEEN(-1,1))</f>
        <v>-1,1</v>
      </c>
      <c r="AE144" s="1" t="str">
        <f ca="1">_xlfn.TEXTJOIN(",",TRUE,RANDBETWEEN(-1,1),RANDBETWEEN(-1,1))</f>
        <v>0,1</v>
      </c>
      <c r="AF144" s="1" t="str">
        <f ca="1">_xlfn.TEXTJOIN(",",TRUE,RANDBETWEEN(-1,1),RANDBETWEEN(-1,1))</f>
        <v>0,0</v>
      </c>
      <c r="AG144" s="1" t="str">
        <f ca="1">_xlfn.TEXTJOIN(",",TRUE,RANDBETWEEN(-1,1),RANDBETWEEN(-1,1))</f>
        <v>-1,1</v>
      </c>
      <c r="AH144" s="1" t="str">
        <f ca="1">_xlfn.TEXTJOIN(",",TRUE,RANDBETWEEN(-1,1),RANDBETWEEN(-1,1))</f>
        <v>-1,-1</v>
      </c>
      <c r="AI144" s="1" t="str">
        <f ca="1">_xlfn.TEXTJOIN(",",TRUE,RANDBETWEEN(-1,1),RANDBETWEEN(-1,1))</f>
        <v>0,1</v>
      </c>
      <c r="AJ144" s="1" t="str">
        <f ca="1">_xlfn.TEXTJOIN(",",TRUE,RANDBETWEEN(-1,1),RANDBETWEEN(-1,1))</f>
        <v>-1,1</v>
      </c>
      <c r="AK144" s="1" t="str">
        <f ca="1">_xlfn.TEXTJOIN(",",TRUE,RANDBETWEEN(-1,1),RANDBETWEEN(-1,1))</f>
        <v>0,-1</v>
      </c>
      <c r="AL144" s="1" t="str">
        <f ca="1">_xlfn.TEXTJOIN(",",TRUE,RANDBETWEEN(-1,1),RANDBETWEEN(-1,1))</f>
        <v>1,0</v>
      </c>
      <c r="AM144" s="1" t="str">
        <f ca="1">_xlfn.TEXTJOIN(",",TRUE,RANDBETWEEN(-1,1),RANDBETWEEN(-1,1))</f>
        <v>-1,1</v>
      </c>
      <c r="AN144" s="1" t="str">
        <f ca="1">_xlfn.TEXTJOIN(",",TRUE,RANDBETWEEN(-1,1),RANDBETWEEN(-1,1))</f>
        <v>-1,1</v>
      </c>
      <c r="AO144" s="1" t="str">
        <f ca="1">_xlfn.TEXTJOIN(",",TRUE,RANDBETWEEN(-1,1),RANDBETWEEN(-1,1))</f>
        <v>0,0</v>
      </c>
    </row>
    <row r="145" spans="1:41" ht="15.75" customHeight="1">
      <c r="A145" s="1">
        <v>29</v>
      </c>
      <c r="B145" s="1" t="str">
        <f ca="1">_xlfn.TEXTJOIN(",",TRUE,RANDBETWEEN(-1,1),RANDBETWEEN(-1,1))</f>
        <v>0,-1</v>
      </c>
      <c r="C145" s="1" t="str">
        <f ca="1">_xlfn.TEXTJOIN(",",TRUE,RANDBETWEEN(-1,1),RANDBETWEEN(-1,1))</f>
        <v>0,1</v>
      </c>
      <c r="D145" s="1" t="str">
        <f ca="1">_xlfn.TEXTJOIN(",",TRUE,RANDBETWEEN(-1,1),RANDBETWEEN(-1,1))</f>
        <v>1,0</v>
      </c>
      <c r="E145" s="1" t="str">
        <f ca="1">_xlfn.TEXTJOIN(",",TRUE,RANDBETWEEN(-1,1),RANDBETWEEN(-1,1))</f>
        <v>-1,0</v>
      </c>
      <c r="F145" s="1" t="str">
        <f ca="1">_xlfn.TEXTJOIN(",",TRUE,RANDBETWEEN(-1,1),RANDBETWEEN(-1,1))</f>
        <v>1,0</v>
      </c>
      <c r="G145" s="1" t="str">
        <f ca="1">_xlfn.TEXTJOIN(",",TRUE,RANDBETWEEN(-1,1),RANDBETWEEN(-1,1))</f>
        <v>-1,-1</v>
      </c>
      <c r="H145" s="1" t="str">
        <f ca="1">_xlfn.TEXTJOIN(",",TRUE,RANDBETWEEN(-1,1),RANDBETWEEN(-1,1))</f>
        <v>1,0</v>
      </c>
      <c r="I145" s="1" t="str">
        <f ca="1">_xlfn.TEXTJOIN(",",TRUE,RANDBETWEEN(-1,1),RANDBETWEEN(-1,1))</f>
        <v>0,-1</v>
      </c>
      <c r="J145" s="1" t="str">
        <f ca="1">_xlfn.TEXTJOIN(",",TRUE,RANDBETWEEN(-1,1),RANDBETWEEN(-1,1))</f>
        <v>1,0</v>
      </c>
      <c r="K145" s="1" t="str">
        <f ca="1">_xlfn.TEXTJOIN(",",TRUE,RANDBETWEEN(-1,1),RANDBETWEEN(-1,1))</f>
        <v>0,-1</v>
      </c>
      <c r="L145" s="1" t="str">
        <f ca="1">_xlfn.TEXTJOIN(",",TRUE,RANDBETWEEN(-1,1),RANDBETWEEN(-1,1))</f>
        <v>1,1</v>
      </c>
      <c r="M145" s="1" t="str">
        <f ca="1">_xlfn.TEXTJOIN(",",TRUE,RANDBETWEEN(-1,1),RANDBETWEEN(-1,1))</f>
        <v>0,1</v>
      </c>
      <c r="N145" s="1" t="str">
        <f ca="1">_xlfn.TEXTJOIN(",",TRUE,RANDBETWEEN(-1,1),RANDBETWEEN(-1,1))</f>
        <v>-1,0</v>
      </c>
      <c r="O145" s="1" t="str">
        <f ca="1">_xlfn.TEXTJOIN(",",TRUE,RANDBETWEEN(-1,1),RANDBETWEEN(-1,1))</f>
        <v>-1,0</v>
      </c>
      <c r="P145" s="1" t="str">
        <f ca="1">_xlfn.TEXTJOIN(",",TRUE,RANDBETWEEN(-1,1),RANDBETWEEN(-1,1))</f>
        <v>0,1</v>
      </c>
      <c r="Q145" s="1" t="str">
        <f ca="1">_xlfn.TEXTJOIN(",",TRUE,RANDBETWEEN(-1,1),RANDBETWEEN(-1,1))</f>
        <v>0,1</v>
      </c>
      <c r="R145" s="1" t="str">
        <f ca="1">_xlfn.TEXTJOIN(",",TRUE,RANDBETWEEN(-1,1),RANDBETWEEN(-1,1))</f>
        <v>-1,-1</v>
      </c>
      <c r="S145" s="1" t="str">
        <f ca="1">_xlfn.TEXTJOIN(",",TRUE,RANDBETWEEN(-1,1),RANDBETWEEN(-1,1))</f>
        <v>0,0</v>
      </c>
      <c r="T145" s="1" t="str">
        <f ca="1">_xlfn.TEXTJOIN(",",TRUE,RANDBETWEEN(-1,1),RANDBETWEEN(-1,1))</f>
        <v>-1,-1</v>
      </c>
      <c r="U145" s="1" t="str">
        <f ca="1">_xlfn.TEXTJOIN(",",TRUE,RANDBETWEEN(-1,1),RANDBETWEEN(-1,1))</f>
        <v>-1,-1</v>
      </c>
      <c r="V145" s="1" t="str">
        <f ca="1">_xlfn.TEXTJOIN(",",TRUE,RANDBETWEEN(-1,1),RANDBETWEEN(-1,1))</f>
        <v>-1,0</v>
      </c>
      <c r="W145" s="1" t="str">
        <f ca="1">_xlfn.TEXTJOIN(",",TRUE,RANDBETWEEN(-1,1),RANDBETWEEN(-1,1))</f>
        <v>1,1</v>
      </c>
      <c r="X145" s="1" t="str">
        <f ca="1">_xlfn.TEXTJOIN(",",TRUE,RANDBETWEEN(-1,1),RANDBETWEEN(-1,1))</f>
        <v>-1,1</v>
      </c>
      <c r="Y145" s="1" t="str">
        <f ca="1">_xlfn.TEXTJOIN(",",TRUE,RANDBETWEEN(-1,1),RANDBETWEEN(-1,1))</f>
        <v>-1,1</v>
      </c>
      <c r="Z145" s="1" t="str">
        <f ca="1">_xlfn.TEXTJOIN(",",TRUE,RANDBETWEEN(-1,1),RANDBETWEEN(-1,1))</f>
        <v>1,-1</v>
      </c>
      <c r="AA145" s="1" t="str">
        <f ca="1">_xlfn.TEXTJOIN(",",TRUE,RANDBETWEEN(-1,1),RANDBETWEEN(-1,1))</f>
        <v>-1,-1</v>
      </c>
      <c r="AB145" s="1" t="str">
        <f ca="1">_xlfn.TEXTJOIN(",",TRUE,RANDBETWEEN(-1,1),RANDBETWEEN(-1,1))</f>
        <v>-1,-1</v>
      </c>
      <c r="AC145" s="1" t="str">
        <f ca="1">_xlfn.TEXTJOIN(",",TRUE,RANDBETWEEN(-1,1),RANDBETWEEN(-1,1))</f>
        <v>-1,0</v>
      </c>
      <c r="AD145" s="1" t="str">
        <f ca="1">_xlfn.TEXTJOIN(",",TRUE,RANDBETWEEN(-1,1),RANDBETWEEN(-1,1))</f>
        <v>1,0</v>
      </c>
      <c r="AE145" s="1" t="str">
        <f ca="1">_xlfn.TEXTJOIN(",",TRUE,RANDBETWEEN(-1,1),RANDBETWEEN(-1,1))</f>
        <v>1,-1</v>
      </c>
      <c r="AF145" s="1" t="str">
        <f ca="1">_xlfn.TEXTJOIN(",",TRUE,RANDBETWEEN(-1,1),RANDBETWEEN(-1,1))</f>
        <v>-1,-1</v>
      </c>
      <c r="AG145" s="1" t="str">
        <f ca="1">_xlfn.TEXTJOIN(",",TRUE,RANDBETWEEN(-1,1),RANDBETWEEN(-1,1))</f>
        <v>-1,1</v>
      </c>
      <c r="AH145" s="1" t="str">
        <f ca="1">_xlfn.TEXTJOIN(",",TRUE,RANDBETWEEN(-1,1),RANDBETWEEN(-1,1))</f>
        <v>0,1</v>
      </c>
      <c r="AI145" s="1" t="str">
        <f ca="1">_xlfn.TEXTJOIN(",",TRUE,RANDBETWEEN(-1,1),RANDBETWEEN(-1,1))</f>
        <v>1,1</v>
      </c>
      <c r="AJ145" s="1" t="str">
        <f ca="1">_xlfn.TEXTJOIN(",",TRUE,RANDBETWEEN(-1,1),RANDBETWEEN(-1,1))</f>
        <v>0,1</v>
      </c>
      <c r="AK145" s="1" t="str">
        <f ca="1">_xlfn.TEXTJOIN(",",TRUE,RANDBETWEEN(-1,1),RANDBETWEEN(-1,1))</f>
        <v>-1,1</v>
      </c>
      <c r="AL145" s="1" t="str">
        <f ca="1">_xlfn.TEXTJOIN(",",TRUE,RANDBETWEEN(-1,1),RANDBETWEEN(-1,1))</f>
        <v>0,0</v>
      </c>
      <c r="AM145" s="1" t="str">
        <f ca="1">_xlfn.TEXTJOIN(",",TRUE,RANDBETWEEN(-1,1),RANDBETWEEN(-1,1))</f>
        <v>-1,-1</v>
      </c>
      <c r="AN145" s="1" t="str">
        <f ca="1">_xlfn.TEXTJOIN(",",TRUE,RANDBETWEEN(-1,1),RANDBETWEEN(-1,1))</f>
        <v>1,1</v>
      </c>
      <c r="AO145" s="1" t="str">
        <f ca="1">_xlfn.TEXTJOIN(",",TRUE,RANDBETWEEN(-1,1),RANDBETWEEN(-1,1))</f>
        <v>0,-1</v>
      </c>
    </row>
    <row r="146" spans="1:41" ht="15.75" customHeight="1">
      <c r="A146" s="1">
        <v>30</v>
      </c>
      <c r="B146" s="1" t="str">
        <f ca="1">_xlfn.TEXTJOIN(",",TRUE,RANDBETWEEN(-1,1),RANDBETWEEN(-1,1))</f>
        <v>-1,-1</v>
      </c>
      <c r="C146" s="1" t="str">
        <f ca="1">_xlfn.TEXTJOIN(",",TRUE,RANDBETWEEN(-1,1),RANDBETWEEN(-1,1))</f>
        <v>1,1</v>
      </c>
      <c r="D146" s="1" t="str">
        <f ca="1">_xlfn.TEXTJOIN(",",TRUE,RANDBETWEEN(-1,1),RANDBETWEEN(-1,1))</f>
        <v>0,-1</v>
      </c>
      <c r="E146" s="1" t="str">
        <f ca="1">_xlfn.TEXTJOIN(",",TRUE,RANDBETWEEN(-1,1),RANDBETWEEN(-1,1))</f>
        <v>-1,1</v>
      </c>
      <c r="F146" s="1" t="str">
        <f ca="1">_xlfn.TEXTJOIN(",",TRUE,RANDBETWEEN(-1,1),RANDBETWEEN(-1,1))</f>
        <v>1,0</v>
      </c>
      <c r="G146" s="1" t="str">
        <f ca="1">_xlfn.TEXTJOIN(",",TRUE,RANDBETWEEN(-1,1),RANDBETWEEN(-1,1))</f>
        <v>0,1</v>
      </c>
      <c r="H146" s="1" t="str">
        <f ca="1">_xlfn.TEXTJOIN(",",TRUE,RANDBETWEEN(-1,1),RANDBETWEEN(-1,1))</f>
        <v>1,0</v>
      </c>
      <c r="I146" s="1" t="str">
        <f ca="1">_xlfn.TEXTJOIN(",",TRUE,RANDBETWEEN(-1,1),RANDBETWEEN(-1,1))</f>
        <v>1,-1</v>
      </c>
      <c r="J146" s="1" t="str">
        <f ca="1">_xlfn.TEXTJOIN(",",TRUE,RANDBETWEEN(-1,1),RANDBETWEEN(-1,1))</f>
        <v>1,0</v>
      </c>
      <c r="K146" s="1" t="str">
        <f ca="1">_xlfn.TEXTJOIN(",",TRUE,RANDBETWEEN(-1,1),RANDBETWEEN(-1,1))</f>
        <v>-1,-1</v>
      </c>
      <c r="L146" s="1" t="str">
        <f ca="1">_xlfn.TEXTJOIN(",",TRUE,RANDBETWEEN(-1,1),RANDBETWEEN(-1,1))</f>
        <v>1,1</v>
      </c>
      <c r="M146" s="1" t="str">
        <f ca="1">_xlfn.TEXTJOIN(",",TRUE,RANDBETWEEN(-1,1),RANDBETWEEN(-1,1))</f>
        <v>1,0</v>
      </c>
      <c r="N146" s="1" t="str">
        <f ca="1">_xlfn.TEXTJOIN(",",TRUE,RANDBETWEEN(-1,1),RANDBETWEEN(-1,1))</f>
        <v>1,-1</v>
      </c>
      <c r="O146" s="1" t="str">
        <f ca="1">_xlfn.TEXTJOIN(",",TRUE,RANDBETWEEN(-1,1),RANDBETWEEN(-1,1))</f>
        <v>-1,0</v>
      </c>
      <c r="P146" s="1" t="str">
        <f ca="1">_xlfn.TEXTJOIN(",",TRUE,RANDBETWEEN(-1,1),RANDBETWEEN(-1,1))</f>
        <v>1,-1</v>
      </c>
      <c r="Q146" s="1" t="str">
        <f ca="1">_xlfn.TEXTJOIN(",",TRUE,RANDBETWEEN(-1,1),RANDBETWEEN(-1,1))</f>
        <v>-1,-1</v>
      </c>
      <c r="R146" s="1" t="str">
        <f ca="1">_xlfn.TEXTJOIN(",",TRUE,RANDBETWEEN(-1,1),RANDBETWEEN(-1,1))</f>
        <v>1,1</v>
      </c>
      <c r="S146" s="1" t="str">
        <f ca="1">_xlfn.TEXTJOIN(",",TRUE,RANDBETWEEN(-1,1),RANDBETWEEN(-1,1))</f>
        <v>-1,0</v>
      </c>
      <c r="T146" s="1" t="str">
        <f ca="1">_xlfn.TEXTJOIN(",",TRUE,RANDBETWEEN(-1,1),RANDBETWEEN(-1,1))</f>
        <v>0,0</v>
      </c>
      <c r="U146" s="1" t="str">
        <f ca="1">_xlfn.TEXTJOIN(",",TRUE,RANDBETWEEN(-1,1),RANDBETWEEN(-1,1))</f>
        <v>1,1</v>
      </c>
      <c r="V146" s="1" t="str">
        <f ca="1">_xlfn.TEXTJOIN(",",TRUE,RANDBETWEEN(-1,1),RANDBETWEEN(-1,1))</f>
        <v>-1,1</v>
      </c>
      <c r="W146" s="1" t="str">
        <f ca="1">_xlfn.TEXTJOIN(",",TRUE,RANDBETWEEN(-1,1),RANDBETWEEN(-1,1))</f>
        <v>1,0</v>
      </c>
      <c r="X146" s="1" t="str">
        <f ca="1">_xlfn.TEXTJOIN(",",TRUE,RANDBETWEEN(-1,1),RANDBETWEEN(-1,1))</f>
        <v>0,-1</v>
      </c>
      <c r="Y146" s="1" t="str">
        <f ca="1">_xlfn.TEXTJOIN(",",TRUE,RANDBETWEEN(-1,1),RANDBETWEEN(-1,1))</f>
        <v>1,-1</v>
      </c>
      <c r="Z146" s="1" t="str">
        <f ca="1">_xlfn.TEXTJOIN(",",TRUE,RANDBETWEEN(-1,1),RANDBETWEEN(-1,1))</f>
        <v>-1,0</v>
      </c>
      <c r="AA146" s="1" t="str">
        <f ca="1">_xlfn.TEXTJOIN(",",TRUE,RANDBETWEEN(-1,1),RANDBETWEEN(-1,1))</f>
        <v>-1,0</v>
      </c>
      <c r="AB146" s="1" t="str">
        <f ca="1">_xlfn.TEXTJOIN(",",TRUE,RANDBETWEEN(-1,1),RANDBETWEEN(-1,1))</f>
        <v>1,0</v>
      </c>
      <c r="AC146" s="1" t="str">
        <f ca="1">_xlfn.TEXTJOIN(",",TRUE,RANDBETWEEN(-1,1),RANDBETWEEN(-1,1))</f>
        <v>1,-1</v>
      </c>
      <c r="AD146" s="1" t="str">
        <f ca="1">_xlfn.TEXTJOIN(",",TRUE,RANDBETWEEN(-1,1),RANDBETWEEN(-1,1))</f>
        <v>-1,0</v>
      </c>
      <c r="AE146" s="1" t="str">
        <f ca="1">_xlfn.TEXTJOIN(",",TRUE,RANDBETWEEN(-1,1),RANDBETWEEN(-1,1))</f>
        <v>0,1</v>
      </c>
      <c r="AF146" s="1" t="str">
        <f ca="1">_xlfn.TEXTJOIN(",",TRUE,RANDBETWEEN(-1,1),RANDBETWEEN(-1,1))</f>
        <v>1,-1</v>
      </c>
      <c r="AG146" s="1" t="str">
        <f ca="1">_xlfn.TEXTJOIN(",",TRUE,RANDBETWEEN(-1,1),RANDBETWEEN(-1,1))</f>
        <v>0,1</v>
      </c>
      <c r="AH146" s="1" t="str">
        <f ca="1">_xlfn.TEXTJOIN(",",TRUE,RANDBETWEEN(-1,1),RANDBETWEEN(-1,1))</f>
        <v>0,-1</v>
      </c>
      <c r="AI146" s="1" t="str">
        <f ca="1">_xlfn.TEXTJOIN(",",TRUE,RANDBETWEEN(-1,1),RANDBETWEEN(-1,1))</f>
        <v>1,1</v>
      </c>
      <c r="AJ146" s="1" t="str">
        <f ca="1">_xlfn.TEXTJOIN(",",TRUE,RANDBETWEEN(-1,1),RANDBETWEEN(-1,1))</f>
        <v>0,1</v>
      </c>
      <c r="AK146" s="1" t="str">
        <f ca="1">_xlfn.TEXTJOIN(",",TRUE,RANDBETWEEN(-1,1),RANDBETWEEN(-1,1))</f>
        <v>0,-1</v>
      </c>
      <c r="AL146" s="1" t="str">
        <f ca="1">_xlfn.TEXTJOIN(",",TRUE,RANDBETWEEN(-1,1),RANDBETWEEN(-1,1))</f>
        <v>1,0</v>
      </c>
      <c r="AM146" s="1" t="str">
        <f ca="1">_xlfn.TEXTJOIN(",",TRUE,RANDBETWEEN(-1,1),RANDBETWEEN(-1,1))</f>
        <v>0,1</v>
      </c>
      <c r="AN146" s="1" t="str">
        <f ca="1">_xlfn.TEXTJOIN(",",TRUE,RANDBETWEEN(-1,1),RANDBETWEEN(-1,1))</f>
        <v>0,-1</v>
      </c>
      <c r="AO146" s="1" t="str">
        <f ca="1">_xlfn.TEXTJOIN(",",TRUE,RANDBETWEEN(-1,1),RANDBETWEEN(-1,1))</f>
        <v>-1,-1</v>
      </c>
    </row>
    <row r="147" spans="1:41" ht="15.75" customHeight="1">
      <c r="A147" s="1">
        <v>31</v>
      </c>
      <c r="B147" s="1" t="str">
        <f ca="1">_xlfn.TEXTJOIN(",",TRUE,RANDBETWEEN(-1,1),RANDBETWEEN(-1,1))</f>
        <v>1,0</v>
      </c>
      <c r="C147" s="1" t="str">
        <f ca="1">_xlfn.TEXTJOIN(",",TRUE,RANDBETWEEN(-1,1),RANDBETWEEN(-1,1))</f>
        <v>1,0</v>
      </c>
      <c r="D147" s="1" t="str">
        <f ca="1">_xlfn.TEXTJOIN(",",TRUE,RANDBETWEEN(-1,1),RANDBETWEEN(-1,1))</f>
        <v>-1,-1</v>
      </c>
      <c r="E147" s="1" t="str">
        <f ca="1">_xlfn.TEXTJOIN(",",TRUE,RANDBETWEEN(-1,1),RANDBETWEEN(-1,1))</f>
        <v>0,0</v>
      </c>
      <c r="F147" s="1" t="str">
        <f ca="1">_xlfn.TEXTJOIN(",",TRUE,RANDBETWEEN(-1,1),RANDBETWEEN(-1,1))</f>
        <v>1,1</v>
      </c>
      <c r="G147" s="1" t="str">
        <f ca="1">_xlfn.TEXTJOIN(",",TRUE,RANDBETWEEN(-1,1),RANDBETWEEN(-1,1))</f>
        <v>1,0</v>
      </c>
      <c r="H147" s="1" t="str">
        <f ca="1">_xlfn.TEXTJOIN(",",TRUE,RANDBETWEEN(-1,1),RANDBETWEEN(-1,1))</f>
        <v>-1,-1</v>
      </c>
      <c r="I147" s="1" t="str">
        <f ca="1">_xlfn.TEXTJOIN(",",TRUE,RANDBETWEEN(-1,1),RANDBETWEEN(-1,1))</f>
        <v>1,1</v>
      </c>
      <c r="J147" s="1" t="str">
        <f ca="1">_xlfn.TEXTJOIN(",",TRUE,RANDBETWEEN(-1,1),RANDBETWEEN(-1,1))</f>
        <v>-1,-1</v>
      </c>
      <c r="K147" s="1" t="str">
        <f ca="1">_xlfn.TEXTJOIN(",",TRUE,RANDBETWEEN(-1,1),RANDBETWEEN(-1,1))</f>
        <v>0,1</v>
      </c>
      <c r="L147" s="1" t="str">
        <f ca="1">_xlfn.TEXTJOIN(",",TRUE,RANDBETWEEN(-1,1),RANDBETWEEN(-1,1))</f>
        <v>0,-1</v>
      </c>
      <c r="M147" s="1" t="str">
        <f ca="1">_xlfn.TEXTJOIN(",",TRUE,RANDBETWEEN(-1,1),RANDBETWEEN(-1,1))</f>
        <v>-1,0</v>
      </c>
      <c r="N147" s="1" t="str">
        <f ca="1">_xlfn.TEXTJOIN(",",TRUE,RANDBETWEEN(-1,1),RANDBETWEEN(-1,1))</f>
        <v>1,-1</v>
      </c>
      <c r="O147" s="1" t="str">
        <f ca="1">_xlfn.TEXTJOIN(",",TRUE,RANDBETWEEN(-1,1),RANDBETWEEN(-1,1))</f>
        <v>1,-1</v>
      </c>
      <c r="P147" s="1" t="str">
        <f ca="1">_xlfn.TEXTJOIN(",",TRUE,RANDBETWEEN(-1,1),RANDBETWEEN(-1,1))</f>
        <v>0,0</v>
      </c>
      <c r="Q147" s="1" t="str">
        <f ca="1">_xlfn.TEXTJOIN(",",TRUE,RANDBETWEEN(-1,1),RANDBETWEEN(-1,1))</f>
        <v>0,0</v>
      </c>
      <c r="R147" s="1" t="str">
        <f ca="1">_xlfn.TEXTJOIN(",",TRUE,RANDBETWEEN(-1,1),RANDBETWEEN(-1,1))</f>
        <v>-1,0</v>
      </c>
      <c r="S147" s="1" t="str">
        <f ca="1">_xlfn.TEXTJOIN(",",TRUE,RANDBETWEEN(-1,1),RANDBETWEEN(-1,1))</f>
        <v>1,-1</v>
      </c>
      <c r="T147" s="1" t="str">
        <f ca="1">_xlfn.TEXTJOIN(",",TRUE,RANDBETWEEN(-1,1),RANDBETWEEN(-1,1))</f>
        <v>0,0</v>
      </c>
      <c r="U147" s="1" t="str">
        <f ca="1">_xlfn.TEXTJOIN(",",TRUE,RANDBETWEEN(-1,1),RANDBETWEEN(-1,1))</f>
        <v>-1,0</v>
      </c>
      <c r="V147" s="1" t="str">
        <f ca="1">_xlfn.TEXTJOIN(",",TRUE,RANDBETWEEN(-1,1),RANDBETWEEN(-1,1))</f>
        <v>0,1</v>
      </c>
      <c r="W147" s="1" t="str">
        <f ca="1">_xlfn.TEXTJOIN(",",TRUE,RANDBETWEEN(-1,1),RANDBETWEEN(-1,1))</f>
        <v>1,1</v>
      </c>
      <c r="X147" s="1" t="str">
        <f ca="1">_xlfn.TEXTJOIN(",",TRUE,RANDBETWEEN(-1,1),RANDBETWEEN(-1,1))</f>
        <v>1,0</v>
      </c>
      <c r="Y147" s="1" t="str">
        <f ca="1">_xlfn.TEXTJOIN(",",TRUE,RANDBETWEEN(-1,1),RANDBETWEEN(-1,1))</f>
        <v>-1,1</v>
      </c>
      <c r="Z147" s="1" t="str">
        <f ca="1">_xlfn.TEXTJOIN(",",TRUE,RANDBETWEEN(-1,1),RANDBETWEEN(-1,1))</f>
        <v>1,0</v>
      </c>
      <c r="AA147" s="1" t="str">
        <f ca="1">_xlfn.TEXTJOIN(",",TRUE,RANDBETWEEN(-1,1),RANDBETWEEN(-1,1))</f>
        <v>1,0</v>
      </c>
      <c r="AB147" s="1" t="str">
        <f ca="1">_xlfn.TEXTJOIN(",",TRUE,RANDBETWEEN(-1,1),RANDBETWEEN(-1,1))</f>
        <v>1,0</v>
      </c>
      <c r="AC147" s="1" t="str">
        <f ca="1">_xlfn.TEXTJOIN(",",TRUE,RANDBETWEEN(-1,1),RANDBETWEEN(-1,1))</f>
        <v>-1,0</v>
      </c>
      <c r="AD147" s="1" t="str">
        <f ca="1">_xlfn.TEXTJOIN(",",TRUE,RANDBETWEEN(-1,1),RANDBETWEEN(-1,1))</f>
        <v>1,-1</v>
      </c>
      <c r="AE147" s="1" t="str">
        <f ca="1">_xlfn.TEXTJOIN(",",TRUE,RANDBETWEEN(-1,1),RANDBETWEEN(-1,1))</f>
        <v>1,-1</v>
      </c>
      <c r="AF147" s="1" t="str">
        <f ca="1">_xlfn.TEXTJOIN(",",TRUE,RANDBETWEEN(-1,1),RANDBETWEEN(-1,1))</f>
        <v>1,1</v>
      </c>
      <c r="AG147" s="1" t="str">
        <f ca="1">_xlfn.TEXTJOIN(",",TRUE,RANDBETWEEN(-1,1),RANDBETWEEN(-1,1))</f>
        <v>-1,1</v>
      </c>
      <c r="AH147" s="1" t="str">
        <f ca="1">_xlfn.TEXTJOIN(",",TRUE,RANDBETWEEN(-1,1),RANDBETWEEN(-1,1))</f>
        <v>-1,-1</v>
      </c>
      <c r="AI147" s="1" t="str">
        <f ca="1">_xlfn.TEXTJOIN(",",TRUE,RANDBETWEEN(-1,1),RANDBETWEEN(-1,1))</f>
        <v>0,1</v>
      </c>
      <c r="AJ147" s="1" t="str">
        <f ca="1">_xlfn.TEXTJOIN(",",TRUE,RANDBETWEEN(-1,1),RANDBETWEEN(-1,1))</f>
        <v>1,0</v>
      </c>
      <c r="AK147" s="1" t="str">
        <f ca="1">_xlfn.TEXTJOIN(",",TRUE,RANDBETWEEN(-1,1),RANDBETWEEN(-1,1))</f>
        <v>0,1</v>
      </c>
      <c r="AL147" s="1" t="str">
        <f ca="1">_xlfn.TEXTJOIN(",",TRUE,RANDBETWEEN(-1,1),RANDBETWEEN(-1,1))</f>
        <v>0,0</v>
      </c>
      <c r="AM147" s="1" t="str">
        <f ca="1">_xlfn.TEXTJOIN(",",TRUE,RANDBETWEEN(-1,1),RANDBETWEEN(-1,1))</f>
        <v>0,1</v>
      </c>
      <c r="AN147" s="1" t="str">
        <f ca="1">_xlfn.TEXTJOIN(",",TRUE,RANDBETWEEN(-1,1),RANDBETWEEN(-1,1))</f>
        <v>-1,0</v>
      </c>
      <c r="AO147" s="1" t="str">
        <f ca="1">_xlfn.TEXTJOIN(",",TRUE,RANDBETWEEN(-1,1),RANDBETWEEN(-1,1))</f>
        <v>0,-1</v>
      </c>
    </row>
    <row r="148" spans="1:41" ht="15.75" customHeight="1">
      <c r="A148" s="1">
        <v>32</v>
      </c>
      <c r="B148" s="1" t="str">
        <f ca="1">_xlfn.TEXTJOIN(",",TRUE,RANDBETWEEN(-1,1),RANDBETWEEN(-1,1))</f>
        <v>0,-1</v>
      </c>
      <c r="C148" s="1" t="str">
        <f ca="1">_xlfn.TEXTJOIN(",",TRUE,RANDBETWEEN(-1,1),RANDBETWEEN(-1,1))</f>
        <v>0,1</v>
      </c>
      <c r="D148" s="1" t="str">
        <f ca="1">_xlfn.TEXTJOIN(",",TRUE,RANDBETWEEN(-1,1),RANDBETWEEN(-1,1))</f>
        <v>0,0</v>
      </c>
      <c r="E148" s="1" t="str">
        <f ca="1">_xlfn.TEXTJOIN(",",TRUE,RANDBETWEEN(-1,1),RANDBETWEEN(-1,1))</f>
        <v>1,-1</v>
      </c>
      <c r="F148" s="1" t="str">
        <f ca="1">_xlfn.TEXTJOIN(",",TRUE,RANDBETWEEN(-1,1),RANDBETWEEN(-1,1))</f>
        <v>-1,1</v>
      </c>
      <c r="G148" s="1" t="str">
        <f ca="1">_xlfn.TEXTJOIN(",",TRUE,RANDBETWEEN(-1,1),RANDBETWEEN(-1,1))</f>
        <v>1,1</v>
      </c>
      <c r="H148" s="1" t="str">
        <f ca="1">_xlfn.TEXTJOIN(",",TRUE,RANDBETWEEN(-1,1),RANDBETWEEN(-1,1))</f>
        <v>0,-1</v>
      </c>
      <c r="I148" s="1" t="str">
        <f ca="1">_xlfn.TEXTJOIN(",",TRUE,RANDBETWEEN(-1,1),RANDBETWEEN(-1,1))</f>
        <v>-1,0</v>
      </c>
      <c r="J148" s="1" t="str">
        <f ca="1">_xlfn.TEXTJOIN(",",TRUE,RANDBETWEEN(-1,1),RANDBETWEEN(-1,1))</f>
        <v>-1,-1</v>
      </c>
      <c r="K148" s="1" t="str">
        <f ca="1">_xlfn.TEXTJOIN(",",TRUE,RANDBETWEEN(-1,1),RANDBETWEEN(-1,1))</f>
        <v>0,-1</v>
      </c>
      <c r="L148" s="1" t="str">
        <f ca="1">_xlfn.TEXTJOIN(",",TRUE,RANDBETWEEN(-1,1),RANDBETWEEN(-1,1))</f>
        <v>0,0</v>
      </c>
      <c r="M148" s="1" t="str">
        <f ca="1">_xlfn.TEXTJOIN(",",TRUE,RANDBETWEEN(-1,1),RANDBETWEEN(-1,1))</f>
        <v>1,-1</v>
      </c>
      <c r="N148" s="1" t="str">
        <f ca="1">_xlfn.TEXTJOIN(",",TRUE,RANDBETWEEN(-1,1),RANDBETWEEN(-1,1))</f>
        <v>-1,-1</v>
      </c>
      <c r="O148" s="1" t="str">
        <f ca="1">_xlfn.TEXTJOIN(",",TRUE,RANDBETWEEN(-1,1),RANDBETWEEN(-1,1))</f>
        <v>-1,1</v>
      </c>
      <c r="P148" s="1" t="str">
        <f ca="1">_xlfn.TEXTJOIN(",",TRUE,RANDBETWEEN(-1,1),RANDBETWEEN(-1,1))</f>
        <v>-1,1</v>
      </c>
      <c r="Q148" s="1" t="str">
        <f ca="1">_xlfn.TEXTJOIN(",",TRUE,RANDBETWEEN(-1,1),RANDBETWEEN(-1,1))</f>
        <v>-1,0</v>
      </c>
      <c r="R148" s="1" t="str">
        <f ca="1">_xlfn.TEXTJOIN(",",TRUE,RANDBETWEEN(-1,1),RANDBETWEEN(-1,1))</f>
        <v>1,1</v>
      </c>
      <c r="S148" s="1" t="str">
        <f ca="1">_xlfn.TEXTJOIN(",",TRUE,RANDBETWEEN(-1,1),RANDBETWEEN(-1,1))</f>
        <v>-1,-1</v>
      </c>
      <c r="T148" s="1" t="str">
        <f ca="1">_xlfn.TEXTJOIN(",",TRUE,RANDBETWEEN(-1,1),RANDBETWEEN(-1,1))</f>
        <v>1,0</v>
      </c>
      <c r="U148" s="1" t="str">
        <f ca="1">_xlfn.TEXTJOIN(",",TRUE,RANDBETWEEN(-1,1),RANDBETWEEN(-1,1))</f>
        <v>1,-1</v>
      </c>
      <c r="V148" s="1" t="str">
        <f ca="1">_xlfn.TEXTJOIN(",",TRUE,RANDBETWEEN(-1,1),RANDBETWEEN(-1,1))</f>
        <v>1,0</v>
      </c>
      <c r="W148" s="1" t="str">
        <f ca="1">_xlfn.TEXTJOIN(",",TRUE,RANDBETWEEN(-1,1),RANDBETWEEN(-1,1))</f>
        <v>-1,0</v>
      </c>
      <c r="X148" s="1" t="str">
        <f ca="1">_xlfn.TEXTJOIN(",",TRUE,RANDBETWEEN(-1,1),RANDBETWEEN(-1,1))</f>
        <v>0,-1</v>
      </c>
      <c r="Y148" s="1" t="str">
        <f ca="1">_xlfn.TEXTJOIN(",",TRUE,RANDBETWEEN(-1,1),RANDBETWEEN(-1,1))</f>
        <v>0,1</v>
      </c>
      <c r="Z148" s="1" t="str">
        <f ca="1">_xlfn.TEXTJOIN(",",TRUE,RANDBETWEEN(-1,1),RANDBETWEEN(-1,1))</f>
        <v>1,1</v>
      </c>
      <c r="AA148" s="1" t="str">
        <f ca="1">_xlfn.TEXTJOIN(",",TRUE,RANDBETWEEN(-1,1),RANDBETWEEN(-1,1))</f>
        <v>1,1</v>
      </c>
      <c r="AB148" s="1" t="str">
        <f ca="1">_xlfn.TEXTJOIN(",",TRUE,RANDBETWEEN(-1,1),RANDBETWEEN(-1,1))</f>
        <v>1,1</v>
      </c>
      <c r="AC148" s="1" t="str">
        <f ca="1">_xlfn.TEXTJOIN(",",TRUE,RANDBETWEEN(-1,1),RANDBETWEEN(-1,1))</f>
        <v>0,1</v>
      </c>
      <c r="AD148" s="1" t="str">
        <f ca="1">_xlfn.TEXTJOIN(",",TRUE,RANDBETWEEN(-1,1),RANDBETWEEN(-1,1))</f>
        <v>-1,1</v>
      </c>
      <c r="AE148" s="1" t="str">
        <f ca="1">_xlfn.TEXTJOIN(",",TRUE,RANDBETWEEN(-1,1),RANDBETWEEN(-1,1))</f>
        <v>0,1</v>
      </c>
      <c r="AF148" s="1" t="str">
        <f ca="1">_xlfn.TEXTJOIN(",",TRUE,RANDBETWEEN(-1,1),RANDBETWEEN(-1,1))</f>
        <v>-1,-1</v>
      </c>
      <c r="AG148" s="1" t="str">
        <f ca="1">_xlfn.TEXTJOIN(",",TRUE,RANDBETWEEN(-1,1),RANDBETWEEN(-1,1))</f>
        <v>0,0</v>
      </c>
      <c r="AH148" s="1" t="str">
        <f ca="1">_xlfn.TEXTJOIN(",",TRUE,RANDBETWEEN(-1,1),RANDBETWEEN(-1,1))</f>
        <v>1,-1</v>
      </c>
      <c r="AI148" s="1" t="str">
        <f ca="1">_xlfn.TEXTJOIN(",",TRUE,RANDBETWEEN(-1,1),RANDBETWEEN(-1,1))</f>
        <v>1,-1</v>
      </c>
      <c r="AJ148" s="1" t="str">
        <f ca="1">_xlfn.TEXTJOIN(",",TRUE,RANDBETWEEN(-1,1),RANDBETWEEN(-1,1))</f>
        <v>1,0</v>
      </c>
      <c r="AK148" s="1" t="str">
        <f ca="1">_xlfn.TEXTJOIN(",",TRUE,RANDBETWEEN(-1,1),RANDBETWEEN(-1,1))</f>
        <v>0,-1</v>
      </c>
      <c r="AL148" s="1" t="str">
        <f ca="1">_xlfn.TEXTJOIN(",",TRUE,RANDBETWEEN(-1,1),RANDBETWEEN(-1,1))</f>
        <v>0,1</v>
      </c>
      <c r="AM148" s="1" t="str">
        <f ca="1">_xlfn.TEXTJOIN(",",TRUE,RANDBETWEEN(-1,1),RANDBETWEEN(-1,1))</f>
        <v>1,0</v>
      </c>
      <c r="AN148" s="1" t="str">
        <f ca="1">_xlfn.TEXTJOIN(",",TRUE,RANDBETWEEN(-1,1),RANDBETWEEN(-1,1))</f>
        <v>1,-1</v>
      </c>
      <c r="AO148" s="1" t="str">
        <f ca="1">_xlfn.TEXTJOIN(",",TRUE,RANDBETWEEN(-1,1),RANDBETWEEN(-1,1))</f>
        <v>-1,-1</v>
      </c>
    </row>
    <row r="149" spans="1:41" ht="15.75" customHeight="1">
      <c r="A149" s="1">
        <v>33</v>
      </c>
      <c r="B149" s="1" t="str">
        <f ca="1">_xlfn.TEXTJOIN(",",TRUE,RANDBETWEEN(-1,1),RANDBETWEEN(-1,1))</f>
        <v>1,-1</v>
      </c>
      <c r="C149" s="1" t="str">
        <f ca="1">_xlfn.TEXTJOIN(",",TRUE,RANDBETWEEN(-1,1),RANDBETWEEN(-1,1))</f>
        <v>1,-1</v>
      </c>
      <c r="D149" s="1" t="str">
        <f ca="1">_xlfn.TEXTJOIN(",",TRUE,RANDBETWEEN(-1,1),RANDBETWEEN(-1,1))</f>
        <v>0,0</v>
      </c>
      <c r="E149" s="1" t="str">
        <f ca="1">_xlfn.TEXTJOIN(",",TRUE,RANDBETWEEN(-1,1),RANDBETWEEN(-1,1))</f>
        <v>-1,1</v>
      </c>
      <c r="F149" s="1" t="str">
        <f ca="1">_xlfn.TEXTJOIN(",",TRUE,RANDBETWEEN(-1,1),RANDBETWEEN(-1,1))</f>
        <v>1,1</v>
      </c>
      <c r="G149" s="1" t="str">
        <f ca="1">_xlfn.TEXTJOIN(",",TRUE,RANDBETWEEN(-1,1),RANDBETWEEN(-1,1))</f>
        <v>0,1</v>
      </c>
      <c r="H149" s="1" t="str">
        <f ca="1">_xlfn.TEXTJOIN(",",TRUE,RANDBETWEEN(-1,1),RANDBETWEEN(-1,1))</f>
        <v>1,-1</v>
      </c>
      <c r="I149" s="1" t="str">
        <f ca="1">_xlfn.TEXTJOIN(",",TRUE,RANDBETWEEN(-1,1),RANDBETWEEN(-1,1))</f>
        <v>-1,1</v>
      </c>
      <c r="J149" s="1" t="str">
        <f ca="1">_xlfn.TEXTJOIN(",",TRUE,RANDBETWEEN(-1,1),RANDBETWEEN(-1,1))</f>
        <v>1,-1</v>
      </c>
      <c r="K149" s="1" t="str">
        <f ca="1">_xlfn.TEXTJOIN(",",TRUE,RANDBETWEEN(-1,1),RANDBETWEEN(-1,1))</f>
        <v>-1,0</v>
      </c>
      <c r="L149" s="1" t="str">
        <f ca="1">_xlfn.TEXTJOIN(",",TRUE,RANDBETWEEN(-1,1),RANDBETWEEN(-1,1))</f>
        <v>-1,1</v>
      </c>
      <c r="M149" s="1" t="str">
        <f ca="1">_xlfn.TEXTJOIN(",",TRUE,RANDBETWEEN(-1,1),RANDBETWEEN(-1,1))</f>
        <v>-1,0</v>
      </c>
      <c r="N149" s="1" t="str">
        <f ca="1">_xlfn.TEXTJOIN(",",TRUE,RANDBETWEEN(-1,1),RANDBETWEEN(-1,1))</f>
        <v>0,0</v>
      </c>
      <c r="O149" s="1" t="str">
        <f ca="1">_xlfn.TEXTJOIN(",",TRUE,RANDBETWEEN(-1,1),RANDBETWEEN(-1,1))</f>
        <v>-1,-1</v>
      </c>
      <c r="P149" s="1" t="str">
        <f ca="1">_xlfn.TEXTJOIN(",",TRUE,RANDBETWEEN(-1,1),RANDBETWEEN(-1,1))</f>
        <v>1,0</v>
      </c>
      <c r="Q149" s="1" t="str">
        <f ca="1">_xlfn.TEXTJOIN(",",TRUE,RANDBETWEEN(-1,1),RANDBETWEEN(-1,1))</f>
        <v>-1,0</v>
      </c>
      <c r="R149" s="1" t="str">
        <f ca="1">_xlfn.TEXTJOIN(",",TRUE,RANDBETWEEN(-1,1),RANDBETWEEN(-1,1))</f>
        <v>0,-1</v>
      </c>
      <c r="S149" s="1" t="str">
        <f ca="1">_xlfn.TEXTJOIN(",",TRUE,RANDBETWEEN(-1,1),RANDBETWEEN(-1,1))</f>
        <v>0,-1</v>
      </c>
      <c r="T149" s="1" t="str">
        <f ca="1">_xlfn.TEXTJOIN(",",TRUE,RANDBETWEEN(-1,1),RANDBETWEEN(-1,1))</f>
        <v>-1,0</v>
      </c>
      <c r="U149" s="1" t="str">
        <f ca="1">_xlfn.TEXTJOIN(",",TRUE,RANDBETWEEN(-1,1),RANDBETWEEN(-1,1))</f>
        <v>0,-1</v>
      </c>
      <c r="V149" s="1" t="str">
        <f ca="1">_xlfn.TEXTJOIN(",",TRUE,RANDBETWEEN(-1,1),RANDBETWEEN(-1,1))</f>
        <v>-1,1</v>
      </c>
      <c r="W149" s="1" t="str">
        <f ca="1">_xlfn.TEXTJOIN(",",TRUE,RANDBETWEEN(-1,1),RANDBETWEEN(-1,1))</f>
        <v>0,0</v>
      </c>
      <c r="X149" s="1" t="str">
        <f ca="1">_xlfn.TEXTJOIN(",",TRUE,RANDBETWEEN(-1,1),RANDBETWEEN(-1,1))</f>
        <v>-1,0</v>
      </c>
      <c r="Y149" s="1" t="str">
        <f ca="1">_xlfn.TEXTJOIN(",",TRUE,RANDBETWEEN(-1,1),RANDBETWEEN(-1,1))</f>
        <v>1,-1</v>
      </c>
      <c r="Z149" s="1" t="str">
        <f ca="1">_xlfn.TEXTJOIN(",",TRUE,RANDBETWEEN(-1,1),RANDBETWEEN(-1,1))</f>
        <v>0,1</v>
      </c>
      <c r="AA149" s="1" t="str">
        <f ca="1">_xlfn.TEXTJOIN(",",TRUE,RANDBETWEEN(-1,1),RANDBETWEEN(-1,1))</f>
        <v>0,-1</v>
      </c>
      <c r="AB149" s="1" t="str">
        <f ca="1">_xlfn.TEXTJOIN(",",TRUE,RANDBETWEEN(-1,1),RANDBETWEEN(-1,1))</f>
        <v>0,-1</v>
      </c>
      <c r="AC149" s="1" t="str">
        <f ca="1">_xlfn.TEXTJOIN(",",TRUE,RANDBETWEEN(-1,1),RANDBETWEEN(-1,1))</f>
        <v>1,0</v>
      </c>
      <c r="AD149" s="1" t="str">
        <f ca="1">_xlfn.TEXTJOIN(",",TRUE,RANDBETWEEN(-1,1),RANDBETWEEN(-1,1))</f>
        <v>1,-1</v>
      </c>
      <c r="AE149" s="1" t="str">
        <f ca="1">_xlfn.TEXTJOIN(",",TRUE,RANDBETWEEN(-1,1),RANDBETWEEN(-1,1))</f>
        <v>-1,-1</v>
      </c>
      <c r="AF149" s="1" t="str">
        <f ca="1">_xlfn.TEXTJOIN(",",TRUE,RANDBETWEEN(-1,1),RANDBETWEEN(-1,1))</f>
        <v>-1,0</v>
      </c>
      <c r="AG149" s="1" t="str">
        <f ca="1">_xlfn.TEXTJOIN(",",TRUE,RANDBETWEEN(-1,1),RANDBETWEEN(-1,1))</f>
        <v>1,-1</v>
      </c>
      <c r="AH149" s="1" t="str">
        <f ca="1">_xlfn.TEXTJOIN(",",TRUE,RANDBETWEEN(-1,1),RANDBETWEEN(-1,1))</f>
        <v>1,-1</v>
      </c>
      <c r="AI149" s="1" t="str">
        <f ca="1">_xlfn.TEXTJOIN(",",TRUE,RANDBETWEEN(-1,1),RANDBETWEEN(-1,1))</f>
        <v>-1,0</v>
      </c>
      <c r="AJ149" s="1" t="str">
        <f ca="1">_xlfn.TEXTJOIN(",",TRUE,RANDBETWEEN(-1,1),RANDBETWEEN(-1,1))</f>
        <v>1,-1</v>
      </c>
      <c r="AK149" s="1" t="str">
        <f ca="1">_xlfn.TEXTJOIN(",",TRUE,RANDBETWEEN(-1,1),RANDBETWEEN(-1,1))</f>
        <v>1,-1</v>
      </c>
      <c r="AL149" s="1" t="str">
        <f ca="1">_xlfn.TEXTJOIN(",",TRUE,RANDBETWEEN(-1,1),RANDBETWEEN(-1,1))</f>
        <v>1,1</v>
      </c>
      <c r="AM149" s="1" t="str">
        <f ca="1">_xlfn.TEXTJOIN(",",TRUE,RANDBETWEEN(-1,1),RANDBETWEEN(-1,1))</f>
        <v>0,-1</v>
      </c>
      <c r="AN149" s="1" t="str">
        <f ca="1">_xlfn.TEXTJOIN(",",TRUE,RANDBETWEEN(-1,1),RANDBETWEEN(-1,1))</f>
        <v>0,0</v>
      </c>
      <c r="AO149" s="1" t="str">
        <f ca="1">_xlfn.TEXTJOIN(",",TRUE,RANDBETWEEN(-1,1),RANDBETWEEN(-1,1))</f>
        <v>1,1</v>
      </c>
    </row>
    <row r="150" spans="1:41" ht="15.75" customHeight="1">
      <c r="A150" s="1">
        <v>34</v>
      </c>
      <c r="B150" s="1" t="str">
        <f ca="1">_xlfn.TEXTJOIN(",",TRUE,RANDBETWEEN(-1,1),RANDBETWEEN(-1,1))</f>
        <v>-1,-1</v>
      </c>
      <c r="C150" s="1" t="str">
        <f ca="1">_xlfn.TEXTJOIN(",",TRUE,RANDBETWEEN(-1,1),RANDBETWEEN(-1,1))</f>
        <v>1,-1</v>
      </c>
      <c r="D150" s="1" t="str">
        <f ca="1">_xlfn.TEXTJOIN(",",TRUE,RANDBETWEEN(-1,1),RANDBETWEEN(-1,1))</f>
        <v>1,-1</v>
      </c>
      <c r="E150" s="1" t="str">
        <f ca="1">_xlfn.TEXTJOIN(",",TRUE,RANDBETWEEN(-1,1),RANDBETWEEN(-1,1))</f>
        <v>-1,0</v>
      </c>
      <c r="F150" s="1" t="str">
        <f ca="1">_xlfn.TEXTJOIN(",",TRUE,RANDBETWEEN(-1,1),RANDBETWEEN(-1,1))</f>
        <v>1,0</v>
      </c>
      <c r="G150" s="1" t="str">
        <f ca="1">_xlfn.TEXTJOIN(",",TRUE,RANDBETWEEN(-1,1),RANDBETWEEN(-1,1))</f>
        <v>1,-1</v>
      </c>
      <c r="H150" s="1" t="str">
        <f ca="1">_xlfn.TEXTJOIN(",",TRUE,RANDBETWEEN(-1,1),RANDBETWEEN(-1,1))</f>
        <v>-1,1</v>
      </c>
      <c r="I150" s="1" t="str">
        <f ca="1">_xlfn.TEXTJOIN(",",TRUE,RANDBETWEEN(-1,1),RANDBETWEEN(-1,1))</f>
        <v>1,-1</v>
      </c>
      <c r="J150" s="1" t="str">
        <f ca="1">_xlfn.TEXTJOIN(",",TRUE,RANDBETWEEN(-1,1),RANDBETWEEN(-1,1))</f>
        <v>-1,-1</v>
      </c>
      <c r="K150" s="1" t="str">
        <f ca="1">_xlfn.TEXTJOIN(",",TRUE,RANDBETWEEN(-1,1),RANDBETWEEN(-1,1))</f>
        <v>-1,-1</v>
      </c>
      <c r="L150" s="1" t="str">
        <f ca="1">_xlfn.TEXTJOIN(",",TRUE,RANDBETWEEN(-1,1),RANDBETWEEN(-1,1))</f>
        <v>-1,1</v>
      </c>
      <c r="M150" s="1" t="str">
        <f ca="1">_xlfn.TEXTJOIN(",",TRUE,RANDBETWEEN(-1,1),RANDBETWEEN(-1,1))</f>
        <v>-1,0</v>
      </c>
      <c r="N150" s="1" t="str">
        <f ca="1">_xlfn.TEXTJOIN(",",TRUE,RANDBETWEEN(-1,1),RANDBETWEEN(-1,1))</f>
        <v>0,1</v>
      </c>
      <c r="O150" s="1" t="str">
        <f ca="1">_xlfn.TEXTJOIN(",",TRUE,RANDBETWEEN(-1,1),RANDBETWEEN(-1,1))</f>
        <v>-1,-1</v>
      </c>
      <c r="P150" s="1" t="str">
        <f ca="1">_xlfn.TEXTJOIN(",",TRUE,RANDBETWEEN(-1,1),RANDBETWEEN(-1,1))</f>
        <v>-1,-1</v>
      </c>
      <c r="Q150" s="1" t="str">
        <f ca="1">_xlfn.TEXTJOIN(",",TRUE,RANDBETWEEN(-1,1),RANDBETWEEN(-1,1))</f>
        <v>-1,1</v>
      </c>
      <c r="R150" s="1" t="str">
        <f ca="1">_xlfn.TEXTJOIN(",",TRUE,RANDBETWEEN(-1,1),RANDBETWEEN(-1,1))</f>
        <v>1,1</v>
      </c>
      <c r="S150" s="1" t="str">
        <f ca="1">_xlfn.TEXTJOIN(",",TRUE,RANDBETWEEN(-1,1),RANDBETWEEN(-1,1))</f>
        <v>-1,0</v>
      </c>
      <c r="T150" s="1" t="str">
        <f ca="1">_xlfn.TEXTJOIN(",",TRUE,RANDBETWEEN(-1,1),RANDBETWEEN(-1,1))</f>
        <v>1,1</v>
      </c>
      <c r="U150" s="1" t="str">
        <f ca="1">_xlfn.TEXTJOIN(",",TRUE,RANDBETWEEN(-1,1),RANDBETWEEN(-1,1))</f>
        <v>0,-1</v>
      </c>
      <c r="V150" s="1" t="str">
        <f ca="1">_xlfn.TEXTJOIN(",",TRUE,RANDBETWEEN(-1,1),RANDBETWEEN(-1,1))</f>
        <v>1,1</v>
      </c>
      <c r="W150" s="1" t="str">
        <f ca="1">_xlfn.TEXTJOIN(",",TRUE,RANDBETWEEN(-1,1),RANDBETWEEN(-1,1))</f>
        <v>0,0</v>
      </c>
      <c r="X150" s="1" t="str">
        <f ca="1">_xlfn.TEXTJOIN(",",TRUE,RANDBETWEEN(-1,1),RANDBETWEEN(-1,1))</f>
        <v>-1,-1</v>
      </c>
      <c r="Y150" s="1" t="str">
        <f ca="1">_xlfn.TEXTJOIN(",",TRUE,RANDBETWEEN(-1,1),RANDBETWEEN(-1,1))</f>
        <v>0,-1</v>
      </c>
      <c r="Z150" s="1" t="str">
        <f ca="1">_xlfn.TEXTJOIN(",",TRUE,RANDBETWEEN(-1,1),RANDBETWEEN(-1,1))</f>
        <v>-1,0</v>
      </c>
      <c r="AA150" s="1" t="str">
        <f ca="1">_xlfn.TEXTJOIN(",",TRUE,RANDBETWEEN(-1,1),RANDBETWEEN(-1,1))</f>
        <v>-1,1</v>
      </c>
      <c r="AB150" s="1" t="str">
        <f ca="1">_xlfn.TEXTJOIN(",",TRUE,RANDBETWEEN(-1,1),RANDBETWEEN(-1,1))</f>
        <v>-1,1</v>
      </c>
      <c r="AC150" s="1" t="str">
        <f ca="1">_xlfn.TEXTJOIN(",",TRUE,RANDBETWEEN(-1,1),RANDBETWEEN(-1,1))</f>
        <v>-1,1</v>
      </c>
      <c r="AD150" s="1" t="str">
        <f ca="1">_xlfn.TEXTJOIN(",",TRUE,RANDBETWEEN(-1,1),RANDBETWEEN(-1,1))</f>
        <v>-1,-1</v>
      </c>
      <c r="AE150" s="1" t="str">
        <f ca="1">_xlfn.TEXTJOIN(",",TRUE,RANDBETWEEN(-1,1),RANDBETWEEN(-1,1))</f>
        <v>-1,0</v>
      </c>
      <c r="AF150" s="1" t="str">
        <f ca="1">_xlfn.TEXTJOIN(",",TRUE,RANDBETWEEN(-1,1),RANDBETWEEN(-1,1))</f>
        <v>-1,0</v>
      </c>
      <c r="AG150" s="1" t="str">
        <f ca="1">_xlfn.TEXTJOIN(",",TRUE,RANDBETWEEN(-1,1),RANDBETWEEN(-1,1))</f>
        <v>0,0</v>
      </c>
      <c r="AH150" s="1" t="str">
        <f ca="1">_xlfn.TEXTJOIN(",",TRUE,RANDBETWEEN(-1,1),RANDBETWEEN(-1,1))</f>
        <v>0,1</v>
      </c>
      <c r="AI150" s="1" t="str">
        <f ca="1">_xlfn.TEXTJOIN(",",TRUE,RANDBETWEEN(-1,1),RANDBETWEEN(-1,1))</f>
        <v>-1,-1</v>
      </c>
      <c r="AJ150" s="1" t="str">
        <f ca="1">_xlfn.TEXTJOIN(",",TRUE,RANDBETWEEN(-1,1),RANDBETWEEN(-1,1))</f>
        <v>-1,0</v>
      </c>
      <c r="AK150" s="1" t="str">
        <f ca="1">_xlfn.TEXTJOIN(",",TRUE,RANDBETWEEN(-1,1),RANDBETWEEN(-1,1))</f>
        <v>1,-1</v>
      </c>
      <c r="AL150" s="1" t="str">
        <f ca="1">_xlfn.TEXTJOIN(",",TRUE,RANDBETWEEN(-1,1),RANDBETWEEN(-1,1))</f>
        <v>0,-1</v>
      </c>
      <c r="AM150" s="1" t="str">
        <f ca="1">_xlfn.TEXTJOIN(",",TRUE,RANDBETWEEN(-1,1),RANDBETWEEN(-1,1))</f>
        <v>1,0</v>
      </c>
      <c r="AN150" s="1" t="str">
        <f ca="1">_xlfn.TEXTJOIN(",",TRUE,RANDBETWEEN(-1,1),RANDBETWEEN(-1,1))</f>
        <v>0,-1</v>
      </c>
      <c r="AO150" s="1" t="str">
        <f ca="1">_xlfn.TEXTJOIN(",",TRUE,RANDBETWEEN(-1,1),RANDBETWEEN(-1,1))</f>
        <v>0,1</v>
      </c>
    </row>
    <row r="151" spans="1:41" ht="15.75" customHeight="1">
      <c r="A151" s="1">
        <v>35</v>
      </c>
      <c r="B151" s="1" t="str">
        <f ca="1">_xlfn.TEXTJOIN(",",TRUE,RANDBETWEEN(-1,1),RANDBETWEEN(-1,1))</f>
        <v>1,-1</v>
      </c>
      <c r="C151" s="1" t="str">
        <f ca="1">_xlfn.TEXTJOIN(",",TRUE,RANDBETWEEN(-1,1),RANDBETWEEN(-1,1))</f>
        <v>1,-1</v>
      </c>
      <c r="D151" s="1" t="str">
        <f ca="1">_xlfn.TEXTJOIN(",",TRUE,RANDBETWEEN(-1,1),RANDBETWEEN(-1,1))</f>
        <v>-1,-1</v>
      </c>
      <c r="E151" s="1" t="str">
        <f ca="1">_xlfn.TEXTJOIN(",",TRUE,RANDBETWEEN(-1,1),RANDBETWEEN(-1,1))</f>
        <v>0,1</v>
      </c>
      <c r="F151" s="1" t="str">
        <f ca="1">_xlfn.TEXTJOIN(",",TRUE,RANDBETWEEN(-1,1),RANDBETWEEN(-1,1))</f>
        <v>-1,-1</v>
      </c>
      <c r="G151" s="1" t="str">
        <f ca="1">_xlfn.TEXTJOIN(",",TRUE,RANDBETWEEN(-1,1),RANDBETWEEN(-1,1))</f>
        <v>-1,1</v>
      </c>
      <c r="H151" s="1" t="str">
        <f ca="1">_xlfn.TEXTJOIN(",",TRUE,RANDBETWEEN(-1,1),RANDBETWEEN(-1,1))</f>
        <v>1,0</v>
      </c>
      <c r="I151" s="1" t="str">
        <f ca="1">_xlfn.TEXTJOIN(",",TRUE,RANDBETWEEN(-1,1),RANDBETWEEN(-1,1))</f>
        <v>0,-1</v>
      </c>
      <c r="J151" s="1" t="str">
        <f ca="1">_xlfn.TEXTJOIN(",",TRUE,RANDBETWEEN(-1,1),RANDBETWEEN(-1,1))</f>
        <v>1,0</v>
      </c>
      <c r="K151" s="1" t="str">
        <f ca="1">_xlfn.TEXTJOIN(",",TRUE,RANDBETWEEN(-1,1),RANDBETWEEN(-1,1))</f>
        <v>0,-1</v>
      </c>
      <c r="L151" s="1" t="str">
        <f ca="1">_xlfn.TEXTJOIN(",",TRUE,RANDBETWEEN(-1,1),RANDBETWEEN(-1,1))</f>
        <v>0,-1</v>
      </c>
      <c r="M151" s="1" t="str">
        <f ca="1">_xlfn.TEXTJOIN(",",TRUE,RANDBETWEEN(-1,1),RANDBETWEEN(-1,1))</f>
        <v>-1,0</v>
      </c>
      <c r="N151" s="1" t="str">
        <f ca="1">_xlfn.TEXTJOIN(",",TRUE,RANDBETWEEN(-1,1),RANDBETWEEN(-1,1))</f>
        <v>0,1</v>
      </c>
      <c r="O151" s="1" t="str">
        <f ca="1">_xlfn.TEXTJOIN(",",TRUE,RANDBETWEEN(-1,1),RANDBETWEEN(-1,1))</f>
        <v>1,-1</v>
      </c>
      <c r="P151" s="1" t="str">
        <f ca="1">_xlfn.TEXTJOIN(",",TRUE,RANDBETWEEN(-1,1),RANDBETWEEN(-1,1))</f>
        <v>1,0</v>
      </c>
      <c r="Q151" s="1" t="str">
        <f ca="1">_xlfn.TEXTJOIN(",",TRUE,RANDBETWEEN(-1,1),RANDBETWEEN(-1,1))</f>
        <v>-1,-1</v>
      </c>
      <c r="R151" s="1" t="str">
        <f ca="1">_xlfn.TEXTJOIN(",",TRUE,RANDBETWEEN(-1,1),RANDBETWEEN(-1,1))</f>
        <v>1,0</v>
      </c>
      <c r="S151" s="1" t="str">
        <f ca="1">_xlfn.TEXTJOIN(",",TRUE,RANDBETWEEN(-1,1),RANDBETWEEN(-1,1))</f>
        <v>0,-1</v>
      </c>
      <c r="T151" s="1" t="str">
        <f ca="1">_xlfn.TEXTJOIN(",",TRUE,RANDBETWEEN(-1,1),RANDBETWEEN(-1,1))</f>
        <v>0,1</v>
      </c>
      <c r="U151" s="1" t="str">
        <f ca="1">_xlfn.TEXTJOIN(",",TRUE,RANDBETWEEN(-1,1),RANDBETWEEN(-1,1))</f>
        <v>-1,0</v>
      </c>
      <c r="V151" s="1" t="str">
        <f ca="1">_xlfn.TEXTJOIN(",",TRUE,RANDBETWEEN(-1,1),RANDBETWEEN(-1,1))</f>
        <v>-1,-1</v>
      </c>
      <c r="W151" s="1" t="str">
        <f ca="1">_xlfn.TEXTJOIN(",",TRUE,RANDBETWEEN(-1,1),RANDBETWEEN(-1,1))</f>
        <v>-1,0</v>
      </c>
      <c r="X151" s="1" t="str">
        <f ca="1">_xlfn.TEXTJOIN(",",TRUE,RANDBETWEEN(-1,1),RANDBETWEEN(-1,1))</f>
        <v>-1,-1</v>
      </c>
      <c r="Y151" s="1" t="str">
        <f ca="1">_xlfn.TEXTJOIN(",",TRUE,RANDBETWEEN(-1,1),RANDBETWEEN(-1,1))</f>
        <v>0,0</v>
      </c>
      <c r="Z151" s="1" t="str">
        <f ca="1">_xlfn.TEXTJOIN(",",TRUE,RANDBETWEEN(-1,1),RANDBETWEEN(-1,1))</f>
        <v>-1,-1</v>
      </c>
      <c r="AA151" s="1" t="str">
        <f ca="1">_xlfn.TEXTJOIN(",",TRUE,RANDBETWEEN(-1,1),RANDBETWEEN(-1,1))</f>
        <v>0,0</v>
      </c>
      <c r="AB151" s="1" t="str">
        <f ca="1">_xlfn.TEXTJOIN(",",TRUE,RANDBETWEEN(-1,1),RANDBETWEEN(-1,1))</f>
        <v>0,0</v>
      </c>
      <c r="AC151" s="1" t="str">
        <f ca="1">_xlfn.TEXTJOIN(",",TRUE,RANDBETWEEN(-1,1),RANDBETWEEN(-1,1))</f>
        <v>0,0</v>
      </c>
      <c r="AD151" s="1" t="str">
        <f ca="1">_xlfn.TEXTJOIN(",",TRUE,RANDBETWEEN(-1,1),RANDBETWEEN(-1,1))</f>
        <v>1,-1</v>
      </c>
      <c r="AE151" s="1" t="str">
        <f ca="1">_xlfn.TEXTJOIN(",",TRUE,RANDBETWEEN(-1,1),RANDBETWEEN(-1,1))</f>
        <v>-1,1</v>
      </c>
      <c r="AF151" s="1" t="str">
        <f ca="1">_xlfn.TEXTJOIN(",",TRUE,RANDBETWEEN(-1,1),RANDBETWEEN(-1,1))</f>
        <v>1,1</v>
      </c>
      <c r="AG151" s="1" t="str">
        <f ca="1">_xlfn.TEXTJOIN(",",TRUE,RANDBETWEEN(-1,1),RANDBETWEEN(-1,1))</f>
        <v>-1,0</v>
      </c>
      <c r="AH151" s="1" t="str">
        <f ca="1">_xlfn.TEXTJOIN(",",TRUE,RANDBETWEEN(-1,1),RANDBETWEEN(-1,1))</f>
        <v>0,1</v>
      </c>
      <c r="AI151" s="1" t="str">
        <f ca="1">_xlfn.TEXTJOIN(",",TRUE,RANDBETWEEN(-1,1),RANDBETWEEN(-1,1))</f>
        <v>-1,1</v>
      </c>
      <c r="AJ151" s="1" t="str">
        <f ca="1">_xlfn.TEXTJOIN(",",TRUE,RANDBETWEEN(-1,1),RANDBETWEEN(-1,1))</f>
        <v>0,-1</v>
      </c>
      <c r="AK151" s="1" t="str">
        <f ca="1">_xlfn.TEXTJOIN(",",TRUE,RANDBETWEEN(-1,1),RANDBETWEEN(-1,1))</f>
        <v>-1,0</v>
      </c>
      <c r="AL151" s="1" t="str">
        <f ca="1">_xlfn.TEXTJOIN(",",TRUE,RANDBETWEEN(-1,1),RANDBETWEEN(-1,1))</f>
        <v>-1,1</v>
      </c>
      <c r="AM151" s="1" t="str">
        <f ca="1">_xlfn.TEXTJOIN(",",TRUE,RANDBETWEEN(-1,1),RANDBETWEEN(-1,1))</f>
        <v>1,0</v>
      </c>
      <c r="AN151" s="1" t="str">
        <f ca="1">_xlfn.TEXTJOIN(",",TRUE,RANDBETWEEN(-1,1),RANDBETWEEN(-1,1))</f>
        <v>-1,1</v>
      </c>
      <c r="AO151" s="1" t="str">
        <f ca="1">_xlfn.TEXTJOIN(",",TRUE,RANDBETWEEN(-1,1),RANDBETWEEN(-1,1))</f>
        <v>1,0</v>
      </c>
    </row>
    <row r="152" spans="1:41" ht="15.75" customHeight="1">
      <c r="A152" s="1">
        <v>36</v>
      </c>
      <c r="B152" s="1" t="str">
        <f ca="1">_xlfn.TEXTJOIN(",",TRUE,RANDBETWEEN(-1,1),RANDBETWEEN(-1,1))</f>
        <v>0,1</v>
      </c>
      <c r="C152" s="1" t="str">
        <f ca="1">_xlfn.TEXTJOIN(",",TRUE,RANDBETWEEN(-1,1),RANDBETWEEN(-1,1))</f>
        <v>-1,-1</v>
      </c>
      <c r="D152" s="1" t="str">
        <f ca="1">_xlfn.TEXTJOIN(",",TRUE,RANDBETWEEN(-1,1),RANDBETWEEN(-1,1))</f>
        <v>-1,0</v>
      </c>
      <c r="E152" s="1" t="str">
        <f ca="1">_xlfn.TEXTJOIN(",",TRUE,RANDBETWEEN(-1,1),RANDBETWEEN(-1,1))</f>
        <v>-1,1</v>
      </c>
      <c r="F152" s="1" t="str">
        <f ca="1">_xlfn.TEXTJOIN(",",TRUE,RANDBETWEEN(-1,1),RANDBETWEEN(-1,1))</f>
        <v>-1,1</v>
      </c>
      <c r="G152" s="1" t="str">
        <f ca="1">_xlfn.TEXTJOIN(",",TRUE,RANDBETWEEN(-1,1),RANDBETWEEN(-1,1))</f>
        <v>1,0</v>
      </c>
      <c r="H152" s="1" t="str">
        <f ca="1">_xlfn.TEXTJOIN(",",TRUE,RANDBETWEEN(-1,1),RANDBETWEEN(-1,1))</f>
        <v>-1,1</v>
      </c>
      <c r="I152" s="1" t="str">
        <f ca="1">_xlfn.TEXTJOIN(",",TRUE,RANDBETWEEN(-1,1),RANDBETWEEN(-1,1))</f>
        <v>-1,-1</v>
      </c>
      <c r="J152" s="1" t="str">
        <f ca="1">_xlfn.TEXTJOIN(",",TRUE,RANDBETWEEN(-1,1),RANDBETWEEN(-1,1))</f>
        <v>1,1</v>
      </c>
      <c r="K152" s="1" t="str">
        <f ca="1">_xlfn.TEXTJOIN(",",TRUE,RANDBETWEEN(-1,1),RANDBETWEEN(-1,1))</f>
        <v>-1,-1</v>
      </c>
      <c r="L152" s="1" t="str">
        <f ca="1">_xlfn.TEXTJOIN(",",TRUE,RANDBETWEEN(-1,1),RANDBETWEEN(-1,1))</f>
        <v>1,-1</v>
      </c>
      <c r="M152" s="1" t="str">
        <f ca="1">_xlfn.TEXTJOIN(",",TRUE,RANDBETWEEN(-1,1),RANDBETWEEN(-1,1))</f>
        <v>0,0</v>
      </c>
      <c r="N152" s="1" t="str">
        <f ca="1">_xlfn.TEXTJOIN(",",TRUE,RANDBETWEEN(-1,1),RANDBETWEEN(-1,1))</f>
        <v>0,0</v>
      </c>
      <c r="O152" s="1" t="str">
        <f ca="1">_xlfn.TEXTJOIN(",",TRUE,RANDBETWEEN(-1,1),RANDBETWEEN(-1,1))</f>
        <v>0,1</v>
      </c>
      <c r="P152" s="1" t="str">
        <f ca="1">_xlfn.TEXTJOIN(",",TRUE,RANDBETWEEN(-1,1),RANDBETWEEN(-1,1))</f>
        <v>1,-1</v>
      </c>
      <c r="Q152" s="1" t="str">
        <f ca="1">_xlfn.TEXTJOIN(",",TRUE,RANDBETWEEN(-1,1),RANDBETWEEN(-1,1))</f>
        <v>-1,0</v>
      </c>
      <c r="R152" s="1" t="str">
        <f ca="1">_xlfn.TEXTJOIN(",",TRUE,RANDBETWEEN(-1,1),RANDBETWEEN(-1,1))</f>
        <v>1,1</v>
      </c>
      <c r="S152" s="1" t="str">
        <f ca="1">_xlfn.TEXTJOIN(",",TRUE,RANDBETWEEN(-1,1),RANDBETWEEN(-1,1))</f>
        <v>0,-1</v>
      </c>
      <c r="T152" s="1" t="str">
        <f ca="1">_xlfn.TEXTJOIN(",",TRUE,RANDBETWEEN(-1,1),RANDBETWEEN(-1,1))</f>
        <v>0,-1</v>
      </c>
      <c r="U152" s="1" t="str">
        <f ca="1">_xlfn.TEXTJOIN(",",TRUE,RANDBETWEEN(-1,1),RANDBETWEEN(-1,1))</f>
        <v>1,0</v>
      </c>
      <c r="V152" s="1" t="str">
        <f ca="1">_xlfn.TEXTJOIN(",",TRUE,RANDBETWEEN(-1,1),RANDBETWEEN(-1,1))</f>
        <v>0,0</v>
      </c>
      <c r="W152" s="1" t="str">
        <f ca="1">_xlfn.TEXTJOIN(",",TRUE,RANDBETWEEN(-1,1),RANDBETWEEN(-1,1))</f>
        <v>0,-1</v>
      </c>
      <c r="X152" s="1" t="str">
        <f ca="1">_xlfn.TEXTJOIN(",",TRUE,RANDBETWEEN(-1,1),RANDBETWEEN(-1,1))</f>
        <v>1,-1</v>
      </c>
      <c r="Y152" s="1" t="str">
        <f ca="1">_xlfn.TEXTJOIN(",",TRUE,RANDBETWEEN(-1,1),RANDBETWEEN(-1,1))</f>
        <v>1,1</v>
      </c>
      <c r="Z152" s="1" t="str">
        <f ca="1">_xlfn.TEXTJOIN(",",TRUE,RANDBETWEEN(-1,1),RANDBETWEEN(-1,1))</f>
        <v>-1,1</v>
      </c>
      <c r="AA152" s="1" t="str">
        <f ca="1">_xlfn.TEXTJOIN(",",TRUE,RANDBETWEEN(-1,1),RANDBETWEEN(-1,1))</f>
        <v>-1,0</v>
      </c>
      <c r="AB152" s="1" t="str">
        <f ca="1">_xlfn.TEXTJOIN(",",TRUE,RANDBETWEEN(-1,1),RANDBETWEEN(-1,1))</f>
        <v>-1,0</v>
      </c>
      <c r="AC152" s="1" t="str">
        <f ca="1">_xlfn.TEXTJOIN(",",TRUE,RANDBETWEEN(-1,1),RANDBETWEEN(-1,1))</f>
        <v>0,1</v>
      </c>
      <c r="AD152" s="1" t="str">
        <f ca="1">_xlfn.TEXTJOIN(",",TRUE,RANDBETWEEN(-1,1),RANDBETWEEN(-1,1))</f>
        <v>0,1</v>
      </c>
      <c r="AE152" s="1" t="str">
        <f ca="1">_xlfn.TEXTJOIN(",",TRUE,RANDBETWEEN(-1,1),RANDBETWEEN(-1,1))</f>
        <v>0,0</v>
      </c>
      <c r="AF152" s="1" t="str">
        <f ca="1">_xlfn.TEXTJOIN(",",TRUE,RANDBETWEEN(-1,1),RANDBETWEEN(-1,1))</f>
        <v>-1,1</v>
      </c>
      <c r="AG152" s="1" t="str">
        <f ca="1">_xlfn.TEXTJOIN(",",TRUE,RANDBETWEEN(-1,1),RANDBETWEEN(-1,1))</f>
        <v>0,1</v>
      </c>
      <c r="AH152" s="1" t="str">
        <f ca="1">_xlfn.TEXTJOIN(",",TRUE,RANDBETWEEN(-1,1),RANDBETWEEN(-1,1))</f>
        <v>1,0</v>
      </c>
      <c r="AI152" s="1" t="str">
        <f ca="1">_xlfn.TEXTJOIN(",",TRUE,RANDBETWEEN(-1,1),RANDBETWEEN(-1,1))</f>
        <v>0,0</v>
      </c>
      <c r="AJ152" s="1" t="str">
        <f ca="1">_xlfn.TEXTJOIN(",",TRUE,RANDBETWEEN(-1,1),RANDBETWEEN(-1,1))</f>
        <v>1,-1</v>
      </c>
      <c r="AK152" s="1" t="str">
        <f ca="1">_xlfn.TEXTJOIN(",",TRUE,RANDBETWEEN(-1,1),RANDBETWEEN(-1,1))</f>
        <v>-1,0</v>
      </c>
      <c r="AL152" s="1" t="str">
        <f ca="1">_xlfn.TEXTJOIN(",",TRUE,RANDBETWEEN(-1,1),RANDBETWEEN(-1,1))</f>
        <v>1,-1</v>
      </c>
      <c r="AM152" s="1" t="str">
        <f ca="1">_xlfn.TEXTJOIN(",",TRUE,RANDBETWEEN(-1,1),RANDBETWEEN(-1,1))</f>
        <v>1,0</v>
      </c>
      <c r="AN152" s="1" t="str">
        <f ca="1">_xlfn.TEXTJOIN(",",TRUE,RANDBETWEEN(-1,1),RANDBETWEEN(-1,1))</f>
        <v>-1,0</v>
      </c>
      <c r="AO152" s="1" t="str">
        <f ca="1">_xlfn.TEXTJOIN(",",TRUE,RANDBETWEEN(-1,1),RANDBETWEEN(-1,1))</f>
        <v>0,-1</v>
      </c>
    </row>
    <row r="153" spans="1:41" ht="15.75" customHeight="1">
      <c r="A153" s="1">
        <v>37</v>
      </c>
      <c r="B153" s="1" t="str">
        <f ca="1">_xlfn.TEXTJOIN(",",TRUE,RANDBETWEEN(-1,1),RANDBETWEEN(-1,1))</f>
        <v>0,-1</v>
      </c>
      <c r="C153" s="1" t="str">
        <f ca="1">_xlfn.TEXTJOIN(",",TRUE,RANDBETWEEN(-1,1),RANDBETWEEN(-1,1))</f>
        <v>1,0</v>
      </c>
      <c r="D153" s="1" t="str">
        <f ca="1">_xlfn.TEXTJOIN(",",TRUE,RANDBETWEEN(-1,1),RANDBETWEEN(-1,1))</f>
        <v>0,-1</v>
      </c>
      <c r="E153" s="1" t="str">
        <f ca="1">_xlfn.TEXTJOIN(",",TRUE,RANDBETWEEN(-1,1),RANDBETWEEN(-1,1))</f>
        <v>-1,1</v>
      </c>
      <c r="F153" s="1" t="str">
        <f ca="1">_xlfn.TEXTJOIN(",",TRUE,RANDBETWEEN(-1,1),RANDBETWEEN(-1,1))</f>
        <v>-1,1</v>
      </c>
      <c r="G153" s="1" t="str">
        <f ca="1">_xlfn.TEXTJOIN(",",TRUE,RANDBETWEEN(-1,1),RANDBETWEEN(-1,1))</f>
        <v>1,-1</v>
      </c>
      <c r="H153" s="1" t="str">
        <f ca="1">_xlfn.TEXTJOIN(",",TRUE,RANDBETWEEN(-1,1),RANDBETWEEN(-1,1))</f>
        <v>0,1</v>
      </c>
      <c r="I153" s="1" t="str">
        <f ca="1">_xlfn.TEXTJOIN(",",TRUE,RANDBETWEEN(-1,1),RANDBETWEEN(-1,1))</f>
        <v>0,-1</v>
      </c>
      <c r="J153" s="1" t="str">
        <f ca="1">_xlfn.TEXTJOIN(",",TRUE,RANDBETWEEN(-1,1),RANDBETWEEN(-1,1))</f>
        <v>1,0</v>
      </c>
      <c r="K153" s="1" t="str">
        <f ca="1">_xlfn.TEXTJOIN(",",TRUE,RANDBETWEEN(-1,1),RANDBETWEEN(-1,1))</f>
        <v>0,-1</v>
      </c>
      <c r="L153" s="1" t="str">
        <f ca="1">_xlfn.TEXTJOIN(",",TRUE,RANDBETWEEN(-1,1),RANDBETWEEN(-1,1))</f>
        <v>-1,-1</v>
      </c>
      <c r="M153" s="1" t="str">
        <f ca="1">_xlfn.TEXTJOIN(",",TRUE,RANDBETWEEN(-1,1),RANDBETWEEN(-1,1))</f>
        <v>1,-1</v>
      </c>
      <c r="N153" s="1" t="str">
        <f ca="1">_xlfn.TEXTJOIN(",",TRUE,RANDBETWEEN(-1,1),RANDBETWEEN(-1,1))</f>
        <v>-1,-1</v>
      </c>
      <c r="O153" s="1" t="str">
        <f ca="1">_xlfn.TEXTJOIN(",",TRUE,RANDBETWEEN(-1,1),RANDBETWEEN(-1,1))</f>
        <v>-1,0</v>
      </c>
      <c r="P153" s="1" t="str">
        <f ca="1">_xlfn.TEXTJOIN(",",TRUE,RANDBETWEEN(-1,1),RANDBETWEEN(-1,1))</f>
        <v>-1,1</v>
      </c>
      <c r="Q153" s="1" t="str">
        <f ca="1">_xlfn.TEXTJOIN(",",TRUE,RANDBETWEEN(-1,1),RANDBETWEEN(-1,1))</f>
        <v>-1,1</v>
      </c>
      <c r="R153" s="1" t="str">
        <f ca="1">_xlfn.TEXTJOIN(",",TRUE,RANDBETWEEN(-1,1),RANDBETWEEN(-1,1))</f>
        <v>0,1</v>
      </c>
      <c r="S153" s="1" t="str">
        <f ca="1">_xlfn.TEXTJOIN(",",TRUE,RANDBETWEEN(-1,1),RANDBETWEEN(-1,1))</f>
        <v>0,0</v>
      </c>
      <c r="T153" s="1" t="str">
        <f ca="1">_xlfn.TEXTJOIN(",",TRUE,RANDBETWEEN(-1,1),RANDBETWEEN(-1,1))</f>
        <v>0,1</v>
      </c>
      <c r="U153" s="1" t="str">
        <f ca="1">_xlfn.TEXTJOIN(",",TRUE,RANDBETWEEN(-1,1),RANDBETWEEN(-1,1))</f>
        <v>-1,-1</v>
      </c>
      <c r="V153" s="1" t="str">
        <f ca="1">_xlfn.TEXTJOIN(",",TRUE,RANDBETWEEN(-1,1),RANDBETWEEN(-1,1))</f>
        <v>1,-1</v>
      </c>
      <c r="W153" s="1" t="str">
        <f ca="1">_xlfn.TEXTJOIN(",",TRUE,RANDBETWEEN(-1,1),RANDBETWEEN(-1,1))</f>
        <v>0,0</v>
      </c>
      <c r="X153" s="1" t="str">
        <f ca="1">_xlfn.TEXTJOIN(",",TRUE,RANDBETWEEN(-1,1),RANDBETWEEN(-1,1))</f>
        <v>1,1</v>
      </c>
      <c r="Y153" s="1" t="str">
        <f ca="1">_xlfn.TEXTJOIN(",",TRUE,RANDBETWEEN(-1,1),RANDBETWEEN(-1,1))</f>
        <v>-1,0</v>
      </c>
      <c r="Z153" s="1" t="str">
        <f ca="1">_xlfn.TEXTJOIN(",",TRUE,RANDBETWEEN(-1,1),RANDBETWEEN(-1,1))</f>
        <v>-1,-1</v>
      </c>
      <c r="AA153" s="1" t="str">
        <f ca="1">_xlfn.TEXTJOIN(",",TRUE,RANDBETWEEN(-1,1),RANDBETWEEN(-1,1))</f>
        <v>1,-1</v>
      </c>
      <c r="AB153" s="1" t="str">
        <f ca="1">_xlfn.TEXTJOIN(",",TRUE,RANDBETWEEN(-1,1),RANDBETWEEN(-1,1))</f>
        <v>0,-1</v>
      </c>
      <c r="AC153" s="1" t="str">
        <f ca="1">_xlfn.TEXTJOIN(",",TRUE,RANDBETWEEN(-1,1),RANDBETWEEN(-1,1))</f>
        <v>0,0</v>
      </c>
      <c r="AD153" s="1" t="str">
        <f ca="1">_xlfn.TEXTJOIN(",",TRUE,RANDBETWEEN(-1,1),RANDBETWEEN(-1,1))</f>
        <v>-1,1</v>
      </c>
      <c r="AE153" s="1" t="str">
        <f ca="1">_xlfn.TEXTJOIN(",",TRUE,RANDBETWEEN(-1,1),RANDBETWEEN(-1,1))</f>
        <v>0,-1</v>
      </c>
      <c r="AF153" s="1" t="str">
        <f ca="1">_xlfn.TEXTJOIN(",",TRUE,RANDBETWEEN(-1,1),RANDBETWEEN(-1,1))</f>
        <v>-1,1</v>
      </c>
      <c r="AG153" s="1" t="str">
        <f ca="1">_xlfn.TEXTJOIN(",",TRUE,RANDBETWEEN(-1,1),RANDBETWEEN(-1,1))</f>
        <v>-1,1</v>
      </c>
      <c r="AH153" s="1" t="str">
        <f ca="1">_xlfn.TEXTJOIN(",",TRUE,RANDBETWEEN(-1,1),RANDBETWEEN(-1,1))</f>
        <v>-1,1</v>
      </c>
      <c r="AI153" s="1" t="str">
        <f ca="1">_xlfn.TEXTJOIN(",",TRUE,RANDBETWEEN(-1,1),RANDBETWEEN(-1,1))</f>
        <v>1,1</v>
      </c>
      <c r="AJ153" s="1" t="str">
        <f ca="1">_xlfn.TEXTJOIN(",",TRUE,RANDBETWEEN(-1,1),RANDBETWEEN(-1,1))</f>
        <v>-1,0</v>
      </c>
      <c r="AK153" s="1" t="str">
        <f ca="1">_xlfn.TEXTJOIN(",",TRUE,RANDBETWEEN(-1,1),RANDBETWEEN(-1,1))</f>
        <v>-1,1</v>
      </c>
      <c r="AL153" s="1" t="str">
        <f ca="1">_xlfn.TEXTJOIN(",",TRUE,RANDBETWEEN(-1,1),RANDBETWEEN(-1,1))</f>
        <v>0,1</v>
      </c>
      <c r="AM153" s="1" t="str">
        <f ca="1">_xlfn.TEXTJOIN(",",TRUE,RANDBETWEEN(-1,1),RANDBETWEEN(-1,1))</f>
        <v>-1,0</v>
      </c>
      <c r="AN153" s="1" t="str">
        <f ca="1">_xlfn.TEXTJOIN(",",TRUE,RANDBETWEEN(-1,1),RANDBETWEEN(-1,1))</f>
        <v>-1,-1</v>
      </c>
      <c r="AO153" s="1" t="str">
        <f ca="1">_xlfn.TEXTJOIN(",",TRUE,RANDBETWEEN(-1,1),RANDBETWEEN(-1,1))</f>
        <v>0,1</v>
      </c>
    </row>
    <row r="154" spans="1:41" ht="15.75" customHeight="1">
      <c r="A154" s="1">
        <v>38</v>
      </c>
      <c r="B154" s="1" t="str">
        <f ca="1">_xlfn.TEXTJOIN(",",TRUE,RANDBETWEEN(-1,1),RANDBETWEEN(-1,1))</f>
        <v>0,0</v>
      </c>
      <c r="C154" s="1" t="str">
        <f ca="1">_xlfn.TEXTJOIN(",",TRUE,RANDBETWEEN(-1,1),RANDBETWEEN(-1,1))</f>
        <v>0,0</v>
      </c>
      <c r="D154" s="1" t="str">
        <f ca="1">_xlfn.TEXTJOIN(",",TRUE,RANDBETWEEN(-1,1),RANDBETWEEN(-1,1))</f>
        <v>-1,0</v>
      </c>
      <c r="E154" s="1" t="str">
        <f ca="1">_xlfn.TEXTJOIN(",",TRUE,RANDBETWEEN(-1,1),RANDBETWEEN(-1,1))</f>
        <v>1,1</v>
      </c>
      <c r="F154" s="1" t="str">
        <f ca="1">_xlfn.TEXTJOIN(",",TRUE,RANDBETWEEN(-1,1),RANDBETWEEN(-1,1))</f>
        <v>-1,-1</v>
      </c>
      <c r="G154" s="1" t="str">
        <f ca="1">_xlfn.TEXTJOIN(",",TRUE,RANDBETWEEN(-1,1),RANDBETWEEN(-1,1))</f>
        <v>0,0</v>
      </c>
      <c r="H154" s="1" t="str">
        <f ca="1">_xlfn.TEXTJOIN(",",TRUE,RANDBETWEEN(-1,1),RANDBETWEEN(-1,1))</f>
        <v>-1,-1</v>
      </c>
      <c r="I154" s="1" t="str">
        <f ca="1">_xlfn.TEXTJOIN(",",TRUE,RANDBETWEEN(-1,1),RANDBETWEEN(-1,1))</f>
        <v>0,1</v>
      </c>
      <c r="J154" s="1" t="str">
        <f ca="1">_xlfn.TEXTJOIN(",",TRUE,RANDBETWEEN(-1,1),RANDBETWEEN(-1,1))</f>
        <v>-1,-1</v>
      </c>
      <c r="K154" s="1" t="str">
        <f ca="1">_xlfn.TEXTJOIN(",",TRUE,RANDBETWEEN(-1,1),RANDBETWEEN(-1,1))</f>
        <v>-1,1</v>
      </c>
      <c r="L154" s="1" t="str">
        <f ca="1">_xlfn.TEXTJOIN(",",TRUE,RANDBETWEEN(-1,1),RANDBETWEEN(-1,1))</f>
        <v>1,0</v>
      </c>
      <c r="M154" s="1" t="str">
        <f ca="1">_xlfn.TEXTJOIN(",",TRUE,RANDBETWEEN(-1,1),RANDBETWEEN(-1,1))</f>
        <v>1,-1</v>
      </c>
      <c r="N154" s="1" t="str">
        <f ca="1">_xlfn.TEXTJOIN(",",TRUE,RANDBETWEEN(-1,1),RANDBETWEEN(-1,1))</f>
        <v>1,1</v>
      </c>
      <c r="O154" s="1" t="str">
        <f ca="1">_xlfn.TEXTJOIN(",",TRUE,RANDBETWEEN(-1,1),RANDBETWEEN(-1,1))</f>
        <v>-1,1</v>
      </c>
      <c r="P154" s="1" t="str">
        <f ca="1">_xlfn.TEXTJOIN(",",TRUE,RANDBETWEEN(-1,1),RANDBETWEEN(-1,1))</f>
        <v>0,1</v>
      </c>
      <c r="Q154" s="1" t="str">
        <f ca="1">_xlfn.TEXTJOIN(",",TRUE,RANDBETWEEN(-1,1),RANDBETWEEN(-1,1))</f>
        <v>1,-1</v>
      </c>
      <c r="R154" s="1" t="str">
        <f ca="1">_xlfn.TEXTJOIN(",",TRUE,RANDBETWEEN(-1,1),RANDBETWEEN(-1,1))</f>
        <v>-1,1</v>
      </c>
      <c r="S154" s="1" t="str">
        <f ca="1">_xlfn.TEXTJOIN(",",TRUE,RANDBETWEEN(-1,1),RANDBETWEEN(-1,1))</f>
        <v>1,-1</v>
      </c>
      <c r="T154" s="1" t="str">
        <f ca="1">_xlfn.TEXTJOIN(",",TRUE,RANDBETWEEN(-1,1),RANDBETWEEN(-1,1))</f>
        <v>1,0</v>
      </c>
      <c r="U154" s="1" t="str">
        <f ca="1">_xlfn.TEXTJOIN(",",TRUE,RANDBETWEEN(-1,1),RANDBETWEEN(-1,1))</f>
        <v>1,0</v>
      </c>
      <c r="V154" s="1" t="str">
        <f ca="1">_xlfn.TEXTJOIN(",",TRUE,RANDBETWEEN(-1,1),RANDBETWEEN(-1,1))</f>
        <v>0,-1</v>
      </c>
      <c r="W154" s="1" t="str">
        <f ca="1">_xlfn.TEXTJOIN(",",TRUE,RANDBETWEEN(-1,1),RANDBETWEEN(-1,1))</f>
        <v>0,-1</v>
      </c>
      <c r="X154" s="1" t="str">
        <f ca="1">_xlfn.TEXTJOIN(",",TRUE,RANDBETWEEN(-1,1),RANDBETWEEN(-1,1))</f>
        <v>1,1</v>
      </c>
      <c r="Y154" s="1" t="str">
        <f ca="1">_xlfn.TEXTJOIN(",",TRUE,RANDBETWEEN(-1,1),RANDBETWEEN(-1,1))</f>
        <v>0,1</v>
      </c>
      <c r="Z154" s="1" t="str">
        <f ca="1">_xlfn.TEXTJOIN(",",TRUE,RANDBETWEEN(-1,1),RANDBETWEEN(-1,1))</f>
        <v>0,0</v>
      </c>
      <c r="AA154" s="1" t="str">
        <f ca="1">_xlfn.TEXTJOIN(",",TRUE,RANDBETWEEN(-1,1),RANDBETWEEN(-1,1))</f>
        <v>1,-1</v>
      </c>
      <c r="AB154" s="1" t="str">
        <f ca="1">_xlfn.TEXTJOIN(",",TRUE,RANDBETWEEN(-1,1),RANDBETWEEN(-1,1))</f>
        <v>0,1</v>
      </c>
      <c r="AC154" s="1" t="str">
        <f ca="1">_xlfn.TEXTJOIN(",",TRUE,RANDBETWEEN(-1,1),RANDBETWEEN(-1,1))</f>
        <v>1,1</v>
      </c>
      <c r="AD154" s="1" t="str">
        <f ca="1">_xlfn.TEXTJOIN(",",TRUE,RANDBETWEEN(-1,1),RANDBETWEEN(-1,1))</f>
        <v>1,-1</v>
      </c>
      <c r="AE154" s="1" t="str">
        <f ca="1">_xlfn.TEXTJOIN(",",TRUE,RANDBETWEEN(-1,1),RANDBETWEEN(-1,1))</f>
        <v>-1,-1</v>
      </c>
      <c r="AF154" s="1" t="str">
        <f ca="1">_xlfn.TEXTJOIN(",",TRUE,RANDBETWEEN(-1,1),RANDBETWEEN(-1,1))</f>
        <v>-1,0</v>
      </c>
      <c r="AG154" s="1" t="str">
        <f ca="1">_xlfn.TEXTJOIN(",",TRUE,RANDBETWEEN(-1,1),RANDBETWEEN(-1,1))</f>
        <v>1,-1</v>
      </c>
      <c r="AH154" s="1" t="str">
        <f ca="1">_xlfn.TEXTJOIN(",",TRUE,RANDBETWEEN(-1,1),RANDBETWEEN(-1,1))</f>
        <v>-1,-1</v>
      </c>
      <c r="AI154" s="1" t="str">
        <f ca="1">_xlfn.TEXTJOIN(",",TRUE,RANDBETWEEN(-1,1),RANDBETWEEN(-1,1))</f>
        <v>1,0</v>
      </c>
      <c r="AJ154" s="1" t="str">
        <f ca="1">_xlfn.TEXTJOIN(",",TRUE,RANDBETWEEN(-1,1),RANDBETWEEN(-1,1))</f>
        <v>0,0</v>
      </c>
      <c r="AK154" s="1" t="str">
        <f ca="1">_xlfn.TEXTJOIN(",",TRUE,RANDBETWEEN(-1,1),RANDBETWEEN(-1,1))</f>
        <v>0,1</v>
      </c>
      <c r="AL154" s="1" t="str">
        <f ca="1">_xlfn.TEXTJOIN(",",TRUE,RANDBETWEEN(-1,1),RANDBETWEEN(-1,1))</f>
        <v>0,1</v>
      </c>
      <c r="AM154" s="1" t="str">
        <f ca="1">_xlfn.TEXTJOIN(",",TRUE,RANDBETWEEN(-1,1),RANDBETWEEN(-1,1))</f>
        <v>-1,1</v>
      </c>
      <c r="AN154" s="1" t="str">
        <f ca="1">_xlfn.TEXTJOIN(",",TRUE,RANDBETWEEN(-1,1),RANDBETWEEN(-1,1))</f>
        <v>0,1</v>
      </c>
      <c r="AO154" s="1" t="str">
        <f ca="1">_xlfn.TEXTJOIN(",",TRUE,RANDBETWEEN(-1,1),RANDBETWEEN(-1,1))</f>
        <v>-1,0</v>
      </c>
    </row>
    <row r="155" spans="1:41" ht="15.75" customHeight="1">
      <c r="A155" s="1">
        <v>39</v>
      </c>
      <c r="B155" s="1" t="str">
        <f ca="1">_xlfn.TEXTJOIN(",",TRUE,RANDBETWEEN(-1,1),RANDBETWEEN(-1,1))</f>
        <v>0,1</v>
      </c>
      <c r="C155" s="1" t="str">
        <f ca="1">_xlfn.TEXTJOIN(",",TRUE,RANDBETWEEN(-1,1),RANDBETWEEN(-1,1))</f>
        <v>1,1</v>
      </c>
      <c r="D155" s="1" t="str">
        <f ca="1">_xlfn.TEXTJOIN(",",TRUE,RANDBETWEEN(-1,1),RANDBETWEEN(-1,1))</f>
        <v>-1,-1</v>
      </c>
      <c r="E155" s="1" t="str">
        <f ca="1">_xlfn.TEXTJOIN(",",TRUE,RANDBETWEEN(-1,1),RANDBETWEEN(-1,1))</f>
        <v>0,0</v>
      </c>
      <c r="F155" s="1" t="str">
        <f ca="1">_xlfn.TEXTJOIN(",",TRUE,RANDBETWEEN(-1,1),RANDBETWEEN(-1,1))</f>
        <v>1,1</v>
      </c>
      <c r="G155" s="1" t="str">
        <f ca="1">_xlfn.TEXTJOIN(",",TRUE,RANDBETWEEN(-1,1),RANDBETWEEN(-1,1))</f>
        <v>-1,-1</v>
      </c>
      <c r="H155" s="1" t="str">
        <f ca="1">_xlfn.TEXTJOIN(",",TRUE,RANDBETWEEN(-1,1),RANDBETWEEN(-1,1))</f>
        <v>-1,0</v>
      </c>
      <c r="I155" s="1" t="str">
        <f ca="1">_xlfn.TEXTJOIN(",",TRUE,RANDBETWEEN(-1,1),RANDBETWEEN(-1,1))</f>
        <v>0,0</v>
      </c>
      <c r="J155" s="1" t="str">
        <f ca="1">_xlfn.TEXTJOIN(",",TRUE,RANDBETWEEN(-1,1),RANDBETWEEN(-1,1))</f>
        <v>1,0</v>
      </c>
      <c r="K155" s="1" t="str">
        <f ca="1">_xlfn.TEXTJOIN(",",TRUE,RANDBETWEEN(-1,1),RANDBETWEEN(-1,1))</f>
        <v>1,0</v>
      </c>
      <c r="L155" s="1" t="str">
        <f ca="1">_xlfn.TEXTJOIN(",",TRUE,RANDBETWEEN(-1,1),RANDBETWEEN(-1,1))</f>
        <v>0,1</v>
      </c>
      <c r="M155" s="1" t="str">
        <f ca="1">_xlfn.TEXTJOIN(",",TRUE,RANDBETWEEN(-1,1),RANDBETWEEN(-1,1))</f>
        <v>1,-1</v>
      </c>
      <c r="N155" s="1" t="str">
        <f ca="1">_xlfn.TEXTJOIN(",",TRUE,RANDBETWEEN(-1,1),RANDBETWEEN(-1,1))</f>
        <v>-1,-1</v>
      </c>
      <c r="O155" s="1" t="str">
        <f ca="1">_xlfn.TEXTJOIN(",",TRUE,RANDBETWEEN(-1,1),RANDBETWEEN(-1,1))</f>
        <v>1,0</v>
      </c>
      <c r="P155" s="1" t="str">
        <f ca="1">_xlfn.TEXTJOIN(",",TRUE,RANDBETWEEN(-1,1),RANDBETWEEN(-1,1))</f>
        <v>1,0</v>
      </c>
      <c r="Q155" s="1" t="str">
        <f ca="1">_xlfn.TEXTJOIN(",",TRUE,RANDBETWEEN(-1,1),RANDBETWEEN(-1,1))</f>
        <v>1,-1</v>
      </c>
      <c r="R155" s="1" t="str">
        <f ca="1">_xlfn.TEXTJOIN(",",TRUE,RANDBETWEEN(-1,1),RANDBETWEEN(-1,1))</f>
        <v>1,0</v>
      </c>
      <c r="S155" s="1" t="str">
        <f ca="1">_xlfn.TEXTJOIN(",",TRUE,RANDBETWEEN(-1,1),RANDBETWEEN(-1,1))</f>
        <v>-1,0</v>
      </c>
      <c r="T155" s="1" t="str">
        <f ca="1">_xlfn.TEXTJOIN(",",TRUE,RANDBETWEEN(-1,1),RANDBETWEEN(-1,1))</f>
        <v>1,-1</v>
      </c>
      <c r="U155" s="1" t="str">
        <f ca="1">_xlfn.TEXTJOIN(",",TRUE,RANDBETWEEN(-1,1),RANDBETWEEN(-1,1))</f>
        <v>0,1</v>
      </c>
      <c r="V155" s="1" t="str">
        <f ca="1">_xlfn.TEXTJOIN(",",TRUE,RANDBETWEEN(-1,1),RANDBETWEEN(-1,1))</f>
        <v>0,1</v>
      </c>
      <c r="W155" s="1" t="str">
        <f ca="1">_xlfn.TEXTJOIN(",",TRUE,RANDBETWEEN(-1,1),RANDBETWEEN(-1,1))</f>
        <v>-1,1</v>
      </c>
      <c r="X155" s="1" t="str">
        <f ca="1">_xlfn.TEXTJOIN(",",TRUE,RANDBETWEEN(-1,1),RANDBETWEEN(-1,1))</f>
        <v>-1,0</v>
      </c>
      <c r="Y155" s="1" t="str">
        <f ca="1">_xlfn.TEXTJOIN(",",TRUE,RANDBETWEEN(-1,1),RANDBETWEEN(-1,1))</f>
        <v>0,0</v>
      </c>
      <c r="Z155" s="1" t="str">
        <f ca="1">_xlfn.TEXTJOIN(",",TRUE,RANDBETWEEN(-1,1),RANDBETWEEN(-1,1))</f>
        <v>1,-1</v>
      </c>
      <c r="AA155" s="1" t="str">
        <f ca="1">_xlfn.TEXTJOIN(",",TRUE,RANDBETWEEN(-1,1),RANDBETWEEN(-1,1))</f>
        <v>-1,-1</v>
      </c>
      <c r="AB155" s="1" t="str">
        <f ca="1">_xlfn.TEXTJOIN(",",TRUE,RANDBETWEEN(-1,1),RANDBETWEEN(-1,1))</f>
        <v>-1,0</v>
      </c>
      <c r="AC155" s="1" t="str">
        <f ca="1">_xlfn.TEXTJOIN(",",TRUE,RANDBETWEEN(-1,1),RANDBETWEEN(-1,1))</f>
        <v>1,1</v>
      </c>
      <c r="AD155" s="1" t="str">
        <f ca="1">_xlfn.TEXTJOIN(",",TRUE,RANDBETWEEN(-1,1),RANDBETWEEN(-1,1))</f>
        <v>0,0</v>
      </c>
      <c r="AE155" s="1" t="str">
        <f ca="1">_xlfn.TEXTJOIN(",",TRUE,RANDBETWEEN(-1,1),RANDBETWEEN(-1,1))</f>
        <v>1,0</v>
      </c>
      <c r="AF155" s="1" t="str">
        <f ca="1">_xlfn.TEXTJOIN(",",TRUE,RANDBETWEEN(-1,1),RANDBETWEEN(-1,1))</f>
        <v>1,1</v>
      </c>
      <c r="AG155" s="1" t="str">
        <f ca="1">_xlfn.TEXTJOIN(",",TRUE,RANDBETWEEN(-1,1),RANDBETWEEN(-1,1))</f>
        <v>0,-1</v>
      </c>
      <c r="AH155" s="1" t="str">
        <f ca="1">_xlfn.TEXTJOIN(",",TRUE,RANDBETWEEN(-1,1),RANDBETWEEN(-1,1))</f>
        <v>1,0</v>
      </c>
      <c r="AI155" s="1" t="str">
        <f ca="1">_xlfn.TEXTJOIN(",",TRUE,RANDBETWEEN(-1,1),RANDBETWEEN(-1,1))</f>
        <v>-1,1</v>
      </c>
      <c r="AJ155" s="1" t="str">
        <f ca="1">_xlfn.TEXTJOIN(",",TRUE,RANDBETWEEN(-1,1),RANDBETWEEN(-1,1))</f>
        <v>0,0</v>
      </c>
      <c r="AK155" s="1" t="str">
        <f ca="1">_xlfn.TEXTJOIN(",",TRUE,RANDBETWEEN(-1,1),RANDBETWEEN(-1,1))</f>
        <v>1,-1</v>
      </c>
      <c r="AL155" s="1" t="str">
        <f ca="1">_xlfn.TEXTJOIN(",",TRUE,RANDBETWEEN(-1,1),RANDBETWEEN(-1,1))</f>
        <v>-1,1</v>
      </c>
      <c r="AM155" s="1" t="str">
        <f ca="1">_xlfn.TEXTJOIN(",",TRUE,RANDBETWEEN(-1,1),RANDBETWEEN(-1,1))</f>
        <v>0,1</v>
      </c>
      <c r="AN155" s="1" t="str">
        <f ca="1">_xlfn.TEXTJOIN(",",TRUE,RANDBETWEEN(-1,1),RANDBETWEEN(-1,1))</f>
        <v>-1,0</v>
      </c>
      <c r="AO155" s="1" t="str">
        <f ca="1">_xlfn.TEXTJOIN(",",TRUE,RANDBETWEEN(-1,1),RANDBETWEEN(-1,1))</f>
        <v>-1,-1</v>
      </c>
    </row>
    <row r="156" spans="1:41" ht="15.75" customHeight="1">
      <c r="A156" s="1">
        <v>40</v>
      </c>
      <c r="B156" s="1" t="str">
        <f t="shared" ref="B156:AO156" ca="1" si="16">_xlfn.TEXTJOIN(",",FALSE,"",RANDBETWEEN(-1,1))</f>
        <v>,-1</v>
      </c>
      <c r="C156" s="1" t="str">
        <f t="shared" ca="1" si="16"/>
        <v>,0</v>
      </c>
      <c r="D156" s="1" t="str">
        <f t="shared" ca="1" si="16"/>
        <v>,1</v>
      </c>
      <c r="E156" s="1" t="str">
        <f t="shared" ca="1" si="16"/>
        <v>,0</v>
      </c>
      <c r="F156" s="1" t="str">
        <f t="shared" ca="1" si="16"/>
        <v>,0</v>
      </c>
      <c r="G156" s="1" t="str">
        <f t="shared" ca="1" si="16"/>
        <v>,1</v>
      </c>
      <c r="H156" s="1" t="str">
        <f t="shared" ca="1" si="16"/>
        <v>,-1</v>
      </c>
      <c r="I156" s="1" t="str">
        <f t="shared" ca="1" si="16"/>
        <v>,1</v>
      </c>
      <c r="J156" s="1" t="str">
        <f t="shared" ca="1" si="16"/>
        <v>,1</v>
      </c>
      <c r="K156" s="1" t="str">
        <f t="shared" ca="1" si="16"/>
        <v>,-1</v>
      </c>
      <c r="L156" s="1" t="str">
        <f t="shared" ca="1" si="16"/>
        <v>,0</v>
      </c>
      <c r="M156" s="1" t="str">
        <f t="shared" ca="1" si="16"/>
        <v>,0</v>
      </c>
      <c r="N156" s="1" t="str">
        <f t="shared" ca="1" si="16"/>
        <v>,-1</v>
      </c>
      <c r="O156" s="1" t="str">
        <f t="shared" ca="1" si="16"/>
        <v>,0</v>
      </c>
      <c r="P156" s="1" t="str">
        <f t="shared" ca="1" si="16"/>
        <v>,1</v>
      </c>
      <c r="Q156" s="1" t="str">
        <f t="shared" ca="1" si="16"/>
        <v>,0</v>
      </c>
      <c r="R156" s="1" t="str">
        <f t="shared" ca="1" si="16"/>
        <v>,-1</v>
      </c>
      <c r="S156" s="1" t="str">
        <f t="shared" ca="1" si="16"/>
        <v>,1</v>
      </c>
      <c r="T156" s="1" t="str">
        <f t="shared" ca="1" si="16"/>
        <v>,0</v>
      </c>
      <c r="U156" s="1" t="str">
        <f t="shared" ca="1" si="16"/>
        <v>,-1</v>
      </c>
      <c r="V156" s="1" t="str">
        <f t="shared" ca="1" si="16"/>
        <v>,-1</v>
      </c>
      <c r="W156" s="1" t="str">
        <f t="shared" ca="1" si="16"/>
        <v>,0</v>
      </c>
      <c r="X156" s="1" t="str">
        <f t="shared" ca="1" si="16"/>
        <v>,0</v>
      </c>
      <c r="Y156" s="1" t="str">
        <f t="shared" ca="1" si="16"/>
        <v>,1</v>
      </c>
      <c r="Z156" s="1" t="str">
        <f t="shared" ca="1" si="16"/>
        <v>,-1</v>
      </c>
      <c r="AA156" s="1" t="str">
        <f t="shared" ca="1" si="16"/>
        <v>,-1</v>
      </c>
      <c r="AB156" s="1" t="str">
        <f t="shared" ca="1" si="16"/>
        <v>,1</v>
      </c>
      <c r="AC156" s="1" t="str">
        <f t="shared" ca="1" si="16"/>
        <v>,-1</v>
      </c>
      <c r="AD156" s="1" t="str">
        <f t="shared" ca="1" si="16"/>
        <v>,-1</v>
      </c>
      <c r="AE156" s="1" t="str">
        <f t="shared" ca="1" si="16"/>
        <v>,-1</v>
      </c>
      <c r="AF156" s="1" t="str">
        <f t="shared" ca="1" si="16"/>
        <v>,1</v>
      </c>
      <c r="AG156" s="1" t="str">
        <f t="shared" ca="1" si="16"/>
        <v>,-1</v>
      </c>
      <c r="AH156" s="1" t="str">
        <f t="shared" ca="1" si="16"/>
        <v>,1</v>
      </c>
      <c r="AI156" s="1" t="str">
        <f t="shared" ca="1" si="16"/>
        <v>,1</v>
      </c>
      <c r="AJ156" s="1" t="str">
        <f t="shared" ca="1" si="16"/>
        <v>,1</v>
      </c>
      <c r="AK156" s="1" t="str">
        <f t="shared" ca="1" si="16"/>
        <v>,0</v>
      </c>
      <c r="AL156" s="1" t="str">
        <f t="shared" ca="1" si="16"/>
        <v>,-1</v>
      </c>
      <c r="AM156" s="1" t="str">
        <f t="shared" ca="1" si="16"/>
        <v>,-1</v>
      </c>
      <c r="AN156" s="1" t="str">
        <f t="shared" ca="1" si="16"/>
        <v>,0</v>
      </c>
      <c r="AO156" s="1" t="str">
        <f t="shared" ca="1" si="16"/>
        <v>,-1</v>
      </c>
    </row>
  </sheetData>
  <conditionalFormatting sqref="B28:C29">
    <cfRule type="cellIs" dxfId="412" priority="43" operator="equal">
      <formula>-1</formula>
    </cfRule>
    <cfRule type="cellIs" dxfId="411" priority="44" operator="equal">
      <formula>-2</formula>
    </cfRule>
    <cfRule type="cellIs" dxfId="410" priority="45" operator="equal">
      <formula>-3</formula>
    </cfRule>
  </conditionalFormatting>
  <conditionalFormatting sqref="B61:K70">
    <cfRule type="cellIs" dxfId="409" priority="93" operator="equal">
      <formula>4</formula>
    </cfRule>
  </conditionalFormatting>
  <conditionalFormatting sqref="B19:AO58">
    <cfRule type="cellIs" dxfId="408" priority="112" operator="equal">
      <formula>7</formula>
    </cfRule>
    <cfRule type="cellIs" dxfId="407" priority="7" operator="equal">
      <formula>-1</formula>
    </cfRule>
    <cfRule type="cellIs" dxfId="406" priority="8" operator="equal">
      <formula>-2</formula>
    </cfRule>
    <cfRule type="cellIs" dxfId="405" priority="9" operator="equal">
      <formula>-3</formula>
    </cfRule>
    <cfRule type="cellIs" dxfId="404" priority="111" operator="equal">
      <formula>6</formula>
    </cfRule>
    <cfRule type="cellIs" dxfId="403" priority="110" operator="equal">
      <formula>5</formula>
    </cfRule>
    <cfRule type="cellIs" dxfId="402" priority="109" operator="equal">
      <formula>4</formula>
    </cfRule>
    <cfRule type="cellIs" dxfId="401" priority="108" operator="equal">
      <formula>3</formula>
    </cfRule>
    <cfRule type="cellIs" dxfId="400" priority="107" operator="equal">
      <formula>2</formula>
    </cfRule>
    <cfRule type="cellIs" dxfId="399" priority="106" operator="equal">
      <formula>1</formula>
    </cfRule>
    <cfRule type="cellIs" dxfId="398" priority="113" operator="equal">
      <formula>8</formula>
    </cfRule>
  </conditionalFormatting>
  <conditionalFormatting sqref="B74:AO113">
    <cfRule type="cellIs" dxfId="397" priority="3" operator="equal">
      <formula>4</formula>
    </cfRule>
  </conditionalFormatting>
  <conditionalFormatting sqref="B117:AO156">
    <cfRule type="cellIs" dxfId="396" priority="1" operator="equal">
      <formula>4</formula>
    </cfRule>
  </conditionalFormatting>
  <conditionalFormatting sqref="C30:D30">
    <cfRule type="cellIs" dxfId="395" priority="42" operator="equal">
      <formula>-3</formula>
    </cfRule>
    <cfRule type="cellIs" dxfId="394" priority="41" operator="equal">
      <formula>-2</formula>
    </cfRule>
    <cfRule type="cellIs" dxfId="393" priority="40" operator="equal">
      <formula>-1</formula>
    </cfRule>
  </conditionalFormatting>
  <conditionalFormatting sqref="D29">
    <cfRule type="cellIs" dxfId="392" priority="39" operator="equal">
      <formula>-3</formula>
    </cfRule>
    <cfRule type="cellIs" dxfId="391" priority="38" operator="equal">
      <formula>-2</formula>
    </cfRule>
    <cfRule type="cellIs" dxfId="390" priority="37" operator="equal">
      <formula>-1</formula>
    </cfRule>
  </conditionalFormatting>
  <conditionalFormatting sqref="D2:H6 K2:T11">
    <cfRule type="cellIs" dxfId="389" priority="101" operator="equal">
      <formula>4</formula>
    </cfRule>
  </conditionalFormatting>
  <conditionalFormatting sqref="N61:U68">
    <cfRule type="cellIs" dxfId="388" priority="5" operator="equal">
      <formula>4</formula>
    </cfRule>
  </conditionalFormatting>
  <conditionalFormatting sqref="U2:V2 AB2:AB9 W2:AA11 U4:V11 AC10:AC11 Y12:Z17 AE12:AE17 W16:X17">
    <cfRule type="cellIs" dxfId="387" priority="102" operator="equal">
      <formula>-1</formula>
    </cfRule>
    <cfRule type="cellIs" dxfId="386" priority="104" operator="equal">
      <formula>-2</formula>
    </cfRule>
    <cfRule type="cellIs" dxfId="385" priority="105" operator="equal">
      <formula>-3</formula>
    </cfRule>
  </conditionalFormatting>
  <conditionalFormatting sqref="AD2:AK9">
    <cfRule type="cellIs" dxfId="384" priority="77" operator="equal">
      <formula>-3</formula>
    </cfRule>
    <cfRule type="cellIs" dxfId="383" priority="76" operator="equal">
      <formula>-2</formula>
    </cfRule>
    <cfRule type="cellIs" dxfId="382" priority="75" operator="equal">
      <formula>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7D3C-FF94-4D3E-BB17-6FC67B9D1111}">
  <sheetPr>
    <outlinePr summaryBelow="0" summaryRight="0"/>
  </sheetPr>
  <dimension ref="A1:AO47"/>
  <sheetViews>
    <sheetView workbookViewId="0">
      <selection activeCell="M3" sqref="M3"/>
    </sheetView>
  </sheetViews>
  <sheetFormatPr defaultColWidth="12.5703125" defaultRowHeight="15.75" customHeight="1"/>
  <cols>
    <col min="1" max="1" width="3.7109375" customWidth="1"/>
    <col min="2" max="2" width="4.140625" customWidth="1"/>
    <col min="3" max="3" width="5.28515625" customWidth="1"/>
    <col min="4" max="4" width="4.7109375" customWidth="1"/>
    <col min="5" max="5" width="5.140625" customWidth="1"/>
    <col min="6" max="6" width="5" customWidth="1"/>
    <col min="7" max="7" width="6.42578125" customWidth="1"/>
    <col min="8" max="8" width="7" customWidth="1"/>
    <col min="9" max="9" width="7.5703125" customWidth="1"/>
    <col min="10" max="10" width="6.5703125" customWidth="1"/>
    <col min="11" max="11" width="5.140625" customWidth="1"/>
    <col min="12" max="12" width="4.85546875" customWidth="1"/>
    <col min="13" max="13" width="5.28515625" customWidth="1"/>
    <col min="14" max="14" width="4.85546875" customWidth="1"/>
    <col min="15" max="15" width="4.7109375" customWidth="1"/>
    <col min="16" max="16" width="4.85546875" customWidth="1"/>
    <col min="17" max="17" width="4.42578125" customWidth="1"/>
    <col min="18" max="19" width="5.140625" customWidth="1"/>
    <col min="20" max="20" width="4.85546875" customWidth="1"/>
    <col min="21" max="21" width="5.42578125" customWidth="1"/>
    <col min="22" max="22" width="5.5703125" customWidth="1"/>
    <col min="23" max="25" width="5.42578125" customWidth="1"/>
    <col min="26" max="26" width="4.7109375" customWidth="1"/>
    <col min="27" max="27" width="4.85546875" customWidth="1"/>
    <col min="28" max="28" width="5.140625" customWidth="1"/>
    <col min="29" max="29" width="4.5703125" customWidth="1"/>
    <col min="30" max="30" width="5.42578125" customWidth="1"/>
    <col min="31" max="31" width="4.7109375" customWidth="1"/>
    <col min="32" max="32" width="4.85546875" customWidth="1"/>
    <col min="33" max="33" width="4.7109375" customWidth="1"/>
    <col min="34" max="35" width="4.5703125" customWidth="1"/>
    <col min="36" max="36" width="4.7109375" customWidth="1"/>
    <col min="37" max="37" width="4.5703125" customWidth="1"/>
    <col min="38" max="38" width="5.140625" customWidth="1"/>
    <col min="39" max="39" width="4.5703125" customWidth="1"/>
    <col min="40" max="40" width="5.28515625" customWidth="1"/>
    <col min="41" max="41" width="4.5703125" customWidth="1"/>
  </cols>
  <sheetData>
    <row r="1" spans="1:41" ht="15.75" customHeight="1">
      <c r="A1" s="1">
        <v>1</v>
      </c>
      <c r="B1" s="5" t="s">
        <v>5</v>
      </c>
      <c r="C1" s="1"/>
      <c r="D1" s="1"/>
      <c r="E1" s="1"/>
      <c r="F1" s="1"/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2.75">
      <c r="A2" s="1">
        <v>2</v>
      </c>
      <c r="B2" s="6" t="s">
        <v>7</v>
      </c>
      <c r="C2" s="1"/>
      <c r="D2" s="1"/>
      <c r="E2" s="1"/>
      <c r="F2" s="1"/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3.5">
      <c r="A3" s="1">
        <v>3</v>
      </c>
      <c r="B3" s="2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7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2.75">
      <c r="A4" s="1">
        <v>0</v>
      </c>
      <c r="B4" s="4" t="s">
        <v>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2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2.75">
      <c r="A7" s="1"/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</row>
    <row r="8" spans="1:41" ht="12.75">
      <c r="A8" s="1">
        <v>1</v>
      </c>
      <c r="B8" s="1">
        <f ca="1">'Map 1'!B19</f>
        <v>6</v>
      </c>
      <c r="C8" s="1">
        <f ca="1">'Map 1'!C19</f>
        <v>2</v>
      </c>
      <c r="D8" s="1">
        <f ca="1">'Map 1'!D19</f>
        <v>2</v>
      </c>
      <c r="E8" s="1">
        <f ca="1">'Map 1'!E19</f>
        <v>2</v>
      </c>
      <c r="F8" s="1">
        <f ca="1">'Map 1'!F19</f>
        <v>6</v>
      </c>
      <c r="G8" s="1">
        <f ca="1">'Map 1'!G19</f>
        <v>5</v>
      </c>
      <c r="H8" s="1">
        <f ca="1">'Map 1'!H19</f>
        <v>5</v>
      </c>
      <c r="I8" s="1">
        <f ca="1">'Map 1'!I19</f>
        <v>5</v>
      </c>
      <c r="J8" s="1">
        <f ca="1">'Map 1'!J19</f>
        <v>5</v>
      </c>
      <c r="K8" s="1">
        <f ca="1">'Map 1'!K19</f>
        <v>5</v>
      </c>
      <c r="L8" s="1">
        <f ca="1">'Map 1'!L19</f>
        <v>8</v>
      </c>
      <c r="M8" s="1">
        <f ca="1">'Map 1'!M19</f>
        <v>8</v>
      </c>
      <c r="N8" s="1">
        <f ca="1">'Map 1'!N19</f>
        <v>8</v>
      </c>
      <c r="O8" s="1">
        <f ca="1">'Map 1'!O19</f>
        <v>8</v>
      </c>
      <c r="P8" s="1">
        <f ca="1">'Map 1'!P19</f>
        <v>8</v>
      </c>
      <c r="Q8" s="1">
        <f ca="1">'Map 1'!Q19</f>
        <v>5</v>
      </c>
      <c r="R8" s="1">
        <f ca="1">'Map 1'!R19</f>
        <v>5</v>
      </c>
      <c r="S8" s="1">
        <f ca="1">'Map 1'!S19</f>
        <v>5</v>
      </c>
      <c r="T8" s="1">
        <f ca="1">'Map 1'!T19</f>
        <v>5</v>
      </c>
      <c r="U8" s="1">
        <f ca="1">'Map 1'!U19</f>
        <v>8</v>
      </c>
      <c r="V8" s="1">
        <f ca="1">'Map 1'!V19</f>
        <v>8</v>
      </c>
      <c r="W8" s="1">
        <f ca="1">'Map 1'!W19</f>
        <v>8</v>
      </c>
      <c r="X8" s="1">
        <f ca="1">'Map 1'!X19</f>
        <v>8</v>
      </c>
      <c r="Y8" s="1">
        <f ca="1">'Map 1'!Y19</f>
        <v>8</v>
      </c>
      <c r="Z8" s="1">
        <f ca="1">'Map 1'!Z19</f>
        <v>6</v>
      </c>
      <c r="AA8" s="1">
        <f ca="1">'Map 1'!AA19</f>
        <v>6</v>
      </c>
      <c r="AB8" s="1">
        <f ca="1">'Map 1'!AB19</f>
        <v>6</v>
      </c>
      <c r="AC8" s="1">
        <f ca="1">'Map 1'!AC19</f>
        <v>2</v>
      </c>
      <c r="AD8" s="1">
        <f ca="1">'Map 1'!AD19</f>
        <v>6</v>
      </c>
      <c r="AE8" s="1">
        <f ca="1">'Map 1'!AE19</f>
        <v>2</v>
      </c>
      <c r="AF8" s="1">
        <f ca="1">'Map 1'!AF19</f>
        <v>4</v>
      </c>
      <c r="AG8" s="1">
        <f ca="1">'Map 1'!AG19</f>
        <v>4</v>
      </c>
      <c r="AH8" s="1">
        <f ca="1">'Map 1'!AH19</f>
        <v>4</v>
      </c>
      <c r="AI8" s="1">
        <f ca="1">'Map 1'!AI19</f>
        <v>4</v>
      </c>
      <c r="AJ8" s="1">
        <f ca="1">'Map 1'!AJ19</f>
        <v>2</v>
      </c>
      <c r="AK8" s="1">
        <f ca="1">'Map 1'!AK19</f>
        <v>4</v>
      </c>
      <c r="AL8" s="1">
        <f ca="1">'Map 1'!AL19</f>
        <v>6</v>
      </c>
      <c r="AM8" s="1">
        <f ca="1">'Map 1'!AM19</f>
        <v>6</v>
      </c>
      <c r="AN8" s="1">
        <f ca="1">'Map 1'!AN19</f>
        <v>6</v>
      </c>
      <c r="AO8" s="1">
        <f ca="1">'Map 1'!AO19</f>
        <v>2</v>
      </c>
    </row>
    <row r="9" spans="1:41" ht="12.75">
      <c r="A9" s="1">
        <v>2</v>
      </c>
      <c r="B9" s="1">
        <f ca="1">'Map 1'!B20</f>
        <v>2</v>
      </c>
      <c r="C9" s="1">
        <f ca="1">'Map 1'!C20</f>
        <v>2</v>
      </c>
      <c r="D9" s="1">
        <f ca="1">'Map 1'!D20</f>
        <v>2</v>
      </c>
      <c r="E9" s="1">
        <f ca="1">'Map 1'!E20</f>
        <v>2</v>
      </c>
      <c r="F9" s="1">
        <f ca="1">'Map 1'!F20</f>
        <v>2</v>
      </c>
      <c r="G9" s="1">
        <f ca="1">'Map 1'!G20</f>
        <v>5</v>
      </c>
      <c r="H9" s="1">
        <f ca="1">'Map 1'!H20</f>
        <v>5</v>
      </c>
      <c r="I9" s="1">
        <f ca="1">'Map 1'!I20</f>
        <v>5</v>
      </c>
      <c r="J9" s="1">
        <f ca="1">'Map 1'!J20</f>
        <v>5</v>
      </c>
      <c r="K9" s="1">
        <f ca="1">'Map 1'!K20</f>
        <v>5</v>
      </c>
      <c r="L9" s="1">
        <f ca="1">'Map 1'!L20</f>
        <v>5</v>
      </c>
      <c r="M9" s="1">
        <f ca="1">'Map 1'!M20</f>
        <v>8</v>
      </c>
      <c r="N9" s="1">
        <f ca="1">'Map 1'!N20</f>
        <v>8</v>
      </c>
      <c r="O9" s="1">
        <f ca="1">'Map 1'!O20</f>
        <v>8</v>
      </c>
      <c r="P9" s="1">
        <f ca="1">'Map 1'!P20</f>
        <v>5</v>
      </c>
      <c r="Q9" s="1">
        <f ca="1">'Map 1'!Q20</f>
        <v>5</v>
      </c>
      <c r="R9" s="1">
        <f ca="1">'Map 1'!R20</f>
        <v>5</v>
      </c>
      <c r="S9" s="1">
        <f ca="1">'Map 1'!S20</f>
        <v>5</v>
      </c>
      <c r="T9" s="1">
        <f ca="1">'Map 1'!T20</f>
        <v>5</v>
      </c>
      <c r="U9" s="1">
        <f ca="1">'Map 1'!U20</f>
        <v>5</v>
      </c>
      <c r="V9" s="1">
        <f ca="1">'Map 1'!V20</f>
        <v>5</v>
      </c>
      <c r="W9" s="1">
        <f ca="1">'Map 1'!W20</f>
        <v>8</v>
      </c>
      <c r="X9" s="1">
        <f ca="1">'Map 1'!X20</f>
        <v>8</v>
      </c>
      <c r="Y9" s="1">
        <f ca="1">'Map 1'!Y20</f>
        <v>8</v>
      </c>
      <c r="Z9" s="1">
        <f ca="1">'Map 1'!Z20</f>
        <v>8</v>
      </c>
      <c r="AA9" s="1">
        <f ca="1">'Map 1'!AA20</f>
        <v>6</v>
      </c>
      <c r="AB9" s="1">
        <f ca="1">'Map 1'!AB20</f>
        <v>6</v>
      </c>
      <c r="AC9" s="1">
        <f ca="1">'Map 1'!AC20</f>
        <v>6</v>
      </c>
      <c r="AD9" s="1">
        <f ca="1">'Map 1'!AD20</f>
        <v>2</v>
      </c>
      <c r="AE9" s="1">
        <f ca="1">'Map 1'!AE20</f>
        <v>2</v>
      </c>
      <c r="AF9" s="1">
        <f ca="1">'Map 1'!AF20</f>
        <v>2</v>
      </c>
      <c r="AG9" s="1">
        <f ca="1">'Map 1'!AG20</f>
        <v>4</v>
      </c>
      <c r="AH9" s="1">
        <f ca="1">'Map 1'!AH20</f>
        <v>4</v>
      </c>
      <c r="AI9" s="1">
        <f ca="1">'Map 1'!AI20</f>
        <v>4</v>
      </c>
      <c r="AJ9" s="1">
        <f ca="1">'Map 1'!AJ20</f>
        <v>4</v>
      </c>
      <c r="AK9" s="1">
        <f ca="1">'Map 1'!AK20</f>
        <v>2</v>
      </c>
      <c r="AL9" s="1">
        <f ca="1">'Map 1'!AL20</f>
        <v>2</v>
      </c>
      <c r="AM9" s="1">
        <f ca="1">'Map 1'!AM20</f>
        <v>6</v>
      </c>
      <c r="AN9" s="1">
        <f ca="1">'Map 1'!AN20</f>
        <v>6</v>
      </c>
      <c r="AO9" s="1">
        <f ca="1">'Map 1'!AO20</f>
        <v>2</v>
      </c>
    </row>
    <row r="10" spans="1:41" ht="12.75">
      <c r="A10" s="1">
        <v>3</v>
      </c>
      <c r="B10" s="1">
        <f ca="1">'Map 1'!B21</f>
        <v>6</v>
      </c>
      <c r="C10" s="1">
        <f ca="1">'Map 1'!C21</f>
        <v>2</v>
      </c>
      <c r="D10" s="1">
        <f ca="1">'Map 1'!D21</f>
        <v>2</v>
      </c>
      <c r="E10" s="1">
        <f ca="1">'Map 1'!E21</f>
        <v>2</v>
      </c>
      <c r="F10" s="1">
        <f ca="1">'Map 1'!F21</f>
        <v>6</v>
      </c>
      <c r="G10" s="1">
        <f ca="1">'Map 1'!G21</f>
        <v>5</v>
      </c>
      <c r="H10" s="1">
        <f ca="1">'Map 1'!H21</f>
        <v>5</v>
      </c>
      <c r="I10" s="1">
        <f ca="1">'Map 1'!I21</f>
        <v>5</v>
      </c>
      <c r="J10" s="1">
        <f ca="1">'Map 1'!J21</f>
        <v>5</v>
      </c>
      <c r="K10" s="1">
        <f ca="1">'Map 1'!K21</f>
        <v>8</v>
      </c>
      <c r="L10" s="1">
        <f ca="1">'Map 1'!L21</f>
        <v>5</v>
      </c>
      <c r="M10" s="1">
        <f ca="1">'Map 1'!M21</f>
        <v>8</v>
      </c>
      <c r="N10" s="1">
        <f ca="1">'Map 1'!N21</f>
        <v>8</v>
      </c>
      <c r="O10" s="1">
        <f ca="1">'Map 1'!O21</f>
        <v>8</v>
      </c>
      <c r="P10" s="1">
        <f ca="1">'Map 1'!P21</f>
        <v>5</v>
      </c>
      <c r="Q10" s="1">
        <f ca="1">'Map 1'!Q21</f>
        <v>5</v>
      </c>
      <c r="R10" s="1">
        <f ca="1">'Map 1'!R21</f>
        <v>5</v>
      </c>
      <c r="S10" s="1">
        <f ca="1">'Map 1'!S21</f>
        <v>5</v>
      </c>
      <c r="T10" s="1">
        <f ca="1">'Map 1'!T21</f>
        <v>5</v>
      </c>
      <c r="U10" s="1">
        <f ca="1">'Map 1'!U21</f>
        <v>5</v>
      </c>
      <c r="V10" s="1">
        <f ca="1">'Map 1'!V21</f>
        <v>8</v>
      </c>
      <c r="W10" s="1">
        <f ca="1">'Map 1'!W21</f>
        <v>8</v>
      </c>
      <c r="X10" s="1">
        <f ca="1">'Map 1'!X21</f>
        <v>8</v>
      </c>
      <c r="Y10" s="1">
        <f ca="1">'Map 1'!Y21</f>
        <v>8</v>
      </c>
      <c r="Z10" s="1">
        <f ca="1">'Map 1'!Z21</f>
        <v>8</v>
      </c>
      <c r="AA10" s="1">
        <f ca="1">'Map 1'!AA21</f>
        <v>6</v>
      </c>
      <c r="AB10" s="1">
        <f ca="1">'Map 1'!AB21</f>
        <v>6</v>
      </c>
      <c r="AC10" s="1">
        <f ca="1">'Map 1'!AC21</f>
        <v>6</v>
      </c>
      <c r="AD10" s="1">
        <f ca="1">'Map 1'!AD21</f>
        <v>2</v>
      </c>
      <c r="AE10" s="1">
        <f ca="1">'Map 1'!AE21</f>
        <v>2</v>
      </c>
      <c r="AF10" s="1">
        <f ca="1">'Map 1'!AF21</f>
        <v>2</v>
      </c>
      <c r="AG10" s="1">
        <f ca="1">'Map 1'!AG21</f>
        <v>4</v>
      </c>
      <c r="AH10" s="1">
        <f ca="1">'Map 1'!AH21</f>
        <v>4</v>
      </c>
      <c r="AI10" s="1">
        <f ca="1">'Map 1'!AI21</f>
        <v>4</v>
      </c>
      <c r="AJ10" s="1">
        <f ca="1">'Map 1'!AJ21</f>
        <v>4</v>
      </c>
      <c r="AK10" s="1">
        <f ca="1">'Map 1'!AK21</f>
        <v>2</v>
      </c>
      <c r="AL10" s="1">
        <f ca="1">'Map 1'!AL21</f>
        <v>2</v>
      </c>
      <c r="AM10" s="1">
        <f ca="1">'Map 1'!AM21</f>
        <v>6</v>
      </c>
      <c r="AN10" s="1">
        <f ca="1">'Map 1'!AN21</f>
        <v>6</v>
      </c>
      <c r="AO10" s="1">
        <f ca="1">'Map 1'!AO21</f>
        <v>6</v>
      </c>
    </row>
    <row r="11" spans="1:41" ht="12.75">
      <c r="A11" s="1">
        <v>4</v>
      </c>
      <c r="B11" s="1">
        <f ca="1">'Map 1'!B22</f>
        <v>6</v>
      </c>
      <c r="C11" s="1">
        <f ca="1">'Map 1'!C22</f>
        <v>2</v>
      </c>
      <c r="D11" s="1">
        <f ca="1">'Map 1'!D22</f>
        <v>2</v>
      </c>
      <c r="E11" s="1">
        <f ca="1">'Map 1'!E22</f>
        <v>6</v>
      </c>
      <c r="F11" s="1">
        <f ca="1">'Map 1'!F22</f>
        <v>6</v>
      </c>
      <c r="G11" s="1">
        <f ca="1">'Map 1'!G22</f>
        <v>6</v>
      </c>
      <c r="H11" s="1">
        <f ca="1">'Map 1'!H22</f>
        <v>5</v>
      </c>
      <c r="I11" s="1">
        <f ca="1">'Map 1'!I22</f>
        <v>5</v>
      </c>
      <c r="J11" s="1">
        <f ca="1">'Map 1'!J22</f>
        <v>5</v>
      </c>
      <c r="K11" s="1">
        <f ca="1">'Map 1'!K22</f>
        <v>8</v>
      </c>
      <c r="L11" s="1">
        <f ca="1">'Map 1'!L22</f>
        <v>8</v>
      </c>
      <c r="M11" s="1">
        <f ca="1">'Map 1'!M22</f>
        <v>8</v>
      </c>
      <c r="N11" s="1">
        <f ca="1">'Map 1'!N22</f>
        <v>8</v>
      </c>
      <c r="O11" s="1">
        <f ca="1">'Map 1'!O22</f>
        <v>8</v>
      </c>
      <c r="P11" s="1">
        <f ca="1">'Map 1'!P22</f>
        <v>8</v>
      </c>
      <c r="Q11" s="1">
        <f ca="1">'Map 1'!Q22</f>
        <v>8</v>
      </c>
      <c r="R11" s="1">
        <f ca="1">'Map 1'!R22</f>
        <v>5</v>
      </c>
      <c r="S11" s="1">
        <f ca="1">'Map 1'!S22</f>
        <v>5</v>
      </c>
      <c r="T11" s="1">
        <f ca="1">'Map 1'!T22</f>
        <v>5</v>
      </c>
      <c r="U11" s="1">
        <f ca="1">'Map 1'!U22</f>
        <v>5</v>
      </c>
      <c r="V11" s="1">
        <f ca="1">'Map 1'!V22</f>
        <v>8</v>
      </c>
      <c r="W11" s="1">
        <f ca="1">'Map 1'!W22</f>
        <v>8</v>
      </c>
      <c r="X11" s="1">
        <f ca="1">'Map 1'!X22</f>
        <v>8</v>
      </c>
      <c r="Y11" s="1">
        <f ca="1">'Map 1'!Y22</f>
        <v>8</v>
      </c>
      <c r="Z11" s="1">
        <f ca="1">'Map 1'!Z22</f>
        <v>8</v>
      </c>
      <c r="AA11" s="1">
        <f ca="1">'Map 1'!AA22</f>
        <v>6</v>
      </c>
      <c r="AB11" s="1">
        <f ca="1">'Map 1'!AB22</f>
        <v>6</v>
      </c>
      <c r="AC11" s="1">
        <f ca="1">'Map 1'!AC22</f>
        <v>6</v>
      </c>
      <c r="AD11" s="1">
        <f ca="1">'Map 1'!AD22</f>
        <v>6</v>
      </c>
      <c r="AE11" s="1">
        <f ca="1">'Map 1'!AE22</f>
        <v>4</v>
      </c>
      <c r="AF11" s="1">
        <f ca="1">'Map 1'!AF22</f>
        <v>4</v>
      </c>
      <c r="AG11" s="1">
        <f ca="1">'Map 1'!AG22</f>
        <v>4</v>
      </c>
      <c r="AH11" s="1">
        <f ca="1">'Map 1'!AH22</f>
        <v>4</v>
      </c>
      <c r="AI11" s="1">
        <f ca="1">'Map 1'!AI22</f>
        <v>4</v>
      </c>
      <c r="AJ11" s="1">
        <f ca="1">'Map 1'!AJ22</f>
        <v>2</v>
      </c>
      <c r="AK11" s="1">
        <f ca="1">'Map 1'!AK22</f>
        <v>4</v>
      </c>
      <c r="AL11" s="1">
        <f ca="1">'Map 1'!AL22</f>
        <v>2</v>
      </c>
      <c r="AM11" s="1">
        <f ca="1">'Map 1'!AM22</f>
        <v>6</v>
      </c>
      <c r="AN11" s="1">
        <f ca="1">'Map 1'!AN22</f>
        <v>2</v>
      </c>
      <c r="AO11" s="1">
        <f ca="1">'Map 1'!AO22</f>
        <v>2</v>
      </c>
    </row>
    <row r="12" spans="1:41" ht="12.75">
      <c r="A12" s="1">
        <v>5</v>
      </c>
      <c r="B12" s="1">
        <f ca="1">'Map 1'!B23</f>
        <v>6</v>
      </c>
      <c r="C12" s="1">
        <f ca="1">'Map 1'!C23</f>
        <v>6</v>
      </c>
      <c r="D12" s="1">
        <f ca="1">'Map 1'!D23</f>
        <v>2</v>
      </c>
      <c r="E12" s="1">
        <f ca="1">'Map 1'!E23</f>
        <v>1</v>
      </c>
      <c r="F12" s="1">
        <f ca="1">'Map 1'!F23</f>
        <v>5</v>
      </c>
      <c r="G12" s="1">
        <f ca="1">'Map 1'!G23</f>
        <v>8</v>
      </c>
      <c r="H12" s="1">
        <f ca="1">'Map 1'!H23</f>
        <v>8</v>
      </c>
      <c r="I12" s="1">
        <f ca="1">'Map 1'!I23</f>
        <v>5</v>
      </c>
      <c r="J12" s="1">
        <f ca="1">'Map 1'!J23</f>
        <v>5</v>
      </c>
      <c r="K12" s="1">
        <f ca="1">'Map 1'!K23</f>
        <v>8</v>
      </c>
      <c r="L12" s="1">
        <f ca="1">'Map 1'!L23</f>
        <v>8</v>
      </c>
      <c r="M12" s="1">
        <f ca="1">'Map 1'!M23</f>
        <v>5</v>
      </c>
      <c r="N12" s="1">
        <f ca="1">'Map 1'!N23</f>
        <v>8</v>
      </c>
      <c r="O12" s="1">
        <f ca="1">'Map 1'!O23</f>
        <v>5</v>
      </c>
      <c r="P12" s="1">
        <f ca="1">'Map 1'!P23</f>
        <v>8</v>
      </c>
      <c r="Q12" s="1">
        <f ca="1">'Map 1'!Q23</f>
        <v>5</v>
      </c>
      <c r="R12" s="1">
        <f ca="1">'Map 1'!R23</f>
        <v>5</v>
      </c>
      <c r="S12" s="1">
        <f ca="1">'Map 1'!S23</f>
        <v>5</v>
      </c>
      <c r="T12" s="1">
        <f ca="1">'Map 1'!T23</f>
        <v>5</v>
      </c>
      <c r="U12" s="1">
        <f ca="1">'Map 1'!U23</f>
        <v>5</v>
      </c>
      <c r="V12" s="1">
        <f ca="1">'Map 1'!V23</f>
        <v>8</v>
      </c>
      <c r="W12" s="1">
        <f ca="1">'Map 1'!W23</f>
        <v>8</v>
      </c>
      <c r="X12" s="1">
        <f ca="1">'Map 1'!X23</f>
        <v>8</v>
      </c>
      <c r="Y12" s="1">
        <f ca="1">'Map 1'!Y23</f>
        <v>8</v>
      </c>
      <c r="Z12" s="1">
        <f ca="1">'Map 1'!Z23</f>
        <v>5</v>
      </c>
      <c r="AA12" s="1">
        <f ca="1">'Map 1'!AA23</f>
        <v>8</v>
      </c>
      <c r="AB12" s="1">
        <f ca="1">'Map 1'!AB23</f>
        <v>8</v>
      </c>
      <c r="AC12" s="1">
        <f ca="1">'Map 1'!AC23</f>
        <v>6</v>
      </c>
      <c r="AD12" s="1">
        <f ca="1">'Map 1'!AD23</f>
        <v>8</v>
      </c>
      <c r="AE12" s="1">
        <f ca="1">'Map 1'!AE23</f>
        <v>4</v>
      </c>
      <c r="AF12" s="1">
        <f ca="1">'Map 1'!AF23</f>
        <v>6</v>
      </c>
      <c r="AG12" s="1">
        <f ca="1">'Map 1'!AG23</f>
        <v>2</v>
      </c>
      <c r="AH12" s="1">
        <f ca="1">'Map 1'!AH23</f>
        <v>8</v>
      </c>
      <c r="AI12" s="1">
        <f ca="1">'Map 1'!AI23</f>
        <v>8</v>
      </c>
      <c r="AJ12" s="1">
        <f ca="1">'Map 1'!AJ23</f>
        <v>6</v>
      </c>
      <c r="AK12" s="1">
        <f ca="1">'Map 1'!AK23</f>
        <v>6</v>
      </c>
      <c r="AL12" s="1">
        <f ca="1">'Map 1'!AL23</f>
        <v>6</v>
      </c>
      <c r="AM12" s="1">
        <f ca="1">'Map 1'!AM23</f>
        <v>1</v>
      </c>
      <c r="AN12" s="1">
        <f ca="1">'Map 1'!AN23</f>
        <v>2</v>
      </c>
      <c r="AO12" s="1">
        <f ca="1">'Map 1'!AO23</f>
        <v>5</v>
      </c>
    </row>
    <row r="13" spans="1:41" ht="12.75">
      <c r="A13" s="1">
        <v>6</v>
      </c>
      <c r="B13" s="1">
        <f ca="1">'Map 1'!B24</f>
        <v>1</v>
      </c>
      <c r="C13" s="1">
        <f ca="1">'Map 1'!C24</f>
        <v>6</v>
      </c>
      <c r="D13" s="1">
        <f ca="1">'Map 1'!D24</f>
        <v>6</v>
      </c>
      <c r="E13" s="1">
        <f ca="1">'Map 1'!E24</f>
        <v>5</v>
      </c>
      <c r="F13" s="1">
        <f ca="1">'Map 1'!F24</f>
        <v>5</v>
      </c>
      <c r="G13" s="1">
        <f ca="1">'Map 1'!G24</f>
        <v>5</v>
      </c>
      <c r="H13" s="1">
        <f ca="1">'Map 1'!H24</f>
        <v>8</v>
      </c>
      <c r="I13" s="1">
        <f ca="1">'Map 1'!I24</f>
        <v>8</v>
      </c>
      <c r="J13" s="1">
        <f ca="1">'Map 1'!J24</f>
        <v>8</v>
      </c>
      <c r="K13" s="1">
        <f ca="1">'Map 1'!K24</f>
        <v>5</v>
      </c>
      <c r="L13" s="1">
        <f ca="1">'Map 1'!L24</f>
        <v>5</v>
      </c>
      <c r="M13" s="1">
        <f ca="1">'Map 1'!M24</f>
        <v>5</v>
      </c>
      <c r="N13" s="1">
        <f ca="1">'Map 1'!N24</f>
        <v>8</v>
      </c>
      <c r="O13" s="1">
        <f ca="1">'Map 1'!O24</f>
        <v>5</v>
      </c>
      <c r="P13" s="1">
        <f ca="1">'Map 1'!P24</f>
        <v>5</v>
      </c>
      <c r="Q13" s="1">
        <f ca="1">'Map 1'!Q24</f>
        <v>5</v>
      </c>
      <c r="R13" s="1">
        <f ca="1">'Map 1'!R24</f>
        <v>5</v>
      </c>
      <c r="S13" s="1">
        <f ca="1">'Map 1'!S24</f>
        <v>5</v>
      </c>
      <c r="T13" s="1">
        <f ca="1">'Map 1'!T24</f>
        <v>5</v>
      </c>
      <c r="U13" s="1">
        <f ca="1">'Map 1'!U24</f>
        <v>5</v>
      </c>
      <c r="V13" s="1">
        <f ca="1">'Map 1'!V24</f>
        <v>8</v>
      </c>
      <c r="W13" s="1">
        <f ca="1">'Map 1'!W24</f>
        <v>5</v>
      </c>
      <c r="X13" s="1">
        <f ca="1">'Map 1'!X24</f>
        <v>8</v>
      </c>
      <c r="Y13" s="1">
        <f ca="1">'Map 1'!Y24</f>
        <v>8</v>
      </c>
      <c r="Z13" s="1">
        <f ca="1">'Map 1'!Z24</f>
        <v>6</v>
      </c>
      <c r="AA13" s="1">
        <f ca="1">'Map 1'!AA24</f>
        <v>6</v>
      </c>
      <c r="AB13" s="1">
        <f ca="1">'Map 1'!AB24</f>
        <v>8</v>
      </c>
      <c r="AC13" s="1">
        <f ca="1">'Map 1'!AC24</f>
        <v>8</v>
      </c>
      <c r="AD13" s="1">
        <f ca="1">'Map 1'!AD24</f>
        <v>8</v>
      </c>
      <c r="AE13" s="1">
        <f ca="1">'Map 1'!AE24</f>
        <v>6</v>
      </c>
      <c r="AF13" s="1">
        <f ca="1">'Map 1'!AF24</f>
        <v>6</v>
      </c>
      <c r="AG13" s="1">
        <f ca="1">'Map 1'!AG24</f>
        <v>6</v>
      </c>
      <c r="AH13" s="1">
        <f ca="1">'Map 1'!AH24</f>
        <v>8</v>
      </c>
      <c r="AI13" s="1">
        <f ca="1">'Map 1'!AI24</f>
        <v>6</v>
      </c>
      <c r="AJ13" s="1">
        <f ca="1">'Map 1'!AJ24</f>
        <v>8</v>
      </c>
      <c r="AK13" s="1">
        <f ca="1">'Map 1'!AK24</f>
        <v>5</v>
      </c>
      <c r="AL13" s="1">
        <f ca="1">'Map 1'!AL24</f>
        <v>1</v>
      </c>
      <c r="AM13" s="1">
        <f ca="1">'Map 1'!AM24</f>
        <v>1</v>
      </c>
      <c r="AN13" s="1">
        <f ca="1">'Map 1'!AN24</f>
        <v>1</v>
      </c>
      <c r="AO13" s="1">
        <f ca="1">'Map 1'!AO24</f>
        <v>2</v>
      </c>
    </row>
    <row r="14" spans="1:41" ht="12.75">
      <c r="A14" s="1">
        <v>7</v>
      </c>
      <c r="B14" s="1">
        <f ca="1">'Map 1'!B25</f>
        <v>1</v>
      </c>
      <c r="C14" s="1">
        <f ca="1">'Map 1'!C25</f>
        <v>5</v>
      </c>
      <c r="D14" s="1">
        <f ca="1">'Map 1'!D25</f>
        <v>5</v>
      </c>
      <c r="E14" s="1">
        <f ca="1">'Map 1'!E25</f>
        <v>5</v>
      </c>
      <c r="F14" s="1">
        <f ca="1">'Map 1'!F25</f>
        <v>8</v>
      </c>
      <c r="G14" s="1">
        <f ca="1">'Map 1'!G25</f>
        <v>8</v>
      </c>
      <c r="H14" s="1">
        <f ca="1">'Map 1'!H25</f>
        <v>8</v>
      </c>
      <c r="I14" s="1">
        <f ca="1">'Map 1'!I25</f>
        <v>8</v>
      </c>
      <c r="J14" s="1">
        <f ca="1">'Map 1'!J25</f>
        <v>8</v>
      </c>
      <c r="K14" s="1">
        <f ca="1">'Map 1'!K25</f>
        <v>8</v>
      </c>
      <c r="L14" s="1">
        <f ca="1">'Map 1'!L25</f>
        <v>5</v>
      </c>
      <c r="M14" s="1">
        <f ca="1">'Map 1'!M25</f>
        <v>5</v>
      </c>
      <c r="N14" s="1">
        <f ca="1">'Map 1'!N25</f>
        <v>5</v>
      </c>
      <c r="O14" s="1">
        <f ca="1">'Map 1'!O25</f>
        <v>5</v>
      </c>
      <c r="P14" s="1">
        <f ca="1">'Map 1'!P25</f>
        <v>5</v>
      </c>
      <c r="Q14" s="1">
        <f ca="1">'Map 1'!Q25</f>
        <v>5</v>
      </c>
      <c r="R14" s="1">
        <f ca="1">'Map 1'!R25</f>
        <v>5</v>
      </c>
      <c r="S14" s="1">
        <f ca="1">'Map 1'!S25</f>
        <v>5</v>
      </c>
      <c r="T14" s="1">
        <f ca="1">'Map 1'!T25</f>
        <v>5</v>
      </c>
      <c r="U14" s="1">
        <f ca="1">'Map 1'!U25</f>
        <v>5</v>
      </c>
      <c r="V14" s="1">
        <f ca="1">'Map 1'!V25</f>
        <v>5</v>
      </c>
      <c r="W14" s="1">
        <f ca="1">'Map 1'!W25</f>
        <v>5</v>
      </c>
      <c r="X14" s="1">
        <f ca="1">'Map 1'!X25</f>
        <v>5</v>
      </c>
      <c r="Y14" s="1">
        <f ca="1">'Map 1'!Y25</f>
        <v>5</v>
      </c>
      <c r="Z14" s="1">
        <f ca="1">'Map 1'!Z25</f>
        <v>5</v>
      </c>
      <c r="AA14" s="1">
        <f ca="1">'Map 1'!AA25</f>
        <v>8</v>
      </c>
      <c r="AB14" s="1">
        <f ca="1">'Map 1'!AB25</f>
        <v>8</v>
      </c>
      <c r="AC14" s="1">
        <f ca="1">'Map 1'!AC25</f>
        <v>8</v>
      </c>
      <c r="AD14" s="1">
        <f ca="1">'Map 1'!AD25</f>
        <v>8</v>
      </c>
      <c r="AE14" s="1">
        <f ca="1">'Map 1'!AE25</f>
        <v>6</v>
      </c>
      <c r="AF14" s="1">
        <f ca="1">'Map 1'!AF25</f>
        <v>6</v>
      </c>
      <c r="AG14" s="1">
        <f ca="1">'Map 1'!AG25</f>
        <v>6</v>
      </c>
      <c r="AH14" s="1">
        <f ca="1">'Map 1'!AH25</f>
        <v>6</v>
      </c>
      <c r="AI14" s="1">
        <f ca="1">'Map 1'!AI25</f>
        <v>6</v>
      </c>
      <c r="AJ14" s="1">
        <f ca="1">'Map 1'!AJ25</f>
        <v>5</v>
      </c>
      <c r="AK14" s="1">
        <f ca="1">'Map 1'!AK25</f>
        <v>1</v>
      </c>
      <c r="AL14" s="1">
        <f ca="1">'Map 1'!AL25</f>
        <v>5</v>
      </c>
      <c r="AM14" s="1">
        <f ca="1">'Map 1'!AM25</f>
        <v>1</v>
      </c>
      <c r="AN14" s="1">
        <f ca="1">'Map 1'!AN25</f>
        <v>1</v>
      </c>
      <c r="AO14" s="1">
        <f ca="1">'Map 1'!AO25</f>
        <v>1</v>
      </c>
    </row>
    <row r="15" spans="1:41" ht="12.75">
      <c r="A15" s="1">
        <v>8</v>
      </c>
      <c r="B15" s="1">
        <f ca="1">'Map 1'!B26</f>
        <v>5</v>
      </c>
      <c r="C15" s="1">
        <f ca="1">'Map 1'!C26</f>
        <v>5</v>
      </c>
      <c r="D15" s="1">
        <f ca="1">'Map 1'!D26</f>
        <v>5</v>
      </c>
      <c r="E15" s="1">
        <f ca="1">'Map 1'!E26</f>
        <v>5</v>
      </c>
      <c r="F15" s="1">
        <f ca="1">'Map 1'!F26</f>
        <v>5</v>
      </c>
      <c r="G15" s="1">
        <f ca="1">'Map 1'!G26</f>
        <v>8</v>
      </c>
      <c r="H15" s="1">
        <f ca="1">'Map 1'!H26</f>
        <v>8</v>
      </c>
      <c r="I15" s="1">
        <f ca="1">'Map 1'!I26</f>
        <v>8</v>
      </c>
      <c r="J15" s="1">
        <f ca="1">'Map 1'!J26</f>
        <v>8</v>
      </c>
      <c r="K15" s="1">
        <f ca="1">'Map 1'!K26</f>
        <v>5</v>
      </c>
      <c r="L15" s="1">
        <f ca="1">'Map 1'!L26</f>
        <v>5</v>
      </c>
      <c r="M15" s="1">
        <f ca="1">'Map 1'!M26</f>
        <v>1</v>
      </c>
      <c r="N15" s="1">
        <f ca="1">'Map 1'!N26</f>
        <v>1</v>
      </c>
      <c r="O15" s="1">
        <f ca="1">'Map 1'!O26</f>
        <v>5</v>
      </c>
      <c r="P15" s="1">
        <f ca="1">'Map 1'!P26</f>
        <v>1</v>
      </c>
      <c r="Q15" s="1">
        <f ca="1">'Map 1'!Q26</f>
        <v>5</v>
      </c>
      <c r="R15" s="1">
        <f ca="1">'Map 1'!R26</f>
        <v>5</v>
      </c>
      <c r="S15" s="1">
        <f ca="1">'Map 1'!S26</f>
        <v>5</v>
      </c>
      <c r="T15" s="1">
        <f ca="1">'Map 1'!T26</f>
        <v>5</v>
      </c>
      <c r="U15" s="1">
        <f ca="1">'Map 1'!U26</f>
        <v>5</v>
      </c>
      <c r="V15" s="1">
        <f ca="1">'Map 1'!V26</f>
        <v>5</v>
      </c>
      <c r="W15" s="1">
        <f ca="1">'Map 1'!W26</f>
        <v>5</v>
      </c>
      <c r="X15" s="1">
        <f ca="1">'Map 1'!X26</f>
        <v>5</v>
      </c>
      <c r="Y15" s="1">
        <f ca="1">'Map 1'!Y26</f>
        <v>5</v>
      </c>
      <c r="Z15" s="1">
        <f ca="1">'Map 1'!Z26</f>
        <v>1</v>
      </c>
      <c r="AA15" s="1">
        <f ca="1">'Map 1'!AA26</f>
        <v>4</v>
      </c>
      <c r="AB15" s="1">
        <f ca="1">'Map 1'!AB26</f>
        <v>4</v>
      </c>
      <c r="AC15" s="1">
        <f ca="1">'Map 1'!AC26</f>
        <v>8</v>
      </c>
      <c r="AD15" s="1">
        <f ca="1">'Map 1'!AD26</f>
        <v>8</v>
      </c>
      <c r="AE15" s="1">
        <f ca="1">'Map 1'!AE26</f>
        <v>6</v>
      </c>
      <c r="AF15" s="1">
        <f ca="1">'Map 1'!AF26</f>
        <v>8</v>
      </c>
      <c r="AG15" s="1">
        <f ca="1">'Map 1'!AG26</f>
        <v>6</v>
      </c>
      <c r="AH15" s="1">
        <f ca="1">'Map 1'!AH26</f>
        <v>6</v>
      </c>
      <c r="AI15" s="1">
        <f ca="1">'Map 1'!AI26</f>
        <v>6</v>
      </c>
      <c r="AJ15" s="1">
        <f ca="1">'Map 1'!AJ26</f>
        <v>6</v>
      </c>
      <c r="AK15" s="1">
        <f ca="1">'Map 1'!AK26</f>
        <v>1</v>
      </c>
      <c r="AL15" s="1">
        <f ca="1">'Map 1'!AL26</f>
        <v>5</v>
      </c>
      <c r="AM15" s="1">
        <f ca="1">'Map 1'!AM26</f>
        <v>5</v>
      </c>
      <c r="AN15" s="1">
        <f ca="1">'Map 1'!AN26</f>
        <v>1</v>
      </c>
      <c r="AO15" s="1">
        <f ca="1">'Map 1'!AO26</f>
        <v>1</v>
      </c>
    </row>
    <row r="16" spans="1:41" ht="12.75">
      <c r="A16" s="1">
        <v>9</v>
      </c>
      <c r="B16" s="1">
        <f ca="1">'Map 1'!B27</f>
        <v>5</v>
      </c>
      <c r="C16" s="1">
        <f ca="1">'Map 1'!C27</f>
        <v>5</v>
      </c>
      <c r="D16" s="1">
        <f ca="1">'Map 1'!D27</f>
        <v>5</v>
      </c>
      <c r="E16" s="1">
        <f ca="1">'Map 1'!E27</f>
        <v>5</v>
      </c>
      <c r="F16" s="1">
        <f ca="1">'Map 1'!F27</f>
        <v>5</v>
      </c>
      <c r="G16" s="1">
        <f ca="1">'Map 1'!G27</f>
        <v>8</v>
      </c>
      <c r="H16" s="1">
        <f ca="1">'Map 1'!H27</f>
        <v>8</v>
      </c>
      <c r="I16" s="1">
        <f ca="1">'Map 1'!I27</f>
        <v>8</v>
      </c>
      <c r="J16" s="1">
        <f ca="1">'Map 1'!J27</f>
        <v>8</v>
      </c>
      <c r="K16" s="1">
        <f ca="1">'Map 1'!K27</f>
        <v>8</v>
      </c>
      <c r="L16" s="1">
        <f ca="1">'Map 1'!L27</f>
        <v>5</v>
      </c>
      <c r="M16" s="1">
        <f ca="1">'Map 1'!M27</f>
        <v>1</v>
      </c>
      <c r="N16" s="1">
        <f ca="1">'Map 1'!N27</f>
        <v>1</v>
      </c>
      <c r="O16" s="1">
        <f ca="1">'Map 1'!O27</f>
        <v>1</v>
      </c>
      <c r="P16" s="1">
        <f ca="1">'Map 1'!P27</f>
        <v>1</v>
      </c>
      <c r="Q16" s="1">
        <f ca="1">'Map 1'!Q27</f>
        <v>5</v>
      </c>
      <c r="R16" s="1">
        <f ca="1">'Map 1'!R27</f>
        <v>5</v>
      </c>
      <c r="S16" s="1">
        <f ca="1">'Map 1'!S27</f>
        <v>5</v>
      </c>
      <c r="T16" s="1">
        <f ca="1">'Map 1'!T27</f>
        <v>5</v>
      </c>
      <c r="U16" s="1">
        <f ca="1">'Map 1'!U27</f>
        <v>5</v>
      </c>
      <c r="V16" s="1">
        <f ca="1">'Map 1'!V27</f>
        <v>5</v>
      </c>
      <c r="W16" s="1">
        <f ca="1">'Map 1'!W27</f>
        <v>5</v>
      </c>
      <c r="X16" s="1">
        <f ca="1">'Map 1'!X27</f>
        <v>5</v>
      </c>
      <c r="Y16" s="1">
        <f ca="1">'Map 1'!Y27</f>
        <v>1</v>
      </c>
      <c r="Z16" s="1">
        <f ca="1">'Map 1'!Z27</f>
        <v>1</v>
      </c>
      <c r="AA16" s="1">
        <f ca="1">'Map 1'!AA27</f>
        <v>4</v>
      </c>
      <c r="AB16" s="1">
        <f ca="1">'Map 1'!AB27</f>
        <v>8</v>
      </c>
      <c r="AC16" s="1">
        <f ca="1">'Map 1'!AC27</f>
        <v>8</v>
      </c>
      <c r="AD16" s="1">
        <f ca="1">'Map 1'!AD27</f>
        <v>8</v>
      </c>
      <c r="AE16" s="1">
        <f ca="1">'Map 1'!AE27</f>
        <v>6</v>
      </c>
      <c r="AF16" s="1">
        <f ca="1">'Map 1'!AF27</f>
        <v>8</v>
      </c>
      <c r="AG16" s="1">
        <f ca="1">'Map 1'!AG27</f>
        <v>6</v>
      </c>
      <c r="AH16" s="1">
        <f ca="1">'Map 1'!AH27</f>
        <v>6</v>
      </c>
      <c r="AI16" s="1">
        <f ca="1">'Map 1'!AI27</f>
        <v>6</v>
      </c>
      <c r="AJ16" s="1">
        <f ca="1">'Map 1'!AJ27</f>
        <v>6</v>
      </c>
      <c r="AK16" s="1">
        <f ca="1">'Map 1'!AK27</f>
        <v>6</v>
      </c>
      <c r="AL16" s="1">
        <f ca="1">'Map 1'!AL27</f>
        <v>5</v>
      </c>
      <c r="AM16" s="1">
        <f ca="1">'Map 1'!AM27</f>
        <v>5</v>
      </c>
      <c r="AN16" s="1">
        <f ca="1">'Map 1'!AN27</f>
        <v>1</v>
      </c>
      <c r="AO16" s="1">
        <f ca="1">'Map 1'!AO27</f>
        <v>5</v>
      </c>
    </row>
    <row r="17" spans="1:41" ht="12.75">
      <c r="A17" s="1">
        <v>10</v>
      </c>
      <c r="B17" s="1">
        <f ca="1">'Map 1'!B28</f>
        <v>5</v>
      </c>
      <c r="C17" s="1">
        <f ca="1">'Map 1'!C28</f>
        <v>5</v>
      </c>
      <c r="D17" s="1">
        <f ca="1">'Map 1'!D28</f>
        <v>5</v>
      </c>
      <c r="E17" s="1">
        <f ca="1">'Map 1'!E28</f>
        <v>5</v>
      </c>
      <c r="F17" s="1">
        <f ca="1">'Map 1'!F28</f>
        <v>5</v>
      </c>
      <c r="G17" s="1">
        <f ca="1">'Map 1'!G28</f>
        <v>5</v>
      </c>
      <c r="H17" s="1">
        <f ca="1">'Map 1'!H28</f>
        <v>8</v>
      </c>
      <c r="I17" s="1">
        <f ca="1">'Map 1'!I28</f>
        <v>7</v>
      </c>
      <c r="J17" s="1">
        <f ca="1">'Map 1'!J28</f>
        <v>8</v>
      </c>
      <c r="K17" s="1">
        <f ca="1">'Map 1'!K28</f>
        <v>8</v>
      </c>
      <c r="L17" s="1">
        <f ca="1">'Map 1'!L28</f>
        <v>7</v>
      </c>
      <c r="M17" s="1">
        <f ca="1">'Map 1'!M28</f>
        <v>7</v>
      </c>
      <c r="N17" s="1">
        <f ca="1">'Map 1'!N28</f>
        <v>1</v>
      </c>
      <c r="O17" s="1">
        <f ca="1">'Map 1'!O28</f>
        <v>3</v>
      </c>
      <c r="P17" s="1">
        <f ca="1">'Map 1'!P28</f>
        <v>3</v>
      </c>
      <c r="Q17" s="1">
        <f ca="1">'Map 1'!Q28</f>
        <v>1</v>
      </c>
      <c r="R17" s="1">
        <f ca="1">'Map 1'!R28</f>
        <v>5</v>
      </c>
      <c r="S17" s="1">
        <f ca="1">'Map 1'!S28</f>
        <v>5</v>
      </c>
      <c r="T17" s="1">
        <f ca="1">'Map 1'!T28</f>
        <v>5</v>
      </c>
      <c r="U17" s="1">
        <f ca="1">'Map 1'!U28</f>
        <v>5</v>
      </c>
      <c r="V17" s="1">
        <f ca="1">'Map 1'!V28</f>
        <v>5</v>
      </c>
      <c r="W17" s="1">
        <f ca="1">'Map 1'!W28</f>
        <v>5</v>
      </c>
      <c r="X17" s="1">
        <f ca="1">'Map 1'!X28</f>
        <v>7</v>
      </c>
      <c r="Y17" s="1">
        <f ca="1">'Map 1'!Y28</f>
        <v>5</v>
      </c>
      <c r="Z17" s="1">
        <f ca="1">'Map 1'!Z28</f>
        <v>1</v>
      </c>
      <c r="AA17" s="1">
        <f ca="1">'Map 1'!AA28</f>
        <v>1</v>
      </c>
      <c r="AB17" s="1">
        <f ca="1">'Map 1'!AB28</f>
        <v>4</v>
      </c>
      <c r="AC17" s="1">
        <f ca="1">'Map 1'!AC28</f>
        <v>1</v>
      </c>
      <c r="AD17" s="1">
        <f ca="1">'Map 1'!AD28</f>
        <v>5</v>
      </c>
      <c r="AE17" s="1">
        <f ca="1">'Map 1'!AE28</f>
        <v>5</v>
      </c>
      <c r="AF17" s="1">
        <f ca="1">'Map 1'!AF28</f>
        <v>5</v>
      </c>
      <c r="AG17" s="1">
        <f ca="1">'Map 1'!AG28</f>
        <v>5</v>
      </c>
      <c r="AH17" s="1">
        <f ca="1">'Map 1'!AH28</f>
        <v>6</v>
      </c>
      <c r="AI17" s="1">
        <f ca="1">'Map 1'!AI28</f>
        <v>6</v>
      </c>
      <c r="AJ17" s="1">
        <f ca="1">'Map 1'!AJ28</f>
        <v>6</v>
      </c>
      <c r="AK17" s="1">
        <f ca="1">'Map 1'!AK28</f>
        <v>5</v>
      </c>
      <c r="AL17" s="1">
        <f ca="1">'Map 1'!AL28</f>
        <v>5</v>
      </c>
      <c r="AM17" s="1">
        <f ca="1">'Map 1'!AM28</f>
        <v>5</v>
      </c>
      <c r="AN17" s="1">
        <f ca="1">'Map 1'!AN28</f>
        <v>5</v>
      </c>
      <c r="AO17" s="1">
        <f ca="1">'Map 1'!AO28</f>
        <v>5</v>
      </c>
    </row>
    <row r="18" spans="1:41" ht="12.75">
      <c r="A18" s="1">
        <v>11</v>
      </c>
      <c r="B18" s="1">
        <f ca="1">'Map 1'!B29</f>
        <v>5</v>
      </c>
      <c r="C18" s="1">
        <f ca="1">'Map 1'!C29</f>
        <v>5</v>
      </c>
      <c r="D18" s="1">
        <f ca="1">'Map 1'!D29</f>
        <v>6</v>
      </c>
      <c r="E18" s="1">
        <f ca="1">'Map 1'!E29</f>
        <v>6</v>
      </c>
      <c r="F18" s="1">
        <f ca="1">'Map 1'!F29</f>
        <v>5</v>
      </c>
      <c r="G18" s="1">
        <f ca="1">'Map 1'!G29</f>
        <v>6</v>
      </c>
      <c r="H18" s="1">
        <f ca="1">'Map 1'!H29</f>
        <v>7</v>
      </c>
      <c r="I18" s="1">
        <f ca="1">'Map 1'!I29</f>
        <v>8</v>
      </c>
      <c r="J18" s="1">
        <f ca="1">'Map 1'!J29</f>
        <v>7</v>
      </c>
      <c r="K18" s="1">
        <f ca="1">'Map 1'!K29</f>
        <v>7</v>
      </c>
      <c r="L18" s="1">
        <f ca="1">'Map 1'!L29</f>
        <v>5</v>
      </c>
      <c r="M18" s="1">
        <f ca="1">'Map 1'!M29</f>
        <v>7</v>
      </c>
      <c r="N18" s="1">
        <f ca="1">'Map 1'!N29</f>
        <v>1</v>
      </c>
      <c r="O18" s="1">
        <f ca="1">'Map 1'!O29</f>
        <v>3</v>
      </c>
      <c r="P18" s="1">
        <f ca="1">'Map 1'!P29</f>
        <v>3</v>
      </c>
      <c r="Q18" s="1">
        <f ca="1">'Map 1'!Q29</f>
        <v>3</v>
      </c>
      <c r="R18" s="1">
        <f ca="1">'Map 1'!R29</f>
        <v>5</v>
      </c>
      <c r="S18" s="1">
        <f ca="1">'Map 1'!S29</f>
        <v>5</v>
      </c>
      <c r="T18" s="1">
        <f ca="1">'Map 1'!T29</f>
        <v>5</v>
      </c>
      <c r="U18" s="1">
        <f ca="1">'Map 1'!U29</f>
        <v>5</v>
      </c>
      <c r="V18" s="1">
        <f ca="1">'Map 1'!V29</f>
        <v>5</v>
      </c>
      <c r="W18" s="1">
        <f ca="1">'Map 1'!W29</f>
        <v>5</v>
      </c>
      <c r="X18" s="1">
        <f ca="1">'Map 1'!X29</f>
        <v>7</v>
      </c>
      <c r="Y18" s="1">
        <f ca="1">'Map 1'!Y29</f>
        <v>3</v>
      </c>
      <c r="Z18" s="1">
        <f ca="1">'Map 1'!Z29</f>
        <v>1</v>
      </c>
      <c r="AA18" s="1">
        <f ca="1">'Map 1'!AA29</f>
        <v>4</v>
      </c>
      <c r="AB18" s="1">
        <f ca="1">'Map 1'!AB29</f>
        <v>1</v>
      </c>
      <c r="AC18" s="1">
        <f ca="1">'Map 1'!AC29</f>
        <v>4</v>
      </c>
      <c r="AD18" s="1">
        <f ca="1">'Map 1'!AD29</f>
        <v>1</v>
      </c>
      <c r="AE18" s="1">
        <f ca="1">'Map 1'!AE29</f>
        <v>8</v>
      </c>
      <c r="AF18" s="1">
        <f ca="1">'Map 1'!AF29</f>
        <v>5</v>
      </c>
      <c r="AG18" s="1">
        <f ca="1">'Map 1'!AG29</f>
        <v>5</v>
      </c>
      <c r="AH18" s="1">
        <f ca="1">'Map 1'!AH29</f>
        <v>6</v>
      </c>
      <c r="AI18" s="1">
        <f ca="1">'Map 1'!AI29</f>
        <v>6</v>
      </c>
      <c r="AJ18" s="1">
        <f ca="1">'Map 1'!AJ29</f>
        <v>5</v>
      </c>
      <c r="AK18" s="1">
        <f ca="1">'Map 1'!AK29</f>
        <v>5</v>
      </c>
      <c r="AL18" s="1">
        <f ca="1">'Map 1'!AL29</f>
        <v>5</v>
      </c>
      <c r="AM18" s="1">
        <f ca="1">'Map 1'!AM29</f>
        <v>5</v>
      </c>
      <c r="AN18" s="1">
        <f ca="1">'Map 1'!AN29</f>
        <v>5</v>
      </c>
      <c r="AO18" s="1">
        <f ca="1">'Map 1'!AO29</f>
        <v>6</v>
      </c>
    </row>
    <row r="19" spans="1:41" ht="12.75">
      <c r="A19" s="1">
        <v>12</v>
      </c>
      <c r="B19" s="1">
        <f ca="1">'Map 1'!B30</f>
        <v>6</v>
      </c>
      <c r="C19" s="1">
        <f ca="1">'Map 1'!C30</f>
        <v>6</v>
      </c>
      <c r="D19" s="1">
        <f ca="1">'Map 1'!D30</f>
        <v>6</v>
      </c>
      <c r="E19" s="1">
        <f ca="1">'Map 1'!E30</f>
        <v>6</v>
      </c>
      <c r="F19" s="1">
        <f ca="1">'Map 1'!F30</f>
        <v>6</v>
      </c>
      <c r="G19" s="1">
        <f ca="1">'Map 1'!G30</f>
        <v>7</v>
      </c>
      <c r="H19" s="1">
        <f ca="1">'Map 1'!H30</f>
        <v>7</v>
      </c>
      <c r="I19" s="1">
        <f ca="1">'Map 1'!I30</f>
        <v>7</v>
      </c>
      <c r="J19" s="1">
        <f ca="1">'Map 1'!J30</f>
        <v>7</v>
      </c>
      <c r="K19" s="1">
        <f ca="1">'Map 1'!K30</f>
        <v>7</v>
      </c>
      <c r="L19" s="1">
        <f ca="1">'Map 1'!L30</f>
        <v>7</v>
      </c>
      <c r="M19" s="1">
        <f ca="1">'Map 1'!M30</f>
        <v>7</v>
      </c>
      <c r="N19" s="1">
        <f ca="1">'Map 1'!N30</f>
        <v>7</v>
      </c>
      <c r="O19" s="1">
        <f ca="1">'Map 1'!O30</f>
        <v>7</v>
      </c>
      <c r="P19" s="1">
        <f ca="1">'Map 1'!P30</f>
        <v>5</v>
      </c>
      <c r="Q19" s="1">
        <f ca="1">'Map 1'!Q30</f>
        <v>1</v>
      </c>
      <c r="R19" s="1">
        <f ca="1">'Map 1'!R30</f>
        <v>5</v>
      </c>
      <c r="S19" s="1">
        <f ca="1">'Map 1'!S30</f>
        <v>5</v>
      </c>
      <c r="T19" s="1">
        <f ca="1">'Map 1'!T30</f>
        <v>5</v>
      </c>
      <c r="U19" s="1">
        <f ca="1">'Map 1'!U30</f>
        <v>5</v>
      </c>
      <c r="V19" s="1">
        <f ca="1">'Map 1'!V30</f>
        <v>7</v>
      </c>
      <c r="W19" s="1">
        <f ca="1">'Map 1'!W30</f>
        <v>7</v>
      </c>
      <c r="X19" s="1">
        <f ca="1">'Map 1'!X30</f>
        <v>7</v>
      </c>
      <c r="Y19" s="1">
        <f ca="1">'Map 1'!Y30</f>
        <v>7</v>
      </c>
      <c r="Z19" s="1">
        <f ca="1">'Map 1'!Z30</f>
        <v>5</v>
      </c>
      <c r="AA19" s="1">
        <f ca="1">'Map 1'!AA30</f>
        <v>5</v>
      </c>
      <c r="AB19" s="1">
        <f ca="1">'Map 1'!AB30</f>
        <v>5</v>
      </c>
      <c r="AC19" s="1">
        <f ca="1">'Map 1'!AC30</f>
        <v>1</v>
      </c>
      <c r="AD19" s="1">
        <f ca="1">'Map 1'!AD30</f>
        <v>5</v>
      </c>
      <c r="AE19" s="1">
        <f ca="1">'Map 1'!AE30</f>
        <v>5</v>
      </c>
      <c r="AF19" s="1">
        <f ca="1">'Map 1'!AF30</f>
        <v>5</v>
      </c>
      <c r="AG19" s="1">
        <f ca="1">'Map 1'!AG30</f>
        <v>5</v>
      </c>
      <c r="AH19" s="1">
        <f ca="1">'Map 1'!AH30</f>
        <v>5</v>
      </c>
      <c r="AI19" s="1">
        <f ca="1">'Map 1'!AI30</f>
        <v>5</v>
      </c>
      <c r="AJ19" s="1">
        <f ca="1">'Map 1'!AJ30</f>
        <v>5</v>
      </c>
      <c r="AK19" s="1">
        <f ca="1">'Map 1'!AK30</f>
        <v>5</v>
      </c>
      <c r="AL19" s="1">
        <f ca="1">'Map 1'!AL30</f>
        <v>5</v>
      </c>
      <c r="AM19" s="1">
        <f ca="1">'Map 1'!AM30</f>
        <v>5</v>
      </c>
      <c r="AN19" s="1">
        <f ca="1">'Map 1'!AN30</f>
        <v>5</v>
      </c>
      <c r="AO19" s="1">
        <f ca="1">'Map 1'!AO30</f>
        <v>5</v>
      </c>
    </row>
    <row r="20" spans="1:41" ht="12.75">
      <c r="A20" s="1">
        <v>13</v>
      </c>
      <c r="B20" s="1">
        <f ca="1">'Map 1'!B31</f>
        <v>5</v>
      </c>
      <c r="C20" s="1">
        <f ca="1">'Map 1'!C31</f>
        <v>6</v>
      </c>
      <c r="D20" s="1">
        <f ca="1">'Map 1'!D31</f>
        <v>6</v>
      </c>
      <c r="E20" s="1">
        <f ca="1">'Map 1'!E31</f>
        <v>6</v>
      </c>
      <c r="F20" s="1">
        <f ca="1">'Map 1'!F31</f>
        <v>7</v>
      </c>
      <c r="G20" s="1">
        <f ca="1">'Map 1'!G31</f>
        <v>6</v>
      </c>
      <c r="H20" s="1">
        <f ca="1">'Map 1'!H31</f>
        <v>7</v>
      </c>
      <c r="I20" s="1">
        <f ca="1">'Map 1'!I31</f>
        <v>7</v>
      </c>
      <c r="J20" s="1">
        <f ca="1">'Map 1'!J31</f>
        <v>7</v>
      </c>
      <c r="K20" s="1">
        <f ca="1">'Map 1'!K31</f>
        <v>7</v>
      </c>
      <c r="L20" s="1">
        <f ca="1">'Map 1'!L31</f>
        <v>7</v>
      </c>
      <c r="M20" s="1">
        <f ca="1">'Map 1'!M31</f>
        <v>7</v>
      </c>
      <c r="N20" s="1">
        <f ca="1">'Map 1'!N31</f>
        <v>7</v>
      </c>
      <c r="O20" s="1">
        <f ca="1">'Map 1'!O31</f>
        <v>3</v>
      </c>
      <c r="P20" s="1">
        <f ca="1">'Map 1'!P31</f>
        <v>1</v>
      </c>
      <c r="Q20" s="1">
        <f ca="1">'Map 1'!Q31</f>
        <v>7</v>
      </c>
      <c r="R20" s="1">
        <f ca="1">'Map 1'!R31</f>
        <v>1</v>
      </c>
      <c r="S20" s="1">
        <f ca="1">'Map 1'!S31</f>
        <v>5</v>
      </c>
      <c r="T20" s="1">
        <f ca="1">'Map 1'!T31</f>
        <v>5</v>
      </c>
      <c r="U20" s="1">
        <f ca="1">'Map 1'!U31</f>
        <v>5</v>
      </c>
      <c r="V20" s="1">
        <f ca="1">'Map 1'!V31</f>
        <v>5</v>
      </c>
      <c r="W20" s="1">
        <f ca="1">'Map 1'!W31</f>
        <v>3</v>
      </c>
      <c r="X20" s="1">
        <f ca="1">'Map 1'!X31</f>
        <v>7</v>
      </c>
      <c r="Y20" s="1">
        <f ca="1">'Map 1'!Y31</f>
        <v>3</v>
      </c>
      <c r="Z20" s="1">
        <f ca="1">'Map 1'!Z31</f>
        <v>3</v>
      </c>
      <c r="AA20" s="1">
        <f ca="1">'Map 1'!AA31</f>
        <v>5</v>
      </c>
      <c r="AB20" s="1">
        <f ca="1">'Map 1'!AB31</f>
        <v>5</v>
      </c>
      <c r="AC20" s="1">
        <f ca="1">'Map 1'!AC31</f>
        <v>5</v>
      </c>
      <c r="AD20" s="1">
        <f ca="1">'Map 1'!AD31</f>
        <v>5</v>
      </c>
      <c r="AE20" s="1">
        <f ca="1">'Map 1'!AE31</f>
        <v>5</v>
      </c>
      <c r="AF20" s="1">
        <f ca="1">'Map 1'!AF31</f>
        <v>5</v>
      </c>
      <c r="AG20" s="1">
        <f ca="1">'Map 1'!AG31</f>
        <v>5</v>
      </c>
      <c r="AH20" s="1">
        <f ca="1">'Map 1'!AH31</f>
        <v>5</v>
      </c>
      <c r="AI20" s="1">
        <f ca="1">'Map 1'!AI31</f>
        <v>5</v>
      </c>
      <c r="AJ20" s="1">
        <f ca="1">'Map 1'!AJ31</f>
        <v>5</v>
      </c>
      <c r="AK20" s="1">
        <f ca="1">'Map 1'!AK31</f>
        <v>5</v>
      </c>
      <c r="AL20" s="1">
        <f ca="1">'Map 1'!AL31</f>
        <v>5</v>
      </c>
      <c r="AM20" s="1">
        <f ca="1">'Map 1'!AM31</f>
        <v>5</v>
      </c>
      <c r="AN20" s="1">
        <f ca="1">'Map 1'!AN31</f>
        <v>5</v>
      </c>
      <c r="AO20" s="1">
        <f ca="1">'Map 1'!AO31</f>
        <v>5</v>
      </c>
    </row>
    <row r="21" spans="1:41" ht="12.75">
      <c r="A21" s="1">
        <v>14</v>
      </c>
      <c r="B21" s="1">
        <f ca="1">'Map 1'!B32</f>
        <v>6</v>
      </c>
      <c r="C21" s="1">
        <f ca="1">'Map 1'!C32</f>
        <v>6</v>
      </c>
      <c r="D21" s="1">
        <f ca="1">'Map 1'!D32</f>
        <v>6</v>
      </c>
      <c r="E21" s="1">
        <f ca="1">'Map 1'!E32</f>
        <v>6</v>
      </c>
      <c r="F21" s="1">
        <f ca="1">'Map 1'!F32</f>
        <v>7</v>
      </c>
      <c r="G21" s="1">
        <f ca="1">'Map 1'!G32</f>
        <v>6</v>
      </c>
      <c r="H21" s="1">
        <f ca="1">'Map 1'!H32</f>
        <v>7</v>
      </c>
      <c r="I21" s="1">
        <f ca="1">'Map 1'!I32</f>
        <v>7</v>
      </c>
      <c r="J21" s="1">
        <f ca="1">'Map 1'!J32</f>
        <v>7</v>
      </c>
      <c r="K21" s="1">
        <f ca="1">'Map 1'!K32</f>
        <v>7</v>
      </c>
      <c r="L21" s="1">
        <f ca="1">'Map 1'!L32</f>
        <v>7</v>
      </c>
      <c r="M21" s="1">
        <f ca="1">'Map 1'!M32</f>
        <v>7</v>
      </c>
      <c r="N21" s="1">
        <f ca="1">'Map 1'!N32</f>
        <v>7</v>
      </c>
      <c r="O21" s="1">
        <f ca="1">'Map 1'!O32</f>
        <v>7</v>
      </c>
      <c r="P21" s="1">
        <f ca="1">'Map 1'!P32</f>
        <v>5</v>
      </c>
      <c r="Q21" s="1">
        <f ca="1">'Map 1'!Q32</f>
        <v>5</v>
      </c>
      <c r="R21" s="1">
        <f ca="1">'Map 1'!R32</f>
        <v>5</v>
      </c>
      <c r="S21" s="1">
        <f ca="1">'Map 1'!S32</f>
        <v>5</v>
      </c>
      <c r="T21" s="1">
        <f ca="1">'Map 1'!T32</f>
        <v>5</v>
      </c>
      <c r="U21" s="1">
        <f ca="1">'Map 1'!U32</f>
        <v>1</v>
      </c>
      <c r="V21" s="1">
        <f ca="1">'Map 1'!V32</f>
        <v>3</v>
      </c>
      <c r="W21" s="1">
        <f ca="1">'Map 1'!W32</f>
        <v>3</v>
      </c>
      <c r="X21" s="1">
        <f ca="1">'Map 1'!X32</f>
        <v>3</v>
      </c>
      <c r="Y21" s="1">
        <f ca="1">'Map 1'!Y32</f>
        <v>7</v>
      </c>
      <c r="Z21" s="1">
        <f ca="1">'Map 1'!Z32</f>
        <v>3</v>
      </c>
      <c r="AA21" s="1">
        <f ca="1">'Map 1'!AA32</f>
        <v>5</v>
      </c>
      <c r="AB21" s="1">
        <f ca="1">'Map 1'!AB32</f>
        <v>5</v>
      </c>
      <c r="AC21" s="1">
        <f ca="1">'Map 1'!AC32</f>
        <v>5</v>
      </c>
      <c r="AD21" s="1">
        <f ca="1">'Map 1'!AD32</f>
        <v>5</v>
      </c>
      <c r="AE21" s="1">
        <f ca="1">'Map 1'!AE32</f>
        <v>5</v>
      </c>
      <c r="AF21" s="1">
        <f ca="1">'Map 1'!AF32</f>
        <v>5</v>
      </c>
      <c r="AG21" s="1">
        <f ca="1">'Map 1'!AG32</f>
        <v>5</v>
      </c>
      <c r="AH21" s="1">
        <f ca="1">'Map 1'!AH32</f>
        <v>5</v>
      </c>
      <c r="AI21" s="1">
        <f ca="1">'Map 1'!AI32</f>
        <v>5</v>
      </c>
      <c r="AJ21" s="1">
        <f ca="1">'Map 1'!AJ32</f>
        <v>5</v>
      </c>
      <c r="AK21" s="1">
        <f ca="1">'Map 1'!AK32</f>
        <v>5</v>
      </c>
      <c r="AL21" s="1">
        <f ca="1">'Map 1'!AL32</f>
        <v>5</v>
      </c>
      <c r="AM21" s="1">
        <f ca="1">'Map 1'!AM32</f>
        <v>5</v>
      </c>
      <c r="AN21" s="1">
        <f ca="1">'Map 1'!AN32</f>
        <v>5</v>
      </c>
      <c r="AO21" s="1">
        <f ca="1">'Map 1'!AO32</f>
        <v>6</v>
      </c>
    </row>
    <row r="22" spans="1:41" ht="12.75">
      <c r="A22" s="1">
        <v>15</v>
      </c>
      <c r="B22" s="1">
        <f ca="1">'Map 1'!B33</f>
        <v>6</v>
      </c>
      <c r="C22" s="1">
        <f ca="1">'Map 1'!C33</f>
        <v>6</v>
      </c>
      <c r="D22" s="1">
        <f ca="1">'Map 1'!D33</f>
        <v>6</v>
      </c>
      <c r="E22" s="1">
        <f ca="1">'Map 1'!E33</f>
        <v>6</v>
      </c>
      <c r="F22" s="1">
        <f ca="1">'Map 1'!F33</f>
        <v>6</v>
      </c>
      <c r="G22" s="1">
        <f ca="1">'Map 1'!G33</f>
        <v>7</v>
      </c>
      <c r="H22" s="1">
        <f ca="1">'Map 1'!H33</f>
        <v>6</v>
      </c>
      <c r="I22" s="1">
        <f ca="1">'Map 1'!I33</f>
        <v>7</v>
      </c>
      <c r="J22" s="1">
        <f ca="1">'Map 1'!J33</f>
        <v>7</v>
      </c>
      <c r="K22" s="1">
        <f ca="1">'Map 1'!K33</f>
        <v>7</v>
      </c>
      <c r="L22" s="1">
        <f ca="1">'Map 1'!L33</f>
        <v>7</v>
      </c>
      <c r="M22" s="1">
        <f ca="1">'Map 1'!M33</f>
        <v>7</v>
      </c>
      <c r="N22" s="1">
        <f ca="1">'Map 1'!N33</f>
        <v>7</v>
      </c>
      <c r="O22" s="1">
        <f ca="1">'Map 1'!O33</f>
        <v>7</v>
      </c>
      <c r="P22" s="1">
        <f ca="1">'Map 1'!P33</f>
        <v>5</v>
      </c>
      <c r="Q22" s="1">
        <f ca="1">'Map 1'!Q33</f>
        <v>5</v>
      </c>
      <c r="R22" s="1">
        <f ca="1">'Map 1'!R33</f>
        <v>7</v>
      </c>
      <c r="S22" s="1">
        <f ca="1">'Map 1'!S33</f>
        <v>7</v>
      </c>
      <c r="T22" s="1">
        <f ca="1">'Map 1'!T33</f>
        <v>5</v>
      </c>
      <c r="U22" s="1">
        <f ca="1">'Map 1'!U33</f>
        <v>1</v>
      </c>
      <c r="V22" s="1">
        <f ca="1">'Map 1'!V33</f>
        <v>7</v>
      </c>
      <c r="W22" s="1">
        <f ca="1">'Map 1'!W33</f>
        <v>3</v>
      </c>
      <c r="X22" s="1">
        <f ca="1">'Map 1'!X33</f>
        <v>3</v>
      </c>
      <c r="Y22" s="1">
        <f ca="1">'Map 1'!Y33</f>
        <v>3</v>
      </c>
      <c r="Z22" s="1">
        <f ca="1">'Map 1'!Z33</f>
        <v>7</v>
      </c>
      <c r="AA22" s="1">
        <f ca="1">'Map 1'!AA33</f>
        <v>8</v>
      </c>
      <c r="AB22" s="1">
        <f ca="1">'Map 1'!AB33</f>
        <v>5</v>
      </c>
      <c r="AC22" s="1">
        <f ca="1">'Map 1'!AC33</f>
        <v>5</v>
      </c>
      <c r="AD22" s="1">
        <f ca="1">'Map 1'!AD33</f>
        <v>8</v>
      </c>
      <c r="AE22" s="1">
        <f ca="1">'Map 1'!AE33</f>
        <v>5</v>
      </c>
      <c r="AF22" s="1">
        <f ca="1">'Map 1'!AF33</f>
        <v>5</v>
      </c>
      <c r="AG22" s="1">
        <f ca="1">'Map 1'!AG33</f>
        <v>5</v>
      </c>
      <c r="AH22" s="1">
        <f ca="1">'Map 1'!AH33</f>
        <v>7</v>
      </c>
      <c r="AI22" s="1">
        <f ca="1">'Map 1'!AI33</f>
        <v>7</v>
      </c>
      <c r="AJ22" s="1">
        <f ca="1">'Map 1'!AJ33</f>
        <v>5</v>
      </c>
      <c r="AK22" s="1">
        <f ca="1">'Map 1'!AK33</f>
        <v>5</v>
      </c>
      <c r="AL22" s="1">
        <f ca="1">'Map 1'!AL33</f>
        <v>5</v>
      </c>
      <c r="AM22" s="1">
        <f ca="1">'Map 1'!AM33</f>
        <v>5</v>
      </c>
      <c r="AN22" s="1">
        <f ca="1">'Map 1'!AN33</f>
        <v>5</v>
      </c>
      <c r="AO22" s="1">
        <f ca="1">'Map 1'!AO33</f>
        <v>5</v>
      </c>
    </row>
    <row r="23" spans="1:41" ht="12.75">
      <c r="A23" s="1">
        <v>16</v>
      </c>
      <c r="B23" s="1">
        <f ca="1">'Map 1'!B34</f>
        <v>6</v>
      </c>
      <c r="C23" s="1">
        <f ca="1">'Map 1'!C34</f>
        <v>6</v>
      </c>
      <c r="D23" s="1">
        <f ca="1">'Map 1'!D34</f>
        <v>6</v>
      </c>
      <c r="E23" s="1">
        <f ca="1">'Map 1'!E34</f>
        <v>6</v>
      </c>
      <c r="F23" s="1">
        <f ca="1">'Map 1'!F34</f>
        <v>6</v>
      </c>
      <c r="G23" s="1">
        <f ca="1">'Map 1'!G34</f>
        <v>3</v>
      </c>
      <c r="H23" s="1">
        <f ca="1">'Map 1'!H34</f>
        <v>2</v>
      </c>
      <c r="I23" s="1">
        <f ca="1">'Map 1'!I34</f>
        <v>7</v>
      </c>
      <c r="J23" s="1">
        <f ca="1">'Map 1'!J34</f>
        <v>6</v>
      </c>
      <c r="K23" s="1">
        <f ca="1">'Map 1'!K34</f>
        <v>7</v>
      </c>
      <c r="L23" s="1">
        <f ca="1">'Map 1'!L34</f>
        <v>7</v>
      </c>
      <c r="M23" s="1">
        <f ca="1">'Map 1'!M34</f>
        <v>7</v>
      </c>
      <c r="N23" s="1">
        <f ca="1">'Map 1'!N34</f>
        <v>7</v>
      </c>
      <c r="O23" s="1">
        <f ca="1">'Map 1'!O34</f>
        <v>7</v>
      </c>
      <c r="P23" s="1">
        <f ca="1">'Map 1'!P34</f>
        <v>5</v>
      </c>
      <c r="Q23" s="1">
        <f ca="1">'Map 1'!Q34</f>
        <v>7</v>
      </c>
      <c r="R23" s="1">
        <f ca="1">'Map 1'!R34</f>
        <v>7</v>
      </c>
      <c r="S23" s="1">
        <f ca="1">'Map 1'!S34</f>
        <v>7</v>
      </c>
      <c r="T23" s="1">
        <f ca="1">'Map 1'!T34</f>
        <v>5</v>
      </c>
      <c r="U23" s="1">
        <f ca="1">'Map 1'!U34</f>
        <v>1</v>
      </c>
      <c r="V23" s="1">
        <f ca="1">'Map 1'!V34</f>
        <v>7</v>
      </c>
      <c r="W23" s="1">
        <f ca="1">'Map 1'!W34</f>
        <v>7</v>
      </c>
      <c r="X23" s="1">
        <f ca="1">'Map 1'!X34</f>
        <v>3</v>
      </c>
      <c r="Y23" s="1">
        <f ca="1">'Map 1'!Y34</f>
        <v>7</v>
      </c>
      <c r="Z23" s="1">
        <f ca="1">'Map 1'!Z34</f>
        <v>5</v>
      </c>
      <c r="AA23" s="1">
        <f ca="1">'Map 1'!AA34</f>
        <v>7</v>
      </c>
      <c r="AB23" s="1">
        <f ca="1">'Map 1'!AB34</f>
        <v>5</v>
      </c>
      <c r="AC23" s="1">
        <f ca="1">'Map 1'!AC34</f>
        <v>8</v>
      </c>
      <c r="AD23" s="1">
        <f ca="1">'Map 1'!AD34</f>
        <v>8</v>
      </c>
      <c r="AE23" s="1">
        <f ca="1">'Map 1'!AE34</f>
        <v>7</v>
      </c>
      <c r="AF23" s="1">
        <f ca="1">'Map 1'!AF34</f>
        <v>7</v>
      </c>
      <c r="AG23" s="1">
        <f ca="1">'Map 1'!AG34</f>
        <v>7</v>
      </c>
      <c r="AH23" s="1">
        <f ca="1">'Map 1'!AH34</f>
        <v>5</v>
      </c>
      <c r="AI23" s="1">
        <f ca="1">'Map 1'!AI34</f>
        <v>7</v>
      </c>
      <c r="AJ23" s="1">
        <f ca="1">'Map 1'!AJ34</f>
        <v>7</v>
      </c>
      <c r="AK23" s="1">
        <f ca="1">'Map 1'!AK34</f>
        <v>7</v>
      </c>
      <c r="AL23" s="1">
        <f ca="1">'Map 1'!AL34</f>
        <v>5</v>
      </c>
      <c r="AM23" s="1">
        <f ca="1">'Map 1'!AM34</f>
        <v>5</v>
      </c>
      <c r="AN23" s="1">
        <f ca="1">'Map 1'!AN34</f>
        <v>5</v>
      </c>
      <c r="AO23" s="1">
        <f ca="1">'Map 1'!AO34</f>
        <v>2</v>
      </c>
    </row>
    <row r="24" spans="1:41" ht="12.75">
      <c r="A24" s="1">
        <v>17</v>
      </c>
      <c r="B24" s="1">
        <f ca="1">'Map 1'!B35</f>
        <v>6</v>
      </c>
      <c r="C24" s="1">
        <f ca="1">'Map 1'!C35</f>
        <v>6</v>
      </c>
      <c r="D24" s="1">
        <f ca="1">'Map 1'!D35</f>
        <v>2</v>
      </c>
      <c r="E24" s="1">
        <f ca="1">'Map 1'!E35</f>
        <v>6</v>
      </c>
      <c r="F24" s="1">
        <f ca="1">'Map 1'!F35</f>
        <v>6</v>
      </c>
      <c r="G24" s="1">
        <f ca="1">'Map 1'!G35</f>
        <v>2</v>
      </c>
      <c r="H24" s="1">
        <f ca="1">'Map 1'!H35</f>
        <v>2</v>
      </c>
      <c r="I24" s="1">
        <f ca="1">'Map 1'!I35</f>
        <v>6</v>
      </c>
      <c r="J24" s="1">
        <f ca="1">'Map 1'!J35</f>
        <v>6</v>
      </c>
      <c r="K24" s="1">
        <f ca="1">'Map 1'!K35</f>
        <v>6</v>
      </c>
      <c r="L24" s="1">
        <f ca="1">'Map 1'!L35</f>
        <v>7</v>
      </c>
      <c r="M24" s="1">
        <f ca="1">'Map 1'!M35</f>
        <v>7</v>
      </c>
      <c r="N24" s="1">
        <f ca="1">'Map 1'!N35</f>
        <v>7</v>
      </c>
      <c r="O24" s="1">
        <f ca="1">'Map 1'!O35</f>
        <v>7</v>
      </c>
      <c r="P24" s="1">
        <f ca="1">'Map 1'!P35</f>
        <v>7</v>
      </c>
      <c r="Q24" s="1">
        <f ca="1">'Map 1'!Q35</f>
        <v>3</v>
      </c>
      <c r="R24" s="1">
        <f ca="1">'Map 1'!R35</f>
        <v>7</v>
      </c>
      <c r="S24" s="1">
        <f ca="1">'Map 1'!S35</f>
        <v>3</v>
      </c>
      <c r="T24" s="1">
        <f ca="1">'Map 1'!T35</f>
        <v>3</v>
      </c>
      <c r="U24" s="1">
        <f ca="1">'Map 1'!U35</f>
        <v>3</v>
      </c>
      <c r="V24" s="1">
        <f ca="1">'Map 1'!V35</f>
        <v>3</v>
      </c>
      <c r="W24" s="1">
        <f ca="1">'Map 1'!W35</f>
        <v>7</v>
      </c>
      <c r="X24" s="1">
        <f ca="1">'Map 1'!X35</f>
        <v>3</v>
      </c>
      <c r="Y24" s="1">
        <f ca="1">'Map 1'!Y35</f>
        <v>7</v>
      </c>
      <c r="Z24" s="1">
        <f ca="1">'Map 1'!Z35</f>
        <v>7</v>
      </c>
      <c r="AA24" s="1">
        <f ca="1">'Map 1'!AA35</f>
        <v>8</v>
      </c>
      <c r="AB24" s="1">
        <f ca="1">'Map 1'!AB35</f>
        <v>8</v>
      </c>
      <c r="AC24" s="1">
        <f ca="1">'Map 1'!AC35</f>
        <v>8</v>
      </c>
      <c r="AD24" s="1">
        <f ca="1">'Map 1'!AD35</f>
        <v>8</v>
      </c>
      <c r="AE24" s="1">
        <f ca="1">'Map 1'!AE35</f>
        <v>8</v>
      </c>
      <c r="AF24" s="1">
        <f ca="1">'Map 1'!AF35</f>
        <v>8</v>
      </c>
      <c r="AG24" s="1">
        <f ca="1">'Map 1'!AG35</f>
        <v>7</v>
      </c>
      <c r="AH24" s="1">
        <f ca="1">'Map 1'!AH35</f>
        <v>7</v>
      </c>
      <c r="AI24" s="1">
        <f ca="1">'Map 1'!AI35</f>
        <v>7</v>
      </c>
      <c r="AJ24" s="1">
        <f ca="1">'Map 1'!AJ35</f>
        <v>7</v>
      </c>
      <c r="AK24" s="1">
        <f ca="1">'Map 1'!AK35</f>
        <v>5</v>
      </c>
      <c r="AL24" s="1">
        <f ca="1">'Map 1'!AL35</f>
        <v>5</v>
      </c>
      <c r="AM24" s="1">
        <f ca="1">'Map 1'!AM35</f>
        <v>5</v>
      </c>
      <c r="AN24" s="1">
        <f ca="1">'Map 1'!AN35</f>
        <v>5</v>
      </c>
      <c r="AO24" s="1">
        <f ca="1">'Map 1'!AO35</f>
        <v>2</v>
      </c>
    </row>
    <row r="25" spans="1:41" ht="12.75">
      <c r="A25" s="1">
        <v>18</v>
      </c>
      <c r="B25" s="1">
        <f ca="1">'Map 1'!B36</f>
        <v>6</v>
      </c>
      <c r="C25" s="1">
        <f ca="1">'Map 1'!C36</f>
        <v>2</v>
      </c>
      <c r="D25" s="1">
        <f ca="1">'Map 1'!D36</f>
        <v>2</v>
      </c>
      <c r="E25" s="1">
        <f ca="1">'Map 1'!E36</f>
        <v>2</v>
      </c>
      <c r="F25" s="1">
        <f ca="1">'Map 1'!F36</f>
        <v>2</v>
      </c>
      <c r="G25" s="1">
        <f ca="1">'Map 1'!G36</f>
        <v>2</v>
      </c>
      <c r="H25" s="1">
        <f ca="1">'Map 1'!H36</f>
        <v>2</v>
      </c>
      <c r="I25" s="1">
        <f ca="1">'Map 1'!I36</f>
        <v>2</v>
      </c>
      <c r="J25" s="1">
        <f ca="1">'Map 1'!J36</f>
        <v>6</v>
      </c>
      <c r="K25" s="1">
        <f ca="1">'Map 1'!K36</f>
        <v>6</v>
      </c>
      <c r="L25" s="1">
        <f ca="1">'Map 1'!L36</f>
        <v>7</v>
      </c>
      <c r="M25" s="1">
        <f ca="1">'Map 1'!M36</f>
        <v>7</v>
      </c>
      <c r="N25" s="1">
        <f ca="1">'Map 1'!N36</f>
        <v>7</v>
      </c>
      <c r="O25" s="1">
        <f ca="1">'Map 1'!O36</f>
        <v>7</v>
      </c>
      <c r="P25" s="1">
        <f ca="1">'Map 1'!P36</f>
        <v>7</v>
      </c>
      <c r="Q25" s="1">
        <f ca="1">'Map 1'!Q36</f>
        <v>7</v>
      </c>
      <c r="R25" s="1">
        <f ca="1">'Map 1'!R36</f>
        <v>7</v>
      </c>
      <c r="S25" s="1">
        <f ca="1">'Map 1'!S36</f>
        <v>3</v>
      </c>
      <c r="T25" s="1">
        <f ca="1">'Map 1'!T36</f>
        <v>3</v>
      </c>
      <c r="U25" s="1">
        <f ca="1">'Map 1'!U36</f>
        <v>3</v>
      </c>
      <c r="V25" s="1">
        <f ca="1">'Map 1'!V36</f>
        <v>3</v>
      </c>
      <c r="W25" s="1">
        <f ca="1">'Map 1'!W36</f>
        <v>7</v>
      </c>
      <c r="X25" s="1">
        <f ca="1">'Map 1'!X36</f>
        <v>7</v>
      </c>
      <c r="Y25" s="1">
        <f ca="1">'Map 1'!Y36</f>
        <v>7</v>
      </c>
      <c r="Z25" s="1">
        <f ca="1">'Map 1'!Z36</f>
        <v>8</v>
      </c>
      <c r="AA25" s="1">
        <f ca="1">'Map 1'!AA36</f>
        <v>8</v>
      </c>
      <c r="AB25" s="1">
        <f ca="1">'Map 1'!AB36</f>
        <v>8</v>
      </c>
      <c r="AC25" s="1">
        <f ca="1">'Map 1'!AC36</f>
        <v>8</v>
      </c>
      <c r="AD25" s="1">
        <f ca="1">'Map 1'!AD36</f>
        <v>8</v>
      </c>
      <c r="AE25" s="1">
        <f ca="1">'Map 1'!AE36</f>
        <v>8</v>
      </c>
      <c r="AF25" s="1">
        <f ca="1">'Map 1'!AF36</f>
        <v>8</v>
      </c>
      <c r="AG25" s="1">
        <f ca="1">'Map 1'!AG36</f>
        <v>7</v>
      </c>
      <c r="AH25" s="1">
        <f ca="1">'Map 1'!AH36</f>
        <v>7</v>
      </c>
      <c r="AI25" s="1">
        <f ca="1">'Map 1'!AI36</f>
        <v>7</v>
      </c>
      <c r="AJ25" s="1">
        <f ca="1">'Map 1'!AJ36</f>
        <v>7</v>
      </c>
      <c r="AK25" s="1">
        <f ca="1">'Map 1'!AK36</f>
        <v>5</v>
      </c>
      <c r="AL25" s="1">
        <f ca="1">'Map 1'!AL36</f>
        <v>5</v>
      </c>
      <c r="AM25" s="1">
        <f ca="1">'Map 1'!AM36</f>
        <v>5</v>
      </c>
      <c r="AN25" s="1">
        <f ca="1">'Map 1'!AN36</f>
        <v>5</v>
      </c>
      <c r="AO25" s="1">
        <f ca="1">'Map 1'!AO36</f>
        <v>2</v>
      </c>
    </row>
    <row r="26" spans="1:41" ht="12.75">
      <c r="A26" s="1">
        <v>19</v>
      </c>
      <c r="B26" s="1">
        <f ca="1">'Map 1'!B37</f>
        <v>2</v>
      </c>
      <c r="C26" s="1">
        <f ca="1">'Map 1'!C37</f>
        <v>2</v>
      </c>
      <c r="D26" s="1">
        <f ca="1">'Map 1'!D37</f>
        <v>2</v>
      </c>
      <c r="E26" s="1">
        <f ca="1">'Map 1'!E37</f>
        <v>2</v>
      </c>
      <c r="F26" s="1">
        <f ca="1">'Map 1'!F37</f>
        <v>2</v>
      </c>
      <c r="G26" s="1">
        <f ca="1">'Map 1'!G37</f>
        <v>2</v>
      </c>
      <c r="H26" s="1">
        <f ca="1">'Map 1'!H37</f>
        <v>2</v>
      </c>
      <c r="I26" s="1">
        <f ca="1">'Map 1'!I37</f>
        <v>2</v>
      </c>
      <c r="J26" s="1">
        <f ca="1">'Map 1'!J37</f>
        <v>6</v>
      </c>
      <c r="K26" s="1">
        <f ca="1">'Map 1'!K37</f>
        <v>6</v>
      </c>
      <c r="L26" s="1">
        <f ca="1">'Map 1'!L37</f>
        <v>6</v>
      </c>
      <c r="M26" s="1">
        <f ca="1">'Map 1'!M37</f>
        <v>7</v>
      </c>
      <c r="N26" s="1">
        <f ca="1">'Map 1'!N37</f>
        <v>7</v>
      </c>
      <c r="O26" s="1">
        <f ca="1">'Map 1'!O37</f>
        <v>7</v>
      </c>
      <c r="P26" s="1">
        <f ca="1">'Map 1'!P37</f>
        <v>7</v>
      </c>
      <c r="Q26" s="1">
        <f ca="1">'Map 1'!Q37</f>
        <v>7</v>
      </c>
      <c r="R26" s="1">
        <f ca="1">'Map 1'!R37</f>
        <v>7</v>
      </c>
      <c r="S26" s="1">
        <f ca="1">'Map 1'!S37</f>
        <v>3</v>
      </c>
      <c r="T26" s="1">
        <f ca="1">'Map 1'!T37</f>
        <v>3</v>
      </c>
      <c r="U26" s="1">
        <f ca="1">'Map 1'!U37</f>
        <v>7</v>
      </c>
      <c r="V26" s="1">
        <f ca="1">'Map 1'!V37</f>
        <v>3</v>
      </c>
      <c r="W26" s="1">
        <f ca="1">'Map 1'!W37</f>
        <v>7</v>
      </c>
      <c r="X26" s="1">
        <f ca="1">'Map 1'!X37</f>
        <v>7</v>
      </c>
      <c r="Y26" s="1">
        <f ca="1">'Map 1'!Y37</f>
        <v>7</v>
      </c>
      <c r="Z26" s="1">
        <f ca="1">'Map 1'!Z37</f>
        <v>7</v>
      </c>
      <c r="AA26" s="1">
        <f ca="1">'Map 1'!AA37</f>
        <v>8</v>
      </c>
      <c r="AB26" s="1">
        <f ca="1">'Map 1'!AB37</f>
        <v>8</v>
      </c>
      <c r="AC26" s="1">
        <f ca="1">'Map 1'!AC37</f>
        <v>8</v>
      </c>
      <c r="AD26" s="1">
        <f ca="1">'Map 1'!AD37</f>
        <v>8</v>
      </c>
      <c r="AE26" s="1">
        <f ca="1">'Map 1'!AE37</f>
        <v>8</v>
      </c>
      <c r="AF26" s="1">
        <f ca="1">'Map 1'!AF37</f>
        <v>8</v>
      </c>
      <c r="AG26" s="1">
        <f ca="1">'Map 1'!AG37</f>
        <v>7</v>
      </c>
      <c r="AH26" s="1">
        <f ca="1">'Map 1'!AH37</f>
        <v>7</v>
      </c>
      <c r="AI26" s="1">
        <f ca="1">'Map 1'!AI37</f>
        <v>7</v>
      </c>
      <c r="AJ26" s="1">
        <f ca="1">'Map 1'!AJ37</f>
        <v>5</v>
      </c>
      <c r="AK26" s="1">
        <f ca="1">'Map 1'!AK37</f>
        <v>5</v>
      </c>
      <c r="AL26" s="1">
        <f ca="1">'Map 1'!AL37</f>
        <v>5</v>
      </c>
      <c r="AM26" s="1">
        <f ca="1">'Map 1'!AM37</f>
        <v>5</v>
      </c>
      <c r="AN26" s="1">
        <f ca="1">'Map 1'!AN37</f>
        <v>5</v>
      </c>
      <c r="AO26" s="1">
        <f ca="1">'Map 1'!AO37</f>
        <v>1</v>
      </c>
    </row>
    <row r="27" spans="1:41" ht="12.75">
      <c r="A27" s="1">
        <v>20</v>
      </c>
      <c r="B27" s="1">
        <f ca="1">'Map 1'!B38</f>
        <v>8</v>
      </c>
      <c r="C27" s="1">
        <f ca="1">'Map 1'!C38</f>
        <v>1</v>
      </c>
      <c r="D27" s="1">
        <f ca="1">'Map 1'!D38</f>
        <v>2</v>
      </c>
      <c r="E27" s="1">
        <f ca="1">'Map 1'!E38</f>
        <v>2</v>
      </c>
      <c r="F27" s="1">
        <f ca="1">'Map 1'!F38</f>
        <v>3</v>
      </c>
      <c r="G27" s="1">
        <f ca="1">'Map 1'!G38</f>
        <v>2</v>
      </c>
      <c r="H27" s="1">
        <f ca="1">'Map 1'!H38</f>
        <v>3</v>
      </c>
      <c r="I27" s="1">
        <f ca="1">'Map 1'!I38</f>
        <v>7</v>
      </c>
      <c r="J27" s="1">
        <f ca="1">'Map 1'!J38</f>
        <v>3</v>
      </c>
      <c r="K27" s="1">
        <f ca="1">'Map 1'!K38</f>
        <v>6</v>
      </c>
      <c r="L27" s="1">
        <f ca="1">'Map 1'!L38</f>
        <v>7</v>
      </c>
      <c r="M27" s="1">
        <f ca="1">'Map 1'!M38</f>
        <v>7</v>
      </c>
      <c r="N27" s="1">
        <f ca="1">'Map 1'!N38</f>
        <v>7</v>
      </c>
      <c r="O27" s="1">
        <f ca="1">'Map 1'!O38</f>
        <v>7</v>
      </c>
      <c r="P27" s="1">
        <f ca="1">'Map 1'!P38</f>
        <v>7</v>
      </c>
      <c r="Q27" s="1">
        <f ca="1">'Map 1'!Q38</f>
        <v>7</v>
      </c>
      <c r="R27" s="1">
        <f ca="1">'Map 1'!R38</f>
        <v>7</v>
      </c>
      <c r="S27" s="1">
        <f ca="1">'Map 1'!S38</f>
        <v>3</v>
      </c>
      <c r="T27" s="1">
        <f ca="1">'Map 1'!T38</f>
        <v>7</v>
      </c>
      <c r="U27" s="1">
        <f ca="1">'Map 1'!U38</f>
        <v>7</v>
      </c>
      <c r="V27" s="1">
        <f ca="1">'Map 1'!V38</f>
        <v>3</v>
      </c>
      <c r="W27" s="1">
        <f ca="1">'Map 1'!W38</f>
        <v>7</v>
      </c>
      <c r="X27" s="1">
        <f ca="1">'Map 1'!X38</f>
        <v>7</v>
      </c>
      <c r="Y27" s="1">
        <f ca="1">'Map 1'!Y38</f>
        <v>7</v>
      </c>
      <c r="Z27" s="1">
        <f ca="1">'Map 1'!Z38</f>
        <v>7</v>
      </c>
      <c r="AA27" s="1">
        <f ca="1">'Map 1'!AA38</f>
        <v>8</v>
      </c>
      <c r="AB27" s="1">
        <f ca="1">'Map 1'!AB38</f>
        <v>8</v>
      </c>
      <c r="AC27" s="1">
        <f ca="1">'Map 1'!AC38</f>
        <v>8</v>
      </c>
      <c r="AD27" s="1">
        <f ca="1">'Map 1'!AD38</f>
        <v>8</v>
      </c>
      <c r="AE27" s="1">
        <f ca="1">'Map 1'!AE38</f>
        <v>7</v>
      </c>
      <c r="AF27" s="1">
        <f ca="1">'Map 1'!AF38</f>
        <v>8</v>
      </c>
      <c r="AG27" s="1">
        <f ca="1">'Map 1'!AG38</f>
        <v>7</v>
      </c>
      <c r="AH27" s="1">
        <f ca="1">'Map 1'!AH38</f>
        <v>7</v>
      </c>
      <c r="AI27" s="1">
        <f ca="1">'Map 1'!AI38</f>
        <v>7</v>
      </c>
      <c r="AJ27" s="1">
        <f ca="1">'Map 1'!AJ38</f>
        <v>7</v>
      </c>
      <c r="AK27" s="1">
        <f ca="1">'Map 1'!AK38</f>
        <v>5</v>
      </c>
      <c r="AL27" s="1">
        <f ca="1">'Map 1'!AL38</f>
        <v>5</v>
      </c>
      <c r="AM27" s="1">
        <f ca="1">'Map 1'!AM38</f>
        <v>8</v>
      </c>
      <c r="AN27" s="1">
        <f ca="1">'Map 1'!AN38</f>
        <v>5</v>
      </c>
      <c r="AO27" s="1">
        <f ca="1">'Map 1'!AO38</f>
        <v>8</v>
      </c>
    </row>
    <row r="28" spans="1:41" ht="12.75">
      <c r="A28" s="1">
        <v>21</v>
      </c>
      <c r="B28" s="1">
        <f ca="1">'Map 1'!B39</f>
        <v>1</v>
      </c>
      <c r="C28" s="1">
        <f ca="1">'Map 1'!C39</f>
        <v>1</v>
      </c>
      <c r="D28" s="1">
        <f ca="1">'Map 1'!D39</f>
        <v>1</v>
      </c>
      <c r="E28" s="1">
        <f ca="1">'Map 1'!E39</f>
        <v>1</v>
      </c>
      <c r="F28" s="1">
        <f ca="1">'Map 1'!F39</f>
        <v>3</v>
      </c>
      <c r="G28" s="1">
        <f ca="1">'Map 1'!G39</f>
        <v>2</v>
      </c>
      <c r="H28" s="1">
        <f ca="1">'Map 1'!H39</f>
        <v>3</v>
      </c>
      <c r="I28" s="1">
        <f ca="1">'Map 1'!I39</f>
        <v>3</v>
      </c>
      <c r="J28" s="1">
        <f ca="1">'Map 1'!J39</f>
        <v>3</v>
      </c>
      <c r="K28" s="1">
        <f ca="1">'Map 1'!K39</f>
        <v>7</v>
      </c>
      <c r="L28" s="1">
        <f ca="1">'Map 1'!L39</f>
        <v>7</v>
      </c>
      <c r="M28" s="1">
        <f ca="1">'Map 1'!M39</f>
        <v>7</v>
      </c>
      <c r="N28" s="1">
        <f ca="1">'Map 1'!N39</f>
        <v>7</v>
      </c>
      <c r="O28" s="1">
        <f ca="1">'Map 1'!O39</f>
        <v>7</v>
      </c>
      <c r="P28" s="1">
        <f ca="1">'Map 1'!P39</f>
        <v>7</v>
      </c>
      <c r="Q28" s="1">
        <f ca="1">'Map 1'!Q39</f>
        <v>7</v>
      </c>
      <c r="R28" s="1">
        <f ca="1">'Map 1'!R39</f>
        <v>7</v>
      </c>
      <c r="S28" s="1">
        <f ca="1">'Map 1'!S39</f>
        <v>7</v>
      </c>
      <c r="T28" s="1">
        <f ca="1">'Map 1'!T39</f>
        <v>3</v>
      </c>
      <c r="U28" s="1">
        <f ca="1">'Map 1'!U39</f>
        <v>7</v>
      </c>
      <c r="V28" s="1">
        <f ca="1">'Map 1'!V39</f>
        <v>7</v>
      </c>
      <c r="W28" s="1">
        <f ca="1">'Map 1'!W39</f>
        <v>7</v>
      </c>
      <c r="X28" s="1">
        <f ca="1">'Map 1'!X39</f>
        <v>7</v>
      </c>
      <c r="Y28" s="1">
        <f ca="1">'Map 1'!Y39</f>
        <v>7</v>
      </c>
      <c r="Z28" s="1">
        <f ca="1">'Map 1'!Z39</f>
        <v>7</v>
      </c>
      <c r="AA28" s="1">
        <f ca="1">'Map 1'!AA39</f>
        <v>8</v>
      </c>
      <c r="AB28" s="1">
        <f ca="1">'Map 1'!AB39</f>
        <v>8</v>
      </c>
      <c r="AC28" s="1">
        <f ca="1">'Map 1'!AC39</f>
        <v>8</v>
      </c>
      <c r="AD28" s="1">
        <f ca="1">'Map 1'!AD39</f>
        <v>8</v>
      </c>
      <c r="AE28" s="1">
        <f ca="1">'Map 1'!AE39</f>
        <v>8</v>
      </c>
      <c r="AF28" s="1">
        <f ca="1">'Map 1'!AF39</f>
        <v>7</v>
      </c>
      <c r="AG28" s="1">
        <f ca="1">'Map 1'!AG39</f>
        <v>7</v>
      </c>
      <c r="AH28" s="1">
        <f ca="1">'Map 1'!AH39</f>
        <v>7</v>
      </c>
      <c r="AI28" s="1">
        <f ca="1">'Map 1'!AI39</f>
        <v>7</v>
      </c>
      <c r="AJ28" s="1">
        <f ca="1">'Map 1'!AJ39</f>
        <v>7</v>
      </c>
      <c r="AK28" s="1">
        <f ca="1">'Map 1'!AK39</f>
        <v>7</v>
      </c>
      <c r="AL28" s="1">
        <f ca="1">'Map 1'!AL39</f>
        <v>8</v>
      </c>
      <c r="AM28" s="1">
        <f ca="1">'Map 1'!AM39</f>
        <v>8</v>
      </c>
      <c r="AN28" s="1">
        <f ca="1">'Map 1'!AN39</f>
        <v>8</v>
      </c>
      <c r="AO28" s="1">
        <f ca="1">'Map 1'!AO39</f>
        <v>8</v>
      </c>
    </row>
    <row r="29" spans="1:41" ht="12.75">
      <c r="A29" s="1">
        <v>22</v>
      </c>
      <c r="B29" s="1">
        <f ca="1">'Map 1'!B40</f>
        <v>1</v>
      </c>
      <c r="C29" s="1">
        <f ca="1">'Map 1'!C40</f>
        <v>1</v>
      </c>
      <c r="D29" s="1">
        <f ca="1">'Map 1'!D40</f>
        <v>1</v>
      </c>
      <c r="E29" s="1">
        <f ca="1">'Map 1'!E40</f>
        <v>1</v>
      </c>
      <c r="F29" s="1">
        <f ca="1">'Map 1'!F40</f>
        <v>1</v>
      </c>
      <c r="G29" s="1">
        <f ca="1">'Map 1'!G40</f>
        <v>3</v>
      </c>
      <c r="H29" s="1">
        <f ca="1">'Map 1'!H40</f>
        <v>3</v>
      </c>
      <c r="I29" s="1">
        <f ca="1">'Map 1'!I40</f>
        <v>3</v>
      </c>
      <c r="J29" s="1">
        <f ca="1">'Map 1'!J40</f>
        <v>3</v>
      </c>
      <c r="K29" s="1">
        <f ca="1">'Map 1'!K40</f>
        <v>7</v>
      </c>
      <c r="L29" s="1">
        <f ca="1">'Map 1'!L40</f>
        <v>7</v>
      </c>
      <c r="M29" s="1">
        <f ca="1">'Map 1'!M40</f>
        <v>7</v>
      </c>
      <c r="N29" s="1">
        <f ca="1">'Map 1'!N40</f>
        <v>7</v>
      </c>
      <c r="O29" s="1">
        <f ca="1">'Map 1'!O40</f>
        <v>7</v>
      </c>
      <c r="P29" s="1">
        <f ca="1">'Map 1'!P40</f>
        <v>7</v>
      </c>
      <c r="Q29" s="1">
        <f ca="1">'Map 1'!Q40</f>
        <v>7</v>
      </c>
      <c r="R29" s="1">
        <f ca="1">'Map 1'!R40</f>
        <v>7</v>
      </c>
      <c r="S29" s="1">
        <f ca="1">'Map 1'!S40</f>
        <v>7</v>
      </c>
      <c r="T29" s="1">
        <f ca="1">'Map 1'!T40</f>
        <v>7</v>
      </c>
      <c r="U29" s="1">
        <f ca="1">'Map 1'!U40</f>
        <v>7</v>
      </c>
      <c r="V29" s="1">
        <f ca="1">'Map 1'!V40</f>
        <v>7</v>
      </c>
      <c r="W29" s="1">
        <f ca="1">'Map 1'!W40</f>
        <v>7</v>
      </c>
      <c r="X29" s="1">
        <f ca="1">'Map 1'!X40</f>
        <v>7</v>
      </c>
      <c r="Y29" s="1">
        <f ca="1">'Map 1'!Y40</f>
        <v>7</v>
      </c>
      <c r="Z29" s="1">
        <f ca="1">'Map 1'!Z40</f>
        <v>7</v>
      </c>
      <c r="AA29" s="1">
        <f ca="1">'Map 1'!AA40</f>
        <v>7</v>
      </c>
      <c r="AB29" s="1">
        <f ca="1">'Map 1'!AB40</f>
        <v>8</v>
      </c>
      <c r="AC29" s="1">
        <f ca="1">'Map 1'!AC40</f>
        <v>8</v>
      </c>
      <c r="AD29" s="1">
        <f ca="1">'Map 1'!AD40</f>
        <v>8</v>
      </c>
      <c r="AE29" s="1">
        <f ca="1">'Map 1'!AE40</f>
        <v>8</v>
      </c>
      <c r="AF29" s="1">
        <f ca="1">'Map 1'!AF40</f>
        <v>8</v>
      </c>
      <c r="AG29" s="1">
        <f ca="1">'Map 1'!AG40</f>
        <v>7</v>
      </c>
      <c r="AH29" s="1">
        <f ca="1">'Map 1'!AH40</f>
        <v>7</v>
      </c>
      <c r="AI29" s="1">
        <f ca="1">'Map 1'!AI40</f>
        <v>7</v>
      </c>
      <c r="AJ29" s="1">
        <f ca="1">'Map 1'!AJ40</f>
        <v>8</v>
      </c>
      <c r="AK29" s="1">
        <f ca="1">'Map 1'!AK40</f>
        <v>8</v>
      </c>
      <c r="AL29" s="1">
        <f ca="1">'Map 1'!AL40</f>
        <v>8</v>
      </c>
      <c r="AM29" s="1">
        <f ca="1">'Map 1'!AM40</f>
        <v>8</v>
      </c>
      <c r="AN29" s="1">
        <f ca="1">'Map 1'!AN40</f>
        <v>8</v>
      </c>
      <c r="AO29" s="1">
        <f ca="1">'Map 1'!AO40</f>
        <v>8</v>
      </c>
    </row>
    <row r="30" spans="1:41" ht="12.75">
      <c r="A30" s="1">
        <v>23</v>
      </c>
      <c r="B30" s="1">
        <f ca="1">'Map 1'!B41</f>
        <v>8</v>
      </c>
      <c r="C30" s="1">
        <f ca="1">'Map 1'!C41</f>
        <v>1</v>
      </c>
      <c r="D30" s="1">
        <f ca="1">'Map 1'!D41</f>
        <v>1</v>
      </c>
      <c r="E30" s="1">
        <f ca="1">'Map 1'!E41</f>
        <v>1</v>
      </c>
      <c r="F30" s="1">
        <f ca="1">'Map 1'!F41</f>
        <v>1</v>
      </c>
      <c r="G30" s="1">
        <f ca="1">'Map 1'!G41</f>
        <v>3</v>
      </c>
      <c r="H30" s="1">
        <f ca="1">'Map 1'!H41</f>
        <v>3</v>
      </c>
      <c r="I30" s="1">
        <f ca="1">'Map 1'!I41</f>
        <v>3</v>
      </c>
      <c r="J30" s="1">
        <f ca="1">'Map 1'!J41</f>
        <v>7</v>
      </c>
      <c r="K30" s="1">
        <f ca="1">'Map 1'!K41</f>
        <v>7</v>
      </c>
      <c r="L30" s="1">
        <f ca="1">'Map 1'!L41</f>
        <v>7</v>
      </c>
      <c r="M30" s="1">
        <f ca="1">'Map 1'!M41</f>
        <v>7</v>
      </c>
      <c r="N30" s="1">
        <f ca="1">'Map 1'!N41</f>
        <v>7</v>
      </c>
      <c r="O30" s="1">
        <f ca="1">'Map 1'!O41</f>
        <v>7</v>
      </c>
      <c r="P30" s="1">
        <f ca="1">'Map 1'!P41</f>
        <v>7</v>
      </c>
      <c r="Q30" s="1">
        <f ca="1">'Map 1'!Q41</f>
        <v>7</v>
      </c>
      <c r="R30" s="1">
        <f ca="1">'Map 1'!R41</f>
        <v>7</v>
      </c>
      <c r="S30" s="1">
        <f ca="1">'Map 1'!S41</f>
        <v>7</v>
      </c>
      <c r="T30" s="1">
        <f ca="1">'Map 1'!T41</f>
        <v>7</v>
      </c>
      <c r="U30" s="1">
        <f ca="1">'Map 1'!U41</f>
        <v>7</v>
      </c>
      <c r="V30" s="1">
        <f ca="1">'Map 1'!V41</f>
        <v>7</v>
      </c>
      <c r="W30" s="1">
        <f ca="1">'Map 1'!W41</f>
        <v>7</v>
      </c>
      <c r="X30" s="1">
        <f ca="1">'Map 1'!X41</f>
        <v>7</v>
      </c>
      <c r="Y30" s="1">
        <f ca="1">'Map 1'!Y41</f>
        <v>7</v>
      </c>
      <c r="Z30" s="1">
        <f ca="1">'Map 1'!Z41</f>
        <v>8</v>
      </c>
      <c r="AA30" s="1">
        <f ca="1">'Map 1'!AA41</f>
        <v>8</v>
      </c>
      <c r="AB30" s="1">
        <f ca="1">'Map 1'!AB41</f>
        <v>8</v>
      </c>
      <c r="AC30" s="1">
        <f ca="1">'Map 1'!AC41</f>
        <v>8</v>
      </c>
      <c r="AD30" s="1">
        <f ca="1">'Map 1'!AD41</f>
        <v>8</v>
      </c>
      <c r="AE30" s="1">
        <f ca="1">'Map 1'!AE41</f>
        <v>7</v>
      </c>
      <c r="AF30" s="1">
        <f ca="1">'Map 1'!AF41</f>
        <v>8</v>
      </c>
      <c r="AG30" s="1">
        <f ca="1">'Map 1'!AG41</f>
        <v>7</v>
      </c>
      <c r="AH30" s="1">
        <f ca="1">'Map 1'!AH41</f>
        <v>7</v>
      </c>
      <c r="AI30" s="1">
        <f ca="1">'Map 1'!AI41</f>
        <v>7</v>
      </c>
      <c r="AJ30" s="1">
        <f ca="1">'Map 1'!AJ41</f>
        <v>7</v>
      </c>
      <c r="AK30" s="1">
        <f ca="1">'Map 1'!AK41</f>
        <v>7</v>
      </c>
      <c r="AL30" s="1">
        <f ca="1">'Map 1'!AL41</f>
        <v>8</v>
      </c>
      <c r="AM30" s="1">
        <f ca="1">'Map 1'!AM41</f>
        <v>8</v>
      </c>
      <c r="AN30" s="1">
        <f ca="1">'Map 1'!AN41</f>
        <v>8</v>
      </c>
      <c r="AO30" s="1">
        <f ca="1">'Map 1'!AO41</f>
        <v>8</v>
      </c>
    </row>
    <row r="31" spans="1:41" ht="12.75">
      <c r="A31" s="1">
        <v>24</v>
      </c>
      <c r="B31" s="1">
        <f ca="1">'Map 1'!B42</f>
        <v>5</v>
      </c>
      <c r="C31" s="1">
        <f ca="1">'Map 1'!C42</f>
        <v>1</v>
      </c>
      <c r="D31" s="1">
        <f ca="1">'Map 1'!D42</f>
        <v>5</v>
      </c>
      <c r="E31" s="1">
        <f ca="1">'Map 1'!E42</f>
        <v>1</v>
      </c>
      <c r="F31" s="1">
        <f ca="1">'Map 1'!F42</f>
        <v>5</v>
      </c>
      <c r="G31" s="1">
        <f ca="1">'Map 1'!G42</f>
        <v>1</v>
      </c>
      <c r="H31" s="1">
        <f ca="1">'Map 1'!H42</f>
        <v>3</v>
      </c>
      <c r="I31" s="1">
        <f ca="1">'Map 1'!I42</f>
        <v>7</v>
      </c>
      <c r="J31" s="1">
        <f ca="1">'Map 1'!J42</f>
        <v>7</v>
      </c>
      <c r="K31" s="1">
        <f ca="1">'Map 1'!K42</f>
        <v>7</v>
      </c>
      <c r="L31" s="1">
        <f ca="1">'Map 1'!L42</f>
        <v>7</v>
      </c>
      <c r="M31" s="1">
        <f ca="1">'Map 1'!M42</f>
        <v>7</v>
      </c>
      <c r="N31" s="1">
        <f ca="1">'Map 1'!N42</f>
        <v>7</v>
      </c>
      <c r="O31" s="1">
        <f ca="1">'Map 1'!O42</f>
        <v>7</v>
      </c>
      <c r="P31" s="1">
        <f ca="1">'Map 1'!P42</f>
        <v>7</v>
      </c>
      <c r="Q31" s="1">
        <f ca="1">'Map 1'!Q42</f>
        <v>7</v>
      </c>
      <c r="R31" s="1">
        <f ca="1">'Map 1'!R42</f>
        <v>7</v>
      </c>
      <c r="S31" s="1">
        <f ca="1">'Map 1'!S42</f>
        <v>7</v>
      </c>
      <c r="T31" s="1">
        <f ca="1">'Map 1'!T42</f>
        <v>7</v>
      </c>
      <c r="U31" s="1">
        <f ca="1">'Map 1'!U42</f>
        <v>7</v>
      </c>
      <c r="V31" s="1">
        <f ca="1">'Map 1'!V42</f>
        <v>7</v>
      </c>
      <c r="W31" s="1">
        <f ca="1">'Map 1'!W42</f>
        <v>7</v>
      </c>
      <c r="X31" s="1">
        <f ca="1">'Map 1'!X42</f>
        <v>7</v>
      </c>
      <c r="Y31" s="1">
        <f ca="1">'Map 1'!Y42</f>
        <v>7</v>
      </c>
      <c r="Z31" s="1">
        <f ca="1">'Map 1'!Z42</f>
        <v>8</v>
      </c>
      <c r="AA31" s="1">
        <f ca="1">'Map 1'!AA42</f>
        <v>8</v>
      </c>
      <c r="AB31" s="1">
        <f ca="1">'Map 1'!AB42</f>
        <v>8</v>
      </c>
      <c r="AC31" s="1">
        <f ca="1">'Map 1'!AC42</f>
        <v>8</v>
      </c>
      <c r="AD31" s="1">
        <f ca="1">'Map 1'!AD42</f>
        <v>8</v>
      </c>
      <c r="AE31" s="1">
        <f ca="1">'Map 1'!AE42</f>
        <v>7</v>
      </c>
      <c r="AF31" s="1">
        <f ca="1">'Map 1'!AF42</f>
        <v>7</v>
      </c>
      <c r="AG31" s="1">
        <f ca="1">'Map 1'!AG42</f>
        <v>7</v>
      </c>
      <c r="AH31" s="1">
        <f ca="1">'Map 1'!AH42</f>
        <v>7</v>
      </c>
      <c r="AI31" s="1">
        <f ca="1">'Map 1'!AI42</f>
        <v>7</v>
      </c>
      <c r="AJ31" s="1">
        <f ca="1">'Map 1'!AJ42</f>
        <v>8</v>
      </c>
      <c r="AK31" s="1">
        <f ca="1">'Map 1'!AK42</f>
        <v>8</v>
      </c>
      <c r="AL31" s="1">
        <f ca="1">'Map 1'!AL42</f>
        <v>8</v>
      </c>
      <c r="AM31" s="1">
        <f ca="1">'Map 1'!AM42</f>
        <v>8</v>
      </c>
      <c r="AN31" s="1">
        <f ca="1">'Map 1'!AN42</f>
        <v>8</v>
      </c>
      <c r="AO31" s="1">
        <f ca="1">'Map 1'!AO42</f>
        <v>5</v>
      </c>
    </row>
    <row r="32" spans="1:41" ht="12.75">
      <c r="A32" s="1">
        <v>25</v>
      </c>
      <c r="B32" s="1">
        <f ca="1">'Map 1'!B43</f>
        <v>5</v>
      </c>
      <c r="C32" s="1">
        <f ca="1">'Map 1'!C43</f>
        <v>5</v>
      </c>
      <c r="D32" s="1">
        <f ca="1">'Map 1'!D43</f>
        <v>1</v>
      </c>
      <c r="E32" s="1">
        <f ca="1">'Map 1'!E43</f>
        <v>1</v>
      </c>
      <c r="F32" s="1">
        <f ca="1">'Map 1'!F43</f>
        <v>1</v>
      </c>
      <c r="G32" s="1">
        <f ca="1">'Map 1'!G43</f>
        <v>3</v>
      </c>
      <c r="H32" s="1">
        <f ca="1">'Map 1'!H43</f>
        <v>3</v>
      </c>
      <c r="I32" s="1">
        <f ca="1">'Map 1'!I43</f>
        <v>3</v>
      </c>
      <c r="J32" s="1">
        <f ca="1">'Map 1'!J43</f>
        <v>3</v>
      </c>
      <c r="K32" s="1">
        <f ca="1">'Map 1'!K43</f>
        <v>7</v>
      </c>
      <c r="L32" s="1">
        <f ca="1">'Map 1'!L43</f>
        <v>6</v>
      </c>
      <c r="M32" s="1">
        <f ca="1">'Map 1'!M43</f>
        <v>6</v>
      </c>
      <c r="N32" s="1">
        <f ca="1">'Map 1'!N43</f>
        <v>7</v>
      </c>
      <c r="O32" s="1">
        <f ca="1">'Map 1'!O43</f>
        <v>7</v>
      </c>
      <c r="P32" s="1">
        <f ca="1">'Map 1'!P43</f>
        <v>7</v>
      </c>
      <c r="Q32" s="1">
        <f ca="1">'Map 1'!Q43</f>
        <v>7</v>
      </c>
      <c r="R32" s="1">
        <f ca="1">'Map 1'!R43</f>
        <v>8</v>
      </c>
      <c r="S32" s="1">
        <f ca="1">'Map 1'!S43</f>
        <v>7</v>
      </c>
      <c r="T32" s="1">
        <f ca="1">'Map 1'!T43</f>
        <v>7</v>
      </c>
      <c r="U32" s="1">
        <f ca="1">'Map 1'!U43</f>
        <v>7</v>
      </c>
      <c r="V32" s="1">
        <f ca="1">'Map 1'!V43</f>
        <v>7</v>
      </c>
      <c r="W32" s="1">
        <f ca="1">'Map 1'!W43</f>
        <v>7</v>
      </c>
      <c r="X32" s="1">
        <f ca="1">'Map 1'!X43</f>
        <v>7</v>
      </c>
      <c r="Y32" s="1">
        <f ca="1">'Map 1'!Y43</f>
        <v>7</v>
      </c>
      <c r="Z32" s="1">
        <f ca="1">'Map 1'!Z43</f>
        <v>7</v>
      </c>
      <c r="AA32" s="1">
        <f ca="1">'Map 1'!AA43</f>
        <v>8</v>
      </c>
      <c r="AB32" s="1">
        <f ca="1">'Map 1'!AB43</f>
        <v>8</v>
      </c>
      <c r="AC32" s="1">
        <f ca="1">'Map 1'!AC43</f>
        <v>8</v>
      </c>
      <c r="AD32" s="1">
        <f ca="1">'Map 1'!AD43</f>
        <v>8</v>
      </c>
      <c r="AE32" s="1">
        <f ca="1">'Map 1'!AE43</f>
        <v>7</v>
      </c>
      <c r="AF32" s="1">
        <f ca="1">'Map 1'!AF43</f>
        <v>7</v>
      </c>
      <c r="AG32" s="1">
        <f ca="1">'Map 1'!AG43</f>
        <v>8</v>
      </c>
      <c r="AH32" s="1">
        <f ca="1">'Map 1'!AH43</f>
        <v>7</v>
      </c>
      <c r="AI32" s="1">
        <f ca="1">'Map 1'!AI43</f>
        <v>8</v>
      </c>
      <c r="AJ32" s="1">
        <f ca="1">'Map 1'!AJ43</f>
        <v>8</v>
      </c>
      <c r="AK32" s="1">
        <f ca="1">'Map 1'!AK43</f>
        <v>8</v>
      </c>
      <c r="AL32" s="1">
        <f ca="1">'Map 1'!AL43</f>
        <v>7</v>
      </c>
      <c r="AM32" s="1">
        <f ca="1">'Map 1'!AM43</f>
        <v>7</v>
      </c>
      <c r="AN32" s="1">
        <f ca="1">'Map 1'!AN43</f>
        <v>8</v>
      </c>
      <c r="AO32" s="1">
        <f ca="1">'Map 1'!AO43</f>
        <v>8</v>
      </c>
    </row>
    <row r="33" spans="1:41" ht="12.75">
      <c r="A33" s="1">
        <v>26</v>
      </c>
      <c r="B33" s="1">
        <f ca="1">'Map 1'!B44</f>
        <v>7</v>
      </c>
      <c r="C33" s="1">
        <f ca="1">'Map 1'!C44</f>
        <v>6</v>
      </c>
      <c r="D33" s="1">
        <f ca="1">'Map 1'!D44</f>
        <v>5</v>
      </c>
      <c r="E33" s="1">
        <f ca="1">'Map 1'!E44</f>
        <v>6</v>
      </c>
      <c r="F33" s="1">
        <f ca="1">'Map 1'!F44</f>
        <v>3</v>
      </c>
      <c r="G33" s="1">
        <f ca="1">'Map 1'!G44</f>
        <v>2</v>
      </c>
      <c r="H33" s="1">
        <f ca="1">'Map 1'!H44</f>
        <v>3</v>
      </c>
      <c r="I33" s="1">
        <f ca="1">'Map 1'!I44</f>
        <v>3</v>
      </c>
      <c r="J33" s="1">
        <f ca="1">'Map 1'!J44</f>
        <v>3</v>
      </c>
      <c r="K33" s="1">
        <f ca="1">'Map 1'!K44</f>
        <v>7</v>
      </c>
      <c r="L33" s="1">
        <f ca="1">'Map 1'!L44</f>
        <v>7</v>
      </c>
      <c r="M33" s="1">
        <f ca="1">'Map 1'!M44</f>
        <v>6</v>
      </c>
      <c r="N33" s="1">
        <f ca="1">'Map 1'!N44</f>
        <v>7</v>
      </c>
      <c r="O33" s="1">
        <f ca="1">'Map 1'!O44</f>
        <v>6</v>
      </c>
      <c r="P33" s="1">
        <f ca="1">'Map 1'!P44</f>
        <v>6</v>
      </c>
      <c r="Q33" s="1">
        <f ca="1">'Map 1'!Q44</f>
        <v>8</v>
      </c>
      <c r="R33" s="1">
        <f ca="1">'Map 1'!R44</f>
        <v>7</v>
      </c>
      <c r="S33" s="1">
        <f ca="1">'Map 1'!S44</f>
        <v>7</v>
      </c>
      <c r="T33" s="1">
        <f ca="1">'Map 1'!T44</f>
        <v>7</v>
      </c>
      <c r="U33" s="1">
        <f ca="1">'Map 1'!U44</f>
        <v>7</v>
      </c>
      <c r="V33" s="1">
        <f ca="1">'Map 1'!V44</f>
        <v>7</v>
      </c>
      <c r="W33" s="1">
        <f ca="1">'Map 1'!W44</f>
        <v>7</v>
      </c>
      <c r="X33" s="1">
        <f ca="1">'Map 1'!X44</f>
        <v>7</v>
      </c>
      <c r="Y33" s="1">
        <f ca="1">'Map 1'!Y44</f>
        <v>7</v>
      </c>
      <c r="Z33" s="1">
        <f ca="1">'Map 1'!Z44</f>
        <v>8</v>
      </c>
      <c r="AA33" s="1">
        <f ca="1">'Map 1'!AA44</f>
        <v>7</v>
      </c>
      <c r="AB33" s="1">
        <f ca="1">'Map 1'!AB44</f>
        <v>7</v>
      </c>
      <c r="AC33" s="1">
        <f ca="1">'Map 1'!AC44</f>
        <v>7</v>
      </c>
      <c r="AD33" s="1">
        <f ca="1">'Map 1'!AD44</f>
        <v>7</v>
      </c>
      <c r="AE33" s="1">
        <f ca="1">'Map 1'!AE44</f>
        <v>7</v>
      </c>
      <c r="AF33" s="1">
        <f ca="1">'Map 1'!AF44</f>
        <v>8</v>
      </c>
      <c r="AG33" s="1">
        <f ca="1">'Map 1'!AG44</f>
        <v>7</v>
      </c>
      <c r="AH33" s="1">
        <f ca="1">'Map 1'!AH44</f>
        <v>8</v>
      </c>
      <c r="AI33" s="1">
        <f ca="1">'Map 1'!AI44</f>
        <v>8</v>
      </c>
      <c r="AJ33" s="1">
        <f ca="1">'Map 1'!AJ44</f>
        <v>8</v>
      </c>
      <c r="AK33" s="1">
        <f ca="1">'Map 1'!AK44</f>
        <v>8</v>
      </c>
      <c r="AL33" s="1">
        <f ca="1">'Map 1'!AL44</f>
        <v>7</v>
      </c>
      <c r="AM33" s="1">
        <f ca="1">'Map 1'!AM44</f>
        <v>7</v>
      </c>
      <c r="AN33" s="1">
        <f ca="1">'Map 1'!AN44</f>
        <v>8</v>
      </c>
      <c r="AO33" s="1">
        <f ca="1">'Map 1'!AO44</f>
        <v>7</v>
      </c>
    </row>
    <row r="34" spans="1:41" ht="12.75">
      <c r="A34" s="1">
        <v>27</v>
      </c>
      <c r="B34" s="1">
        <f ca="1">'Map 1'!B45</f>
        <v>6</v>
      </c>
      <c r="C34" s="1">
        <f ca="1">'Map 1'!C45</f>
        <v>6</v>
      </c>
      <c r="D34" s="1">
        <f ca="1">'Map 1'!D45</f>
        <v>6</v>
      </c>
      <c r="E34" s="1">
        <f ca="1">'Map 1'!E45</f>
        <v>6</v>
      </c>
      <c r="F34" s="1">
        <f ca="1">'Map 1'!F45</f>
        <v>2</v>
      </c>
      <c r="G34" s="1">
        <f ca="1">'Map 1'!G45</f>
        <v>2</v>
      </c>
      <c r="H34" s="1">
        <f ca="1">'Map 1'!H45</f>
        <v>3</v>
      </c>
      <c r="I34" s="1">
        <f ca="1">'Map 1'!I45</f>
        <v>7</v>
      </c>
      <c r="J34" s="1">
        <f ca="1">'Map 1'!J45</f>
        <v>7</v>
      </c>
      <c r="K34" s="1">
        <f ca="1">'Map 1'!K45</f>
        <v>7</v>
      </c>
      <c r="L34" s="1">
        <f ca="1">'Map 1'!L45</f>
        <v>6</v>
      </c>
      <c r="M34" s="1">
        <f ca="1">'Map 1'!M45</f>
        <v>6</v>
      </c>
      <c r="N34" s="1">
        <f ca="1">'Map 1'!N45</f>
        <v>6</v>
      </c>
      <c r="O34" s="1">
        <f ca="1">'Map 1'!O45</f>
        <v>6</v>
      </c>
      <c r="P34" s="1">
        <f ca="1">'Map 1'!P45</f>
        <v>6</v>
      </c>
      <c r="Q34" s="1">
        <f ca="1">'Map 1'!Q45</f>
        <v>8</v>
      </c>
      <c r="R34" s="1">
        <f ca="1">'Map 1'!R45</f>
        <v>8</v>
      </c>
      <c r="S34" s="1">
        <f ca="1">'Map 1'!S45</f>
        <v>8</v>
      </c>
      <c r="T34" s="1">
        <f ca="1">'Map 1'!T45</f>
        <v>8</v>
      </c>
      <c r="U34" s="1">
        <f ca="1">'Map 1'!U45</f>
        <v>7</v>
      </c>
      <c r="V34" s="1">
        <f ca="1">'Map 1'!V45</f>
        <v>8</v>
      </c>
      <c r="W34" s="1">
        <f ca="1">'Map 1'!W45</f>
        <v>7</v>
      </c>
      <c r="X34" s="1">
        <f ca="1">'Map 1'!X45</f>
        <v>7</v>
      </c>
      <c r="Y34" s="1">
        <f ca="1">'Map 1'!Y45</f>
        <v>7</v>
      </c>
      <c r="Z34" s="1">
        <f ca="1">'Map 1'!Z45</f>
        <v>7</v>
      </c>
      <c r="AA34" s="1">
        <f ca="1">'Map 1'!AA45</f>
        <v>7</v>
      </c>
      <c r="AB34" s="1">
        <f ca="1">'Map 1'!AB45</f>
        <v>7</v>
      </c>
      <c r="AC34" s="1">
        <f ca="1">'Map 1'!AC45</f>
        <v>7</v>
      </c>
      <c r="AD34" s="1">
        <f ca="1">'Map 1'!AD45</f>
        <v>7</v>
      </c>
      <c r="AE34" s="1">
        <f ca="1">'Map 1'!AE45</f>
        <v>7</v>
      </c>
      <c r="AF34" s="1">
        <f ca="1">'Map 1'!AF45</f>
        <v>8</v>
      </c>
      <c r="AG34" s="1">
        <f ca="1">'Map 1'!AG45</f>
        <v>8</v>
      </c>
      <c r="AH34" s="1">
        <f ca="1">'Map 1'!AH45</f>
        <v>8</v>
      </c>
      <c r="AI34" s="1">
        <f ca="1">'Map 1'!AI45</f>
        <v>8</v>
      </c>
      <c r="AJ34" s="1">
        <f ca="1">'Map 1'!AJ45</f>
        <v>8</v>
      </c>
      <c r="AK34" s="1">
        <f ca="1">'Map 1'!AK45</f>
        <v>8</v>
      </c>
      <c r="AL34" s="1">
        <f ca="1">'Map 1'!AL45</f>
        <v>7</v>
      </c>
      <c r="AM34" s="1">
        <f ca="1">'Map 1'!AM45</f>
        <v>7</v>
      </c>
      <c r="AN34" s="1">
        <f ca="1">'Map 1'!AN45</f>
        <v>7</v>
      </c>
      <c r="AO34" s="1">
        <f ca="1">'Map 1'!AO45</f>
        <v>7</v>
      </c>
    </row>
    <row r="35" spans="1:41" ht="12.75">
      <c r="A35" s="1">
        <v>28</v>
      </c>
      <c r="B35" s="1">
        <f ca="1">'Map 1'!B46</f>
        <v>2</v>
      </c>
      <c r="C35" s="1">
        <f ca="1">'Map 1'!C46</f>
        <v>6</v>
      </c>
      <c r="D35" s="1">
        <f ca="1">'Map 1'!D46</f>
        <v>6</v>
      </c>
      <c r="E35" s="1">
        <f ca="1">'Map 1'!E46</f>
        <v>6</v>
      </c>
      <c r="F35" s="1">
        <f ca="1">'Map 1'!F46</f>
        <v>2</v>
      </c>
      <c r="G35" s="1">
        <f ca="1">'Map 1'!G46</f>
        <v>2</v>
      </c>
      <c r="H35" s="1">
        <f ca="1">'Map 1'!H46</f>
        <v>3</v>
      </c>
      <c r="I35" s="1">
        <f ca="1">'Map 1'!I46</f>
        <v>3</v>
      </c>
      <c r="J35" s="1">
        <f ca="1">'Map 1'!J46</f>
        <v>7</v>
      </c>
      <c r="K35" s="1">
        <f ca="1">'Map 1'!K46</f>
        <v>7</v>
      </c>
      <c r="L35" s="1">
        <f ca="1">'Map 1'!L46</f>
        <v>7</v>
      </c>
      <c r="M35" s="1">
        <f ca="1">'Map 1'!M46</f>
        <v>6</v>
      </c>
      <c r="N35" s="1">
        <f ca="1">'Map 1'!N46</f>
        <v>6</v>
      </c>
      <c r="O35" s="1">
        <f ca="1">'Map 1'!O46</f>
        <v>6</v>
      </c>
      <c r="P35" s="1">
        <f ca="1">'Map 1'!P46</f>
        <v>6</v>
      </c>
      <c r="Q35" s="1">
        <f ca="1">'Map 1'!Q46</f>
        <v>6</v>
      </c>
      <c r="R35" s="1">
        <f ca="1">'Map 1'!R46</f>
        <v>8</v>
      </c>
      <c r="S35" s="1">
        <f ca="1">'Map 1'!S46</f>
        <v>8</v>
      </c>
      <c r="T35" s="1">
        <f ca="1">'Map 1'!T46</f>
        <v>8</v>
      </c>
      <c r="U35" s="1">
        <f ca="1">'Map 1'!U46</f>
        <v>8</v>
      </c>
      <c r="V35" s="1">
        <f ca="1">'Map 1'!V46</f>
        <v>7</v>
      </c>
      <c r="W35" s="1">
        <f ca="1">'Map 1'!W46</f>
        <v>7</v>
      </c>
      <c r="X35" s="1">
        <f ca="1">'Map 1'!X46</f>
        <v>7</v>
      </c>
      <c r="Y35" s="1">
        <f ca="1">'Map 1'!Y46</f>
        <v>7</v>
      </c>
      <c r="Z35" s="1">
        <f ca="1">'Map 1'!Z46</f>
        <v>7</v>
      </c>
      <c r="AA35" s="1">
        <f ca="1">'Map 1'!AA46</f>
        <v>7</v>
      </c>
      <c r="AB35" s="1">
        <f ca="1">'Map 1'!AB46</f>
        <v>7</v>
      </c>
      <c r="AC35" s="1">
        <f ca="1">'Map 1'!AC46</f>
        <v>7</v>
      </c>
      <c r="AD35" s="1">
        <f ca="1">'Map 1'!AD46</f>
        <v>7</v>
      </c>
      <c r="AE35" s="1">
        <f ca="1">'Map 1'!AE46</f>
        <v>8</v>
      </c>
      <c r="AF35" s="1">
        <f ca="1">'Map 1'!AF46</f>
        <v>8</v>
      </c>
      <c r="AG35" s="1">
        <f ca="1">'Map 1'!AG46</f>
        <v>8</v>
      </c>
      <c r="AH35" s="1">
        <f ca="1">'Map 1'!AH46</f>
        <v>8</v>
      </c>
      <c r="AI35" s="1">
        <f ca="1">'Map 1'!AI46</f>
        <v>8</v>
      </c>
      <c r="AJ35" s="1">
        <f ca="1">'Map 1'!AJ46</f>
        <v>7</v>
      </c>
      <c r="AK35" s="1">
        <f ca="1">'Map 1'!AK46</f>
        <v>8</v>
      </c>
      <c r="AL35" s="1">
        <f ca="1">'Map 1'!AL46</f>
        <v>7</v>
      </c>
      <c r="AM35" s="1">
        <f ca="1">'Map 1'!AM46</f>
        <v>7</v>
      </c>
      <c r="AN35" s="1">
        <f ca="1">'Map 1'!AN46</f>
        <v>7</v>
      </c>
      <c r="AO35" s="1">
        <f ca="1">'Map 1'!AO46</f>
        <v>7</v>
      </c>
    </row>
    <row r="36" spans="1:41" ht="12.75">
      <c r="A36" s="1">
        <v>29</v>
      </c>
      <c r="B36" s="1">
        <f ca="1">'Map 1'!B47</f>
        <v>7</v>
      </c>
      <c r="C36" s="1">
        <f ca="1">'Map 1'!C47</f>
        <v>6</v>
      </c>
      <c r="D36" s="1">
        <f ca="1">'Map 1'!D47</f>
        <v>2</v>
      </c>
      <c r="E36" s="1">
        <f ca="1">'Map 1'!E47</f>
        <v>2</v>
      </c>
      <c r="F36" s="1">
        <f ca="1">'Map 1'!F47</f>
        <v>2</v>
      </c>
      <c r="G36" s="1">
        <f ca="1">'Map 1'!G47</f>
        <v>2</v>
      </c>
      <c r="H36" s="1">
        <f ca="1">'Map 1'!H47</f>
        <v>3</v>
      </c>
      <c r="I36" s="1">
        <f ca="1">'Map 1'!I47</f>
        <v>3</v>
      </c>
      <c r="J36" s="1">
        <f ca="1">'Map 1'!J47</f>
        <v>7</v>
      </c>
      <c r="K36" s="1">
        <f ca="1">'Map 1'!K47</f>
        <v>7</v>
      </c>
      <c r="L36" s="1">
        <f ca="1">'Map 1'!L47</f>
        <v>6</v>
      </c>
      <c r="M36" s="1">
        <f ca="1">'Map 1'!M47</f>
        <v>6</v>
      </c>
      <c r="N36" s="1">
        <f ca="1">'Map 1'!N47</f>
        <v>6</v>
      </c>
      <c r="O36" s="1">
        <f ca="1">'Map 1'!O47</f>
        <v>6</v>
      </c>
      <c r="P36" s="1">
        <f ca="1">'Map 1'!P47</f>
        <v>8</v>
      </c>
      <c r="Q36" s="1">
        <f ca="1">'Map 1'!Q47</f>
        <v>8</v>
      </c>
      <c r="R36" s="1">
        <f ca="1">'Map 1'!R47</f>
        <v>8</v>
      </c>
      <c r="S36" s="1">
        <f ca="1">'Map 1'!S47</f>
        <v>8</v>
      </c>
      <c r="T36" s="1">
        <f ca="1">'Map 1'!T47</f>
        <v>8</v>
      </c>
      <c r="U36" s="1">
        <f ca="1">'Map 1'!U47</f>
        <v>8</v>
      </c>
      <c r="V36" s="1">
        <f ca="1">'Map 1'!V47</f>
        <v>7</v>
      </c>
      <c r="W36" s="1">
        <f ca="1">'Map 1'!W47</f>
        <v>7</v>
      </c>
      <c r="X36" s="1">
        <f ca="1">'Map 1'!X47</f>
        <v>7</v>
      </c>
      <c r="Y36" s="1">
        <f ca="1">'Map 1'!Y47</f>
        <v>7</v>
      </c>
      <c r="Z36" s="1">
        <f ca="1">'Map 1'!Z47</f>
        <v>7</v>
      </c>
      <c r="AA36" s="1">
        <f ca="1">'Map 1'!AA47</f>
        <v>7</v>
      </c>
      <c r="AB36" s="1">
        <f ca="1">'Map 1'!AB47</f>
        <v>7</v>
      </c>
      <c r="AC36" s="1">
        <f ca="1">'Map 1'!AC47</f>
        <v>7</v>
      </c>
      <c r="AD36" s="1">
        <f ca="1">'Map 1'!AD47</f>
        <v>7</v>
      </c>
      <c r="AE36" s="1">
        <f ca="1">'Map 1'!AE47</f>
        <v>7</v>
      </c>
      <c r="AF36" s="1">
        <f ca="1">'Map 1'!AF47</f>
        <v>7</v>
      </c>
      <c r="AG36" s="1">
        <f ca="1">'Map 1'!AG47</f>
        <v>8</v>
      </c>
      <c r="AH36" s="1">
        <f ca="1">'Map 1'!AH47</f>
        <v>8</v>
      </c>
      <c r="AI36" s="1">
        <f ca="1">'Map 1'!AI47</f>
        <v>8</v>
      </c>
      <c r="AJ36" s="1">
        <f ca="1">'Map 1'!AJ47</f>
        <v>7</v>
      </c>
      <c r="AK36" s="1">
        <f ca="1">'Map 1'!AK47</f>
        <v>7</v>
      </c>
      <c r="AL36" s="1">
        <f ca="1">'Map 1'!AL47</f>
        <v>7</v>
      </c>
      <c r="AM36" s="1">
        <f ca="1">'Map 1'!AM47</f>
        <v>7</v>
      </c>
      <c r="AN36" s="1">
        <f ca="1">'Map 1'!AN47</f>
        <v>7</v>
      </c>
      <c r="AO36" s="1">
        <f ca="1">'Map 1'!AO47</f>
        <v>7</v>
      </c>
    </row>
    <row r="37" spans="1:41" ht="12.75">
      <c r="A37" s="1">
        <v>30</v>
      </c>
      <c r="B37" s="1">
        <f ca="1">'Map 1'!B48</f>
        <v>7</v>
      </c>
      <c r="C37" s="1">
        <f ca="1">'Map 1'!C48</f>
        <v>3</v>
      </c>
      <c r="D37" s="1">
        <f ca="1">'Map 1'!D48</f>
        <v>2</v>
      </c>
      <c r="E37" s="1">
        <f ca="1">'Map 1'!E48</f>
        <v>2</v>
      </c>
      <c r="F37" s="1">
        <f ca="1">'Map 1'!F48</f>
        <v>3</v>
      </c>
      <c r="G37" s="1">
        <f ca="1">'Map 1'!G48</f>
        <v>3</v>
      </c>
      <c r="H37" s="1">
        <f ca="1">'Map 1'!H48</f>
        <v>3</v>
      </c>
      <c r="I37" s="1">
        <f ca="1">'Map 1'!I48</f>
        <v>7</v>
      </c>
      <c r="J37" s="1">
        <f ca="1">'Map 1'!J48</f>
        <v>7</v>
      </c>
      <c r="K37" s="1">
        <f ca="1">'Map 1'!K48</f>
        <v>7</v>
      </c>
      <c r="L37" s="1">
        <f ca="1">'Map 1'!L48</f>
        <v>7</v>
      </c>
      <c r="M37" s="1">
        <f ca="1">'Map 1'!M48</f>
        <v>7</v>
      </c>
      <c r="N37" s="1">
        <f ca="1">'Map 1'!N48</f>
        <v>7</v>
      </c>
      <c r="O37" s="1">
        <f ca="1">'Map 1'!O48</f>
        <v>6</v>
      </c>
      <c r="P37" s="1">
        <f ca="1">'Map 1'!P48</f>
        <v>7</v>
      </c>
      <c r="Q37" s="1">
        <f ca="1">'Map 1'!Q48</f>
        <v>6</v>
      </c>
      <c r="R37" s="1">
        <f ca="1">'Map 1'!R48</f>
        <v>7</v>
      </c>
      <c r="S37" s="1">
        <f ca="1">'Map 1'!S48</f>
        <v>8</v>
      </c>
      <c r="T37" s="1">
        <f ca="1">'Map 1'!T48</f>
        <v>8</v>
      </c>
      <c r="U37" s="1">
        <f ca="1">'Map 1'!U48</f>
        <v>7</v>
      </c>
      <c r="V37" s="1">
        <f ca="1">'Map 1'!V48</f>
        <v>7</v>
      </c>
      <c r="W37" s="1">
        <f ca="1">'Map 1'!W48</f>
        <v>7</v>
      </c>
      <c r="X37" s="1">
        <f ca="1">'Map 1'!X48</f>
        <v>7</v>
      </c>
      <c r="Y37" s="1">
        <f ca="1">'Map 1'!Y48</f>
        <v>7</v>
      </c>
      <c r="Z37" s="1">
        <f ca="1">'Map 1'!Z48</f>
        <v>7</v>
      </c>
      <c r="AA37" s="1">
        <f ca="1">'Map 1'!AA48</f>
        <v>7</v>
      </c>
      <c r="AB37" s="1">
        <f ca="1">'Map 1'!AB48</f>
        <v>8</v>
      </c>
      <c r="AC37" s="1">
        <f ca="1">'Map 1'!AC48</f>
        <v>8</v>
      </c>
      <c r="AD37" s="1">
        <f ca="1">'Map 1'!AD48</f>
        <v>7</v>
      </c>
      <c r="AE37" s="1">
        <f ca="1">'Map 1'!AE48</f>
        <v>8</v>
      </c>
      <c r="AF37" s="1">
        <f ca="1">'Map 1'!AF48</f>
        <v>8</v>
      </c>
      <c r="AG37" s="1">
        <f ca="1">'Map 1'!AG48</f>
        <v>8</v>
      </c>
      <c r="AH37" s="1">
        <f ca="1">'Map 1'!AH48</f>
        <v>8</v>
      </c>
      <c r="AI37" s="1">
        <f ca="1">'Map 1'!AI48</f>
        <v>5</v>
      </c>
      <c r="AJ37" s="1">
        <f ca="1">'Map 1'!AJ48</f>
        <v>7</v>
      </c>
      <c r="AK37" s="1">
        <f ca="1">'Map 1'!AK48</f>
        <v>8</v>
      </c>
      <c r="AL37" s="1">
        <f ca="1">'Map 1'!AL48</f>
        <v>5</v>
      </c>
      <c r="AM37" s="1">
        <f ca="1">'Map 1'!AM48</f>
        <v>7</v>
      </c>
      <c r="AN37" s="1">
        <f ca="1">'Map 1'!AN48</f>
        <v>7</v>
      </c>
      <c r="AO37" s="1">
        <f ca="1">'Map 1'!AO48</f>
        <v>3</v>
      </c>
    </row>
    <row r="38" spans="1:41" ht="12.75">
      <c r="A38" s="1">
        <v>31</v>
      </c>
      <c r="B38" s="1">
        <f ca="1">'Map 1'!B49</f>
        <v>3</v>
      </c>
      <c r="C38" s="1">
        <f ca="1">'Map 1'!C49</f>
        <v>3</v>
      </c>
      <c r="D38" s="1">
        <f ca="1">'Map 1'!D49</f>
        <v>2</v>
      </c>
      <c r="E38" s="1">
        <f ca="1">'Map 1'!E49</f>
        <v>3</v>
      </c>
      <c r="F38" s="1">
        <f ca="1">'Map 1'!F49</f>
        <v>3</v>
      </c>
      <c r="G38" s="1">
        <f ca="1">'Map 1'!G49</f>
        <v>3</v>
      </c>
      <c r="H38" s="1">
        <f ca="1">'Map 1'!H49</f>
        <v>3</v>
      </c>
      <c r="I38" s="1">
        <f ca="1">'Map 1'!I49</f>
        <v>7</v>
      </c>
      <c r="J38" s="1">
        <f ca="1">'Map 1'!J49</f>
        <v>3</v>
      </c>
      <c r="K38" s="1">
        <f ca="1">'Map 1'!K49</f>
        <v>7</v>
      </c>
      <c r="L38" s="1">
        <f ca="1">'Map 1'!L49</f>
        <v>7</v>
      </c>
      <c r="M38" s="1">
        <f ca="1">'Map 1'!M49</f>
        <v>6</v>
      </c>
      <c r="N38" s="1">
        <f ca="1">'Map 1'!N49</f>
        <v>7</v>
      </c>
      <c r="O38" s="1">
        <f ca="1">'Map 1'!O49</f>
        <v>7</v>
      </c>
      <c r="P38" s="1">
        <f ca="1">'Map 1'!P49</f>
        <v>7</v>
      </c>
      <c r="Q38" s="1">
        <f ca="1">'Map 1'!Q49</f>
        <v>7</v>
      </c>
      <c r="R38" s="1">
        <f ca="1">'Map 1'!R49</f>
        <v>8</v>
      </c>
      <c r="S38" s="1">
        <f ca="1">'Map 1'!S49</f>
        <v>7</v>
      </c>
      <c r="T38" s="1">
        <f ca="1">'Map 1'!T49</f>
        <v>7</v>
      </c>
      <c r="U38" s="1">
        <f ca="1">'Map 1'!U49</f>
        <v>8</v>
      </c>
      <c r="V38" s="1">
        <f ca="1">'Map 1'!V49</f>
        <v>7</v>
      </c>
      <c r="W38" s="1">
        <f ca="1">'Map 1'!W49</f>
        <v>7</v>
      </c>
      <c r="X38" s="1">
        <f ca="1">'Map 1'!X49</f>
        <v>7</v>
      </c>
      <c r="Y38" s="1">
        <f ca="1">'Map 1'!Y49</f>
        <v>7</v>
      </c>
      <c r="Z38" s="1">
        <f ca="1">'Map 1'!Z49</f>
        <v>7</v>
      </c>
      <c r="AA38" s="1">
        <f ca="1">'Map 1'!AA49</f>
        <v>8</v>
      </c>
      <c r="AB38" s="1">
        <f ca="1">'Map 1'!AB49</f>
        <v>8</v>
      </c>
      <c r="AC38" s="1">
        <f ca="1">'Map 1'!AC49</f>
        <v>7</v>
      </c>
      <c r="AD38" s="1">
        <f ca="1">'Map 1'!AD49</f>
        <v>8</v>
      </c>
      <c r="AE38" s="1">
        <f ca="1">'Map 1'!AE49</f>
        <v>8</v>
      </c>
      <c r="AF38" s="1">
        <f ca="1">'Map 1'!AF49</f>
        <v>5</v>
      </c>
      <c r="AG38" s="1">
        <f ca="1">'Map 1'!AG49</f>
        <v>8</v>
      </c>
      <c r="AH38" s="1">
        <f ca="1">'Map 1'!AH49</f>
        <v>8</v>
      </c>
      <c r="AI38" s="1">
        <f ca="1">'Map 1'!AI49</f>
        <v>5</v>
      </c>
      <c r="AJ38" s="1">
        <f ca="1">'Map 1'!AJ49</f>
        <v>5</v>
      </c>
      <c r="AK38" s="1">
        <f ca="1">'Map 1'!AK49</f>
        <v>5</v>
      </c>
      <c r="AL38" s="1">
        <f ca="1">'Map 1'!AL49</f>
        <v>5</v>
      </c>
      <c r="AM38" s="1">
        <f ca="1">'Map 1'!AM49</f>
        <v>5</v>
      </c>
      <c r="AN38" s="1">
        <f ca="1">'Map 1'!AN49</f>
        <v>7</v>
      </c>
      <c r="AO38" s="1">
        <f ca="1">'Map 1'!AO49</f>
        <v>1</v>
      </c>
    </row>
    <row r="39" spans="1:41" ht="12.75">
      <c r="A39" s="1">
        <v>32</v>
      </c>
      <c r="B39" s="1">
        <f ca="1">'Map 1'!B50</f>
        <v>1</v>
      </c>
      <c r="C39" s="1">
        <f ca="1">'Map 1'!C50</f>
        <v>3</v>
      </c>
      <c r="D39" s="1">
        <f ca="1">'Map 1'!D50</f>
        <v>7</v>
      </c>
      <c r="E39" s="1">
        <f ca="1">'Map 1'!E50</f>
        <v>3</v>
      </c>
      <c r="F39" s="1">
        <f ca="1">'Map 1'!F50</f>
        <v>3</v>
      </c>
      <c r="G39" s="1">
        <f ca="1">'Map 1'!G50</f>
        <v>3</v>
      </c>
      <c r="H39" s="1">
        <f ca="1">'Map 1'!H50</f>
        <v>3</v>
      </c>
      <c r="I39" s="1">
        <f ca="1">'Map 1'!I50</f>
        <v>7</v>
      </c>
      <c r="J39" s="1">
        <f ca="1">'Map 1'!J50</f>
        <v>7</v>
      </c>
      <c r="K39" s="1">
        <f ca="1">'Map 1'!K50</f>
        <v>7</v>
      </c>
      <c r="L39" s="1">
        <f ca="1">'Map 1'!L50</f>
        <v>7</v>
      </c>
      <c r="M39" s="1">
        <f ca="1">'Map 1'!M50</f>
        <v>7</v>
      </c>
      <c r="N39" s="1">
        <f ca="1">'Map 1'!N50</f>
        <v>3</v>
      </c>
      <c r="O39" s="1">
        <f ca="1">'Map 1'!O50</f>
        <v>7</v>
      </c>
      <c r="P39" s="1">
        <f ca="1">'Map 1'!P50</f>
        <v>3</v>
      </c>
      <c r="Q39" s="1">
        <f ca="1">'Map 1'!Q50</f>
        <v>7</v>
      </c>
      <c r="R39" s="1">
        <f ca="1">'Map 1'!R50</f>
        <v>7</v>
      </c>
      <c r="S39" s="1">
        <f ca="1">'Map 1'!S50</f>
        <v>7</v>
      </c>
      <c r="T39" s="1">
        <f ca="1">'Map 1'!T50</f>
        <v>7</v>
      </c>
      <c r="U39" s="1">
        <f ca="1">'Map 1'!U50</f>
        <v>7</v>
      </c>
      <c r="V39" s="1">
        <f ca="1">'Map 1'!V50</f>
        <v>7</v>
      </c>
      <c r="W39" s="1">
        <f ca="1">'Map 1'!W50</f>
        <v>7</v>
      </c>
      <c r="X39" s="1">
        <f ca="1">'Map 1'!X50</f>
        <v>7</v>
      </c>
      <c r="Y39" s="1">
        <f ca="1">'Map 1'!Y50</f>
        <v>7</v>
      </c>
      <c r="Z39" s="1">
        <f ca="1">'Map 1'!Z50</f>
        <v>8</v>
      </c>
      <c r="AA39" s="1">
        <f ca="1">'Map 1'!AA50</f>
        <v>8</v>
      </c>
      <c r="AB39" s="1">
        <f ca="1">'Map 1'!AB50</f>
        <v>8</v>
      </c>
      <c r="AC39" s="1">
        <f ca="1">'Map 1'!AC50</f>
        <v>8</v>
      </c>
      <c r="AD39" s="1">
        <f ca="1">'Map 1'!AD50</f>
        <v>8</v>
      </c>
      <c r="AE39" s="1">
        <f ca="1">'Map 1'!AE50</f>
        <v>5</v>
      </c>
      <c r="AF39" s="1">
        <f ca="1">'Map 1'!AF50</f>
        <v>8</v>
      </c>
      <c r="AG39" s="1">
        <f ca="1">'Map 1'!AG50</f>
        <v>5</v>
      </c>
      <c r="AH39" s="1">
        <f ca="1">'Map 1'!AH50</f>
        <v>5</v>
      </c>
      <c r="AI39" s="1">
        <f ca="1">'Map 1'!AI50</f>
        <v>5</v>
      </c>
      <c r="AJ39" s="1">
        <f ca="1">'Map 1'!AJ50</f>
        <v>5</v>
      </c>
      <c r="AK39" s="1">
        <f ca="1">'Map 1'!AK50</f>
        <v>5</v>
      </c>
      <c r="AL39" s="1">
        <f ca="1">'Map 1'!AL50</f>
        <v>5</v>
      </c>
      <c r="AM39" s="1">
        <f ca="1">'Map 1'!AM50</f>
        <v>5</v>
      </c>
      <c r="AN39" s="1">
        <f ca="1">'Map 1'!AN50</f>
        <v>5</v>
      </c>
      <c r="AO39" s="1">
        <f ca="1">'Map 1'!AO50</f>
        <v>5</v>
      </c>
    </row>
    <row r="40" spans="1:41" ht="12.75">
      <c r="A40" s="1">
        <v>33</v>
      </c>
      <c r="B40" s="1">
        <f ca="1">'Map 1'!B51</f>
        <v>5</v>
      </c>
      <c r="C40" s="1">
        <f ca="1">'Map 1'!C51</f>
        <v>7</v>
      </c>
      <c r="D40" s="1">
        <f ca="1">'Map 1'!D51</f>
        <v>3</v>
      </c>
      <c r="E40" s="1">
        <f ca="1">'Map 1'!E51</f>
        <v>3</v>
      </c>
      <c r="F40" s="1">
        <f ca="1">'Map 1'!F51</f>
        <v>3</v>
      </c>
      <c r="G40" s="1">
        <f ca="1">'Map 1'!G51</f>
        <v>3</v>
      </c>
      <c r="H40" s="1">
        <f ca="1">'Map 1'!H51</f>
        <v>3</v>
      </c>
      <c r="I40" s="1">
        <f ca="1">'Map 1'!I51</f>
        <v>7</v>
      </c>
      <c r="J40" s="1">
        <f ca="1">'Map 1'!J51</f>
        <v>7</v>
      </c>
      <c r="K40" s="1">
        <f ca="1">'Map 1'!K51</f>
        <v>3</v>
      </c>
      <c r="L40" s="1">
        <f ca="1">'Map 1'!L51</f>
        <v>7</v>
      </c>
      <c r="M40" s="1">
        <f ca="1">'Map 1'!M51</f>
        <v>7</v>
      </c>
      <c r="N40" s="1">
        <f ca="1">'Map 1'!N51</f>
        <v>3</v>
      </c>
      <c r="O40" s="1">
        <f ca="1">'Map 1'!O51</f>
        <v>3</v>
      </c>
      <c r="P40" s="1">
        <f ca="1">'Map 1'!P51</f>
        <v>3</v>
      </c>
      <c r="Q40" s="1">
        <f ca="1">'Map 1'!Q51</f>
        <v>3</v>
      </c>
      <c r="R40" s="1">
        <f ca="1">'Map 1'!R51</f>
        <v>7</v>
      </c>
      <c r="S40" s="1">
        <f ca="1">'Map 1'!S51</f>
        <v>7</v>
      </c>
      <c r="T40" s="1">
        <f ca="1">'Map 1'!T51</f>
        <v>7</v>
      </c>
      <c r="U40" s="1">
        <f ca="1">'Map 1'!U51</f>
        <v>7</v>
      </c>
      <c r="V40" s="1">
        <f ca="1">'Map 1'!V51</f>
        <v>7</v>
      </c>
      <c r="W40" s="1">
        <f ca="1">'Map 1'!W51</f>
        <v>7</v>
      </c>
      <c r="X40" s="1">
        <f ca="1">'Map 1'!X51</f>
        <v>7</v>
      </c>
      <c r="Y40" s="1">
        <f ca="1">'Map 1'!Y51</f>
        <v>7</v>
      </c>
      <c r="Z40" s="1">
        <f ca="1">'Map 1'!Z51</f>
        <v>8</v>
      </c>
      <c r="AA40" s="1">
        <f ca="1">'Map 1'!AA51</f>
        <v>7</v>
      </c>
      <c r="AB40" s="1">
        <f ca="1">'Map 1'!AB51</f>
        <v>8</v>
      </c>
      <c r="AC40" s="1">
        <f ca="1">'Map 1'!AC51</f>
        <v>8</v>
      </c>
      <c r="AD40" s="1">
        <f ca="1">'Map 1'!AD51</f>
        <v>8</v>
      </c>
      <c r="AE40" s="1">
        <f ca="1">'Map 1'!AE51</f>
        <v>8</v>
      </c>
      <c r="AF40" s="1">
        <f ca="1">'Map 1'!AF51</f>
        <v>5</v>
      </c>
      <c r="AG40" s="1">
        <f ca="1">'Map 1'!AG51</f>
        <v>5</v>
      </c>
      <c r="AH40" s="1">
        <f ca="1">'Map 1'!AH51</f>
        <v>5</v>
      </c>
      <c r="AI40" s="1">
        <f ca="1">'Map 1'!AI51</f>
        <v>5</v>
      </c>
      <c r="AJ40" s="1">
        <f ca="1">'Map 1'!AJ51</f>
        <v>5</v>
      </c>
      <c r="AK40" s="1">
        <f ca="1">'Map 1'!AK51</f>
        <v>5</v>
      </c>
      <c r="AL40" s="1">
        <f ca="1">'Map 1'!AL51</f>
        <v>5</v>
      </c>
      <c r="AM40" s="1">
        <f ca="1">'Map 1'!AM51</f>
        <v>5</v>
      </c>
      <c r="AN40" s="1">
        <f ca="1">'Map 1'!AN51</f>
        <v>5</v>
      </c>
      <c r="AO40" s="1">
        <f ca="1">'Map 1'!AO51</f>
        <v>7</v>
      </c>
    </row>
    <row r="41" spans="1:41" ht="12.75">
      <c r="A41" s="1">
        <v>34</v>
      </c>
      <c r="B41" s="1">
        <f ca="1">'Map 1'!B52</f>
        <v>5</v>
      </c>
      <c r="C41" s="1">
        <f ca="1">'Map 1'!C52</f>
        <v>7</v>
      </c>
      <c r="D41" s="1">
        <f ca="1">'Map 1'!D52</f>
        <v>7</v>
      </c>
      <c r="E41" s="1">
        <f ca="1">'Map 1'!E52</f>
        <v>7</v>
      </c>
      <c r="F41" s="1">
        <f ca="1">'Map 1'!F52</f>
        <v>7</v>
      </c>
      <c r="G41" s="1">
        <f ca="1">'Map 1'!G52</f>
        <v>7</v>
      </c>
      <c r="H41" s="1">
        <f ca="1">'Map 1'!H52</f>
        <v>7</v>
      </c>
      <c r="I41" s="1">
        <f ca="1">'Map 1'!I52</f>
        <v>7</v>
      </c>
      <c r="J41" s="1">
        <f ca="1">'Map 1'!J52</f>
        <v>3</v>
      </c>
      <c r="K41" s="1">
        <f ca="1">'Map 1'!K52</f>
        <v>3</v>
      </c>
      <c r="L41" s="1">
        <f ca="1">'Map 1'!L52</f>
        <v>3</v>
      </c>
      <c r="M41" s="1">
        <f ca="1">'Map 1'!M52</f>
        <v>3</v>
      </c>
      <c r="N41" s="1">
        <f ca="1">'Map 1'!N52</f>
        <v>3</v>
      </c>
      <c r="O41" s="1">
        <f ca="1">'Map 1'!O52</f>
        <v>3</v>
      </c>
      <c r="P41" s="1">
        <f ca="1">'Map 1'!P52</f>
        <v>3</v>
      </c>
      <c r="Q41" s="1">
        <f ca="1">'Map 1'!Q52</f>
        <v>7</v>
      </c>
      <c r="R41" s="1">
        <f ca="1">'Map 1'!R52</f>
        <v>7</v>
      </c>
      <c r="S41" s="1">
        <f ca="1">'Map 1'!S52</f>
        <v>7</v>
      </c>
      <c r="T41" s="1">
        <f ca="1">'Map 1'!T52</f>
        <v>7</v>
      </c>
      <c r="U41" s="1">
        <f ca="1">'Map 1'!U52</f>
        <v>7</v>
      </c>
      <c r="V41" s="1">
        <f ca="1">'Map 1'!V52</f>
        <v>7</v>
      </c>
      <c r="W41" s="1">
        <f ca="1">'Map 1'!W52</f>
        <v>7</v>
      </c>
      <c r="X41" s="1">
        <f ca="1">'Map 1'!X52</f>
        <v>7</v>
      </c>
      <c r="Y41" s="1">
        <f ca="1">'Map 1'!Y52</f>
        <v>7</v>
      </c>
      <c r="Z41" s="1">
        <f ca="1">'Map 1'!Z52</f>
        <v>7</v>
      </c>
      <c r="AA41" s="1">
        <f ca="1">'Map 1'!AA52</f>
        <v>8</v>
      </c>
      <c r="AB41" s="1">
        <f ca="1">'Map 1'!AB52</f>
        <v>8</v>
      </c>
      <c r="AC41" s="1">
        <f ca="1">'Map 1'!AC52</f>
        <v>8</v>
      </c>
      <c r="AD41" s="1">
        <f ca="1">'Map 1'!AD52</f>
        <v>8</v>
      </c>
      <c r="AE41" s="1">
        <f ca="1">'Map 1'!AE52</f>
        <v>8</v>
      </c>
      <c r="AF41" s="1">
        <f ca="1">'Map 1'!AF52</f>
        <v>5</v>
      </c>
      <c r="AG41" s="1">
        <f ca="1">'Map 1'!AG52</f>
        <v>5</v>
      </c>
      <c r="AH41" s="1">
        <f ca="1">'Map 1'!AH52</f>
        <v>5</v>
      </c>
      <c r="AI41" s="1">
        <f ca="1">'Map 1'!AI52</f>
        <v>5</v>
      </c>
      <c r="AJ41" s="1">
        <f ca="1">'Map 1'!AJ52</f>
        <v>5</v>
      </c>
      <c r="AK41" s="1">
        <f ca="1">'Map 1'!AK52</f>
        <v>5</v>
      </c>
      <c r="AL41" s="1">
        <f ca="1">'Map 1'!AL52</f>
        <v>5</v>
      </c>
      <c r="AM41" s="1">
        <f ca="1">'Map 1'!AM52</f>
        <v>5</v>
      </c>
      <c r="AN41" s="1">
        <f ca="1">'Map 1'!AN52</f>
        <v>5</v>
      </c>
      <c r="AO41" s="1">
        <f ca="1">'Map 1'!AO52</f>
        <v>7</v>
      </c>
    </row>
    <row r="42" spans="1:41" ht="12.75">
      <c r="A42" s="1">
        <v>35</v>
      </c>
      <c r="B42" s="1">
        <f ca="1">'Map 1'!B53</f>
        <v>7</v>
      </c>
      <c r="C42" s="1">
        <f ca="1">'Map 1'!C53</f>
        <v>5</v>
      </c>
      <c r="D42" s="1">
        <f ca="1">'Map 1'!D53</f>
        <v>7</v>
      </c>
      <c r="E42" s="1">
        <f ca="1">'Map 1'!E53</f>
        <v>7</v>
      </c>
      <c r="F42" s="1">
        <f ca="1">'Map 1'!F53</f>
        <v>7</v>
      </c>
      <c r="G42" s="1">
        <f ca="1">'Map 1'!G53</f>
        <v>7</v>
      </c>
      <c r="H42" s="1">
        <f ca="1">'Map 1'!H53</f>
        <v>7</v>
      </c>
      <c r="I42" s="1">
        <f ca="1">'Map 1'!I53</f>
        <v>7</v>
      </c>
      <c r="J42" s="1">
        <f ca="1">'Map 1'!J53</f>
        <v>7</v>
      </c>
      <c r="K42" s="1">
        <f ca="1">'Map 1'!K53</f>
        <v>3</v>
      </c>
      <c r="L42" s="1">
        <f ca="1">'Map 1'!L53</f>
        <v>3</v>
      </c>
      <c r="M42" s="1">
        <f ca="1">'Map 1'!M53</f>
        <v>3</v>
      </c>
      <c r="N42" s="1">
        <f ca="1">'Map 1'!N53</f>
        <v>3</v>
      </c>
      <c r="O42" s="1">
        <f ca="1">'Map 1'!O53</f>
        <v>3</v>
      </c>
      <c r="P42" s="1">
        <f ca="1">'Map 1'!P53</f>
        <v>3</v>
      </c>
      <c r="Q42" s="1">
        <f ca="1">'Map 1'!Q53</f>
        <v>3</v>
      </c>
      <c r="R42" s="1">
        <f ca="1">'Map 1'!R53</f>
        <v>8</v>
      </c>
      <c r="S42" s="1">
        <f ca="1">'Map 1'!S53</f>
        <v>7</v>
      </c>
      <c r="T42" s="1">
        <f ca="1">'Map 1'!T53</f>
        <v>7</v>
      </c>
      <c r="U42" s="1">
        <f ca="1">'Map 1'!U53</f>
        <v>7</v>
      </c>
      <c r="V42" s="1">
        <f ca="1">'Map 1'!V53</f>
        <v>7</v>
      </c>
      <c r="W42" s="1">
        <f ca="1">'Map 1'!W53</f>
        <v>7</v>
      </c>
      <c r="X42" s="1">
        <f ca="1">'Map 1'!X53</f>
        <v>7</v>
      </c>
      <c r="Y42" s="1">
        <f ca="1">'Map 1'!Y53</f>
        <v>7</v>
      </c>
      <c r="Z42" s="1">
        <f ca="1">'Map 1'!Z53</f>
        <v>7</v>
      </c>
      <c r="AA42" s="1">
        <f ca="1">'Map 1'!AA53</f>
        <v>8</v>
      </c>
      <c r="AB42" s="1">
        <f ca="1">'Map 1'!AB53</f>
        <v>8</v>
      </c>
      <c r="AC42" s="1">
        <f ca="1">'Map 1'!AC53</f>
        <v>8</v>
      </c>
      <c r="AD42" s="1">
        <f ca="1">'Map 1'!AD53</f>
        <v>8</v>
      </c>
      <c r="AE42" s="1">
        <f ca="1">'Map 1'!AE53</f>
        <v>5</v>
      </c>
      <c r="AF42" s="1">
        <f ca="1">'Map 1'!AF53</f>
        <v>8</v>
      </c>
      <c r="AG42" s="1">
        <f ca="1">'Map 1'!AG53</f>
        <v>5</v>
      </c>
      <c r="AH42" s="1">
        <f ca="1">'Map 1'!AH53</f>
        <v>5</v>
      </c>
      <c r="AI42" s="1">
        <f ca="1">'Map 1'!AI53</f>
        <v>5</v>
      </c>
      <c r="AJ42" s="1">
        <f ca="1">'Map 1'!AJ53</f>
        <v>5</v>
      </c>
      <c r="AK42" s="1">
        <f ca="1">'Map 1'!AK53</f>
        <v>5</v>
      </c>
      <c r="AL42" s="1">
        <f ca="1">'Map 1'!AL53</f>
        <v>5</v>
      </c>
      <c r="AM42" s="1">
        <f ca="1">'Map 1'!AM53</f>
        <v>7</v>
      </c>
      <c r="AN42" s="1">
        <f ca="1">'Map 1'!AN53</f>
        <v>5</v>
      </c>
      <c r="AO42" s="1">
        <f ca="1">'Map 1'!AO53</f>
        <v>7</v>
      </c>
    </row>
    <row r="43" spans="1:41" ht="12.75">
      <c r="A43" s="1">
        <v>36</v>
      </c>
      <c r="B43" s="1">
        <f ca="1">'Map 1'!B54</f>
        <v>5</v>
      </c>
      <c r="C43" s="1">
        <f ca="1">'Map 1'!C54</f>
        <v>7</v>
      </c>
      <c r="D43" s="1">
        <f ca="1">'Map 1'!D54</f>
        <v>7</v>
      </c>
      <c r="E43" s="1">
        <f ca="1">'Map 1'!E54</f>
        <v>3</v>
      </c>
      <c r="F43" s="1">
        <f ca="1">'Map 1'!F54</f>
        <v>7</v>
      </c>
      <c r="G43" s="1">
        <f ca="1">'Map 1'!G54</f>
        <v>3</v>
      </c>
      <c r="H43" s="1">
        <f ca="1">'Map 1'!H54</f>
        <v>7</v>
      </c>
      <c r="I43" s="1">
        <f ca="1">'Map 1'!I54</f>
        <v>7</v>
      </c>
      <c r="J43" s="1">
        <f ca="1">'Map 1'!J54</f>
        <v>3</v>
      </c>
      <c r="K43" s="1">
        <f ca="1">'Map 1'!K54</f>
        <v>3</v>
      </c>
      <c r="L43" s="1">
        <f ca="1">'Map 1'!L54</f>
        <v>7</v>
      </c>
      <c r="M43" s="1">
        <f ca="1">'Map 1'!M54</f>
        <v>3</v>
      </c>
      <c r="N43" s="1">
        <f ca="1">'Map 1'!N54</f>
        <v>3</v>
      </c>
      <c r="O43" s="1">
        <f ca="1">'Map 1'!O54</f>
        <v>3</v>
      </c>
      <c r="P43" s="1">
        <f ca="1">'Map 1'!P54</f>
        <v>3</v>
      </c>
      <c r="Q43" s="1">
        <f ca="1">'Map 1'!Q54</f>
        <v>3</v>
      </c>
      <c r="R43" s="1">
        <f ca="1">'Map 1'!R54</f>
        <v>4</v>
      </c>
      <c r="S43" s="1">
        <f ca="1">'Map 1'!S54</f>
        <v>8</v>
      </c>
      <c r="T43" s="1">
        <f ca="1">'Map 1'!T54</f>
        <v>8</v>
      </c>
      <c r="U43" s="1">
        <f ca="1">'Map 1'!U54</f>
        <v>8</v>
      </c>
      <c r="V43" s="1">
        <f ca="1">'Map 1'!V54</f>
        <v>7</v>
      </c>
      <c r="W43" s="1">
        <f ca="1">'Map 1'!W54</f>
        <v>7</v>
      </c>
      <c r="X43" s="1">
        <f ca="1">'Map 1'!X54</f>
        <v>7</v>
      </c>
      <c r="Y43" s="1">
        <f ca="1">'Map 1'!Y54</f>
        <v>7</v>
      </c>
      <c r="Z43" s="1">
        <f ca="1">'Map 1'!Z54</f>
        <v>8</v>
      </c>
      <c r="AA43" s="1">
        <f ca="1">'Map 1'!AA54</f>
        <v>8</v>
      </c>
      <c r="AB43" s="1">
        <f ca="1">'Map 1'!AB54</f>
        <v>8</v>
      </c>
      <c r="AC43" s="1">
        <f ca="1">'Map 1'!AC54</f>
        <v>8</v>
      </c>
      <c r="AD43" s="1">
        <f ca="1">'Map 1'!AD54</f>
        <v>8</v>
      </c>
      <c r="AE43" s="1">
        <f ca="1">'Map 1'!AE54</f>
        <v>8</v>
      </c>
      <c r="AF43" s="1">
        <f ca="1">'Map 1'!AF54</f>
        <v>5</v>
      </c>
      <c r="AG43" s="1">
        <f ca="1">'Map 1'!AG54</f>
        <v>8</v>
      </c>
      <c r="AH43" s="1">
        <f ca="1">'Map 1'!AH54</f>
        <v>8</v>
      </c>
      <c r="AI43" s="1">
        <f ca="1">'Map 1'!AI54</f>
        <v>8</v>
      </c>
      <c r="AJ43" s="1">
        <f ca="1">'Map 1'!AJ54</f>
        <v>8</v>
      </c>
      <c r="AK43" s="1">
        <f ca="1">'Map 1'!AK54</f>
        <v>5</v>
      </c>
      <c r="AL43" s="1">
        <f ca="1">'Map 1'!AL54</f>
        <v>7</v>
      </c>
      <c r="AM43" s="1">
        <f ca="1">'Map 1'!AM54</f>
        <v>7</v>
      </c>
      <c r="AN43" s="1">
        <f ca="1">'Map 1'!AN54</f>
        <v>5</v>
      </c>
      <c r="AO43" s="1">
        <f ca="1">'Map 1'!AO54</f>
        <v>7</v>
      </c>
    </row>
    <row r="44" spans="1:41" ht="12.75">
      <c r="A44" s="1">
        <v>37</v>
      </c>
      <c r="B44" s="1">
        <f ca="1">'Map 1'!B55</f>
        <v>7</v>
      </c>
      <c r="C44" s="1">
        <f ca="1">'Map 1'!C55</f>
        <v>5</v>
      </c>
      <c r="D44" s="1">
        <f ca="1">'Map 1'!D55</f>
        <v>5</v>
      </c>
      <c r="E44" s="1">
        <f ca="1">'Map 1'!E55</f>
        <v>5</v>
      </c>
      <c r="F44" s="1">
        <f ca="1">'Map 1'!F55</f>
        <v>3</v>
      </c>
      <c r="G44" s="1">
        <f ca="1">'Map 1'!G55</f>
        <v>1</v>
      </c>
      <c r="H44" s="1">
        <f ca="1">'Map 1'!H55</f>
        <v>7</v>
      </c>
      <c r="I44" s="1">
        <f ca="1">'Map 1'!I55</f>
        <v>3</v>
      </c>
      <c r="J44" s="1">
        <f ca="1">'Map 1'!J55</f>
        <v>3</v>
      </c>
      <c r="K44" s="1">
        <f ca="1">'Map 1'!K55</f>
        <v>7</v>
      </c>
      <c r="L44" s="1">
        <f ca="1">'Map 1'!L55</f>
        <v>7</v>
      </c>
      <c r="M44" s="1">
        <f ca="1">'Map 1'!M55</f>
        <v>3</v>
      </c>
      <c r="N44" s="1">
        <f ca="1">'Map 1'!N55</f>
        <v>7</v>
      </c>
      <c r="O44" s="1">
        <f ca="1">'Map 1'!O55</f>
        <v>3</v>
      </c>
      <c r="P44" s="1">
        <f ca="1">'Map 1'!P55</f>
        <v>4</v>
      </c>
      <c r="Q44" s="1">
        <f ca="1">'Map 1'!Q55</f>
        <v>4</v>
      </c>
      <c r="R44" s="1">
        <f ca="1">'Map 1'!R55</f>
        <v>4</v>
      </c>
      <c r="S44" s="1">
        <f ca="1">'Map 1'!S55</f>
        <v>8</v>
      </c>
      <c r="T44" s="1">
        <f ca="1">'Map 1'!T55</f>
        <v>4</v>
      </c>
      <c r="U44" s="1">
        <f ca="1">'Map 1'!U55</f>
        <v>8</v>
      </c>
      <c r="V44" s="1">
        <f ca="1">'Map 1'!V55</f>
        <v>8</v>
      </c>
      <c r="W44" s="1">
        <f ca="1">'Map 1'!W55</f>
        <v>7</v>
      </c>
      <c r="X44" s="1">
        <f ca="1">'Map 1'!X55</f>
        <v>7</v>
      </c>
      <c r="Y44" s="1">
        <f ca="1">'Map 1'!Y55</f>
        <v>7</v>
      </c>
      <c r="Z44" s="1">
        <f ca="1">'Map 1'!Z55</f>
        <v>7</v>
      </c>
      <c r="AA44" s="1">
        <f ca="1">'Map 1'!AA55</f>
        <v>7</v>
      </c>
      <c r="AB44" s="1">
        <f ca="1">'Map 1'!AB55</f>
        <v>8</v>
      </c>
      <c r="AC44" s="1">
        <f ca="1">'Map 1'!AC55</f>
        <v>8</v>
      </c>
      <c r="AD44" s="1">
        <f ca="1">'Map 1'!AD55</f>
        <v>8</v>
      </c>
      <c r="AE44" s="1">
        <f ca="1">'Map 1'!AE55</f>
        <v>8</v>
      </c>
      <c r="AF44" s="1">
        <f ca="1">'Map 1'!AF55</f>
        <v>8</v>
      </c>
      <c r="AG44" s="1">
        <f ca="1">'Map 1'!AG55</f>
        <v>8</v>
      </c>
      <c r="AH44" s="1">
        <f ca="1">'Map 1'!AH55</f>
        <v>8</v>
      </c>
      <c r="AI44" s="1">
        <f ca="1">'Map 1'!AI55</f>
        <v>8</v>
      </c>
      <c r="AJ44" s="1">
        <f ca="1">'Map 1'!AJ55</f>
        <v>8</v>
      </c>
      <c r="AK44" s="1">
        <f ca="1">'Map 1'!AK55</f>
        <v>7</v>
      </c>
      <c r="AL44" s="1">
        <f ca="1">'Map 1'!AL55</f>
        <v>7</v>
      </c>
      <c r="AM44" s="1">
        <f ca="1">'Map 1'!AM55</f>
        <v>7</v>
      </c>
      <c r="AN44" s="1">
        <f ca="1">'Map 1'!AN55</f>
        <v>7</v>
      </c>
      <c r="AO44" s="1">
        <f ca="1">'Map 1'!AO55</f>
        <v>5</v>
      </c>
    </row>
    <row r="45" spans="1:41" ht="12.75">
      <c r="A45" s="1">
        <v>38</v>
      </c>
      <c r="B45" s="1">
        <f ca="1">'Map 1'!B56</f>
        <v>5</v>
      </c>
      <c r="C45" s="1">
        <f ca="1">'Map 1'!C56</f>
        <v>5</v>
      </c>
      <c r="D45" s="1">
        <f ca="1">'Map 1'!D56</f>
        <v>5</v>
      </c>
      <c r="E45" s="1">
        <f ca="1">'Map 1'!E56</f>
        <v>5</v>
      </c>
      <c r="F45" s="1">
        <f ca="1">'Map 1'!F56</f>
        <v>5</v>
      </c>
      <c r="G45" s="1">
        <f ca="1">'Map 1'!G56</f>
        <v>3</v>
      </c>
      <c r="H45" s="1">
        <f ca="1">'Map 1'!H56</f>
        <v>3</v>
      </c>
      <c r="I45" s="1">
        <f ca="1">'Map 1'!I56</f>
        <v>3</v>
      </c>
      <c r="J45" s="1">
        <f ca="1">'Map 1'!J56</f>
        <v>3</v>
      </c>
      <c r="K45" s="1">
        <f ca="1">'Map 1'!K56</f>
        <v>7</v>
      </c>
      <c r="L45" s="1">
        <f ca="1">'Map 1'!L56</f>
        <v>7</v>
      </c>
      <c r="M45" s="1">
        <f ca="1">'Map 1'!M56</f>
        <v>7</v>
      </c>
      <c r="N45" s="1">
        <f ca="1">'Map 1'!N56</f>
        <v>3</v>
      </c>
      <c r="O45" s="1">
        <f ca="1">'Map 1'!O56</f>
        <v>3</v>
      </c>
      <c r="P45" s="1">
        <f ca="1">'Map 1'!P56</f>
        <v>4</v>
      </c>
      <c r="Q45" s="1">
        <f ca="1">'Map 1'!Q56</f>
        <v>3</v>
      </c>
      <c r="R45" s="1">
        <f ca="1">'Map 1'!R56</f>
        <v>4</v>
      </c>
      <c r="S45" s="1">
        <f ca="1">'Map 1'!S56</f>
        <v>4</v>
      </c>
      <c r="T45" s="1">
        <f ca="1">'Map 1'!T56</f>
        <v>4</v>
      </c>
      <c r="U45" s="1">
        <f ca="1">'Map 1'!U56</f>
        <v>4</v>
      </c>
      <c r="V45" s="1">
        <f ca="1">'Map 1'!V56</f>
        <v>8</v>
      </c>
      <c r="W45" s="1">
        <f ca="1">'Map 1'!W56</f>
        <v>7</v>
      </c>
      <c r="X45" s="1">
        <f ca="1">'Map 1'!X56</f>
        <v>7</v>
      </c>
      <c r="Y45" s="1">
        <f ca="1">'Map 1'!Y56</f>
        <v>7</v>
      </c>
      <c r="Z45" s="1">
        <f ca="1">'Map 1'!Z56</f>
        <v>7</v>
      </c>
      <c r="AA45" s="1">
        <f ca="1">'Map 1'!AA56</f>
        <v>7</v>
      </c>
      <c r="AB45" s="1">
        <f ca="1">'Map 1'!AB56</f>
        <v>8</v>
      </c>
      <c r="AC45" s="1">
        <f ca="1">'Map 1'!AC56</f>
        <v>8</v>
      </c>
      <c r="AD45" s="1">
        <f ca="1">'Map 1'!AD56</f>
        <v>8</v>
      </c>
      <c r="AE45" s="1">
        <f ca="1">'Map 1'!AE56</f>
        <v>8</v>
      </c>
      <c r="AF45" s="1">
        <f ca="1">'Map 1'!AF56</f>
        <v>8</v>
      </c>
      <c r="AG45" s="1">
        <f ca="1">'Map 1'!AG56</f>
        <v>8</v>
      </c>
      <c r="AH45" s="1">
        <f ca="1">'Map 1'!AH56</f>
        <v>8</v>
      </c>
      <c r="AI45" s="1">
        <f ca="1">'Map 1'!AI56</f>
        <v>8</v>
      </c>
      <c r="AJ45" s="1">
        <f ca="1">'Map 1'!AJ56</f>
        <v>8</v>
      </c>
      <c r="AK45" s="1">
        <f ca="1">'Map 1'!AK56</f>
        <v>7</v>
      </c>
      <c r="AL45" s="1">
        <f ca="1">'Map 1'!AL56</f>
        <v>7</v>
      </c>
      <c r="AM45" s="1">
        <f ca="1">'Map 1'!AM56</f>
        <v>7</v>
      </c>
      <c r="AN45" s="1">
        <f ca="1">'Map 1'!AN56</f>
        <v>7</v>
      </c>
      <c r="AO45" s="1">
        <f ca="1">'Map 1'!AO56</f>
        <v>7</v>
      </c>
    </row>
    <row r="46" spans="1:41" ht="12.75">
      <c r="A46" s="1">
        <v>39</v>
      </c>
      <c r="B46" s="1">
        <f ca="1">'Map 1'!B57</f>
        <v>5</v>
      </c>
      <c r="C46" s="1">
        <f ca="1">'Map 1'!C57</f>
        <v>5</v>
      </c>
      <c r="D46" s="1">
        <f ca="1">'Map 1'!D57</f>
        <v>5</v>
      </c>
      <c r="E46" s="1">
        <f ca="1">'Map 1'!E57</f>
        <v>5</v>
      </c>
      <c r="F46" s="1">
        <f ca="1">'Map 1'!F57</f>
        <v>3</v>
      </c>
      <c r="G46" s="1">
        <f ca="1">'Map 1'!G57</f>
        <v>1</v>
      </c>
      <c r="H46" s="1">
        <f ca="1">'Map 1'!H57</f>
        <v>3</v>
      </c>
      <c r="I46" s="1">
        <f ca="1">'Map 1'!I57</f>
        <v>3</v>
      </c>
      <c r="J46" s="1">
        <f ca="1">'Map 1'!J57</f>
        <v>7</v>
      </c>
      <c r="K46" s="1">
        <f ca="1">'Map 1'!K57</f>
        <v>7</v>
      </c>
      <c r="L46" s="1">
        <f ca="1">'Map 1'!L57</f>
        <v>7</v>
      </c>
      <c r="M46" s="1">
        <f ca="1">'Map 1'!M57</f>
        <v>7</v>
      </c>
      <c r="N46" s="1">
        <f ca="1">'Map 1'!N57</f>
        <v>7</v>
      </c>
      <c r="O46" s="1">
        <f ca="1">'Map 1'!O57</f>
        <v>3</v>
      </c>
      <c r="P46" s="1">
        <f ca="1">'Map 1'!P57</f>
        <v>3</v>
      </c>
      <c r="Q46" s="1">
        <f ca="1">'Map 1'!Q57</f>
        <v>3</v>
      </c>
      <c r="R46" s="1">
        <f ca="1">'Map 1'!R57</f>
        <v>4</v>
      </c>
      <c r="S46" s="1">
        <f ca="1">'Map 1'!S57</f>
        <v>4</v>
      </c>
      <c r="T46" s="1">
        <f ca="1">'Map 1'!T57</f>
        <v>4</v>
      </c>
      <c r="U46" s="1">
        <f ca="1">'Map 1'!U57</f>
        <v>3</v>
      </c>
      <c r="V46" s="1">
        <f ca="1">'Map 1'!V57</f>
        <v>7</v>
      </c>
      <c r="W46" s="1">
        <f ca="1">'Map 1'!W57</f>
        <v>7</v>
      </c>
      <c r="X46" s="1">
        <f ca="1">'Map 1'!X57</f>
        <v>7</v>
      </c>
      <c r="Y46" s="1">
        <f ca="1">'Map 1'!Y57</f>
        <v>7</v>
      </c>
      <c r="Z46" s="1">
        <f ca="1">'Map 1'!Z57</f>
        <v>7</v>
      </c>
      <c r="AA46" s="1">
        <f ca="1">'Map 1'!AA57</f>
        <v>7</v>
      </c>
      <c r="AB46" s="1">
        <f ca="1">'Map 1'!AB57</f>
        <v>8</v>
      </c>
      <c r="AC46" s="1">
        <f ca="1">'Map 1'!AC57</f>
        <v>8</v>
      </c>
      <c r="AD46" s="1">
        <f ca="1">'Map 1'!AD57</f>
        <v>8</v>
      </c>
      <c r="AE46" s="1">
        <f ca="1">'Map 1'!AE57</f>
        <v>8</v>
      </c>
      <c r="AF46" s="1">
        <f ca="1">'Map 1'!AF57</f>
        <v>8</v>
      </c>
      <c r="AG46" s="1">
        <f ca="1">'Map 1'!AG57</f>
        <v>8</v>
      </c>
      <c r="AH46" s="1">
        <f ca="1">'Map 1'!AH57</f>
        <v>8</v>
      </c>
      <c r="AI46" s="1">
        <f ca="1">'Map 1'!AI57</f>
        <v>8</v>
      </c>
      <c r="AJ46" s="1">
        <f ca="1">'Map 1'!AJ57</f>
        <v>8</v>
      </c>
      <c r="AK46" s="1">
        <f ca="1">'Map 1'!AK57</f>
        <v>8</v>
      </c>
      <c r="AL46" s="1">
        <f ca="1">'Map 1'!AL57</f>
        <v>7</v>
      </c>
      <c r="AM46" s="1">
        <f ca="1">'Map 1'!AM57</f>
        <v>7</v>
      </c>
      <c r="AN46" s="1">
        <f ca="1">'Map 1'!AN57</f>
        <v>7</v>
      </c>
      <c r="AO46" s="1">
        <f ca="1">'Map 1'!AO57</f>
        <v>7</v>
      </c>
    </row>
    <row r="47" spans="1:41" ht="12.75">
      <c r="A47" s="1">
        <v>40</v>
      </c>
      <c r="B47" s="1">
        <f ca="1">'Map 1'!B58</f>
        <v>7</v>
      </c>
      <c r="C47" s="1">
        <f ca="1">'Map 1'!C58</f>
        <v>5</v>
      </c>
      <c r="D47" s="1">
        <f ca="1">'Map 1'!D58</f>
        <v>5</v>
      </c>
      <c r="E47" s="1">
        <f ca="1">'Map 1'!E58</f>
        <v>5</v>
      </c>
      <c r="F47" s="1">
        <f ca="1">'Map 1'!F58</f>
        <v>5</v>
      </c>
      <c r="G47" s="1">
        <f ca="1">'Map 1'!G58</f>
        <v>3</v>
      </c>
      <c r="H47" s="1">
        <f ca="1">'Map 1'!H58</f>
        <v>3</v>
      </c>
      <c r="I47" s="1">
        <f ca="1">'Map 1'!I58</f>
        <v>3</v>
      </c>
      <c r="J47" s="1">
        <f ca="1">'Map 1'!J58</f>
        <v>7</v>
      </c>
      <c r="K47" s="1">
        <f ca="1">'Map 1'!K58</f>
        <v>7</v>
      </c>
      <c r="L47" s="1">
        <f ca="1">'Map 1'!L58</f>
        <v>7</v>
      </c>
      <c r="M47" s="1">
        <f ca="1">'Map 1'!M58</f>
        <v>3</v>
      </c>
      <c r="N47" s="1">
        <f ca="1">'Map 1'!N58</f>
        <v>3</v>
      </c>
      <c r="O47" s="1">
        <f ca="1">'Map 1'!O58</f>
        <v>3</v>
      </c>
      <c r="P47" s="1">
        <f ca="1">'Map 1'!P58</f>
        <v>4</v>
      </c>
      <c r="Q47" s="1">
        <f ca="1">'Map 1'!Q58</f>
        <v>4</v>
      </c>
      <c r="R47" s="1">
        <f ca="1">'Map 1'!R58</f>
        <v>4</v>
      </c>
      <c r="S47" s="1">
        <f ca="1">'Map 1'!S58</f>
        <v>4</v>
      </c>
      <c r="T47" s="1">
        <f ca="1">'Map 1'!T58</f>
        <v>4</v>
      </c>
      <c r="U47" s="1">
        <f ca="1">'Map 1'!U58</f>
        <v>4</v>
      </c>
      <c r="V47" s="1">
        <f ca="1">'Map 1'!V58</f>
        <v>8</v>
      </c>
      <c r="W47" s="1">
        <f ca="1">'Map 1'!W58</f>
        <v>7</v>
      </c>
      <c r="X47" s="1">
        <f ca="1">'Map 1'!X58</f>
        <v>7</v>
      </c>
      <c r="Y47" s="1">
        <f ca="1">'Map 1'!Y58</f>
        <v>7</v>
      </c>
      <c r="Z47" s="1">
        <f ca="1">'Map 1'!Z58</f>
        <v>7</v>
      </c>
      <c r="AA47" s="1">
        <f ca="1">'Map 1'!AA58</f>
        <v>7</v>
      </c>
      <c r="AB47" s="1">
        <f ca="1">'Map 1'!AB58</f>
        <v>8</v>
      </c>
      <c r="AC47" s="1">
        <f ca="1">'Map 1'!AC58</f>
        <v>8</v>
      </c>
      <c r="AD47" s="1">
        <f ca="1">'Map 1'!AD58</f>
        <v>8</v>
      </c>
      <c r="AE47" s="1">
        <f ca="1">'Map 1'!AE58</f>
        <v>8</v>
      </c>
      <c r="AF47" s="1">
        <f ca="1">'Map 1'!AF58</f>
        <v>8</v>
      </c>
      <c r="AG47" s="1">
        <f ca="1">'Map 1'!AG58</f>
        <v>8</v>
      </c>
      <c r="AH47" s="1">
        <f ca="1">'Map 1'!AH58</f>
        <v>8</v>
      </c>
      <c r="AI47" s="1">
        <f ca="1">'Map 1'!AI58</f>
        <v>8</v>
      </c>
      <c r="AJ47" s="1">
        <f ca="1">'Map 1'!AJ58</f>
        <v>7</v>
      </c>
      <c r="AK47" s="1">
        <f ca="1">'Map 1'!AK58</f>
        <v>7</v>
      </c>
      <c r="AL47" s="1">
        <f ca="1">'Map 1'!AL58</f>
        <v>7</v>
      </c>
      <c r="AM47" s="1">
        <f ca="1">'Map 1'!AM58</f>
        <v>7</v>
      </c>
      <c r="AN47" s="1">
        <f ca="1">'Map 1'!AN58</f>
        <v>7</v>
      </c>
      <c r="AO47" s="1">
        <f ca="1">'Map 1'!AO58</f>
        <v>7</v>
      </c>
    </row>
  </sheetData>
  <conditionalFormatting sqref="A1:B4">
    <cfRule type="cellIs" dxfId="381" priority="9" operator="equal">
      <formula>-1</formula>
    </cfRule>
    <cfRule type="cellIs" dxfId="380" priority="10" operator="equal">
      <formula>-2</formula>
    </cfRule>
    <cfRule type="cellIs" dxfId="379" priority="11" operator="equal">
      <formula>-3</formula>
    </cfRule>
  </conditionalFormatting>
  <conditionalFormatting sqref="B8:AO47">
    <cfRule type="cellIs" dxfId="378" priority="1" operator="equal">
      <formula>1</formula>
    </cfRule>
    <cfRule type="cellIs" dxfId="377" priority="2" operator="equal">
      <formula>2</formula>
    </cfRule>
    <cfRule type="cellIs" dxfId="376" priority="3" operator="equal">
      <formula>3</formula>
    </cfRule>
    <cfRule type="cellIs" dxfId="375" priority="4" operator="equal">
      <formula>4</formula>
    </cfRule>
    <cfRule type="cellIs" dxfId="374" priority="5" operator="equal">
      <formula>5</formula>
    </cfRule>
    <cfRule type="cellIs" dxfId="373" priority="6" operator="equal">
      <formula>6</formula>
    </cfRule>
    <cfRule type="cellIs" dxfId="372" priority="7" operator="equal">
      <formula>7</formula>
    </cfRule>
    <cfRule type="cellIs" dxfId="371" priority="8" operator="equal">
      <formula>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47"/>
  <sheetViews>
    <sheetView topLeftCell="A7" workbookViewId="0">
      <selection activeCell="A7" sqref="A7"/>
    </sheetView>
  </sheetViews>
  <sheetFormatPr defaultColWidth="12.5703125" defaultRowHeight="15.75" customHeight="1"/>
  <cols>
    <col min="1" max="1" width="3.7109375" customWidth="1"/>
    <col min="2" max="41" width="14.28515625" customWidth="1"/>
  </cols>
  <sheetData>
    <row r="1" spans="1:47" ht="15.75" hidden="1" customHeight="1">
      <c r="A1" s="1">
        <v>1</v>
      </c>
      <c r="B1" s="5" t="s">
        <v>5</v>
      </c>
      <c r="C1" s="1"/>
      <c r="D1" s="1"/>
      <c r="E1" s="1"/>
      <c r="F1" s="1"/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7" ht="12.75" hidden="1">
      <c r="A2" s="1">
        <v>2</v>
      </c>
      <c r="B2" s="6" t="s">
        <v>7</v>
      </c>
      <c r="C2" s="1"/>
      <c r="D2" s="1"/>
      <c r="E2" s="1"/>
      <c r="F2" s="1"/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7" ht="13.5" hidden="1">
      <c r="A3" s="1">
        <v>3</v>
      </c>
      <c r="B3" s="2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7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7" ht="12.75" hidden="1">
      <c r="A4" s="1">
        <v>0</v>
      </c>
      <c r="B4" s="4" t="s">
        <v>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7" ht="12.75" hidden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7" ht="12.75" hidden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7" ht="12.75">
      <c r="A7" s="1">
        <f>'Map 2 Dont Touch'!A7</f>
        <v>0</v>
      </c>
      <c r="B7" s="1">
        <f>'Map 2 Dont Touch'!B7</f>
        <v>1</v>
      </c>
      <c r="C7" s="1">
        <f>'Map 2 Dont Touch'!C7</f>
        <v>2</v>
      </c>
      <c r="D7" s="1">
        <f>'Map 2 Dont Touch'!D7</f>
        <v>3</v>
      </c>
      <c r="E7" s="1">
        <f>'Map 2 Dont Touch'!E7</f>
        <v>4</v>
      </c>
      <c r="F7" s="1">
        <f>'Map 2 Dont Touch'!F7</f>
        <v>5</v>
      </c>
      <c r="G7" s="1">
        <f>'Map 2 Dont Touch'!G7</f>
        <v>6</v>
      </c>
      <c r="H7" s="1">
        <f>'Map 2 Dont Touch'!H7</f>
        <v>7</v>
      </c>
      <c r="I7" s="1">
        <f>'Map 2 Dont Touch'!I7</f>
        <v>8</v>
      </c>
      <c r="J7" s="1">
        <f>'Map 2 Dont Touch'!J7</f>
        <v>9</v>
      </c>
      <c r="K7" s="1">
        <f>'Map 2 Dont Touch'!K7</f>
        <v>10</v>
      </c>
      <c r="L7" s="1">
        <f>'Map 2 Dont Touch'!L7</f>
        <v>11</v>
      </c>
      <c r="M7" s="1">
        <f>'Map 2 Dont Touch'!M7</f>
        <v>12</v>
      </c>
      <c r="N7" s="1">
        <f>'Map 2 Dont Touch'!N7</f>
        <v>13</v>
      </c>
      <c r="O7" s="1">
        <f>'Map 2 Dont Touch'!O7</f>
        <v>14</v>
      </c>
      <c r="P7" s="1">
        <f>'Map 2 Dont Touch'!P7</f>
        <v>15</v>
      </c>
      <c r="Q7" s="1">
        <f>'Map 2 Dont Touch'!Q7</f>
        <v>16</v>
      </c>
      <c r="R7" s="1">
        <f>'Map 2 Dont Touch'!R7</f>
        <v>17</v>
      </c>
      <c r="S7" s="1">
        <f>'Map 2 Dont Touch'!S7</f>
        <v>18</v>
      </c>
      <c r="T7" s="1">
        <f>'Map 2 Dont Touch'!T7</f>
        <v>19</v>
      </c>
      <c r="U7" s="1">
        <f>'Map 2 Dont Touch'!U7</f>
        <v>20</v>
      </c>
      <c r="V7" s="1">
        <f>'Map 2 Dont Touch'!V7</f>
        <v>21</v>
      </c>
      <c r="W7" s="1">
        <f>'Map 2 Dont Touch'!W7</f>
        <v>22</v>
      </c>
      <c r="X7" s="1">
        <f>'Map 2 Dont Touch'!X7</f>
        <v>23</v>
      </c>
      <c r="Y7" s="1">
        <f>'Map 2 Dont Touch'!Y7</f>
        <v>24</v>
      </c>
      <c r="Z7" s="1">
        <f>'Map 2 Dont Touch'!Z7</f>
        <v>25</v>
      </c>
      <c r="AA7" s="1">
        <f>'Map 2 Dont Touch'!AA7</f>
        <v>26</v>
      </c>
      <c r="AB7" s="1">
        <f>'Map 2 Dont Touch'!AB7</f>
        <v>27</v>
      </c>
      <c r="AC7" s="1">
        <f>'Map 2 Dont Touch'!AC7</f>
        <v>28</v>
      </c>
      <c r="AD7" s="1">
        <f>'Map 2 Dont Touch'!AD7</f>
        <v>29</v>
      </c>
      <c r="AE7" s="1">
        <f>'Map 2 Dont Touch'!AE7</f>
        <v>30</v>
      </c>
      <c r="AF7" s="1">
        <f>'Map 2 Dont Touch'!AF7</f>
        <v>31</v>
      </c>
      <c r="AG7" s="1">
        <f>'Map 2 Dont Touch'!AG7</f>
        <v>32</v>
      </c>
      <c r="AH7" s="1">
        <f>'Map 2 Dont Touch'!AH7</f>
        <v>33</v>
      </c>
      <c r="AI7" s="1">
        <f>'Map 2 Dont Touch'!AI7</f>
        <v>34</v>
      </c>
      <c r="AJ7" s="1">
        <f>'Map 2 Dont Touch'!AJ7</f>
        <v>35</v>
      </c>
      <c r="AK7" s="1">
        <f>'Map 2 Dont Touch'!AK7</f>
        <v>36</v>
      </c>
      <c r="AL7" s="1">
        <f>'Map 2 Dont Touch'!AL7</f>
        <v>37</v>
      </c>
      <c r="AM7" s="1">
        <f>'Map 2 Dont Touch'!AM7</f>
        <v>38</v>
      </c>
      <c r="AN7" s="1">
        <f>'Map 2 Dont Touch'!AN7</f>
        <v>39</v>
      </c>
      <c r="AO7" s="1">
        <f>'Map 2 Dont Touch'!AO7</f>
        <v>40</v>
      </c>
    </row>
    <row r="8" spans="1:47" ht="37.5" customHeight="1">
      <c r="A8" s="1">
        <f>'Map 2 Dont Touch'!A8</f>
        <v>1</v>
      </c>
      <c r="B8" s="1">
        <f ca="1">'Map 2 Dont Touch'!B8</f>
        <v>6</v>
      </c>
      <c r="C8" s="1">
        <f ca="1">'Map 2 Dont Touch'!C8</f>
        <v>2</v>
      </c>
      <c r="D8" s="1">
        <f ca="1">'Map 2 Dont Touch'!D8</f>
        <v>2</v>
      </c>
      <c r="E8" s="1">
        <f ca="1">'Map 2 Dont Touch'!E8</f>
        <v>2</v>
      </c>
      <c r="F8" s="1">
        <f ca="1">'Map 2 Dont Touch'!F8</f>
        <v>6</v>
      </c>
      <c r="G8" s="1">
        <f ca="1">'Map 2 Dont Touch'!G8</f>
        <v>5</v>
      </c>
      <c r="H8" s="1">
        <f ca="1">'Map 2 Dont Touch'!H8</f>
        <v>5</v>
      </c>
      <c r="I8" s="1">
        <f ca="1">'Map 2 Dont Touch'!I8</f>
        <v>5</v>
      </c>
      <c r="J8" s="1">
        <f ca="1">'Map 2 Dont Touch'!J8</f>
        <v>5</v>
      </c>
      <c r="K8" s="1">
        <f ca="1">'Map 2 Dont Touch'!K8</f>
        <v>5</v>
      </c>
      <c r="L8" s="1">
        <f ca="1">'Map 2 Dont Touch'!L8</f>
        <v>8</v>
      </c>
      <c r="M8" s="1">
        <f ca="1">'Map 2 Dont Touch'!M8</f>
        <v>8</v>
      </c>
      <c r="N8" s="1">
        <f ca="1">'Map 2 Dont Touch'!N8</f>
        <v>8</v>
      </c>
      <c r="O8" s="1">
        <f ca="1">'Map 2 Dont Touch'!O8</f>
        <v>8</v>
      </c>
      <c r="P8" s="1">
        <f ca="1">'Map 2 Dont Touch'!P8</f>
        <v>8</v>
      </c>
      <c r="Q8" s="1">
        <f ca="1">'Map 2 Dont Touch'!Q8</f>
        <v>5</v>
      </c>
      <c r="R8" s="1">
        <f ca="1">'Map 2 Dont Touch'!R8</f>
        <v>5</v>
      </c>
      <c r="S8" s="1">
        <f ca="1">'Map 2 Dont Touch'!S8</f>
        <v>5</v>
      </c>
      <c r="T8" s="1">
        <f ca="1">'Map 2 Dont Touch'!T8</f>
        <v>5</v>
      </c>
      <c r="U8" s="1">
        <f ca="1">'Map 2 Dont Touch'!U8</f>
        <v>8</v>
      </c>
      <c r="V8" s="1">
        <f ca="1">'Map 2 Dont Touch'!V8</f>
        <v>8</v>
      </c>
      <c r="W8" s="1">
        <f ca="1">'Map 2 Dont Touch'!W8</f>
        <v>8</v>
      </c>
      <c r="X8" s="1">
        <f ca="1">'Map 2 Dont Touch'!X8</f>
        <v>8</v>
      </c>
      <c r="Y8" s="1">
        <f ca="1">'Map 2 Dont Touch'!Y8</f>
        <v>8</v>
      </c>
      <c r="Z8" s="1">
        <f ca="1">'Map 2 Dont Touch'!Z8</f>
        <v>6</v>
      </c>
      <c r="AA8" s="1">
        <f ca="1">'Map 2 Dont Touch'!AA8</f>
        <v>6</v>
      </c>
      <c r="AB8" s="1">
        <f ca="1">'Map 2 Dont Touch'!AB8</f>
        <v>6</v>
      </c>
      <c r="AC8" s="1">
        <f ca="1">'Map 2 Dont Touch'!AC8</f>
        <v>2</v>
      </c>
      <c r="AD8" s="1">
        <f ca="1">'Map 2 Dont Touch'!AD8</f>
        <v>6</v>
      </c>
      <c r="AE8" s="1">
        <f ca="1">'Map 2 Dont Touch'!AE8</f>
        <v>2</v>
      </c>
      <c r="AF8" s="1">
        <f ca="1">'Map 2 Dont Touch'!AF8</f>
        <v>4</v>
      </c>
      <c r="AG8" s="1">
        <f ca="1">'Map 2 Dont Touch'!AG8</f>
        <v>4</v>
      </c>
      <c r="AH8" s="1">
        <f ca="1">'Map 2 Dont Touch'!AH8</f>
        <v>4</v>
      </c>
      <c r="AI8" s="1">
        <f ca="1">'Map 2 Dont Touch'!AI8</f>
        <v>4</v>
      </c>
      <c r="AJ8" s="1">
        <f ca="1">'Map 2 Dont Touch'!AJ8</f>
        <v>2</v>
      </c>
      <c r="AK8" s="1">
        <f ca="1">'Map 2 Dont Touch'!AK8</f>
        <v>4</v>
      </c>
      <c r="AL8" s="1">
        <f ca="1">'Map 2 Dont Touch'!AL8</f>
        <v>6</v>
      </c>
      <c r="AM8" s="1">
        <f ca="1">'Map 2 Dont Touch'!AM8</f>
        <v>6</v>
      </c>
      <c r="AN8" s="1">
        <f ca="1">'Map 2 Dont Touch'!AN8</f>
        <v>6</v>
      </c>
      <c r="AO8" s="1">
        <f ca="1">'Map 2 Dont Touch'!AO8</f>
        <v>2</v>
      </c>
      <c r="AP8" s="1"/>
      <c r="AQ8" s="1"/>
      <c r="AR8" s="1"/>
      <c r="AS8" s="1"/>
      <c r="AT8" s="1"/>
      <c r="AU8" s="1"/>
    </row>
    <row r="9" spans="1:47" ht="37.5" customHeight="1">
      <c r="A9" s="1">
        <f>'Map 2 Dont Touch'!A9</f>
        <v>2</v>
      </c>
      <c r="B9" s="1">
        <f ca="1">'Map 2 Dont Touch'!B9</f>
        <v>2</v>
      </c>
      <c r="C9" s="1">
        <f ca="1">'Map 2 Dont Touch'!C9</f>
        <v>2</v>
      </c>
      <c r="D9" s="1">
        <f ca="1">'Map 2 Dont Touch'!D9</f>
        <v>2</v>
      </c>
      <c r="E9" s="1">
        <f ca="1">'Map 2 Dont Touch'!E9</f>
        <v>2</v>
      </c>
      <c r="F9" s="1">
        <f ca="1">'Map 2 Dont Touch'!F9</f>
        <v>2</v>
      </c>
      <c r="G9" s="1">
        <f ca="1">'Map 2 Dont Touch'!G9</f>
        <v>5</v>
      </c>
      <c r="H9" s="1">
        <f ca="1">'Map 2 Dont Touch'!H9</f>
        <v>5</v>
      </c>
      <c r="I9" s="1">
        <f ca="1">'Map 2 Dont Touch'!I9</f>
        <v>5</v>
      </c>
      <c r="J9" s="1">
        <f ca="1">'Map 2 Dont Touch'!J9</f>
        <v>5</v>
      </c>
      <c r="K9" s="1">
        <f ca="1">'Map 2 Dont Touch'!K9</f>
        <v>5</v>
      </c>
      <c r="L9" s="1">
        <f ca="1">'Map 2 Dont Touch'!L9</f>
        <v>5</v>
      </c>
      <c r="M9" s="1">
        <f ca="1">'Map 2 Dont Touch'!M9</f>
        <v>8</v>
      </c>
      <c r="N9" s="1">
        <f ca="1">'Map 2 Dont Touch'!N9</f>
        <v>8</v>
      </c>
      <c r="O9" s="1">
        <f ca="1">'Map 2 Dont Touch'!O9</f>
        <v>8</v>
      </c>
      <c r="P9" s="1">
        <f ca="1">'Map 2 Dont Touch'!P9</f>
        <v>5</v>
      </c>
      <c r="Q9" s="1">
        <f ca="1">'Map 2 Dont Touch'!Q9</f>
        <v>5</v>
      </c>
      <c r="R9" s="1">
        <f ca="1">'Map 2 Dont Touch'!R9</f>
        <v>5</v>
      </c>
      <c r="S9" s="1">
        <f ca="1">'Map 2 Dont Touch'!S9</f>
        <v>5</v>
      </c>
      <c r="T9" s="1">
        <f ca="1">'Map 2 Dont Touch'!T9</f>
        <v>5</v>
      </c>
      <c r="U9" s="1">
        <f ca="1">'Map 2 Dont Touch'!U9</f>
        <v>5</v>
      </c>
      <c r="V9" s="1">
        <f ca="1">'Map 2 Dont Touch'!V9</f>
        <v>5</v>
      </c>
      <c r="W9" s="1">
        <f ca="1">'Map 2 Dont Touch'!W9</f>
        <v>8</v>
      </c>
      <c r="X9" s="1">
        <f ca="1">'Map 2 Dont Touch'!X9</f>
        <v>8</v>
      </c>
      <c r="Y9" s="1">
        <f ca="1">'Map 2 Dont Touch'!Y9</f>
        <v>8</v>
      </c>
      <c r="Z9" s="1">
        <f ca="1">'Map 2 Dont Touch'!Z9</f>
        <v>8</v>
      </c>
      <c r="AA9" s="1">
        <f ca="1">'Map 2 Dont Touch'!AA9</f>
        <v>6</v>
      </c>
      <c r="AB9" s="1">
        <f ca="1">'Map 2 Dont Touch'!AB9</f>
        <v>6</v>
      </c>
      <c r="AC9" s="1">
        <f ca="1">'Map 2 Dont Touch'!AC9</f>
        <v>6</v>
      </c>
      <c r="AD9" s="1">
        <f ca="1">'Map 2 Dont Touch'!AD9</f>
        <v>2</v>
      </c>
      <c r="AE9" s="1">
        <f ca="1">'Map 2 Dont Touch'!AE9</f>
        <v>2</v>
      </c>
      <c r="AF9" s="1">
        <f ca="1">'Map 2 Dont Touch'!AF9</f>
        <v>2</v>
      </c>
      <c r="AG9" s="1">
        <f ca="1">'Map 2 Dont Touch'!AG9</f>
        <v>4</v>
      </c>
      <c r="AH9" s="1">
        <f ca="1">'Map 2 Dont Touch'!AH9</f>
        <v>4</v>
      </c>
      <c r="AI9" s="1">
        <f ca="1">'Map 2 Dont Touch'!AI9</f>
        <v>4</v>
      </c>
      <c r="AJ9" s="1">
        <f ca="1">'Map 2 Dont Touch'!AJ9</f>
        <v>4</v>
      </c>
      <c r="AK9" s="1">
        <f ca="1">'Map 2 Dont Touch'!AK9</f>
        <v>2</v>
      </c>
      <c r="AL9" s="1">
        <f ca="1">'Map 2 Dont Touch'!AL9</f>
        <v>2</v>
      </c>
      <c r="AM9" s="1">
        <f ca="1">'Map 2 Dont Touch'!AM9</f>
        <v>6</v>
      </c>
      <c r="AN9" s="1">
        <f ca="1">'Map 2 Dont Touch'!AN9</f>
        <v>6</v>
      </c>
      <c r="AO9" s="1">
        <f ca="1">'Map 2 Dont Touch'!AO9</f>
        <v>2</v>
      </c>
      <c r="AP9" s="1"/>
      <c r="AQ9" s="1"/>
      <c r="AR9" s="1"/>
      <c r="AS9" s="1"/>
      <c r="AT9" s="1"/>
      <c r="AU9" s="1"/>
    </row>
    <row r="10" spans="1:47" ht="37.5" customHeight="1">
      <c r="A10" s="1">
        <f>'Map 2 Dont Touch'!A10</f>
        <v>3</v>
      </c>
      <c r="B10" s="1">
        <f ca="1">'Map 2 Dont Touch'!B10</f>
        <v>6</v>
      </c>
      <c r="C10" s="1">
        <f ca="1">'Map 2 Dont Touch'!C10</f>
        <v>2</v>
      </c>
      <c r="D10" s="1">
        <f ca="1">'Map 2 Dont Touch'!D10</f>
        <v>2</v>
      </c>
      <c r="E10" s="1">
        <f ca="1">'Map 2 Dont Touch'!E10</f>
        <v>2</v>
      </c>
      <c r="F10" s="1">
        <f ca="1">'Map 2 Dont Touch'!F10</f>
        <v>6</v>
      </c>
      <c r="G10" s="1">
        <f ca="1">'Map 2 Dont Touch'!G10</f>
        <v>5</v>
      </c>
      <c r="H10" s="1">
        <f ca="1">'Map 2 Dont Touch'!H10</f>
        <v>5</v>
      </c>
      <c r="I10" s="1">
        <f ca="1">'Map 2 Dont Touch'!I10</f>
        <v>5</v>
      </c>
      <c r="J10" s="1">
        <f ca="1">'Map 2 Dont Touch'!J10</f>
        <v>5</v>
      </c>
      <c r="K10" s="1">
        <f ca="1">'Map 2 Dont Touch'!K10</f>
        <v>8</v>
      </c>
      <c r="L10" s="1">
        <f ca="1">'Map 2 Dont Touch'!L10</f>
        <v>5</v>
      </c>
      <c r="M10" s="1">
        <f ca="1">'Map 2 Dont Touch'!M10</f>
        <v>8</v>
      </c>
      <c r="N10" s="1">
        <f ca="1">'Map 2 Dont Touch'!N10</f>
        <v>8</v>
      </c>
      <c r="O10" s="1">
        <f ca="1">'Map 2 Dont Touch'!O10</f>
        <v>8</v>
      </c>
      <c r="P10" s="1">
        <f ca="1">'Map 2 Dont Touch'!P10</f>
        <v>5</v>
      </c>
      <c r="Q10" s="1">
        <f ca="1">'Map 2 Dont Touch'!Q10</f>
        <v>5</v>
      </c>
      <c r="R10" s="1">
        <f ca="1">'Map 2 Dont Touch'!R10</f>
        <v>5</v>
      </c>
      <c r="S10" s="1">
        <f ca="1">'Map 2 Dont Touch'!S10</f>
        <v>5</v>
      </c>
      <c r="T10" s="1">
        <f ca="1">'Map 2 Dont Touch'!T10</f>
        <v>5</v>
      </c>
      <c r="U10" s="1">
        <f ca="1">'Map 2 Dont Touch'!U10</f>
        <v>5</v>
      </c>
      <c r="V10" s="1">
        <f ca="1">'Map 2 Dont Touch'!V10</f>
        <v>8</v>
      </c>
      <c r="W10" s="1">
        <f ca="1">'Map 2 Dont Touch'!W10</f>
        <v>8</v>
      </c>
      <c r="X10" s="1">
        <f ca="1">'Map 2 Dont Touch'!X10</f>
        <v>8</v>
      </c>
      <c r="Y10" s="1">
        <f ca="1">'Map 2 Dont Touch'!Y10</f>
        <v>8</v>
      </c>
      <c r="Z10" s="1">
        <f ca="1">'Map 2 Dont Touch'!Z10</f>
        <v>8</v>
      </c>
      <c r="AA10" s="1">
        <f ca="1">'Map 2 Dont Touch'!AA10</f>
        <v>6</v>
      </c>
      <c r="AB10" s="1">
        <f ca="1">'Map 2 Dont Touch'!AB10</f>
        <v>6</v>
      </c>
      <c r="AC10" s="1">
        <f ca="1">'Map 2 Dont Touch'!AC10</f>
        <v>6</v>
      </c>
      <c r="AD10" s="1">
        <f ca="1">'Map 2 Dont Touch'!AD10</f>
        <v>2</v>
      </c>
      <c r="AE10" s="1">
        <f ca="1">'Map 2 Dont Touch'!AE10</f>
        <v>2</v>
      </c>
      <c r="AF10" s="1">
        <f ca="1">'Map 2 Dont Touch'!AF10</f>
        <v>2</v>
      </c>
      <c r="AG10" s="1">
        <f ca="1">'Map 2 Dont Touch'!AG10</f>
        <v>4</v>
      </c>
      <c r="AH10" s="1">
        <f ca="1">'Map 2 Dont Touch'!AH10</f>
        <v>4</v>
      </c>
      <c r="AI10" s="1">
        <f ca="1">'Map 2 Dont Touch'!AI10</f>
        <v>4</v>
      </c>
      <c r="AJ10" s="1">
        <f ca="1">'Map 2 Dont Touch'!AJ10</f>
        <v>4</v>
      </c>
      <c r="AK10" s="1">
        <f ca="1">'Map 2 Dont Touch'!AK10</f>
        <v>2</v>
      </c>
      <c r="AL10" s="1">
        <f ca="1">'Map 2 Dont Touch'!AL10</f>
        <v>2</v>
      </c>
      <c r="AM10" s="1">
        <f ca="1">'Map 2 Dont Touch'!AM10</f>
        <v>6</v>
      </c>
      <c r="AN10" s="1">
        <f ca="1">'Map 2 Dont Touch'!AN10</f>
        <v>6</v>
      </c>
      <c r="AO10" s="1">
        <f ca="1">'Map 2 Dont Touch'!AO10</f>
        <v>6</v>
      </c>
      <c r="AP10" s="1"/>
      <c r="AQ10" s="1"/>
      <c r="AR10" s="1"/>
      <c r="AS10" s="1"/>
      <c r="AT10" s="1"/>
      <c r="AU10" s="1"/>
    </row>
    <row r="11" spans="1:47" ht="37.5" customHeight="1">
      <c r="A11" s="1">
        <f>'Map 2 Dont Touch'!A11</f>
        <v>4</v>
      </c>
      <c r="B11" s="1">
        <f ca="1">'Map 2 Dont Touch'!B11</f>
        <v>6</v>
      </c>
      <c r="C11" s="1">
        <f ca="1">'Map 2 Dont Touch'!C11</f>
        <v>2</v>
      </c>
      <c r="D11" s="1">
        <f ca="1">'Map 2 Dont Touch'!D11</f>
        <v>2</v>
      </c>
      <c r="E11" s="1">
        <f ca="1">'Map 2 Dont Touch'!E11</f>
        <v>6</v>
      </c>
      <c r="F11" s="1">
        <f ca="1">'Map 2 Dont Touch'!F11</f>
        <v>6</v>
      </c>
      <c r="G11" s="1">
        <f ca="1">'Map 2 Dont Touch'!G11</f>
        <v>6</v>
      </c>
      <c r="H11" s="1">
        <f ca="1">'Map 2 Dont Touch'!H11</f>
        <v>5</v>
      </c>
      <c r="I11" s="1">
        <f ca="1">'Map 2 Dont Touch'!I11</f>
        <v>5</v>
      </c>
      <c r="J11" s="1">
        <f ca="1">'Map 2 Dont Touch'!J11</f>
        <v>5</v>
      </c>
      <c r="K11" s="1">
        <f ca="1">'Map 2 Dont Touch'!K11</f>
        <v>8</v>
      </c>
      <c r="L11" s="1">
        <f ca="1">'Map 2 Dont Touch'!L11</f>
        <v>8</v>
      </c>
      <c r="M11" s="1">
        <f ca="1">'Map 2 Dont Touch'!M11</f>
        <v>8</v>
      </c>
      <c r="N11" s="1">
        <f ca="1">'Map 2 Dont Touch'!N11</f>
        <v>8</v>
      </c>
      <c r="O11" s="1">
        <f ca="1">'Map 2 Dont Touch'!O11</f>
        <v>8</v>
      </c>
      <c r="P11" s="1">
        <f ca="1">'Map 2 Dont Touch'!P11</f>
        <v>8</v>
      </c>
      <c r="Q11" s="1">
        <f ca="1">'Map 2 Dont Touch'!Q11</f>
        <v>8</v>
      </c>
      <c r="R11" s="1">
        <f ca="1">'Map 2 Dont Touch'!R11</f>
        <v>5</v>
      </c>
      <c r="S11" s="1">
        <f ca="1">'Map 2 Dont Touch'!S11</f>
        <v>5</v>
      </c>
      <c r="T11" s="1">
        <f ca="1">'Map 2 Dont Touch'!T11</f>
        <v>5</v>
      </c>
      <c r="U11" s="1">
        <f ca="1">'Map 2 Dont Touch'!U11</f>
        <v>5</v>
      </c>
      <c r="V11" s="1">
        <f ca="1">'Map 2 Dont Touch'!V11</f>
        <v>8</v>
      </c>
      <c r="W11" s="1">
        <f ca="1">'Map 2 Dont Touch'!W11</f>
        <v>8</v>
      </c>
      <c r="X11" s="1">
        <f ca="1">'Map 2 Dont Touch'!X11</f>
        <v>8</v>
      </c>
      <c r="Y11" s="1">
        <f ca="1">'Map 2 Dont Touch'!Y11</f>
        <v>8</v>
      </c>
      <c r="Z11" s="1">
        <f ca="1">'Map 2 Dont Touch'!Z11</f>
        <v>8</v>
      </c>
      <c r="AA11" s="1">
        <f ca="1">'Map 2 Dont Touch'!AA11</f>
        <v>6</v>
      </c>
      <c r="AB11" s="1">
        <f ca="1">'Map 2 Dont Touch'!AB11</f>
        <v>6</v>
      </c>
      <c r="AC11" s="1">
        <f ca="1">'Map 2 Dont Touch'!AC11</f>
        <v>6</v>
      </c>
      <c r="AD11" s="1">
        <f ca="1">'Map 2 Dont Touch'!AD11</f>
        <v>6</v>
      </c>
      <c r="AE11" s="1">
        <f ca="1">'Map 2 Dont Touch'!AE11</f>
        <v>4</v>
      </c>
      <c r="AF11" s="1">
        <f ca="1">'Map 2 Dont Touch'!AF11</f>
        <v>4</v>
      </c>
      <c r="AG11" s="1">
        <f ca="1">'Map 2 Dont Touch'!AG11</f>
        <v>4</v>
      </c>
      <c r="AH11" s="1">
        <f ca="1">'Map 2 Dont Touch'!AH11</f>
        <v>4</v>
      </c>
      <c r="AI11" s="1">
        <f ca="1">'Map 2 Dont Touch'!AI11</f>
        <v>4</v>
      </c>
      <c r="AJ11" s="1">
        <f ca="1">'Map 2 Dont Touch'!AJ11</f>
        <v>2</v>
      </c>
      <c r="AK11" s="1">
        <f ca="1">'Map 2 Dont Touch'!AK11</f>
        <v>4</v>
      </c>
      <c r="AL11" s="1">
        <f ca="1">'Map 2 Dont Touch'!AL11</f>
        <v>2</v>
      </c>
      <c r="AM11" s="1">
        <f ca="1">'Map 2 Dont Touch'!AM11</f>
        <v>6</v>
      </c>
      <c r="AN11" s="1">
        <f ca="1">'Map 2 Dont Touch'!AN11</f>
        <v>2</v>
      </c>
      <c r="AO11" s="1">
        <f ca="1">'Map 2 Dont Touch'!AO11</f>
        <v>2</v>
      </c>
      <c r="AP11" s="1"/>
      <c r="AQ11" s="1"/>
      <c r="AR11" s="1"/>
      <c r="AS11" s="1"/>
      <c r="AT11" s="1"/>
      <c r="AU11" s="1"/>
    </row>
    <row r="12" spans="1:47" ht="37.5" customHeight="1">
      <c r="A12" s="1">
        <f>'Map 2 Dont Touch'!A12</f>
        <v>5</v>
      </c>
      <c r="B12" s="1">
        <f ca="1">'Map 2 Dont Touch'!B12</f>
        <v>6</v>
      </c>
      <c r="C12" s="1">
        <f ca="1">'Map 2 Dont Touch'!C12</f>
        <v>6</v>
      </c>
      <c r="D12" s="1">
        <f ca="1">'Map 2 Dont Touch'!D12</f>
        <v>2</v>
      </c>
      <c r="E12" s="1">
        <f ca="1">'Map 2 Dont Touch'!E12</f>
        <v>1</v>
      </c>
      <c r="F12" s="1">
        <f ca="1">'Map 2 Dont Touch'!F12</f>
        <v>5</v>
      </c>
      <c r="G12" s="1">
        <f ca="1">'Map 2 Dont Touch'!G12</f>
        <v>8</v>
      </c>
      <c r="H12" s="1">
        <f ca="1">'Map 2 Dont Touch'!H12</f>
        <v>8</v>
      </c>
      <c r="I12" s="1">
        <f ca="1">'Map 2 Dont Touch'!I12</f>
        <v>5</v>
      </c>
      <c r="J12" s="1">
        <f ca="1">'Map 2 Dont Touch'!J12</f>
        <v>5</v>
      </c>
      <c r="K12" s="1">
        <f ca="1">'Map 2 Dont Touch'!K12</f>
        <v>8</v>
      </c>
      <c r="L12" s="1">
        <f ca="1">'Map 2 Dont Touch'!L12</f>
        <v>8</v>
      </c>
      <c r="M12" s="1">
        <f ca="1">'Map 2 Dont Touch'!M12</f>
        <v>5</v>
      </c>
      <c r="N12" s="1">
        <f ca="1">'Map 2 Dont Touch'!N12</f>
        <v>8</v>
      </c>
      <c r="O12" s="1">
        <f ca="1">'Map 2 Dont Touch'!O12</f>
        <v>5</v>
      </c>
      <c r="P12" s="1">
        <f ca="1">'Map 2 Dont Touch'!P12</f>
        <v>8</v>
      </c>
      <c r="Q12" s="1">
        <f ca="1">'Map 2 Dont Touch'!Q12</f>
        <v>5</v>
      </c>
      <c r="R12" s="1">
        <f ca="1">'Map 2 Dont Touch'!R12</f>
        <v>5</v>
      </c>
      <c r="S12" s="1">
        <f ca="1">'Map 2 Dont Touch'!S12</f>
        <v>5</v>
      </c>
      <c r="T12" s="1">
        <f ca="1">'Map 2 Dont Touch'!T12</f>
        <v>5</v>
      </c>
      <c r="U12" s="1">
        <f ca="1">'Map 2 Dont Touch'!U12</f>
        <v>5</v>
      </c>
      <c r="V12" s="1">
        <f ca="1">'Map 2 Dont Touch'!V12</f>
        <v>8</v>
      </c>
      <c r="W12" s="1">
        <f ca="1">'Map 2 Dont Touch'!W12</f>
        <v>8</v>
      </c>
      <c r="X12" s="1">
        <f ca="1">'Map 2 Dont Touch'!X12</f>
        <v>8</v>
      </c>
      <c r="Y12" s="1">
        <f ca="1">'Map 2 Dont Touch'!Y12</f>
        <v>8</v>
      </c>
      <c r="Z12" s="1">
        <f ca="1">'Map 2 Dont Touch'!Z12</f>
        <v>5</v>
      </c>
      <c r="AA12" s="1">
        <f ca="1">'Map 2 Dont Touch'!AA12</f>
        <v>8</v>
      </c>
      <c r="AB12" s="1">
        <f ca="1">'Map 2 Dont Touch'!AB12</f>
        <v>8</v>
      </c>
      <c r="AC12" s="1">
        <f ca="1">'Map 2 Dont Touch'!AC12</f>
        <v>6</v>
      </c>
      <c r="AD12" s="1">
        <f ca="1">'Map 2 Dont Touch'!AD12</f>
        <v>8</v>
      </c>
      <c r="AE12" s="1">
        <f ca="1">'Map 2 Dont Touch'!AE12</f>
        <v>4</v>
      </c>
      <c r="AF12" s="1">
        <f ca="1">'Map 2 Dont Touch'!AF12</f>
        <v>6</v>
      </c>
      <c r="AG12" s="1">
        <f ca="1">'Map 2 Dont Touch'!AG12</f>
        <v>2</v>
      </c>
      <c r="AH12" s="1">
        <f ca="1">'Map 2 Dont Touch'!AH12</f>
        <v>8</v>
      </c>
      <c r="AI12" s="1">
        <f ca="1">'Map 2 Dont Touch'!AI12</f>
        <v>8</v>
      </c>
      <c r="AJ12" s="1">
        <f ca="1">'Map 2 Dont Touch'!AJ12</f>
        <v>6</v>
      </c>
      <c r="AK12" s="1">
        <f ca="1">'Map 2 Dont Touch'!AK12</f>
        <v>6</v>
      </c>
      <c r="AL12" s="1">
        <f ca="1">'Map 2 Dont Touch'!AL12</f>
        <v>6</v>
      </c>
      <c r="AM12" s="1">
        <f ca="1">'Map 2 Dont Touch'!AM12</f>
        <v>1</v>
      </c>
      <c r="AN12" s="1">
        <f ca="1">'Map 2 Dont Touch'!AN12</f>
        <v>2</v>
      </c>
      <c r="AO12" s="1">
        <f ca="1">'Map 2 Dont Touch'!AO12</f>
        <v>5</v>
      </c>
      <c r="AP12" s="1"/>
      <c r="AQ12" s="1"/>
      <c r="AR12" s="1"/>
      <c r="AS12" s="1"/>
      <c r="AT12" s="1"/>
      <c r="AU12" s="1"/>
    </row>
    <row r="13" spans="1:47" ht="37.5" customHeight="1">
      <c r="A13" s="1">
        <f>'Map 2 Dont Touch'!A13</f>
        <v>6</v>
      </c>
      <c r="B13" s="1">
        <f ca="1">'Map 2 Dont Touch'!B13</f>
        <v>1</v>
      </c>
      <c r="C13" s="1">
        <f ca="1">'Map 2 Dont Touch'!C13</f>
        <v>6</v>
      </c>
      <c r="D13" s="1">
        <f ca="1">'Map 2 Dont Touch'!D13</f>
        <v>6</v>
      </c>
      <c r="E13" s="1">
        <f ca="1">'Map 2 Dont Touch'!E13</f>
        <v>5</v>
      </c>
      <c r="F13" s="1">
        <f ca="1">'Map 2 Dont Touch'!F13</f>
        <v>5</v>
      </c>
      <c r="G13" s="1">
        <f ca="1">'Map 2 Dont Touch'!G13</f>
        <v>5</v>
      </c>
      <c r="H13" s="1">
        <f ca="1">'Map 2 Dont Touch'!H13</f>
        <v>8</v>
      </c>
      <c r="I13" s="1">
        <f ca="1">'Map 2 Dont Touch'!I13</f>
        <v>8</v>
      </c>
      <c r="J13" s="1">
        <f ca="1">'Map 2 Dont Touch'!J13</f>
        <v>8</v>
      </c>
      <c r="K13" s="1">
        <f ca="1">'Map 2 Dont Touch'!K13</f>
        <v>5</v>
      </c>
      <c r="L13" s="1">
        <f ca="1">'Map 2 Dont Touch'!L13</f>
        <v>5</v>
      </c>
      <c r="M13" s="1">
        <f ca="1">'Map 2 Dont Touch'!M13</f>
        <v>5</v>
      </c>
      <c r="N13" s="1">
        <f ca="1">'Map 2 Dont Touch'!N13</f>
        <v>8</v>
      </c>
      <c r="O13" s="1">
        <f ca="1">'Map 2 Dont Touch'!O13</f>
        <v>5</v>
      </c>
      <c r="P13" s="1">
        <f ca="1">'Map 2 Dont Touch'!P13</f>
        <v>5</v>
      </c>
      <c r="Q13" s="1">
        <f ca="1">'Map 2 Dont Touch'!Q13</f>
        <v>5</v>
      </c>
      <c r="R13" s="1">
        <f ca="1">'Map 2 Dont Touch'!R13</f>
        <v>5</v>
      </c>
      <c r="S13" s="1">
        <f ca="1">'Map 2 Dont Touch'!S13</f>
        <v>5</v>
      </c>
      <c r="T13" s="1">
        <f ca="1">'Map 2 Dont Touch'!T13</f>
        <v>5</v>
      </c>
      <c r="U13" s="1">
        <f ca="1">'Map 2 Dont Touch'!U13</f>
        <v>5</v>
      </c>
      <c r="V13" s="1">
        <f ca="1">'Map 2 Dont Touch'!V13</f>
        <v>8</v>
      </c>
      <c r="W13" s="1">
        <f ca="1">'Map 2 Dont Touch'!W13</f>
        <v>5</v>
      </c>
      <c r="X13" s="1">
        <f ca="1">'Map 2 Dont Touch'!X13</f>
        <v>8</v>
      </c>
      <c r="Y13" s="1">
        <f ca="1">'Map 2 Dont Touch'!Y13</f>
        <v>8</v>
      </c>
      <c r="Z13" s="1">
        <f ca="1">'Map 2 Dont Touch'!Z13</f>
        <v>6</v>
      </c>
      <c r="AA13" s="1">
        <f ca="1">'Map 2 Dont Touch'!AA13</f>
        <v>6</v>
      </c>
      <c r="AB13" s="1">
        <f ca="1">'Map 2 Dont Touch'!AB13</f>
        <v>8</v>
      </c>
      <c r="AC13" s="1">
        <f ca="1">'Map 2 Dont Touch'!AC13</f>
        <v>8</v>
      </c>
      <c r="AD13" s="1">
        <f ca="1">'Map 2 Dont Touch'!AD13</f>
        <v>8</v>
      </c>
      <c r="AE13" s="1">
        <f ca="1">'Map 2 Dont Touch'!AE13</f>
        <v>6</v>
      </c>
      <c r="AF13" s="1">
        <f ca="1">'Map 2 Dont Touch'!AF13</f>
        <v>6</v>
      </c>
      <c r="AG13" s="1">
        <f ca="1">'Map 2 Dont Touch'!AG13</f>
        <v>6</v>
      </c>
      <c r="AH13" s="1">
        <f ca="1">'Map 2 Dont Touch'!AH13</f>
        <v>8</v>
      </c>
      <c r="AI13" s="1">
        <f ca="1">'Map 2 Dont Touch'!AI13</f>
        <v>6</v>
      </c>
      <c r="AJ13" s="1">
        <f ca="1">'Map 2 Dont Touch'!AJ13</f>
        <v>8</v>
      </c>
      <c r="AK13" s="1">
        <f ca="1">'Map 2 Dont Touch'!AK13</f>
        <v>5</v>
      </c>
      <c r="AL13" s="1">
        <f ca="1">'Map 2 Dont Touch'!AL13</f>
        <v>1</v>
      </c>
      <c r="AM13" s="1">
        <f ca="1">'Map 2 Dont Touch'!AM13</f>
        <v>1</v>
      </c>
      <c r="AN13" s="1">
        <f ca="1">'Map 2 Dont Touch'!AN13</f>
        <v>1</v>
      </c>
      <c r="AO13" s="1">
        <f ca="1">'Map 2 Dont Touch'!AO13</f>
        <v>2</v>
      </c>
      <c r="AP13" s="1"/>
      <c r="AQ13" s="1"/>
      <c r="AR13" s="1"/>
      <c r="AS13" s="1"/>
      <c r="AT13" s="1"/>
      <c r="AU13" s="1"/>
    </row>
    <row r="14" spans="1:47" ht="37.5" customHeight="1">
      <c r="A14" s="1">
        <f>'Map 2 Dont Touch'!A14</f>
        <v>7</v>
      </c>
      <c r="B14" s="1">
        <f ca="1">'Map 2 Dont Touch'!B14</f>
        <v>1</v>
      </c>
      <c r="C14" s="1">
        <f ca="1">'Map 2 Dont Touch'!C14</f>
        <v>5</v>
      </c>
      <c r="D14" s="1">
        <f ca="1">'Map 2 Dont Touch'!D14</f>
        <v>5</v>
      </c>
      <c r="E14" s="1">
        <f ca="1">'Map 2 Dont Touch'!E14</f>
        <v>5</v>
      </c>
      <c r="F14" s="1">
        <f ca="1">'Map 2 Dont Touch'!F14</f>
        <v>8</v>
      </c>
      <c r="G14" s="1">
        <f ca="1">'Map 2 Dont Touch'!G14</f>
        <v>8</v>
      </c>
      <c r="H14" s="1">
        <f ca="1">'Map 2 Dont Touch'!H14</f>
        <v>8</v>
      </c>
      <c r="I14" s="1">
        <f ca="1">'Map 2 Dont Touch'!I14</f>
        <v>8</v>
      </c>
      <c r="J14" s="1">
        <f ca="1">'Map 2 Dont Touch'!J14</f>
        <v>8</v>
      </c>
      <c r="K14" s="1">
        <f ca="1">'Map 2 Dont Touch'!K14</f>
        <v>8</v>
      </c>
      <c r="L14" s="1">
        <f ca="1">'Map 2 Dont Touch'!L14</f>
        <v>5</v>
      </c>
      <c r="M14" s="1">
        <f ca="1">'Map 2 Dont Touch'!M14</f>
        <v>5</v>
      </c>
      <c r="N14" s="1">
        <f ca="1">'Map 2 Dont Touch'!N14</f>
        <v>5</v>
      </c>
      <c r="O14" s="1">
        <f ca="1">'Map 2 Dont Touch'!O14</f>
        <v>5</v>
      </c>
      <c r="P14" s="1">
        <f ca="1">'Map 2 Dont Touch'!P14</f>
        <v>5</v>
      </c>
      <c r="Q14" s="1">
        <f ca="1">'Map 2 Dont Touch'!Q14</f>
        <v>5</v>
      </c>
      <c r="R14" s="1">
        <f ca="1">'Map 2 Dont Touch'!R14</f>
        <v>5</v>
      </c>
      <c r="S14" s="1">
        <f ca="1">'Map 2 Dont Touch'!S14</f>
        <v>5</v>
      </c>
      <c r="T14" s="1">
        <f ca="1">'Map 2 Dont Touch'!T14</f>
        <v>5</v>
      </c>
      <c r="U14" s="1">
        <f ca="1">'Map 2 Dont Touch'!U14</f>
        <v>5</v>
      </c>
      <c r="V14" s="1">
        <f ca="1">'Map 2 Dont Touch'!V14</f>
        <v>5</v>
      </c>
      <c r="W14" s="1">
        <f ca="1">'Map 2 Dont Touch'!W14</f>
        <v>5</v>
      </c>
      <c r="X14" s="1">
        <f ca="1">'Map 2 Dont Touch'!X14</f>
        <v>5</v>
      </c>
      <c r="Y14" s="1">
        <f ca="1">'Map 2 Dont Touch'!Y14</f>
        <v>5</v>
      </c>
      <c r="Z14" s="1">
        <f ca="1">'Map 2 Dont Touch'!Z14</f>
        <v>5</v>
      </c>
      <c r="AA14" s="1">
        <f ca="1">'Map 2 Dont Touch'!AA14</f>
        <v>8</v>
      </c>
      <c r="AB14" s="1">
        <f ca="1">'Map 2 Dont Touch'!AB14</f>
        <v>8</v>
      </c>
      <c r="AC14" s="1">
        <f ca="1">'Map 2 Dont Touch'!AC14</f>
        <v>8</v>
      </c>
      <c r="AD14" s="1">
        <f ca="1">'Map 2 Dont Touch'!AD14</f>
        <v>8</v>
      </c>
      <c r="AE14" s="1">
        <f ca="1">'Map 2 Dont Touch'!AE14</f>
        <v>6</v>
      </c>
      <c r="AF14" s="1">
        <f ca="1">'Map 2 Dont Touch'!AF14</f>
        <v>6</v>
      </c>
      <c r="AG14" s="1">
        <f ca="1">'Map 2 Dont Touch'!AG14</f>
        <v>6</v>
      </c>
      <c r="AH14" s="1">
        <f ca="1">'Map 2 Dont Touch'!AH14</f>
        <v>6</v>
      </c>
      <c r="AI14" s="1">
        <f ca="1">'Map 2 Dont Touch'!AI14</f>
        <v>6</v>
      </c>
      <c r="AJ14" s="1">
        <f ca="1">'Map 2 Dont Touch'!AJ14</f>
        <v>5</v>
      </c>
      <c r="AK14" s="1">
        <f ca="1">'Map 2 Dont Touch'!AK14</f>
        <v>1</v>
      </c>
      <c r="AL14" s="1">
        <f ca="1">'Map 2 Dont Touch'!AL14</f>
        <v>5</v>
      </c>
      <c r="AM14" s="1">
        <f ca="1">'Map 2 Dont Touch'!AM14</f>
        <v>1</v>
      </c>
      <c r="AN14" s="1">
        <f ca="1">'Map 2 Dont Touch'!AN14</f>
        <v>1</v>
      </c>
      <c r="AO14" s="1">
        <f ca="1">'Map 2 Dont Touch'!AO14</f>
        <v>1</v>
      </c>
      <c r="AP14" s="1"/>
      <c r="AQ14" s="1"/>
      <c r="AR14" s="1"/>
      <c r="AS14" s="1"/>
      <c r="AT14" s="1"/>
      <c r="AU14" s="1"/>
    </row>
    <row r="15" spans="1:47" ht="37.5" customHeight="1">
      <c r="A15" s="1">
        <f>'Map 2 Dont Touch'!A15</f>
        <v>8</v>
      </c>
      <c r="B15" s="1">
        <f ca="1">'Map 2 Dont Touch'!B15</f>
        <v>5</v>
      </c>
      <c r="C15" s="1">
        <f ca="1">'Map 2 Dont Touch'!C15</f>
        <v>5</v>
      </c>
      <c r="D15" s="1">
        <f ca="1">'Map 2 Dont Touch'!D15</f>
        <v>5</v>
      </c>
      <c r="E15" s="1">
        <f ca="1">'Map 2 Dont Touch'!E15</f>
        <v>5</v>
      </c>
      <c r="F15" s="1">
        <f ca="1">'Map 2 Dont Touch'!F15</f>
        <v>5</v>
      </c>
      <c r="G15" s="1">
        <f ca="1">'Map 2 Dont Touch'!G15</f>
        <v>8</v>
      </c>
      <c r="H15" s="1">
        <f ca="1">'Map 2 Dont Touch'!H15</f>
        <v>8</v>
      </c>
      <c r="I15" s="1">
        <f ca="1">'Map 2 Dont Touch'!I15</f>
        <v>8</v>
      </c>
      <c r="J15" s="1">
        <f ca="1">'Map 2 Dont Touch'!J15</f>
        <v>8</v>
      </c>
      <c r="K15" s="1">
        <f ca="1">'Map 2 Dont Touch'!K15</f>
        <v>5</v>
      </c>
      <c r="L15" s="1">
        <f ca="1">'Map 2 Dont Touch'!L15</f>
        <v>5</v>
      </c>
      <c r="M15" s="1">
        <f ca="1">'Map 2 Dont Touch'!M15</f>
        <v>1</v>
      </c>
      <c r="N15" s="1">
        <f ca="1">'Map 2 Dont Touch'!N15</f>
        <v>1</v>
      </c>
      <c r="O15" s="1">
        <f ca="1">'Map 2 Dont Touch'!O15</f>
        <v>5</v>
      </c>
      <c r="P15" s="1">
        <f ca="1">'Map 2 Dont Touch'!P15</f>
        <v>1</v>
      </c>
      <c r="Q15" s="1">
        <f ca="1">'Map 2 Dont Touch'!Q15</f>
        <v>5</v>
      </c>
      <c r="R15" s="1">
        <f ca="1">'Map 2 Dont Touch'!R15</f>
        <v>5</v>
      </c>
      <c r="S15" s="1">
        <f ca="1">'Map 2 Dont Touch'!S15</f>
        <v>5</v>
      </c>
      <c r="T15" s="1">
        <f ca="1">'Map 2 Dont Touch'!T15</f>
        <v>5</v>
      </c>
      <c r="U15" s="1">
        <f ca="1">'Map 2 Dont Touch'!U15</f>
        <v>5</v>
      </c>
      <c r="V15" s="1">
        <f ca="1">'Map 2 Dont Touch'!V15</f>
        <v>5</v>
      </c>
      <c r="W15" s="1">
        <f ca="1">'Map 2 Dont Touch'!W15</f>
        <v>5</v>
      </c>
      <c r="X15" s="1">
        <f ca="1">'Map 2 Dont Touch'!X15</f>
        <v>5</v>
      </c>
      <c r="Y15" s="1">
        <f ca="1">'Map 2 Dont Touch'!Y15</f>
        <v>5</v>
      </c>
      <c r="Z15" s="1">
        <f ca="1">'Map 2 Dont Touch'!Z15</f>
        <v>1</v>
      </c>
      <c r="AA15" s="1">
        <f ca="1">'Map 2 Dont Touch'!AA15</f>
        <v>4</v>
      </c>
      <c r="AB15" s="1">
        <f ca="1">'Map 2 Dont Touch'!AB15</f>
        <v>4</v>
      </c>
      <c r="AC15" s="1">
        <f ca="1">'Map 2 Dont Touch'!AC15</f>
        <v>8</v>
      </c>
      <c r="AD15" s="1">
        <f ca="1">'Map 2 Dont Touch'!AD15</f>
        <v>8</v>
      </c>
      <c r="AE15" s="1">
        <f ca="1">'Map 2 Dont Touch'!AE15</f>
        <v>6</v>
      </c>
      <c r="AF15" s="1">
        <f ca="1">'Map 2 Dont Touch'!AF15</f>
        <v>8</v>
      </c>
      <c r="AG15" s="1">
        <f ca="1">'Map 2 Dont Touch'!AG15</f>
        <v>6</v>
      </c>
      <c r="AH15" s="1">
        <f ca="1">'Map 2 Dont Touch'!AH15</f>
        <v>6</v>
      </c>
      <c r="AI15" s="1">
        <f ca="1">'Map 2 Dont Touch'!AI15</f>
        <v>6</v>
      </c>
      <c r="AJ15" s="1">
        <f ca="1">'Map 2 Dont Touch'!AJ15</f>
        <v>6</v>
      </c>
      <c r="AK15" s="1">
        <f ca="1">'Map 2 Dont Touch'!AK15</f>
        <v>1</v>
      </c>
      <c r="AL15" s="1">
        <f ca="1">'Map 2 Dont Touch'!AL15</f>
        <v>5</v>
      </c>
      <c r="AM15" s="1">
        <f ca="1">'Map 2 Dont Touch'!AM15</f>
        <v>5</v>
      </c>
      <c r="AN15" s="1">
        <f ca="1">'Map 2 Dont Touch'!AN15</f>
        <v>1</v>
      </c>
      <c r="AO15" s="1">
        <f ca="1">'Map 2 Dont Touch'!AO15</f>
        <v>1</v>
      </c>
      <c r="AP15" s="1"/>
      <c r="AQ15" s="1"/>
      <c r="AR15" s="1"/>
      <c r="AS15" s="1"/>
      <c r="AT15" s="1"/>
      <c r="AU15" s="1"/>
    </row>
    <row r="16" spans="1:47" ht="37.5" customHeight="1">
      <c r="A16" s="1">
        <f>'Map 2 Dont Touch'!A16</f>
        <v>9</v>
      </c>
      <c r="B16" s="1">
        <f ca="1">'Map 2 Dont Touch'!B16</f>
        <v>5</v>
      </c>
      <c r="C16" s="1">
        <f ca="1">'Map 2 Dont Touch'!C16</f>
        <v>5</v>
      </c>
      <c r="D16" s="1">
        <f ca="1">'Map 2 Dont Touch'!D16</f>
        <v>5</v>
      </c>
      <c r="E16" s="1">
        <f ca="1">'Map 2 Dont Touch'!E16</f>
        <v>5</v>
      </c>
      <c r="F16" s="1">
        <f ca="1">'Map 2 Dont Touch'!F16</f>
        <v>5</v>
      </c>
      <c r="G16" s="1">
        <f ca="1">'Map 2 Dont Touch'!G16</f>
        <v>8</v>
      </c>
      <c r="H16" s="1">
        <f ca="1">'Map 2 Dont Touch'!H16</f>
        <v>8</v>
      </c>
      <c r="I16" s="1">
        <f ca="1">'Map 2 Dont Touch'!I16</f>
        <v>8</v>
      </c>
      <c r="J16" s="1">
        <f ca="1">'Map 2 Dont Touch'!J16</f>
        <v>8</v>
      </c>
      <c r="K16" s="1">
        <f ca="1">'Map 2 Dont Touch'!K16</f>
        <v>8</v>
      </c>
      <c r="L16" s="1">
        <f ca="1">'Map 2 Dont Touch'!L16</f>
        <v>5</v>
      </c>
      <c r="M16" s="1">
        <f ca="1">'Map 2 Dont Touch'!M16</f>
        <v>1</v>
      </c>
      <c r="N16" s="1">
        <f ca="1">'Map 2 Dont Touch'!N16</f>
        <v>1</v>
      </c>
      <c r="O16" s="1">
        <f ca="1">'Map 2 Dont Touch'!O16</f>
        <v>1</v>
      </c>
      <c r="P16" s="1">
        <f ca="1">'Map 2 Dont Touch'!P16</f>
        <v>1</v>
      </c>
      <c r="Q16" s="1">
        <f ca="1">'Map 2 Dont Touch'!Q16</f>
        <v>5</v>
      </c>
      <c r="R16" s="1">
        <f ca="1">'Map 2 Dont Touch'!R16</f>
        <v>5</v>
      </c>
      <c r="S16" s="1">
        <f ca="1">'Map 2 Dont Touch'!S16</f>
        <v>5</v>
      </c>
      <c r="T16" s="1">
        <f ca="1">'Map 2 Dont Touch'!T16</f>
        <v>5</v>
      </c>
      <c r="U16" s="1">
        <f ca="1">'Map 2 Dont Touch'!U16</f>
        <v>5</v>
      </c>
      <c r="V16" s="1">
        <f ca="1">'Map 2 Dont Touch'!V16</f>
        <v>5</v>
      </c>
      <c r="W16" s="1">
        <f ca="1">'Map 2 Dont Touch'!W16</f>
        <v>5</v>
      </c>
      <c r="X16" s="1">
        <f ca="1">'Map 2 Dont Touch'!X16</f>
        <v>5</v>
      </c>
      <c r="Y16" s="1">
        <f ca="1">'Map 2 Dont Touch'!Y16</f>
        <v>1</v>
      </c>
      <c r="Z16" s="1">
        <f ca="1">'Map 2 Dont Touch'!Z16</f>
        <v>1</v>
      </c>
      <c r="AA16" s="1">
        <f ca="1">'Map 2 Dont Touch'!AA16</f>
        <v>4</v>
      </c>
      <c r="AB16" s="1">
        <f ca="1">'Map 2 Dont Touch'!AB16</f>
        <v>8</v>
      </c>
      <c r="AC16" s="1">
        <f ca="1">'Map 2 Dont Touch'!AC16</f>
        <v>8</v>
      </c>
      <c r="AD16" s="1">
        <f ca="1">'Map 2 Dont Touch'!AD16</f>
        <v>8</v>
      </c>
      <c r="AE16" s="1">
        <f ca="1">'Map 2 Dont Touch'!AE16</f>
        <v>6</v>
      </c>
      <c r="AF16" s="1">
        <f ca="1">'Map 2 Dont Touch'!AF16</f>
        <v>8</v>
      </c>
      <c r="AG16" s="1">
        <f ca="1">'Map 2 Dont Touch'!AG16</f>
        <v>6</v>
      </c>
      <c r="AH16" s="1">
        <f ca="1">'Map 2 Dont Touch'!AH16</f>
        <v>6</v>
      </c>
      <c r="AI16" s="1">
        <f ca="1">'Map 2 Dont Touch'!AI16</f>
        <v>6</v>
      </c>
      <c r="AJ16" s="1">
        <f ca="1">'Map 2 Dont Touch'!AJ16</f>
        <v>6</v>
      </c>
      <c r="AK16" s="1">
        <f ca="1">'Map 2 Dont Touch'!AK16</f>
        <v>6</v>
      </c>
      <c r="AL16" s="1">
        <f ca="1">'Map 2 Dont Touch'!AL16</f>
        <v>5</v>
      </c>
      <c r="AM16" s="1">
        <f ca="1">'Map 2 Dont Touch'!AM16</f>
        <v>5</v>
      </c>
      <c r="AN16" s="1">
        <f ca="1">'Map 2 Dont Touch'!AN16</f>
        <v>1</v>
      </c>
      <c r="AO16" s="1">
        <f ca="1">'Map 2 Dont Touch'!AO16</f>
        <v>5</v>
      </c>
      <c r="AP16" s="1"/>
      <c r="AQ16" s="1"/>
      <c r="AR16" s="1"/>
      <c r="AS16" s="1"/>
      <c r="AT16" s="1"/>
      <c r="AU16" s="1"/>
    </row>
    <row r="17" spans="1:47" ht="37.5" customHeight="1">
      <c r="A17" s="1">
        <f>'Map 2 Dont Touch'!A17</f>
        <v>10</v>
      </c>
      <c r="B17" s="1">
        <f ca="1">'Map 2 Dont Touch'!B17</f>
        <v>5</v>
      </c>
      <c r="C17" s="1">
        <f ca="1">'Map 2 Dont Touch'!C17</f>
        <v>5</v>
      </c>
      <c r="D17" s="1">
        <f ca="1">'Map 2 Dont Touch'!D17</f>
        <v>5</v>
      </c>
      <c r="E17" s="1">
        <f ca="1">'Map 2 Dont Touch'!E17</f>
        <v>5</v>
      </c>
      <c r="F17" s="1">
        <f ca="1">'Map 2 Dont Touch'!F17</f>
        <v>5</v>
      </c>
      <c r="G17" s="1">
        <f ca="1">'Map 2 Dont Touch'!G17</f>
        <v>5</v>
      </c>
      <c r="H17" s="1">
        <f ca="1">'Map 2 Dont Touch'!H17</f>
        <v>8</v>
      </c>
      <c r="I17" s="1">
        <f ca="1">'Map 2 Dont Touch'!I17</f>
        <v>7</v>
      </c>
      <c r="J17" s="1">
        <f ca="1">'Map 2 Dont Touch'!J17</f>
        <v>8</v>
      </c>
      <c r="K17" s="1">
        <f ca="1">'Map 2 Dont Touch'!K17</f>
        <v>8</v>
      </c>
      <c r="L17" s="1">
        <f ca="1">'Map 2 Dont Touch'!L17</f>
        <v>7</v>
      </c>
      <c r="M17" s="1">
        <f ca="1">'Map 2 Dont Touch'!M17</f>
        <v>7</v>
      </c>
      <c r="N17" s="1">
        <f ca="1">'Map 2 Dont Touch'!N17</f>
        <v>1</v>
      </c>
      <c r="O17" s="1">
        <f ca="1">'Map 2 Dont Touch'!O17</f>
        <v>3</v>
      </c>
      <c r="P17" s="1">
        <f ca="1">'Map 2 Dont Touch'!P17</f>
        <v>3</v>
      </c>
      <c r="Q17" s="1">
        <f ca="1">'Map 2 Dont Touch'!Q17</f>
        <v>1</v>
      </c>
      <c r="R17" s="1">
        <f ca="1">'Map 2 Dont Touch'!R17</f>
        <v>5</v>
      </c>
      <c r="S17" s="1">
        <f ca="1">'Map 2 Dont Touch'!S17</f>
        <v>5</v>
      </c>
      <c r="T17" s="1">
        <f ca="1">'Map 2 Dont Touch'!T17</f>
        <v>5</v>
      </c>
      <c r="U17" s="1">
        <f ca="1">'Map 2 Dont Touch'!U17</f>
        <v>5</v>
      </c>
      <c r="V17" s="1">
        <f ca="1">'Map 2 Dont Touch'!V17</f>
        <v>5</v>
      </c>
      <c r="W17" s="1">
        <f ca="1">'Map 2 Dont Touch'!W17</f>
        <v>5</v>
      </c>
      <c r="X17" s="1">
        <f ca="1">'Map 2 Dont Touch'!X17</f>
        <v>7</v>
      </c>
      <c r="Y17" s="1">
        <f ca="1">'Map 2 Dont Touch'!Y17</f>
        <v>5</v>
      </c>
      <c r="Z17" s="1">
        <f ca="1">'Map 2 Dont Touch'!Z17</f>
        <v>1</v>
      </c>
      <c r="AA17" s="1">
        <f ca="1">'Map 2 Dont Touch'!AA17</f>
        <v>1</v>
      </c>
      <c r="AB17" s="1">
        <f ca="1">'Map 2 Dont Touch'!AB17</f>
        <v>4</v>
      </c>
      <c r="AC17" s="1">
        <f ca="1">'Map 2 Dont Touch'!AC17</f>
        <v>1</v>
      </c>
      <c r="AD17" s="1">
        <f ca="1">'Map 2 Dont Touch'!AD17</f>
        <v>5</v>
      </c>
      <c r="AE17" s="1">
        <f ca="1">'Map 2 Dont Touch'!AE17</f>
        <v>5</v>
      </c>
      <c r="AF17" s="1">
        <f ca="1">'Map 2 Dont Touch'!AF17</f>
        <v>5</v>
      </c>
      <c r="AG17" s="1">
        <f ca="1">'Map 2 Dont Touch'!AG17</f>
        <v>5</v>
      </c>
      <c r="AH17" s="1">
        <f ca="1">'Map 2 Dont Touch'!AH17</f>
        <v>6</v>
      </c>
      <c r="AI17" s="1">
        <f ca="1">'Map 2 Dont Touch'!AI17</f>
        <v>6</v>
      </c>
      <c r="AJ17" s="1">
        <f ca="1">'Map 2 Dont Touch'!AJ17</f>
        <v>6</v>
      </c>
      <c r="AK17" s="1">
        <f ca="1">'Map 2 Dont Touch'!AK17</f>
        <v>5</v>
      </c>
      <c r="AL17" s="1">
        <f ca="1">'Map 2 Dont Touch'!AL17</f>
        <v>5</v>
      </c>
      <c r="AM17" s="1">
        <f ca="1">'Map 2 Dont Touch'!AM17</f>
        <v>5</v>
      </c>
      <c r="AN17" s="1">
        <f ca="1">'Map 2 Dont Touch'!AN17</f>
        <v>5</v>
      </c>
      <c r="AO17" s="1">
        <f ca="1">'Map 2 Dont Touch'!AO17</f>
        <v>5</v>
      </c>
      <c r="AP17" s="1"/>
      <c r="AQ17" s="1"/>
      <c r="AR17" s="1"/>
      <c r="AS17" s="1"/>
      <c r="AT17" s="1"/>
      <c r="AU17" s="1"/>
    </row>
    <row r="18" spans="1:47" ht="37.5" customHeight="1">
      <c r="A18" s="1">
        <f>'Map 2 Dont Touch'!A18</f>
        <v>11</v>
      </c>
      <c r="B18" s="1">
        <f ca="1">'Map 2 Dont Touch'!B18</f>
        <v>5</v>
      </c>
      <c r="C18" s="1">
        <f ca="1">'Map 2 Dont Touch'!C18</f>
        <v>5</v>
      </c>
      <c r="D18" s="1">
        <f ca="1">'Map 2 Dont Touch'!D18</f>
        <v>6</v>
      </c>
      <c r="E18" s="1">
        <f ca="1">'Map 2 Dont Touch'!E18</f>
        <v>6</v>
      </c>
      <c r="F18" s="1">
        <f ca="1">'Map 2 Dont Touch'!F18</f>
        <v>5</v>
      </c>
      <c r="G18" s="1">
        <f ca="1">'Map 2 Dont Touch'!G18</f>
        <v>6</v>
      </c>
      <c r="H18" s="1">
        <f ca="1">'Map 2 Dont Touch'!H18</f>
        <v>7</v>
      </c>
      <c r="I18" s="1">
        <f ca="1">'Map 2 Dont Touch'!I18</f>
        <v>8</v>
      </c>
      <c r="J18" s="1">
        <f ca="1">'Map 2 Dont Touch'!J18</f>
        <v>7</v>
      </c>
      <c r="K18" s="1">
        <f ca="1">'Map 2 Dont Touch'!K18</f>
        <v>7</v>
      </c>
      <c r="L18" s="1">
        <f ca="1">'Map 2 Dont Touch'!L18</f>
        <v>5</v>
      </c>
      <c r="M18" s="1">
        <f ca="1">'Map 2 Dont Touch'!M18</f>
        <v>7</v>
      </c>
      <c r="N18" s="1">
        <f ca="1">'Map 2 Dont Touch'!N18</f>
        <v>1</v>
      </c>
      <c r="O18" s="1">
        <f ca="1">'Map 2 Dont Touch'!O18</f>
        <v>3</v>
      </c>
      <c r="P18" s="1">
        <f ca="1">'Map 2 Dont Touch'!P18</f>
        <v>3</v>
      </c>
      <c r="Q18" s="1">
        <f ca="1">'Map 2 Dont Touch'!Q18</f>
        <v>3</v>
      </c>
      <c r="R18" s="1">
        <f ca="1">'Map 2 Dont Touch'!R18</f>
        <v>5</v>
      </c>
      <c r="S18" s="1">
        <f ca="1">'Map 2 Dont Touch'!S18</f>
        <v>5</v>
      </c>
      <c r="T18" s="1">
        <f ca="1">'Map 2 Dont Touch'!T18</f>
        <v>5</v>
      </c>
      <c r="U18" s="1">
        <f ca="1">'Map 2 Dont Touch'!U18</f>
        <v>5</v>
      </c>
      <c r="V18" s="1">
        <f ca="1">'Map 2 Dont Touch'!V18</f>
        <v>5</v>
      </c>
      <c r="W18" s="1">
        <f ca="1">'Map 2 Dont Touch'!W18</f>
        <v>5</v>
      </c>
      <c r="X18" s="1">
        <f ca="1">'Map 2 Dont Touch'!X18</f>
        <v>7</v>
      </c>
      <c r="Y18" s="1">
        <f ca="1">'Map 2 Dont Touch'!Y18</f>
        <v>3</v>
      </c>
      <c r="Z18" s="1">
        <f ca="1">'Map 2 Dont Touch'!Z18</f>
        <v>1</v>
      </c>
      <c r="AA18" s="1">
        <f ca="1">'Map 2 Dont Touch'!AA18</f>
        <v>4</v>
      </c>
      <c r="AB18" s="1">
        <f ca="1">'Map 2 Dont Touch'!AB18</f>
        <v>1</v>
      </c>
      <c r="AC18" s="1">
        <f ca="1">'Map 2 Dont Touch'!AC18</f>
        <v>4</v>
      </c>
      <c r="AD18" s="1">
        <f ca="1">'Map 2 Dont Touch'!AD18</f>
        <v>1</v>
      </c>
      <c r="AE18" s="1">
        <f ca="1">'Map 2 Dont Touch'!AE18</f>
        <v>8</v>
      </c>
      <c r="AF18" s="1">
        <f ca="1">'Map 2 Dont Touch'!AF18</f>
        <v>5</v>
      </c>
      <c r="AG18" s="1">
        <f ca="1">'Map 2 Dont Touch'!AG18</f>
        <v>5</v>
      </c>
      <c r="AH18" s="1">
        <f ca="1">'Map 2 Dont Touch'!AH18</f>
        <v>6</v>
      </c>
      <c r="AI18" s="1">
        <f ca="1">'Map 2 Dont Touch'!AI18</f>
        <v>6</v>
      </c>
      <c r="AJ18" s="1">
        <f ca="1">'Map 2 Dont Touch'!AJ18</f>
        <v>5</v>
      </c>
      <c r="AK18" s="1">
        <f ca="1">'Map 2 Dont Touch'!AK18</f>
        <v>5</v>
      </c>
      <c r="AL18" s="1">
        <f ca="1">'Map 2 Dont Touch'!AL18</f>
        <v>5</v>
      </c>
      <c r="AM18" s="1">
        <f ca="1">'Map 2 Dont Touch'!AM18</f>
        <v>5</v>
      </c>
      <c r="AN18" s="1">
        <f ca="1">'Map 2 Dont Touch'!AN18</f>
        <v>5</v>
      </c>
      <c r="AO18" s="1">
        <f ca="1">'Map 2 Dont Touch'!AO18</f>
        <v>6</v>
      </c>
      <c r="AP18" s="1"/>
      <c r="AQ18" s="1"/>
      <c r="AR18" s="1"/>
      <c r="AS18" s="1"/>
      <c r="AT18" s="1"/>
      <c r="AU18" s="1"/>
    </row>
    <row r="19" spans="1:47" ht="37.5" customHeight="1">
      <c r="A19" s="1">
        <f>'Map 2 Dont Touch'!A19</f>
        <v>12</v>
      </c>
      <c r="B19" s="1">
        <f ca="1">'Map 2 Dont Touch'!B19</f>
        <v>6</v>
      </c>
      <c r="C19" s="1">
        <f ca="1">'Map 2 Dont Touch'!C19</f>
        <v>6</v>
      </c>
      <c r="D19" s="1">
        <f ca="1">'Map 2 Dont Touch'!D19</f>
        <v>6</v>
      </c>
      <c r="E19" s="1">
        <f ca="1">'Map 2 Dont Touch'!E19</f>
        <v>6</v>
      </c>
      <c r="F19" s="1">
        <f ca="1">'Map 2 Dont Touch'!F19</f>
        <v>6</v>
      </c>
      <c r="G19" s="1">
        <f ca="1">'Map 2 Dont Touch'!G19</f>
        <v>7</v>
      </c>
      <c r="H19" s="1">
        <f ca="1">'Map 2 Dont Touch'!H19</f>
        <v>7</v>
      </c>
      <c r="I19" s="1">
        <f ca="1">'Map 2 Dont Touch'!I19</f>
        <v>7</v>
      </c>
      <c r="J19" s="1">
        <f ca="1">'Map 2 Dont Touch'!J19</f>
        <v>7</v>
      </c>
      <c r="K19" s="1">
        <f ca="1">'Map 2 Dont Touch'!K19</f>
        <v>7</v>
      </c>
      <c r="L19" s="1">
        <f ca="1">'Map 2 Dont Touch'!L19</f>
        <v>7</v>
      </c>
      <c r="M19" s="1">
        <f ca="1">'Map 2 Dont Touch'!M19</f>
        <v>7</v>
      </c>
      <c r="N19" s="1">
        <f ca="1">'Map 2 Dont Touch'!N19</f>
        <v>7</v>
      </c>
      <c r="O19" s="1">
        <f ca="1">'Map 2 Dont Touch'!O19</f>
        <v>7</v>
      </c>
      <c r="P19" s="1">
        <f ca="1">'Map 2 Dont Touch'!P19</f>
        <v>5</v>
      </c>
      <c r="Q19" s="1">
        <f ca="1">'Map 2 Dont Touch'!Q19</f>
        <v>1</v>
      </c>
      <c r="R19" s="1">
        <f ca="1">'Map 2 Dont Touch'!R19</f>
        <v>5</v>
      </c>
      <c r="S19" s="1">
        <f ca="1">'Map 2 Dont Touch'!S19</f>
        <v>5</v>
      </c>
      <c r="T19" s="1">
        <f ca="1">'Map 2 Dont Touch'!T19</f>
        <v>5</v>
      </c>
      <c r="U19" s="1">
        <f ca="1">'Map 2 Dont Touch'!U19</f>
        <v>5</v>
      </c>
      <c r="V19" s="1">
        <f ca="1">'Map 2 Dont Touch'!V19</f>
        <v>7</v>
      </c>
      <c r="W19" s="1">
        <f ca="1">'Map 2 Dont Touch'!W19</f>
        <v>7</v>
      </c>
      <c r="X19" s="1">
        <f ca="1">'Map 2 Dont Touch'!X19</f>
        <v>7</v>
      </c>
      <c r="Y19" s="1">
        <f ca="1">'Map 2 Dont Touch'!Y19</f>
        <v>7</v>
      </c>
      <c r="Z19" s="1">
        <f ca="1">'Map 2 Dont Touch'!Z19</f>
        <v>5</v>
      </c>
      <c r="AA19" s="1">
        <f ca="1">'Map 2 Dont Touch'!AA19</f>
        <v>5</v>
      </c>
      <c r="AB19" s="1">
        <f ca="1">'Map 2 Dont Touch'!AB19</f>
        <v>5</v>
      </c>
      <c r="AC19" s="1">
        <f ca="1">'Map 2 Dont Touch'!AC19</f>
        <v>1</v>
      </c>
      <c r="AD19" s="1">
        <f ca="1">'Map 2 Dont Touch'!AD19</f>
        <v>5</v>
      </c>
      <c r="AE19" s="1">
        <f ca="1">'Map 2 Dont Touch'!AE19</f>
        <v>5</v>
      </c>
      <c r="AF19" s="1">
        <f ca="1">'Map 2 Dont Touch'!AF19</f>
        <v>5</v>
      </c>
      <c r="AG19" s="1">
        <f ca="1">'Map 2 Dont Touch'!AG19</f>
        <v>5</v>
      </c>
      <c r="AH19" s="1">
        <f ca="1">'Map 2 Dont Touch'!AH19</f>
        <v>5</v>
      </c>
      <c r="AI19" s="1">
        <f ca="1">'Map 2 Dont Touch'!AI19</f>
        <v>5</v>
      </c>
      <c r="AJ19" s="1">
        <f ca="1">'Map 2 Dont Touch'!AJ19</f>
        <v>5</v>
      </c>
      <c r="AK19" s="1">
        <f ca="1">'Map 2 Dont Touch'!AK19</f>
        <v>5</v>
      </c>
      <c r="AL19" s="1">
        <f ca="1">'Map 2 Dont Touch'!AL19</f>
        <v>5</v>
      </c>
      <c r="AM19" s="1">
        <f ca="1">'Map 2 Dont Touch'!AM19</f>
        <v>5</v>
      </c>
      <c r="AN19" s="1">
        <f ca="1">'Map 2 Dont Touch'!AN19</f>
        <v>5</v>
      </c>
      <c r="AO19" s="1">
        <f ca="1">'Map 2 Dont Touch'!AO19</f>
        <v>5</v>
      </c>
      <c r="AP19" s="1"/>
      <c r="AQ19" s="1"/>
      <c r="AR19" s="1"/>
      <c r="AS19" s="1"/>
      <c r="AT19" s="1"/>
      <c r="AU19" s="1"/>
    </row>
    <row r="20" spans="1:47" ht="37.5" customHeight="1">
      <c r="A20" s="1">
        <f>'Map 2 Dont Touch'!A20</f>
        <v>13</v>
      </c>
      <c r="B20" s="1">
        <f ca="1">'Map 2 Dont Touch'!B20</f>
        <v>5</v>
      </c>
      <c r="C20" s="1">
        <f ca="1">'Map 2 Dont Touch'!C20</f>
        <v>6</v>
      </c>
      <c r="D20" s="1">
        <f ca="1">'Map 2 Dont Touch'!D20</f>
        <v>6</v>
      </c>
      <c r="E20" s="1">
        <f ca="1">'Map 2 Dont Touch'!E20</f>
        <v>6</v>
      </c>
      <c r="F20" s="1">
        <f ca="1">'Map 2 Dont Touch'!F20</f>
        <v>7</v>
      </c>
      <c r="G20" s="1">
        <f ca="1">'Map 2 Dont Touch'!G20</f>
        <v>6</v>
      </c>
      <c r="H20" s="1">
        <f ca="1">'Map 2 Dont Touch'!H20</f>
        <v>7</v>
      </c>
      <c r="I20" s="1">
        <f ca="1">'Map 2 Dont Touch'!I20</f>
        <v>7</v>
      </c>
      <c r="J20" s="1">
        <f ca="1">'Map 2 Dont Touch'!J20</f>
        <v>7</v>
      </c>
      <c r="K20" s="1">
        <f ca="1">'Map 2 Dont Touch'!K20</f>
        <v>7</v>
      </c>
      <c r="L20" s="1">
        <f ca="1">'Map 2 Dont Touch'!L20</f>
        <v>7</v>
      </c>
      <c r="M20" s="1">
        <f ca="1">'Map 2 Dont Touch'!M20</f>
        <v>7</v>
      </c>
      <c r="N20" s="1">
        <f ca="1">'Map 2 Dont Touch'!N20</f>
        <v>7</v>
      </c>
      <c r="O20" s="1">
        <f ca="1">'Map 2 Dont Touch'!O20</f>
        <v>3</v>
      </c>
      <c r="P20" s="1">
        <f ca="1">'Map 2 Dont Touch'!P20</f>
        <v>1</v>
      </c>
      <c r="Q20" s="1">
        <f ca="1">'Map 2 Dont Touch'!Q20</f>
        <v>7</v>
      </c>
      <c r="R20" s="1">
        <f ca="1">'Map 2 Dont Touch'!R20</f>
        <v>1</v>
      </c>
      <c r="S20" s="1">
        <f ca="1">'Map 2 Dont Touch'!S20</f>
        <v>5</v>
      </c>
      <c r="T20" s="1">
        <f ca="1">'Map 2 Dont Touch'!T20</f>
        <v>5</v>
      </c>
      <c r="U20" s="1">
        <f ca="1">'Map 2 Dont Touch'!U20</f>
        <v>5</v>
      </c>
      <c r="V20" s="1">
        <f ca="1">'Map 2 Dont Touch'!V20</f>
        <v>5</v>
      </c>
      <c r="W20" s="1">
        <f ca="1">'Map 2 Dont Touch'!W20</f>
        <v>3</v>
      </c>
      <c r="X20" s="1">
        <f ca="1">'Map 2 Dont Touch'!X20</f>
        <v>7</v>
      </c>
      <c r="Y20" s="1">
        <f ca="1">'Map 2 Dont Touch'!Y20</f>
        <v>3</v>
      </c>
      <c r="Z20" s="1">
        <f ca="1">'Map 2 Dont Touch'!Z20</f>
        <v>3</v>
      </c>
      <c r="AA20" s="1">
        <f ca="1">'Map 2 Dont Touch'!AA20</f>
        <v>5</v>
      </c>
      <c r="AB20" s="1">
        <f ca="1">'Map 2 Dont Touch'!AB20</f>
        <v>5</v>
      </c>
      <c r="AC20" s="1">
        <f ca="1">'Map 2 Dont Touch'!AC20</f>
        <v>5</v>
      </c>
      <c r="AD20" s="1">
        <f ca="1">'Map 2 Dont Touch'!AD20</f>
        <v>5</v>
      </c>
      <c r="AE20" s="1">
        <f ca="1">'Map 2 Dont Touch'!AE20</f>
        <v>5</v>
      </c>
      <c r="AF20" s="1">
        <f ca="1">'Map 2 Dont Touch'!AF20</f>
        <v>5</v>
      </c>
      <c r="AG20" s="1">
        <f ca="1">'Map 2 Dont Touch'!AG20</f>
        <v>5</v>
      </c>
      <c r="AH20" s="1">
        <f ca="1">'Map 2 Dont Touch'!AH20</f>
        <v>5</v>
      </c>
      <c r="AI20" s="1">
        <f ca="1">'Map 2 Dont Touch'!AI20</f>
        <v>5</v>
      </c>
      <c r="AJ20" s="1">
        <f ca="1">'Map 2 Dont Touch'!AJ20</f>
        <v>5</v>
      </c>
      <c r="AK20" s="1">
        <f ca="1">'Map 2 Dont Touch'!AK20</f>
        <v>5</v>
      </c>
      <c r="AL20" s="1">
        <f ca="1">'Map 2 Dont Touch'!AL20</f>
        <v>5</v>
      </c>
      <c r="AM20" s="1">
        <f ca="1">'Map 2 Dont Touch'!AM20</f>
        <v>5</v>
      </c>
      <c r="AN20" s="1">
        <f ca="1">'Map 2 Dont Touch'!AN20</f>
        <v>5</v>
      </c>
      <c r="AO20" s="1">
        <f ca="1">'Map 2 Dont Touch'!AO20</f>
        <v>5</v>
      </c>
      <c r="AP20" s="1"/>
      <c r="AQ20" s="1"/>
      <c r="AR20" s="1"/>
      <c r="AS20" s="1"/>
      <c r="AT20" s="1"/>
      <c r="AU20" s="1"/>
    </row>
    <row r="21" spans="1:47" ht="37.5" customHeight="1">
      <c r="A21" s="1">
        <f>'Map 2 Dont Touch'!A21</f>
        <v>14</v>
      </c>
      <c r="B21" s="1">
        <f ca="1">'Map 2 Dont Touch'!B21</f>
        <v>6</v>
      </c>
      <c r="C21" s="1">
        <f ca="1">'Map 2 Dont Touch'!C21</f>
        <v>6</v>
      </c>
      <c r="D21" s="1">
        <f ca="1">'Map 2 Dont Touch'!D21</f>
        <v>6</v>
      </c>
      <c r="E21" s="1">
        <f ca="1">'Map 2 Dont Touch'!E21</f>
        <v>6</v>
      </c>
      <c r="F21" s="1">
        <f ca="1">'Map 2 Dont Touch'!F21</f>
        <v>7</v>
      </c>
      <c r="G21" s="1">
        <f ca="1">'Map 2 Dont Touch'!G21</f>
        <v>6</v>
      </c>
      <c r="H21" s="1">
        <f ca="1">'Map 2 Dont Touch'!H21</f>
        <v>7</v>
      </c>
      <c r="I21" s="1">
        <f ca="1">'Map 2 Dont Touch'!I21</f>
        <v>7</v>
      </c>
      <c r="J21" s="1">
        <f ca="1">'Map 2 Dont Touch'!J21</f>
        <v>7</v>
      </c>
      <c r="K21" s="1">
        <f ca="1">'Map 2 Dont Touch'!K21</f>
        <v>7</v>
      </c>
      <c r="L21" s="1">
        <f ca="1">'Map 2 Dont Touch'!L21</f>
        <v>7</v>
      </c>
      <c r="M21" s="1">
        <f ca="1">'Map 2 Dont Touch'!M21</f>
        <v>7</v>
      </c>
      <c r="N21" s="1">
        <f ca="1">'Map 2 Dont Touch'!N21</f>
        <v>7</v>
      </c>
      <c r="O21" s="1">
        <f ca="1">'Map 2 Dont Touch'!O21</f>
        <v>7</v>
      </c>
      <c r="P21" s="1">
        <f ca="1">'Map 2 Dont Touch'!P21</f>
        <v>5</v>
      </c>
      <c r="Q21" s="1">
        <f ca="1">'Map 2 Dont Touch'!Q21</f>
        <v>5</v>
      </c>
      <c r="R21" s="1">
        <f ca="1">'Map 2 Dont Touch'!R21</f>
        <v>5</v>
      </c>
      <c r="S21" s="1">
        <f ca="1">'Map 2 Dont Touch'!S21</f>
        <v>5</v>
      </c>
      <c r="T21" s="1">
        <f ca="1">'Map 2 Dont Touch'!T21</f>
        <v>5</v>
      </c>
      <c r="U21" s="1">
        <f ca="1">'Map 2 Dont Touch'!U21</f>
        <v>1</v>
      </c>
      <c r="V21" s="1">
        <f ca="1">'Map 2 Dont Touch'!V21</f>
        <v>3</v>
      </c>
      <c r="W21" s="1">
        <f ca="1">'Map 2 Dont Touch'!W21</f>
        <v>3</v>
      </c>
      <c r="X21" s="1">
        <f ca="1">'Map 2 Dont Touch'!X21</f>
        <v>3</v>
      </c>
      <c r="Y21" s="1">
        <f ca="1">'Map 2 Dont Touch'!Y21</f>
        <v>7</v>
      </c>
      <c r="Z21" s="1">
        <f ca="1">'Map 2 Dont Touch'!Z21</f>
        <v>3</v>
      </c>
      <c r="AA21" s="1">
        <f ca="1">'Map 2 Dont Touch'!AA21</f>
        <v>5</v>
      </c>
      <c r="AB21" s="1">
        <f ca="1">'Map 2 Dont Touch'!AB21</f>
        <v>5</v>
      </c>
      <c r="AC21" s="1">
        <f ca="1">'Map 2 Dont Touch'!AC21</f>
        <v>5</v>
      </c>
      <c r="AD21" s="1">
        <f ca="1">'Map 2 Dont Touch'!AD21</f>
        <v>5</v>
      </c>
      <c r="AE21" s="1">
        <f ca="1">'Map 2 Dont Touch'!AE21</f>
        <v>5</v>
      </c>
      <c r="AF21" s="1">
        <f ca="1">'Map 2 Dont Touch'!AF21</f>
        <v>5</v>
      </c>
      <c r="AG21" s="1">
        <f ca="1">'Map 2 Dont Touch'!AG21</f>
        <v>5</v>
      </c>
      <c r="AH21" s="1">
        <f ca="1">'Map 2 Dont Touch'!AH21</f>
        <v>5</v>
      </c>
      <c r="AI21" s="1">
        <f ca="1">'Map 2 Dont Touch'!AI21</f>
        <v>5</v>
      </c>
      <c r="AJ21" s="1">
        <f ca="1">'Map 2 Dont Touch'!AJ21</f>
        <v>5</v>
      </c>
      <c r="AK21" s="1">
        <f ca="1">'Map 2 Dont Touch'!AK21</f>
        <v>5</v>
      </c>
      <c r="AL21" s="1">
        <f ca="1">'Map 2 Dont Touch'!AL21</f>
        <v>5</v>
      </c>
      <c r="AM21" s="1">
        <f ca="1">'Map 2 Dont Touch'!AM21</f>
        <v>5</v>
      </c>
      <c r="AN21" s="1">
        <f ca="1">'Map 2 Dont Touch'!AN21</f>
        <v>5</v>
      </c>
      <c r="AO21" s="1">
        <f ca="1">'Map 2 Dont Touch'!AO21</f>
        <v>6</v>
      </c>
      <c r="AP21" s="1"/>
      <c r="AQ21" s="1"/>
      <c r="AR21" s="1"/>
      <c r="AS21" s="1"/>
      <c r="AT21" s="1"/>
      <c r="AU21" s="1"/>
    </row>
    <row r="22" spans="1:47" ht="37.5" customHeight="1">
      <c r="A22" s="1">
        <f>'Map 2 Dont Touch'!A22</f>
        <v>15</v>
      </c>
      <c r="B22" s="1">
        <f ca="1">'Map 2 Dont Touch'!B22</f>
        <v>6</v>
      </c>
      <c r="C22" s="1">
        <f ca="1">'Map 2 Dont Touch'!C22</f>
        <v>6</v>
      </c>
      <c r="D22" s="1">
        <f ca="1">'Map 2 Dont Touch'!D22</f>
        <v>6</v>
      </c>
      <c r="E22" s="1">
        <f ca="1">'Map 2 Dont Touch'!E22</f>
        <v>6</v>
      </c>
      <c r="F22" s="1">
        <f ca="1">'Map 2 Dont Touch'!F22</f>
        <v>6</v>
      </c>
      <c r="G22" s="1">
        <f ca="1">'Map 2 Dont Touch'!G22</f>
        <v>7</v>
      </c>
      <c r="H22" s="1">
        <f ca="1">'Map 2 Dont Touch'!H22</f>
        <v>6</v>
      </c>
      <c r="I22" s="1">
        <f ca="1">'Map 2 Dont Touch'!I22</f>
        <v>7</v>
      </c>
      <c r="J22" s="1">
        <f ca="1">'Map 2 Dont Touch'!J22</f>
        <v>7</v>
      </c>
      <c r="K22" s="1">
        <f ca="1">'Map 2 Dont Touch'!K22</f>
        <v>7</v>
      </c>
      <c r="L22" s="1">
        <f ca="1">'Map 2 Dont Touch'!L22</f>
        <v>7</v>
      </c>
      <c r="M22" s="1">
        <f ca="1">'Map 2 Dont Touch'!M22</f>
        <v>7</v>
      </c>
      <c r="N22" s="1">
        <f ca="1">'Map 2 Dont Touch'!N22</f>
        <v>7</v>
      </c>
      <c r="O22" s="1">
        <f ca="1">'Map 2 Dont Touch'!O22</f>
        <v>7</v>
      </c>
      <c r="P22" s="1">
        <f ca="1">'Map 2 Dont Touch'!P22</f>
        <v>5</v>
      </c>
      <c r="Q22" s="1">
        <f ca="1">'Map 2 Dont Touch'!Q22</f>
        <v>5</v>
      </c>
      <c r="R22" s="1">
        <f ca="1">'Map 2 Dont Touch'!R22</f>
        <v>7</v>
      </c>
      <c r="S22" s="1">
        <f ca="1">'Map 2 Dont Touch'!S22</f>
        <v>7</v>
      </c>
      <c r="T22" s="1">
        <f ca="1">'Map 2 Dont Touch'!T22</f>
        <v>5</v>
      </c>
      <c r="U22" s="1">
        <f ca="1">'Map 2 Dont Touch'!U22</f>
        <v>1</v>
      </c>
      <c r="V22" s="1">
        <f ca="1">'Map 2 Dont Touch'!V22</f>
        <v>7</v>
      </c>
      <c r="W22" s="1">
        <f ca="1">'Map 2 Dont Touch'!W22</f>
        <v>3</v>
      </c>
      <c r="X22" s="1">
        <f ca="1">'Map 2 Dont Touch'!X22</f>
        <v>3</v>
      </c>
      <c r="Y22" s="1">
        <f ca="1">'Map 2 Dont Touch'!Y22</f>
        <v>3</v>
      </c>
      <c r="Z22" s="1">
        <f ca="1">'Map 2 Dont Touch'!Z22</f>
        <v>7</v>
      </c>
      <c r="AA22" s="1">
        <f ca="1">'Map 2 Dont Touch'!AA22</f>
        <v>8</v>
      </c>
      <c r="AB22" s="1">
        <f ca="1">'Map 2 Dont Touch'!AB22</f>
        <v>5</v>
      </c>
      <c r="AC22" s="1">
        <f ca="1">'Map 2 Dont Touch'!AC22</f>
        <v>5</v>
      </c>
      <c r="AD22" s="1">
        <f ca="1">'Map 2 Dont Touch'!AD22</f>
        <v>8</v>
      </c>
      <c r="AE22" s="1">
        <f ca="1">'Map 2 Dont Touch'!AE22</f>
        <v>5</v>
      </c>
      <c r="AF22" s="1">
        <f ca="1">'Map 2 Dont Touch'!AF22</f>
        <v>5</v>
      </c>
      <c r="AG22" s="1">
        <f ca="1">'Map 2 Dont Touch'!AG22</f>
        <v>5</v>
      </c>
      <c r="AH22" s="1">
        <f ca="1">'Map 2 Dont Touch'!AH22</f>
        <v>7</v>
      </c>
      <c r="AI22" s="1">
        <f ca="1">'Map 2 Dont Touch'!AI22</f>
        <v>7</v>
      </c>
      <c r="AJ22" s="1">
        <f ca="1">'Map 2 Dont Touch'!AJ22</f>
        <v>5</v>
      </c>
      <c r="AK22" s="1">
        <f ca="1">'Map 2 Dont Touch'!AK22</f>
        <v>5</v>
      </c>
      <c r="AL22" s="1">
        <f ca="1">'Map 2 Dont Touch'!AL22</f>
        <v>5</v>
      </c>
      <c r="AM22" s="1">
        <f ca="1">'Map 2 Dont Touch'!AM22</f>
        <v>5</v>
      </c>
      <c r="AN22" s="1">
        <f ca="1">'Map 2 Dont Touch'!AN22</f>
        <v>5</v>
      </c>
      <c r="AO22" s="1">
        <f ca="1">'Map 2 Dont Touch'!AO22</f>
        <v>5</v>
      </c>
      <c r="AP22" s="1"/>
      <c r="AQ22" s="1"/>
      <c r="AR22" s="1"/>
      <c r="AS22" s="1"/>
      <c r="AT22" s="1"/>
      <c r="AU22" s="1"/>
    </row>
    <row r="23" spans="1:47" ht="37.5" customHeight="1">
      <c r="A23" s="1">
        <f>'Map 2 Dont Touch'!A23</f>
        <v>16</v>
      </c>
      <c r="B23" s="1">
        <f ca="1">'Map 2 Dont Touch'!B23</f>
        <v>6</v>
      </c>
      <c r="C23" s="1">
        <f ca="1">'Map 2 Dont Touch'!C23</f>
        <v>6</v>
      </c>
      <c r="D23" s="1">
        <f ca="1">'Map 2 Dont Touch'!D23</f>
        <v>6</v>
      </c>
      <c r="E23" s="1">
        <f ca="1">'Map 2 Dont Touch'!E23</f>
        <v>6</v>
      </c>
      <c r="F23" s="1">
        <f ca="1">'Map 2 Dont Touch'!F23</f>
        <v>6</v>
      </c>
      <c r="G23" s="1">
        <f ca="1">'Map 2 Dont Touch'!G23</f>
        <v>3</v>
      </c>
      <c r="H23" s="1">
        <f ca="1">'Map 2 Dont Touch'!H23</f>
        <v>2</v>
      </c>
      <c r="I23" s="1">
        <f ca="1">'Map 2 Dont Touch'!I23</f>
        <v>7</v>
      </c>
      <c r="J23" s="1">
        <f ca="1">'Map 2 Dont Touch'!J23</f>
        <v>6</v>
      </c>
      <c r="K23" s="1">
        <f ca="1">'Map 2 Dont Touch'!K23</f>
        <v>7</v>
      </c>
      <c r="L23" s="1">
        <f ca="1">'Map 2 Dont Touch'!L23</f>
        <v>7</v>
      </c>
      <c r="M23" s="1">
        <f ca="1">'Map 2 Dont Touch'!M23</f>
        <v>7</v>
      </c>
      <c r="N23" s="1">
        <f ca="1">'Map 2 Dont Touch'!N23</f>
        <v>7</v>
      </c>
      <c r="O23" s="1">
        <f ca="1">'Map 2 Dont Touch'!O23</f>
        <v>7</v>
      </c>
      <c r="P23" s="1">
        <f ca="1">'Map 2 Dont Touch'!P23</f>
        <v>5</v>
      </c>
      <c r="Q23" s="1">
        <f ca="1">'Map 2 Dont Touch'!Q23</f>
        <v>7</v>
      </c>
      <c r="R23" s="1">
        <f ca="1">'Map 2 Dont Touch'!R23</f>
        <v>7</v>
      </c>
      <c r="S23" s="1">
        <f ca="1">'Map 2 Dont Touch'!S23</f>
        <v>7</v>
      </c>
      <c r="T23" s="1">
        <f ca="1">'Map 2 Dont Touch'!T23</f>
        <v>5</v>
      </c>
      <c r="U23" s="1">
        <f ca="1">'Map 2 Dont Touch'!U23</f>
        <v>1</v>
      </c>
      <c r="V23" s="1">
        <f ca="1">'Map 2 Dont Touch'!V23</f>
        <v>7</v>
      </c>
      <c r="W23" s="1">
        <f ca="1">'Map 2 Dont Touch'!W23</f>
        <v>7</v>
      </c>
      <c r="X23" s="1">
        <f ca="1">'Map 2 Dont Touch'!X23</f>
        <v>3</v>
      </c>
      <c r="Y23" s="1">
        <f ca="1">'Map 2 Dont Touch'!Y23</f>
        <v>7</v>
      </c>
      <c r="Z23" s="1">
        <f ca="1">'Map 2 Dont Touch'!Z23</f>
        <v>5</v>
      </c>
      <c r="AA23" s="1">
        <f ca="1">'Map 2 Dont Touch'!AA23</f>
        <v>7</v>
      </c>
      <c r="AB23" s="1">
        <f ca="1">'Map 2 Dont Touch'!AB23</f>
        <v>5</v>
      </c>
      <c r="AC23" s="1">
        <f ca="1">'Map 2 Dont Touch'!AC23</f>
        <v>8</v>
      </c>
      <c r="AD23" s="1">
        <f ca="1">'Map 2 Dont Touch'!AD23</f>
        <v>8</v>
      </c>
      <c r="AE23" s="1">
        <f ca="1">'Map 2 Dont Touch'!AE23</f>
        <v>7</v>
      </c>
      <c r="AF23" s="1">
        <f ca="1">'Map 2 Dont Touch'!AF23</f>
        <v>7</v>
      </c>
      <c r="AG23" s="1">
        <f ca="1">'Map 2 Dont Touch'!AG23</f>
        <v>7</v>
      </c>
      <c r="AH23" s="1">
        <f ca="1">'Map 2 Dont Touch'!AH23</f>
        <v>5</v>
      </c>
      <c r="AI23" s="1">
        <f ca="1">'Map 2 Dont Touch'!AI23</f>
        <v>7</v>
      </c>
      <c r="AJ23" s="1">
        <f ca="1">'Map 2 Dont Touch'!AJ23</f>
        <v>7</v>
      </c>
      <c r="AK23" s="1">
        <f ca="1">'Map 2 Dont Touch'!AK23</f>
        <v>7</v>
      </c>
      <c r="AL23" s="1">
        <f ca="1">'Map 2 Dont Touch'!AL23</f>
        <v>5</v>
      </c>
      <c r="AM23" s="1">
        <f ca="1">'Map 2 Dont Touch'!AM23</f>
        <v>5</v>
      </c>
      <c r="AN23" s="1">
        <f ca="1">'Map 2 Dont Touch'!AN23</f>
        <v>5</v>
      </c>
      <c r="AO23" s="1">
        <f ca="1">'Map 2 Dont Touch'!AO23</f>
        <v>2</v>
      </c>
      <c r="AP23" s="1"/>
      <c r="AQ23" s="1"/>
      <c r="AR23" s="1"/>
      <c r="AS23" s="1"/>
      <c r="AT23" s="1"/>
      <c r="AU23" s="1"/>
    </row>
    <row r="24" spans="1:47" ht="37.5" customHeight="1">
      <c r="A24" s="1">
        <f>'Map 2 Dont Touch'!A24</f>
        <v>17</v>
      </c>
      <c r="B24" s="1">
        <f ca="1">'Map 2 Dont Touch'!B24</f>
        <v>6</v>
      </c>
      <c r="C24" s="1">
        <f ca="1">'Map 2 Dont Touch'!C24</f>
        <v>6</v>
      </c>
      <c r="D24" s="1">
        <f ca="1">'Map 2 Dont Touch'!D24</f>
        <v>2</v>
      </c>
      <c r="E24" s="1">
        <f ca="1">'Map 2 Dont Touch'!E24</f>
        <v>6</v>
      </c>
      <c r="F24" s="1">
        <f ca="1">'Map 2 Dont Touch'!F24</f>
        <v>6</v>
      </c>
      <c r="G24" s="1">
        <f ca="1">'Map 2 Dont Touch'!G24</f>
        <v>2</v>
      </c>
      <c r="H24" s="1">
        <f ca="1">'Map 2 Dont Touch'!H24</f>
        <v>2</v>
      </c>
      <c r="I24" s="1">
        <f ca="1">'Map 2 Dont Touch'!I24</f>
        <v>6</v>
      </c>
      <c r="J24" s="1">
        <f ca="1">'Map 2 Dont Touch'!J24</f>
        <v>6</v>
      </c>
      <c r="K24" s="1">
        <f ca="1">'Map 2 Dont Touch'!K24</f>
        <v>6</v>
      </c>
      <c r="L24" s="1">
        <f ca="1">'Map 2 Dont Touch'!L24</f>
        <v>7</v>
      </c>
      <c r="M24" s="1">
        <f ca="1">'Map 2 Dont Touch'!M24</f>
        <v>7</v>
      </c>
      <c r="N24" s="1">
        <f ca="1">'Map 2 Dont Touch'!N24</f>
        <v>7</v>
      </c>
      <c r="O24" s="1">
        <f ca="1">'Map 2 Dont Touch'!O24</f>
        <v>7</v>
      </c>
      <c r="P24" s="1">
        <f ca="1">'Map 2 Dont Touch'!P24</f>
        <v>7</v>
      </c>
      <c r="Q24" s="1">
        <f ca="1">'Map 2 Dont Touch'!Q24</f>
        <v>3</v>
      </c>
      <c r="R24" s="1">
        <f ca="1">'Map 2 Dont Touch'!R24</f>
        <v>7</v>
      </c>
      <c r="S24" s="1">
        <f ca="1">'Map 2 Dont Touch'!S24</f>
        <v>3</v>
      </c>
      <c r="T24" s="1">
        <f ca="1">'Map 2 Dont Touch'!T24</f>
        <v>3</v>
      </c>
      <c r="U24" s="1">
        <f ca="1">'Map 2 Dont Touch'!U24</f>
        <v>3</v>
      </c>
      <c r="V24" s="1">
        <f ca="1">'Map 2 Dont Touch'!V24</f>
        <v>3</v>
      </c>
      <c r="W24" s="1">
        <f ca="1">'Map 2 Dont Touch'!W24</f>
        <v>7</v>
      </c>
      <c r="X24" s="1">
        <f ca="1">'Map 2 Dont Touch'!X24</f>
        <v>3</v>
      </c>
      <c r="Y24" s="1">
        <f ca="1">'Map 2 Dont Touch'!Y24</f>
        <v>7</v>
      </c>
      <c r="Z24" s="1">
        <f ca="1">'Map 2 Dont Touch'!Z24</f>
        <v>7</v>
      </c>
      <c r="AA24" s="1">
        <f ca="1">'Map 2 Dont Touch'!AA24</f>
        <v>8</v>
      </c>
      <c r="AB24" s="1">
        <f ca="1">'Map 2 Dont Touch'!AB24</f>
        <v>8</v>
      </c>
      <c r="AC24" s="1">
        <f ca="1">'Map 2 Dont Touch'!AC24</f>
        <v>8</v>
      </c>
      <c r="AD24" s="1">
        <f ca="1">'Map 2 Dont Touch'!AD24</f>
        <v>8</v>
      </c>
      <c r="AE24" s="1">
        <f ca="1">'Map 2 Dont Touch'!AE24</f>
        <v>8</v>
      </c>
      <c r="AF24" s="1">
        <f ca="1">'Map 2 Dont Touch'!AF24</f>
        <v>8</v>
      </c>
      <c r="AG24" s="1">
        <f ca="1">'Map 2 Dont Touch'!AG24</f>
        <v>7</v>
      </c>
      <c r="AH24" s="1">
        <f ca="1">'Map 2 Dont Touch'!AH24</f>
        <v>7</v>
      </c>
      <c r="AI24" s="1">
        <f ca="1">'Map 2 Dont Touch'!AI24</f>
        <v>7</v>
      </c>
      <c r="AJ24" s="1">
        <f ca="1">'Map 2 Dont Touch'!AJ24</f>
        <v>7</v>
      </c>
      <c r="AK24" s="1">
        <f ca="1">'Map 2 Dont Touch'!AK24</f>
        <v>5</v>
      </c>
      <c r="AL24" s="1">
        <f ca="1">'Map 2 Dont Touch'!AL24</f>
        <v>5</v>
      </c>
      <c r="AM24" s="1">
        <f ca="1">'Map 2 Dont Touch'!AM24</f>
        <v>5</v>
      </c>
      <c r="AN24" s="1">
        <f ca="1">'Map 2 Dont Touch'!AN24</f>
        <v>5</v>
      </c>
      <c r="AO24" s="1">
        <f ca="1">'Map 2 Dont Touch'!AO24</f>
        <v>2</v>
      </c>
      <c r="AP24" s="1"/>
      <c r="AQ24" s="1"/>
      <c r="AR24" s="1"/>
      <c r="AS24" s="1"/>
      <c r="AT24" s="1"/>
      <c r="AU24" s="1"/>
    </row>
    <row r="25" spans="1:47" ht="37.5" customHeight="1">
      <c r="A25" s="1">
        <f>'Map 2 Dont Touch'!A25</f>
        <v>18</v>
      </c>
      <c r="B25" s="1">
        <f ca="1">'Map 2 Dont Touch'!B25</f>
        <v>6</v>
      </c>
      <c r="C25" s="1">
        <f ca="1">'Map 2 Dont Touch'!C25</f>
        <v>2</v>
      </c>
      <c r="D25" s="1">
        <f ca="1">'Map 2 Dont Touch'!D25</f>
        <v>2</v>
      </c>
      <c r="E25" s="1">
        <f ca="1">'Map 2 Dont Touch'!E25</f>
        <v>2</v>
      </c>
      <c r="F25" s="1">
        <f ca="1">'Map 2 Dont Touch'!F25</f>
        <v>2</v>
      </c>
      <c r="G25" s="1">
        <f ca="1">'Map 2 Dont Touch'!G25</f>
        <v>2</v>
      </c>
      <c r="H25" s="1">
        <f ca="1">'Map 2 Dont Touch'!H25</f>
        <v>2</v>
      </c>
      <c r="I25" s="1">
        <f ca="1">'Map 2 Dont Touch'!I25</f>
        <v>2</v>
      </c>
      <c r="J25" s="1">
        <f ca="1">'Map 2 Dont Touch'!J25</f>
        <v>6</v>
      </c>
      <c r="K25" s="1">
        <f ca="1">'Map 2 Dont Touch'!K25</f>
        <v>6</v>
      </c>
      <c r="L25" s="1">
        <f ca="1">'Map 2 Dont Touch'!L25</f>
        <v>7</v>
      </c>
      <c r="M25" s="1">
        <f ca="1">'Map 2 Dont Touch'!M25</f>
        <v>7</v>
      </c>
      <c r="N25" s="1">
        <f ca="1">'Map 2 Dont Touch'!N25</f>
        <v>7</v>
      </c>
      <c r="O25" s="1">
        <f ca="1">'Map 2 Dont Touch'!O25</f>
        <v>7</v>
      </c>
      <c r="P25" s="1">
        <f ca="1">'Map 2 Dont Touch'!P25</f>
        <v>7</v>
      </c>
      <c r="Q25" s="1">
        <f ca="1">'Map 2 Dont Touch'!Q25</f>
        <v>7</v>
      </c>
      <c r="R25" s="1">
        <f ca="1">'Map 2 Dont Touch'!R25</f>
        <v>7</v>
      </c>
      <c r="S25" s="1">
        <f ca="1">'Map 2 Dont Touch'!S25</f>
        <v>3</v>
      </c>
      <c r="T25" s="1">
        <f ca="1">'Map 2 Dont Touch'!T25</f>
        <v>3</v>
      </c>
      <c r="U25" s="1">
        <f ca="1">'Map 2 Dont Touch'!U25</f>
        <v>3</v>
      </c>
      <c r="V25" s="1">
        <f ca="1">'Map 2 Dont Touch'!V25</f>
        <v>3</v>
      </c>
      <c r="W25" s="1">
        <f ca="1">'Map 2 Dont Touch'!W25</f>
        <v>7</v>
      </c>
      <c r="X25" s="1">
        <f ca="1">'Map 2 Dont Touch'!X25</f>
        <v>7</v>
      </c>
      <c r="Y25" s="1">
        <f ca="1">'Map 2 Dont Touch'!Y25</f>
        <v>7</v>
      </c>
      <c r="Z25" s="1">
        <f ca="1">'Map 2 Dont Touch'!Z25</f>
        <v>8</v>
      </c>
      <c r="AA25" s="1">
        <f ca="1">'Map 2 Dont Touch'!AA25</f>
        <v>8</v>
      </c>
      <c r="AB25" s="1">
        <f ca="1">'Map 2 Dont Touch'!AB25</f>
        <v>8</v>
      </c>
      <c r="AC25" s="1">
        <f ca="1">'Map 2 Dont Touch'!AC25</f>
        <v>8</v>
      </c>
      <c r="AD25" s="1">
        <f ca="1">'Map 2 Dont Touch'!AD25</f>
        <v>8</v>
      </c>
      <c r="AE25" s="1">
        <f ca="1">'Map 2 Dont Touch'!AE25</f>
        <v>8</v>
      </c>
      <c r="AF25" s="1">
        <f ca="1">'Map 2 Dont Touch'!AF25</f>
        <v>8</v>
      </c>
      <c r="AG25" s="1">
        <f ca="1">'Map 2 Dont Touch'!AG25</f>
        <v>7</v>
      </c>
      <c r="AH25" s="1">
        <f ca="1">'Map 2 Dont Touch'!AH25</f>
        <v>7</v>
      </c>
      <c r="AI25" s="1">
        <f ca="1">'Map 2 Dont Touch'!AI25</f>
        <v>7</v>
      </c>
      <c r="AJ25" s="1">
        <f ca="1">'Map 2 Dont Touch'!AJ25</f>
        <v>7</v>
      </c>
      <c r="AK25" s="1">
        <f ca="1">'Map 2 Dont Touch'!AK25</f>
        <v>5</v>
      </c>
      <c r="AL25" s="1">
        <f ca="1">'Map 2 Dont Touch'!AL25</f>
        <v>5</v>
      </c>
      <c r="AM25" s="1">
        <f ca="1">'Map 2 Dont Touch'!AM25</f>
        <v>5</v>
      </c>
      <c r="AN25" s="1">
        <f ca="1">'Map 2 Dont Touch'!AN25</f>
        <v>5</v>
      </c>
      <c r="AO25" s="1">
        <f ca="1">'Map 2 Dont Touch'!AO25</f>
        <v>2</v>
      </c>
      <c r="AP25" s="1"/>
      <c r="AQ25" s="1"/>
      <c r="AR25" s="1"/>
      <c r="AS25" s="1"/>
      <c r="AT25" s="1"/>
      <c r="AU25" s="1"/>
    </row>
    <row r="26" spans="1:47" ht="37.5" customHeight="1">
      <c r="A26" s="1">
        <f>'Map 2 Dont Touch'!A26</f>
        <v>19</v>
      </c>
      <c r="B26" s="1">
        <f ca="1">'Map 2 Dont Touch'!B26</f>
        <v>2</v>
      </c>
      <c r="C26" s="1">
        <f ca="1">'Map 2 Dont Touch'!C26</f>
        <v>2</v>
      </c>
      <c r="D26" s="1">
        <f ca="1">'Map 2 Dont Touch'!D26</f>
        <v>2</v>
      </c>
      <c r="E26" s="1">
        <f ca="1">'Map 2 Dont Touch'!E26</f>
        <v>2</v>
      </c>
      <c r="F26" s="1">
        <f ca="1">'Map 2 Dont Touch'!F26</f>
        <v>2</v>
      </c>
      <c r="G26" s="1">
        <f ca="1">'Map 2 Dont Touch'!G26</f>
        <v>2</v>
      </c>
      <c r="H26" s="1">
        <f ca="1">'Map 2 Dont Touch'!H26</f>
        <v>2</v>
      </c>
      <c r="I26" s="1">
        <f ca="1">'Map 2 Dont Touch'!I26</f>
        <v>2</v>
      </c>
      <c r="J26" s="1">
        <f ca="1">'Map 2 Dont Touch'!J26</f>
        <v>6</v>
      </c>
      <c r="K26" s="1">
        <f ca="1">'Map 2 Dont Touch'!K26</f>
        <v>6</v>
      </c>
      <c r="L26" s="1">
        <f ca="1">'Map 2 Dont Touch'!L26</f>
        <v>6</v>
      </c>
      <c r="M26" s="1">
        <f ca="1">'Map 2 Dont Touch'!M26</f>
        <v>7</v>
      </c>
      <c r="N26" s="1">
        <f ca="1">'Map 2 Dont Touch'!N26</f>
        <v>7</v>
      </c>
      <c r="O26" s="1">
        <f ca="1">'Map 2 Dont Touch'!O26</f>
        <v>7</v>
      </c>
      <c r="P26" s="1">
        <f ca="1">'Map 2 Dont Touch'!P26</f>
        <v>7</v>
      </c>
      <c r="Q26" s="1">
        <f ca="1">'Map 2 Dont Touch'!Q26</f>
        <v>7</v>
      </c>
      <c r="R26" s="1">
        <f ca="1">'Map 2 Dont Touch'!R26</f>
        <v>7</v>
      </c>
      <c r="S26" s="1">
        <f ca="1">'Map 2 Dont Touch'!S26</f>
        <v>3</v>
      </c>
      <c r="T26" s="1">
        <f ca="1">'Map 2 Dont Touch'!T26</f>
        <v>3</v>
      </c>
      <c r="U26" s="1">
        <f ca="1">'Map 2 Dont Touch'!U26</f>
        <v>7</v>
      </c>
      <c r="V26" s="1">
        <f ca="1">'Map 2 Dont Touch'!V26</f>
        <v>3</v>
      </c>
      <c r="W26" s="1">
        <f ca="1">'Map 2 Dont Touch'!W26</f>
        <v>7</v>
      </c>
      <c r="X26" s="1">
        <f ca="1">'Map 2 Dont Touch'!X26</f>
        <v>7</v>
      </c>
      <c r="Y26" s="1">
        <f ca="1">'Map 2 Dont Touch'!Y26</f>
        <v>7</v>
      </c>
      <c r="Z26" s="1">
        <f ca="1">'Map 2 Dont Touch'!Z26</f>
        <v>7</v>
      </c>
      <c r="AA26" s="1">
        <f ca="1">'Map 2 Dont Touch'!AA26</f>
        <v>8</v>
      </c>
      <c r="AB26" s="1">
        <f ca="1">'Map 2 Dont Touch'!AB26</f>
        <v>8</v>
      </c>
      <c r="AC26" s="1">
        <f ca="1">'Map 2 Dont Touch'!AC26</f>
        <v>8</v>
      </c>
      <c r="AD26" s="1">
        <f ca="1">'Map 2 Dont Touch'!AD26</f>
        <v>8</v>
      </c>
      <c r="AE26" s="1">
        <f ca="1">'Map 2 Dont Touch'!AE26</f>
        <v>8</v>
      </c>
      <c r="AF26" s="1">
        <f ca="1">'Map 2 Dont Touch'!AF26</f>
        <v>8</v>
      </c>
      <c r="AG26" s="1">
        <f ca="1">'Map 2 Dont Touch'!AG26</f>
        <v>7</v>
      </c>
      <c r="AH26" s="1">
        <f ca="1">'Map 2 Dont Touch'!AH26</f>
        <v>7</v>
      </c>
      <c r="AI26" s="1">
        <f ca="1">'Map 2 Dont Touch'!AI26</f>
        <v>7</v>
      </c>
      <c r="AJ26" s="1">
        <f ca="1">'Map 2 Dont Touch'!AJ26</f>
        <v>5</v>
      </c>
      <c r="AK26" s="1">
        <f ca="1">'Map 2 Dont Touch'!AK26</f>
        <v>5</v>
      </c>
      <c r="AL26" s="1">
        <f ca="1">'Map 2 Dont Touch'!AL26</f>
        <v>5</v>
      </c>
      <c r="AM26" s="1">
        <f ca="1">'Map 2 Dont Touch'!AM26</f>
        <v>5</v>
      </c>
      <c r="AN26" s="1">
        <f ca="1">'Map 2 Dont Touch'!AN26</f>
        <v>5</v>
      </c>
      <c r="AO26" s="1">
        <f ca="1">'Map 2 Dont Touch'!AO26</f>
        <v>1</v>
      </c>
      <c r="AP26" s="1"/>
      <c r="AQ26" s="1"/>
      <c r="AR26" s="1"/>
      <c r="AS26" s="1"/>
      <c r="AT26" s="1"/>
      <c r="AU26" s="1"/>
    </row>
    <row r="27" spans="1:47" ht="37.5" customHeight="1">
      <c r="A27" s="1">
        <f>'Map 2 Dont Touch'!A27</f>
        <v>20</v>
      </c>
      <c r="B27" s="1">
        <f ca="1">'Map 2 Dont Touch'!B27</f>
        <v>8</v>
      </c>
      <c r="C27" s="1">
        <f ca="1">'Map 2 Dont Touch'!C27</f>
        <v>1</v>
      </c>
      <c r="D27" s="1">
        <f ca="1">'Map 2 Dont Touch'!D27</f>
        <v>2</v>
      </c>
      <c r="E27" s="1">
        <f ca="1">'Map 2 Dont Touch'!E27</f>
        <v>2</v>
      </c>
      <c r="F27" s="1">
        <f ca="1">'Map 2 Dont Touch'!F27</f>
        <v>3</v>
      </c>
      <c r="G27" s="1">
        <f ca="1">'Map 2 Dont Touch'!G27</f>
        <v>2</v>
      </c>
      <c r="H27" s="1">
        <f ca="1">'Map 2 Dont Touch'!H27</f>
        <v>3</v>
      </c>
      <c r="I27" s="1">
        <f ca="1">'Map 2 Dont Touch'!I27</f>
        <v>7</v>
      </c>
      <c r="J27" s="1">
        <f ca="1">'Map 2 Dont Touch'!J27</f>
        <v>3</v>
      </c>
      <c r="K27" s="1">
        <f ca="1">'Map 2 Dont Touch'!K27</f>
        <v>6</v>
      </c>
      <c r="L27" s="1">
        <f ca="1">'Map 2 Dont Touch'!L27</f>
        <v>7</v>
      </c>
      <c r="M27" s="1">
        <f ca="1">'Map 2 Dont Touch'!M27</f>
        <v>7</v>
      </c>
      <c r="N27" s="1">
        <f ca="1">'Map 2 Dont Touch'!N27</f>
        <v>7</v>
      </c>
      <c r="O27" s="1">
        <f ca="1">'Map 2 Dont Touch'!O27</f>
        <v>7</v>
      </c>
      <c r="P27" s="1">
        <f ca="1">'Map 2 Dont Touch'!P27</f>
        <v>7</v>
      </c>
      <c r="Q27" s="1">
        <f ca="1">'Map 2 Dont Touch'!Q27</f>
        <v>7</v>
      </c>
      <c r="R27" s="1">
        <f ca="1">'Map 2 Dont Touch'!R27</f>
        <v>7</v>
      </c>
      <c r="S27" s="1">
        <f ca="1">'Map 2 Dont Touch'!S27</f>
        <v>3</v>
      </c>
      <c r="T27" s="1">
        <f ca="1">'Map 2 Dont Touch'!T27</f>
        <v>7</v>
      </c>
      <c r="U27" s="1">
        <f ca="1">'Map 2 Dont Touch'!U27</f>
        <v>7</v>
      </c>
      <c r="V27" s="1">
        <f ca="1">'Map 2 Dont Touch'!V27</f>
        <v>3</v>
      </c>
      <c r="W27" s="1">
        <f ca="1">'Map 2 Dont Touch'!W27</f>
        <v>7</v>
      </c>
      <c r="X27" s="1">
        <f ca="1">'Map 2 Dont Touch'!X27</f>
        <v>7</v>
      </c>
      <c r="Y27" s="1">
        <f ca="1">'Map 2 Dont Touch'!Y27</f>
        <v>7</v>
      </c>
      <c r="Z27" s="1">
        <f ca="1">'Map 2 Dont Touch'!Z27</f>
        <v>7</v>
      </c>
      <c r="AA27" s="1">
        <f ca="1">'Map 2 Dont Touch'!AA27</f>
        <v>8</v>
      </c>
      <c r="AB27" s="1">
        <f ca="1">'Map 2 Dont Touch'!AB27</f>
        <v>8</v>
      </c>
      <c r="AC27" s="1">
        <f ca="1">'Map 2 Dont Touch'!AC27</f>
        <v>8</v>
      </c>
      <c r="AD27" s="1">
        <f ca="1">'Map 2 Dont Touch'!AD27</f>
        <v>8</v>
      </c>
      <c r="AE27" s="1">
        <f ca="1">'Map 2 Dont Touch'!AE27</f>
        <v>7</v>
      </c>
      <c r="AF27" s="1">
        <f ca="1">'Map 2 Dont Touch'!AF27</f>
        <v>8</v>
      </c>
      <c r="AG27" s="1">
        <f ca="1">'Map 2 Dont Touch'!AG27</f>
        <v>7</v>
      </c>
      <c r="AH27" s="1">
        <f ca="1">'Map 2 Dont Touch'!AH27</f>
        <v>7</v>
      </c>
      <c r="AI27" s="1">
        <f ca="1">'Map 2 Dont Touch'!AI27</f>
        <v>7</v>
      </c>
      <c r="AJ27" s="1">
        <f ca="1">'Map 2 Dont Touch'!AJ27</f>
        <v>7</v>
      </c>
      <c r="AK27" s="1">
        <f ca="1">'Map 2 Dont Touch'!AK27</f>
        <v>5</v>
      </c>
      <c r="AL27" s="1">
        <f ca="1">'Map 2 Dont Touch'!AL27</f>
        <v>5</v>
      </c>
      <c r="AM27" s="1">
        <f ca="1">'Map 2 Dont Touch'!AM27</f>
        <v>8</v>
      </c>
      <c r="AN27" s="1">
        <f ca="1">'Map 2 Dont Touch'!AN27</f>
        <v>5</v>
      </c>
      <c r="AO27" s="1">
        <f ca="1">'Map 2 Dont Touch'!AO27</f>
        <v>8</v>
      </c>
      <c r="AP27" s="1"/>
      <c r="AQ27" s="1"/>
      <c r="AR27" s="1"/>
      <c r="AS27" s="1"/>
      <c r="AT27" s="1"/>
      <c r="AU27" s="1"/>
    </row>
    <row r="28" spans="1:47" ht="37.5" customHeight="1">
      <c r="A28" s="1">
        <f>'Map 2 Dont Touch'!A28</f>
        <v>21</v>
      </c>
      <c r="B28" s="1">
        <f ca="1">'Map 2 Dont Touch'!B28</f>
        <v>1</v>
      </c>
      <c r="C28" s="1">
        <f ca="1">'Map 2 Dont Touch'!C28</f>
        <v>1</v>
      </c>
      <c r="D28" s="1">
        <f ca="1">'Map 2 Dont Touch'!D28</f>
        <v>1</v>
      </c>
      <c r="E28" s="1">
        <f ca="1">'Map 2 Dont Touch'!E28</f>
        <v>1</v>
      </c>
      <c r="F28" s="1">
        <f ca="1">'Map 2 Dont Touch'!F28</f>
        <v>3</v>
      </c>
      <c r="G28" s="1">
        <f ca="1">'Map 2 Dont Touch'!G28</f>
        <v>2</v>
      </c>
      <c r="H28" s="1">
        <f ca="1">'Map 2 Dont Touch'!H28</f>
        <v>3</v>
      </c>
      <c r="I28" s="1">
        <f ca="1">'Map 2 Dont Touch'!I28</f>
        <v>3</v>
      </c>
      <c r="J28" s="1">
        <f ca="1">'Map 2 Dont Touch'!J28</f>
        <v>3</v>
      </c>
      <c r="K28" s="1">
        <f ca="1">'Map 2 Dont Touch'!K28</f>
        <v>7</v>
      </c>
      <c r="L28" s="1">
        <f ca="1">'Map 2 Dont Touch'!L28</f>
        <v>7</v>
      </c>
      <c r="M28" s="1">
        <f ca="1">'Map 2 Dont Touch'!M28</f>
        <v>7</v>
      </c>
      <c r="N28" s="1">
        <f ca="1">'Map 2 Dont Touch'!N28</f>
        <v>7</v>
      </c>
      <c r="O28" s="1">
        <f ca="1">'Map 2 Dont Touch'!O28</f>
        <v>7</v>
      </c>
      <c r="P28" s="1">
        <f ca="1">'Map 2 Dont Touch'!P28</f>
        <v>7</v>
      </c>
      <c r="Q28" s="1">
        <f ca="1">'Map 2 Dont Touch'!Q28</f>
        <v>7</v>
      </c>
      <c r="R28" s="1">
        <f ca="1">'Map 2 Dont Touch'!R28</f>
        <v>7</v>
      </c>
      <c r="S28" s="1">
        <f ca="1">'Map 2 Dont Touch'!S28</f>
        <v>7</v>
      </c>
      <c r="T28" s="1">
        <f ca="1">'Map 2 Dont Touch'!T28</f>
        <v>3</v>
      </c>
      <c r="U28" s="1">
        <f ca="1">'Map 2 Dont Touch'!U28</f>
        <v>7</v>
      </c>
      <c r="V28" s="1">
        <f ca="1">'Map 2 Dont Touch'!V28</f>
        <v>7</v>
      </c>
      <c r="W28" s="1">
        <f ca="1">'Map 2 Dont Touch'!W28</f>
        <v>7</v>
      </c>
      <c r="X28" s="1">
        <f ca="1">'Map 2 Dont Touch'!X28</f>
        <v>7</v>
      </c>
      <c r="Y28" s="1">
        <f ca="1">'Map 2 Dont Touch'!Y28</f>
        <v>7</v>
      </c>
      <c r="Z28" s="1">
        <f ca="1">'Map 2 Dont Touch'!Z28</f>
        <v>7</v>
      </c>
      <c r="AA28" s="1">
        <f ca="1">'Map 2 Dont Touch'!AA28</f>
        <v>8</v>
      </c>
      <c r="AB28" s="1">
        <f ca="1">'Map 2 Dont Touch'!AB28</f>
        <v>8</v>
      </c>
      <c r="AC28" s="1">
        <f ca="1">'Map 2 Dont Touch'!AC28</f>
        <v>8</v>
      </c>
      <c r="AD28" s="1">
        <f ca="1">'Map 2 Dont Touch'!AD28</f>
        <v>8</v>
      </c>
      <c r="AE28" s="1">
        <f ca="1">'Map 2 Dont Touch'!AE28</f>
        <v>8</v>
      </c>
      <c r="AF28" s="1">
        <f ca="1">'Map 2 Dont Touch'!AF28</f>
        <v>7</v>
      </c>
      <c r="AG28" s="1">
        <f ca="1">'Map 2 Dont Touch'!AG28</f>
        <v>7</v>
      </c>
      <c r="AH28" s="1">
        <f ca="1">'Map 2 Dont Touch'!AH28</f>
        <v>7</v>
      </c>
      <c r="AI28" s="1">
        <f ca="1">'Map 2 Dont Touch'!AI28</f>
        <v>7</v>
      </c>
      <c r="AJ28" s="1">
        <f ca="1">'Map 2 Dont Touch'!AJ28</f>
        <v>7</v>
      </c>
      <c r="AK28" s="1">
        <f ca="1">'Map 2 Dont Touch'!AK28</f>
        <v>7</v>
      </c>
      <c r="AL28" s="1">
        <f ca="1">'Map 2 Dont Touch'!AL28</f>
        <v>8</v>
      </c>
      <c r="AM28" s="1">
        <f ca="1">'Map 2 Dont Touch'!AM28</f>
        <v>8</v>
      </c>
      <c r="AN28" s="1">
        <f ca="1">'Map 2 Dont Touch'!AN28</f>
        <v>8</v>
      </c>
      <c r="AO28" s="1">
        <f ca="1">'Map 2 Dont Touch'!AO28</f>
        <v>8</v>
      </c>
      <c r="AP28" s="1"/>
      <c r="AQ28" s="1"/>
      <c r="AR28" s="1"/>
      <c r="AS28" s="1"/>
      <c r="AT28" s="1"/>
      <c r="AU28" s="1"/>
    </row>
    <row r="29" spans="1:47" ht="37.5" customHeight="1">
      <c r="A29" s="1">
        <f>'Map 2 Dont Touch'!A29</f>
        <v>22</v>
      </c>
      <c r="B29" s="1">
        <f ca="1">'Map 2 Dont Touch'!B29</f>
        <v>1</v>
      </c>
      <c r="C29" s="1">
        <f ca="1">'Map 2 Dont Touch'!C29</f>
        <v>1</v>
      </c>
      <c r="D29" s="1">
        <f ca="1">'Map 2 Dont Touch'!D29</f>
        <v>1</v>
      </c>
      <c r="E29" s="1">
        <f ca="1">'Map 2 Dont Touch'!E29</f>
        <v>1</v>
      </c>
      <c r="F29" s="1">
        <f ca="1">'Map 2 Dont Touch'!F29</f>
        <v>1</v>
      </c>
      <c r="G29" s="1">
        <f ca="1">'Map 2 Dont Touch'!G29</f>
        <v>3</v>
      </c>
      <c r="H29" s="1">
        <f ca="1">'Map 2 Dont Touch'!H29</f>
        <v>3</v>
      </c>
      <c r="I29" s="1">
        <f ca="1">'Map 2 Dont Touch'!I29</f>
        <v>3</v>
      </c>
      <c r="J29" s="1">
        <f ca="1">'Map 2 Dont Touch'!J29</f>
        <v>3</v>
      </c>
      <c r="K29" s="1">
        <f ca="1">'Map 2 Dont Touch'!K29</f>
        <v>7</v>
      </c>
      <c r="L29" s="1">
        <f ca="1">'Map 2 Dont Touch'!L29</f>
        <v>7</v>
      </c>
      <c r="M29" s="1">
        <f ca="1">'Map 2 Dont Touch'!M29</f>
        <v>7</v>
      </c>
      <c r="N29" s="1">
        <f ca="1">'Map 2 Dont Touch'!N29</f>
        <v>7</v>
      </c>
      <c r="O29" s="1">
        <f ca="1">'Map 2 Dont Touch'!O29</f>
        <v>7</v>
      </c>
      <c r="P29" s="1">
        <f ca="1">'Map 2 Dont Touch'!P29</f>
        <v>7</v>
      </c>
      <c r="Q29" s="1">
        <f ca="1">'Map 2 Dont Touch'!Q29</f>
        <v>7</v>
      </c>
      <c r="R29" s="1">
        <f ca="1">'Map 2 Dont Touch'!R29</f>
        <v>7</v>
      </c>
      <c r="S29" s="1">
        <f ca="1">'Map 2 Dont Touch'!S29</f>
        <v>7</v>
      </c>
      <c r="T29" s="1">
        <f ca="1">'Map 2 Dont Touch'!T29</f>
        <v>7</v>
      </c>
      <c r="U29" s="1">
        <f ca="1">'Map 2 Dont Touch'!U29</f>
        <v>7</v>
      </c>
      <c r="V29" s="1">
        <f ca="1">'Map 2 Dont Touch'!V29</f>
        <v>7</v>
      </c>
      <c r="W29" s="1">
        <f ca="1">'Map 2 Dont Touch'!W29</f>
        <v>7</v>
      </c>
      <c r="X29" s="1">
        <f ca="1">'Map 2 Dont Touch'!X29</f>
        <v>7</v>
      </c>
      <c r="Y29" s="1">
        <f ca="1">'Map 2 Dont Touch'!Y29</f>
        <v>7</v>
      </c>
      <c r="Z29" s="1">
        <f ca="1">'Map 2 Dont Touch'!Z29</f>
        <v>7</v>
      </c>
      <c r="AA29" s="1">
        <f ca="1">'Map 2 Dont Touch'!AA29</f>
        <v>7</v>
      </c>
      <c r="AB29" s="1">
        <f ca="1">'Map 2 Dont Touch'!AB29</f>
        <v>8</v>
      </c>
      <c r="AC29" s="1">
        <f ca="1">'Map 2 Dont Touch'!AC29</f>
        <v>8</v>
      </c>
      <c r="AD29" s="1">
        <f ca="1">'Map 2 Dont Touch'!AD29</f>
        <v>8</v>
      </c>
      <c r="AE29" s="1">
        <f ca="1">'Map 2 Dont Touch'!AE29</f>
        <v>8</v>
      </c>
      <c r="AF29" s="1">
        <f ca="1">'Map 2 Dont Touch'!AF29</f>
        <v>8</v>
      </c>
      <c r="AG29" s="1">
        <f ca="1">'Map 2 Dont Touch'!AG29</f>
        <v>7</v>
      </c>
      <c r="AH29" s="1">
        <f ca="1">'Map 2 Dont Touch'!AH29</f>
        <v>7</v>
      </c>
      <c r="AI29" s="1">
        <f ca="1">'Map 2 Dont Touch'!AI29</f>
        <v>7</v>
      </c>
      <c r="AJ29" s="1">
        <f ca="1">'Map 2 Dont Touch'!AJ29</f>
        <v>8</v>
      </c>
      <c r="AK29" s="1">
        <f ca="1">'Map 2 Dont Touch'!AK29</f>
        <v>8</v>
      </c>
      <c r="AL29" s="1">
        <f ca="1">'Map 2 Dont Touch'!AL29</f>
        <v>8</v>
      </c>
      <c r="AM29" s="1">
        <f ca="1">'Map 2 Dont Touch'!AM29</f>
        <v>8</v>
      </c>
      <c r="AN29" s="1">
        <f ca="1">'Map 2 Dont Touch'!AN29</f>
        <v>8</v>
      </c>
      <c r="AO29" s="1">
        <f ca="1">'Map 2 Dont Touch'!AO29</f>
        <v>8</v>
      </c>
      <c r="AP29" s="1"/>
      <c r="AQ29" s="1"/>
      <c r="AR29" s="1"/>
      <c r="AS29" s="1"/>
      <c r="AT29" s="1"/>
      <c r="AU29" s="1"/>
    </row>
    <row r="30" spans="1:47" ht="37.5" customHeight="1">
      <c r="A30" s="1">
        <f>'Map 2 Dont Touch'!A30</f>
        <v>23</v>
      </c>
      <c r="B30" s="1">
        <f ca="1">'Map 2 Dont Touch'!B30</f>
        <v>8</v>
      </c>
      <c r="C30" s="1">
        <f ca="1">'Map 2 Dont Touch'!C30</f>
        <v>1</v>
      </c>
      <c r="D30" s="1">
        <f ca="1">'Map 2 Dont Touch'!D30</f>
        <v>1</v>
      </c>
      <c r="E30" s="1">
        <f ca="1">'Map 2 Dont Touch'!E30</f>
        <v>1</v>
      </c>
      <c r="F30" s="1">
        <f ca="1">'Map 2 Dont Touch'!F30</f>
        <v>1</v>
      </c>
      <c r="G30" s="1">
        <f ca="1">'Map 2 Dont Touch'!G30</f>
        <v>3</v>
      </c>
      <c r="H30" s="1">
        <f ca="1">'Map 2 Dont Touch'!H30</f>
        <v>3</v>
      </c>
      <c r="I30" s="1">
        <f ca="1">'Map 2 Dont Touch'!I30</f>
        <v>3</v>
      </c>
      <c r="J30" s="1">
        <f ca="1">'Map 2 Dont Touch'!J30</f>
        <v>7</v>
      </c>
      <c r="K30" s="1">
        <f ca="1">'Map 2 Dont Touch'!K30</f>
        <v>7</v>
      </c>
      <c r="L30" s="1">
        <f ca="1">'Map 2 Dont Touch'!L30</f>
        <v>7</v>
      </c>
      <c r="M30" s="1">
        <f ca="1">'Map 2 Dont Touch'!M30</f>
        <v>7</v>
      </c>
      <c r="N30" s="1">
        <f ca="1">'Map 2 Dont Touch'!N30</f>
        <v>7</v>
      </c>
      <c r="O30" s="1">
        <f ca="1">'Map 2 Dont Touch'!O30</f>
        <v>7</v>
      </c>
      <c r="P30" s="1">
        <f ca="1">'Map 2 Dont Touch'!P30</f>
        <v>7</v>
      </c>
      <c r="Q30" s="1">
        <f ca="1">'Map 2 Dont Touch'!Q30</f>
        <v>7</v>
      </c>
      <c r="R30" s="1">
        <f ca="1">'Map 2 Dont Touch'!R30</f>
        <v>7</v>
      </c>
      <c r="S30" s="1">
        <f ca="1">'Map 2 Dont Touch'!S30</f>
        <v>7</v>
      </c>
      <c r="T30" s="1">
        <f ca="1">'Map 2 Dont Touch'!T30</f>
        <v>7</v>
      </c>
      <c r="U30" s="1">
        <f ca="1">'Map 2 Dont Touch'!U30</f>
        <v>7</v>
      </c>
      <c r="V30" s="1">
        <f ca="1">'Map 2 Dont Touch'!V30</f>
        <v>7</v>
      </c>
      <c r="W30" s="1">
        <f ca="1">'Map 2 Dont Touch'!W30</f>
        <v>7</v>
      </c>
      <c r="X30" s="1">
        <f ca="1">'Map 2 Dont Touch'!X30</f>
        <v>7</v>
      </c>
      <c r="Y30" s="1">
        <f ca="1">'Map 2 Dont Touch'!Y30</f>
        <v>7</v>
      </c>
      <c r="Z30" s="1">
        <f ca="1">'Map 2 Dont Touch'!Z30</f>
        <v>8</v>
      </c>
      <c r="AA30" s="1">
        <f ca="1">'Map 2 Dont Touch'!AA30</f>
        <v>8</v>
      </c>
      <c r="AB30" s="1">
        <f ca="1">'Map 2 Dont Touch'!AB30</f>
        <v>8</v>
      </c>
      <c r="AC30" s="1">
        <f ca="1">'Map 2 Dont Touch'!AC30</f>
        <v>8</v>
      </c>
      <c r="AD30" s="1">
        <f ca="1">'Map 2 Dont Touch'!AD30</f>
        <v>8</v>
      </c>
      <c r="AE30" s="1">
        <f ca="1">'Map 2 Dont Touch'!AE30</f>
        <v>7</v>
      </c>
      <c r="AF30" s="1">
        <f ca="1">'Map 2 Dont Touch'!AF30</f>
        <v>8</v>
      </c>
      <c r="AG30" s="1">
        <f ca="1">'Map 2 Dont Touch'!AG30</f>
        <v>7</v>
      </c>
      <c r="AH30" s="1">
        <f ca="1">'Map 2 Dont Touch'!AH30</f>
        <v>7</v>
      </c>
      <c r="AI30" s="1">
        <f ca="1">'Map 2 Dont Touch'!AI30</f>
        <v>7</v>
      </c>
      <c r="AJ30" s="1">
        <f ca="1">'Map 2 Dont Touch'!AJ30</f>
        <v>7</v>
      </c>
      <c r="AK30" s="1">
        <f ca="1">'Map 2 Dont Touch'!AK30</f>
        <v>7</v>
      </c>
      <c r="AL30" s="1">
        <f ca="1">'Map 2 Dont Touch'!AL30</f>
        <v>8</v>
      </c>
      <c r="AM30" s="1">
        <f ca="1">'Map 2 Dont Touch'!AM30</f>
        <v>8</v>
      </c>
      <c r="AN30" s="1">
        <f ca="1">'Map 2 Dont Touch'!AN30</f>
        <v>8</v>
      </c>
      <c r="AO30" s="1">
        <f ca="1">'Map 2 Dont Touch'!AO30</f>
        <v>8</v>
      </c>
      <c r="AP30" s="1"/>
      <c r="AQ30" s="1"/>
      <c r="AR30" s="1"/>
      <c r="AS30" s="1"/>
      <c r="AT30" s="1"/>
      <c r="AU30" s="1"/>
    </row>
    <row r="31" spans="1:47" ht="37.5" customHeight="1">
      <c r="A31" s="1">
        <f>'Map 2 Dont Touch'!A31</f>
        <v>24</v>
      </c>
      <c r="B31" s="1">
        <f ca="1">'Map 2 Dont Touch'!B31</f>
        <v>5</v>
      </c>
      <c r="C31" s="1">
        <f ca="1">'Map 2 Dont Touch'!C31</f>
        <v>1</v>
      </c>
      <c r="D31" s="1">
        <f ca="1">'Map 2 Dont Touch'!D31</f>
        <v>5</v>
      </c>
      <c r="E31" s="1">
        <f ca="1">'Map 2 Dont Touch'!E31</f>
        <v>1</v>
      </c>
      <c r="F31" s="1">
        <f ca="1">'Map 2 Dont Touch'!F31</f>
        <v>5</v>
      </c>
      <c r="G31" s="1">
        <f ca="1">'Map 2 Dont Touch'!G31</f>
        <v>1</v>
      </c>
      <c r="H31" s="1">
        <f ca="1">'Map 2 Dont Touch'!H31</f>
        <v>3</v>
      </c>
      <c r="I31" s="1">
        <f ca="1">'Map 2 Dont Touch'!I31</f>
        <v>7</v>
      </c>
      <c r="J31" s="1">
        <f ca="1">'Map 2 Dont Touch'!J31</f>
        <v>7</v>
      </c>
      <c r="K31" s="1">
        <f ca="1">'Map 2 Dont Touch'!K31</f>
        <v>7</v>
      </c>
      <c r="L31" s="1">
        <f ca="1">'Map 2 Dont Touch'!L31</f>
        <v>7</v>
      </c>
      <c r="M31" s="1">
        <f ca="1">'Map 2 Dont Touch'!M31</f>
        <v>7</v>
      </c>
      <c r="N31" s="1">
        <f ca="1">'Map 2 Dont Touch'!N31</f>
        <v>7</v>
      </c>
      <c r="O31" s="1">
        <f ca="1">'Map 2 Dont Touch'!O31</f>
        <v>7</v>
      </c>
      <c r="P31" s="1">
        <f ca="1">'Map 2 Dont Touch'!P31</f>
        <v>7</v>
      </c>
      <c r="Q31" s="1">
        <f ca="1">'Map 2 Dont Touch'!Q31</f>
        <v>7</v>
      </c>
      <c r="R31" s="1">
        <f ca="1">'Map 2 Dont Touch'!R31</f>
        <v>7</v>
      </c>
      <c r="S31" s="1">
        <f ca="1">'Map 2 Dont Touch'!S31</f>
        <v>7</v>
      </c>
      <c r="T31" s="1">
        <f ca="1">'Map 2 Dont Touch'!T31</f>
        <v>7</v>
      </c>
      <c r="U31" s="1">
        <f ca="1">'Map 2 Dont Touch'!U31</f>
        <v>7</v>
      </c>
      <c r="V31" s="1">
        <f ca="1">'Map 2 Dont Touch'!V31</f>
        <v>7</v>
      </c>
      <c r="W31" s="1">
        <f ca="1">'Map 2 Dont Touch'!W31</f>
        <v>7</v>
      </c>
      <c r="X31" s="1">
        <f ca="1">'Map 2 Dont Touch'!X31</f>
        <v>7</v>
      </c>
      <c r="Y31" s="1">
        <f ca="1">'Map 2 Dont Touch'!Y31</f>
        <v>7</v>
      </c>
      <c r="Z31" s="1">
        <f ca="1">'Map 2 Dont Touch'!Z31</f>
        <v>8</v>
      </c>
      <c r="AA31" s="1">
        <f ca="1">'Map 2 Dont Touch'!AA31</f>
        <v>8</v>
      </c>
      <c r="AB31" s="1">
        <f ca="1">'Map 2 Dont Touch'!AB31</f>
        <v>8</v>
      </c>
      <c r="AC31" s="1">
        <f ca="1">'Map 2 Dont Touch'!AC31</f>
        <v>8</v>
      </c>
      <c r="AD31" s="1">
        <f ca="1">'Map 2 Dont Touch'!AD31</f>
        <v>8</v>
      </c>
      <c r="AE31" s="1">
        <f ca="1">'Map 2 Dont Touch'!AE31</f>
        <v>7</v>
      </c>
      <c r="AF31" s="1">
        <f ca="1">'Map 2 Dont Touch'!AF31</f>
        <v>7</v>
      </c>
      <c r="AG31" s="1">
        <f ca="1">'Map 2 Dont Touch'!AG31</f>
        <v>7</v>
      </c>
      <c r="AH31" s="1">
        <f ca="1">'Map 2 Dont Touch'!AH31</f>
        <v>7</v>
      </c>
      <c r="AI31" s="1">
        <f ca="1">'Map 2 Dont Touch'!AI31</f>
        <v>7</v>
      </c>
      <c r="AJ31" s="1">
        <f ca="1">'Map 2 Dont Touch'!AJ31</f>
        <v>8</v>
      </c>
      <c r="AK31" s="1">
        <f ca="1">'Map 2 Dont Touch'!AK31</f>
        <v>8</v>
      </c>
      <c r="AL31" s="1">
        <f ca="1">'Map 2 Dont Touch'!AL31</f>
        <v>8</v>
      </c>
      <c r="AM31" s="1">
        <f ca="1">'Map 2 Dont Touch'!AM31</f>
        <v>8</v>
      </c>
      <c r="AN31" s="1">
        <f ca="1">'Map 2 Dont Touch'!AN31</f>
        <v>8</v>
      </c>
      <c r="AO31" s="1">
        <f ca="1">'Map 2 Dont Touch'!AO31</f>
        <v>5</v>
      </c>
      <c r="AP31" s="1"/>
      <c r="AQ31" s="1"/>
      <c r="AR31" s="1"/>
      <c r="AS31" s="1"/>
      <c r="AT31" s="1"/>
      <c r="AU31" s="1"/>
    </row>
    <row r="32" spans="1:47" ht="37.5" customHeight="1">
      <c r="A32" s="1">
        <f>'Map 2 Dont Touch'!A32</f>
        <v>25</v>
      </c>
      <c r="B32" s="1">
        <f ca="1">'Map 2 Dont Touch'!B32</f>
        <v>5</v>
      </c>
      <c r="C32" s="1">
        <f ca="1">'Map 2 Dont Touch'!C32</f>
        <v>5</v>
      </c>
      <c r="D32" s="1">
        <f ca="1">'Map 2 Dont Touch'!D32</f>
        <v>1</v>
      </c>
      <c r="E32" s="1">
        <f ca="1">'Map 2 Dont Touch'!E32</f>
        <v>1</v>
      </c>
      <c r="F32" s="1">
        <f ca="1">'Map 2 Dont Touch'!F32</f>
        <v>1</v>
      </c>
      <c r="G32" s="1">
        <f ca="1">'Map 2 Dont Touch'!G32</f>
        <v>3</v>
      </c>
      <c r="H32" s="1">
        <f ca="1">'Map 2 Dont Touch'!H32</f>
        <v>3</v>
      </c>
      <c r="I32" s="1">
        <f ca="1">'Map 2 Dont Touch'!I32</f>
        <v>3</v>
      </c>
      <c r="J32" s="1">
        <f ca="1">'Map 2 Dont Touch'!J32</f>
        <v>3</v>
      </c>
      <c r="K32" s="1">
        <f ca="1">'Map 2 Dont Touch'!K32</f>
        <v>7</v>
      </c>
      <c r="L32" s="1">
        <f ca="1">'Map 2 Dont Touch'!L32</f>
        <v>6</v>
      </c>
      <c r="M32" s="1">
        <f ca="1">'Map 2 Dont Touch'!M32</f>
        <v>6</v>
      </c>
      <c r="N32" s="1">
        <f ca="1">'Map 2 Dont Touch'!N32</f>
        <v>7</v>
      </c>
      <c r="O32" s="1">
        <f ca="1">'Map 2 Dont Touch'!O32</f>
        <v>7</v>
      </c>
      <c r="P32" s="1">
        <f ca="1">'Map 2 Dont Touch'!P32</f>
        <v>7</v>
      </c>
      <c r="Q32" s="1">
        <f ca="1">'Map 2 Dont Touch'!Q32</f>
        <v>7</v>
      </c>
      <c r="R32" s="1">
        <f ca="1">'Map 2 Dont Touch'!R32</f>
        <v>8</v>
      </c>
      <c r="S32" s="1">
        <f ca="1">'Map 2 Dont Touch'!S32</f>
        <v>7</v>
      </c>
      <c r="T32" s="1">
        <f ca="1">'Map 2 Dont Touch'!T32</f>
        <v>7</v>
      </c>
      <c r="U32" s="1">
        <f ca="1">'Map 2 Dont Touch'!U32</f>
        <v>7</v>
      </c>
      <c r="V32" s="1">
        <f ca="1">'Map 2 Dont Touch'!V32</f>
        <v>7</v>
      </c>
      <c r="W32" s="1">
        <f ca="1">'Map 2 Dont Touch'!W32</f>
        <v>7</v>
      </c>
      <c r="X32" s="1">
        <f ca="1">'Map 2 Dont Touch'!X32</f>
        <v>7</v>
      </c>
      <c r="Y32" s="1">
        <f ca="1">'Map 2 Dont Touch'!Y32</f>
        <v>7</v>
      </c>
      <c r="Z32" s="1">
        <f ca="1">'Map 2 Dont Touch'!Z32</f>
        <v>7</v>
      </c>
      <c r="AA32" s="1">
        <f ca="1">'Map 2 Dont Touch'!AA32</f>
        <v>8</v>
      </c>
      <c r="AB32" s="1">
        <f ca="1">'Map 2 Dont Touch'!AB32</f>
        <v>8</v>
      </c>
      <c r="AC32" s="1">
        <f ca="1">'Map 2 Dont Touch'!AC32</f>
        <v>8</v>
      </c>
      <c r="AD32" s="1">
        <f ca="1">'Map 2 Dont Touch'!AD32</f>
        <v>8</v>
      </c>
      <c r="AE32" s="1">
        <f ca="1">'Map 2 Dont Touch'!AE32</f>
        <v>7</v>
      </c>
      <c r="AF32" s="1">
        <f ca="1">'Map 2 Dont Touch'!AF32</f>
        <v>7</v>
      </c>
      <c r="AG32" s="1">
        <f ca="1">'Map 2 Dont Touch'!AG32</f>
        <v>8</v>
      </c>
      <c r="AH32" s="1">
        <f ca="1">'Map 2 Dont Touch'!AH32</f>
        <v>7</v>
      </c>
      <c r="AI32" s="1">
        <f ca="1">'Map 2 Dont Touch'!AI32</f>
        <v>8</v>
      </c>
      <c r="AJ32" s="1">
        <f ca="1">'Map 2 Dont Touch'!AJ32</f>
        <v>8</v>
      </c>
      <c r="AK32" s="1">
        <f ca="1">'Map 2 Dont Touch'!AK32</f>
        <v>8</v>
      </c>
      <c r="AL32" s="1">
        <f ca="1">'Map 2 Dont Touch'!AL32</f>
        <v>7</v>
      </c>
      <c r="AM32" s="1">
        <f ca="1">'Map 2 Dont Touch'!AM32</f>
        <v>7</v>
      </c>
      <c r="AN32" s="1">
        <f ca="1">'Map 2 Dont Touch'!AN32</f>
        <v>8</v>
      </c>
      <c r="AO32" s="1">
        <f ca="1">'Map 2 Dont Touch'!AO32</f>
        <v>8</v>
      </c>
      <c r="AP32" s="1"/>
      <c r="AQ32" s="1"/>
      <c r="AR32" s="1"/>
      <c r="AS32" s="1"/>
      <c r="AT32" s="1"/>
      <c r="AU32" s="1"/>
    </row>
    <row r="33" spans="1:47" ht="37.5" customHeight="1">
      <c r="A33" s="1">
        <f>'Map 2 Dont Touch'!A33</f>
        <v>26</v>
      </c>
      <c r="B33" s="1">
        <f ca="1">'Map 2 Dont Touch'!B33</f>
        <v>7</v>
      </c>
      <c r="C33" s="1">
        <f ca="1">'Map 2 Dont Touch'!C33</f>
        <v>6</v>
      </c>
      <c r="D33" s="1">
        <f ca="1">'Map 2 Dont Touch'!D33</f>
        <v>5</v>
      </c>
      <c r="E33" s="1">
        <f ca="1">'Map 2 Dont Touch'!E33</f>
        <v>6</v>
      </c>
      <c r="F33" s="1">
        <f ca="1">'Map 2 Dont Touch'!F33</f>
        <v>3</v>
      </c>
      <c r="G33" s="1">
        <f ca="1">'Map 2 Dont Touch'!G33</f>
        <v>2</v>
      </c>
      <c r="H33" s="1">
        <f ca="1">'Map 2 Dont Touch'!H33</f>
        <v>3</v>
      </c>
      <c r="I33" s="1">
        <f ca="1">'Map 2 Dont Touch'!I33</f>
        <v>3</v>
      </c>
      <c r="J33" s="1">
        <f ca="1">'Map 2 Dont Touch'!J33</f>
        <v>3</v>
      </c>
      <c r="K33" s="1">
        <f ca="1">'Map 2 Dont Touch'!K33</f>
        <v>7</v>
      </c>
      <c r="L33" s="1">
        <f ca="1">'Map 2 Dont Touch'!L33</f>
        <v>7</v>
      </c>
      <c r="M33" s="1">
        <f ca="1">'Map 2 Dont Touch'!M33</f>
        <v>6</v>
      </c>
      <c r="N33" s="1">
        <f ca="1">'Map 2 Dont Touch'!N33</f>
        <v>7</v>
      </c>
      <c r="O33" s="1">
        <f ca="1">'Map 2 Dont Touch'!O33</f>
        <v>6</v>
      </c>
      <c r="P33" s="1">
        <f ca="1">'Map 2 Dont Touch'!P33</f>
        <v>6</v>
      </c>
      <c r="Q33" s="1">
        <f ca="1">'Map 2 Dont Touch'!Q33</f>
        <v>8</v>
      </c>
      <c r="R33" s="1">
        <f ca="1">'Map 2 Dont Touch'!R33</f>
        <v>7</v>
      </c>
      <c r="S33" s="1">
        <f ca="1">'Map 2 Dont Touch'!S33</f>
        <v>7</v>
      </c>
      <c r="T33" s="1">
        <f ca="1">'Map 2 Dont Touch'!T33</f>
        <v>7</v>
      </c>
      <c r="U33" s="1">
        <f ca="1">'Map 2 Dont Touch'!U33</f>
        <v>7</v>
      </c>
      <c r="V33" s="1">
        <f ca="1">'Map 2 Dont Touch'!V33</f>
        <v>7</v>
      </c>
      <c r="W33" s="1">
        <f ca="1">'Map 2 Dont Touch'!W33</f>
        <v>7</v>
      </c>
      <c r="X33" s="1">
        <f ca="1">'Map 2 Dont Touch'!X33</f>
        <v>7</v>
      </c>
      <c r="Y33" s="1">
        <f ca="1">'Map 2 Dont Touch'!Y33</f>
        <v>7</v>
      </c>
      <c r="Z33" s="1">
        <f ca="1">'Map 2 Dont Touch'!Z33</f>
        <v>8</v>
      </c>
      <c r="AA33" s="1">
        <f ca="1">'Map 2 Dont Touch'!AA33</f>
        <v>7</v>
      </c>
      <c r="AB33" s="1">
        <f ca="1">'Map 2 Dont Touch'!AB33</f>
        <v>7</v>
      </c>
      <c r="AC33" s="1">
        <f ca="1">'Map 2 Dont Touch'!AC33</f>
        <v>7</v>
      </c>
      <c r="AD33" s="1">
        <f ca="1">'Map 2 Dont Touch'!AD33</f>
        <v>7</v>
      </c>
      <c r="AE33" s="1">
        <f ca="1">'Map 2 Dont Touch'!AE33</f>
        <v>7</v>
      </c>
      <c r="AF33" s="1">
        <f ca="1">'Map 2 Dont Touch'!AF33</f>
        <v>8</v>
      </c>
      <c r="AG33" s="1">
        <f ca="1">'Map 2 Dont Touch'!AG33</f>
        <v>7</v>
      </c>
      <c r="AH33" s="1">
        <f ca="1">'Map 2 Dont Touch'!AH33</f>
        <v>8</v>
      </c>
      <c r="AI33" s="1">
        <f ca="1">'Map 2 Dont Touch'!AI33</f>
        <v>8</v>
      </c>
      <c r="AJ33" s="1">
        <f ca="1">'Map 2 Dont Touch'!AJ33</f>
        <v>8</v>
      </c>
      <c r="AK33" s="1">
        <f ca="1">'Map 2 Dont Touch'!AK33</f>
        <v>8</v>
      </c>
      <c r="AL33" s="1">
        <f ca="1">'Map 2 Dont Touch'!AL33</f>
        <v>7</v>
      </c>
      <c r="AM33" s="1">
        <f ca="1">'Map 2 Dont Touch'!AM33</f>
        <v>7</v>
      </c>
      <c r="AN33" s="1">
        <f ca="1">'Map 2 Dont Touch'!AN33</f>
        <v>8</v>
      </c>
      <c r="AO33" s="1">
        <f ca="1">'Map 2 Dont Touch'!AO33</f>
        <v>7</v>
      </c>
      <c r="AP33" s="1"/>
      <c r="AQ33" s="1"/>
      <c r="AR33" s="1"/>
      <c r="AS33" s="1"/>
      <c r="AT33" s="1"/>
      <c r="AU33" s="1"/>
    </row>
    <row r="34" spans="1:47" ht="37.5" customHeight="1">
      <c r="A34" s="1">
        <f>'Map 2 Dont Touch'!A34</f>
        <v>27</v>
      </c>
      <c r="B34" s="1">
        <f ca="1">'Map 2 Dont Touch'!B34</f>
        <v>6</v>
      </c>
      <c r="C34" s="1">
        <f ca="1">'Map 2 Dont Touch'!C34</f>
        <v>6</v>
      </c>
      <c r="D34" s="1">
        <f ca="1">'Map 2 Dont Touch'!D34</f>
        <v>6</v>
      </c>
      <c r="E34" s="1">
        <f ca="1">'Map 2 Dont Touch'!E34</f>
        <v>6</v>
      </c>
      <c r="F34" s="1">
        <f ca="1">'Map 2 Dont Touch'!F34</f>
        <v>2</v>
      </c>
      <c r="G34" s="1">
        <f ca="1">'Map 2 Dont Touch'!G34</f>
        <v>2</v>
      </c>
      <c r="H34" s="1">
        <f ca="1">'Map 2 Dont Touch'!H34</f>
        <v>3</v>
      </c>
      <c r="I34" s="1">
        <f ca="1">'Map 2 Dont Touch'!I34</f>
        <v>7</v>
      </c>
      <c r="J34" s="1">
        <f ca="1">'Map 2 Dont Touch'!J34</f>
        <v>7</v>
      </c>
      <c r="K34" s="1">
        <f ca="1">'Map 2 Dont Touch'!K34</f>
        <v>7</v>
      </c>
      <c r="L34" s="1">
        <f ca="1">'Map 2 Dont Touch'!L34</f>
        <v>6</v>
      </c>
      <c r="M34" s="1">
        <f ca="1">'Map 2 Dont Touch'!M34</f>
        <v>6</v>
      </c>
      <c r="N34" s="1">
        <f ca="1">'Map 2 Dont Touch'!N34</f>
        <v>6</v>
      </c>
      <c r="O34" s="1">
        <f ca="1">'Map 2 Dont Touch'!O34</f>
        <v>6</v>
      </c>
      <c r="P34" s="1">
        <f ca="1">'Map 2 Dont Touch'!P34</f>
        <v>6</v>
      </c>
      <c r="Q34" s="1">
        <f ca="1">'Map 2 Dont Touch'!Q34</f>
        <v>8</v>
      </c>
      <c r="R34" s="1">
        <f ca="1">'Map 2 Dont Touch'!R34</f>
        <v>8</v>
      </c>
      <c r="S34" s="1">
        <f ca="1">'Map 2 Dont Touch'!S34</f>
        <v>8</v>
      </c>
      <c r="T34" s="1">
        <f ca="1">'Map 2 Dont Touch'!T34</f>
        <v>8</v>
      </c>
      <c r="U34" s="1">
        <f ca="1">'Map 2 Dont Touch'!U34</f>
        <v>7</v>
      </c>
      <c r="V34" s="1">
        <f ca="1">'Map 2 Dont Touch'!V34</f>
        <v>8</v>
      </c>
      <c r="W34" s="1">
        <f ca="1">'Map 2 Dont Touch'!W34</f>
        <v>7</v>
      </c>
      <c r="X34" s="1">
        <f ca="1">'Map 2 Dont Touch'!X34</f>
        <v>7</v>
      </c>
      <c r="Y34" s="1">
        <f ca="1">'Map 2 Dont Touch'!Y34</f>
        <v>7</v>
      </c>
      <c r="Z34" s="1">
        <f ca="1">'Map 2 Dont Touch'!Z34</f>
        <v>7</v>
      </c>
      <c r="AA34" s="1">
        <f ca="1">'Map 2 Dont Touch'!AA34</f>
        <v>7</v>
      </c>
      <c r="AB34" s="1">
        <f ca="1">'Map 2 Dont Touch'!AB34</f>
        <v>7</v>
      </c>
      <c r="AC34" s="1">
        <f ca="1">'Map 2 Dont Touch'!AC34</f>
        <v>7</v>
      </c>
      <c r="AD34" s="1">
        <f ca="1">'Map 2 Dont Touch'!AD34</f>
        <v>7</v>
      </c>
      <c r="AE34" s="1">
        <f ca="1">'Map 2 Dont Touch'!AE34</f>
        <v>7</v>
      </c>
      <c r="AF34" s="1">
        <f ca="1">'Map 2 Dont Touch'!AF34</f>
        <v>8</v>
      </c>
      <c r="AG34" s="1">
        <f ca="1">'Map 2 Dont Touch'!AG34</f>
        <v>8</v>
      </c>
      <c r="AH34" s="1">
        <f ca="1">'Map 2 Dont Touch'!AH34</f>
        <v>8</v>
      </c>
      <c r="AI34" s="1">
        <f ca="1">'Map 2 Dont Touch'!AI34</f>
        <v>8</v>
      </c>
      <c r="AJ34" s="1">
        <f ca="1">'Map 2 Dont Touch'!AJ34</f>
        <v>8</v>
      </c>
      <c r="AK34" s="1">
        <f ca="1">'Map 2 Dont Touch'!AK34</f>
        <v>8</v>
      </c>
      <c r="AL34" s="1">
        <f ca="1">'Map 2 Dont Touch'!AL34</f>
        <v>7</v>
      </c>
      <c r="AM34" s="1">
        <f ca="1">'Map 2 Dont Touch'!AM34</f>
        <v>7</v>
      </c>
      <c r="AN34" s="1">
        <f ca="1">'Map 2 Dont Touch'!AN34</f>
        <v>7</v>
      </c>
      <c r="AO34" s="1">
        <f ca="1">'Map 2 Dont Touch'!AO34</f>
        <v>7</v>
      </c>
      <c r="AP34" s="1"/>
      <c r="AQ34" s="1"/>
      <c r="AR34" s="1"/>
      <c r="AS34" s="1"/>
      <c r="AT34" s="1"/>
      <c r="AU34" s="1"/>
    </row>
    <row r="35" spans="1:47" ht="37.5" customHeight="1">
      <c r="A35" s="1">
        <f>'Map 2 Dont Touch'!A35</f>
        <v>28</v>
      </c>
      <c r="B35" s="1">
        <f ca="1">'Map 2 Dont Touch'!B35</f>
        <v>2</v>
      </c>
      <c r="C35" s="1">
        <f ca="1">'Map 2 Dont Touch'!C35</f>
        <v>6</v>
      </c>
      <c r="D35" s="1">
        <f ca="1">'Map 2 Dont Touch'!D35</f>
        <v>6</v>
      </c>
      <c r="E35" s="1">
        <f ca="1">'Map 2 Dont Touch'!E35</f>
        <v>6</v>
      </c>
      <c r="F35" s="1">
        <f ca="1">'Map 2 Dont Touch'!F35</f>
        <v>2</v>
      </c>
      <c r="G35" s="1">
        <f ca="1">'Map 2 Dont Touch'!G35</f>
        <v>2</v>
      </c>
      <c r="H35" s="1">
        <f ca="1">'Map 2 Dont Touch'!H35</f>
        <v>3</v>
      </c>
      <c r="I35" s="1">
        <f ca="1">'Map 2 Dont Touch'!I35</f>
        <v>3</v>
      </c>
      <c r="J35" s="1">
        <f ca="1">'Map 2 Dont Touch'!J35</f>
        <v>7</v>
      </c>
      <c r="K35" s="1">
        <f ca="1">'Map 2 Dont Touch'!K35</f>
        <v>7</v>
      </c>
      <c r="L35" s="1">
        <f ca="1">'Map 2 Dont Touch'!L35</f>
        <v>7</v>
      </c>
      <c r="M35" s="1">
        <f ca="1">'Map 2 Dont Touch'!M35</f>
        <v>6</v>
      </c>
      <c r="N35" s="1">
        <f ca="1">'Map 2 Dont Touch'!N35</f>
        <v>6</v>
      </c>
      <c r="O35" s="1">
        <f ca="1">'Map 2 Dont Touch'!O35</f>
        <v>6</v>
      </c>
      <c r="P35" s="1">
        <f ca="1">'Map 2 Dont Touch'!P35</f>
        <v>6</v>
      </c>
      <c r="Q35" s="1">
        <f ca="1">'Map 2 Dont Touch'!Q35</f>
        <v>6</v>
      </c>
      <c r="R35" s="1">
        <f ca="1">'Map 2 Dont Touch'!R35</f>
        <v>8</v>
      </c>
      <c r="S35" s="1">
        <f ca="1">'Map 2 Dont Touch'!S35</f>
        <v>8</v>
      </c>
      <c r="T35" s="1">
        <f ca="1">'Map 2 Dont Touch'!T35</f>
        <v>8</v>
      </c>
      <c r="U35" s="1">
        <f ca="1">'Map 2 Dont Touch'!U35</f>
        <v>8</v>
      </c>
      <c r="V35" s="1">
        <f ca="1">'Map 2 Dont Touch'!V35</f>
        <v>7</v>
      </c>
      <c r="W35" s="1">
        <f ca="1">'Map 2 Dont Touch'!W35</f>
        <v>7</v>
      </c>
      <c r="X35" s="1">
        <f ca="1">'Map 2 Dont Touch'!X35</f>
        <v>7</v>
      </c>
      <c r="Y35" s="1">
        <f ca="1">'Map 2 Dont Touch'!Y35</f>
        <v>7</v>
      </c>
      <c r="Z35" s="1">
        <f ca="1">'Map 2 Dont Touch'!Z35</f>
        <v>7</v>
      </c>
      <c r="AA35" s="1">
        <f ca="1">'Map 2 Dont Touch'!AA35</f>
        <v>7</v>
      </c>
      <c r="AB35" s="1">
        <f ca="1">'Map 2 Dont Touch'!AB35</f>
        <v>7</v>
      </c>
      <c r="AC35" s="1">
        <f ca="1">'Map 2 Dont Touch'!AC35</f>
        <v>7</v>
      </c>
      <c r="AD35" s="1">
        <f ca="1">'Map 2 Dont Touch'!AD35</f>
        <v>7</v>
      </c>
      <c r="AE35" s="1">
        <f ca="1">'Map 2 Dont Touch'!AE35</f>
        <v>8</v>
      </c>
      <c r="AF35" s="1">
        <f ca="1">'Map 2 Dont Touch'!AF35</f>
        <v>8</v>
      </c>
      <c r="AG35" s="1">
        <f ca="1">'Map 2 Dont Touch'!AG35</f>
        <v>8</v>
      </c>
      <c r="AH35" s="1">
        <f ca="1">'Map 2 Dont Touch'!AH35</f>
        <v>8</v>
      </c>
      <c r="AI35" s="1">
        <f ca="1">'Map 2 Dont Touch'!AI35</f>
        <v>8</v>
      </c>
      <c r="AJ35" s="1">
        <f ca="1">'Map 2 Dont Touch'!AJ35</f>
        <v>7</v>
      </c>
      <c r="AK35" s="1">
        <f ca="1">'Map 2 Dont Touch'!AK35</f>
        <v>8</v>
      </c>
      <c r="AL35" s="1">
        <f ca="1">'Map 2 Dont Touch'!AL35</f>
        <v>7</v>
      </c>
      <c r="AM35" s="1">
        <f ca="1">'Map 2 Dont Touch'!AM35</f>
        <v>7</v>
      </c>
      <c r="AN35" s="1">
        <f ca="1">'Map 2 Dont Touch'!AN35</f>
        <v>7</v>
      </c>
      <c r="AO35" s="1">
        <f ca="1">'Map 2 Dont Touch'!AO35</f>
        <v>7</v>
      </c>
      <c r="AP35" s="1"/>
      <c r="AQ35" s="1"/>
      <c r="AR35" s="1"/>
      <c r="AS35" s="1"/>
      <c r="AT35" s="1"/>
      <c r="AU35" s="1"/>
    </row>
    <row r="36" spans="1:47" ht="37.5" customHeight="1">
      <c r="A36" s="1">
        <f>'Map 2 Dont Touch'!A36</f>
        <v>29</v>
      </c>
      <c r="B36" s="1">
        <f ca="1">'Map 2 Dont Touch'!B36</f>
        <v>7</v>
      </c>
      <c r="C36" s="1">
        <f ca="1">'Map 2 Dont Touch'!C36</f>
        <v>6</v>
      </c>
      <c r="D36" s="1">
        <f ca="1">'Map 2 Dont Touch'!D36</f>
        <v>2</v>
      </c>
      <c r="E36" s="1">
        <f ca="1">'Map 2 Dont Touch'!E36</f>
        <v>2</v>
      </c>
      <c r="F36" s="1">
        <f ca="1">'Map 2 Dont Touch'!F36</f>
        <v>2</v>
      </c>
      <c r="G36" s="1">
        <f ca="1">'Map 2 Dont Touch'!G36</f>
        <v>2</v>
      </c>
      <c r="H36" s="1">
        <f ca="1">'Map 2 Dont Touch'!H36</f>
        <v>3</v>
      </c>
      <c r="I36" s="1">
        <f ca="1">'Map 2 Dont Touch'!I36</f>
        <v>3</v>
      </c>
      <c r="J36" s="1">
        <f ca="1">'Map 2 Dont Touch'!J36</f>
        <v>7</v>
      </c>
      <c r="K36" s="1">
        <f ca="1">'Map 2 Dont Touch'!K36</f>
        <v>7</v>
      </c>
      <c r="L36" s="1">
        <f ca="1">'Map 2 Dont Touch'!L36</f>
        <v>6</v>
      </c>
      <c r="M36" s="1">
        <f ca="1">'Map 2 Dont Touch'!M36</f>
        <v>6</v>
      </c>
      <c r="N36" s="1">
        <f ca="1">'Map 2 Dont Touch'!N36</f>
        <v>6</v>
      </c>
      <c r="O36" s="1">
        <f ca="1">'Map 2 Dont Touch'!O36</f>
        <v>6</v>
      </c>
      <c r="P36" s="1">
        <f ca="1">'Map 2 Dont Touch'!P36</f>
        <v>8</v>
      </c>
      <c r="Q36" s="1">
        <f ca="1">'Map 2 Dont Touch'!Q36</f>
        <v>8</v>
      </c>
      <c r="R36" s="1">
        <f ca="1">'Map 2 Dont Touch'!R36</f>
        <v>8</v>
      </c>
      <c r="S36" s="1">
        <f ca="1">'Map 2 Dont Touch'!S36</f>
        <v>8</v>
      </c>
      <c r="T36" s="1">
        <f ca="1">'Map 2 Dont Touch'!T36</f>
        <v>8</v>
      </c>
      <c r="U36" s="1">
        <f ca="1">'Map 2 Dont Touch'!U36</f>
        <v>8</v>
      </c>
      <c r="V36" s="1">
        <f ca="1">'Map 2 Dont Touch'!V36</f>
        <v>7</v>
      </c>
      <c r="W36" s="1">
        <f ca="1">'Map 2 Dont Touch'!W36</f>
        <v>7</v>
      </c>
      <c r="X36" s="1">
        <f ca="1">'Map 2 Dont Touch'!X36</f>
        <v>7</v>
      </c>
      <c r="Y36" s="1">
        <f ca="1">'Map 2 Dont Touch'!Y36</f>
        <v>7</v>
      </c>
      <c r="Z36" s="1">
        <f ca="1">'Map 2 Dont Touch'!Z36</f>
        <v>7</v>
      </c>
      <c r="AA36" s="1">
        <f ca="1">'Map 2 Dont Touch'!AA36</f>
        <v>7</v>
      </c>
      <c r="AB36" s="1">
        <f ca="1">'Map 2 Dont Touch'!AB36</f>
        <v>7</v>
      </c>
      <c r="AC36" s="1">
        <f ca="1">'Map 2 Dont Touch'!AC36</f>
        <v>7</v>
      </c>
      <c r="AD36" s="1">
        <f ca="1">'Map 2 Dont Touch'!AD36</f>
        <v>7</v>
      </c>
      <c r="AE36" s="1">
        <f ca="1">'Map 2 Dont Touch'!AE36</f>
        <v>7</v>
      </c>
      <c r="AF36" s="1">
        <f ca="1">'Map 2 Dont Touch'!AF36</f>
        <v>7</v>
      </c>
      <c r="AG36" s="1">
        <f ca="1">'Map 2 Dont Touch'!AG36</f>
        <v>8</v>
      </c>
      <c r="AH36" s="1">
        <f ca="1">'Map 2 Dont Touch'!AH36</f>
        <v>8</v>
      </c>
      <c r="AI36" s="1">
        <f ca="1">'Map 2 Dont Touch'!AI36</f>
        <v>8</v>
      </c>
      <c r="AJ36" s="1">
        <f ca="1">'Map 2 Dont Touch'!AJ36</f>
        <v>7</v>
      </c>
      <c r="AK36" s="1">
        <f ca="1">'Map 2 Dont Touch'!AK36</f>
        <v>7</v>
      </c>
      <c r="AL36" s="1">
        <f ca="1">'Map 2 Dont Touch'!AL36</f>
        <v>7</v>
      </c>
      <c r="AM36" s="1">
        <f ca="1">'Map 2 Dont Touch'!AM36</f>
        <v>7</v>
      </c>
      <c r="AN36" s="1">
        <f ca="1">'Map 2 Dont Touch'!AN36</f>
        <v>7</v>
      </c>
      <c r="AO36" s="1">
        <f ca="1">'Map 2 Dont Touch'!AO36</f>
        <v>7</v>
      </c>
      <c r="AP36" s="1"/>
      <c r="AQ36" s="1"/>
      <c r="AR36" s="1"/>
      <c r="AS36" s="1"/>
      <c r="AT36" s="1"/>
      <c r="AU36" s="1"/>
    </row>
    <row r="37" spans="1:47" ht="37.5" customHeight="1">
      <c r="A37" s="1">
        <f>'Map 2 Dont Touch'!A37</f>
        <v>30</v>
      </c>
      <c r="B37" s="1">
        <f ca="1">'Map 2 Dont Touch'!B37</f>
        <v>7</v>
      </c>
      <c r="C37" s="1">
        <f ca="1">'Map 2 Dont Touch'!C37</f>
        <v>3</v>
      </c>
      <c r="D37" s="1">
        <f ca="1">'Map 2 Dont Touch'!D37</f>
        <v>2</v>
      </c>
      <c r="E37" s="1">
        <f ca="1">'Map 2 Dont Touch'!E37</f>
        <v>2</v>
      </c>
      <c r="F37" s="1">
        <f ca="1">'Map 2 Dont Touch'!F37</f>
        <v>3</v>
      </c>
      <c r="G37" s="1">
        <f ca="1">'Map 2 Dont Touch'!G37</f>
        <v>3</v>
      </c>
      <c r="H37" s="1">
        <f ca="1">'Map 2 Dont Touch'!H37</f>
        <v>3</v>
      </c>
      <c r="I37" s="1">
        <f ca="1">'Map 2 Dont Touch'!I37</f>
        <v>7</v>
      </c>
      <c r="J37" s="1">
        <f ca="1">'Map 2 Dont Touch'!J37</f>
        <v>7</v>
      </c>
      <c r="K37" s="1">
        <f ca="1">'Map 2 Dont Touch'!K37</f>
        <v>7</v>
      </c>
      <c r="L37" s="1">
        <f ca="1">'Map 2 Dont Touch'!L37</f>
        <v>7</v>
      </c>
      <c r="M37" s="1">
        <f ca="1">'Map 2 Dont Touch'!M37</f>
        <v>7</v>
      </c>
      <c r="N37" s="1">
        <f ca="1">'Map 2 Dont Touch'!N37</f>
        <v>7</v>
      </c>
      <c r="O37" s="1">
        <f ca="1">'Map 2 Dont Touch'!O37</f>
        <v>6</v>
      </c>
      <c r="P37" s="1">
        <f ca="1">'Map 2 Dont Touch'!P37</f>
        <v>7</v>
      </c>
      <c r="Q37" s="1">
        <f ca="1">'Map 2 Dont Touch'!Q37</f>
        <v>6</v>
      </c>
      <c r="R37" s="1">
        <f ca="1">'Map 2 Dont Touch'!R37</f>
        <v>7</v>
      </c>
      <c r="S37" s="1">
        <f ca="1">'Map 2 Dont Touch'!S37</f>
        <v>8</v>
      </c>
      <c r="T37" s="1">
        <f ca="1">'Map 2 Dont Touch'!T37</f>
        <v>8</v>
      </c>
      <c r="U37" s="1">
        <f ca="1">'Map 2 Dont Touch'!U37</f>
        <v>7</v>
      </c>
      <c r="V37" s="1">
        <f ca="1">'Map 2 Dont Touch'!V37</f>
        <v>7</v>
      </c>
      <c r="W37" s="1">
        <f ca="1">'Map 2 Dont Touch'!W37</f>
        <v>7</v>
      </c>
      <c r="X37" s="1">
        <f ca="1">'Map 2 Dont Touch'!X37</f>
        <v>7</v>
      </c>
      <c r="Y37" s="1">
        <f ca="1">'Map 2 Dont Touch'!Y37</f>
        <v>7</v>
      </c>
      <c r="Z37" s="1">
        <f ca="1">'Map 2 Dont Touch'!Z37</f>
        <v>7</v>
      </c>
      <c r="AA37" s="1">
        <f ca="1">'Map 2 Dont Touch'!AA37</f>
        <v>7</v>
      </c>
      <c r="AB37" s="1">
        <f ca="1">'Map 2 Dont Touch'!AB37</f>
        <v>8</v>
      </c>
      <c r="AC37" s="1">
        <f ca="1">'Map 2 Dont Touch'!AC37</f>
        <v>8</v>
      </c>
      <c r="AD37" s="1">
        <f ca="1">'Map 2 Dont Touch'!AD37</f>
        <v>7</v>
      </c>
      <c r="AE37" s="1">
        <f ca="1">'Map 2 Dont Touch'!AE37</f>
        <v>8</v>
      </c>
      <c r="AF37" s="1">
        <f ca="1">'Map 2 Dont Touch'!AF37</f>
        <v>8</v>
      </c>
      <c r="AG37" s="1">
        <f ca="1">'Map 2 Dont Touch'!AG37</f>
        <v>8</v>
      </c>
      <c r="AH37" s="1">
        <f ca="1">'Map 2 Dont Touch'!AH37</f>
        <v>8</v>
      </c>
      <c r="AI37" s="1">
        <f ca="1">'Map 2 Dont Touch'!AI37</f>
        <v>5</v>
      </c>
      <c r="AJ37" s="1">
        <f ca="1">'Map 2 Dont Touch'!AJ37</f>
        <v>7</v>
      </c>
      <c r="AK37" s="1">
        <f ca="1">'Map 2 Dont Touch'!AK37</f>
        <v>8</v>
      </c>
      <c r="AL37" s="1">
        <f ca="1">'Map 2 Dont Touch'!AL37</f>
        <v>5</v>
      </c>
      <c r="AM37" s="1">
        <f ca="1">'Map 2 Dont Touch'!AM37</f>
        <v>7</v>
      </c>
      <c r="AN37" s="1">
        <f ca="1">'Map 2 Dont Touch'!AN37</f>
        <v>7</v>
      </c>
      <c r="AO37" s="1">
        <f ca="1">'Map 2 Dont Touch'!AO37</f>
        <v>3</v>
      </c>
      <c r="AP37" s="1"/>
      <c r="AQ37" s="1"/>
      <c r="AR37" s="1"/>
      <c r="AS37" s="1"/>
      <c r="AT37" s="1"/>
      <c r="AU37" s="1"/>
    </row>
    <row r="38" spans="1:47" ht="37.5" customHeight="1">
      <c r="A38" s="1">
        <f>'Map 2 Dont Touch'!A38</f>
        <v>31</v>
      </c>
      <c r="B38" s="1">
        <f ca="1">'Map 2 Dont Touch'!B38</f>
        <v>3</v>
      </c>
      <c r="C38" s="1">
        <f ca="1">'Map 2 Dont Touch'!C38</f>
        <v>3</v>
      </c>
      <c r="D38" s="1">
        <f ca="1">'Map 2 Dont Touch'!D38</f>
        <v>2</v>
      </c>
      <c r="E38" s="1">
        <f ca="1">'Map 2 Dont Touch'!E38</f>
        <v>3</v>
      </c>
      <c r="F38" s="1">
        <f ca="1">'Map 2 Dont Touch'!F38</f>
        <v>3</v>
      </c>
      <c r="G38" s="1">
        <f ca="1">'Map 2 Dont Touch'!G38</f>
        <v>3</v>
      </c>
      <c r="H38" s="1">
        <f ca="1">'Map 2 Dont Touch'!H38</f>
        <v>3</v>
      </c>
      <c r="I38" s="1">
        <f ca="1">'Map 2 Dont Touch'!I38</f>
        <v>7</v>
      </c>
      <c r="J38" s="1">
        <f ca="1">'Map 2 Dont Touch'!J38</f>
        <v>3</v>
      </c>
      <c r="K38" s="1">
        <f ca="1">'Map 2 Dont Touch'!K38</f>
        <v>7</v>
      </c>
      <c r="L38" s="1">
        <f ca="1">'Map 2 Dont Touch'!L38</f>
        <v>7</v>
      </c>
      <c r="M38" s="1">
        <f ca="1">'Map 2 Dont Touch'!M38</f>
        <v>6</v>
      </c>
      <c r="N38" s="1">
        <f ca="1">'Map 2 Dont Touch'!N38</f>
        <v>7</v>
      </c>
      <c r="O38" s="1">
        <f ca="1">'Map 2 Dont Touch'!O38</f>
        <v>7</v>
      </c>
      <c r="P38" s="1">
        <f ca="1">'Map 2 Dont Touch'!P38</f>
        <v>7</v>
      </c>
      <c r="Q38" s="1">
        <f ca="1">'Map 2 Dont Touch'!Q38</f>
        <v>7</v>
      </c>
      <c r="R38" s="1">
        <f ca="1">'Map 2 Dont Touch'!R38</f>
        <v>8</v>
      </c>
      <c r="S38" s="1">
        <f ca="1">'Map 2 Dont Touch'!S38</f>
        <v>7</v>
      </c>
      <c r="T38" s="1">
        <f ca="1">'Map 2 Dont Touch'!T38</f>
        <v>7</v>
      </c>
      <c r="U38" s="1">
        <f ca="1">'Map 2 Dont Touch'!U38</f>
        <v>8</v>
      </c>
      <c r="V38" s="1">
        <f ca="1">'Map 2 Dont Touch'!V38</f>
        <v>7</v>
      </c>
      <c r="W38" s="1">
        <f ca="1">'Map 2 Dont Touch'!W38</f>
        <v>7</v>
      </c>
      <c r="X38" s="1">
        <f ca="1">'Map 2 Dont Touch'!X38</f>
        <v>7</v>
      </c>
      <c r="Y38" s="1">
        <f ca="1">'Map 2 Dont Touch'!Y38</f>
        <v>7</v>
      </c>
      <c r="Z38" s="1">
        <f ca="1">'Map 2 Dont Touch'!Z38</f>
        <v>7</v>
      </c>
      <c r="AA38" s="1">
        <f ca="1">'Map 2 Dont Touch'!AA38</f>
        <v>8</v>
      </c>
      <c r="AB38" s="1">
        <f ca="1">'Map 2 Dont Touch'!AB38</f>
        <v>8</v>
      </c>
      <c r="AC38" s="1">
        <f ca="1">'Map 2 Dont Touch'!AC38</f>
        <v>7</v>
      </c>
      <c r="AD38" s="1">
        <f ca="1">'Map 2 Dont Touch'!AD38</f>
        <v>8</v>
      </c>
      <c r="AE38" s="1">
        <f ca="1">'Map 2 Dont Touch'!AE38</f>
        <v>8</v>
      </c>
      <c r="AF38" s="1">
        <f ca="1">'Map 2 Dont Touch'!AF38</f>
        <v>5</v>
      </c>
      <c r="AG38" s="1">
        <f ca="1">'Map 2 Dont Touch'!AG38</f>
        <v>8</v>
      </c>
      <c r="AH38" s="1">
        <f ca="1">'Map 2 Dont Touch'!AH38</f>
        <v>8</v>
      </c>
      <c r="AI38" s="1">
        <f ca="1">'Map 2 Dont Touch'!AI38</f>
        <v>5</v>
      </c>
      <c r="AJ38" s="1">
        <f ca="1">'Map 2 Dont Touch'!AJ38</f>
        <v>5</v>
      </c>
      <c r="AK38" s="1">
        <f ca="1">'Map 2 Dont Touch'!AK38</f>
        <v>5</v>
      </c>
      <c r="AL38" s="1">
        <f ca="1">'Map 2 Dont Touch'!AL38</f>
        <v>5</v>
      </c>
      <c r="AM38" s="1">
        <f ca="1">'Map 2 Dont Touch'!AM38</f>
        <v>5</v>
      </c>
      <c r="AN38" s="1">
        <f ca="1">'Map 2 Dont Touch'!AN38</f>
        <v>7</v>
      </c>
      <c r="AO38" s="1">
        <f ca="1">'Map 2 Dont Touch'!AO38</f>
        <v>1</v>
      </c>
      <c r="AP38" s="1"/>
      <c r="AQ38" s="1"/>
      <c r="AR38" s="1"/>
      <c r="AS38" s="1"/>
      <c r="AT38" s="1"/>
      <c r="AU38" s="1"/>
    </row>
    <row r="39" spans="1:47" ht="37.5" customHeight="1">
      <c r="A39" s="1">
        <f>'Map 2 Dont Touch'!A39</f>
        <v>32</v>
      </c>
      <c r="B39" s="1">
        <f ca="1">'Map 2 Dont Touch'!B39</f>
        <v>1</v>
      </c>
      <c r="C39" s="1">
        <f ca="1">'Map 2 Dont Touch'!C39</f>
        <v>3</v>
      </c>
      <c r="D39" s="1">
        <f ca="1">'Map 2 Dont Touch'!D39</f>
        <v>7</v>
      </c>
      <c r="E39" s="1">
        <f ca="1">'Map 2 Dont Touch'!E39</f>
        <v>3</v>
      </c>
      <c r="F39" s="1">
        <f ca="1">'Map 2 Dont Touch'!F39</f>
        <v>3</v>
      </c>
      <c r="G39" s="1">
        <f ca="1">'Map 2 Dont Touch'!G39</f>
        <v>3</v>
      </c>
      <c r="H39" s="1">
        <f ca="1">'Map 2 Dont Touch'!H39</f>
        <v>3</v>
      </c>
      <c r="I39" s="1">
        <f ca="1">'Map 2 Dont Touch'!I39</f>
        <v>7</v>
      </c>
      <c r="J39" s="1">
        <f ca="1">'Map 2 Dont Touch'!J39</f>
        <v>7</v>
      </c>
      <c r="K39" s="1">
        <f ca="1">'Map 2 Dont Touch'!K39</f>
        <v>7</v>
      </c>
      <c r="L39" s="1">
        <f ca="1">'Map 2 Dont Touch'!L39</f>
        <v>7</v>
      </c>
      <c r="M39" s="1">
        <f ca="1">'Map 2 Dont Touch'!M39</f>
        <v>7</v>
      </c>
      <c r="N39" s="1">
        <f ca="1">'Map 2 Dont Touch'!N39</f>
        <v>3</v>
      </c>
      <c r="O39" s="1">
        <f ca="1">'Map 2 Dont Touch'!O39</f>
        <v>7</v>
      </c>
      <c r="P39" s="1">
        <f ca="1">'Map 2 Dont Touch'!P39</f>
        <v>3</v>
      </c>
      <c r="Q39" s="1">
        <f ca="1">'Map 2 Dont Touch'!Q39</f>
        <v>7</v>
      </c>
      <c r="R39" s="1">
        <f ca="1">'Map 2 Dont Touch'!R39</f>
        <v>7</v>
      </c>
      <c r="S39" s="1">
        <f ca="1">'Map 2 Dont Touch'!S39</f>
        <v>7</v>
      </c>
      <c r="T39" s="1">
        <f ca="1">'Map 2 Dont Touch'!T39</f>
        <v>7</v>
      </c>
      <c r="U39" s="1">
        <f ca="1">'Map 2 Dont Touch'!U39</f>
        <v>7</v>
      </c>
      <c r="V39" s="1">
        <f ca="1">'Map 2 Dont Touch'!V39</f>
        <v>7</v>
      </c>
      <c r="W39" s="1">
        <f ca="1">'Map 2 Dont Touch'!W39</f>
        <v>7</v>
      </c>
      <c r="X39" s="1">
        <f ca="1">'Map 2 Dont Touch'!X39</f>
        <v>7</v>
      </c>
      <c r="Y39" s="1">
        <f ca="1">'Map 2 Dont Touch'!Y39</f>
        <v>7</v>
      </c>
      <c r="Z39" s="1">
        <f ca="1">'Map 2 Dont Touch'!Z39</f>
        <v>8</v>
      </c>
      <c r="AA39" s="1">
        <f ca="1">'Map 2 Dont Touch'!AA39</f>
        <v>8</v>
      </c>
      <c r="AB39" s="1">
        <f ca="1">'Map 2 Dont Touch'!AB39</f>
        <v>8</v>
      </c>
      <c r="AC39" s="1">
        <f ca="1">'Map 2 Dont Touch'!AC39</f>
        <v>8</v>
      </c>
      <c r="AD39" s="1">
        <f ca="1">'Map 2 Dont Touch'!AD39</f>
        <v>8</v>
      </c>
      <c r="AE39" s="1">
        <f ca="1">'Map 2 Dont Touch'!AE39</f>
        <v>5</v>
      </c>
      <c r="AF39" s="1">
        <f ca="1">'Map 2 Dont Touch'!AF39</f>
        <v>8</v>
      </c>
      <c r="AG39" s="1">
        <f ca="1">'Map 2 Dont Touch'!AG39</f>
        <v>5</v>
      </c>
      <c r="AH39" s="1">
        <f ca="1">'Map 2 Dont Touch'!AH39</f>
        <v>5</v>
      </c>
      <c r="AI39" s="1">
        <f ca="1">'Map 2 Dont Touch'!AI39</f>
        <v>5</v>
      </c>
      <c r="AJ39" s="1">
        <f ca="1">'Map 2 Dont Touch'!AJ39</f>
        <v>5</v>
      </c>
      <c r="AK39" s="1">
        <f ca="1">'Map 2 Dont Touch'!AK39</f>
        <v>5</v>
      </c>
      <c r="AL39" s="1">
        <f ca="1">'Map 2 Dont Touch'!AL39</f>
        <v>5</v>
      </c>
      <c r="AM39" s="1">
        <f ca="1">'Map 2 Dont Touch'!AM39</f>
        <v>5</v>
      </c>
      <c r="AN39" s="1">
        <f ca="1">'Map 2 Dont Touch'!AN39</f>
        <v>5</v>
      </c>
      <c r="AO39" s="1">
        <f ca="1">'Map 2 Dont Touch'!AO39</f>
        <v>5</v>
      </c>
      <c r="AP39" s="1"/>
      <c r="AQ39" s="1"/>
      <c r="AR39" s="1"/>
      <c r="AS39" s="1"/>
      <c r="AT39" s="1"/>
      <c r="AU39" s="1"/>
    </row>
    <row r="40" spans="1:47" ht="37.5" customHeight="1">
      <c r="A40" s="1">
        <f>'Map 2 Dont Touch'!A40</f>
        <v>33</v>
      </c>
      <c r="B40" s="1">
        <f ca="1">'Map 2 Dont Touch'!B40</f>
        <v>5</v>
      </c>
      <c r="C40" s="1">
        <f ca="1">'Map 2 Dont Touch'!C40</f>
        <v>7</v>
      </c>
      <c r="D40" s="1">
        <f ca="1">'Map 2 Dont Touch'!D40</f>
        <v>3</v>
      </c>
      <c r="E40" s="1">
        <f ca="1">'Map 2 Dont Touch'!E40</f>
        <v>3</v>
      </c>
      <c r="F40" s="1">
        <f ca="1">'Map 2 Dont Touch'!F40</f>
        <v>3</v>
      </c>
      <c r="G40" s="1">
        <f ca="1">'Map 2 Dont Touch'!G40</f>
        <v>3</v>
      </c>
      <c r="H40" s="1">
        <f ca="1">'Map 2 Dont Touch'!H40</f>
        <v>3</v>
      </c>
      <c r="I40" s="1">
        <f ca="1">'Map 2 Dont Touch'!I40</f>
        <v>7</v>
      </c>
      <c r="J40" s="1">
        <f ca="1">'Map 2 Dont Touch'!J40</f>
        <v>7</v>
      </c>
      <c r="K40" s="1">
        <f ca="1">'Map 2 Dont Touch'!K40</f>
        <v>3</v>
      </c>
      <c r="L40" s="1">
        <f ca="1">'Map 2 Dont Touch'!L40</f>
        <v>7</v>
      </c>
      <c r="M40" s="1">
        <f ca="1">'Map 2 Dont Touch'!M40</f>
        <v>7</v>
      </c>
      <c r="N40" s="1">
        <f ca="1">'Map 2 Dont Touch'!N40</f>
        <v>3</v>
      </c>
      <c r="O40" s="1">
        <f ca="1">'Map 2 Dont Touch'!O40</f>
        <v>3</v>
      </c>
      <c r="P40" s="1">
        <f ca="1">'Map 2 Dont Touch'!P40</f>
        <v>3</v>
      </c>
      <c r="Q40" s="1">
        <f ca="1">'Map 2 Dont Touch'!Q40</f>
        <v>3</v>
      </c>
      <c r="R40" s="1">
        <f ca="1">'Map 2 Dont Touch'!R40</f>
        <v>7</v>
      </c>
      <c r="S40" s="1">
        <f ca="1">'Map 2 Dont Touch'!S40</f>
        <v>7</v>
      </c>
      <c r="T40" s="1">
        <f ca="1">'Map 2 Dont Touch'!T40</f>
        <v>7</v>
      </c>
      <c r="U40" s="1">
        <f ca="1">'Map 2 Dont Touch'!U40</f>
        <v>7</v>
      </c>
      <c r="V40" s="1">
        <f ca="1">'Map 2 Dont Touch'!V40</f>
        <v>7</v>
      </c>
      <c r="W40" s="1">
        <f ca="1">'Map 2 Dont Touch'!W40</f>
        <v>7</v>
      </c>
      <c r="X40" s="1">
        <f ca="1">'Map 2 Dont Touch'!X40</f>
        <v>7</v>
      </c>
      <c r="Y40" s="1">
        <f ca="1">'Map 2 Dont Touch'!Y40</f>
        <v>7</v>
      </c>
      <c r="Z40" s="1">
        <f ca="1">'Map 2 Dont Touch'!Z40</f>
        <v>8</v>
      </c>
      <c r="AA40" s="1">
        <f ca="1">'Map 2 Dont Touch'!AA40</f>
        <v>7</v>
      </c>
      <c r="AB40" s="1">
        <f ca="1">'Map 2 Dont Touch'!AB40</f>
        <v>8</v>
      </c>
      <c r="AC40" s="1">
        <f ca="1">'Map 2 Dont Touch'!AC40</f>
        <v>8</v>
      </c>
      <c r="AD40" s="1">
        <f ca="1">'Map 2 Dont Touch'!AD40</f>
        <v>8</v>
      </c>
      <c r="AE40" s="1">
        <f ca="1">'Map 2 Dont Touch'!AE40</f>
        <v>8</v>
      </c>
      <c r="AF40" s="1">
        <f ca="1">'Map 2 Dont Touch'!AF40</f>
        <v>5</v>
      </c>
      <c r="AG40" s="1">
        <f ca="1">'Map 2 Dont Touch'!AG40</f>
        <v>5</v>
      </c>
      <c r="AH40" s="1">
        <f ca="1">'Map 2 Dont Touch'!AH40</f>
        <v>5</v>
      </c>
      <c r="AI40" s="1">
        <f ca="1">'Map 2 Dont Touch'!AI40</f>
        <v>5</v>
      </c>
      <c r="AJ40" s="1">
        <f ca="1">'Map 2 Dont Touch'!AJ40</f>
        <v>5</v>
      </c>
      <c r="AK40" s="1">
        <f ca="1">'Map 2 Dont Touch'!AK40</f>
        <v>5</v>
      </c>
      <c r="AL40" s="1">
        <f ca="1">'Map 2 Dont Touch'!AL40</f>
        <v>5</v>
      </c>
      <c r="AM40" s="1">
        <f ca="1">'Map 2 Dont Touch'!AM40</f>
        <v>5</v>
      </c>
      <c r="AN40" s="1">
        <f ca="1">'Map 2 Dont Touch'!AN40</f>
        <v>5</v>
      </c>
      <c r="AO40" s="1">
        <f ca="1">'Map 2 Dont Touch'!AO40</f>
        <v>7</v>
      </c>
      <c r="AP40" s="1"/>
      <c r="AQ40" s="1"/>
      <c r="AR40" s="1"/>
      <c r="AS40" s="1"/>
      <c r="AT40" s="1"/>
      <c r="AU40" s="1"/>
    </row>
    <row r="41" spans="1:47" ht="37.5" customHeight="1">
      <c r="A41" s="1">
        <f>'Map 2 Dont Touch'!A41</f>
        <v>34</v>
      </c>
      <c r="B41" s="1">
        <f ca="1">'Map 2 Dont Touch'!B41</f>
        <v>5</v>
      </c>
      <c r="C41" s="1">
        <f ca="1">'Map 2 Dont Touch'!C41</f>
        <v>7</v>
      </c>
      <c r="D41" s="1">
        <f ca="1">'Map 2 Dont Touch'!D41</f>
        <v>7</v>
      </c>
      <c r="E41" s="1">
        <f ca="1">'Map 2 Dont Touch'!E41</f>
        <v>7</v>
      </c>
      <c r="F41" s="1">
        <f ca="1">'Map 2 Dont Touch'!F41</f>
        <v>7</v>
      </c>
      <c r="G41" s="1">
        <f ca="1">'Map 2 Dont Touch'!G41</f>
        <v>7</v>
      </c>
      <c r="H41" s="1">
        <f ca="1">'Map 2 Dont Touch'!H41</f>
        <v>7</v>
      </c>
      <c r="I41" s="1">
        <f ca="1">'Map 2 Dont Touch'!I41</f>
        <v>7</v>
      </c>
      <c r="J41" s="1">
        <f ca="1">'Map 2 Dont Touch'!J41</f>
        <v>3</v>
      </c>
      <c r="K41" s="1">
        <f ca="1">'Map 2 Dont Touch'!K41</f>
        <v>3</v>
      </c>
      <c r="L41" s="1">
        <f ca="1">'Map 2 Dont Touch'!L41</f>
        <v>3</v>
      </c>
      <c r="M41" s="1">
        <f ca="1">'Map 2 Dont Touch'!M41</f>
        <v>3</v>
      </c>
      <c r="N41" s="1">
        <f ca="1">'Map 2 Dont Touch'!N41</f>
        <v>3</v>
      </c>
      <c r="O41" s="1">
        <f ca="1">'Map 2 Dont Touch'!O41</f>
        <v>3</v>
      </c>
      <c r="P41" s="1">
        <f ca="1">'Map 2 Dont Touch'!P41</f>
        <v>3</v>
      </c>
      <c r="Q41" s="1">
        <f ca="1">'Map 2 Dont Touch'!Q41</f>
        <v>7</v>
      </c>
      <c r="R41" s="1">
        <f ca="1">'Map 2 Dont Touch'!R41</f>
        <v>7</v>
      </c>
      <c r="S41" s="1">
        <f ca="1">'Map 2 Dont Touch'!S41</f>
        <v>7</v>
      </c>
      <c r="T41" s="1">
        <f ca="1">'Map 2 Dont Touch'!T41</f>
        <v>7</v>
      </c>
      <c r="U41" s="1">
        <f ca="1">'Map 2 Dont Touch'!U41</f>
        <v>7</v>
      </c>
      <c r="V41" s="1">
        <f ca="1">'Map 2 Dont Touch'!V41</f>
        <v>7</v>
      </c>
      <c r="W41" s="1">
        <f ca="1">'Map 2 Dont Touch'!W41</f>
        <v>7</v>
      </c>
      <c r="X41" s="1">
        <f ca="1">'Map 2 Dont Touch'!X41</f>
        <v>7</v>
      </c>
      <c r="Y41" s="1">
        <f ca="1">'Map 2 Dont Touch'!Y41</f>
        <v>7</v>
      </c>
      <c r="Z41" s="1">
        <f ca="1">'Map 2 Dont Touch'!Z41</f>
        <v>7</v>
      </c>
      <c r="AA41" s="1">
        <f ca="1">'Map 2 Dont Touch'!AA41</f>
        <v>8</v>
      </c>
      <c r="AB41" s="1">
        <f ca="1">'Map 2 Dont Touch'!AB41</f>
        <v>8</v>
      </c>
      <c r="AC41" s="1">
        <f ca="1">'Map 2 Dont Touch'!AC41</f>
        <v>8</v>
      </c>
      <c r="AD41" s="1">
        <f ca="1">'Map 2 Dont Touch'!AD41</f>
        <v>8</v>
      </c>
      <c r="AE41" s="1">
        <f ca="1">'Map 2 Dont Touch'!AE41</f>
        <v>8</v>
      </c>
      <c r="AF41" s="1">
        <f ca="1">'Map 2 Dont Touch'!AF41</f>
        <v>5</v>
      </c>
      <c r="AG41" s="1">
        <f ca="1">'Map 2 Dont Touch'!AG41</f>
        <v>5</v>
      </c>
      <c r="AH41" s="1">
        <f ca="1">'Map 2 Dont Touch'!AH41</f>
        <v>5</v>
      </c>
      <c r="AI41" s="1">
        <f ca="1">'Map 2 Dont Touch'!AI41</f>
        <v>5</v>
      </c>
      <c r="AJ41" s="1">
        <f ca="1">'Map 2 Dont Touch'!AJ41</f>
        <v>5</v>
      </c>
      <c r="AK41" s="1">
        <f ca="1">'Map 2 Dont Touch'!AK41</f>
        <v>5</v>
      </c>
      <c r="AL41" s="1">
        <f ca="1">'Map 2 Dont Touch'!AL41</f>
        <v>5</v>
      </c>
      <c r="AM41" s="1">
        <f ca="1">'Map 2 Dont Touch'!AM41</f>
        <v>5</v>
      </c>
      <c r="AN41" s="1">
        <f ca="1">'Map 2 Dont Touch'!AN41</f>
        <v>5</v>
      </c>
      <c r="AO41" s="1">
        <f ca="1">'Map 2 Dont Touch'!AO41</f>
        <v>7</v>
      </c>
      <c r="AP41" s="1"/>
      <c r="AQ41" s="1"/>
      <c r="AR41" s="1"/>
      <c r="AS41" s="1"/>
      <c r="AT41" s="1"/>
      <c r="AU41" s="1"/>
    </row>
    <row r="42" spans="1:47" ht="37.5" customHeight="1">
      <c r="A42" s="1">
        <f>'Map 2 Dont Touch'!A42</f>
        <v>35</v>
      </c>
      <c r="B42" s="1">
        <f ca="1">'Map 2 Dont Touch'!B42</f>
        <v>7</v>
      </c>
      <c r="C42" s="1">
        <f ca="1">'Map 2 Dont Touch'!C42</f>
        <v>5</v>
      </c>
      <c r="D42" s="1">
        <f ca="1">'Map 2 Dont Touch'!D42</f>
        <v>7</v>
      </c>
      <c r="E42" s="1">
        <f ca="1">'Map 2 Dont Touch'!E42</f>
        <v>7</v>
      </c>
      <c r="F42" s="1">
        <f ca="1">'Map 2 Dont Touch'!F42</f>
        <v>7</v>
      </c>
      <c r="G42" s="1">
        <f ca="1">'Map 2 Dont Touch'!G42</f>
        <v>7</v>
      </c>
      <c r="H42" s="1">
        <f ca="1">'Map 2 Dont Touch'!H42</f>
        <v>7</v>
      </c>
      <c r="I42" s="1">
        <f ca="1">'Map 2 Dont Touch'!I42</f>
        <v>7</v>
      </c>
      <c r="J42" s="1">
        <f ca="1">'Map 2 Dont Touch'!J42</f>
        <v>7</v>
      </c>
      <c r="K42" s="1">
        <f ca="1">'Map 2 Dont Touch'!K42</f>
        <v>3</v>
      </c>
      <c r="L42" s="1">
        <f ca="1">'Map 2 Dont Touch'!L42</f>
        <v>3</v>
      </c>
      <c r="M42" s="1">
        <f ca="1">'Map 2 Dont Touch'!M42</f>
        <v>3</v>
      </c>
      <c r="N42" s="1">
        <f ca="1">'Map 2 Dont Touch'!N42</f>
        <v>3</v>
      </c>
      <c r="O42" s="1">
        <f ca="1">'Map 2 Dont Touch'!O42</f>
        <v>3</v>
      </c>
      <c r="P42" s="1">
        <f ca="1">'Map 2 Dont Touch'!P42</f>
        <v>3</v>
      </c>
      <c r="Q42" s="1">
        <f ca="1">'Map 2 Dont Touch'!Q42</f>
        <v>3</v>
      </c>
      <c r="R42" s="1">
        <f ca="1">'Map 2 Dont Touch'!R42</f>
        <v>8</v>
      </c>
      <c r="S42" s="1">
        <f ca="1">'Map 2 Dont Touch'!S42</f>
        <v>7</v>
      </c>
      <c r="T42" s="1">
        <f ca="1">'Map 2 Dont Touch'!T42</f>
        <v>7</v>
      </c>
      <c r="U42" s="1">
        <f ca="1">'Map 2 Dont Touch'!U42</f>
        <v>7</v>
      </c>
      <c r="V42" s="1">
        <f ca="1">'Map 2 Dont Touch'!V42</f>
        <v>7</v>
      </c>
      <c r="W42" s="1">
        <f ca="1">'Map 2 Dont Touch'!W42</f>
        <v>7</v>
      </c>
      <c r="X42" s="1">
        <f ca="1">'Map 2 Dont Touch'!X42</f>
        <v>7</v>
      </c>
      <c r="Y42" s="1">
        <f ca="1">'Map 2 Dont Touch'!Y42</f>
        <v>7</v>
      </c>
      <c r="Z42" s="1">
        <f ca="1">'Map 2 Dont Touch'!Z42</f>
        <v>7</v>
      </c>
      <c r="AA42" s="1">
        <f ca="1">'Map 2 Dont Touch'!AA42</f>
        <v>8</v>
      </c>
      <c r="AB42" s="1">
        <f ca="1">'Map 2 Dont Touch'!AB42</f>
        <v>8</v>
      </c>
      <c r="AC42" s="1">
        <f ca="1">'Map 2 Dont Touch'!AC42</f>
        <v>8</v>
      </c>
      <c r="AD42" s="1">
        <f ca="1">'Map 2 Dont Touch'!AD42</f>
        <v>8</v>
      </c>
      <c r="AE42" s="1">
        <f ca="1">'Map 2 Dont Touch'!AE42</f>
        <v>5</v>
      </c>
      <c r="AF42" s="1">
        <f ca="1">'Map 2 Dont Touch'!AF42</f>
        <v>8</v>
      </c>
      <c r="AG42" s="1">
        <f ca="1">'Map 2 Dont Touch'!AG42</f>
        <v>5</v>
      </c>
      <c r="AH42" s="1">
        <f ca="1">'Map 2 Dont Touch'!AH42</f>
        <v>5</v>
      </c>
      <c r="AI42" s="1">
        <f ca="1">'Map 2 Dont Touch'!AI42</f>
        <v>5</v>
      </c>
      <c r="AJ42" s="1">
        <f ca="1">'Map 2 Dont Touch'!AJ42</f>
        <v>5</v>
      </c>
      <c r="AK42" s="1">
        <f ca="1">'Map 2 Dont Touch'!AK42</f>
        <v>5</v>
      </c>
      <c r="AL42" s="1">
        <f ca="1">'Map 2 Dont Touch'!AL42</f>
        <v>5</v>
      </c>
      <c r="AM42" s="1">
        <f ca="1">'Map 2 Dont Touch'!AM42</f>
        <v>7</v>
      </c>
      <c r="AN42" s="1">
        <f ca="1">'Map 2 Dont Touch'!AN42</f>
        <v>5</v>
      </c>
      <c r="AO42" s="1">
        <f ca="1">'Map 2 Dont Touch'!AO42</f>
        <v>7</v>
      </c>
      <c r="AP42" s="1"/>
      <c r="AQ42" s="1"/>
      <c r="AR42" s="1"/>
      <c r="AS42" s="1"/>
      <c r="AT42" s="1"/>
      <c r="AU42" s="1"/>
    </row>
    <row r="43" spans="1:47" ht="37.5" customHeight="1">
      <c r="A43" s="1">
        <f>'Map 2 Dont Touch'!A43</f>
        <v>36</v>
      </c>
      <c r="B43" s="1">
        <f ca="1">'Map 2 Dont Touch'!B43</f>
        <v>5</v>
      </c>
      <c r="C43" s="1">
        <f ca="1">'Map 2 Dont Touch'!C43</f>
        <v>7</v>
      </c>
      <c r="D43" s="1">
        <f ca="1">'Map 2 Dont Touch'!D43</f>
        <v>7</v>
      </c>
      <c r="E43" s="1">
        <f ca="1">'Map 2 Dont Touch'!E43</f>
        <v>3</v>
      </c>
      <c r="F43" s="1">
        <f ca="1">'Map 2 Dont Touch'!F43</f>
        <v>7</v>
      </c>
      <c r="G43" s="1">
        <f ca="1">'Map 2 Dont Touch'!G43</f>
        <v>3</v>
      </c>
      <c r="H43" s="1">
        <f ca="1">'Map 2 Dont Touch'!H43</f>
        <v>7</v>
      </c>
      <c r="I43" s="1">
        <f ca="1">'Map 2 Dont Touch'!I43</f>
        <v>7</v>
      </c>
      <c r="J43" s="1">
        <f ca="1">'Map 2 Dont Touch'!J43</f>
        <v>3</v>
      </c>
      <c r="K43" s="1">
        <f ca="1">'Map 2 Dont Touch'!K43</f>
        <v>3</v>
      </c>
      <c r="L43" s="1">
        <f ca="1">'Map 2 Dont Touch'!L43</f>
        <v>7</v>
      </c>
      <c r="M43" s="1">
        <f ca="1">'Map 2 Dont Touch'!M43</f>
        <v>3</v>
      </c>
      <c r="N43" s="1">
        <f ca="1">'Map 2 Dont Touch'!N43</f>
        <v>3</v>
      </c>
      <c r="O43" s="1">
        <f ca="1">'Map 2 Dont Touch'!O43</f>
        <v>3</v>
      </c>
      <c r="P43" s="1">
        <f ca="1">'Map 2 Dont Touch'!P43</f>
        <v>3</v>
      </c>
      <c r="Q43" s="1">
        <f ca="1">'Map 2 Dont Touch'!Q43</f>
        <v>3</v>
      </c>
      <c r="R43" s="1">
        <f ca="1">'Map 2 Dont Touch'!R43</f>
        <v>4</v>
      </c>
      <c r="S43" s="1">
        <f ca="1">'Map 2 Dont Touch'!S43</f>
        <v>8</v>
      </c>
      <c r="T43" s="1">
        <f ca="1">'Map 2 Dont Touch'!T43</f>
        <v>8</v>
      </c>
      <c r="U43" s="1">
        <f ca="1">'Map 2 Dont Touch'!U43</f>
        <v>8</v>
      </c>
      <c r="V43" s="1">
        <f ca="1">'Map 2 Dont Touch'!V43</f>
        <v>7</v>
      </c>
      <c r="W43" s="1">
        <f ca="1">'Map 2 Dont Touch'!W43</f>
        <v>7</v>
      </c>
      <c r="X43" s="1">
        <f ca="1">'Map 2 Dont Touch'!X43</f>
        <v>7</v>
      </c>
      <c r="Y43" s="1">
        <f ca="1">'Map 2 Dont Touch'!Y43</f>
        <v>7</v>
      </c>
      <c r="Z43" s="1">
        <f ca="1">'Map 2 Dont Touch'!Z43</f>
        <v>8</v>
      </c>
      <c r="AA43" s="1">
        <f ca="1">'Map 2 Dont Touch'!AA43</f>
        <v>8</v>
      </c>
      <c r="AB43" s="1">
        <f ca="1">'Map 2 Dont Touch'!AB43</f>
        <v>8</v>
      </c>
      <c r="AC43" s="1">
        <f ca="1">'Map 2 Dont Touch'!AC43</f>
        <v>8</v>
      </c>
      <c r="AD43" s="1">
        <f ca="1">'Map 2 Dont Touch'!AD43</f>
        <v>8</v>
      </c>
      <c r="AE43" s="1">
        <f ca="1">'Map 2 Dont Touch'!AE43</f>
        <v>8</v>
      </c>
      <c r="AF43" s="1">
        <f ca="1">'Map 2 Dont Touch'!AF43</f>
        <v>5</v>
      </c>
      <c r="AG43" s="1">
        <f ca="1">'Map 2 Dont Touch'!AG43</f>
        <v>8</v>
      </c>
      <c r="AH43" s="1">
        <f ca="1">'Map 2 Dont Touch'!AH43</f>
        <v>8</v>
      </c>
      <c r="AI43" s="1">
        <f ca="1">'Map 2 Dont Touch'!AI43</f>
        <v>8</v>
      </c>
      <c r="AJ43" s="1">
        <f ca="1">'Map 2 Dont Touch'!AJ43</f>
        <v>8</v>
      </c>
      <c r="AK43" s="1">
        <f ca="1">'Map 2 Dont Touch'!AK43</f>
        <v>5</v>
      </c>
      <c r="AL43" s="1">
        <f ca="1">'Map 2 Dont Touch'!AL43</f>
        <v>7</v>
      </c>
      <c r="AM43" s="1">
        <f ca="1">'Map 2 Dont Touch'!AM43</f>
        <v>7</v>
      </c>
      <c r="AN43" s="1">
        <f ca="1">'Map 2 Dont Touch'!AN43</f>
        <v>5</v>
      </c>
      <c r="AO43" s="1">
        <f ca="1">'Map 2 Dont Touch'!AO43</f>
        <v>7</v>
      </c>
      <c r="AP43" s="1"/>
      <c r="AQ43" s="1"/>
      <c r="AR43" s="1"/>
      <c r="AS43" s="1"/>
      <c r="AT43" s="1"/>
      <c r="AU43" s="1"/>
    </row>
    <row r="44" spans="1:47" ht="37.5" customHeight="1">
      <c r="A44" s="1">
        <f>'Map 2 Dont Touch'!A44</f>
        <v>37</v>
      </c>
      <c r="B44" s="1">
        <f ca="1">'Map 2 Dont Touch'!B44</f>
        <v>7</v>
      </c>
      <c r="C44" s="1">
        <f ca="1">'Map 2 Dont Touch'!C44</f>
        <v>5</v>
      </c>
      <c r="D44" s="1">
        <f ca="1">'Map 2 Dont Touch'!D44</f>
        <v>5</v>
      </c>
      <c r="E44" s="1">
        <f ca="1">'Map 2 Dont Touch'!E44</f>
        <v>5</v>
      </c>
      <c r="F44" s="1">
        <f ca="1">'Map 2 Dont Touch'!F44</f>
        <v>3</v>
      </c>
      <c r="G44" s="1">
        <f ca="1">'Map 2 Dont Touch'!G44</f>
        <v>1</v>
      </c>
      <c r="H44" s="1">
        <f ca="1">'Map 2 Dont Touch'!H44</f>
        <v>7</v>
      </c>
      <c r="I44" s="1">
        <f ca="1">'Map 2 Dont Touch'!I44</f>
        <v>3</v>
      </c>
      <c r="J44" s="1">
        <f ca="1">'Map 2 Dont Touch'!J44</f>
        <v>3</v>
      </c>
      <c r="K44" s="1">
        <f ca="1">'Map 2 Dont Touch'!K44</f>
        <v>7</v>
      </c>
      <c r="L44" s="1">
        <f ca="1">'Map 2 Dont Touch'!L44</f>
        <v>7</v>
      </c>
      <c r="M44" s="1">
        <f ca="1">'Map 2 Dont Touch'!M44</f>
        <v>3</v>
      </c>
      <c r="N44" s="1">
        <f ca="1">'Map 2 Dont Touch'!N44</f>
        <v>7</v>
      </c>
      <c r="O44" s="1">
        <f ca="1">'Map 2 Dont Touch'!O44</f>
        <v>3</v>
      </c>
      <c r="P44" s="1">
        <f ca="1">'Map 2 Dont Touch'!P44</f>
        <v>4</v>
      </c>
      <c r="Q44" s="1">
        <f ca="1">'Map 2 Dont Touch'!Q44</f>
        <v>4</v>
      </c>
      <c r="R44" s="1">
        <f ca="1">'Map 2 Dont Touch'!R44</f>
        <v>4</v>
      </c>
      <c r="S44" s="1">
        <f ca="1">'Map 2 Dont Touch'!S44</f>
        <v>8</v>
      </c>
      <c r="T44" s="1">
        <f ca="1">'Map 2 Dont Touch'!T44</f>
        <v>4</v>
      </c>
      <c r="U44" s="1">
        <f ca="1">'Map 2 Dont Touch'!U44</f>
        <v>8</v>
      </c>
      <c r="V44" s="1">
        <f ca="1">'Map 2 Dont Touch'!V44</f>
        <v>8</v>
      </c>
      <c r="W44" s="1">
        <f ca="1">'Map 2 Dont Touch'!W44</f>
        <v>7</v>
      </c>
      <c r="X44" s="1">
        <f ca="1">'Map 2 Dont Touch'!X44</f>
        <v>7</v>
      </c>
      <c r="Y44" s="1">
        <f ca="1">'Map 2 Dont Touch'!Y44</f>
        <v>7</v>
      </c>
      <c r="Z44" s="1">
        <f ca="1">'Map 2 Dont Touch'!Z44</f>
        <v>7</v>
      </c>
      <c r="AA44" s="1">
        <f ca="1">'Map 2 Dont Touch'!AA44</f>
        <v>7</v>
      </c>
      <c r="AB44" s="1">
        <f ca="1">'Map 2 Dont Touch'!AB44</f>
        <v>8</v>
      </c>
      <c r="AC44" s="1">
        <f ca="1">'Map 2 Dont Touch'!AC44</f>
        <v>8</v>
      </c>
      <c r="AD44" s="1">
        <f ca="1">'Map 2 Dont Touch'!AD44</f>
        <v>8</v>
      </c>
      <c r="AE44" s="1">
        <f ca="1">'Map 2 Dont Touch'!AE44</f>
        <v>8</v>
      </c>
      <c r="AF44" s="1">
        <f ca="1">'Map 2 Dont Touch'!AF44</f>
        <v>8</v>
      </c>
      <c r="AG44" s="1">
        <f ca="1">'Map 2 Dont Touch'!AG44</f>
        <v>8</v>
      </c>
      <c r="AH44" s="1">
        <f ca="1">'Map 2 Dont Touch'!AH44</f>
        <v>8</v>
      </c>
      <c r="AI44" s="1">
        <f ca="1">'Map 2 Dont Touch'!AI44</f>
        <v>8</v>
      </c>
      <c r="AJ44" s="1">
        <f ca="1">'Map 2 Dont Touch'!AJ44</f>
        <v>8</v>
      </c>
      <c r="AK44" s="1">
        <f ca="1">'Map 2 Dont Touch'!AK44</f>
        <v>7</v>
      </c>
      <c r="AL44" s="1">
        <f ca="1">'Map 2 Dont Touch'!AL44</f>
        <v>7</v>
      </c>
      <c r="AM44" s="1">
        <f ca="1">'Map 2 Dont Touch'!AM44</f>
        <v>7</v>
      </c>
      <c r="AN44" s="1">
        <f ca="1">'Map 2 Dont Touch'!AN44</f>
        <v>7</v>
      </c>
      <c r="AO44" s="1">
        <f ca="1">'Map 2 Dont Touch'!AO44</f>
        <v>5</v>
      </c>
      <c r="AP44" s="1"/>
      <c r="AQ44" s="1"/>
      <c r="AR44" s="1"/>
      <c r="AS44" s="1"/>
      <c r="AT44" s="1"/>
      <c r="AU44" s="1"/>
    </row>
    <row r="45" spans="1:47" ht="37.5" customHeight="1">
      <c r="A45" s="1">
        <f>'Map 2 Dont Touch'!A45</f>
        <v>38</v>
      </c>
      <c r="B45" s="1">
        <f ca="1">'Map 2 Dont Touch'!B45</f>
        <v>5</v>
      </c>
      <c r="C45" s="1">
        <f ca="1">'Map 2 Dont Touch'!C45</f>
        <v>5</v>
      </c>
      <c r="D45" s="1">
        <f ca="1">'Map 2 Dont Touch'!D45</f>
        <v>5</v>
      </c>
      <c r="E45" s="1">
        <f ca="1">'Map 2 Dont Touch'!E45</f>
        <v>5</v>
      </c>
      <c r="F45" s="1">
        <f ca="1">'Map 2 Dont Touch'!F45</f>
        <v>5</v>
      </c>
      <c r="G45" s="1">
        <f ca="1">'Map 2 Dont Touch'!G45</f>
        <v>3</v>
      </c>
      <c r="H45" s="1">
        <f ca="1">'Map 2 Dont Touch'!H45</f>
        <v>3</v>
      </c>
      <c r="I45" s="1">
        <f ca="1">'Map 2 Dont Touch'!I45</f>
        <v>3</v>
      </c>
      <c r="J45" s="1">
        <f ca="1">'Map 2 Dont Touch'!J45</f>
        <v>3</v>
      </c>
      <c r="K45" s="1">
        <f ca="1">'Map 2 Dont Touch'!K45</f>
        <v>7</v>
      </c>
      <c r="L45" s="1">
        <f ca="1">'Map 2 Dont Touch'!L45</f>
        <v>7</v>
      </c>
      <c r="M45" s="1">
        <f ca="1">'Map 2 Dont Touch'!M45</f>
        <v>7</v>
      </c>
      <c r="N45" s="1">
        <f ca="1">'Map 2 Dont Touch'!N45</f>
        <v>3</v>
      </c>
      <c r="O45" s="1">
        <f ca="1">'Map 2 Dont Touch'!O45</f>
        <v>3</v>
      </c>
      <c r="P45" s="1">
        <f ca="1">'Map 2 Dont Touch'!P45</f>
        <v>4</v>
      </c>
      <c r="Q45" s="1">
        <f ca="1">'Map 2 Dont Touch'!Q45</f>
        <v>3</v>
      </c>
      <c r="R45" s="1">
        <f ca="1">'Map 2 Dont Touch'!R45</f>
        <v>4</v>
      </c>
      <c r="S45" s="1">
        <f ca="1">'Map 2 Dont Touch'!S45</f>
        <v>4</v>
      </c>
      <c r="T45" s="1">
        <f ca="1">'Map 2 Dont Touch'!T45</f>
        <v>4</v>
      </c>
      <c r="U45" s="1">
        <f ca="1">'Map 2 Dont Touch'!U45</f>
        <v>4</v>
      </c>
      <c r="V45" s="1">
        <f ca="1">'Map 2 Dont Touch'!V45</f>
        <v>8</v>
      </c>
      <c r="W45" s="1">
        <f ca="1">'Map 2 Dont Touch'!W45</f>
        <v>7</v>
      </c>
      <c r="X45" s="1">
        <f ca="1">'Map 2 Dont Touch'!X45</f>
        <v>7</v>
      </c>
      <c r="Y45" s="1">
        <f ca="1">'Map 2 Dont Touch'!Y45</f>
        <v>7</v>
      </c>
      <c r="Z45" s="1">
        <f ca="1">'Map 2 Dont Touch'!Z45</f>
        <v>7</v>
      </c>
      <c r="AA45" s="1">
        <f ca="1">'Map 2 Dont Touch'!AA45</f>
        <v>7</v>
      </c>
      <c r="AB45" s="1">
        <f ca="1">'Map 2 Dont Touch'!AB45</f>
        <v>8</v>
      </c>
      <c r="AC45" s="1">
        <f ca="1">'Map 2 Dont Touch'!AC45</f>
        <v>8</v>
      </c>
      <c r="AD45" s="1">
        <f ca="1">'Map 2 Dont Touch'!AD45</f>
        <v>8</v>
      </c>
      <c r="AE45" s="1">
        <f ca="1">'Map 2 Dont Touch'!AE45</f>
        <v>8</v>
      </c>
      <c r="AF45" s="1">
        <f ca="1">'Map 2 Dont Touch'!AF45</f>
        <v>8</v>
      </c>
      <c r="AG45" s="1">
        <f ca="1">'Map 2 Dont Touch'!AG45</f>
        <v>8</v>
      </c>
      <c r="AH45" s="1">
        <f ca="1">'Map 2 Dont Touch'!AH45</f>
        <v>8</v>
      </c>
      <c r="AI45" s="1">
        <f ca="1">'Map 2 Dont Touch'!AI45</f>
        <v>8</v>
      </c>
      <c r="AJ45" s="1">
        <f ca="1">'Map 2 Dont Touch'!AJ45</f>
        <v>8</v>
      </c>
      <c r="AK45" s="1">
        <f ca="1">'Map 2 Dont Touch'!AK45</f>
        <v>7</v>
      </c>
      <c r="AL45" s="1">
        <f ca="1">'Map 2 Dont Touch'!AL45</f>
        <v>7</v>
      </c>
      <c r="AM45" s="1">
        <f ca="1">'Map 2 Dont Touch'!AM45</f>
        <v>7</v>
      </c>
      <c r="AN45" s="1">
        <f ca="1">'Map 2 Dont Touch'!AN45</f>
        <v>7</v>
      </c>
      <c r="AO45" s="1">
        <f ca="1">'Map 2 Dont Touch'!AO45</f>
        <v>7</v>
      </c>
      <c r="AP45" s="1"/>
      <c r="AQ45" s="1"/>
      <c r="AR45" s="1"/>
      <c r="AS45" s="1"/>
      <c r="AT45" s="1"/>
      <c r="AU45" s="1"/>
    </row>
    <row r="46" spans="1:47" ht="37.5" customHeight="1">
      <c r="A46" s="1">
        <f>'Map 2 Dont Touch'!A46</f>
        <v>39</v>
      </c>
      <c r="B46" s="1">
        <f ca="1">'Map 2 Dont Touch'!B46</f>
        <v>5</v>
      </c>
      <c r="C46" s="1">
        <f ca="1">'Map 2 Dont Touch'!C46</f>
        <v>5</v>
      </c>
      <c r="D46" s="1">
        <f ca="1">'Map 2 Dont Touch'!D46</f>
        <v>5</v>
      </c>
      <c r="E46" s="1">
        <f ca="1">'Map 2 Dont Touch'!E46</f>
        <v>5</v>
      </c>
      <c r="F46" s="1">
        <f ca="1">'Map 2 Dont Touch'!F46</f>
        <v>3</v>
      </c>
      <c r="G46" s="1">
        <f ca="1">'Map 2 Dont Touch'!G46</f>
        <v>1</v>
      </c>
      <c r="H46" s="1">
        <f ca="1">'Map 2 Dont Touch'!H46</f>
        <v>3</v>
      </c>
      <c r="I46" s="1">
        <f ca="1">'Map 2 Dont Touch'!I46</f>
        <v>3</v>
      </c>
      <c r="J46" s="1">
        <f ca="1">'Map 2 Dont Touch'!J46</f>
        <v>7</v>
      </c>
      <c r="K46" s="1">
        <f ca="1">'Map 2 Dont Touch'!K46</f>
        <v>7</v>
      </c>
      <c r="L46" s="1">
        <f ca="1">'Map 2 Dont Touch'!L46</f>
        <v>7</v>
      </c>
      <c r="M46" s="1">
        <f ca="1">'Map 2 Dont Touch'!M46</f>
        <v>7</v>
      </c>
      <c r="N46" s="1">
        <f ca="1">'Map 2 Dont Touch'!N46</f>
        <v>7</v>
      </c>
      <c r="O46" s="1">
        <f ca="1">'Map 2 Dont Touch'!O46</f>
        <v>3</v>
      </c>
      <c r="P46" s="1">
        <f ca="1">'Map 2 Dont Touch'!P46</f>
        <v>3</v>
      </c>
      <c r="Q46" s="1">
        <f ca="1">'Map 2 Dont Touch'!Q46</f>
        <v>3</v>
      </c>
      <c r="R46" s="1">
        <f ca="1">'Map 2 Dont Touch'!R46</f>
        <v>4</v>
      </c>
      <c r="S46" s="1">
        <f ca="1">'Map 2 Dont Touch'!S46</f>
        <v>4</v>
      </c>
      <c r="T46" s="1">
        <f ca="1">'Map 2 Dont Touch'!T46</f>
        <v>4</v>
      </c>
      <c r="U46" s="1">
        <f ca="1">'Map 2 Dont Touch'!U46</f>
        <v>3</v>
      </c>
      <c r="V46" s="1">
        <f ca="1">'Map 2 Dont Touch'!V46</f>
        <v>7</v>
      </c>
      <c r="W46" s="1">
        <f ca="1">'Map 2 Dont Touch'!W46</f>
        <v>7</v>
      </c>
      <c r="X46" s="1">
        <f ca="1">'Map 2 Dont Touch'!X46</f>
        <v>7</v>
      </c>
      <c r="Y46" s="1">
        <f ca="1">'Map 2 Dont Touch'!Y46</f>
        <v>7</v>
      </c>
      <c r="Z46" s="1">
        <f ca="1">'Map 2 Dont Touch'!Z46</f>
        <v>7</v>
      </c>
      <c r="AA46" s="1">
        <f ca="1">'Map 2 Dont Touch'!AA46</f>
        <v>7</v>
      </c>
      <c r="AB46" s="1">
        <f ca="1">'Map 2 Dont Touch'!AB46</f>
        <v>8</v>
      </c>
      <c r="AC46" s="1">
        <f ca="1">'Map 2 Dont Touch'!AC46</f>
        <v>8</v>
      </c>
      <c r="AD46" s="1">
        <f ca="1">'Map 2 Dont Touch'!AD46</f>
        <v>8</v>
      </c>
      <c r="AE46" s="1">
        <f ca="1">'Map 2 Dont Touch'!AE46</f>
        <v>8</v>
      </c>
      <c r="AF46" s="1">
        <f ca="1">'Map 2 Dont Touch'!AF46</f>
        <v>8</v>
      </c>
      <c r="AG46" s="1">
        <f ca="1">'Map 2 Dont Touch'!AG46</f>
        <v>8</v>
      </c>
      <c r="AH46" s="1">
        <f ca="1">'Map 2 Dont Touch'!AH46</f>
        <v>8</v>
      </c>
      <c r="AI46" s="1">
        <f ca="1">'Map 2 Dont Touch'!AI46</f>
        <v>8</v>
      </c>
      <c r="AJ46" s="1">
        <f ca="1">'Map 2 Dont Touch'!AJ46</f>
        <v>8</v>
      </c>
      <c r="AK46" s="1">
        <f ca="1">'Map 2 Dont Touch'!AK46</f>
        <v>8</v>
      </c>
      <c r="AL46" s="1">
        <f ca="1">'Map 2 Dont Touch'!AL46</f>
        <v>7</v>
      </c>
      <c r="AM46" s="1">
        <f ca="1">'Map 2 Dont Touch'!AM46</f>
        <v>7</v>
      </c>
      <c r="AN46" s="1">
        <f ca="1">'Map 2 Dont Touch'!AN46</f>
        <v>7</v>
      </c>
      <c r="AO46" s="1">
        <f ca="1">'Map 2 Dont Touch'!AO46</f>
        <v>7</v>
      </c>
      <c r="AP46" s="1"/>
      <c r="AQ46" s="1"/>
      <c r="AR46" s="1"/>
      <c r="AS46" s="1"/>
      <c r="AT46" s="1"/>
      <c r="AU46" s="1"/>
    </row>
    <row r="47" spans="1:47" ht="37.5" customHeight="1">
      <c r="A47" s="1">
        <f>'Map 2 Dont Touch'!A47</f>
        <v>40</v>
      </c>
      <c r="B47" s="1">
        <f ca="1">'Map 2 Dont Touch'!B47</f>
        <v>7</v>
      </c>
      <c r="C47" s="1">
        <f ca="1">'Map 2 Dont Touch'!C47</f>
        <v>5</v>
      </c>
      <c r="D47" s="1">
        <f ca="1">'Map 2 Dont Touch'!D47</f>
        <v>5</v>
      </c>
      <c r="E47" s="1">
        <f ca="1">'Map 2 Dont Touch'!E47</f>
        <v>5</v>
      </c>
      <c r="F47" s="1">
        <f ca="1">'Map 2 Dont Touch'!F47</f>
        <v>5</v>
      </c>
      <c r="G47" s="1">
        <f ca="1">'Map 2 Dont Touch'!G47</f>
        <v>3</v>
      </c>
      <c r="H47" s="1">
        <f ca="1">'Map 2 Dont Touch'!H47</f>
        <v>3</v>
      </c>
      <c r="I47" s="1">
        <f ca="1">'Map 2 Dont Touch'!I47</f>
        <v>3</v>
      </c>
      <c r="J47" s="1">
        <f ca="1">'Map 2 Dont Touch'!J47</f>
        <v>7</v>
      </c>
      <c r="K47" s="1">
        <f ca="1">'Map 2 Dont Touch'!K47</f>
        <v>7</v>
      </c>
      <c r="L47" s="1">
        <f ca="1">'Map 2 Dont Touch'!L47</f>
        <v>7</v>
      </c>
      <c r="M47" s="1">
        <f ca="1">'Map 2 Dont Touch'!M47</f>
        <v>3</v>
      </c>
      <c r="N47" s="1">
        <f ca="1">'Map 2 Dont Touch'!N47</f>
        <v>3</v>
      </c>
      <c r="O47" s="1">
        <f ca="1">'Map 2 Dont Touch'!O47</f>
        <v>3</v>
      </c>
      <c r="P47" s="1">
        <f ca="1">'Map 2 Dont Touch'!P47</f>
        <v>4</v>
      </c>
      <c r="Q47" s="1">
        <f ca="1">'Map 2 Dont Touch'!Q47</f>
        <v>4</v>
      </c>
      <c r="R47" s="1">
        <f ca="1">'Map 2 Dont Touch'!R47</f>
        <v>4</v>
      </c>
      <c r="S47" s="1">
        <f ca="1">'Map 2 Dont Touch'!S47</f>
        <v>4</v>
      </c>
      <c r="T47" s="1">
        <f ca="1">'Map 2 Dont Touch'!T47</f>
        <v>4</v>
      </c>
      <c r="U47" s="1">
        <f ca="1">'Map 2 Dont Touch'!U47</f>
        <v>4</v>
      </c>
      <c r="V47" s="1">
        <f ca="1">'Map 2 Dont Touch'!V47</f>
        <v>8</v>
      </c>
      <c r="W47" s="1">
        <f ca="1">'Map 2 Dont Touch'!W47</f>
        <v>7</v>
      </c>
      <c r="X47" s="1">
        <f ca="1">'Map 2 Dont Touch'!X47</f>
        <v>7</v>
      </c>
      <c r="Y47" s="1">
        <f ca="1">'Map 2 Dont Touch'!Y47</f>
        <v>7</v>
      </c>
      <c r="Z47" s="1">
        <f ca="1">'Map 2 Dont Touch'!Z47</f>
        <v>7</v>
      </c>
      <c r="AA47" s="1">
        <f ca="1">'Map 2 Dont Touch'!AA47</f>
        <v>7</v>
      </c>
      <c r="AB47" s="1">
        <f ca="1">'Map 2 Dont Touch'!AB47</f>
        <v>8</v>
      </c>
      <c r="AC47" s="1">
        <f ca="1">'Map 2 Dont Touch'!AC47</f>
        <v>8</v>
      </c>
      <c r="AD47" s="1">
        <f ca="1">'Map 2 Dont Touch'!AD47</f>
        <v>8</v>
      </c>
      <c r="AE47" s="1">
        <f ca="1">'Map 2 Dont Touch'!AE47</f>
        <v>8</v>
      </c>
      <c r="AF47" s="1">
        <f ca="1">'Map 2 Dont Touch'!AF47</f>
        <v>8</v>
      </c>
      <c r="AG47" s="1">
        <f ca="1">'Map 2 Dont Touch'!AG47</f>
        <v>8</v>
      </c>
      <c r="AH47" s="1">
        <f ca="1">'Map 2 Dont Touch'!AH47</f>
        <v>8</v>
      </c>
      <c r="AI47" s="1">
        <f ca="1">'Map 2 Dont Touch'!AI47</f>
        <v>8</v>
      </c>
      <c r="AJ47" s="1">
        <f ca="1">'Map 2 Dont Touch'!AJ47</f>
        <v>7</v>
      </c>
      <c r="AK47" s="1">
        <f ca="1">'Map 2 Dont Touch'!AK47</f>
        <v>7</v>
      </c>
      <c r="AL47" s="1">
        <f ca="1">'Map 2 Dont Touch'!AL47</f>
        <v>7</v>
      </c>
      <c r="AM47" s="1">
        <f ca="1">'Map 2 Dont Touch'!AM47</f>
        <v>7</v>
      </c>
      <c r="AN47" s="1">
        <f ca="1">'Map 2 Dont Touch'!AN47</f>
        <v>7</v>
      </c>
      <c r="AO47" s="1">
        <f ca="1">'Map 2 Dont Touch'!AO47</f>
        <v>7</v>
      </c>
      <c r="AP47" s="1"/>
      <c r="AQ47" s="1"/>
      <c r="AR47" s="1"/>
      <c r="AS47" s="1"/>
      <c r="AT47" s="1"/>
      <c r="AU47" s="1"/>
    </row>
  </sheetData>
  <conditionalFormatting sqref="A1:B4">
    <cfRule type="cellIs" dxfId="370" priority="33" operator="equal">
      <formula>-1</formula>
    </cfRule>
    <cfRule type="cellIs" dxfId="369" priority="34" operator="equal">
      <formula>-2</formula>
    </cfRule>
    <cfRule type="cellIs" dxfId="368" priority="35" operator="equal">
      <formula>-3</formula>
    </cfRule>
  </conditionalFormatting>
  <conditionalFormatting sqref="B8:AU47">
    <cfRule type="cellIs" dxfId="367" priority="1" operator="equal">
      <formula>1</formula>
    </cfRule>
    <cfRule type="cellIs" dxfId="366" priority="2" operator="equal">
      <formula>2</formula>
    </cfRule>
    <cfRule type="cellIs" dxfId="365" priority="3" operator="equal">
      <formula>3</formula>
    </cfRule>
    <cfRule type="cellIs" dxfId="364" priority="4" operator="equal">
      <formula>4</formula>
    </cfRule>
    <cfRule type="cellIs" dxfId="363" priority="5" operator="equal">
      <formula>5</formula>
    </cfRule>
    <cfRule type="cellIs" dxfId="362" priority="6" operator="equal">
      <formula>6</formula>
    </cfRule>
    <cfRule type="cellIs" dxfId="361" priority="7" operator="equal">
      <formula>7</formula>
    </cfRule>
    <cfRule type="cellIs" dxfId="360" priority="8" operator="equal">
      <formula>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S66"/>
  <sheetViews>
    <sheetView workbookViewId="0">
      <selection activeCell="B13" sqref="B13"/>
    </sheetView>
  </sheetViews>
  <sheetFormatPr defaultColWidth="12.5703125" defaultRowHeight="15.75" customHeight="1"/>
  <cols>
    <col min="1" max="1" width="3.7109375" style="44" customWidth="1"/>
    <col min="2" max="41" width="14.28515625" style="44" customWidth="1"/>
    <col min="42" max="42" width="4.5703125" style="44" customWidth="1"/>
    <col min="43" max="16384" width="12.5703125" style="44"/>
  </cols>
  <sheetData>
    <row r="2" spans="1:45" ht="15.75" customHeight="1">
      <c r="A2" s="3">
        <v>1</v>
      </c>
      <c r="B2" s="8" t="s">
        <v>5</v>
      </c>
      <c r="C2" s="3"/>
      <c r="D2" s="3"/>
      <c r="E2" s="3"/>
      <c r="F2" s="3"/>
      <c r="H2" s="44" t="s">
        <v>10</v>
      </c>
      <c r="I2" s="8">
        <v>1</v>
      </c>
      <c r="J2" s="10">
        <v>2</v>
      </c>
      <c r="K2" s="15">
        <v>3</v>
      </c>
      <c r="L2" s="19">
        <v>0</v>
      </c>
      <c r="N2" s="3"/>
      <c r="O2" s="44" t="s">
        <v>11</v>
      </c>
      <c r="P2" s="8">
        <v>1</v>
      </c>
      <c r="Q2" s="10">
        <v>2</v>
      </c>
      <c r="R2" s="15">
        <v>3</v>
      </c>
      <c r="S2" s="19">
        <v>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 t="s">
        <v>12</v>
      </c>
      <c r="AG2" s="3"/>
      <c r="AH2" s="3"/>
      <c r="AI2" s="3"/>
      <c r="AJ2" s="3" t="s">
        <v>13</v>
      </c>
      <c r="AK2" s="3"/>
      <c r="AL2" s="3"/>
      <c r="AM2" s="3"/>
      <c r="AN2" s="3"/>
      <c r="AO2" s="3"/>
      <c r="AP2" s="3"/>
    </row>
    <row r="3" spans="1:45" ht="12.75">
      <c r="A3" s="3">
        <v>2</v>
      </c>
      <c r="B3" s="10" t="s">
        <v>7</v>
      </c>
      <c r="C3" s="3"/>
      <c r="D3" s="3"/>
      <c r="E3" s="3"/>
      <c r="F3" s="3"/>
      <c r="H3" s="8">
        <v>1</v>
      </c>
      <c r="I3" s="3" t="s">
        <v>14</v>
      </c>
      <c r="J3" s="3" t="s">
        <v>15</v>
      </c>
      <c r="K3" s="3" t="s">
        <v>14</v>
      </c>
      <c r="L3" s="3" t="s">
        <v>16</v>
      </c>
      <c r="N3" s="3"/>
      <c r="O3" s="8">
        <v>1</v>
      </c>
      <c r="P3" s="3" t="s">
        <v>14</v>
      </c>
      <c r="Q3" s="3" t="s">
        <v>15</v>
      </c>
      <c r="R3" s="3" t="s">
        <v>15</v>
      </c>
      <c r="S3" s="3" t="s">
        <v>15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 t="s">
        <v>1</v>
      </c>
      <c r="AG3" s="3" t="s">
        <v>0</v>
      </c>
      <c r="AH3" s="3" t="s">
        <v>1</v>
      </c>
      <c r="AI3" s="3"/>
      <c r="AJ3" s="3" t="s">
        <v>0</v>
      </c>
      <c r="AK3" s="3" t="s">
        <v>0</v>
      </c>
      <c r="AL3" s="3" t="s">
        <v>1</v>
      </c>
      <c r="AM3" s="3"/>
      <c r="AN3" s="3"/>
      <c r="AO3" s="3"/>
      <c r="AP3" s="3"/>
    </row>
    <row r="4" spans="1:45" ht="14.25">
      <c r="A4" s="3">
        <v>3</v>
      </c>
      <c r="B4" s="15" t="s">
        <v>8</v>
      </c>
      <c r="C4" s="3"/>
      <c r="D4" s="3"/>
      <c r="E4" s="3"/>
      <c r="F4" s="3"/>
      <c r="H4" s="10">
        <v>2</v>
      </c>
      <c r="I4" s="3" t="s">
        <v>16</v>
      </c>
      <c r="J4" s="3" t="s">
        <v>14</v>
      </c>
      <c r="K4" s="3" t="s">
        <v>16</v>
      </c>
      <c r="L4" s="3" t="s">
        <v>16</v>
      </c>
      <c r="N4" s="3"/>
      <c r="O4" s="10">
        <v>2</v>
      </c>
      <c r="P4" s="3" t="s">
        <v>16</v>
      </c>
      <c r="Q4" s="3" t="s">
        <v>14</v>
      </c>
      <c r="R4" s="3" t="s">
        <v>15</v>
      </c>
      <c r="S4" s="3" t="s">
        <v>14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 t="s">
        <v>16</v>
      </c>
      <c r="AG4" s="11" t="s">
        <v>17</v>
      </c>
      <c r="AH4" s="12" t="s">
        <v>18</v>
      </c>
      <c r="AI4" s="3"/>
      <c r="AJ4" s="3" t="s">
        <v>16</v>
      </c>
      <c r="AK4" s="13" t="s">
        <v>19</v>
      </c>
      <c r="AL4" s="11" t="s">
        <v>17</v>
      </c>
      <c r="AM4" s="3"/>
      <c r="AN4" s="3"/>
      <c r="AO4" s="3"/>
      <c r="AP4" s="3"/>
    </row>
    <row r="5" spans="1:45" ht="13.5">
      <c r="A5" s="3">
        <v>0</v>
      </c>
      <c r="B5" s="19" t="s">
        <v>9</v>
      </c>
      <c r="C5" s="3"/>
      <c r="D5" s="3"/>
      <c r="E5" s="3"/>
      <c r="F5" s="3"/>
      <c r="G5" s="3"/>
      <c r="H5" s="15">
        <v>3</v>
      </c>
      <c r="I5" s="3" t="s">
        <v>14</v>
      </c>
      <c r="J5" s="3" t="s">
        <v>15</v>
      </c>
      <c r="K5" s="3" t="s">
        <v>14</v>
      </c>
      <c r="L5" s="3" t="s">
        <v>16</v>
      </c>
      <c r="N5" s="3"/>
      <c r="O5" s="15">
        <v>3</v>
      </c>
      <c r="P5" s="3" t="s">
        <v>16</v>
      </c>
      <c r="Q5" s="3" t="s">
        <v>16</v>
      </c>
      <c r="R5" s="3" t="s">
        <v>14</v>
      </c>
      <c r="S5" s="3" t="s">
        <v>16</v>
      </c>
      <c r="U5" s="3"/>
      <c r="V5" s="3"/>
      <c r="W5" s="3"/>
      <c r="X5" s="3"/>
      <c r="Y5" s="3"/>
      <c r="Z5" s="3"/>
      <c r="AA5" s="16"/>
      <c r="AB5" s="3"/>
      <c r="AC5" s="3"/>
      <c r="AD5" s="3"/>
      <c r="AE5" s="3"/>
      <c r="AF5" s="3" t="s">
        <v>15</v>
      </c>
      <c r="AG5" s="17" t="s">
        <v>20</v>
      </c>
      <c r="AH5" s="18" t="s">
        <v>21</v>
      </c>
      <c r="AI5" s="3"/>
      <c r="AJ5" s="3" t="s">
        <v>15</v>
      </c>
      <c r="AK5" s="14" t="s">
        <v>22</v>
      </c>
      <c r="AL5" s="17" t="s">
        <v>20</v>
      </c>
      <c r="AM5" s="3"/>
      <c r="AN5" s="3"/>
      <c r="AO5" s="3"/>
      <c r="AP5" s="3"/>
    </row>
    <row r="6" spans="1:45" ht="12.75">
      <c r="A6" s="3"/>
      <c r="B6" s="3"/>
      <c r="C6" s="3"/>
      <c r="D6" s="3"/>
      <c r="E6" s="3"/>
      <c r="F6" s="3"/>
      <c r="G6" s="3"/>
      <c r="H6" s="19">
        <v>0</v>
      </c>
      <c r="I6" s="3" t="s">
        <v>15</v>
      </c>
      <c r="J6" s="3" t="s">
        <v>15</v>
      </c>
      <c r="K6" s="3" t="s">
        <v>15</v>
      </c>
      <c r="L6" s="3" t="s">
        <v>14</v>
      </c>
      <c r="N6" s="3"/>
      <c r="O6" s="19">
        <v>0</v>
      </c>
      <c r="P6" s="3" t="s">
        <v>16</v>
      </c>
      <c r="Q6" s="3" t="s">
        <v>14</v>
      </c>
      <c r="R6" s="3" t="s">
        <v>15</v>
      </c>
      <c r="S6" s="3" t="s">
        <v>14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 t="s">
        <v>14</v>
      </c>
      <c r="AG6" s="20" t="s">
        <v>23</v>
      </c>
      <c r="AH6" s="8" t="s">
        <v>24</v>
      </c>
      <c r="AI6" s="3"/>
      <c r="AJ6" s="3" t="s">
        <v>14</v>
      </c>
      <c r="AK6" s="9" t="s">
        <v>25</v>
      </c>
      <c r="AL6" s="20" t="s">
        <v>23</v>
      </c>
      <c r="AM6" s="3"/>
      <c r="AN6" s="3"/>
      <c r="AO6" s="3"/>
      <c r="AP6" s="3"/>
    </row>
    <row r="7" spans="1:45" ht="12.75">
      <c r="A7" s="3"/>
      <c r="B7" s="3"/>
      <c r="D7" s="3"/>
      <c r="E7" s="3"/>
      <c r="F7" s="3"/>
      <c r="G7" s="3"/>
      <c r="H7" s="3"/>
      <c r="I7" s="3"/>
      <c r="J7" s="3"/>
      <c r="K7" s="3"/>
      <c r="L7" s="3"/>
      <c r="N7" s="3"/>
      <c r="O7" s="3"/>
      <c r="P7" s="3"/>
      <c r="Q7" s="3"/>
      <c r="R7" s="3"/>
      <c r="S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5" ht="12.75">
      <c r="A8" s="3"/>
      <c r="B8" s="3"/>
      <c r="C8" s="3"/>
      <c r="D8" s="3"/>
      <c r="E8" s="3"/>
      <c r="F8" s="3"/>
      <c r="G8" s="3"/>
      <c r="I8" s="3"/>
      <c r="J8" s="3"/>
      <c r="K8" s="3"/>
      <c r="L8" s="3"/>
      <c r="N8" s="3"/>
      <c r="P8" s="3"/>
      <c r="Q8" s="3"/>
      <c r="R8" s="3"/>
      <c r="S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5" ht="12.75">
      <c r="B9" s="43"/>
      <c r="I9" s="3"/>
      <c r="J9" s="3"/>
      <c r="K9" s="3"/>
      <c r="L9" s="3"/>
      <c r="N9" s="3"/>
      <c r="P9" s="3"/>
      <c r="Q9" s="3"/>
      <c r="R9" s="3"/>
      <c r="S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5" ht="30" customHeight="1">
      <c r="A10" s="3"/>
      <c r="B10" s="3"/>
      <c r="C10" s="45"/>
      <c r="D10" s="3"/>
      <c r="E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5" ht="12.75">
      <c r="A11" s="3"/>
      <c r="B11" s="3">
        <v>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7</v>
      </c>
      <c r="I11" s="3">
        <v>8</v>
      </c>
      <c r="J11" s="3">
        <v>9</v>
      </c>
      <c r="K11" s="3">
        <v>10</v>
      </c>
      <c r="L11" s="3">
        <v>11</v>
      </c>
      <c r="M11" s="3">
        <v>12</v>
      </c>
      <c r="N11" s="3">
        <v>13</v>
      </c>
      <c r="O11" s="3">
        <v>14</v>
      </c>
      <c r="P11" s="3">
        <v>15</v>
      </c>
      <c r="Q11" s="3">
        <v>16</v>
      </c>
      <c r="R11" s="3">
        <v>17</v>
      </c>
      <c r="S11" s="3">
        <v>18</v>
      </c>
      <c r="T11" s="3">
        <v>19</v>
      </c>
      <c r="U11" s="3">
        <v>20</v>
      </c>
      <c r="V11" s="3">
        <v>21</v>
      </c>
      <c r="W11" s="3">
        <v>22</v>
      </c>
      <c r="X11" s="3">
        <v>23</v>
      </c>
      <c r="Y11" s="3">
        <v>24</v>
      </c>
      <c r="Z11" s="3">
        <v>25</v>
      </c>
      <c r="AA11" s="3">
        <v>26</v>
      </c>
      <c r="AB11" s="3">
        <v>27</v>
      </c>
      <c r="AC11" s="3">
        <v>28</v>
      </c>
      <c r="AD11" s="3">
        <v>29</v>
      </c>
      <c r="AE11" s="3">
        <v>30</v>
      </c>
      <c r="AF11" s="3">
        <v>31</v>
      </c>
      <c r="AG11" s="3">
        <v>32</v>
      </c>
      <c r="AH11" s="3">
        <v>33</v>
      </c>
      <c r="AI11" s="3">
        <v>34</v>
      </c>
      <c r="AJ11" s="3">
        <v>35</v>
      </c>
      <c r="AK11" s="3">
        <v>36</v>
      </c>
      <c r="AL11" s="3">
        <v>37</v>
      </c>
      <c r="AM11" s="3">
        <v>38</v>
      </c>
      <c r="AN11" s="3">
        <v>39</v>
      </c>
      <c r="AO11" s="3">
        <v>40</v>
      </c>
      <c r="AP11" s="3"/>
      <c r="AS11" s="44" t="s">
        <v>26</v>
      </c>
    </row>
    <row r="12" spans="1:45" ht="37.5" customHeight="1">
      <c r="A12" s="3">
        <v>1</v>
      </c>
      <c r="B12" s="83" t="str">
        <f ca="1">IF('Map 2 Do Touch'!B8&gt;4,INDEX($AG$4:$AH$6,MATCH(INDEX($I$3:$L$6,MATCH(MOD('Map 2 Do Touch'!AO8,4),$H$3:$H$6,0),MATCH(MOD('Map 2 Do Touch'!B8,4),$I$2:$L$2,0)),$AF$4:$AF$6,0),MATCH(IF('Map 2 Do Touch'!AO8&gt;4,"Water","Land"),'Map 3'!$AG$3:$AH$3,0)),INDEX($AK$4:$AL$6,MATCH(INDEX($I$3:$L$6,MATCH(MOD('Map 2 Do Touch'!A8,4),$H$3:$H$6,0),MATCH(MOD('Map 2 Do Touch'!B8,4),$I$2:$L$2,0)),'Map 3'!$AJ$4:$AJ$6,0),MATCH(IF('Map 2 Do Touch'!AO8&gt;4,"Water","Land"),'Map 3'!$AK$3:$AL$3,0)))</f>
        <v>Coast</v>
      </c>
      <c r="C12" s="84" t="str">
        <f ca="1">IF('Map 2 Do Touch'!C8&gt;4,INDEX($AG$4:$AH$6,MATCH(INDEX($I$3:$L$6,MATCH(MOD('Map 2 Do Touch'!B8,4),$H$3:$H$6,0),MATCH(MOD('Map 2 Do Touch'!C8,4),$I$2:$L$2,0)),$AF$4:$AF$6,0),MATCH(IF('Map 2 Do Touch'!B8&gt;4,"Water","Land"),'Map 3'!$AG$3:$AH$3,0)),INDEX($AK$4:$AL$6,MATCH(INDEX($I$3:$L$6,MATCH(MOD('Map 2 Do Touch'!B8,4),$H$3:$H$6,0),MATCH(MOD('Map 2 Do Touch'!C8,4),$I$2:$L$2,0)),'Map 3'!$AJ$4:$AJ$6,0),MATCH(IF('Map 2 Do Touch'!B8&gt;4,"Water","Land"),'Map 3'!$AK$3:$AL$3,0)))</f>
        <v>Coast</v>
      </c>
      <c r="D12" s="84" t="str">
        <f ca="1">IF('Map 2 Do Touch'!D8&gt;4,INDEX($AG$4:$AH$6,MATCH(INDEX($I$3:$L$6,MATCH(MOD('Map 2 Do Touch'!C8,4),$H$3:$H$6,0),MATCH(MOD('Map 2 Do Touch'!D8,4),$I$2:$L$2,0)),$AF$4:$AF$6,0),MATCH(IF('Map 2 Do Touch'!C8&gt;4,"Water","Land"),'Map 3'!$AG$3:$AH$3,0)),INDEX($AK$4:$AL$6,MATCH(INDEX($I$3:$L$6,MATCH(MOD('Map 2 Do Touch'!C8,4),$H$3:$H$6,0),MATCH(MOD('Map 2 Do Touch'!D8,4),$I$2:$L$2,0)),'Map 3'!$AJ$4:$AJ$6,0),MATCH(IF('Map 2 Do Touch'!C8&gt;4,"Water","Land"),'Map 3'!$AK$3:$AL$3,0)))</f>
        <v>Flatland</v>
      </c>
      <c r="E12" s="84" t="str">
        <f ca="1">IF('Map 2 Do Touch'!E8&gt;4,INDEX($AG$4:$AH$6,MATCH(INDEX($I$3:$L$6,MATCH(MOD('Map 2 Do Touch'!D8,4),$H$3:$H$6,0),MATCH(MOD('Map 2 Do Touch'!E8,4),$I$2:$L$2,0)),$AF$4:$AF$6,0),MATCH(IF('Map 2 Do Touch'!D8&gt;4,"Water","Land"),'Map 3'!$AG$3:$AH$3,0)),INDEX($AK$4:$AL$6,MATCH(INDEX($I$3:$L$6,MATCH(MOD('Map 2 Do Touch'!D8,4),$H$3:$H$6,0),MATCH(MOD('Map 2 Do Touch'!E8,4),$I$2:$L$2,0)),'Map 3'!$AJ$4:$AJ$6,0),MATCH(IF('Map 2 Do Touch'!D8&gt;4,"Water","Land"),'Map 3'!$AK$3:$AL$3,0)))</f>
        <v>Flatland</v>
      </c>
      <c r="F12" s="84" t="str">
        <f ca="1">IF('Map 2 Do Touch'!F8&gt;4,INDEX($AG$4:$AH$6,MATCH(INDEX($I$3:$L$6,MATCH(MOD('Map 2 Do Touch'!E8,4),$H$3:$H$6,0),MATCH(MOD('Map 2 Do Touch'!F8,4),$I$2:$L$2,0)),$AF$4:$AF$6,0),MATCH(IF('Map 2 Do Touch'!E8&gt;4,"Water","Land"),'Map 3'!$AG$3:$AH$3,0)),INDEX($AK$4:$AL$6,MATCH(INDEX($I$3:$L$6,MATCH(MOD('Map 2 Do Touch'!E8,4),$H$3:$H$6,0),MATCH(MOD('Map 2 Do Touch'!F8,4),$I$2:$L$2,0)),'Map 3'!$AJ$4:$AJ$6,0),MATCH(IF('Map 2 Do Touch'!E8&gt;4,"Water","Land"),'Map 3'!$AK$3:$AL$3,0)))</f>
        <v>Coast</v>
      </c>
      <c r="G12" s="84" t="str">
        <f ca="1">IF('Map 2 Do Touch'!G8&gt;4,INDEX($AG$4:$AH$6,MATCH(INDEX($I$3:$L$6,MATCH(MOD('Map 2 Do Touch'!F8,4),$H$3:$H$6,0),MATCH(MOD('Map 2 Do Touch'!G8,4),$I$2:$L$2,0)),$AF$4:$AF$6,0),MATCH(IF('Map 2 Do Touch'!F8&gt;4,"Water","Land"),'Map 3'!$AG$3:$AH$3,0)),INDEX($AK$4:$AL$6,MATCH(INDEX($I$3:$L$6,MATCH(MOD('Map 2 Do Touch'!F8,4),$H$3:$H$6,0),MATCH(MOD('Map 2 Do Touch'!G8,4),$I$2:$L$2,0)),'Map 3'!$AJ$4:$AJ$6,0),MATCH(IF('Map 2 Do Touch'!F8&gt;4,"Water","Land"),'Map 3'!$AK$3:$AL$3,0)))</f>
        <v>Island</v>
      </c>
      <c r="H12" s="84" t="str">
        <f ca="1">IF('Map 2 Do Touch'!H8&gt;4,INDEX($AG$4:$AH$6,MATCH(INDEX($I$3:$L$6,MATCH(MOD('Map 2 Do Touch'!G8,4),$H$3:$H$6,0),MATCH(MOD('Map 2 Do Touch'!H8,4),$I$2:$L$2,0)),$AF$4:$AF$6,0),MATCH(IF('Map 2 Do Touch'!G8&gt;4,"Water","Land"),'Map 3'!$AG$3:$AH$3,0)),INDEX($AK$4:$AL$6,MATCH(INDEX($I$3:$L$6,MATCH(MOD('Map 2 Do Touch'!G8,4),$H$3:$H$6,0),MATCH(MOD('Map 2 Do Touch'!H8,4),$I$2:$L$2,0)),'Map 3'!$AJ$4:$AJ$6,0),MATCH(IF('Map 2 Do Touch'!G8&gt;4,"Water","Land"),'Map 3'!$AK$3:$AL$3,0)))</f>
        <v>Ocean</v>
      </c>
      <c r="I12" s="84" t="str">
        <f ca="1">IF('Map 2 Do Touch'!I8&gt;4,INDEX($AG$4:$AH$6,MATCH(INDEX($I$3:$L$6,MATCH(MOD('Map 2 Do Touch'!H8,4),$H$3:$H$6,0),MATCH(MOD('Map 2 Do Touch'!I8,4),$I$2:$L$2,0)),$AF$4:$AF$6,0),MATCH(IF('Map 2 Do Touch'!H8&gt;4,"Water","Land"),'Map 3'!$AG$3:$AH$3,0)),INDEX($AK$4:$AL$6,MATCH(INDEX($I$3:$L$6,MATCH(MOD('Map 2 Do Touch'!H8,4),$H$3:$H$6,0),MATCH(MOD('Map 2 Do Touch'!I8,4),$I$2:$L$2,0)),'Map 3'!$AJ$4:$AJ$6,0),MATCH(IF('Map 2 Do Touch'!H8&gt;4,"Water","Land"),'Map 3'!$AK$3:$AL$3,0)))</f>
        <v>Ocean</v>
      </c>
      <c r="J12" s="84" t="str">
        <f ca="1">IF('Map 2 Do Touch'!J8&gt;4,INDEX($AG$4:$AH$6,MATCH(INDEX($I$3:$L$6,MATCH(MOD('Map 2 Do Touch'!I8,4),$H$3:$H$6,0),MATCH(MOD('Map 2 Do Touch'!J8,4),$I$2:$L$2,0)),$AF$4:$AF$6,0),MATCH(IF('Map 2 Do Touch'!I8&gt;4,"Water","Land"),'Map 3'!$AG$3:$AH$3,0)),INDEX($AK$4:$AL$6,MATCH(INDEX($I$3:$L$6,MATCH(MOD('Map 2 Do Touch'!I8,4),$H$3:$H$6,0),MATCH(MOD('Map 2 Do Touch'!J8,4),$I$2:$L$2,0)),'Map 3'!$AJ$4:$AJ$6,0),MATCH(IF('Map 2 Do Touch'!I8&gt;4,"Water","Land"),'Map 3'!$AK$3:$AL$3,0)))</f>
        <v>Ocean</v>
      </c>
      <c r="K12" s="84" t="str">
        <f ca="1">IF('Map 2 Do Touch'!K8&gt;4,INDEX($AG$4:$AH$6,MATCH(INDEX($I$3:$L$6,MATCH(MOD('Map 2 Do Touch'!J8,4),$H$3:$H$6,0),MATCH(MOD('Map 2 Do Touch'!K8,4),$I$2:$L$2,0)),$AF$4:$AF$6,0),MATCH(IF('Map 2 Do Touch'!J8&gt;4,"Water","Land"),'Map 3'!$AG$3:$AH$3,0)),INDEX($AK$4:$AL$6,MATCH(INDEX($I$3:$L$6,MATCH(MOD('Map 2 Do Touch'!J8,4),$H$3:$H$6,0),MATCH(MOD('Map 2 Do Touch'!K8,4),$I$2:$L$2,0)),'Map 3'!$AJ$4:$AJ$6,0),MATCH(IF('Map 2 Do Touch'!J8&gt;4,"Water","Land"),'Map 3'!$AK$3:$AL$3,0)))</f>
        <v>Ocean</v>
      </c>
      <c r="L12" s="84" t="str">
        <f ca="1">IF('Map 2 Do Touch'!L8&gt;4,INDEX($AG$4:$AH$6,MATCH(INDEX($I$3:$L$6,MATCH(MOD('Map 2 Do Touch'!K8,4),$H$3:$H$6,0),MATCH(MOD('Map 2 Do Touch'!L8,4),$I$2:$L$2,0)),$AF$4:$AF$6,0),MATCH(IF('Map 2 Do Touch'!K8&gt;4,"Water","Land"),'Map 3'!$AG$3:$AH$3,0)),INDEX($AK$4:$AL$6,MATCH(INDEX($I$3:$L$6,MATCH(MOD('Map 2 Do Touch'!K8,4),$H$3:$H$6,0),MATCH(MOD('Map 2 Do Touch'!L8,4),$I$2:$L$2,0)),'Map 3'!$AJ$4:$AJ$6,0),MATCH(IF('Map 2 Do Touch'!K8&gt;4,"Water","Land"),'Map 3'!$AK$3:$AL$3,0)))</f>
        <v>Island</v>
      </c>
      <c r="M12" s="84" t="str">
        <f ca="1">IF('Map 2 Do Touch'!M8&gt;4,INDEX($AG$4:$AH$6,MATCH(INDEX($I$3:$L$6,MATCH(MOD('Map 2 Do Touch'!L8,4),$H$3:$H$6,0),MATCH(MOD('Map 2 Do Touch'!M8,4),$I$2:$L$2,0)),$AF$4:$AF$6,0),MATCH(IF('Map 2 Do Touch'!L8&gt;4,"Water","Land"),'Map 3'!$AG$3:$AH$3,0)),INDEX($AK$4:$AL$6,MATCH(INDEX($I$3:$L$6,MATCH(MOD('Map 2 Do Touch'!L8,4),$H$3:$H$6,0),MATCH(MOD('Map 2 Do Touch'!M8,4),$I$2:$L$2,0)),'Map 3'!$AJ$4:$AJ$6,0),MATCH(IF('Map 2 Do Touch'!L8&gt;4,"Water","Land"),'Map 3'!$AK$3:$AL$3,0)))</f>
        <v>Ocean</v>
      </c>
      <c r="N12" s="84" t="str">
        <f ca="1">IF('Map 2 Do Touch'!N8&gt;4,INDEX($AG$4:$AH$6,MATCH(INDEX($I$3:$L$6,MATCH(MOD('Map 2 Do Touch'!M8,4),$H$3:$H$6,0),MATCH(MOD('Map 2 Do Touch'!N8,4),$I$2:$L$2,0)),$AF$4:$AF$6,0),MATCH(IF('Map 2 Do Touch'!M8&gt;4,"Water","Land"),'Map 3'!$AG$3:$AH$3,0)),INDEX($AK$4:$AL$6,MATCH(INDEX($I$3:$L$6,MATCH(MOD('Map 2 Do Touch'!M8,4),$H$3:$H$6,0),MATCH(MOD('Map 2 Do Touch'!N8,4),$I$2:$L$2,0)),'Map 3'!$AJ$4:$AJ$6,0),MATCH(IF('Map 2 Do Touch'!M8&gt;4,"Water","Land"),'Map 3'!$AK$3:$AL$3,0)))</f>
        <v>Ocean</v>
      </c>
      <c r="O12" s="84" t="str">
        <f ca="1">IF('Map 2 Do Touch'!O8&gt;4,INDEX($AG$4:$AH$6,MATCH(INDEX($I$3:$L$6,MATCH(MOD('Map 2 Do Touch'!N8,4),$H$3:$H$6,0),MATCH(MOD('Map 2 Do Touch'!O8,4),$I$2:$L$2,0)),$AF$4:$AF$6,0),MATCH(IF('Map 2 Do Touch'!N8&gt;4,"Water","Land"),'Map 3'!$AG$3:$AH$3,0)),INDEX($AK$4:$AL$6,MATCH(INDEX($I$3:$L$6,MATCH(MOD('Map 2 Do Touch'!N8,4),$H$3:$H$6,0),MATCH(MOD('Map 2 Do Touch'!O8,4),$I$2:$L$2,0)),'Map 3'!$AJ$4:$AJ$6,0),MATCH(IF('Map 2 Do Touch'!N8&gt;4,"Water","Land"),'Map 3'!$AK$3:$AL$3,0)))</f>
        <v>Ocean</v>
      </c>
      <c r="P12" s="84" t="str">
        <f ca="1">IF('Map 2 Do Touch'!P8&gt;4,INDEX($AG$4:$AH$6,MATCH(INDEX($I$3:$L$6,MATCH(MOD('Map 2 Do Touch'!O8,4),$H$3:$H$6,0),MATCH(MOD('Map 2 Do Touch'!P8,4),$I$2:$L$2,0)),$AF$4:$AF$6,0),MATCH(IF('Map 2 Do Touch'!O8&gt;4,"Water","Land"),'Map 3'!$AG$3:$AH$3,0)),INDEX($AK$4:$AL$6,MATCH(INDEX($I$3:$L$6,MATCH(MOD('Map 2 Do Touch'!O8,4),$H$3:$H$6,0),MATCH(MOD('Map 2 Do Touch'!P8,4),$I$2:$L$2,0)),'Map 3'!$AJ$4:$AJ$6,0),MATCH(IF('Map 2 Do Touch'!O8&gt;4,"Water","Land"),'Map 3'!$AK$3:$AL$3,0)))</f>
        <v>Ocean</v>
      </c>
      <c r="Q12" s="84" t="str">
        <f ca="1">IF('Map 2 Do Touch'!Q8&gt;4,INDEX($AG$4:$AH$6,MATCH(INDEX($I$3:$L$6,MATCH(MOD('Map 2 Do Touch'!P8,4),$H$3:$H$6,0),MATCH(MOD('Map 2 Do Touch'!Q8,4),$I$2:$L$2,0)),$AF$4:$AF$6,0),MATCH(IF('Map 2 Do Touch'!P8&gt;4,"Water","Land"),'Map 3'!$AG$3:$AH$3,0)),INDEX($AK$4:$AL$6,MATCH(INDEX($I$3:$L$6,MATCH(MOD('Map 2 Do Touch'!P8,4),$H$3:$H$6,0),MATCH(MOD('Map 2 Do Touch'!Q8,4),$I$2:$L$2,0)),'Map 3'!$AJ$4:$AJ$6,0),MATCH(IF('Map 2 Do Touch'!P8&gt;4,"Water","Land"),'Map 3'!$AK$3:$AL$3,0)))</f>
        <v>Trench</v>
      </c>
      <c r="R12" s="84" t="str">
        <f ca="1">IF('Map 2 Do Touch'!R8&gt;4,INDEX($AG$4:$AH$6,MATCH(INDEX($I$3:$L$6,MATCH(MOD('Map 2 Do Touch'!Q8,4),$H$3:$H$6,0),MATCH(MOD('Map 2 Do Touch'!R8,4),$I$2:$L$2,0)),$AF$4:$AF$6,0),MATCH(IF('Map 2 Do Touch'!Q8&gt;4,"Water","Land"),'Map 3'!$AG$3:$AH$3,0)),INDEX($AK$4:$AL$6,MATCH(INDEX($I$3:$L$6,MATCH(MOD('Map 2 Do Touch'!Q8,4),$H$3:$H$6,0),MATCH(MOD('Map 2 Do Touch'!R8,4),$I$2:$L$2,0)),'Map 3'!$AJ$4:$AJ$6,0),MATCH(IF('Map 2 Do Touch'!Q8&gt;4,"Water","Land"),'Map 3'!$AK$3:$AL$3,0)))</f>
        <v>Ocean</v>
      </c>
      <c r="S12" s="84" t="str">
        <f ca="1">IF('Map 2 Do Touch'!S8&gt;4,INDEX($AG$4:$AH$6,MATCH(INDEX($I$3:$L$6,MATCH(MOD('Map 2 Do Touch'!R8,4),$H$3:$H$6,0),MATCH(MOD('Map 2 Do Touch'!S8,4),$I$2:$L$2,0)),$AF$4:$AF$6,0),MATCH(IF('Map 2 Do Touch'!R8&gt;4,"Water","Land"),'Map 3'!$AG$3:$AH$3,0)),INDEX($AK$4:$AL$6,MATCH(INDEX($I$3:$L$6,MATCH(MOD('Map 2 Do Touch'!R8,4),$H$3:$H$6,0),MATCH(MOD('Map 2 Do Touch'!S8,4),$I$2:$L$2,0)),'Map 3'!$AJ$4:$AJ$6,0),MATCH(IF('Map 2 Do Touch'!R8&gt;4,"Water","Land"),'Map 3'!$AK$3:$AL$3,0)))</f>
        <v>Ocean</v>
      </c>
      <c r="T12" s="84" t="str">
        <f ca="1">IF('Map 2 Do Touch'!T8&gt;4,INDEX($AG$4:$AH$6,MATCH(INDEX($I$3:$L$6,MATCH(MOD('Map 2 Do Touch'!S8,4),$H$3:$H$6,0),MATCH(MOD('Map 2 Do Touch'!T8,4),$I$2:$L$2,0)),$AF$4:$AF$6,0),MATCH(IF('Map 2 Do Touch'!S8&gt;4,"Water","Land"),'Map 3'!$AG$3:$AH$3,0)),INDEX($AK$4:$AL$6,MATCH(INDEX($I$3:$L$6,MATCH(MOD('Map 2 Do Touch'!S8,4),$H$3:$H$6,0),MATCH(MOD('Map 2 Do Touch'!T8,4),$I$2:$L$2,0)),'Map 3'!$AJ$4:$AJ$6,0),MATCH(IF('Map 2 Do Touch'!S8&gt;4,"Water","Land"),'Map 3'!$AK$3:$AL$3,0)))</f>
        <v>Ocean</v>
      </c>
      <c r="U12" s="84" t="str">
        <f ca="1">IF('Map 2 Do Touch'!U8&gt;4,INDEX($AG$4:$AH$6,MATCH(INDEX($I$3:$L$6,MATCH(MOD('Map 2 Do Touch'!T8,4),$H$3:$H$6,0),MATCH(MOD('Map 2 Do Touch'!U8,4),$I$2:$L$2,0)),$AF$4:$AF$6,0),MATCH(IF('Map 2 Do Touch'!T8&gt;4,"Water","Land"),'Map 3'!$AG$3:$AH$3,0)),INDEX($AK$4:$AL$6,MATCH(INDEX($I$3:$L$6,MATCH(MOD('Map 2 Do Touch'!T8,4),$H$3:$H$6,0),MATCH(MOD('Map 2 Do Touch'!U8,4),$I$2:$L$2,0)),'Map 3'!$AJ$4:$AJ$6,0),MATCH(IF('Map 2 Do Touch'!T8&gt;4,"Water","Land"),'Map 3'!$AK$3:$AL$3,0)))</f>
        <v>Island</v>
      </c>
      <c r="V12" s="84" t="str">
        <f ca="1">IF('Map 2 Do Touch'!V8&gt;4,INDEX($AG$4:$AH$6,MATCH(INDEX($I$3:$L$6,MATCH(MOD('Map 2 Do Touch'!U8,4),$H$3:$H$6,0),MATCH(MOD('Map 2 Do Touch'!V8,4),$I$2:$L$2,0)),$AF$4:$AF$6,0),MATCH(IF('Map 2 Do Touch'!U8&gt;4,"Water","Land"),'Map 3'!$AG$3:$AH$3,0)),INDEX($AK$4:$AL$6,MATCH(INDEX($I$3:$L$6,MATCH(MOD('Map 2 Do Touch'!U8,4),$H$3:$H$6,0),MATCH(MOD('Map 2 Do Touch'!V8,4),$I$2:$L$2,0)),'Map 3'!$AJ$4:$AJ$6,0),MATCH(IF('Map 2 Do Touch'!U8&gt;4,"Water","Land"),'Map 3'!$AK$3:$AL$3,0)))</f>
        <v>Ocean</v>
      </c>
      <c r="W12" s="84" t="str">
        <f ca="1">IF('Map 2 Do Touch'!W8&gt;4,INDEX($AG$4:$AH$6,MATCH(INDEX($I$3:$L$6,MATCH(MOD('Map 2 Do Touch'!V8,4),$H$3:$H$6,0),MATCH(MOD('Map 2 Do Touch'!W8,4),$I$2:$L$2,0)),$AF$4:$AF$6,0),MATCH(IF('Map 2 Do Touch'!V8&gt;4,"Water","Land"),'Map 3'!$AG$3:$AH$3,0)),INDEX($AK$4:$AL$6,MATCH(INDEX($I$3:$L$6,MATCH(MOD('Map 2 Do Touch'!V8,4),$H$3:$H$6,0),MATCH(MOD('Map 2 Do Touch'!W8,4),$I$2:$L$2,0)),'Map 3'!$AJ$4:$AJ$6,0),MATCH(IF('Map 2 Do Touch'!V8&gt;4,"Water","Land"),'Map 3'!$AK$3:$AL$3,0)))</f>
        <v>Ocean</v>
      </c>
      <c r="X12" s="84" t="str">
        <f ca="1">IF('Map 2 Do Touch'!X8&gt;4,INDEX($AG$4:$AH$6,MATCH(INDEX($I$3:$L$6,MATCH(MOD('Map 2 Do Touch'!W8,4),$H$3:$H$6,0),MATCH(MOD('Map 2 Do Touch'!X8,4),$I$2:$L$2,0)),$AF$4:$AF$6,0),MATCH(IF('Map 2 Do Touch'!W8&gt;4,"Water","Land"),'Map 3'!$AG$3:$AH$3,0)),INDEX($AK$4:$AL$6,MATCH(INDEX($I$3:$L$6,MATCH(MOD('Map 2 Do Touch'!W8,4),$H$3:$H$6,0),MATCH(MOD('Map 2 Do Touch'!X8,4),$I$2:$L$2,0)),'Map 3'!$AJ$4:$AJ$6,0),MATCH(IF('Map 2 Do Touch'!W8&gt;4,"Water","Land"),'Map 3'!$AK$3:$AL$3,0)))</f>
        <v>Ocean</v>
      </c>
      <c r="Y12" s="84" t="str">
        <f ca="1">IF('Map 2 Do Touch'!Y8&gt;4,INDEX($AG$4:$AH$6,MATCH(INDEX($I$3:$L$6,MATCH(MOD('Map 2 Do Touch'!X8,4),$H$3:$H$6,0),MATCH(MOD('Map 2 Do Touch'!Y8,4),$I$2:$L$2,0)),$AF$4:$AF$6,0),MATCH(IF('Map 2 Do Touch'!X8&gt;4,"Water","Land"),'Map 3'!$AG$3:$AH$3,0)),INDEX($AK$4:$AL$6,MATCH(INDEX($I$3:$L$6,MATCH(MOD('Map 2 Do Touch'!X8,4),$H$3:$H$6,0),MATCH(MOD('Map 2 Do Touch'!Y8,4),$I$2:$L$2,0)),'Map 3'!$AJ$4:$AJ$6,0),MATCH(IF('Map 2 Do Touch'!X8&gt;4,"Water","Land"),'Map 3'!$AK$3:$AL$3,0)))</f>
        <v>Ocean</v>
      </c>
      <c r="Z12" s="84" t="str">
        <f ca="1">IF('Map 2 Do Touch'!Z8&gt;4,INDEX($AG$4:$AH$6,MATCH(INDEX($I$3:$L$6,MATCH(MOD('Map 2 Do Touch'!Y8,4),$H$3:$H$6,0),MATCH(MOD('Map 2 Do Touch'!Z8,4),$I$2:$L$2,0)),$AF$4:$AF$6,0),MATCH(IF('Map 2 Do Touch'!Y8&gt;4,"Water","Land"),'Map 3'!$AG$3:$AH$3,0)),INDEX($AK$4:$AL$6,MATCH(INDEX($I$3:$L$6,MATCH(MOD('Map 2 Do Touch'!Y8,4),$H$3:$H$6,0),MATCH(MOD('Map 2 Do Touch'!Z8,4),$I$2:$L$2,0)),'Map 3'!$AJ$4:$AJ$6,0),MATCH(IF('Map 2 Do Touch'!Y8&gt;4,"Water","Land"),'Map 3'!$AK$3:$AL$3,0)))</f>
        <v>Trench</v>
      </c>
      <c r="AA12" s="84" t="str">
        <f ca="1">IF('Map 2 Do Touch'!AA8&gt;4,INDEX($AG$4:$AH$6,MATCH(INDEX($I$3:$L$6,MATCH(MOD('Map 2 Do Touch'!Z8,4),$H$3:$H$6,0),MATCH(MOD('Map 2 Do Touch'!AA8,4),$I$2:$L$2,0)),$AF$4:$AF$6,0),MATCH(IF('Map 2 Do Touch'!Z8&gt;4,"Water","Land"),'Map 3'!$AG$3:$AH$3,0)),INDEX($AK$4:$AL$6,MATCH(INDEX($I$3:$L$6,MATCH(MOD('Map 2 Do Touch'!Z8,4),$H$3:$H$6,0),MATCH(MOD('Map 2 Do Touch'!AA8,4),$I$2:$L$2,0)),'Map 3'!$AJ$4:$AJ$6,0),MATCH(IF('Map 2 Do Touch'!Z8&gt;4,"Water","Land"),'Map 3'!$AK$3:$AL$3,0)))</f>
        <v>Ocean</v>
      </c>
      <c r="AB12" s="84" t="str">
        <f ca="1">IF('Map 2 Do Touch'!AB8&gt;4,INDEX($AG$4:$AH$6,MATCH(INDEX($I$3:$L$6,MATCH(MOD('Map 2 Do Touch'!AA8,4),$H$3:$H$6,0),MATCH(MOD('Map 2 Do Touch'!AB8,4),$I$2:$L$2,0)),$AF$4:$AF$6,0),MATCH(IF('Map 2 Do Touch'!AA8&gt;4,"Water","Land"),'Map 3'!$AG$3:$AH$3,0)),INDEX($AK$4:$AL$6,MATCH(INDEX($I$3:$L$6,MATCH(MOD('Map 2 Do Touch'!AA8,4),$H$3:$H$6,0),MATCH(MOD('Map 2 Do Touch'!AB8,4),$I$2:$L$2,0)),'Map 3'!$AJ$4:$AJ$6,0),MATCH(IF('Map 2 Do Touch'!AA8&gt;4,"Water","Land"),'Map 3'!$AK$3:$AL$3,0)))</f>
        <v>Ocean</v>
      </c>
      <c r="AC12" s="84" t="str">
        <f ca="1">IF('Map 2 Do Touch'!AC8&gt;4,INDEX($AG$4:$AH$6,MATCH(INDEX($I$3:$L$6,MATCH(MOD('Map 2 Do Touch'!AB8,4),$H$3:$H$6,0),MATCH(MOD('Map 2 Do Touch'!AC8,4),$I$2:$L$2,0)),$AF$4:$AF$6,0),MATCH(IF('Map 2 Do Touch'!AB8&gt;4,"Water","Land"),'Map 3'!$AG$3:$AH$3,0)),INDEX($AK$4:$AL$6,MATCH(INDEX($I$3:$L$6,MATCH(MOD('Map 2 Do Touch'!AB8,4),$H$3:$H$6,0),MATCH(MOD('Map 2 Do Touch'!AC8,4),$I$2:$L$2,0)),'Map 3'!$AJ$4:$AJ$6,0),MATCH(IF('Map 2 Do Touch'!AB8&gt;4,"Water","Land"),'Map 3'!$AK$3:$AL$3,0)))</f>
        <v>Coast</v>
      </c>
      <c r="AD12" s="84" t="str">
        <f ca="1">IF('Map 2 Do Touch'!AD8&gt;4,INDEX($AG$4:$AH$6,MATCH(INDEX($I$3:$L$6,MATCH(MOD('Map 2 Do Touch'!AC8,4),$H$3:$H$6,0),MATCH(MOD('Map 2 Do Touch'!AD8,4),$I$2:$L$2,0)),$AF$4:$AF$6,0),MATCH(IF('Map 2 Do Touch'!AC8&gt;4,"Water","Land"),'Map 3'!$AG$3:$AH$3,0)),INDEX($AK$4:$AL$6,MATCH(INDEX($I$3:$L$6,MATCH(MOD('Map 2 Do Touch'!AC8,4),$H$3:$H$6,0),MATCH(MOD('Map 2 Do Touch'!AD8,4),$I$2:$L$2,0)),'Map 3'!$AJ$4:$AJ$6,0),MATCH(IF('Map 2 Do Touch'!AC8&gt;4,"Water","Land"),'Map 3'!$AK$3:$AL$3,0)))</f>
        <v>Coast</v>
      </c>
      <c r="AE12" s="84" t="str">
        <f ca="1">IF('Map 2 Do Touch'!AE8&gt;4,INDEX($AG$4:$AH$6,MATCH(INDEX($I$3:$L$6,MATCH(MOD('Map 2 Do Touch'!AD8,4),$H$3:$H$6,0),MATCH(MOD('Map 2 Do Touch'!AE8,4),$I$2:$L$2,0)),$AF$4:$AF$6,0),MATCH(IF('Map 2 Do Touch'!AD8&gt;4,"Water","Land"),'Map 3'!$AG$3:$AH$3,0)),INDEX($AK$4:$AL$6,MATCH(INDEX($I$3:$L$6,MATCH(MOD('Map 2 Do Touch'!AD8,4),$H$3:$H$6,0),MATCH(MOD('Map 2 Do Touch'!AE8,4),$I$2:$L$2,0)),'Map 3'!$AJ$4:$AJ$6,0),MATCH(IF('Map 2 Do Touch'!AD8&gt;4,"Water","Land"),'Map 3'!$AK$3:$AL$3,0)))</f>
        <v>Coast</v>
      </c>
      <c r="AF12" s="84" t="str">
        <f ca="1">IF('Map 2 Do Touch'!AF8&gt;4,INDEX($AG$4:$AH$6,MATCH(INDEX($I$3:$L$6,MATCH(MOD('Map 2 Do Touch'!AE8,4),$H$3:$H$6,0),MATCH(MOD('Map 2 Do Touch'!AF8,4),$I$2:$L$2,0)),$AF$4:$AF$6,0),MATCH(IF('Map 2 Do Touch'!AE8&gt;4,"Water","Land"),'Map 3'!$AG$3:$AH$3,0)),INDEX($AK$4:$AL$6,MATCH(INDEX($I$3:$L$6,MATCH(MOD('Map 2 Do Touch'!AE8,4),$H$3:$H$6,0),MATCH(MOD('Map 2 Do Touch'!AF8,4),$I$2:$L$2,0)),'Map 3'!$AJ$4:$AJ$6,0),MATCH(IF('Map 2 Do Touch'!AE8&gt;4,"Water","Land"),'Map 3'!$AK$3:$AL$3,0)))</f>
        <v>Mountain</v>
      </c>
      <c r="AG12" s="84" t="str">
        <f ca="1">IF('Map 2 Do Touch'!AG8&gt;4,INDEX($AG$4:$AH$6,MATCH(INDEX($I$3:$L$6,MATCH(MOD('Map 2 Do Touch'!AF8,4),$H$3:$H$6,0),MATCH(MOD('Map 2 Do Touch'!AG8,4),$I$2:$L$2,0)),$AF$4:$AF$6,0),MATCH(IF('Map 2 Do Touch'!AF8&gt;4,"Water","Land"),'Map 3'!$AG$3:$AH$3,0)),INDEX($AK$4:$AL$6,MATCH(INDEX($I$3:$L$6,MATCH(MOD('Map 2 Do Touch'!AF8,4),$H$3:$H$6,0),MATCH(MOD('Map 2 Do Touch'!AG8,4),$I$2:$L$2,0)),'Map 3'!$AJ$4:$AJ$6,0),MATCH(IF('Map 2 Do Touch'!AF8&gt;4,"Water","Land"),'Map 3'!$AK$3:$AL$3,0)))</f>
        <v>Flatland</v>
      </c>
      <c r="AH12" s="84" t="str">
        <f ca="1">IF('Map 2 Do Touch'!AH8&gt;4,INDEX($AG$4:$AH$6,MATCH(INDEX($I$3:$L$6,MATCH(MOD('Map 2 Do Touch'!AG8,4),$H$3:$H$6,0),MATCH(MOD('Map 2 Do Touch'!AH8,4),$I$2:$L$2,0)),$AF$4:$AF$6,0),MATCH(IF('Map 2 Do Touch'!AG8&gt;4,"Water","Land"),'Map 3'!$AG$3:$AH$3,0)),INDEX($AK$4:$AL$6,MATCH(INDEX($I$3:$L$6,MATCH(MOD('Map 2 Do Touch'!AG8,4),$H$3:$H$6,0),MATCH(MOD('Map 2 Do Touch'!AH8,4),$I$2:$L$2,0)),'Map 3'!$AJ$4:$AJ$6,0),MATCH(IF('Map 2 Do Touch'!AG8&gt;4,"Water","Land"),'Map 3'!$AK$3:$AL$3,0)))</f>
        <v>Flatland</v>
      </c>
      <c r="AI12" s="84" t="str">
        <f ca="1">IF('Map 2 Do Touch'!AI8&gt;4,INDEX($AG$4:$AH$6,MATCH(INDEX($I$3:$L$6,MATCH(MOD('Map 2 Do Touch'!AH8,4),$H$3:$H$6,0),MATCH(MOD('Map 2 Do Touch'!AI8,4),$I$2:$L$2,0)),$AF$4:$AF$6,0),MATCH(IF('Map 2 Do Touch'!AH8&gt;4,"Water","Land"),'Map 3'!$AG$3:$AH$3,0)),INDEX($AK$4:$AL$6,MATCH(INDEX($I$3:$L$6,MATCH(MOD('Map 2 Do Touch'!AH8,4),$H$3:$H$6,0),MATCH(MOD('Map 2 Do Touch'!AI8,4),$I$2:$L$2,0)),'Map 3'!$AJ$4:$AJ$6,0),MATCH(IF('Map 2 Do Touch'!AH8&gt;4,"Water","Land"),'Map 3'!$AK$3:$AL$3,0)))</f>
        <v>Flatland</v>
      </c>
      <c r="AJ12" s="84" t="str">
        <f ca="1">IF('Map 2 Do Touch'!AJ8&gt;4,INDEX($AG$4:$AH$6,MATCH(INDEX($I$3:$L$6,MATCH(MOD('Map 2 Do Touch'!AI8,4),$H$3:$H$6,0),MATCH(MOD('Map 2 Do Touch'!AJ8,4),$I$2:$L$2,0)),$AF$4:$AF$6,0),MATCH(IF('Map 2 Do Touch'!AI8&gt;4,"Water","Land"),'Map 3'!$AG$3:$AH$3,0)),INDEX($AK$4:$AL$6,MATCH(INDEX($I$3:$L$6,MATCH(MOD('Map 2 Do Touch'!AI8,4),$H$3:$H$6,0),MATCH(MOD('Map 2 Do Touch'!AJ8,4),$I$2:$L$2,0)),'Map 3'!$AJ$4:$AJ$6,0),MATCH(IF('Map 2 Do Touch'!AI8&gt;4,"Water","Land"),'Map 3'!$AK$3:$AL$3,0)))</f>
        <v>Valley</v>
      </c>
      <c r="AK12" s="84" t="str">
        <f ca="1">IF('Map 2 Do Touch'!AK8&gt;4,INDEX($AG$4:$AH$6,MATCH(INDEX($I$3:$L$6,MATCH(MOD('Map 2 Do Touch'!AJ8,4),$H$3:$H$6,0),MATCH(MOD('Map 2 Do Touch'!AK8,4),$I$2:$L$2,0)),$AF$4:$AF$6,0),MATCH(IF('Map 2 Do Touch'!AJ8&gt;4,"Water","Land"),'Map 3'!$AG$3:$AH$3,0)),INDEX($AK$4:$AL$6,MATCH(INDEX($I$3:$L$6,MATCH(MOD('Map 2 Do Touch'!AJ8,4),$H$3:$H$6,0),MATCH(MOD('Map 2 Do Touch'!AK8,4),$I$2:$L$2,0)),'Map 3'!$AJ$4:$AJ$6,0),MATCH(IF('Map 2 Do Touch'!AJ8&gt;4,"Water","Land"),'Map 3'!$AK$3:$AL$3,0)))</f>
        <v>Mountain</v>
      </c>
      <c r="AL12" s="84" t="str">
        <f ca="1">IF('Map 2 Do Touch'!AL8&gt;4,INDEX($AG$4:$AH$6,MATCH(INDEX($I$3:$L$6,MATCH(MOD('Map 2 Do Touch'!AK8,4),$H$3:$H$6,0),MATCH(MOD('Map 2 Do Touch'!AL8,4),$I$2:$L$2,0)),$AF$4:$AF$6,0),MATCH(IF('Map 2 Do Touch'!AK8&gt;4,"Water","Land"),'Map 3'!$AG$3:$AH$3,0)),INDEX($AK$4:$AL$6,MATCH(INDEX($I$3:$L$6,MATCH(MOD('Map 2 Do Touch'!AK8,4),$H$3:$H$6,0),MATCH(MOD('Map 2 Do Touch'!AL8,4),$I$2:$L$2,0)),'Map 3'!$AJ$4:$AJ$6,0),MATCH(IF('Map 2 Do Touch'!AK8&gt;4,"Water","Land"),'Map 3'!$AK$3:$AL$3,0)))</f>
        <v>Drop Off</v>
      </c>
      <c r="AM12" s="84" t="str">
        <f ca="1">IF('Map 2 Do Touch'!AM8&gt;4,INDEX($AG$4:$AH$6,MATCH(INDEX($I$3:$L$6,MATCH(MOD('Map 2 Do Touch'!AL8,4),$H$3:$H$6,0),MATCH(MOD('Map 2 Do Touch'!AM8,4),$I$2:$L$2,0)),$AF$4:$AF$6,0),MATCH(IF('Map 2 Do Touch'!AL8&gt;4,"Water","Land"),'Map 3'!$AG$3:$AH$3,0)),INDEX($AK$4:$AL$6,MATCH(INDEX($I$3:$L$6,MATCH(MOD('Map 2 Do Touch'!AL8,4),$H$3:$H$6,0),MATCH(MOD('Map 2 Do Touch'!AM8,4),$I$2:$L$2,0)),'Map 3'!$AJ$4:$AJ$6,0),MATCH(IF('Map 2 Do Touch'!AL8&gt;4,"Water","Land"),'Map 3'!$AK$3:$AL$3,0)))</f>
        <v>Ocean</v>
      </c>
      <c r="AN12" s="84" t="str">
        <f ca="1">IF('Map 2 Do Touch'!AN8&gt;4,INDEX($AG$4:$AH$6,MATCH(INDEX($I$3:$L$6,MATCH(MOD('Map 2 Do Touch'!AM8,4),$H$3:$H$6,0),MATCH(MOD('Map 2 Do Touch'!AN8,4),$I$2:$L$2,0)),$AF$4:$AF$6,0),MATCH(IF('Map 2 Do Touch'!AM8&gt;4,"Water","Land"),'Map 3'!$AG$3:$AH$3,0)),INDEX($AK$4:$AL$6,MATCH(INDEX($I$3:$L$6,MATCH(MOD('Map 2 Do Touch'!AM8,4),$H$3:$H$6,0),MATCH(MOD('Map 2 Do Touch'!AN8,4),$I$2:$L$2,0)),'Map 3'!$AJ$4:$AJ$6,0),MATCH(IF('Map 2 Do Touch'!AM8&gt;4,"Water","Land"),'Map 3'!$AK$3:$AL$3,0)))</f>
        <v>Ocean</v>
      </c>
      <c r="AO12" s="85" t="str">
        <f ca="1">IF('Map 2 Do Touch'!AO8&gt;4,INDEX($AG$4:$AH$6,MATCH(INDEX($I$3:$L$6,MATCH(MOD('Map 2 Do Touch'!AN8,4),$H$3:$H$6,0),MATCH(MOD('Map 2 Do Touch'!AO8,4),$I$2:$L$2,0)),$AF$4:$AF$6,0),MATCH(IF('Map 2 Do Touch'!AN8&gt;4,"Water","Land"),'Map 3'!$AG$3:$AH$3,0)),INDEX($AK$4:$AL$6,MATCH(INDEX($I$3:$L$6,MATCH(MOD('Map 2 Do Touch'!AN8,4),$H$3:$H$6,0),MATCH(MOD('Map 2 Do Touch'!AO8,4),$I$2:$L$2,0)),'Map 3'!$AJ$4:$AJ$6,0),MATCH(IF('Map 2 Do Touch'!AN8&gt;4,"Water","Land"),'Map 3'!$AK$3:$AL$3,0)))</f>
        <v>Coast</v>
      </c>
      <c r="AP12" s="3"/>
    </row>
    <row r="13" spans="1:45" ht="37.5" customHeight="1">
      <c r="A13" s="3">
        <v>2</v>
      </c>
      <c r="B13" s="86" t="str">
        <f ca="1">IF('Map 2 Do Touch'!B8&lt;&gt;'Map 2 Do Touch'!B9,IF('Map 2 Do Touch'!B9&gt;4,INDEX($AG$4:$AH$6,MATCH(INDEX($I$3:$L$6,MATCH(MOD('Map 2 Do Touch'!AO9,4),$H$3:$H$6,0),MATCH(MOD('Map 2 Do Touch'!B9,4),$I$2:$L$2,0)),$AF$4:$AF$6,0),MATCH(IF('Map 2 Do Touch'!AO9&gt;4,"Water","Land"),'Map 3'!$AG$3:$AH$3,0)),INDEX($AK$4:$AL$6,MATCH(INDEX($I$3:$L$6,MATCH(MOD('Map 2 Do Touch'!A9,4),$H$3:$H$6,0),MATCH(MOD('Map 2 Do Touch'!B9,4),$I$2:$L$2,0)),'Map 3'!$AJ$4:$AJ$6,0),MATCH(IF('Map 2 Do Touch'!AO9&gt;4,"Water","Land"),'Map 3'!$AK$3:$AL$3,0))),IF('Map 2 Do Touch'!B9&gt;4,INDEX($AG$4:$AH$6,MATCH(INDEX($P$3:$S$6,MATCH(MOD('Map 2 Do Touch'!B8,4),$O$3:$O$6,0),MATCH(MOD('Map 2 Do Touch'!B9,4),$P$2:$S$2,0)),$AF$4:$AF$6,0),MATCH(IF('Map 2 Do Touch'!B8&gt;4,"Water","Land"),'Map 3'!$AG$3:$AH$3,0)),INDEX($AK$4:$AL$6,MATCH(INDEX($P$3:$S$6,MATCH(MOD('Map 2 Do Touch'!B8,4),$O$3:$O$6,0),MATCH(MOD('Map 2 Do Touch'!B9,4),$P$2:$S$2,0)),'Map 3'!$AJ$4:$AJ$6,0),MATCH(IF('Map 2 Do Touch'!B8&gt;4,"Water","Land"),'Map 3'!$AK$3:$AL$3,0))))</f>
        <v>Flatland</v>
      </c>
      <c r="C13" s="3" t="str">
        <f ca="1">IF('Map 2 Do Touch'!B8&lt;&gt;'Map 2 Do Touch'!B9,IF('Map 2 Do Touch'!C9&gt;4,INDEX($AG$4:$AH$6,MATCH(INDEX($I$3:$L$6,MATCH(MOD('Map 2 Do Touch'!B9,4),$H$3:$H$6,0),MATCH(MOD('Map 2 Do Touch'!C9,4),$I$2:$L$2,0)),$AF$4:$AF$6,0),MATCH(IF('Map 2 Do Touch'!B9&gt;4,"Water","Land"),'Map 3'!$AG$3:$AH$3,0)),INDEX($AK$4:$AL$6,MATCH(INDEX($I$3:$L$6,MATCH(MOD('Map 2 Do Touch'!B9,4),$H$3:$H$6,0),MATCH(MOD('Map 2 Do Touch'!C9,4),$I$2:$L$2,0)),'Map 3'!$AJ$4:$AJ$6,0),MATCH(IF('Map 2 Do Touch'!B9&gt;4,"Water","Land"),'Map 3'!$AK$3:$AL$3,0))),IF('Map 2 Do Touch'!C9&gt;4,INDEX($AG$4:$AH$6,MATCH(INDEX($P$3:$S$6,MATCH(MOD('Map 2 Do Touch'!C8,4),$O$3:$O$6,0),MATCH(MOD('Map 2 Do Touch'!C9,4),$P$2:$S$2,0)),$AF$4:$AF$6,0),MATCH(IF('Map 2 Do Touch'!C8&gt;4,"Water","Land"),'Map 3'!$AG$3:$AH$3,0)),INDEX($AK$4:$AL$6,MATCH(INDEX($P$3:$S$6,MATCH(MOD('Map 2 Do Touch'!C8,4),$O$3:$O$6,0),MATCH(MOD('Map 2 Do Touch'!C9,4),$P$2:$S$2,0)),'Map 3'!$AJ$4:$AJ$6,0),MATCH(IF('Map 2 Do Touch'!C8&gt;4,"Water","Land"),'Map 3'!$AK$3:$AL$3,0))))</f>
        <v>Flatland</v>
      </c>
      <c r="D13" s="3" t="str">
        <f ca="1">IF('Map 2 Do Touch'!C8&lt;&gt;'Map 2 Do Touch'!C9,IF('Map 2 Do Touch'!D9&gt;4,INDEX($AG$4:$AH$6,MATCH(INDEX($I$3:$L$6,MATCH(MOD('Map 2 Do Touch'!C9,4),$H$3:$H$6,0),MATCH(MOD('Map 2 Do Touch'!D9,4),$I$2:$L$2,0)),$AF$4:$AF$6,0),MATCH(IF('Map 2 Do Touch'!C9&gt;4,"Water","Land"),'Map 3'!$AG$3:$AH$3,0)),INDEX($AK$4:$AL$6,MATCH(INDEX($I$3:$L$6,MATCH(MOD('Map 2 Do Touch'!C9,4),$H$3:$H$6,0),MATCH(MOD('Map 2 Do Touch'!D9,4),$I$2:$L$2,0)),'Map 3'!$AJ$4:$AJ$6,0),MATCH(IF('Map 2 Do Touch'!C9&gt;4,"Water","Land"),'Map 3'!$AK$3:$AL$3,0))),IF('Map 2 Do Touch'!D9&gt;4,INDEX($AG$4:$AH$6,MATCH(INDEX($P$3:$S$6,MATCH(MOD('Map 2 Do Touch'!D8,4),$O$3:$O$6,0),MATCH(MOD('Map 2 Do Touch'!D9,4),$P$2:$S$2,0)),$AF$4:$AF$6,0),MATCH(IF('Map 2 Do Touch'!D8&gt;4,"Water","Land"),'Map 3'!$AG$3:$AH$3,0)),INDEX($AK$4:$AL$6,MATCH(INDEX($P$3:$S$6,MATCH(MOD('Map 2 Do Touch'!D8,4),$O$3:$O$6,0),MATCH(MOD('Map 2 Do Touch'!D9,4),$P$2:$S$2,0)),'Map 3'!$AJ$4:$AJ$6,0),MATCH(IF('Map 2 Do Touch'!D8&gt;4,"Water","Land"),'Map 3'!$AK$3:$AL$3,0))))</f>
        <v>Flatland</v>
      </c>
      <c r="E13" s="3" t="str">
        <f ca="1">IF('Map 2 Do Touch'!D8&lt;&gt;'Map 2 Do Touch'!D9,IF('Map 2 Do Touch'!E9&gt;4,INDEX($AG$4:$AH$6,MATCH(INDEX($I$3:$L$6,MATCH(MOD('Map 2 Do Touch'!D9,4),$H$3:$H$6,0),MATCH(MOD('Map 2 Do Touch'!E9,4),$I$2:$L$2,0)),$AF$4:$AF$6,0),MATCH(IF('Map 2 Do Touch'!D9&gt;4,"Water","Land"),'Map 3'!$AG$3:$AH$3,0)),INDEX($AK$4:$AL$6,MATCH(INDEX($I$3:$L$6,MATCH(MOD('Map 2 Do Touch'!D9,4),$H$3:$H$6,0),MATCH(MOD('Map 2 Do Touch'!E9,4),$I$2:$L$2,0)),'Map 3'!$AJ$4:$AJ$6,0),MATCH(IF('Map 2 Do Touch'!D9&gt;4,"Water","Land"),'Map 3'!$AK$3:$AL$3,0))),IF('Map 2 Do Touch'!E9&gt;4,INDEX($AG$4:$AH$6,MATCH(INDEX($P$3:$S$6,MATCH(MOD('Map 2 Do Touch'!E8,4),$O$3:$O$6,0),MATCH(MOD('Map 2 Do Touch'!E9,4),$P$2:$S$2,0)),$AF$4:$AF$6,0),MATCH(IF('Map 2 Do Touch'!E8&gt;4,"Water","Land"),'Map 3'!$AG$3:$AH$3,0)),INDEX($AK$4:$AL$6,MATCH(INDEX($P$3:$S$6,MATCH(MOD('Map 2 Do Touch'!E8,4),$O$3:$O$6,0),MATCH(MOD('Map 2 Do Touch'!E9,4),$P$2:$S$2,0)),'Map 3'!$AJ$4:$AJ$6,0),MATCH(IF('Map 2 Do Touch'!E8&gt;4,"Water","Land"),'Map 3'!$AK$3:$AL$3,0))))</f>
        <v>Flatland</v>
      </c>
      <c r="F13" s="3" t="str">
        <f ca="1">IF('Map 2 Do Touch'!E8&lt;&gt;'Map 2 Do Touch'!E9,IF('Map 2 Do Touch'!F9&gt;4,INDEX($AG$4:$AH$6,MATCH(INDEX($I$3:$L$6,MATCH(MOD('Map 2 Do Touch'!E9,4),$H$3:$H$6,0),MATCH(MOD('Map 2 Do Touch'!F9,4),$I$2:$L$2,0)),$AF$4:$AF$6,0),MATCH(IF('Map 2 Do Touch'!E9&gt;4,"Water","Land"),'Map 3'!$AG$3:$AH$3,0)),INDEX($AK$4:$AL$6,MATCH(INDEX($I$3:$L$6,MATCH(MOD('Map 2 Do Touch'!E9,4),$H$3:$H$6,0),MATCH(MOD('Map 2 Do Touch'!F9,4),$I$2:$L$2,0)),'Map 3'!$AJ$4:$AJ$6,0),MATCH(IF('Map 2 Do Touch'!E9&gt;4,"Water","Land"),'Map 3'!$AK$3:$AL$3,0))),IF('Map 2 Do Touch'!F9&gt;4,INDEX($AG$4:$AH$6,MATCH(INDEX($P$3:$S$6,MATCH(MOD('Map 2 Do Touch'!F8,4),$O$3:$O$6,0),MATCH(MOD('Map 2 Do Touch'!F9,4),$P$2:$S$2,0)),$AF$4:$AF$6,0),MATCH(IF('Map 2 Do Touch'!F8&gt;4,"Water","Land"),'Map 3'!$AG$3:$AH$3,0)),INDEX($AK$4:$AL$6,MATCH(INDEX($P$3:$S$6,MATCH(MOD('Map 2 Do Touch'!F8,4),$O$3:$O$6,0),MATCH(MOD('Map 2 Do Touch'!F9,4),$P$2:$S$2,0)),'Map 3'!$AJ$4:$AJ$6,0),MATCH(IF('Map 2 Do Touch'!F8&gt;4,"Water","Land"),'Map 3'!$AK$3:$AL$3,0))))</f>
        <v>Coast</v>
      </c>
      <c r="G13" s="3" t="str">
        <f ca="1">IF('Map 2 Do Touch'!F8&lt;&gt;'Map 2 Do Touch'!F9,IF('Map 2 Do Touch'!G9&gt;4,INDEX($AG$4:$AH$6,MATCH(INDEX($I$3:$L$6,MATCH(MOD('Map 2 Do Touch'!F9,4),$H$3:$H$6,0),MATCH(MOD('Map 2 Do Touch'!G9,4),$I$2:$L$2,0)),$AF$4:$AF$6,0),MATCH(IF('Map 2 Do Touch'!F9&gt;4,"Water","Land"),'Map 3'!$AG$3:$AH$3,0)),INDEX($AK$4:$AL$6,MATCH(INDEX($I$3:$L$6,MATCH(MOD('Map 2 Do Touch'!F9,4),$H$3:$H$6,0),MATCH(MOD('Map 2 Do Touch'!G9,4),$I$2:$L$2,0)),'Map 3'!$AJ$4:$AJ$6,0),MATCH(IF('Map 2 Do Touch'!F9&gt;4,"Water","Land"),'Map 3'!$AK$3:$AL$3,0))),IF('Map 2 Do Touch'!G9&gt;4,INDEX($AG$4:$AH$6,MATCH(INDEX($P$3:$S$6,MATCH(MOD('Map 2 Do Touch'!G8,4),$O$3:$O$6,0),MATCH(MOD('Map 2 Do Touch'!G9,4),$P$2:$S$2,0)),$AF$4:$AF$6,0),MATCH(IF('Map 2 Do Touch'!G8&gt;4,"Water","Land"),'Map 3'!$AG$3:$AH$3,0)),INDEX($AK$4:$AL$6,MATCH(INDEX($P$3:$S$6,MATCH(MOD('Map 2 Do Touch'!G8,4),$O$3:$O$6,0),MATCH(MOD('Map 2 Do Touch'!G9,4),$P$2:$S$2,0)),'Map 3'!$AJ$4:$AJ$6,0),MATCH(IF('Map 2 Do Touch'!G8&gt;4,"Water","Land"),'Map 3'!$AK$3:$AL$3,0))))</f>
        <v>Cliff</v>
      </c>
      <c r="H13" s="3" t="str">
        <f ca="1">IF('Map 2 Do Touch'!G8&lt;&gt;'Map 2 Do Touch'!G9,IF('Map 2 Do Touch'!H9&gt;4,INDEX($AG$4:$AH$6,MATCH(INDEX($I$3:$L$6,MATCH(MOD('Map 2 Do Touch'!G9,4),$H$3:$H$6,0),MATCH(MOD('Map 2 Do Touch'!H9,4),$I$2:$L$2,0)),$AF$4:$AF$6,0),MATCH(IF('Map 2 Do Touch'!G9&gt;4,"Water","Land"),'Map 3'!$AG$3:$AH$3,0)),INDEX($AK$4:$AL$6,MATCH(INDEX($I$3:$L$6,MATCH(MOD('Map 2 Do Touch'!G9,4),$H$3:$H$6,0),MATCH(MOD('Map 2 Do Touch'!H9,4),$I$2:$L$2,0)),'Map 3'!$AJ$4:$AJ$6,0),MATCH(IF('Map 2 Do Touch'!G9&gt;4,"Water","Land"),'Map 3'!$AK$3:$AL$3,0))),IF('Map 2 Do Touch'!H9&gt;4,INDEX($AG$4:$AH$6,MATCH(INDEX($P$3:$S$6,MATCH(MOD('Map 2 Do Touch'!H8,4),$O$3:$O$6,0),MATCH(MOD('Map 2 Do Touch'!H9,4),$P$2:$S$2,0)),$AF$4:$AF$6,0),MATCH(IF('Map 2 Do Touch'!H8&gt;4,"Water","Land"),'Map 3'!$AG$3:$AH$3,0)),INDEX($AK$4:$AL$6,MATCH(INDEX($P$3:$S$6,MATCH(MOD('Map 2 Do Touch'!H8,4),$O$3:$O$6,0),MATCH(MOD('Map 2 Do Touch'!H9,4),$P$2:$S$2,0)),'Map 3'!$AJ$4:$AJ$6,0),MATCH(IF('Map 2 Do Touch'!H8&gt;4,"Water","Land"),'Map 3'!$AK$3:$AL$3,0))))</f>
        <v>Ocean</v>
      </c>
      <c r="I13" s="3" t="str">
        <f ca="1">IF('Map 2 Do Touch'!H8&lt;&gt;'Map 2 Do Touch'!H9,IF('Map 2 Do Touch'!I9&gt;4,INDEX($AG$4:$AH$6,MATCH(INDEX($I$3:$L$6,MATCH(MOD('Map 2 Do Touch'!H9,4),$H$3:$H$6,0),MATCH(MOD('Map 2 Do Touch'!I9,4),$I$2:$L$2,0)),$AF$4:$AF$6,0),MATCH(IF('Map 2 Do Touch'!H9&gt;4,"Water","Land"),'Map 3'!$AG$3:$AH$3,0)),INDEX($AK$4:$AL$6,MATCH(INDEX($I$3:$L$6,MATCH(MOD('Map 2 Do Touch'!H9,4),$H$3:$H$6,0),MATCH(MOD('Map 2 Do Touch'!I9,4),$I$2:$L$2,0)),'Map 3'!$AJ$4:$AJ$6,0),MATCH(IF('Map 2 Do Touch'!H9&gt;4,"Water","Land"),'Map 3'!$AK$3:$AL$3,0))),IF('Map 2 Do Touch'!I9&gt;4,INDEX($AG$4:$AH$6,MATCH(INDEX($P$3:$S$6,MATCH(MOD('Map 2 Do Touch'!I8,4),$O$3:$O$6,0),MATCH(MOD('Map 2 Do Touch'!I9,4),$P$2:$S$2,0)),$AF$4:$AF$6,0),MATCH(IF('Map 2 Do Touch'!I8&gt;4,"Water","Land"),'Map 3'!$AG$3:$AH$3,0)),INDEX($AK$4:$AL$6,MATCH(INDEX($P$3:$S$6,MATCH(MOD('Map 2 Do Touch'!I8,4),$O$3:$O$6,0),MATCH(MOD('Map 2 Do Touch'!I9,4),$P$2:$S$2,0)),'Map 3'!$AJ$4:$AJ$6,0),MATCH(IF('Map 2 Do Touch'!I8&gt;4,"Water","Land"),'Map 3'!$AK$3:$AL$3,0))))</f>
        <v>Ocean</v>
      </c>
      <c r="J13" s="3" t="str">
        <f ca="1">IF('Map 2 Do Touch'!I8&lt;&gt;'Map 2 Do Touch'!I9,IF('Map 2 Do Touch'!J9&gt;4,INDEX($AG$4:$AH$6,MATCH(INDEX($I$3:$L$6,MATCH(MOD('Map 2 Do Touch'!I9,4),$H$3:$H$6,0),MATCH(MOD('Map 2 Do Touch'!J9,4),$I$2:$L$2,0)),$AF$4:$AF$6,0),MATCH(IF('Map 2 Do Touch'!I9&gt;4,"Water","Land"),'Map 3'!$AG$3:$AH$3,0)),INDEX($AK$4:$AL$6,MATCH(INDEX($I$3:$L$6,MATCH(MOD('Map 2 Do Touch'!I9,4),$H$3:$H$6,0),MATCH(MOD('Map 2 Do Touch'!J9,4),$I$2:$L$2,0)),'Map 3'!$AJ$4:$AJ$6,0),MATCH(IF('Map 2 Do Touch'!I9&gt;4,"Water","Land"),'Map 3'!$AK$3:$AL$3,0))),IF('Map 2 Do Touch'!J9&gt;4,INDEX($AG$4:$AH$6,MATCH(INDEX($P$3:$S$6,MATCH(MOD('Map 2 Do Touch'!J8,4),$O$3:$O$6,0),MATCH(MOD('Map 2 Do Touch'!J9,4),$P$2:$S$2,0)),$AF$4:$AF$6,0),MATCH(IF('Map 2 Do Touch'!J8&gt;4,"Water","Land"),'Map 3'!$AG$3:$AH$3,0)),INDEX($AK$4:$AL$6,MATCH(INDEX($P$3:$S$6,MATCH(MOD('Map 2 Do Touch'!J8,4),$O$3:$O$6,0),MATCH(MOD('Map 2 Do Touch'!J9,4),$P$2:$S$2,0)),'Map 3'!$AJ$4:$AJ$6,0),MATCH(IF('Map 2 Do Touch'!J8&gt;4,"Water","Land"),'Map 3'!$AK$3:$AL$3,0))))</f>
        <v>Ocean</v>
      </c>
      <c r="K13" s="3" t="str">
        <f ca="1">IF('Map 2 Do Touch'!J8&lt;&gt;'Map 2 Do Touch'!J9,IF('Map 2 Do Touch'!K9&gt;4,INDEX($AG$4:$AH$6,MATCH(INDEX($I$3:$L$6,MATCH(MOD('Map 2 Do Touch'!J9,4),$H$3:$H$6,0),MATCH(MOD('Map 2 Do Touch'!K9,4),$I$2:$L$2,0)),$AF$4:$AF$6,0),MATCH(IF('Map 2 Do Touch'!J9&gt;4,"Water","Land"),'Map 3'!$AG$3:$AH$3,0)),INDEX($AK$4:$AL$6,MATCH(INDEX($I$3:$L$6,MATCH(MOD('Map 2 Do Touch'!J9,4),$H$3:$H$6,0),MATCH(MOD('Map 2 Do Touch'!K9,4),$I$2:$L$2,0)),'Map 3'!$AJ$4:$AJ$6,0),MATCH(IF('Map 2 Do Touch'!J9&gt;4,"Water","Land"),'Map 3'!$AK$3:$AL$3,0))),IF('Map 2 Do Touch'!K9&gt;4,INDEX($AG$4:$AH$6,MATCH(INDEX($P$3:$S$6,MATCH(MOD('Map 2 Do Touch'!K8,4),$O$3:$O$6,0),MATCH(MOD('Map 2 Do Touch'!K9,4),$P$2:$S$2,0)),$AF$4:$AF$6,0),MATCH(IF('Map 2 Do Touch'!K8&gt;4,"Water","Land"),'Map 3'!$AG$3:$AH$3,0)),INDEX($AK$4:$AL$6,MATCH(INDEX($P$3:$S$6,MATCH(MOD('Map 2 Do Touch'!K8,4),$O$3:$O$6,0),MATCH(MOD('Map 2 Do Touch'!K9,4),$P$2:$S$2,0)),'Map 3'!$AJ$4:$AJ$6,0),MATCH(IF('Map 2 Do Touch'!K8&gt;4,"Water","Land"),'Map 3'!$AK$3:$AL$3,0))))</f>
        <v>Ocean</v>
      </c>
      <c r="L13" s="3" t="str">
        <f ca="1">IF('Map 2 Do Touch'!K8&lt;&gt;'Map 2 Do Touch'!K9,IF('Map 2 Do Touch'!L9&gt;4,INDEX($AG$4:$AH$6,MATCH(INDEX($I$3:$L$6,MATCH(MOD('Map 2 Do Touch'!K9,4),$H$3:$H$6,0),MATCH(MOD('Map 2 Do Touch'!L9,4),$I$2:$L$2,0)),$AF$4:$AF$6,0),MATCH(IF('Map 2 Do Touch'!K9&gt;4,"Water","Land"),'Map 3'!$AG$3:$AH$3,0)),INDEX($AK$4:$AL$6,MATCH(INDEX($I$3:$L$6,MATCH(MOD('Map 2 Do Touch'!K9,4),$H$3:$H$6,0),MATCH(MOD('Map 2 Do Touch'!L9,4),$I$2:$L$2,0)),'Map 3'!$AJ$4:$AJ$6,0),MATCH(IF('Map 2 Do Touch'!K9&gt;4,"Water","Land"),'Map 3'!$AK$3:$AL$3,0))),IF('Map 2 Do Touch'!L9&gt;4,INDEX($AG$4:$AH$6,MATCH(INDEX($P$3:$S$6,MATCH(MOD('Map 2 Do Touch'!L8,4),$O$3:$O$6,0),MATCH(MOD('Map 2 Do Touch'!L9,4),$P$2:$S$2,0)),$AF$4:$AF$6,0),MATCH(IF('Map 2 Do Touch'!L8&gt;4,"Water","Land"),'Map 3'!$AG$3:$AH$3,0)),INDEX($AK$4:$AL$6,MATCH(INDEX($P$3:$S$6,MATCH(MOD('Map 2 Do Touch'!L8,4),$O$3:$O$6,0),MATCH(MOD('Map 2 Do Touch'!L9,4),$P$2:$S$2,0)),'Map 3'!$AJ$4:$AJ$6,0),MATCH(IF('Map 2 Do Touch'!L8&gt;4,"Water","Land"),'Map 3'!$AK$3:$AL$3,0))))</f>
        <v>Island</v>
      </c>
      <c r="M13" s="3" t="str">
        <f ca="1">IF('Map 2 Do Touch'!L8&lt;&gt;'Map 2 Do Touch'!L9,IF('Map 2 Do Touch'!M9&gt;4,INDEX($AG$4:$AH$6,MATCH(INDEX($I$3:$L$6,MATCH(MOD('Map 2 Do Touch'!L9,4),$H$3:$H$6,0),MATCH(MOD('Map 2 Do Touch'!M9,4),$I$2:$L$2,0)),$AF$4:$AF$6,0),MATCH(IF('Map 2 Do Touch'!L9&gt;4,"Water","Land"),'Map 3'!$AG$3:$AH$3,0)),INDEX($AK$4:$AL$6,MATCH(INDEX($I$3:$L$6,MATCH(MOD('Map 2 Do Touch'!L9,4),$H$3:$H$6,0),MATCH(MOD('Map 2 Do Touch'!M9,4),$I$2:$L$2,0)),'Map 3'!$AJ$4:$AJ$6,0),MATCH(IF('Map 2 Do Touch'!L9&gt;4,"Water","Land"),'Map 3'!$AK$3:$AL$3,0))),IF('Map 2 Do Touch'!M9&gt;4,INDEX($AG$4:$AH$6,MATCH(INDEX($P$3:$S$6,MATCH(MOD('Map 2 Do Touch'!M8,4),$O$3:$O$6,0),MATCH(MOD('Map 2 Do Touch'!M9,4),$P$2:$S$2,0)),$AF$4:$AF$6,0),MATCH(IF('Map 2 Do Touch'!M8&gt;4,"Water","Land"),'Map 3'!$AG$3:$AH$3,0)),INDEX($AK$4:$AL$6,MATCH(INDEX($P$3:$S$6,MATCH(MOD('Map 2 Do Touch'!M8,4),$O$3:$O$6,0),MATCH(MOD('Map 2 Do Touch'!M9,4),$P$2:$S$2,0)),'Map 3'!$AJ$4:$AJ$6,0),MATCH(IF('Map 2 Do Touch'!M8&gt;4,"Water","Land"),'Map 3'!$AK$3:$AL$3,0))))</f>
        <v>Island</v>
      </c>
      <c r="N13" s="3" t="str">
        <f ca="1">IF('Map 2 Do Touch'!M8&lt;&gt;'Map 2 Do Touch'!M9,IF('Map 2 Do Touch'!N9&gt;4,INDEX($AG$4:$AH$6,MATCH(INDEX($I$3:$L$6,MATCH(MOD('Map 2 Do Touch'!M9,4),$H$3:$H$6,0),MATCH(MOD('Map 2 Do Touch'!N9,4),$I$2:$L$2,0)),$AF$4:$AF$6,0),MATCH(IF('Map 2 Do Touch'!M9&gt;4,"Water","Land"),'Map 3'!$AG$3:$AH$3,0)),INDEX($AK$4:$AL$6,MATCH(INDEX($I$3:$L$6,MATCH(MOD('Map 2 Do Touch'!M9,4),$H$3:$H$6,0),MATCH(MOD('Map 2 Do Touch'!N9,4),$I$2:$L$2,0)),'Map 3'!$AJ$4:$AJ$6,0),MATCH(IF('Map 2 Do Touch'!M9&gt;4,"Water","Land"),'Map 3'!$AK$3:$AL$3,0))),IF('Map 2 Do Touch'!N9&gt;4,INDEX($AG$4:$AH$6,MATCH(INDEX($P$3:$S$6,MATCH(MOD('Map 2 Do Touch'!N8,4),$O$3:$O$6,0),MATCH(MOD('Map 2 Do Touch'!N9,4),$P$2:$S$2,0)),$AF$4:$AF$6,0),MATCH(IF('Map 2 Do Touch'!N8&gt;4,"Water","Land"),'Map 3'!$AG$3:$AH$3,0)),INDEX($AK$4:$AL$6,MATCH(INDEX($P$3:$S$6,MATCH(MOD('Map 2 Do Touch'!N8,4),$O$3:$O$6,0),MATCH(MOD('Map 2 Do Touch'!N9,4),$P$2:$S$2,0)),'Map 3'!$AJ$4:$AJ$6,0),MATCH(IF('Map 2 Do Touch'!N8&gt;4,"Water","Land"),'Map 3'!$AK$3:$AL$3,0))))</f>
        <v>Ocean</v>
      </c>
      <c r="O13" s="3" t="str">
        <f ca="1">IF('Map 2 Do Touch'!N8&lt;&gt;'Map 2 Do Touch'!N9,IF('Map 2 Do Touch'!O9&gt;4,INDEX($AG$4:$AH$6,MATCH(INDEX($I$3:$L$6,MATCH(MOD('Map 2 Do Touch'!N9,4),$H$3:$H$6,0),MATCH(MOD('Map 2 Do Touch'!O9,4),$I$2:$L$2,0)),$AF$4:$AF$6,0),MATCH(IF('Map 2 Do Touch'!N9&gt;4,"Water","Land"),'Map 3'!$AG$3:$AH$3,0)),INDEX($AK$4:$AL$6,MATCH(INDEX($I$3:$L$6,MATCH(MOD('Map 2 Do Touch'!N9,4),$H$3:$H$6,0),MATCH(MOD('Map 2 Do Touch'!O9,4),$I$2:$L$2,0)),'Map 3'!$AJ$4:$AJ$6,0),MATCH(IF('Map 2 Do Touch'!N9&gt;4,"Water","Land"),'Map 3'!$AK$3:$AL$3,0))),IF('Map 2 Do Touch'!O9&gt;4,INDEX($AG$4:$AH$6,MATCH(INDEX($P$3:$S$6,MATCH(MOD('Map 2 Do Touch'!O8,4),$O$3:$O$6,0),MATCH(MOD('Map 2 Do Touch'!O9,4),$P$2:$S$2,0)),$AF$4:$AF$6,0),MATCH(IF('Map 2 Do Touch'!O8&gt;4,"Water","Land"),'Map 3'!$AG$3:$AH$3,0)),INDEX($AK$4:$AL$6,MATCH(INDEX($P$3:$S$6,MATCH(MOD('Map 2 Do Touch'!O8,4),$O$3:$O$6,0),MATCH(MOD('Map 2 Do Touch'!O9,4),$P$2:$S$2,0)),'Map 3'!$AJ$4:$AJ$6,0),MATCH(IF('Map 2 Do Touch'!O8&gt;4,"Water","Land"),'Map 3'!$AK$3:$AL$3,0))))</f>
        <v>Ocean</v>
      </c>
      <c r="P13" s="3" t="str">
        <f ca="1">IF('Map 2 Do Touch'!O8&lt;&gt;'Map 2 Do Touch'!O9,IF('Map 2 Do Touch'!P9&gt;4,INDEX($AG$4:$AH$6,MATCH(INDEX($I$3:$L$6,MATCH(MOD('Map 2 Do Touch'!O9,4),$H$3:$H$6,0),MATCH(MOD('Map 2 Do Touch'!P9,4),$I$2:$L$2,0)),$AF$4:$AF$6,0),MATCH(IF('Map 2 Do Touch'!O9&gt;4,"Water","Land"),'Map 3'!$AG$3:$AH$3,0)),INDEX($AK$4:$AL$6,MATCH(INDEX($I$3:$L$6,MATCH(MOD('Map 2 Do Touch'!O9,4),$H$3:$H$6,0),MATCH(MOD('Map 2 Do Touch'!P9,4),$I$2:$L$2,0)),'Map 3'!$AJ$4:$AJ$6,0),MATCH(IF('Map 2 Do Touch'!O9&gt;4,"Water","Land"),'Map 3'!$AK$3:$AL$3,0))),IF('Map 2 Do Touch'!P9&gt;4,INDEX($AG$4:$AH$6,MATCH(INDEX($P$3:$S$6,MATCH(MOD('Map 2 Do Touch'!P8,4),$O$3:$O$6,0),MATCH(MOD('Map 2 Do Touch'!P9,4),$P$2:$S$2,0)),$AF$4:$AF$6,0),MATCH(IF('Map 2 Do Touch'!P8&gt;4,"Water","Land"),'Map 3'!$AG$3:$AH$3,0)),INDEX($AK$4:$AL$6,MATCH(INDEX($P$3:$S$6,MATCH(MOD('Map 2 Do Touch'!P8,4),$O$3:$O$6,0),MATCH(MOD('Map 2 Do Touch'!P9,4),$P$2:$S$2,0)),'Map 3'!$AJ$4:$AJ$6,0),MATCH(IF('Map 2 Do Touch'!P8&gt;4,"Water","Land"),'Map 3'!$AK$3:$AL$3,0))))</f>
        <v>Island</v>
      </c>
      <c r="Q13" s="3" t="str">
        <f ca="1">IF('Map 2 Do Touch'!P8&lt;&gt;'Map 2 Do Touch'!P9,IF('Map 2 Do Touch'!Q9&gt;4,INDEX($AG$4:$AH$6,MATCH(INDEX($I$3:$L$6,MATCH(MOD('Map 2 Do Touch'!P9,4),$H$3:$H$6,0),MATCH(MOD('Map 2 Do Touch'!Q9,4),$I$2:$L$2,0)),$AF$4:$AF$6,0),MATCH(IF('Map 2 Do Touch'!P9&gt;4,"Water","Land"),'Map 3'!$AG$3:$AH$3,0)),INDEX($AK$4:$AL$6,MATCH(INDEX($I$3:$L$6,MATCH(MOD('Map 2 Do Touch'!P9,4),$H$3:$H$6,0),MATCH(MOD('Map 2 Do Touch'!Q9,4),$I$2:$L$2,0)),'Map 3'!$AJ$4:$AJ$6,0),MATCH(IF('Map 2 Do Touch'!P9&gt;4,"Water","Land"),'Map 3'!$AK$3:$AL$3,0))),IF('Map 2 Do Touch'!Q9&gt;4,INDEX($AG$4:$AH$6,MATCH(INDEX($P$3:$S$6,MATCH(MOD('Map 2 Do Touch'!Q8,4),$O$3:$O$6,0),MATCH(MOD('Map 2 Do Touch'!Q9,4),$P$2:$S$2,0)),$AF$4:$AF$6,0),MATCH(IF('Map 2 Do Touch'!Q8&gt;4,"Water","Land"),'Map 3'!$AG$3:$AH$3,0)),INDEX($AK$4:$AL$6,MATCH(INDEX($P$3:$S$6,MATCH(MOD('Map 2 Do Touch'!Q8,4),$O$3:$O$6,0),MATCH(MOD('Map 2 Do Touch'!Q9,4),$P$2:$S$2,0)),'Map 3'!$AJ$4:$AJ$6,0),MATCH(IF('Map 2 Do Touch'!Q8&gt;4,"Water","Land"),'Map 3'!$AK$3:$AL$3,0))))</f>
        <v>Ocean</v>
      </c>
      <c r="R13" s="3" t="str">
        <f ca="1">IF('Map 2 Do Touch'!Q8&lt;&gt;'Map 2 Do Touch'!Q9,IF('Map 2 Do Touch'!R9&gt;4,INDEX($AG$4:$AH$6,MATCH(INDEX($I$3:$L$6,MATCH(MOD('Map 2 Do Touch'!Q9,4),$H$3:$H$6,0),MATCH(MOD('Map 2 Do Touch'!R9,4),$I$2:$L$2,0)),$AF$4:$AF$6,0),MATCH(IF('Map 2 Do Touch'!Q9&gt;4,"Water","Land"),'Map 3'!$AG$3:$AH$3,0)),INDEX($AK$4:$AL$6,MATCH(INDEX($I$3:$L$6,MATCH(MOD('Map 2 Do Touch'!Q9,4),$H$3:$H$6,0),MATCH(MOD('Map 2 Do Touch'!R9,4),$I$2:$L$2,0)),'Map 3'!$AJ$4:$AJ$6,0),MATCH(IF('Map 2 Do Touch'!Q9&gt;4,"Water","Land"),'Map 3'!$AK$3:$AL$3,0))),IF('Map 2 Do Touch'!R9&gt;4,INDEX($AG$4:$AH$6,MATCH(INDEX($P$3:$S$6,MATCH(MOD('Map 2 Do Touch'!R8,4),$O$3:$O$6,0),MATCH(MOD('Map 2 Do Touch'!R9,4),$P$2:$S$2,0)),$AF$4:$AF$6,0),MATCH(IF('Map 2 Do Touch'!R8&gt;4,"Water","Land"),'Map 3'!$AG$3:$AH$3,0)),INDEX($AK$4:$AL$6,MATCH(INDEX($P$3:$S$6,MATCH(MOD('Map 2 Do Touch'!R8,4),$O$3:$O$6,0),MATCH(MOD('Map 2 Do Touch'!R9,4),$P$2:$S$2,0)),'Map 3'!$AJ$4:$AJ$6,0),MATCH(IF('Map 2 Do Touch'!R8&gt;4,"Water","Land"),'Map 3'!$AK$3:$AL$3,0))))</f>
        <v>Ocean</v>
      </c>
      <c r="S13" s="3" t="str">
        <f ca="1">IF('Map 2 Do Touch'!R8&lt;&gt;'Map 2 Do Touch'!R9,IF('Map 2 Do Touch'!S9&gt;4,INDEX($AG$4:$AH$6,MATCH(INDEX($I$3:$L$6,MATCH(MOD('Map 2 Do Touch'!R9,4),$H$3:$H$6,0),MATCH(MOD('Map 2 Do Touch'!S9,4),$I$2:$L$2,0)),$AF$4:$AF$6,0),MATCH(IF('Map 2 Do Touch'!R9&gt;4,"Water","Land"),'Map 3'!$AG$3:$AH$3,0)),INDEX($AK$4:$AL$6,MATCH(INDEX($I$3:$L$6,MATCH(MOD('Map 2 Do Touch'!R9,4),$H$3:$H$6,0),MATCH(MOD('Map 2 Do Touch'!S9,4),$I$2:$L$2,0)),'Map 3'!$AJ$4:$AJ$6,0),MATCH(IF('Map 2 Do Touch'!R9&gt;4,"Water","Land"),'Map 3'!$AK$3:$AL$3,0))),IF('Map 2 Do Touch'!S9&gt;4,INDEX($AG$4:$AH$6,MATCH(INDEX($P$3:$S$6,MATCH(MOD('Map 2 Do Touch'!S8,4),$O$3:$O$6,0),MATCH(MOD('Map 2 Do Touch'!S9,4),$P$2:$S$2,0)),$AF$4:$AF$6,0),MATCH(IF('Map 2 Do Touch'!S8&gt;4,"Water","Land"),'Map 3'!$AG$3:$AH$3,0)),INDEX($AK$4:$AL$6,MATCH(INDEX($P$3:$S$6,MATCH(MOD('Map 2 Do Touch'!S8,4),$O$3:$O$6,0),MATCH(MOD('Map 2 Do Touch'!S9,4),$P$2:$S$2,0)),'Map 3'!$AJ$4:$AJ$6,0),MATCH(IF('Map 2 Do Touch'!S8&gt;4,"Water","Land"),'Map 3'!$AK$3:$AL$3,0))))</f>
        <v>Ocean</v>
      </c>
      <c r="T13" s="3" t="str">
        <f ca="1">IF('Map 2 Do Touch'!S8&lt;&gt;'Map 2 Do Touch'!S9,IF('Map 2 Do Touch'!T9&gt;4,INDEX($AG$4:$AH$6,MATCH(INDEX($I$3:$L$6,MATCH(MOD('Map 2 Do Touch'!S9,4),$H$3:$H$6,0),MATCH(MOD('Map 2 Do Touch'!T9,4),$I$2:$L$2,0)),$AF$4:$AF$6,0),MATCH(IF('Map 2 Do Touch'!S9&gt;4,"Water","Land"),'Map 3'!$AG$3:$AH$3,0)),INDEX($AK$4:$AL$6,MATCH(INDEX($I$3:$L$6,MATCH(MOD('Map 2 Do Touch'!S9,4),$H$3:$H$6,0),MATCH(MOD('Map 2 Do Touch'!T9,4),$I$2:$L$2,0)),'Map 3'!$AJ$4:$AJ$6,0),MATCH(IF('Map 2 Do Touch'!S9&gt;4,"Water","Land"),'Map 3'!$AK$3:$AL$3,0))),IF('Map 2 Do Touch'!T9&gt;4,INDEX($AG$4:$AH$6,MATCH(INDEX($P$3:$S$6,MATCH(MOD('Map 2 Do Touch'!T8,4),$O$3:$O$6,0),MATCH(MOD('Map 2 Do Touch'!T9,4),$P$2:$S$2,0)),$AF$4:$AF$6,0),MATCH(IF('Map 2 Do Touch'!T8&gt;4,"Water","Land"),'Map 3'!$AG$3:$AH$3,0)),INDEX($AK$4:$AL$6,MATCH(INDEX($P$3:$S$6,MATCH(MOD('Map 2 Do Touch'!T8,4),$O$3:$O$6,0),MATCH(MOD('Map 2 Do Touch'!T9,4),$P$2:$S$2,0)),'Map 3'!$AJ$4:$AJ$6,0),MATCH(IF('Map 2 Do Touch'!T8&gt;4,"Water","Land"),'Map 3'!$AK$3:$AL$3,0))))</f>
        <v>Ocean</v>
      </c>
      <c r="U13" s="3" t="str">
        <f ca="1">IF('Map 2 Do Touch'!T8&lt;&gt;'Map 2 Do Touch'!T9,IF('Map 2 Do Touch'!U9&gt;4,INDEX($AG$4:$AH$6,MATCH(INDEX($I$3:$L$6,MATCH(MOD('Map 2 Do Touch'!T9,4),$H$3:$H$6,0),MATCH(MOD('Map 2 Do Touch'!U9,4),$I$2:$L$2,0)),$AF$4:$AF$6,0),MATCH(IF('Map 2 Do Touch'!T9&gt;4,"Water","Land"),'Map 3'!$AG$3:$AH$3,0)),INDEX($AK$4:$AL$6,MATCH(INDEX($I$3:$L$6,MATCH(MOD('Map 2 Do Touch'!T9,4),$H$3:$H$6,0),MATCH(MOD('Map 2 Do Touch'!U9,4),$I$2:$L$2,0)),'Map 3'!$AJ$4:$AJ$6,0),MATCH(IF('Map 2 Do Touch'!T9&gt;4,"Water","Land"),'Map 3'!$AK$3:$AL$3,0))),IF('Map 2 Do Touch'!U9&gt;4,INDEX($AG$4:$AH$6,MATCH(INDEX($P$3:$S$6,MATCH(MOD('Map 2 Do Touch'!U8,4),$O$3:$O$6,0),MATCH(MOD('Map 2 Do Touch'!U9,4),$P$2:$S$2,0)),$AF$4:$AF$6,0),MATCH(IF('Map 2 Do Touch'!U8&gt;4,"Water","Land"),'Map 3'!$AG$3:$AH$3,0)),INDEX($AK$4:$AL$6,MATCH(INDEX($P$3:$S$6,MATCH(MOD('Map 2 Do Touch'!U8,4),$O$3:$O$6,0),MATCH(MOD('Map 2 Do Touch'!U9,4),$P$2:$S$2,0)),'Map 3'!$AJ$4:$AJ$6,0),MATCH(IF('Map 2 Do Touch'!U8&gt;4,"Water","Land"),'Map 3'!$AK$3:$AL$3,0))))</f>
        <v>Island</v>
      </c>
      <c r="V13" s="3" t="str">
        <f ca="1">IF('Map 2 Do Touch'!U8&lt;&gt;'Map 2 Do Touch'!U9,IF('Map 2 Do Touch'!V9&gt;4,INDEX($AG$4:$AH$6,MATCH(INDEX($I$3:$L$6,MATCH(MOD('Map 2 Do Touch'!U9,4),$H$3:$H$6,0),MATCH(MOD('Map 2 Do Touch'!V9,4),$I$2:$L$2,0)),$AF$4:$AF$6,0),MATCH(IF('Map 2 Do Touch'!U9&gt;4,"Water","Land"),'Map 3'!$AG$3:$AH$3,0)),INDEX($AK$4:$AL$6,MATCH(INDEX($I$3:$L$6,MATCH(MOD('Map 2 Do Touch'!U9,4),$H$3:$H$6,0),MATCH(MOD('Map 2 Do Touch'!V9,4),$I$2:$L$2,0)),'Map 3'!$AJ$4:$AJ$6,0),MATCH(IF('Map 2 Do Touch'!U9&gt;4,"Water","Land"),'Map 3'!$AK$3:$AL$3,0))),IF('Map 2 Do Touch'!V9&gt;4,INDEX($AG$4:$AH$6,MATCH(INDEX($P$3:$S$6,MATCH(MOD('Map 2 Do Touch'!V8,4),$O$3:$O$6,0),MATCH(MOD('Map 2 Do Touch'!V9,4),$P$2:$S$2,0)),$AF$4:$AF$6,0),MATCH(IF('Map 2 Do Touch'!V8&gt;4,"Water","Land"),'Map 3'!$AG$3:$AH$3,0)),INDEX($AK$4:$AL$6,MATCH(INDEX($P$3:$S$6,MATCH(MOD('Map 2 Do Touch'!V8,4),$O$3:$O$6,0),MATCH(MOD('Map 2 Do Touch'!V9,4),$P$2:$S$2,0)),'Map 3'!$AJ$4:$AJ$6,0),MATCH(IF('Map 2 Do Touch'!V8&gt;4,"Water","Land"),'Map 3'!$AK$3:$AL$3,0))))</f>
        <v>Ocean</v>
      </c>
      <c r="W13" s="3" t="str">
        <f ca="1">IF('Map 2 Do Touch'!V8&lt;&gt;'Map 2 Do Touch'!V9,IF('Map 2 Do Touch'!W9&gt;4,INDEX($AG$4:$AH$6,MATCH(INDEX($I$3:$L$6,MATCH(MOD('Map 2 Do Touch'!V9,4),$H$3:$H$6,0),MATCH(MOD('Map 2 Do Touch'!W9,4),$I$2:$L$2,0)),$AF$4:$AF$6,0),MATCH(IF('Map 2 Do Touch'!V9&gt;4,"Water","Land"),'Map 3'!$AG$3:$AH$3,0)),INDEX($AK$4:$AL$6,MATCH(INDEX($I$3:$L$6,MATCH(MOD('Map 2 Do Touch'!V9,4),$H$3:$H$6,0),MATCH(MOD('Map 2 Do Touch'!W9,4),$I$2:$L$2,0)),'Map 3'!$AJ$4:$AJ$6,0),MATCH(IF('Map 2 Do Touch'!V9&gt;4,"Water","Land"),'Map 3'!$AK$3:$AL$3,0))),IF('Map 2 Do Touch'!W9&gt;4,INDEX($AG$4:$AH$6,MATCH(INDEX($P$3:$S$6,MATCH(MOD('Map 2 Do Touch'!W8,4),$O$3:$O$6,0),MATCH(MOD('Map 2 Do Touch'!W9,4),$P$2:$S$2,0)),$AF$4:$AF$6,0),MATCH(IF('Map 2 Do Touch'!W8&gt;4,"Water","Land"),'Map 3'!$AG$3:$AH$3,0)),INDEX($AK$4:$AL$6,MATCH(INDEX($P$3:$S$6,MATCH(MOD('Map 2 Do Touch'!W8,4),$O$3:$O$6,0),MATCH(MOD('Map 2 Do Touch'!W9,4),$P$2:$S$2,0)),'Map 3'!$AJ$4:$AJ$6,0),MATCH(IF('Map 2 Do Touch'!W8&gt;4,"Water","Land"),'Map 3'!$AK$3:$AL$3,0))))</f>
        <v>Island</v>
      </c>
      <c r="X13" s="3" t="str">
        <f ca="1">IF('Map 2 Do Touch'!W8&lt;&gt;'Map 2 Do Touch'!W9,IF('Map 2 Do Touch'!X9&gt;4,INDEX($AG$4:$AH$6,MATCH(INDEX($I$3:$L$6,MATCH(MOD('Map 2 Do Touch'!W9,4),$H$3:$H$6,0),MATCH(MOD('Map 2 Do Touch'!X9,4),$I$2:$L$2,0)),$AF$4:$AF$6,0),MATCH(IF('Map 2 Do Touch'!W9&gt;4,"Water","Land"),'Map 3'!$AG$3:$AH$3,0)),INDEX($AK$4:$AL$6,MATCH(INDEX($I$3:$L$6,MATCH(MOD('Map 2 Do Touch'!W9,4),$H$3:$H$6,0),MATCH(MOD('Map 2 Do Touch'!X9,4),$I$2:$L$2,0)),'Map 3'!$AJ$4:$AJ$6,0),MATCH(IF('Map 2 Do Touch'!W9&gt;4,"Water","Land"),'Map 3'!$AK$3:$AL$3,0))),IF('Map 2 Do Touch'!X9&gt;4,INDEX($AG$4:$AH$6,MATCH(INDEX($P$3:$S$6,MATCH(MOD('Map 2 Do Touch'!X8,4),$O$3:$O$6,0),MATCH(MOD('Map 2 Do Touch'!X9,4),$P$2:$S$2,0)),$AF$4:$AF$6,0),MATCH(IF('Map 2 Do Touch'!X8&gt;4,"Water","Land"),'Map 3'!$AG$3:$AH$3,0)),INDEX($AK$4:$AL$6,MATCH(INDEX($P$3:$S$6,MATCH(MOD('Map 2 Do Touch'!X8,4),$O$3:$O$6,0),MATCH(MOD('Map 2 Do Touch'!X9,4),$P$2:$S$2,0)),'Map 3'!$AJ$4:$AJ$6,0),MATCH(IF('Map 2 Do Touch'!X8&gt;4,"Water","Land"),'Map 3'!$AK$3:$AL$3,0))))</f>
        <v>Ocean</v>
      </c>
      <c r="Y13" s="3" t="str">
        <f ca="1">IF('Map 2 Do Touch'!X8&lt;&gt;'Map 2 Do Touch'!X9,IF('Map 2 Do Touch'!Y9&gt;4,INDEX($AG$4:$AH$6,MATCH(INDEX($I$3:$L$6,MATCH(MOD('Map 2 Do Touch'!X9,4),$H$3:$H$6,0),MATCH(MOD('Map 2 Do Touch'!Y9,4),$I$2:$L$2,0)),$AF$4:$AF$6,0),MATCH(IF('Map 2 Do Touch'!X9&gt;4,"Water","Land"),'Map 3'!$AG$3:$AH$3,0)),INDEX($AK$4:$AL$6,MATCH(INDEX($I$3:$L$6,MATCH(MOD('Map 2 Do Touch'!X9,4),$H$3:$H$6,0),MATCH(MOD('Map 2 Do Touch'!Y9,4),$I$2:$L$2,0)),'Map 3'!$AJ$4:$AJ$6,0),MATCH(IF('Map 2 Do Touch'!X9&gt;4,"Water","Land"),'Map 3'!$AK$3:$AL$3,0))),IF('Map 2 Do Touch'!Y9&gt;4,INDEX($AG$4:$AH$6,MATCH(INDEX($P$3:$S$6,MATCH(MOD('Map 2 Do Touch'!Y8,4),$O$3:$O$6,0),MATCH(MOD('Map 2 Do Touch'!Y9,4),$P$2:$S$2,0)),$AF$4:$AF$6,0),MATCH(IF('Map 2 Do Touch'!Y8&gt;4,"Water","Land"),'Map 3'!$AG$3:$AH$3,0)),INDEX($AK$4:$AL$6,MATCH(INDEX($P$3:$S$6,MATCH(MOD('Map 2 Do Touch'!Y8,4),$O$3:$O$6,0),MATCH(MOD('Map 2 Do Touch'!Y9,4),$P$2:$S$2,0)),'Map 3'!$AJ$4:$AJ$6,0),MATCH(IF('Map 2 Do Touch'!Y8&gt;4,"Water","Land"),'Map 3'!$AK$3:$AL$3,0))))</f>
        <v>Ocean</v>
      </c>
      <c r="Z13" s="3" t="str">
        <f ca="1">IF('Map 2 Do Touch'!Y8&lt;&gt;'Map 2 Do Touch'!Y9,IF('Map 2 Do Touch'!Z9&gt;4,INDEX($AG$4:$AH$6,MATCH(INDEX($I$3:$L$6,MATCH(MOD('Map 2 Do Touch'!Y9,4),$H$3:$H$6,0),MATCH(MOD('Map 2 Do Touch'!Z9,4),$I$2:$L$2,0)),$AF$4:$AF$6,0),MATCH(IF('Map 2 Do Touch'!Y9&gt;4,"Water","Land"),'Map 3'!$AG$3:$AH$3,0)),INDEX($AK$4:$AL$6,MATCH(INDEX($I$3:$L$6,MATCH(MOD('Map 2 Do Touch'!Y9,4),$H$3:$H$6,0),MATCH(MOD('Map 2 Do Touch'!Z9,4),$I$2:$L$2,0)),'Map 3'!$AJ$4:$AJ$6,0),MATCH(IF('Map 2 Do Touch'!Y9&gt;4,"Water","Land"),'Map 3'!$AK$3:$AL$3,0))),IF('Map 2 Do Touch'!Z9&gt;4,INDEX($AG$4:$AH$6,MATCH(INDEX($P$3:$S$6,MATCH(MOD('Map 2 Do Touch'!Z8,4),$O$3:$O$6,0),MATCH(MOD('Map 2 Do Touch'!Z9,4),$P$2:$S$2,0)),$AF$4:$AF$6,0),MATCH(IF('Map 2 Do Touch'!Z8&gt;4,"Water","Land"),'Map 3'!$AG$3:$AH$3,0)),INDEX($AK$4:$AL$6,MATCH(INDEX($P$3:$S$6,MATCH(MOD('Map 2 Do Touch'!Z8,4),$O$3:$O$6,0),MATCH(MOD('Map 2 Do Touch'!Z9,4),$P$2:$S$2,0)),'Map 3'!$AJ$4:$AJ$6,0),MATCH(IF('Map 2 Do Touch'!Z8&gt;4,"Water","Land"),'Map 3'!$AK$3:$AL$3,0))))</f>
        <v>Ocean</v>
      </c>
      <c r="AA13" s="3" t="str">
        <f ca="1">IF('Map 2 Do Touch'!Z8&lt;&gt;'Map 2 Do Touch'!Z9,IF('Map 2 Do Touch'!AA9&gt;4,INDEX($AG$4:$AH$6,MATCH(INDEX($I$3:$L$6,MATCH(MOD('Map 2 Do Touch'!Z9,4),$H$3:$H$6,0),MATCH(MOD('Map 2 Do Touch'!AA9,4),$I$2:$L$2,0)),$AF$4:$AF$6,0),MATCH(IF('Map 2 Do Touch'!Z9&gt;4,"Water","Land"),'Map 3'!$AG$3:$AH$3,0)),INDEX($AK$4:$AL$6,MATCH(INDEX($I$3:$L$6,MATCH(MOD('Map 2 Do Touch'!Z9,4),$H$3:$H$6,0),MATCH(MOD('Map 2 Do Touch'!AA9,4),$I$2:$L$2,0)),'Map 3'!$AJ$4:$AJ$6,0),MATCH(IF('Map 2 Do Touch'!Z9&gt;4,"Water","Land"),'Map 3'!$AK$3:$AL$3,0))),IF('Map 2 Do Touch'!AA9&gt;4,INDEX($AG$4:$AH$6,MATCH(INDEX($P$3:$S$6,MATCH(MOD('Map 2 Do Touch'!AA8,4),$O$3:$O$6,0),MATCH(MOD('Map 2 Do Touch'!AA9,4),$P$2:$S$2,0)),$AF$4:$AF$6,0),MATCH(IF('Map 2 Do Touch'!AA8&gt;4,"Water","Land"),'Map 3'!$AG$3:$AH$3,0)),INDEX($AK$4:$AL$6,MATCH(INDEX($P$3:$S$6,MATCH(MOD('Map 2 Do Touch'!AA8,4),$O$3:$O$6,0),MATCH(MOD('Map 2 Do Touch'!AA9,4),$P$2:$S$2,0)),'Map 3'!$AJ$4:$AJ$6,0),MATCH(IF('Map 2 Do Touch'!AA8&gt;4,"Water","Land"),'Map 3'!$AK$3:$AL$3,0))))</f>
        <v>Trench</v>
      </c>
      <c r="AB13" s="3" t="str">
        <f ca="1">IF('Map 2 Do Touch'!AA8&lt;&gt;'Map 2 Do Touch'!AA9,IF('Map 2 Do Touch'!AB9&gt;4,INDEX($AG$4:$AH$6,MATCH(INDEX($I$3:$L$6,MATCH(MOD('Map 2 Do Touch'!AA9,4),$H$3:$H$6,0),MATCH(MOD('Map 2 Do Touch'!AB9,4),$I$2:$L$2,0)),$AF$4:$AF$6,0),MATCH(IF('Map 2 Do Touch'!AA9&gt;4,"Water","Land"),'Map 3'!$AG$3:$AH$3,0)),INDEX($AK$4:$AL$6,MATCH(INDEX($I$3:$L$6,MATCH(MOD('Map 2 Do Touch'!AA9,4),$H$3:$H$6,0),MATCH(MOD('Map 2 Do Touch'!AB9,4),$I$2:$L$2,0)),'Map 3'!$AJ$4:$AJ$6,0),MATCH(IF('Map 2 Do Touch'!AA9&gt;4,"Water","Land"),'Map 3'!$AK$3:$AL$3,0))),IF('Map 2 Do Touch'!AB9&gt;4,INDEX($AG$4:$AH$6,MATCH(INDEX($P$3:$S$6,MATCH(MOD('Map 2 Do Touch'!AB8,4),$O$3:$O$6,0),MATCH(MOD('Map 2 Do Touch'!AB9,4),$P$2:$S$2,0)),$AF$4:$AF$6,0),MATCH(IF('Map 2 Do Touch'!AB8&gt;4,"Water","Land"),'Map 3'!$AG$3:$AH$3,0)),INDEX($AK$4:$AL$6,MATCH(INDEX($P$3:$S$6,MATCH(MOD('Map 2 Do Touch'!AB8,4),$O$3:$O$6,0),MATCH(MOD('Map 2 Do Touch'!AB9,4),$P$2:$S$2,0)),'Map 3'!$AJ$4:$AJ$6,0),MATCH(IF('Map 2 Do Touch'!AB8&gt;4,"Water","Land"),'Map 3'!$AK$3:$AL$3,0))))</f>
        <v>Ocean</v>
      </c>
      <c r="AC13" s="3" t="str">
        <f ca="1">IF('Map 2 Do Touch'!AB8&lt;&gt;'Map 2 Do Touch'!AB9,IF('Map 2 Do Touch'!AC9&gt;4,INDEX($AG$4:$AH$6,MATCH(INDEX($I$3:$L$6,MATCH(MOD('Map 2 Do Touch'!AB9,4),$H$3:$H$6,0),MATCH(MOD('Map 2 Do Touch'!AC9,4),$I$2:$L$2,0)),$AF$4:$AF$6,0),MATCH(IF('Map 2 Do Touch'!AB9&gt;4,"Water","Land"),'Map 3'!$AG$3:$AH$3,0)),INDEX($AK$4:$AL$6,MATCH(INDEX($I$3:$L$6,MATCH(MOD('Map 2 Do Touch'!AB9,4),$H$3:$H$6,0),MATCH(MOD('Map 2 Do Touch'!AC9,4),$I$2:$L$2,0)),'Map 3'!$AJ$4:$AJ$6,0),MATCH(IF('Map 2 Do Touch'!AB9&gt;4,"Water","Land"),'Map 3'!$AK$3:$AL$3,0))),IF('Map 2 Do Touch'!AC9&gt;4,INDEX($AG$4:$AH$6,MATCH(INDEX($P$3:$S$6,MATCH(MOD('Map 2 Do Touch'!AC8,4),$O$3:$O$6,0),MATCH(MOD('Map 2 Do Touch'!AC9,4),$P$2:$S$2,0)),$AF$4:$AF$6,0),MATCH(IF('Map 2 Do Touch'!AC8&gt;4,"Water","Land"),'Map 3'!$AG$3:$AH$3,0)),INDEX($AK$4:$AL$6,MATCH(INDEX($P$3:$S$6,MATCH(MOD('Map 2 Do Touch'!AC8,4),$O$3:$O$6,0),MATCH(MOD('Map 2 Do Touch'!AC9,4),$P$2:$S$2,0)),'Map 3'!$AJ$4:$AJ$6,0),MATCH(IF('Map 2 Do Touch'!AC8&gt;4,"Water","Land"),'Map 3'!$AK$3:$AL$3,0))))</f>
        <v>Coast</v>
      </c>
      <c r="AD13" s="3" t="str">
        <f ca="1">IF('Map 2 Do Touch'!AC8&lt;&gt;'Map 2 Do Touch'!AC9,IF('Map 2 Do Touch'!AD9&gt;4,INDEX($AG$4:$AH$6,MATCH(INDEX($I$3:$L$6,MATCH(MOD('Map 2 Do Touch'!AC9,4),$H$3:$H$6,0),MATCH(MOD('Map 2 Do Touch'!AD9,4),$I$2:$L$2,0)),$AF$4:$AF$6,0),MATCH(IF('Map 2 Do Touch'!AC9&gt;4,"Water","Land"),'Map 3'!$AG$3:$AH$3,0)),INDEX($AK$4:$AL$6,MATCH(INDEX($I$3:$L$6,MATCH(MOD('Map 2 Do Touch'!AC9,4),$H$3:$H$6,0),MATCH(MOD('Map 2 Do Touch'!AD9,4),$I$2:$L$2,0)),'Map 3'!$AJ$4:$AJ$6,0),MATCH(IF('Map 2 Do Touch'!AC9&gt;4,"Water","Land"),'Map 3'!$AK$3:$AL$3,0))),IF('Map 2 Do Touch'!AD9&gt;4,INDEX($AG$4:$AH$6,MATCH(INDEX($P$3:$S$6,MATCH(MOD('Map 2 Do Touch'!AD8,4),$O$3:$O$6,0),MATCH(MOD('Map 2 Do Touch'!AD9,4),$P$2:$S$2,0)),$AF$4:$AF$6,0),MATCH(IF('Map 2 Do Touch'!AD8&gt;4,"Water","Land"),'Map 3'!$AG$3:$AH$3,0)),INDEX($AK$4:$AL$6,MATCH(INDEX($P$3:$S$6,MATCH(MOD('Map 2 Do Touch'!AD8,4),$O$3:$O$6,0),MATCH(MOD('Map 2 Do Touch'!AD9,4),$P$2:$S$2,0)),'Map 3'!$AJ$4:$AJ$6,0),MATCH(IF('Map 2 Do Touch'!AD8&gt;4,"Water","Land"),'Map 3'!$AK$3:$AL$3,0))))</f>
        <v>Coast</v>
      </c>
      <c r="AE13" s="3" t="str">
        <f ca="1">IF('Map 2 Do Touch'!AD8&lt;&gt;'Map 2 Do Touch'!AD9,IF('Map 2 Do Touch'!AE9&gt;4,INDEX($AG$4:$AH$6,MATCH(INDEX($I$3:$L$6,MATCH(MOD('Map 2 Do Touch'!AD9,4),$H$3:$H$6,0),MATCH(MOD('Map 2 Do Touch'!AE9,4),$I$2:$L$2,0)),$AF$4:$AF$6,0),MATCH(IF('Map 2 Do Touch'!AD9&gt;4,"Water","Land"),'Map 3'!$AG$3:$AH$3,0)),INDEX($AK$4:$AL$6,MATCH(INDEX($I$3:$L$6,MATCH(MOD('Map 2 Do Touch'!AD9,4),$H$3:$H$6,0),MATCH(MOD('Map 2 Do Touch'!AE9,4),$I$2:$L$2,0)),'Map 3'!$AJ$4:$AJ$6,0),MATCH(IF('Map 2 Do Touch'!AD9&gt;4,"Water","Land"),'Map 3'!$AK$3:$AL$3,0))),IF('Map 2 Do Touch'!AE9&gt;4,INDEX($AG$4:$AH$6,MATCH(INDEX($P$3:$S$6,MATCH(MOD('Map 2 Do Touch'!AE8,4),$O$3:$O$6,0),MATCH(MOD('Map 2 Do Touch'!AE9,4),$P$2:$S$2,0)),$AF$4:$AF$6,0),MATCH(IF('Map 2 Do Touch'!AE8&gt;4,"Water","Land"),'Map 3'!$AG$3:$AH$3,0)),INDEX($AK$4:$AL$6,MATCH(INDEX($P$3:$S$6,MATCH(MOD('Map 2 Do Touch'!AE8,4),$O$3:$O$6,0),MATCH(MOD('Map 2 Do Touch'!AE9,4),$P$2:$S$2,0)),'Map 3'!$AJ$4:$AJ$6,0),MATCH(IF('Map 2 Do Touch'!AE8&gt;4,"Water","Land"),'Map 3'!$AK$3:$AL$3,0))))</f>
        <v>Flatland</v>
      </c>
      <c r="AF13" s="3" t="str">
        <f ca="1">IF('Map 2 Do Touch'!AE8&lt;&gt;'Map 2 Do Touch'!AE9,IF('Map 2 Do Touch'!AF9&gt;4,INDEX($AG$4:$AH$6,MATCH(INDEX($I$3:$L$6,MATCH(MOD('Map 2 Do Touch'!AE9,4),$H$3:$H$6,0),MATCH(MOD('Map 2 Do Touch'!AF9,4),$I$2:$L$2,0)),$AF$4:$AF$6,0),MATCH(IF('Map 2 Do Touch'!AE9&gt;4,"Water","Land"),'Map 3'!$AG$3:$AH$3,0)),INDEX($AK$4:$AL$6,MATCH(INDEX($I$3:$L$6,MATCH(MOD('Map 2 Do Touch'!AE9,4),$H$3:$H$6,0),MATCH(MOD('Map 2 Do Touch'!AF9,4),$I$2:$L$2,0)),'Map 3'!$AJ$4:$AJ$6,0),MATCH(IF('Map 2 Do Touch'!AE9&gt;4,"Water","Land"),'Map 3'!$AK$3:$AL$3,0))),IF('Map 2 Do Touch'!AF9&gt;4,INDEX($AG$4:$AH$6,MATCH(INDEX($P$3:$S$6,MATCH(MOD('Map 2 Do Touch'!AF8,4),$O$3:$O$6,0),MATCH(MOD('Map 2 Do Touch'!AF9,4),$P$2:$S$2,0)),$AF$4:$AF$6,0),MATCH(IF('Map 2 Do Touch'!AF8&gt;4,"Water","Land"),'Map 3'!$AG$3:$AH$3,0)),INDEX($AK$4:$AL$6,MATCH(INDEX($P$3:$S$6,MATCH(MOD('Map 2 Do Touch'!AF8,4),$O$3:$O$6,0),MATCH(MOD('Map 2 Do Touch'!AF9,4),$P$2:$S$2,0)),'Map 3'!$AJ$4:$AJ$6,0),MATCH(IF('Map 2 Do Touch'!AF8&gt;4,"Water","Land"),'Map 3'!$AK$3:$AL$3,0))))</f>
        <v>Flatland</v>
      </c>
      <c r="AG13" s="3" t="str">
        <f ca="1">IF('Map 2 Do Touch'!AF8&lt;&gt;'Map 2 Do Touch'!AF9,IF('Map 2 Do Touch'!AG9&gt;4,INDEX($AG$4:$AH$6,MATCH(INDEX($I$3:$L$6,MATCH(MOD('Map 2 Do Touch'!AF9,4),$H$3:$H$6,0),MATCH(MOD('Map 2 Do Touch'!AG9,4),$I$2:$L$2,0)),$AF$4:$AF$6,0),MATCH(IF('Map 2 Do Touch'!AF9&gt;4,"Water","Land"),'Map 3'!$AG$3:$AH$3,0)),INDEX($AK$4:$AL$6,MATCH(INDEX($I$3:$L$6,MATCH(MOD('Map 2 Do Touch'!AF9,4),$H$3:$H$6,0),MATCH(MOD('Map 2 Do Touch'!AG9,4),$I$2:$L$2,0)),'Map 3'!$AJ$4:$AJ$6,0),MATCH(IF('Map 2 Do Touch'!AF9&gt;4,"Water","Land"),'Map 3'!$AK$3:$AL$3,0))),IF('Map 2 Do Touch'!AG9&gt;4,INDEX($AG$4:$AH$6,MATCH(INDEX($P$3:$S$6,MATCH(MOD('Map 2 Do Touch'!AG8,4),$O$3:$O$6,0),MATCH(MOD('Map 2 Do Touch'!AG9,4),$P$2:$S$2,0)),$AF$4:$AF$6,0),MATCH(IF('Map 2 Do Touch'!AG8&gt;4,"Water","Land"),'Map 3'!$AG$3:$AH$3,0)),INDEX($AK$4:$AL$6,MATCH(INDEX($P$3:$S$6,MATCH(MOD('Map 2 Do Touch'!AG8,4),$O$3:$O$6,0),MATCH(MOD('Map 2 Do Touch'!AG9,4),$P$2:$S$2,0)),'Map 3'!$AJ$4:$AJ$6,0),MATCH(IF('Map 2 Do Touch'!AG8&gt;4,"Water","Land"),'Map 3'!$AK$3:$AL$3,0))))</f>
        <v>Mountain</v>
      </c>
      <c r="AH13" s="3" t="str">
        <f ca="1">IF('Map 2 Do Touch'!AG8&lt;&gt;'Map 2 Do Touch'!AG9,IF('Map 2 Do Touch'!AH9&gt;4,INDEX($AG$4:$AH$6,MATCH(INDEX($I$3:$L$6,MATCH(MOD('Map 2 Do Touch'!AG9,4),$H$3:$H$6,0),MATCH(MOD('Map 2 Do Touch'!AH9,4),$I$2:$L$2,0)),$AF$4:$AF$6,0),MATCH(IF('Map 2 Do Touch'!AG9&gt;4,"Water","Land"),'Map 3'!$AG$3:$AH$3,0)),INDEX($AK$4:$AL$6,MATCH(INDEX($I$3:$L$6,MATCH(MOD('Map 2 Do Touch'!AG9,4),$H$3:$H$6,0),MATCH(MOD('Map 2 Do Touch'!AH9,4),$I$2:$L$2,0)),'Map 3'!$AJ$4:$AJ$6,0),MATCH(IF('Map 2 Do Touch'!AG9&gt;4,"Water","Land"),'Map 3'!$AK$3:$AL$3,0))),IF('Map 2 Do Touch'!AH9&gt;4,INDEX($AG$4:$AH$6,MATCH(INDEX($P$3:$S$6,MATCH(MOD('Map 2 Do Touch'!AH8,4),$O$3:$O$6,0),MATCH(MOD('Map 2 Do Touch'!AH9,4),$P$2:$S$2,0)),$AF$4:$AF$6,0),MATCH(IF('Map 2 Do Touch'!AH8&gt;4,"Water","Land"),'Map 3'!$AG$3:$AH$3,0)),INDEX($AK$4:$AL$6,MATCH(INDEX($P$3:$S$6,MATCH(MOD('Map 2 Do Touch'!AH8,4),$O$3:$O$6,0),MATCH(MOD('Map 2 Do Touch'!AH9,4),$P$2:$S$2,0)),'Map 3'!$AJ$4:$AJ$6,0),MATCH(IF('Map 2 Do Touch'!AH8&gt;4,"Water","Land"),'Map 3'!$AK$3:$AL$3,0))))</f>
        <v>Flatland</v>
      </c>
      <c r="AI13" s="3" t="str">
        <f ca="1">IF('Map 2 Do Touch'!AH8&lt;&gt;'Map 2 Do Touch'!AH9,IF('Map 2 Do Touch'!AI9&gt;4,INDEX($AG$4:$AH$6,MATCH(INDEX($I$3:$L$6,MATCH(MOD('Map 2 Do Touch'!AH9,4),$H$3:$H$6,0),MATCH(MOD('Map 2 Do Touch'!AI9,4),$I$2:$L$2,0)),$AF$4:$AF$6,0),MATCH(IF('Map 2 Do Touch'!AH9&gt;4,"Water","Land"),'Map 3'!$AG$3:$AH$3,0)),INDEX($AK$4:$AL$6,MATCH(INDEX($I$3:$L$6,MATCH(MOD('Map 2 Do Touch'!AH9,4),$H$3:$H$6,0),MATCH(MOD('Map 2 Do Touch'!AI9,4),$I$2:$L$2,0)),'Map 3'!$AJ$4:$AJ$6,0),MATCH(IF('Map 2 Do Touch'!AH9&gt;4,"Water","Land"),'Map 3'!$AK$3:$AL$3,0))),IF('Map 2 Do Touch'!AI9&gt;4,INDEX($AG$4:$AH$6,MATCH(INDEX($P$3:$S$6,MATCH(MOD('Map 2 Do Touch'!AI8,4),$O$3:$O$6,0),MATCH(MOD('Map 2 Do Touch'!AI9,4),$P$2:$S$2,0)),$AF$4:$AF$6,0),MATCH(IF('Map 2 Do Touch'!AI8&gt;4,"Water","Land"),'Map 3'!$AG$3:$AH$3,0)),INDEX($AK$4:$AL$6,MATCH(INDEX($P$3:$S$6,MATCH(MOD('Map 2 Do Touch'!AI8,4),$O$3:$O$6,0),MATCH(MOD('Map 2 Do Touch'!AI9,4),$P$2:$S$2,0)),'Map 3'!$AJ$4:$AJ$6,0),MATCH(IF('Map 2 Do Touch'!AI8&gt;4,"Water","Land"),'Map 3'!$AK$3:$AL$3,0))))</f>
        <v>Flatland</v>
      </c>
      <c r="AJ13" s="3" t="str">
        <f ca="1">IF('Map 2 Do Touch'!AI8&lt;&gt;'Map 2 Do Touch'!AI9,IF('Map 2 Do Touch'!AJ9&gt;4,INDEX($AG$4:$AH$6,MATCH(INDEX($I$3:$L$6,MATCH(MOD('Map 2 Do Touch'!AI9,4),$H$3:$H$6,0),MATCH(MOD('Map 2 Do Touch'!AJ9,4),$I$2:$L$2,0)),$AF$4:$AF$6,0),MATCH(IF('Map 2 Do Touch'!AI9&gt;4,"Water","Land"),'Map 3'!$AG$3:$AH$3,0)),INDEX($AK$4:$AL$6,MATCH(INDEX($I$3:$L$6,MATCH(MOD('Map 2 Do Touch'!AI9,4),$H$3:$H$6,0),MATCH(MOD('Map 2 Do Touch'!AJ9,4),$I$2:$L$2,0)),'Map 3'!$AJ$4:$AJ$6,0),MATCH(IF('Map 2 Do Touch'!AI9&gt;4,"Water","Land"),'Map 3'!$AK$3:$AL$3,0))),IF('Map 2 Do Touch'!AJ9&gt;4,INDEX($AG$4:$AH$6,MATCH(INDEX($P$3:$S$6,MATCH(MOD('Map 2 Do Touch'!AJ8,4),$O$3:$O$6,0),MATCH(MOD('Map 2 Do Touch'!AJ9,4),$P$2:$S$2,0)),$AF$4:$AF$6,0),MATCH(IF('Map 2 Do Touch'!AJ8&gt;4,"Water","Land"),'Map 3'!$AG$3:$AH$3,0)),INDEX($AK$4:$AL$6,MATCH(INDEX($P$3:$S$6,MATCH(MOD('Map 2 Do Touch'!AJ8,4),$O$3:$O$6,0),MATCH(MOD('Map 2 Do Touch'!AJ9,4),$P$2:$S$2,0)),'Map 3'!$AJ$4:$AJ$6,0),MATCH(IF('Map 2 Do Touch'!AJ8&gt;4,"Water","Land"),'Map 3'!$AK$3:$AL$3,0))))</f>
        <v>Flatland</v>
      </c>
      <c r="AK13" s="3" t="str">
        <f ca="1">IF('Map 2 Do Touch'!AJ8&lt;&gt;'Map 2 Do Touch'!AJ9,IF('Map 2 Do Touch'!AK9&gt;4,INDEX($AG$4:$AH$6,MATCH(INDEX($I$3:$L$6,MATCH(MOD('Map 2 Do Touch'!AJ9,4),$H$3:$H$6,0),MATCH(MOD('Map 2 Do Touch'!AK9,4),$I$2:$L$2,0)),$AF$4:$AF$6,0),MATCH(IF('Map 2 Do Touch'!AJ9&gt;4,"Water","Land"),'Map 3'!$AG$3:$AH$3,0)),INDEX($AK$4:$AL$6,MATCH(INDEX($I$3:$L$6,MATCH(MOD('Map 2 Do Touch'!AJ9,4),$H$3:$H$6,0),MATCH(MOD('Map 2 Do Touch'!AK9,4),$I$2:$L$2,0)),'Map 3'!$AJ$4:$AJ$6,0),MATCH(IF('Map 2 Do Touch'!AJ9&gt;4,"Water","Land"),'Map 3'!$AK$3:$AL$3,0))),IF('Map 2 Do Touch'!AK9&gt;4,INDEX($AG$4:$AH$6,MATCH(INDEX($P$3:$S$6,MATCH(MOD('Map 2 Do Touch'!AK8,4),$O$3:$O$6,0),MATCH(MOD('Map 2 Do Touch'!AK9,4),$P$2:$S$2,0)),$AF$4:$AF$6,0),MATCH(IF('Map 2 Do Touch'!AK8&gt;4,"Water","Land"),'Map 3'!$AG$3:$AH$3,0)),INDEX($AK$4:$AL$6,MATCH(INDEX($P$3:$S$6,MATCH(MOD('Map 2 Do Touch'!AK8,4),$O$3:$O$6,0),MATCH(MOD('Map 2 Do Touch'!AK9,4),$P$2:$S$2,0)),'Map 3'!$AJ$4:$AJ$6,0),MATCH(IF('Map 2 Do Touch'!AK8&gt;4,"Water","Land"),'Map 3'!$AK$3:$AL$3,0))))</f>
        <v>Valley</v>
      </c>
      <c r="AL13" s="3" t="str">
        <f ca="1">IF('Map 2 Do Touch'!AK8&lt;&gt;'Map 2 Do Touch'!AK9,IF('Map 2 Do Touch'!AL9&gt;4,INDEX($AG$4:$AH$6,MATCH(INDEX($I$3:$L$6,MATCH(MOD('Map 2 Do Touch'!AK9,4),$H$3:$H$6,0),MATCH(MOD('Map 2 Do Touch'!AL9,4),$I$2:$L$2,0)),$AF$4:$AF$6,0),MATCH(IF('Map 2 Do Touch'!AK9&gt;4,"Water","Land"),'Map 3'!$AG$3:$AH$3,0)),INDEX($AK$4:$AL$6,MATCH(INDEX($I$3:$L$6,MATCH(MOD('Map 2 Do Touch'!AK9,4),$H$3:$H$6,0),MATCH(MOD('Map 2 Do Touch'!AL9,4),$I$2:$L$2,0)),'Map 3'!$AJ$4:$AJ$6,0),MATCH(IF('Map 2 Do Touch'!AK9&gt;4,"Water","Land"),'Map 3'!$AK$3:$AL$3,0))),IF('Map 2 Do Touch'!AL9&gt;4,INDEX($AG$4:$AH$6,MATCH(INDEX($P$3:$S$6,MATCH(MOD('Map 2 Do Touch'!AL8,4),$O$3:$O$6,0),MATCH(MOD('Map 2 Do Touch'!AL9,4),$P$2:$S$2,0)),$AF$4:$AF$6,0),MATCH(IF('Map 2 Do Touch'!AL8&gt;4,"Water","Land"),'Map 3'!$AG$3:$AH$3,0)),INDEX($AK$4:$AL$6,MATCH(INDEX($P$3:$S$6,MATCH(MOD('Map 2 Do Touch'!AL8,4),$O$3:$O$6,0),MATCH(MOD('Map 2 Do Touch'!AL9,4),$P$2:$S$2,0)),'Map 3'!$AJ$4:$AJ$6,0),MATCH(IF('Map 2 Do Touch'!AL8&gt;4,"Water","Land"),'Map 3'!$AK$3:$AL$3,0))))</f>
        <v>Flatland</v>
      </c>
      <c r="AM13" s="3" t="str">
        <f ca="1">IF('Map 2 Do Touch'!AL8&lt;&gt;'Map 2 Do Touch'!AL9,IF('Map 2 Do Touch'!AM9&gt;4,INDEX($AG$4:$AH$6,MATCH(INDEX($I$3:$L$6,MATCH(MOD('Map 2 Do Touch'!AL9,4),$H$3:$H$6,0),MATCH(MOD('Map 2 Do Touch'!AM9,4),$I$2:$L$2,0)),$AF$4:$AF$6,0),MATCH(IF('Map 2 Do Touch'!AL9&gt;4,"Water","Land"),'Map 3'!$AG$3:$AH$3,0)),INDEX($AK$4:$AL$6,MATCH(INDEX($I$3:$L$6,MATCH(MOD('Map 2 Do Touch'!AL9,4),$H$3:$H$6,0),MATCH(MOD('Map 2 Do Touch'!AM9,4),$I$2:$L$2,0)),'Map 3'!$AJ$4:$AJ$6,0),MATCH(IF('Map 2 Do Touch'!AL9&gt;4,"Water","Land"),'Map 3'!$AK$3:$AL$3,0))),IF('Map 2 Do Touch'!AM9&gt;4,INDEX($AG$4:$AH$6,MATCH(INDEX($P$3:$S$6,MATCH(MOD('Map 2 Do Touch'!AM8,4),$O$3:$O$6,0),MATCH(MOD('Map 2 Do Touch'!AM9,4),$P$2:$S$2,0)),$AF$4:$AF$6,0),MATCH(IF('Map 2 Do Touch'!AM8&gt;4,"Water","Land"),'Map 3'!$AG$3:$AH$3,0)),INDEX($AK$4:$AL$6,MATCH(INDEX($P$3:$S$6,MATCH(MOD('Map 2 Do Touch'!AM8,4),$O$3:$O$6,0),MATCH(MOD('Map 2 Do Touch'!AM9,4),$P$2:$S$2,0)),'Map 3'!$AJ$4:$AJ$6,0),MATCH(IF('Map 2 Do Touch'!AM8&gt;4,"Water","Land"),'Map 3'!$AK$3:$AL$3,0))))</f>
        <v>Coast</v>
      </c>
      <c r="AN13" s="3" t="str">
        <f ca="1">IF('Map 2 Do Touch'!AM8&lt;&gt;'Map 2 Do Touch'!AM9,IF('Map 2 Do Touch'!AN9&gt;4,INDEX($AG$4:$AH$6,MATCH(INDEX($I$3:$L$6,MATCH(MOD('Map 2 Do Touch'!AM9,4),$H$3:$H$6,0),MATCH(MOD('Map 2 Do Touch'!AN9,4),$I$2:$L$2,0)),$AF$4:$AF$6,0),MATCH(IF('Map 2 Do Touch'!AM9&gt;4,"Water","Land"),'Map 3'!$AG$3:$AH$3,0)),INDEX($AK$4:$AL$6,MATCH(INDEX($I$3:$L$6,MATCH(MOD('Map 2 Do Touch'!AM9,4),$H$3:$H$6,0),MATCH(MOD('Map 2 Do Touch'!AN9,4),$I$2:$L$2,0)),'Map 3'!$AJ$4:$AJ$6,0),MATCH(IF('Map 2 Do Touch'!AM9&gt;4,"Water","Land"),'Map 3'!$AK$3:$AL$3,0))),IF('Map 2 Do Touch'!AN9&gt;4,INDEX($AG$4:$AH$6,MATCH(INDEX($P$3:$S$6,MATCH(MOD('Map 2 Do Touch'!AN8,4),$O$3:$O$6,0),MATCH(MOD('Map 2 Do Touch'!AN9,4),$P$2:$S$2,0)),$AF$4:$AF$6,0),MATCH(IF('Map 2 Do Touch'!AN8&gt;4,"Water","Land"),'Map 3'!$AG$3:$AH$3,0)),INDEX($AK$4:$AL$6,MATCH(INDEX($P$3:$S$6,MATCH(MOD('Map 2 Do Touch'!AN8,4),$O$3:$O$6,0),MATCH(MOD('Map 2 Do Touch'!AN9,4),$P$2:$S$2,0)),'Map 3'!$AJ$4:$AJ$6,0),MATCH(IF('Map 2 Do Touch'!AN8&gt;4,"Water","Land"),'Map 3'!$AK$3:$AL$3,0))))</f>
        <v>Ocean</v>
      </c>
      <c r="AO13" s="87" t="str">
        <f ca="1">IF('Map 2 Do Touch'!AN8&lt;&gt;'Map 2 Do Touch'!AN9,IF('Map 2 Do Touch'!AO9&gt;4,INDEX($AG$4:$AH$6,MATCH(INDEX($I$3:$L$6,MATCH(MOD('Map 2 Do Touch'!AN9,4),$H$3:$H$6,0),MATCH(MOD('Map 2 Do Touch'!AO9,4),$I$2:$L$2,0)),$AF$4:$AF$6,0),MATCH(IF('Map 2 Do Touch'!AN9&gt;4,"Water","Land"),'Map 3'!$AG$3:$AH$3,0)),INDEX($AK$4:$AL$6,MATCH(INDEX($I$3:$L$6,MATCH(MOD('Map 2 Do Touch'!AN9,4),$H$3:$H$6,0),MATCH(MOD('Map 2 Do Touch'!AO9,4),$I$2:$L$2,0)),'Map 3'!$AJ$4:$AJ$6,0),MATCH(IF('Map 2 Do Touch'!AN9&gt;4,"Water","Land"),'Map 3'!$AK$3:$AL$3,0))),IF('Map 2 Do Touch'!AO9&gt;4,INDEX($AG$4:$AH$6,MATCH(INDEX($P$3:$S$6,MATCH(MOD('Map 2 Do Touch'!AO8,4),$O$3:$O$6,0),MATCH(MOD('Map 2 Do Touch'!AO9,4),$P$2:$S$2,0)),$AF$4:$AF$6,0),MATCH(IF('Map 2 Do Touch'!AO8&gt;4,"Water","Land"),'Map 3'!$AG$3:$AH$3,0)),INDEX($AK$4:$AL$6,MATCH(INDEX($P$3:$S$6,MATCH(MOD('Map 2 Do Touch'!AO8,4),$O$3:$O$6,0),MATCH(MOD('Map 2 Do Touch'!AO9,4),$P$2:$S$2,0)),'Map 3'!$AJ$4:$AJ$6,0),MATCH(IF('Map 2 Do Touch'!AO8&gt;4,"Water","Land"),'Map 3'!$AK$3:$AL$3,0))))</f>
        <v>Flatland</v>
      </c>
      <c r="AP13" s="3"/>
    </row>
    <row r="14" spans="1:45" ht="37.5" customHeight="1">
      <c r="A14" s="3">
        <v>3</v>
      </c>
      <c r="B14" s="86" t="str">
        <f ca="1">IF('Map 2 Do Touch'!B9&lt;&gt;'Map 2 Do Touch'!B10,IF('Map 2 Do Touch'!B10&gt;4,INDEX($AG$4:$AH$6,MATCH(INDEX($I$3:$L$6,MATCH(MOD('Map 2 Do Touch'!AO10,4),$H$3:$H$6,0),MATCH(MOD('Map 2 Do Touch'!B10,4),$I$2:$L$2,0)),$AF$4:$AF$6,0),MATCH(IF('Map 2 Do Touch'!AO10&gt;4,"Water","Land"),'Map 3'!$AG$3:$AH$3,0)),INDEX($AK$4:$AL$6,MATCH(INDEX($I$3:$L$6,MATCH(MOD('Map 2 Do Touch'!A10,4),$H$3:$H$6,0),MATCH(MOD('Map 2 Do Touch'!B10,4),$I$2:$L$2,0)),'Map 3'!$AJ$4:$AJ$6,0),MATCH(IF('Map 2 Do Touch'!AO10&gt;4,"Water","Land"),'Map 3'!$AK$3:$AL$3,0))),IF('Map 2 Do Touch'!B10&gt;4,INDEX($AG$4:$AH$6,MATCH(INDEX($P$3:$S$6,MATCH(MOD('Map 2 Do Touch'!B9,4),$O$3:$O$6,0),MATCH(MOD('Map 2 Do Touch'!B10,4),$P$2:$S$2,0)),$AF$4:$AF$6,0),MATCH(IF('Map 2 Do Touch'!B9&gt;4,"Water","Land"),'Map 3'!$AG$3:$AH$3,0)),INDEX($AK$4:$AL$6,MATCH(INDEX($P$3:$S$6,MATCH(MOD('Map 2 Do Touch'!B9,4),$O$3:$O$6,0),MATCH(MOD('Map 2 Do Touch'!B10,4),$P$2:$S$2,0)),'Map 3'!$AJ$4:$AJ$6,0),MATCH(IF('Map 2 Do Touch'!B9&gt;4,"Water","Land"),'Map 3'!$AK$3:$AL$3,0))))</f>
        <v>Ocean</v>
      </c>
      <c r="C14" s="3" t="str">
        <f ca="1">IF('Map 2 Do Touch'!B9&lt;&gt;'Map 2 Do Touch'!B10,IF('Map 2 Do Touch'!C10&gt;4,INDEX($AG$4:$AH$6,MATCH(INDEX($I$3:$L$6,MATCH(MOD('Map 2 Do Touch'!B10,4),$H$3:$H$6,0),MATCH(MOD('Map 2 Do Touch'!C10,4),$I$2:$L$2,0)),$AF$4:$AF$6,0),MATCH(IF('Map 2 Do Touch'!B10&gt;4,"Water","Land"),'Map 3'!$AG$3:$AH$3,0)),INDEX($AK$4:$AL$6,MATCH(INDEX($I$3:$L$6,MATCH(MOD('Map 2 Do Touch'!B10,4),$H$3:$H$6,0),MATCH(MOD('Map 2 Do Touch'!C10,4),$I$2:$L$2,0)),'Map 3'!$AJ$4:$AJ$6,0),MATCH(IF('Map 2 Do Touch'!B10&gt;4,"Water","Land"),'Map 3'!$AK$3:$AL$3,0))),IF('Map 2 Do Touch'!C10&gt;4,INDEX($AG$4:$AH$6,MATCH(INDEX($P$3:$S$6,MATCH(MOD('Map 2 Do Touch'!C9,4),$O$3:$O$6,0),MATCH(MOD('Map 2 Do Touch'!C10,4),$P$2:$S$2,0)),$AF$4:$AF$6,0),MATCH(IF('Map 2 Do Touch'!C9&gt;4,"Water","Land"),'Map 3'!$AG$3:$AH$3,0)),INDEX($AK$4:$AL$6,MATCH(INDEX($P$3:$S$6,MATCH(MOD('Map 2 Do Touch'!C9,4),$O$3:$O$6,0),MATCH(MOD('Map 2 Do Touch'!C10,4),$P$2:$S$2,0)),'Map 3'!$AJ$4:$AJ$6,0),MATCH(IF('Map 2 Do Touch'!C9&gt;4,"Water","Land"),'Map 3'!$AK$3:$AL$3,0))))</f>
        <v>Coast</v>
      </c>
      <c r="D14" s="3" t="str">
        <f ca="1">IF('Map 2 Do Touch'!C9&lt;&gt;'Map 2 Do Touch'!C10,IF('Map 2 Do Touch'!D10&gt;4,INDEX($AG$4:$AH$6,MATCH(INDEX($I$3:$L$6,MATCH(MOD('Map 2 Do Touch'!C10,4),$H$3:$H$6,0),MATCH(MOD('Map 2 Do Touch'!D10,4),$I$2:$L$2,0)),$AF$4:$AF$6,0),MATCH(IF('Map 2 Do Touch'!C10&gt;4,"Water","Land"),'Map 3'!$AG$3:$AH$3,0)),INDEX($AK$4:$AL$6,MATCH(INDEX($I$3:$L$6,MATCH(MOD('Map 2 Do Touch'!C10,4),$H$3:$H$6,0),MATCH(MOD('Map 2 Do Touch'!D10,4),$I$2:$L$2,0)),'Map 3'!$AJ$4:$AJ$6,0),MATCH(IF('Map 2 Do Touch'!C10&gt;4,"Water","Land"),'Map 3'!$AK$3:$AL$3,0))),IF('Map 2 Do Touch'!D10&gt;4,INDEX($AG$4:$AH$6,MATCH(INDEX($P$3:$S$6,MATCH(MOD('Map 2 Do Touch'!D9,4),$O$3:$O$6,0),MATCH(MOD('Map 2 Do Touch'!D10,4),$P$2:$S$2,0)),$AF$4:$AF$6,0),MATCH(IF('Map 2 Do Touch'!D9&gt;4,"Water","Land"),'Map 3'!$AG$3:$AH$3,0)),INDEX($AK$4:$AL$6,MATCH(INDEX($P$3:$S$6,MATCH(MOD('Map 2 Do Touch'!D9,4),$O$3:$O$6,0),MATCH(MOD('Map 2 Do Touch'!D10,4),$P$2:$S$2,0)),'Map 3'!$AJ$4:$AJ$6,0),MATCH(IF('Map 2 Do Touch'!D9&gt;4,"Water","Land"),'Map 3'!$AK$3:$AL$3,0))))</f>
        <v>Flatland</v>
      </c>
      <c r="E14" s="3" t="str">
        <f ca="1">IF('Map 2 Do Touch'!D9&lt;&gt;'Map 2 Do Touch'!D10,IF('Map 2 Do Touch'!E10&gt;4,INDEX($AG$4:$AH$6,MATCH(INDEX($I$3:$L$6,MATCH(MOD('Map 2 Do Touch'!D10,4),$H$3:$H$6,0),MATCH(MOD('Map 2 Do Touch'!E10,4),$I$2:$L$2,0)),$AF$4:$AF$6,0),MATCH(IF('Map 2 Do Touch'!D10&gt;4,"Water","Land"),'Map 3'!$AG$3:$AH$3,0)),INDEX($AK$4:$AL$6,MATCH(INDEX($I$3:$L$6,MATCH(MOD('Map 2 Do Touch'!D10,4),$H$3:$H$6,0),MATCH(MOD('Map 2 Do Touch'!E10,4),$I$2:$L$2,0)),'Map 3'!$AJ$4:$AJ$6,0),MATCH(IF('Map 2 Do Touch'!D10&gt;4,"Water","Land"),'Map 3'!$AK$3:$AL$3,0))),IF('Map 2 Do Touch'!E10&gt;4,INDEX($AG$4:$AH$6,MATCH(INDEX($P$3:$S$6,MATCH(MOD('Map 2 Do Touch'!E9,4),$O$3:$O$6,0),MATCH(MOD('Map 2 Do Touch'!E10,4),$P$2:$S$2,0)),$AF$4:$AF$6,0),MATCH(IF('Map 2 Do Touch'!E9&gt;4,"Water","Land"),'Map 3'!$AG$3:$AH$3,0)),INDEX($AK$4:$AL$6,MATCH(INDEX($P$3:$S$6,MATCH(MOD('Map 2 Do Touch'!E9,4),$O$3:$O$6,0),MATCH(MOD('Map 2 Do Touch'!E10,4),$P$2:$S$2,0)),'Map 3'!$AJ$4:$AJ$6,0),MATCH(IF('Map 2 Do Touch'!E9&gt;4,"Water","Land"),'Map 3'!$AK$3:$AL$3,0))))</f>
        <v>Flatland</v>
      </c>
      <c r="F14" s="3" t="str">
        <f ca="1">IF('Map 2 Do Touch'!E9&lt;&gt;'Map 2 Do Touch'!E10,IF('Map 2 Do Touch'!F10&gt;4,INDEX($AG$4:$AH$6,MATCH(INDEX($I$3:$L$6,MATCH(MOD('Map 2 Do Touch'!E10,4),$H$3:$H$6,0),MATCH(MOD('Map 2 Do Touch'!F10,4),$I$2:$L$2,0)),$AF$4:$AF$6,0),MATCH(IF('Map 2 Do Touch'!E10&gt;4,"Water","Land"),'Map 3'!$AG$3:$AH$3,0)),INDEX($AK$4:$AL$6,MATCH(INDEX($I$3:$L$6,MATCH(MOD('Map 2 Do Touch'!E10,4),$H$3:$H$6,0),MATCH(MOD('Map 2 Do Touch'!F10,4),$I$2:$L$2,0)),'Map 3'!$AJ$4:$AJ$6,0),MATCH(IF('Map 2 Do Touch'!E10&gt;4,"Water","Land"),'Map 3'!$AK$3:$AL$3,0))),IF('Map 2 Do Touch'!F10&gt;4,INDEX($AG$4:$AH$6,MATCH(INDEX($P$3:$S$6,MATCH(MOD('Map 2 Do Touch'!F9,4),$O$3:$O$6,0),MATCH(MOD('Map 2 Do Touch'!F10,4),$P$2:$S$2,0)),$AF$4:$AF$6,0),MATCH(IF('Map 2 Do Touch'!F9&gt;4,"Water","Land"),'Map 3'!$AG$3:$AH$3,0)),INDEX($AK$4:$AL$6,MATCH(INDEX($P$3:$S$6,MATCH(MOD('Map 2 Do Touch'!F9,4),$O$3:$O$6,0),MATCH(MOD('Map 2 Do Touch'!F10,4),$P$2:$S$2,0)),'Map 3'!$AJ$4:$AJ$6,0),MATCH(IF('Map 2 Do Touch'!F9&gt;4,"Water","Land"),'Map 3'!$AK$3:$AL$3,0))))</f>
        <v>Coast</v>
      </c>
      <c r="G14" s="3" t="str">
        <f ca="1">IF('Map 2 Do Touch'!F9&lt;&gt;'Map 2 Do Touch'!F10,IF('Map 2 Do Touch'!G10&gt;4,INDEX($AG$4:$AH$6,MATCH(INDEX($I$3:$L$6,MATCH(MOD('Map 2 Do Touch'!F10,4),$H$3:$H$6,0),MATCH(MOD('Map 2 Do Touch'!G10,4),$I$2:$L$2,0)),$AF$4:$AF$6,0),MATCH(IF('Map 2 Do Touch'!F10&gt;4,"Water","Land"),'Map 3'!$AG$3:$AH$3,0)),INDEX($AK$4:$AL$6,MATCH(INDEX($I$3:$L$6,MATCH(MOD('Map 2 Do Touch'!F10,4),$H$3:$H$6,0),MATCH(MOD('Map 2 Do Touch'!G10,4),$I$2:$L$2,0)),'Map 3'!$AJ$4:$AJ$6,0),MATCH(IF('Map 2 Do Touch'!F10&gt;4,"Water","Land"),'Map 3'!$AK$3:$AL$3,0))),IF('Map 2 Do Touch'!G10&gt;4,INDEX($AG$4:$AH$6,MATCH(INDEX($P$3:$S$6,MATCH(MOD('Map 2 Do Touch'!G9,4),$O$3:$O$6,0),MATCH(MOD('Map 2 Do Touch'!G10,4),$P$2:$S$2,0)),$AF$4:$AF$6,0),MATCH(IF('Map 2 Do Touch'!G9&gt;4,"Water","Land"),'Map 3'!$AG$3:$AH$3,0)),INDEX($AK$4:$AL$6,MATCH(INDEX($P$3:$S$6,MATCH(MOD('Map 2 Do Touch'!G9,4),$O$3:$O$6,0),MATCH(MOD('Map 2 Do Touch'!G10,4),$P$2:$S$2,0)),'Map 3'!$AJ$4:$AJ$6,0),MATCH(IF('Map 2 Do Touch'!G9&gt;4,"Water","Land"),'Map 3'!$AK$3:$AL$3,0))))</f>
        <v>Island</v>
      </c>
      <c r="H14" s="3" t="str">
        <f ca="1">IF('Map 2 Do Touch'!G9&lt;&gt;'Map 2 Do Touch'!G10,IF('Map 2 Do Touch'!H10&gt;4,INDEX($AG$4:$AH$6,MATCH(INDEX($I$3:$L$6,MATCH(MOD('Map 2 Do Touch'!G10,4),$H$3:$H$6,0),MATCH(MOD('Map 2 Do Touch'!H10,4),$I$2:$L$2,0)),$AF$4:$AF$6,0),MATCH(IF('Map 2 Do Touch'!G10&gt;4,"Water","Land"),'Map 3'!$AG$3:$AH$3,0)),INDEX($AK$4:$AL$6,MATCH(INDEX($I$3:$L$6,MATCH(MOD('Map 2 Do Touch'!G10,4),$H$3:$H$6,0),MATCH(MOD('Map 2 Do Touch'!H10,4),$I$2:$L$2,0)),'Map 3'!$AJ$4:$AJ$6,0),MATCH(IF('Map 2 Do Touch'!G10&gt;4,"Water","Land"),'Map 3'!$AK$3:$AL$3,0))),IF('Map 2 Do Touch'!H10&gt;4,INDEX($AG$4:$AH$6,MATCH(INDEX($P$3:$S$6,MATCH(MOD('Map 2 Do Touch'!H9,4),$O$3:$O$6,0),MATCH(MOD('Map 2 Do Touch'!H10,4),$P$2:$S$2,0)),$AF$4:$AF$6,0),MATCH(IF('Map 2 Do Touch'!H9&gt;4,"Water","Land"),'Map 3'!$AG$3:$AH$3,0)),INDEX($AK$4:$AL$6,MATCH(INDEX($P$3:$S$6,MATCH(MOD('Map 2 Do Touch'!H9,4),$O$3:$O$6,0),MATCH(MOD('Map 2 Do Touch'!H10,4),$P$2:$S$2,0)),'Map 3'!$AJ$4:$AJ$6,0),MATCH(IF('Map 2 Do Touch'!H9&gt;4,"Water","Land"),'Map 3'!$AK$3:$AL$3,0))))</f>
        <v>Ocean</v>
      </c>
      <c r="I14" s="3" t="str">
        <f ca="1">IF('Map 2 Do Touch'!H9&lt;&gt;'Map 2 Do Touch'!H10,IF('Map 2 Do Touch'!I10&gt;4,INDEX($AG$4:$AH$6,MATCH(INDEX($I$3:$L$6,MATCH(MOD('Map 2 Do Touch'!H10,4),$H$3:$H$6,0),MATCH(MOD('Map 2 Do Touch'!I10,4),$I$2:$L$2,0)),$AF$4:$AF$6,0),MATCH(IF('Map 2 Do Touch'!H10&gt;4,"Water","Land"),'Map 3'!$AG$3:$AH$3,0)),INDEX($AK$4:$AL$6,MATCH(INDEX($I$3:$L$6,MATCH(MOD('Map 2 Do Touch'!H10,4),$H$3:$H$6,0),MATCH(MOD('Map 2 Do Touch'!I10,4),$I$2:$L$2,0)),'Map 3'!$AJ$4:$AJ$6,0),MATCH(IF('Map 2 Do Touch'!H10&gt;4,"Water","Land"),'Map 3'!$AK$3:$AL$3,0))),IF('Map 2 Do Touch'!I10&gt;4,INDEX($AG$4:$AH$6,MATCH(INDEX($P$3:$S$6,MATCH(MOD('Map 2 Do Touch'!I9,4),$O$3:$O$6,0),MATCH(MOD('Map 2 Do Touch'!I10,4),$P$2:$S$2,0)),$AF$4:$AF$6,0),MATCH(IF('Map 2 Do Touch'!I9&gt;4,"Water","Land"),'Map 3'!$AG$3:$AH$3,0)),INDEX($AK$4:$AL$6,MATCH(INDEX($P$3:$S$6,MATCH(MOD('Map 2 Do Touch'!I9,4),$O$3:$O$6,0),MATCH(MOD('Map 2 Do Touch'!I10,4),$P$2:$S$2,0)),'Map 3'!$AJ$4:$AJ$6,0),MATCH(IF('Map 2 Do Touch'!I9&gt;4,"Water","Land"),'Map 3'!$AK$3:$AL$3,0))))</f>
        <v>Ocean</v>
      </c>
      <c r="J14" s="3" t="str">
        <f ca="1">IF('Map 2 Do Touch'!I9&lt;&gt;'Map 2 Do Touch'!I10,IF('Map 2 Do Touch'!J10&gt;4,INDEX($AG$4:$AH$6,MATCH(INDEX($I$3:$L$6,MATCH(MOD('Map 2 Do Touch'!I10,4),$H$3:$H$6,0),MATCH(MOD('Map 2 Do Touch'!J10,4),$I$2:$L$2,0)),$AF$4:$AF$6,0),MATCH(IF('Map 2 Do Touch'!I10&gt;4,"Water","Land"),'Map 3'!$AG$3:$AH$3,0)),INDEX($AK$4:$AL$6,MATCH(INDEX($I$3:$L$6,MATCH(MOD('Map 2 Do Touch'!I10,4),$H$3:$H$6,0),MATCH(MOD('Map 2 Do Touch'!J10,4),$I$2:$L$2,0)),'Map 3'!$AJ$4:$AJ$6,0),MATCH(IF('Map 2 Do Touch'!I10&gt;4,"Water","Land"),'Map 3'!$AK$3:$AL$3,0))),IF('Map 2 Do Touch'!J10&gt;4,INDEX($AG$4:$AH$6,MATCH(INDEX($P$3:$S$6,MATCH(MOD('Map 2 Do Touch'!J9,4),$O$3:$O$6,0),MATCH(MOD('Map 2 Do Touch'!J10,4),$P$2:$S$2,0)),$AF$4:$AF$6,0),MATCH(IF('Map 2 Do Touch'!J9&gt;4,"Water","Land"),'Map 3'!$AG$3:$AH$3,0)),INDEX($AK$4:$AL$6,MATCH(INDEX($P$3:$S$6,MATCH(MOD('Map 2 Do Touch'!J9,4),$O$3:$O$6,0),MATCH(MOD('Map 2 Do Touch'!J10,4),$P$2:$S$2,0)),'Map 3'!$AJ$4:$AJ$6,0),MATCH(IF('Map 2 Do Touch'!J9&gt;4,"Water","Land"),'Map 3'!$AK$3:$AL$3,0))))</f>
        <v>Ocean</v>
      </c>
      <c r="K14" s="3" t="str">
        <f ca="1">IF('Map 2 Do Touch'!J9&lt;&gt;'Map 2 Do Touch'!J10,IF('Map 2 Do Touch'!K10&gt;4,INDEX($AG$4:$AH$6,MATCH(INDEX($I$3:$L$6,MATCH(MOD('Map 2 Do Touch'!J10,4),$H$3:$H$6,0),MATCH(MOD('Map 2 Do Touch'!K10,4),$I$2:$L$2,0)),$AF$4:$AF$6,0),MATCH(IF('Map 2 Do Touch'!J10&gt;4,"Water","Land"),'Map 3'!$AG$3:$AH$3,0)),INDEX($AK$4:$AL$6,MATCH(INDEX($I$3:$L$6,MATCH(MOD('Map 2 Do Touch'!J10,4),$H$3:$H$6,0),MATCH(MOD('Map 2 Do Touch'!K10,4),$I$2:$L$2,0)),'Map 3'!$AJ$4:$AJ$6,0),MATCH(IF('Map 2 Do Touch'!J10&gt;4,"Water","Land"),'Map 3'!$AK$3:$AL$3,0))),IF('Map 2 Do Touch'!K10&gt;4,INDEX($AG$4:$AH$6,MATCH(INDEX($P$3:$S$6,MATCH(MOD('Map 2 Do Touch'!K9,4),$O$3:$O$6,0),MATCH(MOD('Map 2 Do Touch'!K10,4),$P$2:$S$2,0)),$AF$4:$AF$6,0),MATCH(IF('Map 2 Do Touch'!K9&gt;4,"Water","Land"),'Map 3'!$AG$3:$AH$3,0)),INDEX($AK$4:$AL$6,MATCH(INDEX($P$3:$S$6,MATCH(MOD('Map 2 Do Touch'!K9,4),$O$3:$O$6,0),MATCH(MOD('Map 2 Do Touch'!K10,4),$P$2:$S$2,0)),'Map 3'!$AJ$4:$AJ$6,0),MATCH(IF('Map 2 Do Touch'!K9&gt;4,"Water","Land"),'Map 3'!$AK$3:$AL$3,0))))</f>
        <v>Trench</v>
      </c>
      <c r="L14" s="3" t="str">
        <f ca="1">IF('Map 2 Do Touch'!K9&lt;&gt;'Map 2 Do Touch'!K10,IF('Map 2 Do Touch'!L10&gt;4,INDEX($AG$4:$AH$6,MATCH(INDEX($I$3:$L$6,MATCH(MOD('Map 2 Do Touch'!K10,4),$H$3:$H$6,0),MATCH(MOD('Map 2 Do Touch'!L10,4),$I$2:$L$2,0)),$AF$4:$AF$6,0),MATCH(IF('Map 2 Do Touch'!K10&gt;4,"Water","Land"),'Map 3'!$AG$3:$AH$3,0)),INDEX($AK$4:$AL$6,MATCH(INDEX($I$3:$L$6,MATCH(MOD('Map 2 Do Touch'!K10,4),$H$3:$H$6,0),MATCH(MOD('Map 2 Do Touch'!L10,4),$I$2:$L$2,0)),'Map 3'!$AJ$4:$AJ$6,0),MATCH(IF('Map 2 Do Touch'!K10&gt;4,"Water","Land"),'Map 3'!$AK$3:$AL$3,0))),IF('Map 2 Do Touch'!L10&gt;4,INDEX($AG$4:$AH$6,MATCH(INDEX($P$3:$S$6,MATCH(MOD('Map 2 Do Touch'!L9,4),$O$3:$O$6,0),MATCH(MOD('Map 2 Do Touch'!L10,4),$P$2:$S$2,0)),$AF$4:$AF$6,0),MATCH(IF('Map 2 Do Touch'!L9&gt;4,"Water","Land"),'Map 3'!$AG$3:$AH$3,0)),INDEX($AK$4:$AL$6,MATCH(INDEX($P$3:$S$6,MATCH(MOD('Map 2 Do Touch'!L9,4),$O$3:$O$6,0),MATCH(MOD('Map 2 Do Touch'!L10,4),$P$2:$S$2,0)),'Map 3'!$AJ$4:$AJ$6,0),MATCH(IF('Map 2 Do Touch'!L9&gt;4,"Water","Land"),'Map 3'!$AK$3:$AL$3,0))))</f>
        <v>Trench</v>
      </c>
      <c r="M14" s="3" t="str">
        <f ca="1">IF('Map 2 Do Touch'!L9&lt;&gt;'Map 2 Do Touch'!L10,IF('Map 2 Do Touch'!M10&gt;4,INDEX($AG$4:$AH$6,MATCH(INDEX($I$3:$L$6,MATCH(MOD('Map 2 Do Touch'!L10,4),$H$3:$H$6,0),MATCH(MOD('Map 2 Do Touch'!M10,4),$I$2:$L$2,0)),$AF$4:$AF$6,0),MATCH(IF('Map 2 Do Touch'!L10&gt;4,"Water","Land"),'Map 3'!$AG$3:$AH$3,0)),INDEX($AK$4:$AL$6,MATCH(INDEX($I$3:$L$6,MATCH(MOD('Map 2 Do Touch'!L10,4),$H$3:$H$6,0),MATCH(MOD('Map 2 Do Touch'!M10,4),$I$2:$L$2,0)),'Map 3'!$AJ$4:$AJ$6,0),MATCH(IF('Map 2 Do Touch'!L10&gt;4,"Water","Land"),'Map 3'!$AK$3:$AL$3,0))),IF('Map 2 Do Touch'!M10&gt;4,INDEX($AG$4:$AH$6,MATCH(INDEX($P$3:$S$6,MATCH(MOD('Map 2 Do Touch'!M9,4),$O$3:$O$6,0),MATCH(MOD('Map 2 Do Touch'!M10,4),$P$2:$S$2,0)),$AF$4:$AF$6,0),MATCH(IF('Map 2 Do Touch'!M9&gt;4,"Water","Land"),'Map 3'!$AG$3:$AH$3,0)),INDEX($AK$4:$AL$6,MATCH(INDEX($P$3:$S$6,MATCH(MOD('Map 2 Do Touch'!M9,4),$O$3:$O$6,0),MATCH(MOD('Map 2 Do Touch'!M10,4),$P$2:$S$2,0)),'Map 3'!$AJ$4:$AJ$6,0),MATCH(IF('Map 2 Do Touch'!M9&gt;4,"Water","Land"),'Map 3'!$AK$3:$AL$3,0))))</f>
        <v>Ocean</v>
      </c>
      <c r="N14" s="3" t="str">
        <f ca="1">IF('Map 2 Do Touch'!M9&lt;&gt;'Map 2 Do Touch'!M10,IF('Map 2 Do Touch'!N10&gt;4,INDEX($AG$4:$AH$6,MATCH(INDEX($I$3:$L$6,MATCH(MOD('Map 2 Do Touch'!M10,4),$H$3:$H$6,0),MATCH(MOD('Map 2 Do Touch'!N10,4),$I$2:$L$2,0)),$AF$4:$AF$6,0),MATCH(IF('Map 2 Do Touch'!M10&gt;4,"Water","Land"),'Map 3'!$AG$3:$AH$3,0)),INDEX($AK$4:$AL$6,MATCH(INDEX($I$3:$L$6,MATCH(MOD('Map 2 Do Touch'!M10,4),$H$3:$H$6,0),MATCH(MOD('Map 2 Do Touch'!N10,4),$I$2:$L$2,0)),'Map 3'!$AJ$4:$AJ$6,0),MATCH(IF('Map 2 Do Touch'!M10&gt;4,"Water","Land"),'Map 3'!$AK$3:$AL$3,0))),IF('Map 2 Do Touch'!N10&gt;4,INDEX($AG$4:$AH$6,MATCH(INDEX($P$3:$S$6,MATCH(MOD('Map 2 Do Touch'!N9,4),$O$3:$O$6,0),MATCH(MOD('Map 2 Do Touch'!N10,4),$P$2:$S$2,0)),$AF$4:$AF$6,0),MATCH(IF('Map 2 Do Touch'!N9&gt;4,"Water","Land"),'Map 3'!$AG$3:$AH$3,0)),INDEX($AK$4:$AL$6,MATCH(INDEX($P$3:$S$6,MATCH(MOD('Map 2 Do Touch'!N9,4),$O$3:$O$6,0),MATCH(MOD('Map 2 Do Touch'!N10,4),$P$2:$S$2,0)),'Map 3'!$AJ$4:$AJ$6,0),MATCH(IF('Map 2 Do Touch'!N9&gt;4,"Water","Land"),'Map 3'!$AK$3:$AL$3,0))))</f>
        <v>Ocean</v>
      </c>
      <c r="O14" s="3" t="str">
        <f ca="1">IF('Map 2 Do Touch'!N9&lt;&gt;'Map 2 Do Touch'!N10,IF('Map 2 Do Touch'!O10&gt;4,INDEX($AG$4:$AH$6,MATCH(INDEX($I$3:$L$6,MATCH(MOD('Map 2 Do Touch'!N10,4),$H$3:$H$6,0),MATCH(MOD('Map 2 Do Touch'!O10,4),$I$2:$L$2,0)),$AF$4:$AF$6,0),MATCH(IF('Map 2 Do Touch'!N10&gt;4,"Water","Land"),'Map 3'!$AG$3:$AH$3,0)),INDEX($AK$4:$AL$6,MATCH(INDEX($I$3:$L$6,MATCH(MOD('Map 2 Do Touch'!N10,4),$H$3:$H$6,0),MATCH(MOD('Map 2 Do Touch'!O10,4),$I$2:$L$2,0)),'Map 3'!$AJ$4:$AJ$6,0),MATCH(IF('Map 2 Do Touch'!N10&gt;4,"Water","Land"),'Map 3'!$AK$3:$AL$3,0))),IF('Map 2 Do Touch'!O10&gt;4,INDEX($AG$4:$AH$6,MATCH(INDEX($P$3:$S$6,MATCH(MOD('Map 2 Do Touch'!O9,4),$O$3:$O$6,0),MATCH(MOD('Map 2 Do Touch'!O10,4),$P$2:$S$2,0)),$AF$4:$AF$6,0),MATCH(IF('Map 2 Do Touch'!O9&gt;4,"Water","Land"),'Map 3'!$AG$3:$AH$3,0)),INDEX($AK$4:$AL$6,MATCH(INDEX($P$3:$S$6,MATCH(MOD('Map 2 Do Touch'!O9,4),$O$3:$O$6,0),MATCH(MOD('Map 2 Do Touch'!O10,4),$P$2:$S$2,0)),'Map 3'!$AJ$4:$AJ$6,0),MATCH(IF('Map 2 Do Touch'!O9&gt;4,"Water","Land"),'Map 3'!$AK$3:$AL$3,0))))</f>
        <v>Ocean</v>
      </c>
      <c r="P14" s="3" t="str">
        <f ca="1">IF('Map 2 Do Touch'!O9&lt;&gt;'Map 2 Do Touch'!O10,IF('Map 2 Do Touch'!P10&gt;4,INDEX($AG$4:$AH$6,MATCH(INDEX($I$3:$L$6,MATCH(MOD('Map 2 Do Touch'!O10,4),$H$3:$H$6,0),MATCH(MOD('Map 2 Do Touch'!P10,4),$I$2:$L$2,0)),$AF$4:$AF$6,0),MATCH(IF('Map 2 Do Touch'!O10&gt;4,"Water","Land"),'Map 3'!$AG$3:$AH$3,0)),INDEX($AK$4:$AL$6,MATCH(INDEX($I$3:$L$6,MATCH(MOD('Map 2 Do Touch'!O10,4),$H$3:$H$6,0),MATCH(MOD('Map 2 Do Touch'!P10,4),$I$2:$L$2,0)),'Map 3'!$AJ$4:$AJ$6,0),MATCH(IF('Map 2 Do Touch'!O10&gt;4,"Water","Land"),'Map 3'!$AK$3:$AL$3,0))),IF('Map 2 Do Touch'!P10&gt;4,INDEX($AG$4:$AH$6,MATCH(INDEX($P$3:$S$6,MATCH(MOD('Map 2 Do Touch'!P9,4),$O$3:$O$6,0),MATCH(MOD('Map 2 Do Touch'!P10,4),$P$2:$S$2,0)),$AF$4:$AF$6,0),MATCH(IF('Map 2 Do Touch'!P9&gt;4,"Water","Land"),'Map 3'!$AG$3:$AH$3,0)),INDEX($AK$4:$AL$6,MATCH(INDEX($P$3:$S$6,MATCH(MOD('Map 2 Do Touch'!P9,4),$O$3:$O$6,0),MATCH(MOD('Map 2 Do Touch'!P10,4),$P$2:$S$2,0)),'Map 3'!$AJ$4:$AJ$6,0),MATCH(IF('Map 2 Do Touch'!P9&gt;4,"Water","Land"),'Map 3'!$AK$3:$AL$3,0))))</f>
        <v>Ocean</v>
      </c>
      <c r="Q14" s="3" t="str">
        <f ca="1">IF('Map 2 Do Touch'!P9&lt;&gt;'Map 2 Do Touch'!P10,IF('Map 2 Do Touch'!Q10&gt;4,INDEX($AG$4:$AH$6,MATCH(INDEX($I$3:$L$6,MATCH(MOD('Map 2 Do Touch'!P10,4),$H$3:$H$6,0),MATCH(MOD('Map 2 Do Touch'!Q10,4),$I$2:$L$2,0)),$AF$4:$AF$6,0),MATCH(IF('Map 2 Do Touch'!P10&gt;4,"Water","Land"),'Map 3'!$AG$3:$AH$3,0)),INDEX($AK$4:$AL$6,MATCH(INDEX($I$3:$L$6,MATCH(MOD('Map 2 Do Touch'!P10,4),$H$3:$H$6,0),MATCH(MOD('Map 2 Do Touch'!Q10,4),$I$2:$L$2,0)),'Map 3'!$AJ$4:$AJ$6,0),MATCH(IF('Map 2 Do Touch'!P10&gt;4,"Water","Land"),'Map 3'!$AK$3:$AL$3,0))),IF('Map 2 Do Touch'!Q10&gt;4,INDEX($AG$4:$AH$6,MATCH(INDEX($P$3:$S$6,MATCH(MOD('Map 2 Do Touch'!Q9,4),$O$3:$O$6,0),MATCH(MOD('Map 2 Do Touch'!Q10,4),$P$2:$S$2,0)),$AF$4:$AF$6,0),MATCH(IF('Map 2 Do Touch'!Q9&gt;4,"Water","Land"),'Map 3'!$AG$3:$AH$3,0)),INDEX($AK$4:$AL$6,MATCH(INDEX($P$3:$S$6,MATCH(MOD('Map 2 Do Touch'!Q9,4),$O$3:$O$6,0),MATCH(MOD('Map 2 Do Touch'!Q10,4),$P$2:$S$2,0)),'Map 3'!$AJ$4:$AJ$6,0),MATCH(IF('Map 2 Do Touch'!Q9&gt;4,"Water","Land"),'Map 3'!$AK$3:$AL$3,0))))</f>
        <v>Ocean</v>
      </c>
      <c r="R14" s="3" t="str">
        <f ca="1">IF('Map 2 Do Touch'!Q9&lt;&gt;'Map 2 Do Touch'!Q10,IF('Map 2 Do Touch'!R10&gt;4,INDEX($AG$4:$AH$6,MATCH(INDEX($I$3:$L$6,MATCH(MOD('Map 2 Do Touch'!Q10,4),$H$3:$H$6,0),MATCH(MOD('Map 2 Do Touch'!R10,4),$I$2:$L$2,0)),$AF$4:$AF$6,0),MATCH(IF('Map 2 Do Touch'!Q10&gt;4,"Water","Land"),'Map 3'!$AG$3:$AH$3,0)),INDEX($AK$4:$AL$6,MATCH(INDEX($I$3:$L$6,MATCH(MOD('Map 2 Do Touch'!Q10,4),$H$3:$H$6,0),MATCH(MOD('Map 2 Do Touch'!R10,4),$I$2:$L$2,0)),'Map 3'!$AJ$4:$AJ$6,0),MATCH(IF('Map 2 Do Touch'!Q10&gt;4,"Water","Land"),'Map 3'!$AK$3:$AL$3,0))),IF('Map 2 Do Touch'!R10&gt;4,INDEX($AG$4:$AH$6,MATCH(INDEX($P$3:$S$6,MATCH(MOD('Map 2 Do Touch'!R9,4),$O$3:$O$6,0),MATCH(MOD('Map 2 Do Touch'!R10,4),$P$2:$S$2,0)),$AF$4:$AF$6,0),MATCH(IF('Map 2 Do Touch'!R9&gt;4,"Water","Land"),'Map 3'!$AG$3:$AH$3,0)),INDEX($AK$4:$AL$6,MATCH(INDEX($P$3:$S$6,MATCH(MOD('Map 2 Do Touch'!R9,4),$O$3:$O$6,0),MATCH(MOD('Map 2 Do Touch'!R10,4),$P$2:$S$2,0)),'Map 3'!$AJ$4:$AJ$6,0),MATCH(IF('Map 2 Do Touch'!R9&gt;4,"Water","Land"),'Map 3'!$AK$3:$AL$3,0))))</f>
        <v>Ocean</v>
      </c>
      <c r="S14" s="3" t="str">
        <f ca="1">IF('Map 2 Do Touch'!R9&lt;&gt;'Map 2 Do Touch'!R10,IF('Map 2 Do Touch'!S10&gt;4,INDEX($AG$4:$AH$6,MATCH(INDEX($I$3:$L$6,MATCH(MOD('Map 2 Do Touch'!R10,4),$H$3:$H$6,0),MATCH(MOD('Map 2 Do Touch'!S10,4),$I$2:$L$2,0)),$AF$4:$AF$6,0),MATCH(IF('Map 2 Do Touch'!R10&gt;4,"Water","Land"),'Map 3'!$AG$3:$AH$3,0)),INDEX($AK$4:$AL$6,MATCH(INDEX($I$3:$L$6,MATCH(MOD('Map 2 Do Touch'!R10,4),$H$3:$H$6,0),MATCH(MOD('Map 2 Do Touch'!S10,4),$I$2:$L$2,0)),'Map 3'!$AJ$4:$AJ$6,0),MATCH(IF('Map 2 Do Touch'!R10&gt;4,"Water","Land"),'Map 3'!$AK$3:$AL$3,0))),IF('Map 2 Do Touch'!S10&gt;4,INDEX($AG$4:$AH$6,MATCH(INDEX($P$3:$S$6,MATCH(MOD('Map 2 Do Touch'!S9,4),$O$3:$O$6,0),MATCH(MOD('Map 2 Do Touch'!S10,4),$P$2:$S$2,0)),$AF$4:$AF$6,0),MATCH(IF('Map 2 Do Touch'!S9&gt;4,"Water","Land"),'Map 3'!$AG$3:$AH$3,0)),INDEX($AK$4:$AL$6,MATCH(INDEX($P$3:$S$6,MATCH(MOD('Map 2 Do Touch'!S9,4),$O$3:$O$6,0),MATCH(MOD('Map 2 Do Touch'!S10,4),$P$2:$S$2,0)),'Map 3'!$AJ$4:$AJ$6,0),MATCH(IF('Map 2 Do Touch'!S9&gt;4,"Water","Land"),'Map 3'!$AK$3:$AL$3,0))))</f>
        <v>Ocean</v>
      </c>
      <c r="T14" s="3" t="str">
        <f ca="1">IF('Map 2 Do Touch'!S9&lt;&gt;'Map 2 Do Touch'!S10,IF('Map 2 Do Touch'!T10&gt;4,INDEX($AG$4:$AH$6,MATCH(INDEX($I$3:$L$6,MATCH(MOD('Map 2 Do Touch'!S10,4),$H$3:$H$6,0),MATCH(MOD('Map 2 Do Touch'!T10,4),$I$2:$L$2,0)),$AF$4:$AF$6,0),MATCH(IF('Map 2 Do Touch'!S10&gt;4,"Water","Land"),'Map 3'!$AG$3:$AH$3,0)),INDEX($AK$4:$AL$6,MATCH(INDEX($I$3:$L$6,MATCH(MOD('Map 2 Do Touch'!S10,4),$H$3:$H$6,0),MATCH(MOD('Map 2 Do Touch'!T10,4),$I$2:$L$2,0)),'Map 3'!$AJ$4:$AJ$6,0),MATCH(IF('Map 2 Do Touch'!S10&gt;4,"Water","Land"),'Map 3'!$AK$3:$AL$3,0))),IF('Map 2 Do Touch'!T10&gt;4,INDEX($AG$4:$AH$6,MATCH(INDEX($P$3:$S$6,MATCH(MOD('Map 2 Do Touch'!T9,4),$O$3:$O$6,0),MATCH(MOD('Map 2 Do Touch'!T10,4),$P$2:$S$2,0)),$AF$4:$AF$6,0),MATCH(IF('Map 2 Do Touch'!T9&gt;4,"Water","Land"),'Map 3'!$AG$3:$AH$3,0)),INDEX($AK$4:$AL$6,MATCH(INDEX($P$3:$S$6,MATCH(MOD('Map 2 Do Touch'!T9,4),$O$3:$O$6,0),MATCH(MOD('Map 2 Do Touch'!T10,4),$P$2:$S$2,0)),'Map 3'!$AJ$4:$AJ$6,0),MATCH(IF('Map 2 Do Touch'!T9&gt;4,"Water","Land"),'Map 3'!$AK$3:$AL$3,0))))</f>
        <v>Ocean</v>
      </c>
      <c r="U14" s="3" t="str">
        <f ca="1">IF('Map 2 Do Touch'!T9&lt;&gt;'Map 2 Do Touch'!T10,IF('Map 2 Do Touch'!U10&gt;4,INDEX($AG$4:$AH$6,MATCH(INDEX($I$3:$L$6,MATCH(MOD('Map 2 Do Touch'!T10,4),$H$3:$H$6,0),MATCH(MOD('Map 2 Do Touch'!U10,4),$I$2:$L$2,0)),$AF$4:$AF$6,0),MATCH(IF('Map 2 Do Touch'!T10&gt;4,"Water","Land"),'Map 3'!$AG$3:$AH$3,0)),INDEX($AK$4:$AL$6,MATCH(INDEX($I$3:$L$6,MATCH(MOD('Map 2 Do Touch'!T10,4),$H$3:$H$6,0),MATCH(MOD('Map 2 Do Touch'!U10,4),$I$2:$L$2,0)),'Map 3'!$AJ$4:$AJ$6,0),MATCH(IF('Map 2 Do Touch'!T10&gt;4,"Water","Land"),'Map 3'!$AK$3:$AL$3,0))),IF('Map 2 Do Touch'!U10&gt;4,INDEX($AG$4:$AH$6,MATCH(INDEX($P$3:$S$6,MATCH(MOD('Map 2 Do Touch'!U9,4),$O$3:$O$6,0),MATCH(MOD('Map 2 Do Touch'!U10,4),$P$2:$S$2,0)),$AF$4:$AF$6,0),MATCH(IF('Map 2 Do Touch'!U9&gt;4,"Water","Land"),'Map 3'!$AG$3:$AH$3,0)),INDEX($AK$4:$AL$6,MATCH(INDEX($P$3:$S$6,MATCH(MOD('Map 2 Do Touch'!U9,4),$O$3:$O$6,0),MATCH(MOD('Map 2 Do Touch'!U10,4),$P$2:$S$2,0)),'Map 3'!$AJ$4:$AJ$6,0),MATCH(IF('Map 2 Do Touch'!U9&gt;4,"Water","Land"),'Map 3'!$AK$3:$AL$3,0))))</f>
        <v>Ocean</v>
      </c>
      <c r="V14" s="3" t="str">
        <f ca="1">IF('Map 2 Do Touch'!U9&lt;&gt;'Map 2 Do Touch'!U10,IF('Map 2 Do Touch'!V10&gt;4,INDEX($AG$4:$AH$6,MATCH(INDEX($I$3:$L$6,MATCH(MOD('Map 2 Do Touch'!U10,4),$H$3:$H$6,0),MATCH(MOD('Map 2 Do Touch'!V10,4),$I$2:$L$2,0)),$AF$4:$AF$6,0),MATCH(IF('Map 2 Do Touch'!U10&gt;4,"Water","Land"),'Map 3'!$AG$3:$AH$3,0)),INDEX($AK$4:$AL$6,MATCH(INDEX($I$3:$L$6,MATCH(MOD('Map 2 Do Touch'!U10,4),$H$3:$H$6,0),MATCH(MOD('Map 2 Do Touch'!V10,4),$I$2:$L$2,0)),'Map 3'!$AJ$4:$AJ$6,0),MATCH(IF('Map 2 Do Touch'!U10&gt;4,"Water","Land"),'Map 3'!$AK$3:$AL$3,0))),IF('Map 2 Do Touch'!V10&gt;4,INDEX($AG$4:$AH$6,MATCH(INDEX($P$3:$S$6,MATCH(MOD('Map 2 Do Touch'!V9,4),$O$3:$O$6,0),MATCH(MOD('Map 2 Do Touch'!V10,4),$P$2:$S$2,0)),$AF$4:$AF$6,0),MATCH(IF('Map 2 Do Touch'!V9&gt;4,"Water","Land"),'Map 3'!$AG$3:$AH$3,0)),INDEX($AK$4:$AL$6,MATCH(INDEX($P$3:$S$6,MATCH(MOD('Map 2 Do Touch'!V9,4),$O$3:$O$6,0),MATCH(MOD('Map 2 Do Touch'!V10,4),$P$2:$S$2,0)),'Map 3'!$AJ$4:$AJ$6,0),MATCH(IF('Map 2 Do Touch'!V9&gt;4,"Water","Land"),'Map 3'!$AK$3:$AL$3,0))))</f>
        <v>Trench</v>
      </c>
      <c r="W14" s="3" t="str">
        <f ca="1">IF('Map 2 Do Touch'!V9&lt;&gt;'Map 2 Do Touch'!V10,IF('Map 2 Do Touch'!W10&gt;4,INDEX($AG$4:$AH$6,MATCH(INDEX($I$3:$L$6,MATCH(MOD('Map 2 Do Touch'!V10,4),$H$3:$H$6,0),MATCH(MOD('Map 2 Do Touch'!W10,4),$I$2:$L$2,0)),$AF$4:$AF$6,0),MATCH(IF('Map 2 Do Touch'!V10&gt;4,"Water","Land"),'Map 3'!$AG$3:$AH$3,0)),INDEX($AK$4:$AL$6,MATCH(INDEX($I$3:$L$6,MATCH(MOD('Map 2 Do Touch'!V10,4),$H$3:$H$6,0),MATCH(MOD('Map 2 Do Touch'!W10,4),$I$2:$L$2,0)),'Map 3'!$AJ$4:$AJ$6,0),MATCH(IF('Map 2 Do Touch'!V10&gt;4,"Water","Land"),'Map 3'!$AK$3:$AL$3,0))),IF('Map 2 Do Touch'!W10&gt;4,INDEX($AG$4:$AH$6,MATCH(INDEX($P$3:$S$6,MATCH(MOD('Map 2 Do Touch'!W9,4),$O$3:$O$6,0),MATCH(MOD('Map 2 Do Touch'!W10,4),$P$2:$S$2,0)),$AF$4:$AF$6,0),MATCH(IF('Map 2 Do Touch'!W9&gt;4,"Water","Land"),'Map 3'!$AG$3:$AH$3,0)),INDEX($AK$4:$AL$6,MATCH(INDEX($P$3:$S$6,MATCH(MOD('Map 2 Do Touch'!W9,4),$O$3:$O$6,0),MATCH(MOD('Map 2 Do Touch'!W10,4),$P$2:$S$2,0)),'Map 3'!$AJ$4:$AJ$6,0),MATCH(IF('Map 2 Do Touch'!W9&gt;4,"Water","Land"),'Map 3'!$AK$3:$AL$3,0))))</f>
        <v>Ocean</v>
      </c>
      <c r="X14" s="3" t="str">
        <f ca="1">IF('Map 2 Do Touch'!W9&lt;&gt;'Map 2 Do Touch'!W10,IF('Map 2 Do Touch'!X10&gt;4,INDEX($AG$4:$AH$6,MATCH(INDEX($I$3:$L$6,MATCH(MOD('Map 2 Do Touch'!W10,4),$H$3:$H$6,0),MATCH(MOD('Map 2 Do Touch'!X10,4),$I$2:$L$2,0)),$AF$4:$AF$6,0),MATCH(IF('Map 2 Do Touch'!W10&gt;4,"Water","Land"),'Map 3'!$AG$3:$AH$3,0)),INDEX($AK$4:$AL$6,MATCH(INDEX($I$3:$L$6,MATCH(MOD('Map 2 Do Touch'!W10,4),$H$3:$H$6,0),MATCH(MOD('Map 2 Do Touch'!X10,4),$I$2:$L$2,0)),'Map 3'!$AJ$4:$AJ$6,0),MATCH(IF('Map 2 Do Touch'!W10&gt;4,"Water","Land"),'Map 3'!$AK$3:$AL$3,0))),IF('Map 2 Do Touch'!X10&gt;4,INDEX($AG$4:$AH$6,MATCH(INDEX($P$3:$S$6,MATCH(MOD('Map 2 Do Touch'!X9,4),$O$3:$O$6,0),MATCH(MOD('Map 2 Do Touch'!X10,4),$P$2:$S$2,0)),$AF$4:$AF$6,0),MATCH(IF('Map 2 Do Touch'!X9&gt;4,"Water","Land"),'Map 3'!$AG$3:$AH$3,0)),INDEX($AK$4:$AL$6,MATCH(INDEX($P$3:$S$6,MATCH(MOD('Map 2 Do Touch'!X9,4),$O$3:$O$6,0),MATCH(MOD('Map 2 Do Touch'!X10,4),$P$2:$S$2,0)),'Map 3'!$AJ$4:$AJ$6,0),MATCH(IF('Map 2 Do Touch'!X9&gt;4,"Water","Land"),'Map 3'!$AK$3:$AL$3,0))))</f>
        <v>Ocean</v>
      </c>
      <c r="Y14" s="3" t="str">
        <f ca="1">IF('Map 2 Do Touch'!X9&lt;&gt;'Map 2 Do Touch'!X10,IF('Map 2 Do Touch'!Y10&gt;4,INDEX($AG$4:$AH$6,MATCH(INDEX($I$3:$L$6,MATCH(MOD('Map 2 Do Touch'!X10,4),$H$3:$H$6,0),MATCH(MOD('Map 2 Do Touch'!Y10,4),$I$2:$L$2,0)),$AF$4:$AF$6,0),MATCH(IF('Map 2 Do Touch'!X10&gt;4,"Water","Land"),'Map 3'!$AG$3:$AH$3,0)),INDEX($AK$4:$AL$6,MATCH(INDEX($I$3:$L$6,MATCH(MOD('Map 2 Do Touch'!X10,4),$H$3:$H$6,0),MATCH(MOD('Map 2 Do Touch'!Y10,4),$I$2:$L$2,0)),'Map 3'!$AJ$4:$AJ$6,0),MATCH(IF('Map 2 Do Touch'!X10&gt;4,"Water","Land"),'Map 3'!$AK$3:$AL$3,0))),IF('Map 2 Do Touch'!Y10&gt;4,INDEX($AG$4:$AH$6,MATCH(INDEX($P$3:$S$6,MATCH(MOD('Map 2 Do Touch'!Y9,4),$O$3:$O$6,0),MATCH(MOD('Map 2 Do Touch'!Y10,4),$P$2:$S$2,0)),$AF$4:$AF$6,0),MATCH(IF('Map 2 Do Touch'!Y9&gt;4,"Water","Land"),'Map 3'!$AG$3:$AH$3,0)),INDEX($AK$4:$AL$6,MATCH(INDEX($P$3:$S$6,MATCH(MOD('Map 2 Do Touch'!Y9,4),$O$3:$O$6,0),MATCH(MOD('Map 2 Do Touch'!Y10,4),$P$2:$S$2,0)),'Map 3'!$AJ$4:$AJ$6,0),MATCH(IF('Map 2 Do Touch'!Y9&gt;4,"Water","Land"),'Map 3'!$AK$3:$AL$3,0))))</f>
        <v>Ocean</v>
      </c>
      <c r="Z14" s="3" t="str">
        <f ca="1">IF('Map 2 Do Touch'!Y9&lt;&gt;'Map 2 Do Touch'!Y10,IF('Map 2 Do Touch'!Z10&gt;4,INDEX($AG$4:$AH$6,MATCH(INDEX($I$3:$L$6,MATCH(MOD('Map 2 Do Touch'!Y10,4),$H$3:$H$6,0),MATCH(MOD('Map 2 Do Touch'!Z10,4),$I$2:$L$2,0)),$AF$4:$AF$6,0),MATCH(IF('Map 2 Do Touch'!Y10&gt;4,"Water","Land"),'Map 3'!$AG$3:$AH$3,0)),INDEX($AK$4:$AL$6,MATCH(INDEX($I$3:$L$6,MATCH(MOD('Map 2 Do Touch'!Y10,4),$H$3:$H$6,0),MATCH(MOD('Map 2 Do Touch'!Z10,4),$I$2:$L$2,0)),'Map 3'!$AJ$4:$AJ$6,0),MATCH(IF('Map 2 Do Touch'!Y10&gt;4,"Water","Land"),'Map 3'!$AK$3:$AL$3,0))),IF('Map 2 Do Touch'!Z10&gt;4,INDEX($AG$4:$AH$6,MATCH(INDEX($P$3:$S$6,MATCH(MOD('Map 2 Do Touch'!Z9,4),$O$3:$O$6,0),MATCH(MOD('Map 2 Do Touch'!Z10,4),$P$2:$S$2,0)),$AF$4:$AF$6,0),MATCH(IF('Map 2 Do Touch'!Z9&gt;4,"Water","Land"),'Map 3'!$AG$3:$AH$3,0)),INDEX($AK$4:$AL$6,MATCH(INDEX($P$3:$S$6,MATCH(MOD('Map 2 Do Touch'!Z9,4),$O$3:$O$6,0),MATCH(MOD('Map 2 Do Touch'!Z10,4),$P$2:$S$2,0)),'Map 3'!$AJ$4:$AJ$6,0),MATCH(IF('Map 2 Do Touch'!Z9&gt;4,"Water","Land"),'Map 3'!$AK$3:$AL$3,0))))</f>
        <v>Ocean</v>
      </c>
      <c r="AA14" s="3" t="str">
        <f ca="1">IF('Map 2 Do Touch'!Z9&lt;&gt;'Map 2 Do Touch'!Z10,IF('Map 2 Do Touch'!AA10&gt;4,INDEX($AG$4:$AH$6,MATCH(INDEX($I$3:$L$6,MATCH(MOD('Map 2 Do Touch'!Z10,4),$H$3:$H$6,0),MATCH(MOD('Map 2 Do Touch'!AA10,4),$I$2:$L$2,0)),$AF$4:$AF$6,0),MATCH(IF('Map 2 Do Touch'!Z10&gt;4,"Water","Land"),'Map 3'!$AG$3:$AH$3,0)),INDEX($AK$4:$AL$6,MATCH(INDEX($I$3:$L$6,MATCH(MOD('Map 2 Do Touch'!Z10,4),$H$3:$H$6,0),MATCH(MOD('Map 2 Do Touch'!AA10,4),$I$2:$L$2,0)),'Map 3'!$AJ$4:$AJ$6,0),MATCH(IF('Map 2 Do Touch'!Z10&gt;4,"Water","Land"),'Map 3'!$AK$3:$AL$3,0))),IF('Map 2 Do Touch'!AA10&gt;4,INDEX($AG$4:$AH$6,MATCH(INDEX($P$3:$S$6,MATCH(MOD('Map 2 Do Touch'!AA9,4),$O$3:$O$6,0),MATCH(MOD('Map 2 Do Touch'!AA10,4),$P$2:$S$2,0)),$AF$4:$AF$6,0),MATCH(IF('Map 2 Do Touch'!AA9&gt;4,"Water","Land"),'Map 3'!$AG$3:$AH$3,0)),INDEX($AK$4:$AL$6,MATCH(INDEX($P$3:$S$6,MATCH(MOD('Map 2 Do Touch'!AA9,4),$O$3:$O$6,0),MATCH(MOD('Map 2 Do Touch'!AA10,4),$P$2:$S$2,0)),'Map 3'!$AJ$4:$AJ$6,0),MATCH(IF('Map 2 Do Touch'!AA9&gt;4,"Water","Land"),'Map 3'!$AK$3:$AL$3,0))))</f>
        <v>Ocean</v>
      </c>
      <c r="AB14" s="3" t="str">
        <f ca="1">IF('Map 2 Do Touch'!AA9&lt;&gt;'Map 2 Do Touch'!AA10,IF('Map 2 Do Touch'!AB10&gt;4,INDEX($AG$4:$AH$6,MATCH(INDEX($I$3:$L$6,MATCH(MOD('Map 2 Do Touch'!AA10,4),$H$3:$H$6,0),MATCH(MOD('Map 2 Do Touch'!AB10,4),$I$2:$L$2,0)),$AF$4:$AF$6,0),MATCH(IF('Map 2 Do Touch'!AA10&gt;4,"Water","Land"),'Map 3'!$AG$3:$AH$3,0)),INDEX($AK$4:$AL$6,MATCH(INDEX($I$3:$L$6,MATCH(MOD('Map 2 Do Touch'!AA10,4),$H$3:$H$6,0),MATCH(MOD('Map 2 Do Touch'!AB10,4),$I$2:$L$2,0)),'Map 3'!$AJ$4:$AJ$6,0),MATCH(IF('Map 2 Do Touch'!AA10&gt;4,"Water","Land"),'Map 3'!$AK$3:$AL$3,0))),IF('Map 2 Do Touch'!AB10&gt;4,INDEX($AG$4:$AH$6,MATCH(INDEX($P$3:$S$6,MATCH(MOD('Map 2 Do Touch'!AB9,4),$O$3:$O$6,0),MATCH(MOD('Map 2 Do Touch'!AB10,4),$P$2:$S$2,0)),$AF$4:$AF$6,0),MATCH(IF('Map 2 Do Touch'!AB9&gt;4,"Water","Land"),'Map 3'!$AG$3:$AH$3,0)),INDEX($AK$4:$AL$6,MATCH(INDEX($P$3:$S$6,MATCH(MOD('Map 2 Do Touch'!AB9,4),$O$3:$O$6,0),MATCH(MOD('Map 2 Do Touch'!AB10,4),$P$2:$S$2,0)),'Map 3'!$AJ$4:$AJ$6,0),MATCH(IF('Map 2 Do Touch'!AB9&gt;4,"Water","Land"),'Map 3'!$AK$3:$AL$3,0))))</f>
        <v>Ocean</v>
      </c>
      <c r="AC14" s="3" t="str">
        <f ca="1">IF('Map 2 Do Touch'!AB9&lt;&gt;'Map 2 Do Touch'!AB10,IF('Map 2 Do Touch'!AC10&gt;4,INDEX($AG$4:$AH$6,MATCH(INDEX($I$3:$L$6,MATCH(MOD('Map 2 Do Touch'!AB10,4),$H$3:$H$6,0),MATCH(MOD('Map 2 Do Touch'!AC10,4),$I$2:$L$2,0)),$AF$4:$AF$6,0),MATCH(IF('Map 2 Do Touch'!AB10&gt;4,"Water","Land"),'Map 3'!$AG$3:$AH$3,0)),INDEX($AK$4:$AL$6,MATCH(INDEX($I$3:$L$6,MATCH(MOD('Map 2 Do Touch'!AB10,4),$H$3:$H$6,0),MATCH(MOD('Map 2 Do Touch'!AC10,4),$I$2:$L$2,0)),'Map 3'!$AJ$4:$AJ$6,0),MATCH(IF('Map 2 Do Touch'!AB10&gt;4,"Water","Land"),'Map 3'!$AK$3:$AL$3,0))),IF('Map 2 Do Touch'!AC10&gt;4,INDEX($AG$4:$AH$6,MATCH(INDEX($P$3:$S$6,MATCH(MOD('Map 2 Do Touch'!AC9,4),$O$3:$O$6,0),MATCH(MOD('Map 2 Do Touch'!AC10,4),$P$2:$S$2,0)),$AF$4:$AF$6,0),MATCH(IF('Map 2 Do Touch'!AC9&gt;4,"Water","Land"),'Map 3'!$AG$3:$AH$3,0)),INDEX($AK$4:$AL$6,MATCH(INDEX($P$3:$S$6,MATCH(MOD('Map 2 Do Touch'!AC9,4),$O$3:$O$6,0),MATCH(MOD('Map 2 Do Touch'!AC10,4),$P$2:$S$2,0)),'Map 3'!$AJ$4:$AJ$6,0),MATCH(IF('Map 2 Do Touch'!AC9&gt;4,"Water","Land"),'Map 3'!$AK$3:$AL$3,0))))</f>
        <v>Ocean</v>
      </c>
      <c r="AD14" s="3" t="str">
        <f ca="1">IF('Map 2 Do Touch'!AC9&lt;&gt;'Map 2 Do Touch'!AC10,IF('Map 2 Do Touch'!AD10&gt;4,INDEX($AG$4:$AH$6,MATCH(INDEX($I$3:$L$6,MATCH(MOD('Map 2 Do Touch'!AC10,4),$H$3:$H$6,0),MATCH(MOD('Map 2 Do Touch'!AD10,4),$I$2:$L$2,0)),$AF$4:$AF$6,0),MATCH(IF('Map 2 Do Touch'!AC10&gt;4,"Water","Land"),'Map 3'!$AG$3:$AH$3,0)),INDEX($AK$4:$AL$6,MATCH(INDEX($I$3:$L$6,MATCH(MOD('Map 2 Do Touch'!AC10,4),$H$3:$H$6,0),MATCH(MOD('Map 2 Do Touch'!AD10,4),$I$2:$L$2,0)),'Map 3'!$AJ$4:$AJ$6,0),MATCH(IF('Map 2 Do Touch'!AC10&gt;4,"Water","Land"),'Map 3'!$AK$3:$AL$3,0))),IF('Map 2 Do Touch'!AD10&gt;4,INDEX($AG$4:$AH$6,MATCH(INDEX($P$3:$S$6,MATCH(MOD('Map 2 Do Touch'!AD9,4),$O$3:$O$6,0),MATCH(MOD('Map 2 Do Touch'!AD10,4),$P$2:$S$2,0)),$AF$4:$AF$6,0),MATCH(IF('Map 2 Do Touch'!AD9&gt;4,"Water","Land"),'Map 3'!$AG$3:$AH$3,0)),INDEX($AK$4:$AL$6,MATCH(INDEX($P$3:$S$6,MATCH(MOD('Map 2 Do Touch'!AD9,4),$O$3:$O$6,0),MATCH(MOD('Map 2 Do Touch'!AD10,4),$P$2:$S$2,0)),'Map 3'!$AJ$4:$AJ$6,0),MATCH(IF('Map 2 Do Touch'!AD9&gt;4,"Water","Land"),'Map 3'!$AK$3:$AL$3,0))))</f>
        <v>Flatland</v>
      </c>
      <c r="AE14" s="3" t="str">
        <f ca="1">IF('Map 2 Do Touch'!AD9&lt;&gt;'Map 2 Do Touch'!AD10,IF('Map 2 Do Touch'!AE10&gt;4,INDEX($AG$4:$AH$6,MATCH(INDEX($I$3:$L$6,MATCH(MOD('Map 2 Do Touch'!AD10,4),$H$3:$H$6,0),MATCH(MOD('Map 2 Do Touch'!AE10,4),$I$2:$L$2,0)),$AF$4:$AF$6,0),MATCH(IF('Map 2 Do Touch'!AD10&gt;4,"Water","Land"),'Map 3'!$AG$3:$AH$3,0)),INDEX($AK$4:$AL$6,MATCH(INDEX($I$3:$L$6,MATCH(MOD('Map 2 Do Touch'!AD10,4),$H$3:$H$6,0),MATCH(MOD('Map 2 Do Touch'!AE10,4),$I$2:$L$2,0)),'Map 3'!$AJ$4:$AJ$6,0),MATCH(IF('Map 2 Do Touch'!AD10&gt;4,"Water","Land"),'Map 3'!$AK$3:$AL$3,0))),IF('Map 2 Do Touch'!AE10&gt;4,INDEX($AG$4:$AH$6,MATCH(INDEX($P$3:$S$6,MATCH(MOD('Map 2 Do Touch'!AE9,4),$O$3:$O$6,0),MATCH(MOD('Map 2 Do Touch'!AE10,4),$P$2:$S$2,0)),$AF$4:$AF$6,0),MATCH(IF('Map 2 Do Touch'!AE9&gt;4,"Water","Land"),'Map 3'!$AG$3:$AH$3,0)),INDEX($AK$4:$AL$6,MATCH(INDEX($P$3:$S$6,MATCH(MOD('Map 2 Do Touch'!AE9,4),$O$3:$O$6,0),MATCH(MOD('Map 2 Do Touch'!AE10,4),$P$2:$S$2,0)),'Map 3'!$AJ$4:$AJ$6,0),MATCH(IF('Map 2 Do Touch'!AE9&gt;4,"Water","Land"),'Map 3'!$AK$3:$AL$3,0))))</f>
        <v>Flatland</v>
      </c>
      <c r="AF14" s="3" t="str">
        <f ca="1">IF('Map 2 Do Touch'!AE9&lt;&gt;'Map 2 Do Touch'!AE10,IF('Map 2 Do Touch'!AF10&gt;4,INDEX($AG$4:$AH$6,MATCH(INDEX($I$3:$L$6,MATCH(MOD('Map 2 Do Touch'!AE10,4),$H$3:$H$6,0),MATCH(MOD('Map 2 Do Touch'!AF10,4),$I$2:$L$2,0)),$AF$4:$AF$6,0),MATCH(IF('Map 2 Do Touch'!AE10&gt;4,"Water","Land"),'Map 3'!$AG$3:$AH$3,0)),INDEX($AK$4:$AL$6,MATCH(INDEX($I$3:$L$6,MATCH(MOD('Map 2 Do Touch'!AE10,4),$H$3:$H$6,0),MATCH(MOD('Map 2 Do Touch'!AF10,4),$I$2:$L$2,0)),'Map 3'!$AJ$4:$AJ$6,0),MATCH(IF('Map 2 Do Touch'!AE10&gt;4,"Water","Land"),'Map 3'!$AK$3:$AL$3,0))),IF('Map 2 Do Touch'!AF10&gt;4,INDEX($AG$4:$AH$6,MATCH(INDEX($P$3:$S$6,MATCH(MOD('Map 2 Do Touch'!AF9,4),$O$3:$O$6,0),MATCH(MOD('Map 2 Do Touch'!AF10,4),$P$2:$S$2,0)),$AF$4:$AF$6,0),MATCH(IF('Map 2 Do Touch'!AF9&gt;4,"Water","Land"),'Map 3'!$AG$3:$AH$3,0)),INDEX($AK$4:$AL$6,MATCH(INDEX($P$3:$S$6,MATCH(MOD('Map 2 Do Touch'!AF9,4),$O$3:$O$6,0),MATCH(MOD('Map 2 Do Touch'!AF10,4),$P$2:$S$2,0)),'Map 3'!$AJ$4:$AJ$6,0),MATCH(IF('Map 2 Do Touch'!AF9&gt;4,"Water","Land"),'Map 3'!$AK$3:$AL$3,0))))</f>
        <v>Flatland</v>
      </c>
      <c r="AG14" s="3" t="str">
        <f ca="1">IF('Map 2 Do Touch'!AF9&lt;&gt;'Map 2 Do Touch'!AF10,IF('Map 2 Do Touch'!AG10&gt;4,INDEX($AG$4:$AH$6,MATCH(INDEX($I$3:$L$6,MATCH(MOD('Map 2 Do Touch'!AF10,4),$H$3:$H$6,0),MATCH(MOD('Map 2 Do Touch'!AG10,4),$I$2:$L$2,0)),$AF$4:$AF$6,0),MATCH(IF('Map 2 Do Touch'!AF10&gt;4,"Water","Land"),'Map 3'!$AG$3:$AH$3,0)),INDEX($AK$4:$AL$6,MATCH(INDEX($I$3:$L$6,MATCH(MOD('Map 2 Do Touch'!AF10,4),$H$3:$H$6,0),MATCH(MOD('Map 2 Do Touch'!AG10,4),$I$2:$L$2,0)),'Map 3'!$AJ$4:$AJ$6,0),MATCH(IF('Map 2 Do Touch'!AF10&gt;4,"Water","Land"),'Map 3'!$AK$3:$AL$3,0))),IF('Map 2 Do Touch'!AG10&gt;4,INDEX($AG$4:$AH$6,MATCH(INDEX($P$3:$S$6,MATCH(MOD('Map 2 Do Touch'!AG9,4),$O$3:$O$6,0),MATCH(MOD('Map 2 Do Touch'!AG10,4),$P$2:$S$2,0)),$AF$4:$AF$6,0),MATCH(IF('Map 2 Do Touch'!AG9&gt;4,"Water","Land"),'Map 3'!$AG$3:$AH$3,0)),INDEX($AK$4:$AL$6,MATCH(INDEX($P$3:$S$6,MATCH(MOD('Map 2 Do Touch'!AG9,4),$O$3:$O$6,0),MATCH(MOD('Map 2 Do Touch'!AG10,4),$P$2:$S$2,0)),'Map 3'!$AJ$4:$AJ$6,0),MATCH(IF('Map 2 Do Touch'!AG9&gt;4,"Water","Land"),'Map 3'!$AK$3:$AL$3,0))))</f>
        <v>Flatland</v>
      </c>
      <c r="AH14" s="3" t="str">
        <f ca="1">IF('Map 2 Do Touch'!AG9&lt;&gt;'Map 2 Do Touch'!AG10,IF('Map 2 Do Touch'!AH10&gt;4,INDEX($AG$4:$AH$6,MATCH(INDEX($I$3:$L$6,MATCH(MOD('Map 2 Do Touch'!AG10,4),$H$3:$H$6,0),MATCH(MOD('Map 2 Do Touch'!AH10,4),$I$2:$L$2,0)),$AF$4:$AF$6,0),MATCH(IF('Map 2 Do Touch'!AG10&gt;4,"Water","Land"),'Map 3'!$AG$3:$AH$3,0)),INDEX($AK$4:$AL$6,MATCH(INDEX($I$3:$L$6,MATCH(MOD('Map 2 Do Touch'!AG10,4),$H$3:$H$6,0),MATCH(MOD('Map 2 Do Touch'!AH10,4),$I$2:$L$2,0)),'Map 3'!$AJ$4:$AJ$6,0),MATCH(IF('Map 2 Do Touch'!AG10&gt;4,"Water","Land"),'Map 3'!$AK$3:$AL$3,0))),IF('Map 2 Do Touch'!AH10&gt;4,INDEX($AG$4:$AH$6,MATCH(INDEX($P$3:$S$6,MATCH(MOD('Map 2 Do Touch'!AH9,4),$O$3:$O$6,0),MATCH(MOD('Map 2 Do Touch'!AH10,4),$P$2:$S$2,0)),$AF$4:$AF$6,0),MATCH(IF('Map 2 Do Touch'!AH9&gt;4,"Water","Land"),'Map 3'!$AG$3:$AH$3,0)),INDEX($AK$4:$AL$6,MATCH(INDEX($P$3:$S$6,MATCH(MOD('Map 2 Do Touch'!AH9,4),$O$3:$O$6,0),MATCH(MOD('Map 2 Do Touch'!AH10,4),$P$2:$S$2,0)),'Map 3'!$AJ$4:$AJ$6,0),MATCH(IF('Map 2 Do Touch'!AH9&gt;4,"Water","Land"),'Map 3'!$AK$3:$AL$3,0))))</f>
        <v>Flatland</v>
      </c>
      <c r="AI14" s="3" t="str">
        <f ca="1">IF('Map 2 Do Touch'!AH9&lt;&gt;'Map 2 Do Touch'!AH10,IF('Map 2 Do Touch'!AI10&gt;4,INDEX($AG$4:$AH$6,MATCH(INDEX($I$3:$L$6,MATCH(MOD('Map 2 Do Touch'!AH10,4),$H$3:$H$6,0),MATCH(MOD('Map 2 Do Touch'!AI10,4),$I$2:$L$2,0)),$AF$4:$AF$6,0),MATCH(IF('Map 2 Do Touch'!AH10&gt;4,"Water","Land"),'Map 3'!$AG$3:$AH$3,0)),INDEX($AK$4:$AL$6,MATCH(INDEX($I$3:$L$6,MATCH(MOD('Map 2 Do Touch'!AH10,4),$H$3:$H$6,0),MATCH(MOD('Map 2 Do Touch'!AI10,4),$I$2:$L$2,0)),'Map 3'!$AJ$4:$AJ$6,0),MATCH(IF('Map 2 Do Touch'!AH10&gt;4,"Water","Land"),'Map 3'!$AK$3:$AL$3,0))),IF('Map 2 Do Touch'!AI10&gt;4,INDEX($AG$4:$AH$6,MATCH(INDEX($P$3:$S$6,MATCH(MOD('Map 2 Do Touch'!AI9,4),$O$3:$O$6,0),MATCH(MOD('Map 2 Do Touch'!AI10,4),$P$2:$S$2,0)),$AF$4:$AF$6,0),MATCH(IF('Map 2 Do Touch'!AI9&gt;4,"Water","Land"),'Map 3'!$AG$3:$AH$3,0)),INDEX($AK$4:$AL$6,MATCH(INDEX($P$3:$S$6,MATCH(MOD('Map 2 Do Touch'!AI9,4),$O$3:$O$6,0),MATCH(MOD('Map 2 Do Touch'!AI10,4),$P$2:$S$2,0)),'Map 3'!$AJ$4:$AJ$6,0),MATCH(IF('Map 2 Do Touch'!AI9&gt;4,"Water","Land"),'Map 3'!$AK$3:$AL$3,0))))</f>
        <v>Flatland</v>
      </c>
      <c r="AJ14" s="3" t="str">
        <f ca="1">IF('Map 2 Do Touch'!AI9&lt;&gt;'Map 2 Do Touch'!AI10,IF('Map 2 Do Touch'!AJ10&gt;4,INDEX($AG$4:$AH$6,MATCH(INDEX($I$3:$L$6,MATCH(MOD('Map 2 Do Touch'!AI10,4),$H$3:$H$6,0),MATCH(MOD('Map 2 Do Touch'!AJ10,4),$I$2:$L$2,0)),$AF$4:$AF$6,0),MATCH(IF('Map 2 Do Touch'!AI10&gt;4,"Water","Land"),'Map 3'!$AG$3:$AH$3,0)),INDEX($AK$4:$AL$6,MATCH(INDEX($I$3:$L$6,MATCH(MOD('Map 2 Do Touch'!AI10,4),$H$3:$H$6,0),MATCH(MOD('Map 2 Do Touch'!AJ10,4),$I$2:$L$2,0)),'Map 3'!$AJ$4:$AJ$6,0),MATCH(IF('Map 2 Do Touch'!AI10&gt;4,"Water","Land"),'Map 3'!$AK$3:$AL$3,0))),IF('Map 2 Do Touch'!AJ10&gt;4,INDEX($AG$4:$AH$6,MATCH(INDEX($P$3:$S$6,MATCH(MOD('Map 2 Do Touch'!AJ9,4),$O$3:$O$6,0),MATCH(MOD('Map 2 Do Touch'!AJ10,4),$P$2:$S$2,0)),$AF$4:$AF$6,0),MATCH(IF('Map 2 Do Touch'!AJ9&gt;4,"Water","Land"),'Map 3'!$AG$3:$AH$3,0)),INDEX($AK$4:$AL$6,MATCH(INDEX($P$3:$S$6,MATCH(MOD('Map 2 Do Touch'!AJ9,4),$O$3:$O$6,0),MATCH(MOD('Map 2 Do Touch'!AJ10,4),$P$2:$S$2,0)),'Map 3'!$AJ$4:$AJ$6,0),MATCH(IF('Map 2 Do Touch'!AJ9&gt;4,"Water","Land"),'Map 3'!$AK$3:$AL$3,0))))</f>
        <v>Flatland</v>
      </c>
      <c r="AK14" s="3" t="str">
        <f ca="1">IF('Map 2 Do Touch'!AJ9&lt;&gt;'Map 2 Do Touch'!AJ10,IF('Map 2 Do Touch'!AK10&gt;4,INDEX($AG$4:$AH$6,MATCH(INDEX($I$3:$L$6,MATCH(MOD('Map 2 Do Touch'!AJ10,4),$H$3:$H$6,0),MATCH(MOD('Map 2 Do Touch'!AK10,4),$I$2:$L$2,0)),$AF$4:$AF$6,0),MATCH(IF('Map 2 Do Touch'!AJ10&gt;4,"Water","Land"),'Map 3'!$AG$3:$AH$3,0)),INDEX($AK$4:$AL$6,MATCH(INDEX($I$3:$L$6,MATCH(MOD('Map 2 Do Touch'!AJ10,4),$H$3:$H$6,0),MATCH(MOD('Map 2 Do Touch'!AK10,4),$I$2:$L$2,0)),'Map 3'!$AJ$4:$AJ$6,0),MATCH(IF('Map 2 Do Touch'!AJ10&gt;4,"Water","Land"),'Map 3'!$AK$3:$AL$3,0))),IF('Map 2 Do Touch'!AK10&gt;4,INDEX($AG$4:$AH$6,MATCH(INDEX($P$3:$S$6,MATCH(MOD('Map 2 Do Touch'!AK9,4),$O$3:$O$6,0),MATCH(MOD('Map 2 Do Touch'!AK10,4),$P$2:$S$2,0)),$AF$4:$AF$6,0),MATCH(IF('Map 2 Do Touch'!AK9&gt;4,"Water","Land"),'Map 3'!$AG$3:$AH$3,0)),INDEX($AK$4:$AL$6,MATCH(INDEX($P$3:$S$6,MATCH(MOD('Map 2 Do Touch'!AK9,4),$O$3:$O$6,0),MATCH(MOD('Map 2 Do Touch'!AK10,4),$P$2:$S$2,0)),'Map 3'!$AJ$4:$AJ$6,0),MATCH(IF('Map 2 Do Touch'!AK9&gt;4,"Water","Land"),'Map 3'!$AK$3:$AL$3,0))))</f>
        <v>Flatland</v>
      </c>
      <c r="AL14" s="3" t="str">
        <f ca="1">IF('Map 2 Do Touch'!AK9&lt;&gt;'Map 2 Do Touch'!AK10,IF('Map 2 Do Touch'!AL10&gt;4,INDEX($AG$4:$AH$6,MATCH(INDEX($I$3:$L$6,MATCH(MOD('Map 2 Do Touch'!AK10,4),$H$3:$H$6,0),MATCH(MOD('Map 2 Do Touch'!AL10,4),$I$2:$L$2,0)),$AF$4:$AF$6,0),MATCH(IF('Map 2 Do Touch'!AK10&gt;4,"Water","Land"),'Map 3'!$AG$3:$AH$3,0)),INDEX($AK$4:$AL$6,MATCH(INDEX($I$3:$L$6,MATCH(MOD('Map 2 Do Touch'!AK10,4),$H$3:$H$6,0),MATCH(MOD('Map 2 Do Touch'!AL10,4),$I$2:$L$2,0)),'Map 3'!$AJ$4:$AJ$6,0),MATCH(IF('Map 2 Do Touch'!AK10&gt;4,"Water","Land"),'Map 3'!$AK$3:$AL$3,0))),IF('Map 2 Do Touch'!AL10&gt;4,INDEX($AG$4:$AH$6,MATCH(INDEX($P$3:$S$6,MATCH(MOD('Map 2 Do Touch'!AL9,4),$O$3:$O$6,0),MATCH(MOD('Map 2 Do Touch'!AL10,4),$P$2:$S$2,0)),$AF$4:$AF$6,0),MATCH(IF('Map 2 Do Touch'!AL9&gt;4,"Water","Land"),'Map 3'!$AG$3:$AH$3,0)),INDEX($AK$4:$AL$6,MATCH(INDEX($P$3:$S$6,MATCH(MOD('Map 2 Do Touch'!AL9,4),$O$3:$O$6,0),MATCH(MOD('Map 2 Do Touch'!AL10,4),$P$2:$S$2,0)),'Map 3'!$AJ$4:$AJ$6,0),MATCH(IF('Map 2 Do Touch'!AL9&gt;4,"Water","Land"),'Map 3'!$AK$3:$AL$3,0))))</f>
        <v>Flatland</v>
      </c>
      <c r="AM14" s="3" t="str">
        <f ca="1">IF('Map 2 Do Touch'!AL9&lt;&gt;'Map 2 Do Touch'!AL10,IF('Map 2 Do Touch'!AM10&gt;4,INDEX($AG$4:$AH$6,MATCH(INDEX($I$3:$L$6,MATCH(MOD('Map 2 Do Touch'!AL10,4),$H$3:$H$6,0),MATCH(MOD('Map 2 Do Touch'!AM10,4),$I$2:$L$2,0)),$AF$4:$AF$6,0),MATCH(IF('Map 2 Do Touch'!AL10&gt;4,"Water","Land"),'Map 3'!$AG$3:$AH$3,0)),INDEX($AK$4:$AL$6,MATCH(INDEX($I$3:$L$6,MATCH(MOD('Map 2 Do Touch'!AL10,4),$H$3:$H$6,0),MATCH(MOD('Map 2 Do Touch'!AM10,4),$I$2:$L$2,0)),'Map 3'!$AJ$4:$AJ$6,0),MATCH(IF('Map 2 Do Touch'!AL10&gt;4,"Water","Land"),'Map 3'!$AK$3:$AL$3,0))),IF('Map 2 Do Touch'!AM10&gt;4,INDEX($AG$4:$AH$6,MATCH(INDEX($P$3:$S$6,MATCH(MOD('Map 2 Do Touch'!AM9,4),$O$3:$O$6,0),MATCH(MOD('Map 2 Do Touch'!AM10,4),$P$2:$S$2,0)),$AF$4:$AF$6,0),MATCH(IF('Map 2 Do Touch'!AM9&gt;4,"Water","Land"),'Map 3'!$AG$3:$AH$3,0)),INDEX($AK$4:$AL$6,MATCH(INDEX($P$3:$S$6,MATCH(MOD('Map 2 Do Touch'!AM9,4),$O$3:$O$6,0),MATCH(MOD('Map 2 Do Touch'!AM10,4),$P$2:$S$2,0)),'Map 3'!$AJ$4:$AJ$6,0),MATCH(IF('Map 2 Do Touch'!AM9&gt;4,"Water","Land"),'Map 3'!$AK$3:$AL$3,0))))</f>
        <v>Ocean</v>
      </c>
      <c r="AN14" s="3" t="str">
        <f ca="1">IF('Map 2 Do Touch'!AM9&lt;&gt;'Map 2 Do Touch'!AM10,IF('Map 2 Do Touch'!AN10&gt;4,INDEX($AG$4:$AH$6,MATCH(INDEX($I$3:$L$6,MATCH(MOD('Map 2 Do Touch'!AM10,4),$H$3:$H$6,0),MATCH(MOD('Map 2 Do Touch'!AN10,4),$I$2:$L$2,0)),$AF$4:$AF$6,0),MATCH(IF('Map 2 Do Touch'!AM10&gt;4,"Water","Land"),'Map 3'!$AG$3:$AH$3,0)),INDEX($AK$4:$AL$6,MATCH(INDEX($I$3:$L$6,MATCH(MOD('Map 2 Do Touch'!AM10,4),$H$3:$H$6,0),MATCH(MOD('Map 2 Do Touch'!AN10,4),$I$2:$L$2,0)),'Map 3'!$AJ$4:$AJ$6,0),MATCH(IF('Map 2 Do Touch'!AM10&gt;4,"Water","Land"),'Map 3'!$AK$3:$AL$3,0))),IF('Map 2 Do Touch'!AN10&gt;4,INDEX($AG$4:$AH$6,MATCH(INDEX($P$3:$S$6,MATCH(MOD('Map 2 Do Touch'!AN9,4),$O$3:$O$6,0),MATCH(MOD('Map 2 Do Touch'!AN10,4),$P$2:$S$2,0)),$AF$4:$AF$6,0),MATCH(IF('Map 2 Do Touch'!AN9&gt;4,"Water","Land"),'Map 3'!$AG$3:$AH$3,0)),INDEX($AK$4:$AL$6,MATCH(INDEX($P$3:$S$6,MATCH(MOD('Map 2 Do Touch'!AN9,4),$O$3:$O$6,0),MATCH(MOD('Map 2 Do Touch'!AN10,4),$P$2:$S$2,0)),'Map 3'!$AJ$4:$AJ$6,0),MATCH(IF('Map 2 Do Touch'!AN9&gt;4,"Water","Land"),'Map 3'!$AK$3:$AL$3,0))))</f>
        <v>Ocean</v>
      </c>
      <c r="AO14" s="87" t="str">
        <f ca="1">IF('Map 2 Do Touch'!AN9&lt;&gt;'Map 2 Do Touch'!AN10,IF('Map 2 Do Touch'!AO10&gt;4,INDEX($AG$4:$AH$6,MATCH(INDEX($I$3:$L$6,MATCH(MOD('Map 2 Do Touch'!AN10,4),$H$3:$H$6,0),MATCH(MOD('Map 2 Do Touch'!AO10,4),$I$2:$L$2,0)),$AF$4:$AF$6,0),MATCH(IF('Map 2 Do Touch'!AN10&gt;4,"Water","Land"),'Map 3'!$AG$3:$AH$3,0)),INDEX($AK$4:$AL$6,MATCH(INDEX($I$3:$L$6,MATCH(MOD('Map 2 Do Touch'!AN10,4),$H$3:$H$6,0),MATCH(MOD('Map 2 Do Touch'!AO10,4),$I$2:$L$2,0)),'Map 3'!$AJ$4:$AJ$6,0),MATCH(IF('Map 2 Do Touch'!AN10&gt;4,"Water","Land"),'Map 3'!$AK$3:$AL$3,0))),IF('Map 2 Do Touch'!AO10&gt;4,INDEX($AG$4:$AH$6,MATCH(INDEX($P$3:$S$6,MATCH(MOD('Map 2 Do Touch'!AO9,4),$O$3:$O$6,0),MATCH(MOD('Map 2 Do Touch'!AO10,4),$P$2:$S$2,0)),$AF$4:$AF$6,0),MATCH(IF('Map 2 Do Touch'!AO9&gt;4,"Water","Land"),'Map 3'!$AG$3:$AH$3,0)),INDEX($AK$4:$AL$6,MATCH(INDEX($P$3:$S$6,MATCH(MOD('Map 2 Do Touch'!AO9,4),$O$3:$O$6,0),MATCH(MOD('Map 2 Do Touch'!AO10,4),$P$2:$S$2,0)),'Map 3'!$AJ$4:$AJ$6,0),MATCH(IF('Map 2 Do Touch'!AO9&gt;4,"Water","Land"),'Map 3'!$AK$3:$AL$3,0))))</f>
        <v>Coast</v>
      </c>
      <c r="AP14" s="3"/>
    </row>
    <row r="15" spans="1:45" ht="37.5" customHeight="1">
      <c r="A15" s="3">
        <v>4</v>
      </c>
      <c r="B15" s="86" t="str">
        <f ca="1">IF('Map 2 Do Touch'!B10&lt;&gt;'Map 2 Do Touch'!B11,IF('Map 2 Do Touch'!B11&gt;4,INDEX($AG$4:$AH$6,MATCH(INDEX($I$3:$L$6,MATCH(MOD('Map 2 Do Touch'!AO11,4),$H$3:$H$6,0),MATCH(MOD('Map 2 Do Touch'!B11,4),$I$2:$L$2,0)),$AF$4:$AF$6,0),MATCH(IF('Map 2 Do Touch'!AO11&gt;4,"Water","Land"),'Map 3'!$AG$3:$AH$3,0)),INDEX($AK$4:$AL$6,MATCH(INDEX($I$3:$L$6,MATCH(MOD('Map 2 Do Touch'!A11,4),$H$3:$H$6,0),MATCH(MOD('Map 2 Do Touch'!B11,4),$I$2:$L$2,0)),'Map 3'!$AJ$4:$AJ$6,0),MATCH(IF('Map 2 Do Touch'!AO11&gt;4,"Water","Land"),'Map 3'!$AK$3:$AL$3,0))),IF('Map 2 Do Touch'!B11&gt;4,INDEX($AG$4:$AH$6,MATCH(INDEX($P$3:$S$6,MATCH(MOD('Map 2 Do Touch'!B10,4),$O$3:$O$6,0),MATCH(MOD('Map 2 Do Touch'!B11,4),$P$2:$S$2,0)),$AF$4:$AF$6,0),MATCH(IF('Map 2 Do Touch'!B10&gt;4,"Water","Land"),'Map 3'!$AG$3:$AH$3,0)),INDEX($AK$4:$AL$6,MATCH(INDEX($P$3:$S$6,MATCH(MOD('Map 2 Do Touch'!B10,4),$O$3:$O$6,0),MATCH(MOD('Map 2 Do Touch'!B11,4),$P$2:$S$2,0)),'Map 3'!$AJ$4:$AJ$6,0),MATCH(IF('Map 2 Do Touch'!B10&gt;4,"Water","Land"),'Map 3'!$AK$3:$AL$3,0))))</f>
        <v>Ocean</v>
      </c>
      <c r="C15" s="3" t="str">
        <f ca="1">IF('Map 2 Do Touch'!B10&lt;&gt;'Map 2 Do Touch'!B11,IF('Map 2 Do Touch'!C11&gt;4,INDEX($AG$4:$AH$6,MATCH(INDEX($I$3:$L$6,MATCH(MOD('Map 2 Do Touch'!B11,4),$H$3:$H$6,0),MATCH(MOD('Map 2 Do Touch'!C11,4),$I$2:$L$2,0)),$AF$4:$AF$6,0),MATCH(IF('Map 2 Do Touch'!B11&gt;4,"Water","Land"),'Map 3'!$AG$3:$AH$3,0)),INDEX($AK$4:$AL$6,MATCH(INDEX($I$3:$L$6,MATCH(MOD('Map 2 Do Touch'!B11,4),$H$3:$H$6,0),MATCH(MOD('Map 2 Do Touch'!C11,4),$I$2:$L$2,0)),'Map 3'!$AJ$4:$AJ$6,0),MATCH(IF('Map 2 Do Touch'!B11&gt;4,"Water","Land"),'Map 3'!$AK$3:$AL$3,0))),IF('Map 2 Do Touch'!C11&gt;4,INDEX($AG$4:$AH$6,MATCH(INDEX($P$3:$S$6,MATCH(MOD('Map 2 Do Touch'!C10,4),$O$3:$O$6,0),MATCH(MOD('Map 2 Do Touch'!C11,4),$P$2:$S$2,0)),$AF$4:$AF$6,0),MATCH(IF('Map 2 Do Touch'!C10&gt;4,"Water","Land"),'Map 3'!$AG$3:$AH$3,0)),INDEX($AK$4:$AL$6,MATCH(INDEX($P$3:$S$6,MATCH(MOD('Map 2 Do Touch'!C10,4),$O$3:$O$6,0),MATCH(MOD('Map 2 Do Touch'!C11,4),$P$2:$S$2,0)),'Map 3'!$AJ$4:$AJ$6,0),MATCH(IF('Map 2 Do Touch'!C10&gt;4,"Water","Land"),'Map 3'!$AK$3:$AL$3,0))))</f>
        <v>Flatland</v>
      </c>
      <c r="D15" s="3" t="str">
        <f ca="1">IF('Map 2 Do Touch'!C10&lt;&gt;'Map 2 Do Touch'!C11,IF('Map 2 Do Touch'!D11&gt;4,INDEX($AG$4:$AH$6,MATCH(INDEX($I$3:$L$6,MATCH(MOD('Map 2 Do Touch'!C11,4),$H$3:$H$6,0),MATCH(MOD('Map 2 Do Touch'!D11,4),$I$2:$L$2,0)),$AF$4:$AF$6,0),MATCH(IF('Map 2 Do Touch'!C11&gt;4,"Water","Land"),'Map 3'!$AG$3:$AH$3,0)),INDEX($AK$4:$AL$6,MATCH(INDEX($I$3:$L$6,MATCH(MOD('Map 2 Do Touch'!C11,4),$H$3:$H$6,0),MATCH(MOD('Map 2 Do Touch'!D11,4),$I$2:$L$2,0)),'Map 3'!$AJ$4:$AJ$6,0),MATCH(IF('Map 2 Do Touch'!C11&gt;4,"Water","Land"),'Map 3'!$AK$3:$AL$3,0))),IF('Map 2 Do Touch'!D11&gt;4,INDEX($AG$4:$AH$6,MATCH(INDEX($P$3:$S$6,MATCH(MOD('Map 2 Do Touch'!D10,4),$O$3:$O$6,0),MATCH(MOD('Map 2 Do Touch'!D11,4),$P$2:$S$2,0)),$AF$4:$AF$6,0),MATCH(IF('Map 2 Do Touch'!D10&gt;4,"Water","Land"),'Map 3'!$AG$3:$AH$3,0)),INDEX($AK$4:$AL$6,MATCH(INDEX($P$3:$S$6,MATCH(MOD('Map 2 Do Touch'!D10,4),$O$3:$O$6,0),MATCH(MOD('Map 2 Do Touch'!D11,4),$P$2:$S$2,0)),'Map 3'!$AJ$4:$AJ$6,0),MATCH(IF('Map 2 Do Touch'!D10&gt;4,"Water","Land"),'Map 3'!$AK$3:$AL$3,0))))</f>
        <v>Flatland</v>
      </c>
      <c r="E15" s="3" t="str">
        <f ca="1">IF('Map 2 Do Touch'!D10&lt;&gt;'Map 2 Do Touch'!D11,IF('Map 2 Do Touch'!E11&gt;4,INDEX($AG$4:$AH$6,MATCH(INDEX($I$3:$L$6,MATCH(MOD('Map 2 Do Touch'!D11,4),$H$3:$H$6,0),MATCH(MOD('Map 2 Do Touch'!E11,4),$I$2:$L$2,0)),$AF$4:$AF$6,0),MATCH(IF('Map 2 Do Touch'!D11&gt;4,"Water","Land"),'Map 3'!$AG$3:$AH$3,0)),INDEX($AK$4:$AL$6,MATCH(INDEX($I$3:$L$6,MATCH(MOD('Map 2 Do Touch'!D11,4),$H$3:$H$6,0),MATCH(MOD('Map 2 Do Touch'!E11,4),$I$2:$L$2,0)),'Map 3'!$AJ$4:$AJ$6,0),MATCH(IF('Map 2 Do Touch'!D11&gt;4,"Water","Land"),'Map 3'!$AK$3:$AL$3,0))),IF('Map 2 Do Touch'!E11&gt;4,INDEX($AG$4:$AH$6,MATCH(INDEX($P$3:$S$6,MATCH(MOD('Map 2 Do Touch'!E10,4),$O$3:$O$6,0),MATCH(MOD('Map 2 Do Touch'!E11,4),$P$2:$S$2,0)),$AF$4:$AF$6,0),MATCH(IF('Map 2 Do Touch'!E10&gt;4,"Water","Land"),'Map 3'!$AG$3:$AH$3,0)),INDEX($AK$4:$AL$6,MATCH(INDEX($P$3:$S$6,MATCH(MOD('Map 2 Do Touch'!E10,4),$O$3:$O$6,0),MATCH(MOD('Map 2 Do Touch'!E11,4),$P$2:$S$2,0)),'Map 3'!$AJ$4:$AJ$6,0),MATCH(IF('Map 2 Do Touch'!E10&gt;4,"Water","Land"),'Map 3'!$AK$3:$AL$3,0))))</f>
        <v>Coast</v>
      </c>
      <c r="F15" s="3" t="str">
        <f ca="1">IF('Map 2 Do Touch'!E10&lt;&gt;'Map 2 Do Touch'!E11,IF('Map 2 Do Touch'!F11&gt;4,INDEX($AG$4:$AH$6,MATCH(INDEX($I$3:$L$6,MATCH(MOD('Map 2 Do Touch'!E11,4),$H$3:$H$6,0),MATCH(MOD('Map 2 Do Touch'!F11,4),$I$2:$L$2,0)),$AF$4:$AF$6,0),MATCH(IF('Map 2 Do Touch'!E11&gt;4,"Water","Land"),'Map 3'!$AG$3:$AH$3,0)),INDEX($AK$4:$AL$6,MATCH(INDEX($I$3:$L$6,MATCH(MOD('Map 2 Do Touch'!E11,4),$H$3:$H$6,0),MATCH(MOD('Map 2 Do Touch'!F11,4),$I$2:$L$2,0)),'Map 3'!$AJ$4:$AJ$6,0),MATCH(IF('Map 2 Do Touch'!E11&gt;4,"Water","Land"),'Map 3'!$AK$3:$AL$3,0))),IF('Map 2 Do Touch'!F11&gt;4,INDEX($AG$4:$AH$6,MATCH(INDEX($P$3:$S$6,MATCH(MOD('Map 2 Do Touch'!F10,4),$O$3:$O$6,0),MATCH(MOD('Map 2 Do Touch'!F11,4),$P$2:$S$2,0)),$AF$4:$AF$6,0),MATCH(IF('Map 2 Do Touch'!F10&gt;4,"Water","Land"),'Map 3'!$AG$3:$AH$3,0)),INDEX($AK$4:$AL$6,MATCH(INDEX($P$3:$S$6,MATCH(MOD('Map 2 Do Touch'!F10,4),$O$3:$O$6,0),MATCH(MOD('Map 2 Do Touch'!F11,4),$P$2:$S$2,0)),'Map 3'!$AJ$4:$AJ$6,0),MATCH(IF('Map 2 Do Touch'!F10&gt;4,"Water","Land"),'Map 3'!$AK$3:$AL$3,0))))</f>
        <v>Ocean</v>
      </c>
      <c r="G15" s="3" t="str">
        <f ca="1">IF('Map 2 Do Touch'!F10&lt;&gt;'Map 2 Do Touch'!F11,IF('Map 2 Do Touch'!G11&gt;4,INDEX($AG$4:$AH$6,MATCH(INDEX($I$3:$L$6,MATCH(MOD('Map 2 Do Touch'!F11,4),$H$3:$H$6,0),MATCH(MOD('Map 2 Do Touch'!G11,4),$I$2:$L$2,0)),$AF$4:$AF$6,0),MATCH(IF('Map 2 Do Touch'!F11&gt;4,"Water","Land"),'Map 3'!$AG$3:$AH$3,0)),INDEX($AK$4:$AL$6,MATCH(INDEX($I$3:$L$6,MATCH(MOD('Map 2 Do Touch'!F11,4),$H$3:$H$6,0),MATCH(MOD('Map 2 Do Touch'!G11,4),$I$2:$L$2,0)),'Map 3'!$AJ$4:$AJ$6,0),MATCH(IF('Map 2 Do Touch'!F11&gt;4,"Water","Land"),'Map 3'!$AK$3:$AL$3,0))),IF('Map 2 Do Touch'!G11&gt;4,INDEX($AG$4:$AH$6,MATCH(INDEX($P$3:$S$6,MATCH(MOD('Map 2 Do Touch'!G10,4),$O$3:$O$6,0),MATCH(MOD('Map 2 Do Touch'!G11,4),$P$2:$S$2,0)),$AF$4:$AF$6,0),MATCH(IF('Map 2 Do Touch'!G10&gt;4,"Water","Land"),'Map 3'!$AG$3:$AH$3,0)),INDEX($AK$4:$AL$6,MATCH(INDEX($P$3:$S$6,MATCH(MOD('Map 2 Do Touch'!G10,4),$O$3:$O$6,0),MATCH(MOD('Map 2 Do Touch'!G11,4),$P$2:$S$2,0)),'Map 3'!$AJ$4:$AJ$6,0),MATCH(IF('Map 2 Do Touch'!G10&gt;4,"Water","Land"),'Map 3'!$AK$3:$AL$3,0))))</f>
        <v>Trench</v>
      </c>
      <c r="H15" s="3" t="str">
        <f ca="1">IF('Map 2 Do Touch'!G10&lt;&gt;'Map 2 Do Touch'!G11,IF('Map 2 Do Touch'!H11&gt;4,INDEX($AG$4:$AH$6,MATCH(INDEX($I$3:$L$6,MATCH(MOD('Map 2 Do Touch'!G11,4),$H$3:$H$6,0),MATCH(MOD('Map 2 Do Touch'!H11,4),$I$2:$L$2,0)),$AF$4:$AF$6,0),MATCH(IF('Map 2 Do Touch'!G11&gt;4,"Water","Land"),'Map 3'!$AG$3:$AH$3,0)),INDEX($AK$4:$AL$6,MATCH(INDEX($I$3:$L$6,MATCH(MOD('Map 2 Do Touch'!G11,4),$H$3:$H$6,0),MATCH(MOD('Map 2 Do Touch'!H11,4),$I$2:$L$2,0)),'Map 3'!$AJ$4:$AJ$6,0),MATCH(IF('Map 2 Do Touch'!G11&gt;4,"Water","Land"),'Map 3'!$AK$3:$AL$3,0))),IF('Map 2 Do Touch'!H11&gt;4,INDEX($AG$4:$AH$6,MATCH(INDEX($P$3:$S$6,MATCH(MOD('Map 2 Do Touch'!H10,4),$O$3:$O$6,0),MATCH(MOD('Map 2 Do Touch'!H11,4),$P$2:$S$2,0)),$AF$4:$AF$6,0),MATCH(IF('Map 2 Do Touch'!H10&gt;4,"Water","Land"),'Map 3'!$AG$3:$AH$3,0)),INDEX($AK$4:$AL$6,MATCH(INDEX($P$3:$S$6,MATCH(MOD('Map 2 Do Touch'!H10,4),$O$3:$O$6,0),MATCH(MOD('Map 2 Do Touch'!H11,4),$P$2:$S$2,0)),'Map 3'!$AJ$4:$AJ$6,0),MATCH(IF('Map 2 Do Touch'!H10&gt;4,"Water","Land"),'Map 3'!$AK$3:$AL$3,0))))</f>
        <v>Island</v>
      </c>
      <c r="I15" s="3" t="str">
        <f ca="1">IF('Map 2 Do Touch'!H10&lt;&gt;'Map 2 Do Touch'!H11,IF('Map 2 Do Touch'!I11&gt;4,INDEX($AG$4:$AH$6,MATCH(INDEX($I$3:$L$6,MATCH(MOD('Map 2 Do Touch'!H11,4),$H$3:$H$6,0),MATCH(MOD('Map 2 Do Touch'!I11,4),$I$2:$L$2,0)),$AF$4:$AF$6,0),MATCH(IF('Map 2 Do Touch'!H11&gt;4,"Water","Land"),'Map 3'!$AG$3:$AH$3,0)),INDEX($AK$4:$AL$6,MATCH(INDEX($I$3:$L$6,MATCH(MOD('Map 2 Do Touch'!H11,4),$H$3:$H$6,0),MATCH(MOD('Map 2 Do Touch'!I11,4),$I$2:$L$2,0)),'Map 3'!$AJ$4:$AJ$6,0),MATCH(IF('Map 2 Do Touch'!H11&gt;4,"Water","Land"),'Map 3'!$AK$3:$AL$3,0))),IF('Map 2 Do Touch'!I11&gt;4,INDEX($AG$4:$AH$6,MATCH(INDEX($P$3:$S$6,MATCH(MOD('Map 2 Do Touch'!I10,4),$O$3:$O$6,0),MATCH(MOD('Map 2 Do Touch'!I11,4),$P$2:$S$2,0)),$AF$4:$AF$6,0),MATCH(IF('Map 2 Do Touch'!I10&gt;4,"Water","Land"),'Map 3'!$AG$3:$AH$3,0)),INDEX($AK$4:$AL$6,MATCH(INDEX($P$3:$S$6,MATCH(MOD('Map 2 Do Touch'!I10,4),$O$3:$O$6,0),MATCH(MOD('Map 2 Do Touch'!I11,4),$P$2:$S$2,0)),'Map 3'!$AJ$4:$AJ$6,0),MATCH(IF('Map 2 Do Touch'!I10&gt;4,"Water","Land"),'Map 3'!$AK$3:$AL$3,0))))</f>
        <v>Ocean</v>
      </c>
      <c r="J15" s="3" t="str">
        <f ca="1">IF('Map 2 Do Touch'!I10&lt;&gt;'Map 2 Do Touch'!I11,IF('Map 2 Do Touch'!J11&gt;4,INDEX($AG$4:$AH$6,MATCH(INDEX($I$3:$L$6,MATCH(MOD('Map 2 Do Touch'!I11,4),$H$3:$H$6,0),MATCH(MOD('Map 2 Do Touch'!J11,4),$I$2:$L$2,0)),$AF$4:$AF$6,0),MATCH(IF('Map 2 Do Touch'!I11&gt;4,"Water","Land"),'Map 3'!$AG$3:$AH$3,0)),INDEX($AK$4:$AL$6,MATCH(INDEX($I$3:$L$6,MATCH(MOD('Map 2 Do Touch'!I11,4),$H$3:$H$6,0),MATCH(MOD('Map 2 Do Touch'!J11,4),$I$2:$L$2,0)),'Map 3'!$AJ$4:$AJ$6,0),MATCH(IF('Map 2 Do Touch'!I11&gt;4,"Water","Land"),'Map 3'!$AK$3:$AL$3,0))),IF('Map 2 Do Touch'!J11&gt;4,INDEX($AG$4:$AH$6,MATCH(INDEX($P$3:$S$6,MATCH(MOD('Map 2 Do Touch'!J10,4),$O$3:$O$6,0),MATCH(MOD('Map 2 Do Touch'!J11,4),$P$2:$S$2,0)),$AF$4:$AF$6,0),MATCH(IF('Map 2 Do Touch'!J10&gt;4,"Water","Land"),'Map 3'!$AG$3:$AH$3,0)),INDEX($AK$4:$AL$6,MATCH(INDEX($P$3:$S$6,MATCH(MOD('Map 2 Do Touch'!J10,4),$O$3:$O$6,0),MATCH(MOD('Map 2 Do Touch'!J11,4),$P$2:$S$2,0)),'Map 3'!$AJ$4:$AJ$6,0),MATCH(IF('Map 2 Do Touch'!J10&gt;4,"Water","Land"),'Map 3'!$AK$3:$AL$3,0))))</f>
        <v>Ocean</v>
      </c>
      <c r="K15" s="3" t="str">
        <f ca="1">IF('Map 2 Do Touch'!J10&lt;&gt;'Map 2 Do Touch'!J11,IF('Map 2 Do Touch'!K11&gt;4,INDEX($AG$4:$AH$6,MATCH(INDEX($I$3:$L$6,MATCH(MOD('Map 2 Do Touch'!J11,4),$H$3:$H$6,0),MATCH(MOD('Map 2 Do Touch'!K11,4),$I$2:$L$2,0)),$AF$4:$AF$6,0),MATCH(IF('Map 2 Do Touch'!J11&gt;4,"Water","Land"),'Map 3'!$AG$3:$AH$3,0)),INDEX($AK$4:$AL$6,MATCH(INDEX($I$3:$L$6,MATCH(MOD('Map 2 Do Touch'!J11,4),$H$3:$H$6,0),MATCH(MOD('Map 2 Do Touch'!K11,4),$I$2:$L$2,0)),'Map 3'!$AJ$4:$AJ$6,0),MATCH(IF('Map 2 Do Touch'!J11&gt;4,"Water","Land"),'Map 3'!$AK$3:$AL$3,0))),IF('Map 2 Do Touch'!K11&gt;4,INDEX($AG$4:$AH$6,MATCH(INDEX($P$3:$S$6,MATCH(MOD('Map 2 Do Touch'!K10,4),$O$3:$O$6,0),MATCH(MOD('Map 2 Do Touch'!K11,4),$P$2:$S$2,0)),$AF$4:$AF$6,0),MATCH(IF('Map 2 Do Touch'!K10&gt;4,"Water","Land"),'Map 3'!$AG$3:$AH$3,0)),INDEX($AK$4:$AL$6,MATCH(INDEX($P$3:$S$6,MATCH(MOD('Map 2 Do Touch'!K10,4),$O$3:$O$6,0),MATCH(MOD('Map 2 Do Touch'!K11,4),$P$2:$S$2,0)),'Map 3'!$AJ$4:$AJ$6,0),MATCH(IF('Map 2 Do Touch'!K10&gt;4,"Water","Land"),'Map 3'!$AK$3:$AL$3,0))))</f>
        <v>Ocean</v>
      </c>
      <c r="L15" s="3" t="str">
        <f ca="1">IF('Map 2 Do Touch'!K10&lt;&gt;'Map 2 Do Touch'!K11,IF('Map 2 Do Touch'!L11&gt;4,INDEX($AG$4:$AH$6,MATCH(INDEX($I$3:$L$6,MATCH(MOD('Map 2 Do Touch'!K11,4),$H$3:$H$6,0),MATCH(MOD('Map 2 Do Touch'!L11,4),$I$2:$L$2,0)),$AF$4:$AF$6,0),MATCH(IF('Map 2 Do Touch'!K11&gt;4,"Water","Land"),'Map 3'!$AG$3:$AH$3,0)),INDEX($AK$4:$AL$6,MATCH(INDEX($I$3:$L$6,MATCH(MOD('Map 2 Do Touch'!K11,4),$H$3:$H$6,0),MATCH(MOD('Map 2 Do Touch'!L11,4),$I$2:$L$2,0)),'Map 3'!$AJ$4:$AJ$6,0),MATCH(IF('Map 2 Do Touch'!K11&gt;4,"Water","Land"),'Map 3'!$AK$3:$AL$3,0))),IF('Map 2 Do Touch'!L11&gt;4,INDEX($AG$4:$AH$6,MATCH(INDEX($P$3:$S$6,MATCH(MOD('Map 2 Do Touch'!L10,4),$O$3:$O$6,0),MATCH(MOD('Map 2 Do Touch'!L11,4),$P$2:$S$2,0)),$AF$4:$AF$6,0),MATCH(IF('Map 2 Do Touch'!L10&gt;4,"Water","Land"),'Map 3'!$AG$3:$AH$3,0)),INDEX($AK$4:$AL$6,MATCH(INDEX($P$3:$S$6,MATCH(MOD('Map 2 Do Touch'!L10,4),$O$3:$O$6,0),MATCH(MOD('Map 2 Do Touch'!L11,4),$P$2:$S$2,0)),'Map 3'!$AJ$4:$AJ$6,0),MATCH(IF('Map 2 Do Touch'!L10&gt;4,"Water","Land"),'Map 3'!$AK$3:$AL$3,0))))</f>
        <v>Trench</v>
      </c>
      <c r="M15" s="3" t="str">
        <f ca="1">IF('Map 2 Do Touch'!L10&lt;&gt;'Map 2 Do Touch'!L11,IF('Map 2 Do Touch'!M11&gt;4,INDEX($AG$4:$AH$6,MATCH(INDEX($I$3:$L$6,MATCH(MOD('Map 2 Do Touch'!L11,4),$H$3:$H$6,0),MATCH(MOD('Map 2 Do Touch'!M11,4),$I$2:$L$2,0)),$AF$4:$AF$6,0),MATCH(IF('Map 2 Do Touch'!L11&gt;4,"Water","Land"),'Map 3'!$AG$3:$AH$3,0)),INDEX($AK$4:$AL$6,MATCH(INDEX($I$3:$L$6,MATCH(MOD('Map 2 Do Touch'!L11,4),$H$3:$H$6,0),MATCH(MOD('Map 2 Do Touch'!M11,4),$I$2:$L$2,0)),'Map 3'!$AJ$4:$AJ$6,0),MATCH(IF('Map 2 Do Touch'!L11&gt;4,"Water","Land"),'Map 3'!$AK$3:$AL$3,0))),IF('Map 2 Do Touch'!M11&gt;4,INDEX($AG$4:$AH$6,MATCH(INDEX($P$3:$S$6,MATCH(MOD('Map 2 Do Touch'!M10,4),$O$3:$O$6,0),MATCH(MOD('Map 2 Do Touch'!M11,4),$P$2:$S$2,0)),$AF$4:$AF$6,0),MATCH(IF('Map 2 Do Touch'!M10&gt;4,"Water","Land"),'Map 3'!$AG$3:$AH$3,0)),INDEX($AK$4:$AL$6,MATCH(INDEX($P$3:$S$6,MATCH(MOD('Map 2 Do Touch'!M10,4),$O$3:$O$6,0),MATCH(MOD('Map 2 Do Touch'!M11,4),$P$2:$S$2,0)),'Map 3'!$AJ$4:$AJ$6,0),MATCH(IF('Map 2 Do Touch'!M10&gt;4,"Water","Land"),'Map 3'!$AK$3:$AL$3,0))))</f>
        <v>Ocean</v>
      </c>
      <c r="N15" s="3" t="str">
        <f ca="1">IF('Map 2 Do Touch'!M10&lt;&gt;'Map 2 Do Touch'!M11,IF('Map 2 Do Touch'!N11&gt;4,INDEX($AG$4:$AH$6,MATCH(INDEX($I$3:$L$6,MATCH(MOD('Map 2 Do Touch'!M11,4),$H$3:$H$6,0),MATCH(MOD('Map 2 Do Touch'!N11,4),$I$2:$L$2,0)),$AF$4:$AF$6,0),MATCH(IF('Map 2 Do Touch'!M11&gt;4,"Water","Land"),'Map 3'!$AG$3:$AH$3,0)),INDEX($AK$4:$AL$6,MATCH(INDEX($I$3:$L$6,MATCH(MOD('Map 2 Do Touch'!M11,4),$H$3:$H$6,0),MATCH(MOD('Map 2 Do Touch'!N11,4),$I$2:$L$2,0)),'Map 3'!$AJ$4:$AJ$6,0),MATCH(IF('Map 2 Do Touch'!M11&gt;4,"Water","Land"),'Map 3'!$AK$3:$AL$3,0))),IF('Map 2 Do Touch'!N11&gt;4,INDEX($AG$4:$AH$6,MATCH(INDEX($P$3:$S$6,MATCH(MOD('Map 2 Do Touch'!N10,4),$O$3:$O$6,0),MATCH(MOD('Map 2 Do Touch'!N11,4),$P$2:$S$2,0)),$AF$4:$AF$6,0),MATCH(IF('Map 2 Do Touch'!N10&gt;4,"Water","Land"),'Map 3'!$AG$3:$AH$3,0)),INDEX($AK$4:$AL$6,MATCH(INDEX($P$3:$S$6,MATCH(MOD('Map 2 Do Touch'!N10,4),$O$3:$O$6,0),MATCH(MOD('Map 2 Do Touch'!N11,4),$P$2:$S$2,0)),'Map 3'!$AJ$4:$AJ$6,0),MATCH(IF('Map 2 Do Touch'!N10&gt;4,"Water","Land"),'Map 3'!$AK$3:$AL$3,0))))</f>
        <v>Ocean</v>
      </c>
      <c r="O15" s="3" t="str">
        <f ca="1">IF('Map 2 Do Touch'!N10&lt;&gt;'Map 2 Do Touch'!N11,IF('Map 2 Do Touch'!O11&gt;4,INDEX($AG$4:$AH$6,MATCH(INDEX($I$3:$L$6,MATCH(MOD('Map 2 Do Touch'!N11,4),$H$3:$H$6,0),MATCH(MOD('Map 2 Do Touch'!O11,4),$I$2:$L$2,0)),$AF$4:$AF$6,0),MATCH(IF('Map 2 Do Touch'!N11&gt;4,"Water","Land"),'Map 3'!$AG$3:$AH$3,0)),INDEX($AK$4:$AL$6,MATCH(INDEX($I$3:$L$6,MATCH(MOD('Map 2 Do Touch'!N11,4),$H$3:$H$6,0),MATCH(MOD('Map 2 Do Touch'!O11,4),$I$2:$L$2,0)),'Map 3'!$AJ$4:$AJ$6,0),MATCH(IF('Map 2 Do Touch'!N11&gt;4,"Water","Land"),'Map 3'!$AK$3:$AL$3,0))),IF('Map 2 Do Touch'!O11&gt;4,INDEX($AG$4:$AH$6,MATCH(INDEX($P$3:$S$6,MATCH(MOD('Map 2 Do Touch'!O10,4),$O$3:$O$6,0),MATCH(MOD('Map 2 Do Touch'!O11,4),$P$2:$S$2,0)),$AF$4:$AF$6,0),MATCH(IF('Map 2 Do Touch'!O10&gt;4,"Water","Land"),'Map 3'!$AG$3:$AH$3,0)),INDEX($AK$4:$AL$6,MATCH(INDEX($P$3:$S$6,MATCH(MOD('Map 2 Do Touch'!O10,4),$O$3:$O$6,0),MATCH(MOD('Map 2 Do Touch'!O11,4),$P$2:$S$2,0)),'Map 3'!$AJ$4:$AJ$6,0),MATCH(IF('Map 2 Do Touch'!O10&gt;4,"Water","Land"),'Map 3'!$AK$3:$AL$3,0))))</f>
        <v>Ocean</v>
      </c>
      <c r="P15" s="3" t="str">
        <f ca="1">IF('Map 2 Do Touch'!O10&lt;&gt;'Map 2 Do Touch'!O11,IF('Map 2 Do Touch'!P11&gt;4,INDEX($AG$4:$AH$6,MATCH(INDEX($I$3:$L$6,MATCH(MOD('Map 2 Do Touch'!O11,4),$H$3:$H$6,0),MATCH(MOD('Map 2 Do Touch'!P11,4),$I$2:$L$2,0)),$AF$4:$AF$6,0),MATCH(IF('Map 2 Do Touch'!O11&gt;4,"Water","Land"),'Map 3'!$AG$3:$AH$3,0)),INDEX($AK$4:$AL$6,MATCH(INDEX($I$3:$L$6,MATCH(MOD('Map 2 Do Touch'!O11,4),$H$3:$H$6,0),MATCH(MOD('Map 2 Do Touch'!P11,4),$I$2:$L$2,0)),'Map 3'!$AJ$4:$AJ$6,0),MATCH(IF('Map 2 Do Touch'!O11&gt;4,"Water","Land"),'Map 3'!$AK$3:$AL$3,0))),IF('Map 2 Do Touch'!P11&gt;4,INDEX($AG$4:$AH$6,MATCH(INDEX($P$3:$S$6,MATCH(MOD('Map 2 Do Touch'!P10,4),$O$3:$O$6,0),MATCH(MOD('Map 2 Do Touch'!P11,4),$P$2:$S$2,0)),$AF$4:$AF$6,0),MATCH(IF('Map 2 Do Touch'!P10&gt;4,"Water","Land"),'Map 3'!$AG$3:$AH$3,0)),INDEX($AK$4:$AL$6,MATCH(INDEX($P$3:$S$6,MATCH(MOD('Map 2 Do Touch'!P10,4),$O$3:$O$6,0),MATCH(MOD('Map 2 Do Touch'!P11,4),$P$2:$S$2,0)),'Map 3'!$AJ$4:$AJ$6,0),MATCH(IF('Map 2 Do Touch'!P10&gt;4,"Water","Land"),'Map 3'!$AK$3:$AL$3,0))))</f>
        <v>Trench</v>
      </c>
      <c r="Q15" s="3" t="str">
        <f ca="1">IF('Map 2 Do Touch'!P10&lt;&gt;'Map 2 Do Touch'!P11,IF('Map 2 Do Touch'!Q11&gt;4,INDEX($AG$4:$AH$6,MATCH(INDEX($I$3:$L$6,MATCH(MOD('Map 2 Do Touch'!P11,4),$H$3:$H$6,0),MATCH(MOD('Map 2 Do Touch'!Q11,4),$I$2:$L$2,0)),$AF$4:$AF$6,0),MATCH(IF('Map 2 Do Touch'!P11&gt;4,"Water","Land"),'Map 3'!$AG$3:$AH$3,0)),INDEX($AK$4:$AL$6,MATCH(INDEX($I$3:$L$6,MATCH(MOD('Map 2 Do Touch'!P11,4),$H$3:$H$6,0),MATCH(MOD('Map 2 Do Touch'!Q11,4),$I$2:$L$2,0)),'Map 3'!$AJ$4:$AJ$6,0),MATCH(IF('Map 2 Do Touch'!P11&gt;4,"Water","Land"),'Map 3'!$AK$3:$AL$3,0))),IF('Map 2 Do Touch'!Q11&gt;4,INDEX($AG$4:$AH$6,MATCH(INDEX($P$3:$S$6,MATCH(MOD('Map 2 Do Touch'!Q10,4),$O$3:$O$6,0),MATCH(MOD('Map 2 Do Touch'!Q11,4),$P$2:$S$2,0)),$AF$4:$AF$6,0),MATCH(IF('Map 2 Do Touch'!Q10&gt;4,"Water","Land"),'Map 3'!$AG$3:$AH$3,0)),INDEX($AK$4:$AL$6,MATCH(INDEX($P$3:$S$6,MATCH(MOD('Map 2 Do Touch'!Q10,4),$O$3:$O$6,0),MATCH(MOD('Map 2 Do Touch'!Q11,4),$P$2:$S$2,0)),'Map 3'!$AJ$4:$AJ$6,0),MATCH(IF('Map 2 Do Touch'!Q10&gt;4,"Water","Land"),'Map 3'!$AK$3:$AL$3,0))))</f>
        <v>Ocean</v>
      </c>
      <c r="R15" s="3" t="str">
        <f ca="1">IF('Map 2 Do Touch'!Q10&lt;&gt;'Map 2 Do Touch'!Q11,IF('Map 2 Do Touch'!R11&gt;4,INDEX($AG$4:$AH$6,MATCH(INDEX($I$3:$L$6,MATCH(MOD('Map 2 Do Touch'!Q11,4),$H$3:$H$6,0),MATCH(MOD('Map 2 Do Touch'!R11,4),$I$2:$L$2,0)),$AF$4:$AF$6,0),MATCH(IF('Map 2 Do Touch'!Q11&gt;4,"Water","Land"),'Map 3'!$AG$3:$AH$3,0)),INDEX($AK$4:$AL$6,MATCH(INDEX($I$3:$L$6,MATCH(MOD('Map 2 Do Touch'!Q11,4),$H$3:$H$6,0),MATCH(MOD('Map 2 Do Touch'!R11,4),$I$2:$L$2,0)),'Map 3'!$AJ$4:$AJ$6,0),MATCH(IF('Map 2 Do Touch'!Q11&gt;4,"Water","Land"),'Map 3'!$AK$3:$AL$3,0))),IF('Map 2 Do Touch'!R11&gt;4,INDEX($AG$4:$AH$6,MATCH(INDEX($P$3:$S$6,MATCH(MOD('Map 2 Do Touch'!R10,4),$O$3:$O$6,0),MATCH(MOD('Map 2 Do Touch'!R11,4),$P$2:$S$2,0)),$AF$4:$AF$6,0),MATCH(IF('Map 2 Do Touch'!R10&gt;4,"Water","Land"),'Map 3'!$AG$3:$AH$3,0)),INDEX($AK$4:$AL$6,MATCH(INDEX($P$3:$S$6,MATCH(MOD('Map 2 Do Touch'!R10,4),$O$3:$O$6,0),MATCH(MOD('Map 2 Do Touch'!R11,4),$P$2:$S$2,0)),'Map 3'!$AJ$4:$AJ$6,0),MATCH(IF('Map 2 Do Touch'!R10&gt;4,"Water","Land"),'Map 3'!$AK$3:$AL$3,0))))</f>
        <v>Trench</v>
      </c>
      <c r="S15" s="3" t="str">
        <f ca="1">IF('Map 2 Do Touch'!R10&lt;&gt;'Map 2 Do Touch'!R11,IF('Map 2 Do Touch'!S11&gt;4,INDEX($AG$4:$AH$6,MATCH(INDEX($I$3:$L$6,MATCH(MOD('Map 2 Do Touch'!R11,4),$H$3:$H$6,0),MATCH(MOD('Map 2 Do Touch'!S11,4),$I$2:$L$2,0)),$AF$4:$AF$6,0),MATCH(IF('Map 2 Do Touch'!R11&gt;4,"Water","Land"),'Map 3'!$AG$3:$AH$3,0)),INDEX($AK$4:$AL$6,MATCH(INDEX($I$3:$L$6,MATCH(MOD('Map 2 Do Touch'!R11,4),$H$3:$H$6,0),MATCH(MOD('Map 2 Do Touch'!S11,4),$I$2:$L$2,0)),'Map 3'!$AJ$4:$AJ$6,0),MATCH(IF('Map 2 Do Touch'!R11&gt;4,"Water","Land"),'Map 3'!$AK$3:$AL$3,0))),IF('Map 2 Do Touch'!S11&gt;4,INDEX($AG$4:$AH$6,MATCH(INDEX($P$3:$S$6,MATCH(MOD('Map 2 Do Touch'!S10,4),$O$3:$O$6,0),MATCH(MOD('Map 2 Do Touch'!S11,4),$P$2:$S$2,0)),$AF$4:$AF$6,0),MATCH(IF('Map 2 Do Touch'!S10&gt;4,"Water","Land"),'Map 3'!$AG$3:$AH$3,0)),INDEX($AK$4:$AL$6,MATCH(INDEX($P$3:$S$6,MATCH(MOD('Map 2 Do Touch'!S10,4),$O$3:$O$6,0),MATCH(MOD('Map 2 Do Touch'!S11,4),$P$2:$S$2,0)),'Map 3'!$AJ$4:$AJ$6,0),MATCH(IF('Map 2 Do Touch'!S10&gt;4,"Water","Land"),'Map 3'!$AK$3:$AL$3,0))))</f>
        <v>Ocean</v>
      </c>
      <c r="T15" s="3" t="str">
        <f ca="1">IF('Map 2 Do Touch'!S10&lt;&gt;'Map 2 Do Touch'!S11,IF('Map 2 Do Touch'!T11&gt;4,INDEX($AG$4:$AH$6,MATCH(INDEX($I$3:$L$6,MATCH(MOD('Map 2 Do Touch'!S11,4),$H$3:$H$6,0),MATCH(MOD('Map 2 Do Touch'!T11,4),$I$2:$L$2,0)),$AF$4:$AF$6,0),MATCH(IF('Map 2 Do Touch'!S11&gt;4,"Water","Land"),'Map 3'!$AG$3:$AH$3,0)),INDEX($AK$4:$AL$6,MATCH(INDEX($I$3:$L$6,MATCH(MOD('Map 2 Do Touch'!S11,4),$H$3:$H$6,0),MATCH(MOD('Map 2 Do Touch'!T11,4),$I$2:$L$2,0)),'Map 3'!$AJ$4:$AJ$6,0),MATCH(IF('Map 2 Do Touch'!S11&gt;4,"Water","Land"),'Map 3'!$AK$3:$AL$3,0))),IF('Map 2 Do Touch'!T11&gt;4,INDEX($AG$4:$AH$6,MATCH(INDEX($P$3:$S$6,MATCH(MOD('Map 2 Do Touch'!T10,4),$O$3:$O$6,0),MATCH(MOD('Map 2 Do Touch'!T11,4),$P$2:$S$2,0)),$AF$4:$AF$6,0),MATCH(IF('Map 2 Do Touch'!T10&gt;4,"Water","Land"),'Map 3'!$AG$3:$AH$3,0)),INDEX($AK$4:$AL$6,MATCH(INDEX($P$3:$S$6,MATCH(MOD('Map 2 Do Touch'!T10,4),$O$3:$O$6,0),MATCH(MOD('Map 2 Do Touch'!T11,4),$P$2:$S$2,0)),'Map 3'!$AJ$4:$AJ$6,0),MATCH(IF('Map 2 Do Touch'!T10&gt;4,"Water","Land"),'Map 3'!$AK$3:$AL$3,0))))</f>
        <v>Ocean</v>
      </c>
      <c r="U15" s="3" t="str">
        <f ca="1">IF('Map 2 Do Touch'!T10&lt;&gt;'Map 2 Do Touch'!T11,IF('Map 2 Do Touch'!U11&gt;4,INDEX($AG$4:$AH$6,MATCH(INDEX($I$3:$L$6,MATCH(MOD('Map 2 Do Touch'!T11,4),$H$3:$H$6,0),MATCH(MOD('Map 2 Do Touch'!U11,4),$I$2:$L$2,0)),$AF$4:$AF$6,0),MATCH(IF('Map 2 Do Touch'!T11&gt;4,"Water","Land"),'Map 3'!$AG$3:$AH$3,0)),INDEX($AK$4:$AL$6,MATCH(INDEX($I$3:$L$6,MATCH(MOD('Map 2 Do Touch'!T11,4),$H$3:$H$6,0),MATCH(MOD('Map 2 Do Touch'!U11,4),$I$2:$L$2,0)),'Map 3'!$AJ$4:$AJ$6,0),MATCH(IF('Map 2 Do Touch'!T11&gt;4,"Water","Land"),'Map 3'!$AK$3:$AL$3,0))),IF('Map 2 Do Touch'!U11&gt;4,INDEX($AG$4:$AH$6,MATCH(INDEX($P$3:$S$6,MATCH(MOD('Map 2 Do Touch'!U10,4),$O$3:$O$6,0),MATCH(MOD('Map 2 Do Touch'!U11,4),$P$2:$S$2,0)),$AF$4:$AF$6,0),MATCH(IF('Map 2 Do Touch'!U10&gt;4,"Water","Land"),'Map 3'!$AG$3:$AH$3,0)),INDEX($AK$4:$AL$6,MATCH(INDEX($P$3:$S$6,MATCH(MOD('Map 2 Do Touch'!U10,4),$O$3:$O$6,0),MATCH(MOD('Map 2 Do Touch'!U11,4),$P$2:$S$2,0)),'Map 3'!$AJ$4:$AJ$6,0),MATCH(IF('Map 2 Do Touch'!U10&gt;4,"Water","Land"),'Map 3'!$AK$3:$AL$3,0))))</f>
        <v>Ocean</v>
      </c>
      <c r="V15" s="3" t="str">
        <f ca="1">IF('Map 2 Do Touch'!U10&lt;&gt;'Map 2 Do Touch'!U11,IF('Map 2 Do Touch'!V11&gt;4,INDEX($AG$4:$AH$6,MATCH(INDEX($I$3:$L$6,MATCH(MOD('Map 2 Do Touch'!U11,4),$H$3:$H$6,0),MATCH(MOD('Map 2 Do Touch'!V11,4),$I$2:$L$2,0)),$AF$4:$AF$6,0),MATCH(IF('Map 2 Do Touch'!U11&gt;4,"Water","Land"),'Map 3'!$AG$3:$AH$3,0)),INDEX($AK$4:$AL$6,MATCH(INDEX($I$3:$L$6,MATCH(MOD('Map 2 Do Touch'!U11,4),$H$3:$H$6,0),MATCH(MOD('Map 2 Do Touch'!V11,4),$I$2:$L$2,0)),'Map 3'!$AJ$4:$AJ$6,0),MATCH(IF('Map 2 Do Touch'!U11&gt;4,"Water","Land"),'Map 3'!$AK$3:$AL$3,0))),IF('Map 2 Do Touch'!V11&gt;4,INDEX($AG$4:$AH$6,MATCH(INDEX($P$3:$S$6,MATCH(MOD('Map 2 Do Touch'!V10,4),$O$3:$O$6,0),MATCH(MOD('Map 2 Do Touch'!V11,4),$P$2:$S$2,0)),$AF$4:$AF$6,0),MATCH(IF('Map 2 Do Touch'!V10&gt;4,"Water","Land"),'Map 3'!$AG$3:$AH$3,0)),INDEX($AK$4:$AL$6,MATCH(INDEX($P$3:$S$6,MATCH(MOD('Map 2 Do Touch'!V10,4),$O$3:$O$6,0),MATCH(MOD('Map 2 Do Touch'!V11,4),$P$2:$S$2,0)),'Map 3'!$AJ$4:$AJ$6,0),MATCH(IF('Map 2 Do Touch'!V10&gt;4,"Water","Land"),'Map 3'!$AK$3:$AL$3,0))))</f>
        <v>Ocean</v>
      </c>
      <c r="W15" s="3" t="str">
        <f ca="1">IF('Map 2 Do Touch'!V10&lt;&gt;'Map 2 Do Touch'!V11,IF('Map 2 Do Touch'!W11&gt;4,INDEX($AG$4:$AH$6,MATCH(INDEX($I$3:$L$6,MATCH(MOD('Map 2 Do Touch'!V11,4),$H$3:$H$6,0),MATCH(MOD('Map 2 Do Touch'!W11,4),$I$2:$L$2,0)),$AF$4:$AF$6,0),MATCH(IF('Map 2 Do Touch'!V11&gt;4,"Water","Land"),'Map 3'!$AG$3:$AH$3,0)),INDEX($AK$4:$AL$6,MATCH(INDEX($I$3:$L$6,MATCH(MOD('Map 2 Do Touch'!V11,4),$H$3:$H$6,0),MATCH(MOD('Map 2 Do Touch'!W11,4),$I$2:$L$2,0)),'Map 3'!$AJ$4:$AJ$6,0),MATCH(IF('Map 2 Do Touch'!V11&gt;4,"Water","Land"),'Map 3'!$AK$3:$AL$3,0))),IF('Map 2 Do Touch'!W11&gt;4,INDEX($AG$4:$AH$6,MATCH(INDEX($P$3:$S$6,MATCH(MOD('Map 2 Do Touch'!W10,4),$O$3:$O$6,0),MATCH(MOD('Map 2 Do Touch'!W11,4),$P$2:$S$2,0)),$AF$4:$AF$6,0),MATCH(IF('Map 2 Do Touch'!W10&gt;4,"Water","Land"),'Map 3'!$AG$3:$AH$3,0)),INDEX($AK$4:$AL$6,MATCH(INDEX($P$3:$S$6,MATCH(MOD('Map 2 Do Touch'!W10,4),$O$3:$O$6,0),MATCH(MOD('Map 2 Do Touch'!W11,4),$P$2:$S$2,0)),'Map 3'!$AJ$4:$AJ$6,0),MATCH(IF('Map 2 Do Touch'!W10&gt;4,"Water","Land"),'Map 3'!$AK$3:$AL$3,0))))</f>
        <v>Ocean</v>
      </c>
      <c r="X15" s="3" t="str">
        <f ca="1">IF('Map 2 Do Touch'!W10&lt;&gt;'Map 2 Do Touch'!W11,IF('Map 2 Do Touch'!X11&gt;4,INDEX($AG$4:$AH$6,MATCH(INDEX($I$3:$L$6,MATCH(MOD('Map 2 Do Touch'!W11,4),$H$3:$H$6,0),MATCH(MOD('Map 2 Do Touch'!X11,4),$I$2:$L$2,0)),$AF$4:$AF$6,0),MATCH(IF('Map 2 Do Touch'!W11&gt;4,"Water","Land"),'Map 3'!$AG$3:$AH$3,0)),INDEX($AK$4:$AL$6,MATCH(INDEX($I$3:$L$6,MATCH(MOD('Map 2 Do Touch'!W11,4),$H$3:$H$6,0),MATCH(MOD('Map 2 Do Touch'!X11,4),$I$2:$L$2,0)),'Map 3'!$AJ$4:$AJ$6,0),MATCH(IF('Map 2 Do Touch'!W11&gt;4,"Water","Land"),'Map 3'!$AK$3:$AL$3,0))),IF('Map 2 Do Touch'!X11&gt;4,INDEX($AG$4:$AH$6,MATCH(INDEX($P$3:$S$6,MATCH(MOD('Map 2 Do Touch'!X10,4),$O$3:$O$6,0),MATCH(MOD('Map 2 Do Touch'!X11,4),$P$2:$S$2,0)),$AF$4:$AF$6,0),MATCH(IF('Map 2 Do Touch'!X10&gt;4,"Water","Land"),'Map 3'!$AG$3:$AH$3,0)),INDEX($AK$4:$AL$6,MATCH(INDEX($P$3:$S$6,MATCH(MOD('Map 2 Do Touch'!X10,4),$O$3:$O$6,0),MATCH(MOD('Map 2 Do Touch'!X11,4),$P$2:$S$2,0)),'Map 3'!$AJ$4:$AJ$6,0),MATCH(IF('Map 2 Do Touch'!X10&gt;4,"Water","Land"),'Map 3'!$AK$3:$AL$3,0))))</f>
        <v>Ocean</v>
      </c>
      <c r="Y15" s="3" t="str">
        <f ca="1">IF('Map 2 Do Touch'!X10&lt;&gt;'Map 2 Do Touch'!X11,IF('Map 2 Do Touch'!Y11&gt;4,INDEX($AG$4:$AH$6,MATCH(INDEX($I$3:$L$6,MATCH(MOD('Map 2 Do Touch'!X11,4),$H$3:$H$6,0),MATCH(MOD('Map 2 Do Touch'!Y11,4),$I$2:$L$2,0)),$AF$4:$AF$6,0),MATCH(IF('Map 2 Do Touch'!X11&gt;4,"Water","Land"),'Map 3'!$AG$3:$AH$3,0)),INDEX($AK$4:$AL$6,MATCH(INDEX($I$3:$L$6,MATCH(MOD('Map 2 Do Touch'!X11,4),$H$3:$H$6,0),MATCH(MOD('Map 2 Do Touch'!Y11,4),$I$2:$L$2,0)),'Map 3'!$AJ$4:$AJ$6,0),MATCH(IF('Map 2 Do Touch'!X11&gt;4,"Water","Land"),'Map 3'!$AK$3:$AL$3,0))),IF('Map 2 Do Touch'!Y11&gt;4,INDEX($AG$4:$AH$6,MATCH(INDEX($P$3:$S$6,MATCH(MOD('Map 2 Do Touch'!Y10,4),$O$3:$O$6,0),MATCH(MOD('Map 2 Do Touch'!Y11,4),$P$2:$S$2,0)),$AF$4:$AF$6,0),MATCH(IF('Map 2 Do Touch'!Y10&gt;4,"Water","Land"),'Map 3'!$AG$3:$AH$3,0)),INDEX($AK$4:$AL$6,MATCH(INDEX($P$3:$S$6,MATCH(MOD('Map 2 Do Touch'!Y10,4),$O$3:$O$6,0),MATCH(MOD('Map 2 Do Touch'!Y11,4),$P$2:$S$2,0)),'Map 3'!$AJ$4:$AJ$6,0),MATCH(IF('Map 2 Do Touch'!Y10&gt;4,"Water","Land"),'Map 3'!$AK$3:$AL$3,0))))</f>
        <v>Ocean</v>
      </c>
      <c r="Z15" s="3" t="str">
        <f ca="1">IF('Map 2 Do Touch'!Y10&lt;&gt;'Map 2 Do Touch'!Y11,IF('Map 2 Do Touch'!Z11&gt;4,INDEX($AG$4:$AH$6,MATCH(INDEX($I$3:$L$6,MATCH(MOD('Map 2 Do Touch'!Y11,4),$H$3:$H$6,0),MATCH(MOD('Map 2 Do Touch'!Z11,4),$I$2:$L$2,0)),$AF$4:$AF$6,0),MATCH(IF('Map 2 Do Touch'!Y11&gt;4,"Water","Land"),'Map 3'!$AG$3:$AH$3,0)),INDEX($AK$4:$AL$6,MATCH(INDEX($I$3:$L$6,MATCH(MOD('Map 2 Do Touch'!Y11,4),$H$3:$H$6,0),MATCH(MOD('Map 2 Do Touch'!Z11,4),$I$2:$L$2,0)),'Map 3'!$AJ$4:$AJ$6,0),MATCH(IF('Map 2 Do Touch'!Y11&gt;4,"Water","Land"),'Map 3'!$AK$3:$AL$3,0))),IF('Map 2 Do Touch'!Z11&gt;4,INDEX($AG$4:$AH$6,MATCH(INDEX($P$3:$S$6,MATCH(MOD('Map 2 Do Touch'!Z10,4),$O$3:$O$6,0),MATCH(MOD('Map 2 Do Touch'!Z11,4),$P$2:$S$2,0)),$AF$4:$AF$6,0),MATCH(IF('Map 2 Do Touch'!Z10&gt;4,"Water","Land"),'Map 3'!$AG$3:$AH$3,0)),INDEX($AK$4:$AL$6,MATCH(INDEX($P$3:$S$6,MATCH(MOD('Map 2 Do Touch'!Z10,4),$O$3:$O$6,0),MATCH(MOD('Map 2 Do Touch'!Z11,4),$P$2:$S$2,0)),'Map 3'!$AJ$4:$AJ$6,0),MATCH(IF('Map 2 Do Touch'!Z10&gt;4,"Water","Land"),'Map 3'!$AK$3:$AL$3,0))))</f>
        <v>Ocean</v>
      </c>
      <c r="AA15" s="3" t="str">
        <f ca="1">IF('Map 2 Do Touch'!Z10&lt;&gt;'Map 2 Do Touch'!Z11,IF('Map 2 Do Touch'!AA11&gt;4,INDEX($AG$4:$AH$6,MATCH(INDEX($I$3:$L$6,MATCH(MOD('Map 2 Do Touch'!Z11,4),$H$3:$H$6,0),MATCH(MOD('Map 2 Do Touch'!AA11,4),$I$2:$L$2,0)),$AF$4:$AF$6,0),MATCH(IF('Map 2 Do Touch'!Z11&gt;4,"Water","Land"),'Map 3'!$AG$3:$AH$3,0)),INDEX($AK$4:$AL$6,MATCH(INDEX($I$3:$L$6,MATCH(MOD('Map 2 Do Touch'!Z11,4),$H$3:$H$6,0),MATCH(MOD('Map 2 Do Touch'!AA11,4),$I$2:$L$2,0)),'Map 3'!$AJ$4:$AJ$6,0),MATCH(IF('Map 2 Do Touch'!Z11&gt;4,"Water","Land"),'Map 3'!$AK$3:$AL$3,0))),IF('Map 2 Do Touch'!AA11&gt;4,INDEX($AG$4:$AH$6,MATCH(INDEX($P$3:$S$6,MATCH(MOD('Map 2 Do Touch'!AA10,4),$O$3:$O$6,0),MATCH(MOD('Map 2 Do Touch'!AA11,4),$P$2:$S$2,0)),$AF$4:$AF$6,0),MATCH(IF('Map 2 Do Touch'!AA10&gt;4,"Water","Land"),'Map 3'!$AG$3:$AH$3,0)),INDEX($AK$4:$AL$6,MATCH(INDEX($P$3:$S$6,MATCH(MOD('Map 2 Do Touch'!AA10,4),$O$3:$O$6,0),MATCH(MOD('Map 2 Do Touch'!AA11,4),$P$2:$S$2,0)),'Map 3'!$AJ$4:$AJ$6,0),MATCH(IF('Map 2 Do Touch'!AA10&gt;4,"Water","Land"),'Map 3'!$AK$3:$AL$3,0))))</f>
        <v>Ocean</v>
      </c>
      <c r="AB15" s="3" t="str">
        <f ca="1">IF('Map 2 Do Touch'!AA10&lt;&gt;'Map 2 Do Touch'!AA11,IF('Map 2 Do Touch'!AB11&gt;4,INDEX($AG$4:$AH$6,MATCH(INDEX($I$3:$L$6,MATCH(MOD('Map 2 Do Touch'!AA11,4),$H$3:$H$6,0),MATCH(MOD('Map 2 Do Touch'!AB11,4),$I$2:$L$2,0)),$AF$4:$AF$6,0),MATCH(IF('Map 2 Do Touch'!AA11&gt;4,"Water","Land"),'Map 3'!$AG$3:$AH$3,0)),INDEX($AK$4:$AL$6,MATCH(INDEX($I$3:$L$6,MATCH(MOD('Map 2 Do Touch'!AA11,4),$H$3:$H$6,0),MATCH(MOD('Map 2 Do Touch'!AB11,4),$I$2:$L$2,0)),'Map 3'!$AJ$4:$AJ$6,0),MATCH(IF('Map 2 Do Touch'!AA11&gt;4,"Water","Land"),'Map 3'!$AK$3:$AL$3,0))),IF('Map 2 Do Touch'!AB11&gt;4,INDEX($AG$4:$AH$6,MATCH(INDEX($P$3:$S$6,MATCH(MOD('Map 2 Do Touch'!AB10,4),$O$3:$O$6,0),MATCH(MOD('Map 2 Do Touch'!AB11,4),$P$2:$S$2,0)),$AF$4:$AF$6,0),MATCH(IF('Map 2 Do Touch'!AB10&gt;4,"Water","Land"),'Map 3'!$AG$3:$AH$3,0)),INDEX($AK$4:$AL$6,MATCH(INDEX($P$3:$S$6,MATCH(MOD('Map 2 Do Touch'!AB10,4),$O$3:$O$6,0),MATCH(MOD('Map 2 Do Touch'!AB11,4),$P$2:$S$2,0)),'Map 3'!$AJ$4:$AJ$6,0),MATCH(IF('Map 2 Do Touch'!AB10&gt;4,"Water","Land"),'Map 3'!$AK$3:$AL$3,0))))</f>
        <v>Ocean</v>
      </c>
      <c r="AC15" s="3" t="str">
        <f ca="1">IF('Map 2 Do Touch'!AB10&lt;&gt;'Map 2 Do Touch'!AB11,IF('Map 2 Do Touch'!AC11&gt;4,INDEX($AG$4:$AH$6,MATCH(INDEX($I$3:$L$6,MATCH(MOD('Map 2 Do Touch'!AB11,4),$H$3:$H$6,0),MATCH(MOD('Map 2 Do Touch'!AC11,4),$I$2:$L$2,0)),$AF$4:$AF$6,0),MATCH(IF('Map 2 Do Touch'!AB11&gt;4,"Water","Land"),'Map 3'!$AG$3:$AH$3,0)),INDEX($AK$4:$AL$6,MATCH(INDEX($I$3:$L$6,MATCH(MOD('Map 2 Do Touch'!AB11,4),$H$3:$H$6,0),MATCH(MOD('Map 2 Do Touch'!AC11,4),$I$2:$L$2,0)),'Map 3'!$AJ$4:$AJ$6,0),MATCH(IF('Map 2 Do Touch'!AB11&gt;4,"Water","Land"),'Map 3'!$AK$3:$AL$3,0))),IF('Map 2 Do Touch'!AC11&gt;4,INDEX($AG$4:$AH$6,MATCH(INDEX($P$3:$S$6,MATCH(MOD('Map 2 Do Touch'!AC10,4),$O$3:$O$6,0),MATCH(MOD('Map 2 Do Touch'!AC11,4),$P$2:$S$2,0)),$AF$4:$AF$6,0),MATCH(IF('Map 2 Do Touch'!AC10&gt;4,"Water","Land"),'Map 3'!$AG$3:$AH$3,0)),INDEX($AK$4:$AL$6,MATCH(INDEX($P$3:$S$6,MATCH(MOD('Map 2 Do Touch'!AC10,4),$O$3:$O$6,0),MATCH(MOD('Map 2 Do Touch'!AC11,4),$P$2:$S$2,0)),'Map 3'!$AJ$4:$AJ$6,0),MATCH(IF('Map 2 Do Touch'!AC10&gt;4,"Water","Land"),'Map 3'!$AK$3:$AL$3,0))))</f>
        <v>Ocean</v>
      </c>
      <c r="AD15" s="3" t="str">
        <f ca="1">IF('Map 2 Do Touch'!AC10&lt;&gt;'Map 2 Do Touch'!AC11,IF('Map 2 Do Touch'!AD11&gt;4,INDEX($AG$4:$AH$6,MATCH(INDEX($I$3:$L$6,MATCH(MOD('Map 2 Do Touch'!AC11,4),$H$3:$H$6,0),MATCH(MOD('Map 2 Do Touch'!AD11,4),$I$2:$L$2,0)),$AF$4:$AF$6,0),MATCH(IF('Map 2 Do Touch'!AC11&gt;4,"Water","Land"),'Map 3'!$AG$3:$AH$3,0)),INDEX($AK$4:$AL$6,MATCH(INDEX($I$3:$L$6,MATCH(MOD('Map 2 Do Touch'!AC11,4),$H$3:$H$6,0),MATCH(MOD('Map 2 Do Touch'!AD11,4),$I$2:$L$2,0)),'Map 3'!$AJ$4:$AJ$6,0),MATCH(IF('Map 2 Do Touch'!AC11&gt;4,"Water","Land"),'Map 3'!$AK$3:$AL$3,0))),IF('Map 2 Do Touch'!AD11&gt;4,INDEX($AG$4:$AH$6,MATCH(INDEX($P$3:$S$6,MATCH(MOD('Map 2 Do Touch'!AD10,4),$O$3:$O$6,0),MATCH(MOD('Map 2 Do Touch'!AD11,4),$P$2:$S$2,0)),$AF$4:$AF$6,0),MATCH(IF('Map 2 Do Touch'!AD10&gt;4,"Water","Land"),'Map 3'!$AG$3:$AH$3,0)),INDEX($AK$4:$AL$6,MATCH(INDEX($P$3:$S$6,MATCH(MOD('Map 2 Do Touch'!AD10,4),$O$3:$O$6,0),MATCH(MOD('Map 2 Do Touch'!AD11,4),$P$2:$S$2,0)),'Map 3'!$AJ$4:$AJ$6,0),MATCH(IF('Map 2 Do Touch'!AD10&gt;4,"Water","Land"),'Map 3'!$AK$3:$AL$3,0))))</f>
        <v>Coast</v>
      </c>
      <c r="AE15" s="3" t="str">
        <f ca="1">IF('Map 2 Do Touch'!AD10&lt;&gt;'Map 2 Do Touch'!AD11,IF('Map 2 Do Touch'!AE11&gt;4,INDEX($AG$4:$AH$6,MATCH(INDEX($I$3:$L$6,MATCH(MOD('Map 2 Do Touch'!AD11,4),$H$3:$H$6,0),MATCH(MOD('Map 2 Do Touch'!AE11,4),$I$2:$L$2,0)),$AF$4:$AF$6,0),MATCH(IF('Map 2 Do Touch'!AD11&gt;4,"Water","Land"),'Map 3'!$AG$3:$AH$3,0)),INDEX($AK$4:$AL$6,MATCH(INDEX($I$3:$L$6,MATCH(MOD('Map 2 Do Touch'!AD11,4),$H$3:$H$6,0),MATCH(MOD('Map 2 Do Touch'!AE11,4),$I$2:$L$2,0)),'Map 3'!$AJ$4:$AJ$6,0),MATCH(IF('Map 2 Do Touch'!AD11&gt;4,"Water","Land"),'Map 3'!$AK$3:$AL$3,0))),IF('Map 2 Do Touch'!AE11&gt;4,INDEX($AG$4:$AH$6,MATCH(INDEX($P$3:$S$6,MATCH(MOD('Map 2 Do Touch'!AE10,4),$O$3:$O$6,0),MATCH(MOD('Map 2 Do Touch'!AE11,4),$P$2:$S$2,0)),$AF$4:$AF$6,0),MATCH(IF('Map 2 Do Touch'!AE10&gt;4,"Water","Land"),'Map 3'!$AG$3:$AH$3,0)),INDEX($AK$4:$AL$6,MATCH(INDEX($P$3:$S$6,MATCH(MOD('Map 2 Do Touch'!AE10,4),$O$3:$O$6,0),MATCH(MOD('Map 2 Do Touch'!AE11,4),$P$2:$S$2,0)),'Map 3'!$AJ$4:$AJ$6,0),MATCH(IF('Map 2 Do Touch'!AE10&gt;4,"Water","Land"),'Map 3'!$AK$3:$AL$3,0))))</f>
        <v>Cliff</v>
      </c>
      <c r="AF15" s="3" t="str">
        <f ca="1">IF('Map 2 Do Touch'!AE10&lt;&gt;'Map 2 Do Touch'!AE11,IF('Map 2 Do Touch'!AF11&gt;4,INDEX($AG$4:$AH$6,MATCH(INDEX($I$3:$L$6,MATCH(MOD('Map 2 Do Touch'!AE11,4),$H$3:$H$6,0),MATCH(MOD('Map 2 Do Touch'!AF11,4),$I$2:$L$2,0)),$AF$4:$AF$6,0),MATCH(IF('Map 2 Do Touch'!AE11&gt;4,"Water","Land"),'Map 3'!$AG$3:$AH$3,0)),INDEX($AK$4:$AL$6,MATCH(INDEX($I$3:$L$6,MATCH(MOD('Map 2 Do Touch'!AE11,4),$H$3:$H$6,0),MATCH(MOD('Map 2 Do Touch'!AF11,4),$I$2:$L$2,0)),'Map 3'!$AJ$4:$AJ$6,0),MATCH(IF('Map 2 Do Touch'!AE11&gt;4,"Water","Land"),'Map 3'!$AK$3:$AL$3,0))),IF('Map 2 Do Touch'!AF11&gt;4,INDEX($AG$4:$AH$6,MATCH(INDEX($P$3:$S$6,MATCH(MOD('Map 2 Do Touch'!AF10,4),$O$3:$O$6,0),MATCH(MOD('Map 2 Do Touch'!AF11,4),$P$2:$S$2,0)),$AF$4:$AF$6,0),MATCH(IF('Map 2 Do Touch'!AF10&gt;4,"Water","Land"),'Map 3'!$AG$3:$AH$3,0)),INDEX($AK$4:$AL$6,MATCH(INDEX($P$3:$S$6,MATCH(MOD('Map 2 Do Touch'!AF10,4),$O$3:$O$6,0),MATCH(MOD('Map 2 Do Touch'!AF11,4),$P$2:$S$2,0)),'Map 3'!$AJ$4:$AJ$6,0),MATCH(IF('Map 2 Do Touch'!AF10&gt;4,"Water","Land"),'Map 3'!$AK$3:$AL$3,0))))</f>
        <v>Flatland</v>
      </c>
      <c r="AG15" s="3" t="str">
        <f ca="1">IF('Map 2 Do Touch'!AF10&lt;&gt;'Map 2 Do Touch'!AF11,IF('Map 2 Do Touch'!AG11&gt;4,INDEX($AG$4:$AH$6,MATCH(INDEX($I$3:$L$6,MATCH(MOD('Map 2 Do Touch'!AF11,4),$H$3:$H$6,0),MATCH(MOD('Map 2 Do Touch'!AG11,4),$I$2:$L$2,0)),$AF$4:$AF$6,0),MATCH(IF('Map 2 Do Touch'!AF11&gt;4,"Water","Land"),'Map 3'!$AG$3:$AH$3,0)),INDEX($AK$4:$AL$6,MATCH(INDEX($I$3:$L$6,MATCH(MOD('Map 2 Do Touch'!AF11,4),$H$3:$H$6,0),MATCH(MOD('Map 2 Do Touch'!AG11,4),$I$2:$L$2,0)),'Map 3'!$AJ$4:$AJ$6,0),MATCH(IF('Map 2 Do Touch'!AF11&gt;4,"Water","Land"),'Map 3'!$AK$3:$AL$3,0))),IF('Map 2 Do Touch'!AG11&gt;4,INDEX($AG$4:$AH$6,MATCH(INDEX($P$3:$S$6,MATCH(MOD('Map 2 Do Touch'!AG10,4),$O$3:$O$6,0),MATCH(MOD('Map 2 Do Touch'!AG11,4),$P$2:$S$2,0)),$AF$4:$AF$6,0),MATCH(IF('Map 2 Do Touch'!AG10&gt;4,"Water","Land"),'Map 3'!$AG$3:$AH$3,0)),INDEX($AK$4:$AL$6,MATCH(INDEX($P$3:$S$6,MATCH(MOD('Map 2 Do Touch'!AG10,4),$O$3:$O$6,0),MATCH(MOD('Map 2 Do Touch'!AG11,4),$P$2:$S$2,0)),'Map 3'!$AJ$4:$AJ$6,0),MATCH(IF('Map 2 Do Touch'!AG10&gt;4,"Water","Land"),'Map 3'!$AK$3:$AL$3,0))))</f>
        <v>Flatland</v>
      </c>
      <c r="AH15" s="3" t="str">
        <f ca="1">IF('Map 2 Do Touch'!AG10&lt;&gt;'Map 2 Do Touch'!AG11,IF('Map 2 Do Touch'!AH11&gt;4,INDEX($AG$4:$AH$6,MATCH(INDEX($I$3:$L$6,MATCH(MOD('Map 2 Do Touch'!AG11,4),$H$3:$H$6,0),MATCH(MOD('Map 2 Do Touch'!AH11,4),$I$2:$L$2,0)),$AF$4:$AF$6,0),MATCH(IF('Map 2 Do Touch'!AG11&gt;4,"Water","Land"),'Map 3'!$AG$3:$AH$3,0)),INDEX($AK$4:$AL$6,MATCH(INDEX($I$3:$L$6,MATCH(MOD('Map 2 Do Touch'!AG11,4),$H$3:$H$6,0),MATCH(MOD('Map 2 Do Touch'!AH11,4),$I$2:$L$2,0)),'Map 3'!$AJ$4:$AJ$6,0),MATCH(IF('Map 2 Do Touch'!AG11&gt;4,"Water","Land"),'Map 3'!$AK$3:$AL$3,0))),IF('Map 2 Do Touch'!AH11&gt;4,INDEX($AG$4:$AH$6,MATCH(INDEX($P$3:$S$6,MATCH(MOD('Map 2 Do Touch'!AH10,4),$O$3:$O$6,0),MATCH(MOD('Map 2 Do Touch'!AH11,4),$P$2:$S$2,0)),$AF$4:$AF$6,0),MATCH(IF('Map 2 Do Touch'!AH10&gt;4,"Water","Land"),'Map 3'!$AG$3:$AH$3,0)),INDEX($AK$4:$AL$6,MATCH(INDEX($P$3:$S$6,MATCH(MOD('Map 2 Do Touch'!AH10,4),$O$3:$O$6,0),MATCH(MOD('Map 2 Do Touch'!AH11,4),$P$2:$S$2,0)),'Map 3'!$AJ$4:$AJ$6,0),MATCH(IF('Map 2 Do Touch'!AH10&gt;4,"Water","Land"),'Map 3'!$AK$3:$AL$3,0))))</f>
        <v>Flatland</v>
      </c>
      <c r="AI15" s="3" t="str">
        <f ca="1">IF('Map 2 Do Touch'!AH10&lt;&gt;'Map 2 Do Touch'!AH11,IF('Map 2 Do Touch'!AI11&gt;4,INDEX($AG$4:$AH$6,MATCH(INDEX($I$3:$L$6,MATCH(MOD('Map 2 Do Touch'!AH11,4),$H$3:$H$6,0),MATCH(MOD('Map 2 Do Touch'!AI11,4),$I$2:$L$2,0)),$AF$4:$AF$6,0),MATCH(IF('Map 2 Do Touch'!AH11&gt;4,"Water","Land"),'Map 3'!$AG$3:$AH$3,0)),INDEX($AK$4:$AL$6,MATCH(INDEX($I$3:$L$6,MATCH(MOD('Map 2 Do Touch'!AH11,4),$H$3:$H$6,0),MATCH(MOD('Map 2 Do Touch'!AI11,4),$I$2:$L$2,0)),'Map 3'!$AJ$4:$AJ$6,0),MATCH(IF('Map 2 Do Touch'!AH11&gt;4,"Water","Land"),'Map 3'!$AK$3:$AL$3,0))),IF('Map 2 Do Touch'!AI11&gt;4,INDEX($AG$4:$AH$6,MATCH(INDEX($P$3:$S$6,MATCH(MOD('Map 2 Do Touch'!AI10,4),$O$3:$O$6,0),MATCH(MOD('Map 2 Do Touch'!AI11,4),$P$2:$S$2,0)),$AF$4:$AF$6,0),MATCH(IF('Map 2 Do Touch'!AI10&gt;4,"Water","Land"),'Map 3'!$AG$3:$AH$3,0)),INDEX($AK$4:$AL$6,MATCH(INDEX($P$3:$S$6,MATCH(MOD('Map 2 Do Touch'!AI10,4),$O$3:$O$6,0),MATCH(MOD('Map 2 Do Touch'!AI11,4),$P$2:$S$2,0)),'Map 3'!$AJ$4:$AJ$6,0),MATCH(IF('Map 2 Do Touch'!AI10&gt;4,"Water","Land"),'Map 3'!$AK$3:$AL$3,0))))</f>
        <v>Flatland</v>
      </c>
      <c r="AJ15" s="3" t="str">
        <f ca="1">IF('Map 2 Do Touch'!AI10&lt;&gt;'Map 2 Do Touch'!AI11,IF('Map 2 Do Touch'!AJ11&gt;4,INDEX($AG$4:$AH$6,MATCH(INDEX($I$3:$L$6,MATCH(MOD('Map 2 Do Touch'!AI11,4),$H$3:$H$6,0),MATCH(MOD('Map 2 Do Touch'!AJ11,4),$I$2:$L$2,0)),$AF$4:$AF$6,0),MATCH(IF('Map 2 Do Touch'!AI11&gt;4,"Water","Land"),'Map 3'!$AG$3:$AH$3,0)),INDEX($AK$4:$AL$6,MATCH(INDEX($I$3:$L$6,MATCH(MOD('Map 2 Do Touch'!AI11,4),$H$3:$H$6,0),MATCH(MOD('Map 2 Do Touch'!AJ11,4),$I$2:$L$2,0)),'Map 3'!$AJ$4:$AJ$6,0),MATCH(IF('Map 2 Do Touch'!AI11&gt;4,"Water","Land"),'Map 3'!$AK$3:$AL$3,0))),IF('Map 2 Do Touch'!AJ11&gt;4,INDEX($AG$4:$AH$6,MATCH(INDEX($P$3:$S$6,MATCH(MOD('Map 2 Do Touch'!AJ10,4),$O$3:$O$6,0),MATCH(MOD('Map 2 Do Touch'!AJ11,4),$P$2:$S$2,0)),$AF$4:$AF$6,0),MATCH(IF('Map 2 Do Touch'!AJ10&gt;4,"Water","Land"),'Map 3'!$AG$3:$AH$3,0)),INDEX($AK$4:$AL$6,MATCH(INDEX($P$3:$S$6,MATCH(MOD('Map 2 Do Touch'!AJ10,4),$O$3:$O$6,0),MATCH(MOD('Map 2 Do Touch'!AJ11,4),$P$2:$S$2,0)),'Map 3'!$AJ$4:$AJ$6,0),MATCH(IF('Map 2 Do Touch'!AJ10&gt;4,"Water","Land"),'Map 3'!$AK$3:$AL$3,0))))</f>
        <v>Flatland</v>
      </c>
      <c r="AK15" s="3" t="str">
        <f ca="1">IF('Map 2 Do Touch'!AJ10&lt;&gt;'Map 2 Do Touch'!AJ11,IF('Map 2 Do Touch'!AK11&gt;4,INDEX($AG$4:$AH$6,MATCH(INDEX($I$3:$L$6,MATCH(MOD('Map 2 Do Touch'!AJ11,4),$H$3:$H$6,0),MATCH(MOD('Map 2 Do Touch'!AK11,4),$I$2:$L$2,0)),$AF$4:$AF$6,0),MATCH(IF('Map 2 Do Touch'!AJ11&gt;4,"Water","Land"),'Map 3'!$AG$3:$AH$3,0)),INDEX($AK$4:$AL$6,MATCH(INDEX($I$3:$L$6,MATCH(MOD('Map 2 Do Touch'!AJ11,4),$H$3:$H$6,0),MATCH(MOD('Map 2 Do Touch'!AK11,4),$I$2:$L$2,0)),'Map 3'!$AJ$4:$AJ$6,0),MATCH(IF('Map 2 Do Touch'!AJ11&gt;4,"Water","Land"),'Map 3'!$AK$3:$AL$3,0))),IF('Map 2 Do Touch'!AK11&gt;4,INDEX($AG$4:$AH$6,MATCH(INDEX($P$3:$S$6,MATCH(MOD('Map 2 Do Touch'!AK10,4),$O$3:$O$6,0),MATCH(MOD('Map 2 Do Touch'!AK11,4),$P$2:$S$2,0)),$AF$4:$AF$6,0),MATCH(IF('Map 2 Do Touch'!AK10&gt;4,"Water","Land"),'Map 3'!$AG$3:$AH$3,0)),INDEX($AK$4:$AL$6,MATCH(INDEX($P$3:$S$6,MATCH(MOD('Map 2 Do Touch'!AK10,4),$O$3:$O$6,0),MATCH(MOD('Map 2 Do Touch'!AK11,4),$P$2:$S$2,0)),'Map 3'!$AJ$4:$AJ$6,0),MATCH(IF('Map 2 Do Touch'!AK10&gt;4,"Water","Land"),'Map 3'!$AK$3:$AL$3,0))))</f>
        <v>Mountain</v>
      </c>
      <c r="AL15" s="3" t="str">
        <f ca="1">IF('Map 2 Do Touch'!AK10&lt;&gt;'Map 2 Do Touch'!AK11,IF('Map 2 Do Touch'!AL11&gt;4,INDEX($AG$4:$AH$6,MATCH(INDEX($I$3:$L$6,MATCH(MOD('Map 2 Do Touch'!AK11,4),$H$3:$H$6,0),MATCH(MOD('Map 2 Do Touch'!AL11,4),$I$2:$L$2,0)),$AF$4:$AF$6,0),MATCH(IF('Map 2 Do Touch'!AK11&gt;4,"Water","Land"),'Map 3'!$AG$3:$AH$3,0)),INDEX($AK$4:$AL$6,MATCH(INDEX($I$3:$L$6,MATCH(MOD('Map 2 Do Touch'!AK11,4),$H$3:$H$6,0),MATCH(MOD('Map 2 Do Touch'!AL11,4),$I$2:$L$2,0)),'Map 3'!$AJ$4:$AJ$6,0),MATCH(IF('Map 2 Do Touch'!AK11&gt;4,"Water","Land"),'Map 3'!$AK$3:$AL$3,0))),IF('Map 2 Do Touch'!AL11&gt;4,INDEX($AG$4:$AH$6,MATCH(INDEX($P$3:$S$6,MATCH(MOD('Map 2 Do Touch'!AL10,4),$O$3:$O$6,0),MATCH(MOD('Map 2 Do Touch'!AL11,4),$P$2:$S$2,0)),$AF$4:$AF$6,0),MATCH(IF('Map 2 Do Touch'!AL10&gt;4,"Water","Land"),'Map 3'!$AG$3:$AH$3,0)),INDEX($AK$4:$AL$6,MATCH(INDEX($P$3:$S$6,MATCH(MOD('Map 2 Do Touch'!AL10,4),$O$3:$O$6,0),MATCH(MOD('Map 2 Do Touch'!AL11,4),$P$2:$S$2,0)),'Map 3'!$AJ$4:$AJ$6,0),MATCH(IF('Map 2 Do Touch'!AL10&gt;4,"Water","Land"),'Map 3'!$AK$3:$AL$3,0))))</f>
        <v>Valley</v>
      </c>
      <c r="AM15" s="3" t="str">
        <f ca="1">IF('Map 2 Do Touch'!AL10&lt;&gt;'Map 2 Do Touch'!AL11,IF('Map 2 Do Touch'!AM11&gt;4,INDEX($AG$4:$AH$6,MATCH(INDEX($I$3:$L$6,MATCH(MOD('Map 2 Do Touch'!AL11,4),$H$3:$H$6,0),MATCH(MOD('Map 2 Do Touch'!AM11,4),$I$2:$L$2,0)),$AF$4:$AF$6,0),MATCH(IF('Map 2 Do Touch'!AL11&gt;4,"Water","Land"),'Map 3'!$AG$3:$AH$3,0)),INDEX($AK$4:$AL$6,MATCH(INDEX($I$3:$L$6,MATCH(MOD('Map 2 Do Touch'!AL11,4),$H$3:$H$6,0),MATCH(MOD('Map 2 Do Touch'!AM11,4),$I$2:$L$2,0)),'Map 3'!$AJ$4:$AJ$6,0),MATCH(IF('Map 2 Do Touch'!AL11&gt;4,"Water","Land"),'Map 3'!$AK$3:$AL$3,0))),IF('Map 2 Do Touch'!AM11&gt;4,INDEX($AG$4:$AH$6,MATCH(INDEX($P$3:$S$6,MATCH(MOD('Map 2 Do Touch'!AM10,4),$O$3:$O$6,0),MATCH(MOD('Map 2 Do Touch'!AM11,4),$P$2:$S$2,0)),$AF$4:$AF$6,0),MATCH(IF('Map 2 Do Touch'!AM10&gt;4,"Water","Land"),'Map 3'!$AG$3:$AH$3,0)),INDEX($AK$4:$AL$6,MATCH(INDEX($P$3:$S$6,MATCH(MOD('Map 2 Do Touch'!AM10,4),$O$3:$O$6,0),MATCH(MOD('Map 2 Do Touch'!AM11,4),$P$2:$S$2,0)),'Map 3'!$AJ$4:$AJ$6,0),MATCH(IF('Map 2 Do Touch'!AM10&gt;4,"Water","Land"),'Map 3'!$AK$3:$AL$3,0))))</f>
        <v>Ocean</v>
      </c>
      <c r="AN15" s="3" t="str">
        <f ca="1">IF('Map 2 Do Touch'!AM10&lt;&gt;'Map 2 Do Touch'!AM11,IF('Map 2 Do Touch'!AN11&gt;4,INDEX($AG$4:$AH$6,MATCH(INDEX($I$3:$L$6,MATCH(MOD('Map 2 Do Touch'!AM11,4),$H$3:$H$6,0),MATCH(MOD('Map 2 Do Touch'!AN11,4),$I$2:$L$2,0)),$AF$4:$AF$6,0),MATCH(IF('Map 2 Do Touch'!AM11&gt;4,"Water","Land"),'Map 3'!$AG$3:$AH$3,0)),INDEX($AK$4:$AL$6,MATCH(INDEX($I$3:$L$6,MATCH(MOD('Map 2 Do Touch'!AM11,4),$H$3:$H$6,0),MATCH(MOD('Map 2 Do Touch'!AN11,4),$I$2:$L$2,0)),'Map 3'!$AJ$4:$AJ$6,0),MATCH(IF('Map 2 Do Touch'!AM11&gt;4,"Water","Land"),'Map 3'!$AK$3:$AL$3,0))),IF('Map 2 Do Touch'!AN11&gt;4,INDEX($AG$4:$AH$6,MATCH(INDEX($P$3:$S$6,MATCH(MOD('Map 2 Do Touch'!AN10,4),$O$3:$O$6,0),MATCH(MOD('Map 2 Do Touch'!AN11,4),$P$2:$S$2,0)),$AF$4:$AF$6,0),MATCH(IF('Map 2 Do Touch'!AN10&gt;4,"Water","Land"),'Map 3'!$AG$3:$AH$3,0)),INDEX($AK$4:$AL$6,MATCH(INDEX($P$3:$S$6,MATCH(MOD('Map 2 Do Touch'!AN10,4),$O$3:$O$6,0),MATCH(MOD('Map 2 Do Touch'!AN11,4),$P$2:$S$2,0)),'Map 3'!$AJ$4:$AJ$6,0),MATCH(IF('Map 2 Do Touch'!AN10&gt;4,"Water","Land"),'Map 3'!$AK$3:$AL$3,0))))</f>
        <v>Coast</v>
      </c>
      <c r="AO15" s="87" t="str">
        <f ca="1">IF('Map 2 Do Touch'!AN10&lt;&gt;'Map 2 Do Touch'!AN11,IF('Map 2 Do Touch'!AO11&gt;4,INDEX($AG$4:$AH$6,MATCH(INDEX($I$3:$L$6,MATCH(MOD('Map 2 Do Touch'!AN11,4),$H$3:$H$6,0),MATCH(MOD('Map 2 Do Touch'!AO11,4),$I$2:$L$2,0)),$AF$4:$AF$6,0),MATCH(IF('Map 2 Do Touch'!AN11&gt;4,"Water","Land"),'Map 3'!$AG$3:$AH$3,0)),INDEX($AK$4:$AL$6,MATCH(INDEX($I$3:$L$6,MATCH(MOD('Map 2 Do Touch'!AN11,4),$H$3:$H$6,0),MATCH(MOD('Map 2 Do Touch'!AO11,4),$I$2:$L$2,0)),'Map 3'!$AJ$4:$AJ$6,0),MATCH(IF('Map 2 Do Touch'!AN11&gt;4,"Water","Land"),'Map 3'!$AK$3:$AL$3,0))),IF('Map 2 Do Touch'!AO11&gt;4,INDEX($AG$4:$AH$6,MATCH(INDEX($P$3:$S$6,MATCH(MOD('Map 2 Do Touch'!AO10,4),$O$3:$O$6,0),MATCH(MOD('Map 2 Do Touch'!AO11,4),$P$2:$S$2,0)),$AF$4:$AF$6,0),MATCH(IF('Map 2 Do Touch'!AO10&gt;4,"Water","Land"),'Map 3'!$AG$3:$AH$3,0)),INDEX($AK$4:$AL$6,MATCH(INDEX($P$3:$S$6,MATCH(MOD('Map 2 Do Touch'!AO10,4),$O$3:$O$6,0),MATCH(MOD('Map 2 Do Touch'!AO11,4),$P$2:$S$2,0)),'Map 3'!$AJ$4:$AJ$6,0),MATCH(IF('Map 2 Do Touch'!AO10&gt;4,"Water","Land"),'Map 3'!$AK$3:$AL$3,0))))</f>
        <v>Flatland</v>
      </c>
      <c r="AP15" s="3"/>
    </row>
    <row r="16" spans="1:45" ht="37.5" customHeight="1">
      <c r="A16" s="3">
        <v>5</v>
      </c>
      <c r="B16" s="86" t="str">
        <f ca="1">IF('Map 2 Do Touch'!B11&lt;&gt;'Map 2 Do Touch'!B12,IF('Map 2 Do Touch'!B12&gt;4,INDEX($AG$4:$AH$6,MATCH(INDEX($I$3:$L$6,MATCH(MOD('Map 2 Do Touch'!AO12,4),$H$3:$H$6,0),MATCH(MOD('Map 2 Do Touch'!B12,4),$I$2:$L$2,0)),$AF$4:$AF$6,0),MATCH(IF('Map 2 Do Touch'!AO12&gt;4,"Water","Land"),'Map 3'!$AG$3:$AH$3,0)),INDEX($AK$4:$AL$6,MATCH(INDEX($I$3:$L$6,MATCH(MOD('Map 2 Do Touch'!A12,4),$H$3:$H$6,0),MATCH(MOD('Map 2 Do Touch'!B12,4),$I$2:$L$2,0)),'Map 3'!$AJ$4:$AJ$6,0),MATCH(IF('Map 2 Do Touch'!AO12&gt;4,"Water","Land"),'Map 3'!$AK$3:$AL$3,0))),IF('Map 2 Do Touch'!B12&gt;4,INDEX($AG$4:$AH$6,MATCH(INDEX($P$3:$S$6,MATCH(MOD('Map 2 Do Touch'!B11,4),$O$3:$O$6,0),MATCH(MOD('Map 2 Do Touch'!B12,4),$P$2:$S$2,0)),$AF$4:$AF$6,0),MATCH(IF('Map 2 Do Touch'!B11&gt;4,"Water","Land"),'Map 3'!$AG$3:$AH$3,0)),INDEX($AK$4:$AL$6,MATCH(INDEX($P$3:$S$6,MATCH(MOD('Map 2 Do Touch'!B11,4),$O$3:$O$6,0),MATCH(MOD('Map 2 Do Touch'!B12,4),$P$2:$S$2,0)),'Map 3'!$AJ$4:$AJ$6,0),MATCH(IF('Map 2 Do Touch'!B11&gt;4,"Water","Land"),'Map 3'!$AK$3:$AL$3,0))))</f>
        <v>Ocean</v>
      </c>
      <c r="C16" s="3" t="str">
        <f ca="1">IF('Map 2 Do Touch'!B11&lt;&gt;'Map 2 Do Touch'!B12,IF('Map 2 Do Touch'!C12&gt;4,INDEX($AG$4:$AH$6,MATCH(INDEX($I$3:$L$6,MATCH(MOD('Map 2 Do Touch'!B12,4),$H$3:$H$6,0),MATCH(MOD('Map 2 Do Touch'!C12,4),$I$2:$L$2,0)),$AF$4:$AF$6,0),MATCH(IF('Map 2 Do Touch'!B12&gt;4,"Water","Land"),'Map 3'!$AG$3:$AH$3,0)),INDEX($AK$4:$AL$6,MATCH(INDEX($I$3:$L$6,MATCH(MOD('Map 2 Do Touch'!B12,4),$H$3:$H$6,0),MATCH(MOD('Map 2 Do Touch'!C12,4),$I$2:$L$2,0)),'Map 3'!$AJ$4:$AJ$6,0),MATCH(IF('Map 2 Do Touch'!B12&gt;4,"Water","Land"),'Map 3'!$AK$3:$AL$3,0))),IF('Map 2 Do Touch'!C12&gt;4,INDEX($AG$4:$AH$6,MATCH(INDEX($P$3:$S$6,MATCH(MOD('Map 2 Do Touch'!C11,4),$O$3:$O$6,0),MATCH(MOD('Map 2 Do Touch'!C12,4),$P$2:$S$2,0)),$AF$4:$AF$6,0),MATCH(IF('Map 2 Do Touch'!C11&gt;4,"Water","Land"),'Map 3'!$AG$3:$AH$3,0)),INDEX($AK$4:$AL$6,MATCH(INDEX($P$3:$S$6,MATCH(MOD('Map 2 Do Touch'!C11,4),$O$3:$O$6,0),MATCH(MOD('Map 2 Do Touch'!C12,4),$P$2:$S$2,0)),'Map 3'!$AJ$4:$AJ$6,0),MATCH(IF('Map 2 Do Touch'!C11&gt;4,"Water","Land"),'Map 3'!$AK$3:$AL$3,0))))</f>
        <v>Coast</v>
      </c>
      <c r="D16" s="3" t="str">
        <f ca="1">IF('Map 2 Do Touch'!C11&lt;&gt;'Map 2 Do Touch'!C12,IF('Map 2 Do Touch'!D12&gt;4,INDEX($AG$4:$AH$6,MATCH(INDEX($I$3:$L$6,MATCH(MOD('Map 2 Do Touch'!C12,4),$H$3:$H$6,0),MATCH(MOD('Map 2 Do Touch'!D12,4),$I$2:$L$2,0)),$AF$4:$AF$6,0),MATCH(IF('Map 2 Do Touch'!C12&gt;4,"Water","Land"),'Map 3'!$AG$3:$AH$3,0)),INDEX($AK$4:$AL$6,MATCH(INDEX($I$3:$L$6,MATCH(MOD('Map 2 Do Touch'!C12,4),$H$3:$H$6,0),MATCH(MOD('Map 2 Do Touch'!D12,4),$I$2:$L$2,0)),'Map 3'!$AJ$4:$AJ$6,0),MATCH(IF('Map 2 Do Touch'!C12&gt;4,"Water","Land"),'Map 3'!$AK$3:$AL$3,0))),IF('Map 2 Do Touch'!D12&gt;4,INDEX($AG$4:$AH$6,MATCH(INDEX($P$3:$S$6,MATCH(MOD('Map 2 Do Touch'!D11,4),$O$3:$O$6,0),MATCH(MOD('Map 2 Do Touch'!D12,4),$P$2:$S$2,0)),$AF$4:$AF$6,0),MATCH(IF('Map 2 Do Touch'!D11&gt;4,"Water","Land"),'Map 3'!$AG$3:$AH$3,0)),INDEX($AK$4:$AL$6,MATCH(INDEX($P$3:$S$6,MATCH(MOD('Map 2 Do Touch'!D11,4),$O$3:$O$6,0),MATCH(MOD('Map 2 Do Touch'!D12,4),$P$2:$S$2,0)),'Map 3'!$AJ$4:$AJ$6,0),MATCH(IF('Map 2 Do Touch'!D11&gt;4,"Water","Land"),'Map 3'!$AK$3:$AL$3,0))))</f>
        <v>Coast</v>
      </c>
      <c r="E16" s="3" t="str">
        <f ca="1">IF('Map 2 Do Touch'!D11&lt;&gt;'Map 2 Do Touch'!D12,IF('Map 2 Do Touch'!E12&gt;4,INDEX($AG$4:$AH$6,MATCH(INDEX($I$3:$L$6,MATCH(MOD('Map 2 Do Touch'!D12,4),$H$3:$H$6,0),MATCH(MOD('Map 2 Do Touch'!E12,4),$I$2:$L$2,0)),$AF$4:$AF$6,0),MATCH(IF('Map 2 Do Touch'!D12&gt;4,"Water","Land"),'Map 3'!$AG$3:$AH$3,0)),INDEX($AK$4:$AL$6,MATCH(INDEX($I$3:$L$6,MATCH(MOD('Map 2 Do Touch'!D12,4),$H$3:$H$6,0),MATCH(MOD('Map 2 Do Touch'!E12,4),$I$2:$L$2,0)),'Map 3'!$AJ$4:$AJ$6,0),MATCH(IF('Map 2 Do Touch'!D12&gt;4,"Water","Land"),'Map 3'!$AK$3:$AL$3,0))),IF('Map 2 Do Touch'!E12&gt;4,INDEX($AG$4:$AH$6,MATCH(INDEX($P$3:$S$6,MATCH(MOD('Map 2 Do Touch'!E11,4),$O$3:$O$6,0),MATCH(MOD('Map 2 Do Touch'!E12,4),$P$2:$S$2,0)),$AF$4:$AF$6,0),MATCH(IF('Map 2 Do Touch'!E11&gt;4,"Water","Land"),'Map 3'!$AG$3:$AH$3,0)),INDEX($AK$4:$AL$6,MATCH(INDEX($P$3:$S$6,MATCH(MOD('Map 2 Do Touch'!E11,4),$O$3:$O$6,0),MATCH(MOD('Map 2 Do Touch'!E12,4),$P$2:$S$2,0)),'Map 3'!$AJ$4:$AJ$6,0),MATCH(IF('Map 2 Do Touch'!E11&gt;4,"Water","Land"),'Map 3'!$AK$3:$AL$3,0))))</f>
        <v>Cliff</v>
      </c>
      <c r="F16" s="3" t="str">
        <f ca="1">IF('Map 2 Do Touch'!E11&lt;&gt;'Map 2 Do Touch'!E12,IF('Map 2 Do Touch'!F12&gt;4,INDEX($AG$4:$AH$6,MATCH(INDEX($I$3:$L$6,MATCH(MOD('Map 2 Do Touch'!E12,4),$H$3:$H$6,0),MATCH(MOD('Map 2 Do Touch'!F12,4),$I$2:$L$2,0)),$AF$4:$AF$6,0),MATCH(IF('Map 2 Do Touch'!E12&gt;4,"Water","Land"),'Map 3'!$AG$3:$AH$3,0)),INDEX($AK$4:$AL$6,MATCH(INDEX($I$3:$L$6,MATCH(MOD('Map 2 Do Touch'!E12,4),$H$3:$H$6,0),MATCH(MOD('Map 2 Do Touch'!F12,4),$I$2:$L$2,0)),'Map 3'!$AJ$4:$AJ$6,0),MATCH(IF('Map 2 Do Touch'!E12&gt;4,"Water","Land"),'Map 3'!$AK$3:$AL$3,0))),IF('Map 2 Do Touch'!F12&gt;4,INDEX($AG$4:$AH$6,MATCH(INDEX($P$3:$S$6,MATCH(MOD('Map 2 Do Touch'!F11,4),$O$3:$O$6,0),MATCH(MOD('Map 2 Do Touch'!F12,4),$P$2:$S$2,0)),$AF$4:$AF$6,0),MATCH(IF('Map 2 Do Touch'!F11&gt;4,"Water","Land"),'Map 3'!$AG$3:$AH$3,0)),INDEX($AK$4:$AL$6,MATCH(INDEX($P$3:$S$6,MATCH(MOD('Map 2 Do Touch'!F11,4),$O$3:$O$6,0),MATCH(MOD('Map 2 Do Touch'!F12,4),$P$2:$S$2,0)),'Map 3'!$AJ$4:$AJ$6,0),MATCH(IF('Map 2 Do Touch'!F11&gt;4,"Water","Land"),'Map 3'!$AK$3:$AL$3,0))))</f>
        <v>Coast</v>
      </c>
      <c r="G16" s="3" t="str">
        <f ca="1">IF('Map 2 Do Touch'!F11&lt;&gt;'Map 2 Do Touch'!F12,IF('Map 2 Do Touch'!G12&gt;4,INDEX($AG$4:$AH$6,MATCH(INDEX($I$3:$L$6,MATCH(MOD('Map 2 Do Touch'!F12,4),$H$3:$H$6,0),MATCH(MOD('Map 2 Do Touch'!G12,4),$I$2:$L$2,0)),$AF$4:$AF$6,0),MATCH(IF('Map 2 Do Touch'!F12&gt;4,"Water","Land"),'Map 3'!$AG$3:$AH$3,0)),INDEX($AK$4:$AL$6,MATCH(INDEX($I$3:$L$6,MATCH(MOD('Map 2 Do Touch'!F12,4),$H$3:$H$6,0),MATCH(MOD('Map 2 Do Touch'!G12,4),$I$2:$L$2,0)),'Map 3'!$AJ$4:$AJ$6,0),MATCH(IF('Map 2 Do Touch'!F12&gt;4,"Water","Land"),'Map 3'!$AK$3:$AL$3,0))),IF('Map 2 Do Touch'!G12&gt;4,INDEX($AG$4:$AH$6,MATCH(INDEX($P$3:$S$6,MATCH(MOD('Map 2 Do Touch'!G11,4),$O$3:$O$6,0),MATCH(MOD('Map 2 Do Touch'!G12,4),$P$2:$S$2,0)),$AF$4:$AF$6,0),MATCH(IF('Map 2 Do Touch'!G11&gt;4,"Water","Land"),'Map 3'!$AG$3:$AH$3,0)),INDEX($AK$4:$AL$6,MATCH(INDEX($P$3:$S$6,MATCH(MOD('Map 2 Do Touch'!G11,4),$O$3:$O$6,0),MATCH(MOD('Map 2 Do Touch'!G12,4),$P$2:$S$2,0)),'Map 3'!$AJ$4:$AJ$6,0),MATCH(IF('Map 2 Do Touch'!G11&gt;4,"Water","Land"),'Map 3'!$AK$3:$AL$3,0))))</f>
        <v>Island</v>
      </c>
      <c r="H16" s="3" t="str">
        <f ca="1">IF('Map 2 Do Touch'!G11&lt;&gt;'Map 2 Do Touch'!G12,IF('Map 2 Do Touch'!H12&gt;4,INDEX($AG$4:$AH$6,MATCH(INDEX($I$3:$L$6,MATCH(MOD('Map 2 Do Touch'!G12,4),$H$3:$H$6,0),MATCH(MOD('Map 2 Do Touch'!H12,4),$I$2:$L$2,0)),$AF$4:$AF$6,0),MATCH(IF('Map 2 Do Touch'!G12&gt;4,"Water","Land"),'Map 3'!$AG$3:$AH$3,0)),INDEX($AK$4:$AL$6,MATCH(INDEX($I$3:$L$6,MATCH(MOD('Map 2 Do Touch'!G12,4),$H$3:$H$6,0),MATCH(MOD('Map 2 Do Touch'!H12,4),$I$2:$L$2,0)),'Map 3'!$AJ$4:$AJ$6,0),MATCH(IF('Map 2 Do Touch'!G12&gt;4,"Water","Land"),'Map 3'!$AK$3:$AL$3,0))),IF('Map 2 Do Touch'!H12&gt;4,INDEX($AG$4:$AH$6,MATCH(INDEX($P$3:$S$6,MATCH(MOD('Map 2 Do Touch'!H11,4),$O$3:$O$6,0),MATCH(MOD('Map 2 Do Touch'!H12,4),$P$2:$S$2,0)),$AF$4:$AF$6,0),MATCH(IF('Map 2 Do Touch'!H11&gt;4,"Water","Land"),'Map 3'!$AG$3:$AH$3,0)),INDEX($AK$4:$AL$6,MATCH(INDEX($P$3:$S$6,MATCH(MOD('Map 2 Do Touch'!H11,4),$O$3:$O$6,0),MATCH(MOD('Map 2 Do Touch'!H12,4),$P$2:$S$2,0)),'Map 3'!$AJ$4:$AJ$6,0),MATCH(IF('Map 2 Do Touch'!H11&gt;4,"Water","Land"),'Map 3'!$AK$3:$AL$3,0))))</f>
        <v>Ocean</v>
      </c>
      <c r="I16" s="3" t="str">
        <f ca="1">IF('Map 2 Do Touch'!H11&lt;&gt;'Map 2 Do Touch'!H12,IF('Map 2 Do Touch'!I12&gt;4,INDEX($AG$4:$AH$6,MATCH(INDEX($I$3:$L$6,MATCH(MOD('Map 2 Do Touch'!H12,4),$H$3:$H$6,0),MATCH(MOD('Map 2 Do Touch'!I12,4),$I$2:$L$2,0)),$AF$4:$AF$6,0),MATCH(IF('Map 2 Do Touch'!H12&gt;4,"Water","Land"),'Map 3'!$AG$3:$AH$3,0)),INDEX($AK$4:$AL$6,MATCH(INDEX($I$3:$L$6,MATCH(MOD('Map 2 Do Touch'!H12,4),$H$3:$H$6,0),MATCH(MOD('Map 2 Do Touch'!I12,4),$I$2:$L$2,0)),'Map 3'!$AJ$4:$AJ$6,0),MATCH(IF('Map 2 Do Touch'!H12&gt;4,"Water","Land"),'Map 3'!$AK$3:$AL$3,0))),IF('Map 2 Do Touch'!I12&gt;4,INDEX($AG$4:$AH$6,MATCH(INDEX($P$3:$S$6,MATCH(MOD('Map 2 Do Touch'!I11,4),$O$3:$O$6,0),MATCH(MOD('Map 2 Do Touch'!I12,4),$P$2:$S$2,0)),$AF$4:$AF$6,0),MATCH(IF('Map 2 Do Touch'!I11&gt;4,"Water","Land"),'Map 3'!$AG$3:$AH$3,0)),INDEX($AK$4:$AL$6,MATCH(INDEX($P$3:$S$6,MATCH(MOD('Map 2 Do Touch'!I11,4),$O$3:$O$6,0),MATCH(MOD('Map 2 Do Touch'!I12,4),$P$2:$S$2,0)),'Map 3'!$AJ$4:$AJ$6,0),MATCH(IF('Map 2 Do Touch'!I11&gt;4,"Water","Land"),'Map 3'!$AK$3:$AL$3,0))))</f>
        <v>Trench</v>
      </c>
      <c r="J16" s="3" t="str">
        <f ca="1">IF('Map 2 Do Touch'!I11&lt;&gt;'Map 2 Do Touch'!I12,IF('Map 2 Do Touch'!J12&gt;4,INDEX($AG$4:$AH$6,MATCH(INDEX($I$3:$L$6,MATCH(MOD('Map 2 Do Touch'!I12,4),$H$3:$H$6,0),MATCH(MOD('Map 2 Do Touch'!J12,4),$I$2:$L$2,0)),$AF$4:$AF$6,0),MATCH(IF('Map 2 Do Touch'!I12&gt;4,"Water","Land"),'Map 3'!$AG$3:$AH$3,0)),INDEX($AK$4:$AL$6,MATCH(INDEX($I$3:$L$6,MATCH(MOD('Map 2 Do Touch'!I12,4),$H$3:$H$6,0),MATCH(MOD('Map 2 Do Touch'!J12,4),$I$2:$L$2,0)),'Map 3'!$AJ$4:$AJ$6,0),MATCH(IF('Map 2 Do Touch'!I12&gt;4,"Water","Land"),'Map 3'!$AK$3:$AL$3,0))),IF('Map 2 Do Touch'!J12&gt;4,INDEX($AG$4:$AH$6,MATCH(INDEX($P$3:$S$6,MATCH(MOD('Map 2 Do Touch'!J11,4),$O$3:$O$6,0),MATCH(MOD('Map 2 Do Touch'!J12,4),$P$2:$S$2,0)),$AF$4:$AF$6,0),MATCH(IF('Map 2 Do Touch'!J11&gt;4,"Water","Land"),'Map 3'!$AG$3:$AH$3,0)),INDEX($AK$4:$AL$6,MATCH(INDEX($P$3:$S$6,MATCH(MOD('Map 2 Do Touch'!J11,4),$O$3:$O$6,0),MATCH(MOD('Map 2 Do Touch'!J12,4),$P$2:$S$2,0)),'Map 3'!$AJ$4:$AJ$6,0),MATCH(IF('Map 2 Do Touch'!J11&gt;4,"Water","Land"),'Map 3'!$AK$3:$AL$3,0))))</f>
        <v>Ocean</v>
      </c>
      <c r="K16" s="3" t="str">
        <f ca="1">IF('Map 2 Do Touch'!J11&lt;&gt;'Map 2 Do Touch'!J12,IF('Map 2 Do Touch'!K12&gt;4,INDEX($AG$4:$AH$6,MATCH(INDEX($I$3:$L$6,MATCH(MOD('Map 2 Do Touch'!J12,4),$H$3:$H$6,0),MATCH(MOD('Map 2 Do Touch'!K12,4),$I$2:$L$2,0)),$AF$4:$AF$6,0),MATCH(IF('Map 2 Do Touch'!J12&gt;4,"Water","Land"),'Map 3'!$AG$3:$AH$3,0)),INDEX($AK$4:$AL$6,MATCH(INDEX($I$3:$L$6,MATCH(MOD('Map 2 Do Touch'!J12,4),$H$3:$H$6,0),MATCH(MOD('Map 2 Do Touch'!K12,4),$I$2:$L$2,0)),'Map 3'!$AJ$4:$AJ$6,0),MATCH(IF('Map 2 Do Touch'!J12&gt;4,"Water","Land"),'Map 3'!$AK$3:$AL$3,0))),IF('Map 2 Do Touch'!K12&gt;4,INDEX($AG$4:$AH$6,MATCH(INDEX($P$3:$S$6,MATCH(MOD('Map 2 Do Touch'!K11,4),$O$3:$O$6,0),MATCH(MOD('Map 2 Do Touch'!K12,4),$P$2:$S$2,0)),$AF$4:$AF$6,0),MATCH(IF('Map 2 Do Touch'!K11&gt;4,"Water","Land"),'Map 3'!$AG$3:$AH$3,0)),INDEX($AK$4:$AL$6,MATCH(INDEX($P$3:$S$6,MATCH(MOD('Map 2 Do Touch'!K11,4),$O$3:$O$6,0),MATCH(MOD('Map 2 Do Touch'!K12,4),$P$2:$S$2,0)),'Map 3'!$AJ$4:$AJ$6,0),MATCH(IF('Map 2 Do Touch'!K11&gt;4,"Water","Land"),'Map 3'!$AK$3:$AL$3,0))))</f>
        <v>Ocean</v>
      </c>
      <c r="L16" s="3" t="str">
        <f ca="1">IF('Map 2 Do Touch'!K11&lt;&gt;'Map 2 Do Touch'!K12,IF('Map 2 Do Touch'!L12&gt;4,INDEX($AG$4:$AH$6,MATCH(INDEX($I$3:$L$6,MATCH(MOD('Map 2 Do Touch'!K12,4),$H$3:$H$6,0),MATCH(MOD('Map 2 Do Touch'!L12,4),$I$2:$L$2,0)),$AF$4:$AF$6,0),MATCH(IF('Map 2 Do Touch'!K12&gt;4,"Water","Land"),'Map 3'!$AG$3:$AH$3,0)),INDEX($AK$4:$AL$6,MATCH(INDEX($I$3:$L$6,MATCH(MOD('Map 2 Do Touch'!K12,4),$H$3:$H$6,0),MATCH(MOD('Map 2 Do Touch'!L12,4),$I$2:$L$2,0)),'Map 3'!$AJ$4:$AJ$6,0),MATCH(IF('Map 2 Do Touch'!K12&gt;4,"Water","Land"),'Map 3'!$AK$3:$AL$3,0))),IF('Map 2 Do Touch'!L12&gt;4,INDEX($AG$4:$AH$6,MATCH(INDEX($P$3:$S$6,MATCH(MOD('Map 2 Do Touch'!L11,4),$O$3:$O$6,0),MATCH(MOD('Map 2 Do Touch'!L12,4),$P$2:$S$2,0)),$AF$4:$AF$6,0),MATCH(IF('Map 2 Do Touch'!L11&gt;4,"Water","Land"),'Map 3'!$AG$3:$AH$3,0)),INDEX($AK$4:$AL$6,MATCH(INDEX($P$3:$S$6,MATCH(MOD('Map 2 Do Touch'!L11,4),$O$3:$O$6,0),MATCH(MOD('Map 2 Do Touch'!L12,4),$P$2:$S$2,0)),'Map 3'!$AJ$4:$AJ$6,0),MATCH(IF('Map 2 Do Touch'!L11&gt;4,"Water","Land"),'Map 3'!$AK$3:$AL$3,0))))</f>
        <v>Ocean</v>
      </c>
      <c r="M16" s="3" t="str">
        <f ca="1">IF('Map 2 Do Touch'!L11&lt;&gt;'Map 2 Do Touch'!L12,IF('Map 2 Do Touch'!M12&gt;4,INDEX($AG$4:$AH$6,MATCH(INDEX($I$3:$L$6,MATCH(MOD('Map 2 Do Touch'!L12,4),$H$3:$H$6,0),MATCH(MOD('Map 2 Do Touch'!M12,4),$I$2:$L$2,0)),$AF$4:$AF$6,0),MATCH(IF('Map 2 Do Touch'!L12&gt;4,"Water","Land"),'Map 3'!$AG$3:$AH$3,0)),INDEX($AK$4:$AL$6,MATCH(INDEX($I$3:$L$6,MATCH(MOD('Map 2 Do Touch'!L12,4),$H$3:$H$6,0),MATCH(MOD('Map 2 Do Touch'!M12,4),$I$2:$L$2,0)),'Map 3'!$AJ$4:$AJ$6,0),MATCH(IF('Map 2 Do Touch'!L12&gt;4,"Water","Land"),'Map 3'!$AK$3:$AL$3,0))),IF('Map 2 Do Touch'!M12&gt;4,INDEX($AG$4:$AH$6,MATCH(INDEX($P$3:$S$6,MATCH(MOD('Map 2 Do Touch'!M11,4),$O$3:$O$6,0),MATCH(MOD('Map 2 Do Touch'!M12,4),$P$2:$S$2,0)),$AF$4:$AF$6,0),MATCH(IF('Map 2 Do Touch'!M11&gt;4,"Water","Land"),'Map 3'!$AG$3:$AH$3,0)),INDEX($AK$4:$AL$6,MATCH(INDEX($P$3:$S$6,MATCH(MOD('Map 2 Do Touch'!M11,4),$O$3:$O$6,0),MATCH(MOD('Map 2 Do Touch'!M12,4),$P$2:$S$2,0)),'Map 3'!$AJ$4:$AJ$6,0),MATCH(IF('Map 2 Do Touch'!M11&gt;4,"Water","Land"),'Map 3'!$AK$3:$AL$3,0))))</f>
        <v>Island</v>
      </c>
      <c r="N16" s="3" t="str">
        <f ca="1">IF('Map 2 Do Touch'!M11&lt;&gt;'Map 2 Do Touch'!M12,IF('Map 2 Do Touch'!N12&gt;4,INDEX($AG$4:$AH$6,MATCH(INDEX($I$3:$L$6,MATCH(MOD('Map 2 Do Touch'!M12,4),$H$3:$H$6,0),MATCH(MOD('Map 2 Do Touch'!N12,4),$I$2:$L$2,0)),$AF$4:$AF$6,0),MATCH(IF('Map 2 Do Touch'!M12&gt;4,"Water","Land"),'Map 3'!$AG$3:$AH$3,0)),INDEX($AK$4:$AL$6,MATCH(INDEX($I$3:$L$6,MATCH(MOD('Map 2 Do Touch'!M12,4),$H$3:$H$6,0),MATCH(MOD('Map 2 Do Touch'!N12,4),$I$2:$L$2,0)),'Map 3'!$AJ$4:$AJ$6,0),MATCH(IF('Map 2 Do Touch'!M12&gt;4,"Water","Land"),'Map 3'!$AK$3:$AL$3,0))),IF('Map 2 Do Touch'!N12&gt;4,INDEX($AG$4:$AH$6,MATCH(INDEX($P$3:$S$6,MATCH(MOD('Map 2 Do Touch'!N11,4),$O$3:$O$6,0),MATCH(MOD('Map 2 Do Touch'!N12,4),$P$2:$S$2,0)),$AF$4:$AF$6,0),MATCH(IF('Map 2 Do Touch'!N11&gt;4,"Water","Land"),'Map 3'!$AG$3:$AH$3,0)),INDEX($AK$4:$AL$6,MATCH(INDEX($P$3:$S$6,MATCH(MOD('Map 2 Do Touch'!N11,4),$O$3:$O$6,0),MATCH(MOD('Map 2 Do Touch'!N12,4),$P$2:$S$2,0)),'Map 3'!$AJ$4:$AJ$6,0),MATCH(IF('Map 2 Do Touch'!N11&gt;4,"Water","Land"),'Map 3'!$AK$3:$AL$3,0))))</f>
        <v>Island</v>
      </c>
      <c r="O16" s="3" t="str">
        <f ca="1">IF('Map 2 Do Touch'!N11&lt;&gt;'Map 2 Do Touch'!N12,IF('Map 2 Do Touch'!O12&gt;4,INDEX($AG$4:$AH$6,MATCH(INDEX($I$3:$L$6,MATCH(MOD('Map 2 Do Touch'!N12,4),$H$3:$H$6,0),MATCH(MOD('Map 2 Do Touch'!O12,4),$I$2:$L$2,0)),$AF$4:$AF$6,0),MATCH(IF('Map 2 Do Touch'!N12&gt;4,"Water","Land"),'Map 3'!$AG$3:$AH$3,0)),INDEX($AK$4:$AL$6,MATCH(INDEX($I$3:$L$6,MATCH(MOD('Map 2 Do Touch'!N12,4),$H$3:$H$6,0),MATCH(MOD('Map 2 Do Touch'!O12,4),$I$2:$L$2,0)),'Map 3'!$AJ$4:$AJ$6,0),MATCH(IF('Map 2 Do Touch'!N12&gt;4,"Water","Land"),'Map 3'!$AK$3:$AL$3,0))),IF('Map 2 Do Touch'!O12&gt;4,INDEX($AG$4:$AH$6,MATCH(INDEX($P$3:$S$6,MATCH(MOD('Map 2 Do Touch'!O11,4),$O$3:$O$6,0),MATCH(MOD('Map 2 Do Touch'!O12,4),$P$2:$S$2,0)),$AF$4:$AF$6,0),MATCH(IF('Map 2 Do Touch'!O11&gt;4,"Water","Land"),'Map 3'!$AG$3:$AH$3,0)),INDEX($AK$4:$AL$6,MATCH(INDEX($P$3:$S$6,MATCH(MOD('Map 2 Do Touch'!O11,4),$O$3:$O$6,0),MATCH(MOD('Map 2 Do Touch'!O12,4),$P$2:$S$2,0)),'Map 3'!$AJ$4:$AJ$6,0),MATCH(IF('Map 2 Do Touch'!O11&gt;4,"Water","Land"),'Map 3'!$AK$3:$AL$3,0))))</f>
        <v>Island</v>
      </c>
      <c r="P16" s="3" t="str">
        <f ca="1">IF('Map 2 Do Touch'!O11&lt;&gt;'Map 2 Do Touch'!O12,IF('Map 2 Do Touch'!P12&gt;4,INDEX($AG$4:$AH$6,MATCH(INDEX($I$3:$L$6,MATCH(MOD('Map 2 Do Touch'!O12,4),$H$3:$H$6,0),MATCH(MOD('Map 2 Do Touch'!P12,4),$I$2:$L$2,0)),$AF$4:$AF$6,0),MATCH(IF('Map 2 Do Touch'!O12&gt;4,"Water","Land"),'Map 3'!$AG$3:$AH$3,0)),INDEX($AK$4:$AL$6,MATCH(INDEX($I$3:$L$6,MATCH(MOD('Map 2 Do Touch'!O12,4),$H$3:$H$6,0),MATCH(MOD('Map 2 Do Touch'!P12,4),$I$2:$L$2,0)),'Map 3'!$AJ$4:$AJ$6,0),MATCH(IF('Map 2 Do Touch'!O12&gt;4,"Water","Land"),'Map 3'!$AK$3:$AL$3,0))),IF('Map 2 Do Touch'!P12&gt;4,INDEX($AG$4:$AH$6,MATCH(INDEX($P$3:$S$6,MATCH(MOD('Map 2 Do Touch'!P11,4),$O$3:$O$6,0),MATCH(MOD('Map 2 Do Touch'!P12,4),$P$2:$S$2,0)),$AF$4:$AF$6,0),MATCH(IF('Map 2 Do Touch'!P11&gt;4,"Water","Land"),'Map 3'!$AG$3:$AH$3,0)),INDEX($AK$4:$AL$6,MATCH(INDEX($P$3:$S$6,MATCH(MOD('Map 2 Do Touch'!P11,4),$O$3:$O$6,0),MATCH(MOD('Map 2 Do Touch'!P12,4),$P$2:$S$2,0)),'Map 3'!$AJ$4:$AJ$6,0),MATCH(IF('Map 2 Do Touch'!P11&gt;4,"Water","Land"),'Map 3'!$AK$3:$AL$3,0))))</f>
        <v>Island</v>
      </c>
      <c r="Q16" s="3" t="str">
        <f ca="1">IF('Map 2 Do Touch'!P11&lt;&gt;'Map 2 Do Touch'!P12,IF('Map 2 Do Touch'!Q12&gt;4,INDEX($AG$4:$AH$6,MATCH(INDEX($I$3:$L$6,MATCH(MOD('Map 2 Do Touch'!P12,4),$H$3:$H$6,0),MATCH(MOD('Map 2 Do Touch'!Q12,4),$I$2:$L$2,0)),$AF$4:$AF$6,0),MATCH(IF('Map 2 Do Touch'!P12&gt;4,"Water","Land"),'Map 3'!$AG$3:$AH$3,0)),INDEX($AK$4:$AL$6,MATCH(INDEX($I$3:$L$6,MATCH(MOD('Map 2 Do Touch'!P12,4),$H$3:$H$6,0),MATCH(MOD('Map 2 Do Touch'!Q12,4),$I$2:$L$2,0)),'Map 3'!$AJ$4:$AJ$6,0),MATCH(IF('Map 2 Do Touch'!P12&gt;4,"Water","Land"),'Map 3'!$AK$3:$AL$3,0))),IF('Map 2 Do Touch'!Q12&gt;4,INDEX($AG$4:$AH$6,MATCH(INDEX($P$3:$S$6,MATCH(MOD('Map 2 Do Touch'!Q11,4),$O$3:$O$6,0),MATCH(MOD('Map 2 Do Touch'!Q12,4),$P$2:$S$2,0)),$AF$4:$AF$6,0),MATCH(IF('Map 2 Do Touch'!Q11&gt;4,"Water","Land"),'Map 3'!$AG$3:$AH$3,0)),INDEX($AK$4:$AL$6,MATCH(INDEX($P$3:$S$6,MATCH(MOD('Map 2 Do Touch'!Q11,4),$O$3:$O$6,0),MATCH(MOD('Map 2 Do Touch'!Q12,4),$P$2:$S$2,0)),'Map 3'!$AJ$4:$AJ$6,0),MATCH(IF('Map 2 Do Touch'!Q11&gt;4,"Water","Land"),'Map 3'!$AK$3:$AL$3,0))))</f>
        <v>Island</v>
      </c>
      <c r="R16" s="3" t="str">
        <f ca="1">IF('Map 2 Do Touch'!Q11&lt;&gt;'Map 2 Do Touch'!Q12,IF('Map 2 Do Touch'!R12&gt;4,INDEX($AG$4:$AH$6,MATCH(INDEX($I$3:$L$6,MATCH(MOD('Map 2 Do Touch'!Q12,4),$H$3:$H$6,0),MATCH(MOD('Map 2 Do Touch'!R12,4),$I$2:$L$2,0)),$AF$4:$AF$6,0),MATCH(IF('Map 2 Do Touch'!Q12&gt;4,"Water","Land"),'Map 3'!$AG$3:$AH$3,0)),INDEX($AK$4:$AL$6,MATCH(INDEX($I$3:$L$6,MATCH(MOD('Map 2 Do Touch'!Q12,4),$H$3:$H$6,0),MATCH(MOD('Map 2 Do Touch'!R12,4),$I$2:$L$2,0)),'Map 3'!$AJ$4:$AJ$6,0),MATCH(IF('Map 2 Do Touch'!Q12&gt;4,"Water","Land"),'Map 3'!$AK$3:$AL$3,0))),IF('Map 2 Do Touch'!R12&gt;4,INDEX($AG$4:$AH$6,MATCH(INDEX($P$3:$S$6,MATCH(MOD('Map 2 Do Touch'!R11,4),$O$3:$O$6,0),MATCH(MOD('Map 2 Do Touch'!R12,4),$P$2:$S$2,0)),$AF$4:$AF$6,0),MATCH(IF('Map 2 Do Touch'!R11&gt;4,"Water","Land"),'Map 3'!$AG$3:$AH$3,0)),INDEX($AK$4:$AL$6,MATCH(INDEX($P$3:$S$6,MATCH(MOD('Map 2 Do Touch'!R11,4),$O$3:$O$6,0),MATCH(MOD('Map 2 Do Touch'!R12,4),$P$2:$S$2,0)),'Map 3'!$AJ$4:$AJ$6,0),MATCH(IF('Map 2 Do Touch'!R11&gt;4,"Water","Land"),'Map 3'!$AK$3:$AL$3,0))))</f>
        <v>Ocean</v>
      </c>
      <c r="S16" s="3" t="str">
        <f ca="1">IF('Map 2 Do Touch'!R11&lt;&gt;'Map 2 Do Touch'!R12,IF('Map 2 Do Touch'!S12&gt;4,INDEX($AG$4:$AH$6,MATCH(INDEX($I$3:$L$6,MATCH(MOD('Map 2 Do Touch'!R12,4),$H$3:$H$6,0),MATCH(MOD('Map 2 Do Touch'!S12,4),$I$2:$L$2,0)),$AF$4:$AF$6,0),MATCH(IF('Map 2 Do Touch'!R12&gt;4,"Water","Land"),'Map 3'!$AG$3:$AH$3,0)),INDEX($AK$4:$AL$6,MATCH(INDEX($I$3:$L$6,MATCH(MOD('Map 2 Do Touch'!R12,4),$H$3:$H$6,0),MATCH(MOD('Map 2 Do Touch'!S12,4),$I$2:$L$2,0)),'Map 3'!$AJ$4:$AJ$6,0),MATCH(IF('Map 2 Do Touch'!R12&gt;4,"Water","Land"),'Map 3'!$AK$3:$AL$3,0))),IF('Map 2 Do Touch'!S12&gt;4,INDEX($AG$4:$AH$6,MATCH(INDEX($P$3:$S$6,MATCH(MOD('Map 2 Do Touch'!S11,4),$O$3:$O$6,0),MATCH(MOD('Map 2 Do Touch'!S12,4),$P$2:$S$2,0)),$AF$4:$AF$6,0),MATCH(IF('Map 2 Do Touch'!S11&gt;4,"Water","Land"),'Map 3'!$AG$3:$AH$3,0)),INDEX($AK$4:$AL$6,MATCH(INDEX($P$3:$S$6,MATCH(MOD('Map 2 Do Touch'!S11,4),$O$3:$O$6,0),MATCH(MOD('Map 2 Do Touch'!S12,4),$P$2:$S$2,0)),'Map 3'!$AJ$4:$AJ$6,0),MATCH(IF('Map 2 Do Touch'!S11&gt;4,"Water","Land"),'Map 3'!$AK$3:$AL$3,0))))</f>
        <v>Ocean</v>
      </c>
      <c r="T16" s="3" t="str">
        <f ca="1">IF('Map 2 Do Touch'!S11&lt;&gt;'Map 2 Do Touch'!S12,IF('Map 2 Do Touch'!T12&gt;4,INDEX($AG$4:$AH$6,MATCH(INDEX($I$3:$L$6,MATCH(MOD('Map 2 Do Touch'!S12,4),$H$3:$H$6,0),MATCH(MOD('Map 2 Do Touch'!T12,4),$I$2:$L$2,0)),$AF$4:$AF$6,0),MATCH(IF('Map 2 Do Touch'!S12&gt;4,"Water","Land"),'Map 3'!$AG$3:$AH$3,0)),INDEX($AK$4:$AL$6,MATCH(INDEX($I$3:$L$6,MATCH(MOD('Map 2 Do Touch'!S12,4),$H$3:$H$6,0),MATCH(MOD('Map 2 Do Touch'!T12,4),$I$2:$L$2,0)),'Map 3'!$AJ$4:$AJ$6,0),MATCH(IF('Map 2 Do Touch'!S12&gt;4,"Water","Land"),'Map 3'!$AK$3:$AL$3,0))),IF('Map 2 Do Touch'!T12&gt;4,INDEX($AG$4:$AH$6,MATCH(INDEX($P$3:$S$6,MATCH(MOD('Map 2 Do Touch'!T11,4),$O$3:$O$6,0),MATCH(MOD('Map 2 Do Touch'!T12,4),$P$2:$S$2,0)),$AF$4:$AF$6,0),MATCH(IF('Map 2 Do Touch'!T11&gt;4,"Water","Land"),'Map 3'!$AG$3:$AH$3,0)),INDEX($AK$4:$AL$6,MATCH(INDEX($P$3:$S$6,MATCH(MOD('Map 2 Do Touch'!T11,4),$O$3:$O$6,0),MATCH(MOD('Map 2 Do Touch'!T12,4),$P$2:$S$2,0)),'Map 3'!$AJ$4:$AJ$6,0),MATCH(IF('Map 2 Do Touch'!T11&gt;4,"Water","Land"),'Map 3'!$AK$3:$AL$3,0))))</f>
        <v>Ocean</v>
      </c>
      <c r="U16" s="3" t="str">
        <f ca="1">IF('Map 2 Do Touch'!T11&lt;&gt;'Map 2 Do Touch'!T12,IF('Map 2 Do Touch'!U12&gt;4,INDEX($AG$4:$AH$6,MATCH(INDEX($I$3:$L$6,MATCH(MOD('Map 2 Do Touch'!T12,4),$H$3:$H$6,0),MATCH(MOD('Map 2 Do Touch'!U12,4),$I$2:$L$2,0)),$AF$4:$AF$6,0),MATCH(IF('Map 2 Do Touch'!T12&gt;4,"Water","Land"),'Map 3'!$AG$3:$AH$3,0)),INDEX($AK$4:$AL$6,MATCH(INDEX($I$3:$L$6,MATCH(MOD('Map 2 Do Touch'!T12,4),$H$3:$H$6,0),MATCH(MOD('Map 2 Do Touch'!U12,4),$I$2:$L$2,0)),'Map 3'!$AJ$4:$AJ$6,0),MATCH(IF('Map 2 Do Touch'!T12&gt;4,"Water","Land"),'Map 3'!$AK$3:$AL$3,0))),IF('Map 2 Do Touch'!U12&gt;4,INDEX($AG$4:$AH$6,MATCH(INDEX($P$3:$S$6,MATCH(MOD('Map 2 Do Touch'!U11,4),$O$3:$O$6,0),MATCH(MOD('Map 2 Do Touch'!U12,4),$P$2:$S$2,0)),$AF$4:$AF$6,0),MATCH(IF('Map 2 Do Touch'!U11&gt;4,"Water","Land"),'Map 3'!$AG$3:$AH$3,0)),INDEX($AK$4:$AL$6,MATCH(INDEX($P$3:$S$6,MATCH(MOD('Map 2 Do Touch'!U11,4),$O$3:$O$6,0),MATCH(MOD('Map 2 Do Touch'!U12,4),$P$2:$S$2,0)),'Map 3'!$AJ$4:$AJ$6,0),MATCH(IF('Map 2 Do Touch'!U11&gt;4,"Water","Land"),'Map 3'!$AK$3:$AL$3,0))))</f>
        <v>Ocean</v>
      </c>
      <c r="V16" s="3" t="str">
        <f ca="1">IF('Map 2 Do Touch'!U11&lt;&gt;'Map 2 Do Touch'!U12,IF('Map 2 Do Touch'!V12&gt;4,INDEX($AG$4:$AH$6,MATCH(INDEX($I$3:$L$6,MATCH(MOD('Map 2 Do Touch'!U12,4),$H$3:$H$6,0),MATCH(MOD('Map 2 Do Touch'!V12,4),$I$2:$L$2,0)),$AF$4:$AF$6,0),MATCH(IF('Map 2 Do Touch'!U12&gt;4,"Water","Land"),'Map 3'!$AG$3:$AH$3,0)),INDEX($AK$4:$AL$6,MATCH(INDEX($I$3:$L$6,MATCH(MOD('Map 2 Do Touch'!U12,4),$H$3:$H$6,0),MATCH(MOD('Map 2 Do Touch'!V12,4),$I$2:$L$2,0)),'Map 3'!$AJ$4:$AJ$6,0),MATCH(IF('Map 2 Do Touch'!U12&gt;4,"Water","Land"),'Map 3'!$AK$3:$AL$3,0))),IF('Map 2 Do Touch'!V12&gt;4,INDEX($AG$4:$AH$6,MATCH(INDEX($P$3:$S$6,MATCH(MOD('Map 2 Do Touch'!V11,4),$O$3:$O$6,0),MATCH(MOD('Map 2 Do Touch'!V12,4),$P$2:$S$2,0)),$AF$4:$AF$6,0),MATCH(IF('Map 2 Do Touch'!V11&gt;4,"Water","Land"),'Map 3'!$AG$3:$AH$3,0)),INDEX($AK$4:$AL$6,MATCH(INDEX($P$3:$S$6,MATCH(MOD('Map 2 Do Touch'!V11,4),$O$3:$O$6,0),MATCH(MOD('Map 2 Do Touch'!V12,4),$P$2:$S$2,0)),'Map 3'!$AJ$4:$AJ$6,0),MATCH(IF('Map 2 Do Touch'!V11&gt;4,"Water","Land"),'Map 3'!$AK$3:$AL$3,0))))</f>
        <v>Ocean</v>
      </c>
      <c r="W16" s="3" t="str">
        <f ca="1">IF('Map 2 Do Touch'!V11&lt;&gt;'Map 2 Do Touch'!V12,IF('Map 2 Do Touch'!W12&gt;4,INDEX($AG$4:$AH$6,MATCH(INDEX($I$3:$L$6,MATCH(MOD('Map 2 Do Touch'!V12,4),$H$3:$H$6,0),MATCH(MOD('Map 2 Do Touch'!W12,4),$I$2:$L$2,0)),$AF$4:$AF$6,0),MATCH(IF('Map 2 Do Touch'!V12&gt;4,"Water","Land"),'Map 3'!$AG$3:$AH$3,0)),INDEX($AK$4:$AL$6,MATCH(INDEX($I$3:$L$6,MATCH(MOD('Map 2 Do Touch'!V12,4),$H$3:$H$6,0),MATCH(MOD('Map 2 Do Touch'!W12,4),$I$2:$L$2,0)),'Map 3'!$AJ$4:$AJ$6,0),MATCH(IF('Map 2 Do Touch'!V12&gt;4,"Water","Land"),'Map 3'!$AK$3:$AL$3,0))),IF('Map 2 Do Touch'!W12&gt;4,INDEX($AG$4:$AH$6,MATCH(INDEX($P$3:$S$6,MATCH(MOD('Map 2 Do Touch'!W11,4),$O$3:$O$6,0),MATCH(MOD('Map 2 Do Touch'!W12,4),$P$2:$S$2,0)),$AF$4:$AF$6,0),MATCH(IF('Map 2 Do Touch'!W11&gt;4,"Water","Land"),'Map 3'!$AG$3:$AH$3,0)),INDEX($AK$4:$AL$6,MATCH(INDEX($P$3:$S$6,MATCH(MOD('Map 2 Do Touch'!W11,4),$O$3:$O$6,0),MATCH(MOD('Map 2 Do Touch'!W12,4),$P$2:$S$2,0)),'Map 3'!$AJ$4:$AJ$6,0),MATCH(IF('Map 2 Do Touch'!W11&gt;4,"Water","Land"),'Map 3'!$AK$3:$AL$3,0))))</f>
        <v>Ocean</v>
      </c>
      <c r="X16" s="3" t="str">
        <f ca="1">IF('Map 2 Do Touch'!W11&lt;&gt;'Map 2 Do Touch'!W12,IF('Map 2 Do Touch'!X12&gt;4,INDEX($AG$4:$AH$6,MATCH(INDEX($I$3:$L$6,MATCH(MOD('Map 2 Do Touch'!W12,4),$H$3:$H$6,0),MATCH(MOD('Map 2 Do Touch'!X12,4),$I$2:$L$2,0)),$AF$4:$AF$6,0),MATCH(IF('Map 2 Do Touch'!W12&gt;4,"Water","Land"),'Map 3'!$AG$3:$AH$3,0)),INDEX($AK$4:$AL$6,MATCH(INDEX($I$3:$L$6,MATCH(MOD('Map 2 Do Touch'!W12,4),$H$3:$H$6,0),MATCH(MOD('Map 2 Do Touch'!X12,4),$I$2:$L$2,0)),'Map 3'!$AJ$4:$AJ$6,0),MATCH(IF('Map 2 Do Touch'!W12&gt;4,"Water","Land"),'Map 3'!$AK$3:$AL$3,0))),IF('Map 2 Do Touch'!X12&gt;4,INDEX($AG$4:$AH$6,MATCH(INDEX($P$3:$S$6,MATCH(MOD('Map 2 Do Touch'!X11,4),$O$3:$O$6,0),MATCH(MOD('Map 2 Do Touch'!X12,4),$P$2:$S$2,0)),$AF$4:$AF$6,0),MATCH(IF('Map 2 Do Touch'!X11&gt;4,"Water","Land"),'Map 3'!$AG$3:$AH$3,0)),INDEX($AK$4:$AL$6,MATCH(INDEX($P$3:$S$6,MATCH(MOD('Map 2 Do Touch'!X11,4),$O$3:$O$6,0),MATCH(MOD('Map 2 Do Touch'!X12,4),$P$2:$S$2,0)),'Map 3'!$AJ$4:$AJ$6,0),MATCH(IF('Map 2 Do Touch'!X11&gt;4,"Water","Land"),'Map 3'!$AK$3:$AL$3,0))))</f>
        <v>Ocean</v>
      </c>
      <c r="Y16" s="3" t="str">
        <f ca="1">IF('Map 2 Do Touch'!X11&lt;&gt;'Map 2 Do Touch'!X12,IF('Map 2 Do Touch'!Y12&gt;4,INDEX($AG$4:$AH$6,MATCH(INDEX($I$3:$L$6,MATCH(MOD('Map 2 Do Touch'!X12,4),$H$3:$H$6,0),MATCH(MOD('Map 2 Do Touch'!Y12,4),$I$2:$L$2,0)),$AF$4:$AF$6,0),MATCH(IF('Map 2 Do Touch'!X12&gt;4,"Water","Land"),'Map 3'!$AG$3:$AH$3,0)),INDEX($AK$4:$AL$6,MATCH(INDEX($I$3:$L$6,MATCH(MOD('Map 2 Do Touch'!X12,4),$H$3:$H$6,0),MATCH(MOD('Map 2 Do Touch'!Y12,4),$I$2:$L$2,0)),'Map 3'!$AJ$4:$AJ$6,0),MATCH(IF('Map 2 Do Touch'!X12&gt;4,"Water","Land"),'Map 3'!$AK$3:$AL$3,0))),IF('Map 2 Do Touch'!Y12&gt;4,INDEX($AG$4:$AH$6,MATCH(INDEX($P$3:$S$6,MATCH(MOD('Map 2 Do Touch'!Y11,4),$O$3:$O$6,0),MATCH(MOD('Map 2 Do Touch'!Y12,4),$P$2:$S$2,0)),$AF$4:$AF$6,0),MATCH(IF('Map 2 Do Touch'!Y11&gt;4,"Water","Land"),'Map 3'!$AG$3:$AH$3,0)),INDEX($AK$4:$AL$6,MATCH(INDEX($P$3:$S$6,MATCH(MOD('Map 2 Do Touch'!Y11,4),$O$3:$O$6,0),MATCH(MOD('Map 2 Do Touch'!Y12,4),$P$2:$S$2,0)),'Map 3'!$AJ$4:$AJ$6,0),MATCH(IF('Map 2 Do Touch'!Y11&gt;4,"Water","Land"),'Map 3'!$AK$3:$AL$3,0))))</f>
        <v>Ocean</v>
      </c>
      <c r="Z16" s="3" t="str">
        <f ca="1">IF('Map 2 Do Touch'!Y11&lt;&gt;'Map 2 Do Touch'!Y12,IF('Map 2 Do Touch'!Z12&gt;4,INDEX($AG$4:$AH$6,MATCH(INDEX($I$3:$L$6,MATCH(MOD('Map 2 Do Touch'!Y12,4),$H$3:$H$6,0),MATCH(MOD('Map 2 Do Touch'!Z12,4),$I$2:$L$2,0)),$AF$4:$AF$6,0),MATCH(IF('Map 2 Do Touch'!Y12&gt;4,"Water","Land"),'Map 3'!$AG$3:$AH$3,0)),INDEX($AK$4:$AL$6,MATCH(INDEX($I$3:$L$6,MATCH(MOD('Map 2 Do Touch'!Y12,4),$H$3:$H$6,0),MATCH(MOD('Map 2 Do Touch'!Z12,4),$I$2:$L$2,0)),'Map 3'!$AJ$4:$AJ$6,0),MATCH(IF('Map 2 Do Touch'!Y12&gt;4,"Water","Land"),'Map 3'!$AK$3:$AL$3,0))),IF('Map 2 Do Touch'!Z12&gt;4,INDEX($AG$4:$AH$6,MATCH(INDEX($P$3:$S$6,MATCH(MOD('Map 2 Do Touch'!Z11,4),$O$3:$O$6,0),MATCH(MOD('Map 2 Do Touch'!Z12,4),$P$2:$S$2,0)),$AF$4:$AF$6,0),MATCH(IF('Map 2 Do Touch'!Z11&gt;4,"Water","Land"),'Map 3'!$AG$3:$AH$3,0)),INDEX($AK$4:$AL$6,MATCH(INDEX($P$3:$S$6,MATCH(MOD('Map 2 Do Touch'!Z11,4),$O$3:$O$6,0),MATCH(MOD('Map 2 Do Touch'!Z12,4),$P$2:$S$2,0)),'Map 3'!$AJ$4:$AJ$6,0),MATCH(IF('Map 2 Do Touch'!Z11&gt;4,"Water","Land"),'Map 3'!$AK$3:$AL$3,0))))</f>
        <v>Island</v>
      </c>
      <c r="AA16" s="3" t="str">
        <f ca="1">IF('Map 2 Do Touch'!Z11&lt;&gt;'Map 2 Do Touch'!Z12,IF('Map 2 Do Touch'!AA12&gt;4,INDEX($AG$4:$AH$6,MATCH(INDEX($I$3:$L$6,MATCH(MOD('Map 2 Do Touch'!Z12,4),$H$3:$H$6,0),MATCH(MOD('Map 2 Do Touch'!AA12,4),$I$2:$L$2,0)),$AF$4:$AF$6,0),MATCH(IF('Map 2 Do Touch'!Z12&gt;4,"Water","Land"),'Map 3'!$AG$3:$AH$3,0)),INDEX($AK$4:$AL$6,MATCH(INDEX($I$3:$L$6,MATCH(MOD('Map 2 Do Touch'!Z12,4),$H$3:$H$6,0),MATCH(MOD('Map 2 Do Touch'!AA12,4),$I$2:$L$2,0)),'Map 3'!$AJ$4:$AJ$6,0),MATCH(IF('Map 2 Do Touch'!Z12&gt;4,"Water","Land"),'Map 3'!$AK$3:$AL$3,0))),IF('Map 2 Do Touch'!AA12&gt;4,INDEX($AG$4:$AH$6,MATCH(INDEX($P$3:$S$6,MATCH(MOD('Map 2 Do Touch'!AA11,4),$O$3:$O$6,0),MATCH(MOD('Map 2 Do Touch'!AA12,4),$P$2:$S$2,0)),$AF$4:$AF$6,0),MATCH(IF('Map 2 Do Touch'!AA11&gt;4,"Water","Land"),'Map 3'!$AG$3:$AH$3,0)),INDEX($AK$4:$AL$6,MATCH(INDEX($P$3:$S$6,MATCH(MOD('Map 2 Do Touch'!AA11,4),$O$3:$O$6,0),MATCH(MOD('Map 2 Do Touch'!AA12,4),$P$2:$S$2,0)),'Map 3'!$AJ$4:$AJ$6,0),MATCH(IF('Map 2 Do Touch'!AA11&gt;4,"Water","Land"),'Map 3'!$AK$3:$AL$3,0))))</f>
        <v>Island</v>
      </c>
      <c r="AB16" s="3" t="str">
        <f ca="1">IF('Map 2 Do Touch'!AA11&lt;&gt;'Map 2 Do Touch'!AA12,IF('Map 2 Do Touch'!AB12&gt;4,INDEX($AG$4:$AH$6,MATCH(INDEX($I$3:$L$6,MATCH(MOD('Map 2 Do Touch'!AA12,4),$H$3:$H$6,0),MATCH(MOD('Map 2 Do Touch'!AB12,4),$I$2:$L$2,0)),$AF$4:$AF$6,0),MATCH(IF('Map 2 Do Touch'!AA12&gt;4,"Water","Land"),'Map 3'!$AG$3:$AH$3,0)),INDEX($AK$4:$AL$6,MATCH(INDEX($I$3:$L$6,MATCH(MOD('Map 2 Do Touch'!AA12,4),$H$3:$H$6,0),MATCH(MOD('Map 2 Do Touch'!AB12,4),$I$2:$L$2,0)),'Map 3'!$AJ$4:$AJ$6,0),MATCH(IF('Map 2 Do Touch'!AA12&gt;4,"Water","Land"),'Map 3'!$AK$3:$AL$3,0))),IF('Map 2 Do Touch'!AB12&gt;4,INDEX($AG$4:$AH$6,MATCH(INDEX($P$3:$S$6,MATCH(MOD('Map 2 Do Touch'!AB11,4),$O$3:$O$6,0),MATCH(MOD('Map 2 Do Touch'!AB12,4),$P$2:$S$2,0)),$AF$4:$AF$6,0),MATCH(IF('Map 2 Do Touch'!AB11&gt;4,"Water","Land"),'Map 3'!$AG$3:$AH$3,0)),INDEX($AK$4:$AL$6,MATCH(INDEX($P$3:$S$6,MATCH(MOD('Map 2 Do Touch'!AB11,4),$O$3:$O$6,0),MATCH(MOD('Map 2 Do Touch'!AB12,4),$P$2:$S$2,0)),'Map 3'!$AJ$4:$AJ$6,0),MATCH(IF('Map 2 Do Touch'!AB11&gt;4,"Water","Land"),'Map 3'!$AK$3:$AL$3,0))))</f>
        <v>Ocean</v>
      </c>
      <c r="AC16" s="3" t="str">
        <f ca="1">IF('Map 2 Do Touch'!AB11&lt;&gt;'Map 2 Do Touch'!AB12,IF('Map 2 Do Touch'!AC12&gt;4,INDEX($AG$4:$AH$6,MATCH(INDEX($I$3:$L$6,MATCH(MOD('Map 2 Do Touch'!AB12,4),$H$3:$H$6,0),MATCH(MOD('Map 2 Do Touch'!AC12,4),$I$2:$L$2,0)),$AF$4:$AF$6,0),MATCH(IF('Map 2 Do Touch'!AB12&gt;4,"Water","Land"),'Map 3'!$AG$3:$AH$3,0)),INDEX($AK$4:$AL$6,MATCH(INDEX($I$3:$L$6,MATCH(MOD('Map 2 Do Touch'!AB12,4),$H$3:$H$6,0),MATCH(MOD('Map 2 Do Touch'!AC12,4),$I$2:$L$2,0)),'Map 3'!$AJ$4:$AJ$6,0),MATCH(IF('Map 2 Do Touch'!AB12&gt;4,"Water","Land"),'Map 3'!$AK$3:$AL$3,0))),IF('Map 2 Do Touch'!AC12&gt;4,INDEX($AG$4:$AH$6,MATCH(INDEX($P$3:$S$6,MATCH(MOD('Map 2 Do Touch'!AC11,4),$O$3:$O$6,0),MATCH(MOD('Map 2 Do Touch'!AC12,4),$P$2:$S$2,0)),$AF$4:$AF$6,0),MATCH(IF('Map 2 Do Touch'!AC11&gt;4,"Water","Land"),'Map 3'!$AG$3:$AH$3,0)),INDEX($AK$4:$AL$6,MATCH(INDEX($P$3:$S$6,MATCH(MOD('Map 2 Do Touch'!AC11,4),$O$3:$O$6,0),MATCH(MOD('Map 2 Do Touch'!AC12,4),$P$2:$S$2,0)),'Map 3'!$AJ$4:$AJ$6,0),MATCH(IF('Map 2 Do Touch'!AC11&gt;4,"Water","Land"),'Map 3'!$AK$3:$AL$3,0))))</f>
        <v>Trench</v>
      </c>
      <c r="AD16" s="3" t="str">
        <f ca="1">IF('Map 2 Do Touch'!AC11&lt;&gt;'Map 2 Do Touch'!AC12,IF('Map 2 Do Touch'!AD12&gt;4,INDEX($AG$4:$AH$6,MATCH(INDEX($I$3:$L$6,MATCH(MOD('Map 2 Do Touch'!AC12,4),$H$3:$H$6,0),MATCH(MOD('Map 2 Do Touch'!AD12,4),$I$2:$L$2,0)),$AF$4:$AF$6,0),MATCH(IF('Map 2 Do Touch'!AC12&gt;4,"Water","Land"),'Map 3'!$AG$3:$AH$3,0)),INDEX($AK$4:$AL$6,MATCH(INDEX($I$3:$L$6,MATCH(MOD('Map 2 Do Touch'!AC12,4),$H$3:$H$6,0),MATCH(MOD('Map 2 Do Touch'!AD12,4),$I$2:$L$2,0)),'Map 3'!$AJ$4:$AJ$6,0),MATCH(IF('Map 2 Do Touch'!AC12&gt;4,"Water","Land"),'Map 3'!$AK$3:$AL$3,0))),IF('Map 2 Do Touch'!AD12&gt;4,INDEX($AG$4:$AH$6,MATCH(INDEX($P$3:$S$6,MATCH(MOD('Map 2 Do Touch'!AD11,4),$O$3:$O$6,0),MATCH(MOD('Map 2 Do Touch'!AD12,4),$P$2:$S$2,0)),$AF$4:$AF$6,0),MATCH(IF('Map 2 Do Touch'!AD11&gt;4,"Water","Land"),'Map 3'!$AG$3:$AH$3,0)),INDEX($AK$4:$AL$6,MATCH(INDEX($P$3:$S$6,MATCH(MOD('Map 2 Do Touch'!AD11,4),$O$3:$O$6,0),MATCH(MOD('Map 2 Do Touch'!AD12,4),$P$2:$S$2,0)),'Map 3'!$AJ$4:$AJ$6,0),MATCH(IF('Map 2 Do Touch'!AD11&gt;4,"Water","Land"),'Map 3'!$AK$3:$AL$3,0))))</f>
        <v>Ocean</v>
      </c>
      <c r="AE16" s="3" t="str">
        <f ca="1">IF('Map 2 Do Touch'!AD11&lt;&gt;'Map 2 Do Touch'!AD12,IF('Map 2 Do Touch'!AE12&gt;4,INDEX($AG$4:$AH$6,MATCH(INDEX($I$3:$L$6,MATCH(MOD('Map 2 Do Touch'!AD12,4),$H$3:$H$6,0),MATCH(MOD('Map 2 Do Touch'!AE12,4),$I$2:$L$2,0)),$AF$4:$AF$6,0),MATCH(IF('Map 2 Do Touch'!AD12&gt;4,"Water","Land"),'Map 3'!$AG$3:$AH$3,0)),INDEX($AK$4:$AL$6,MATCH(INDEX($I$3:$L$6,MATCH(MOD('Map 2 Do Touch'!AD12,4),$H$3:$H$6,0),MATCH(MOD('Map 2 Do Touch'!AE12,4),$I$2:$L$2,0)),'Map 3'!$AJ$4:$AJ$6,0),MATCH(IF('Map 2 Do Touch'!AD12&gt;4,"Water","Land"),'Map 3'!$AK$3:$AL$3,0))),IF('Map 2 Do Touch'!AE12&gt;4,INDEX($AG$4:$AH$6,MATCH(INDEX($P$3:$S$6,MATCH(MOD('Map 2 Do Touch'!AE11,4),$O$3:$O$6,0),MATCH(MOD('Map 2 Do Touch'!AE12,4),$P$2:$S$2,0)),$AF$4:$AF$6,0),MATCH(IF('Map 2 Do Touch'!AE11&gt;4,"Water","Land"),'Map 3'!$AG$3:$AH$3,0)),INDEX($AK$4:$AL$6,MATCH(INDEX($P$3:$S$6,MATCH(MOD('Map 2 Do Touch'!AE11,4),$O$3:$O$6,0),MATCH(MOD('Map 2 Do Touch'!AE12,4),$P$2:$S$2,0)),'Map 3'!$AJ$4:$AJ$6,0),MATCH(IF('Map 2 Do Touch'!AE11&gt;4,"Water","Land"),'Map 3'!$AK$3:$AL$3,0))))</f>
        <v>Coast</v>
      </c>
      <c r="AF16" s="3" t="str">
        <f ca="1">IF('Map 2 Do Touch'!AE11&lt;&gt;'Map 2 Do Touch'!AE12,IF('Map 2 Do Touch'!AF12&gt;4,INDEX($AG$4:$AH$6,MATCH(INDEX($I$3:$L$6,MATCH(MOD('Map 2 Do Touch'!AE12,4),$H$3:$H$6,0),MATCH(MOD('Map 2 Do Touch'!AF12,4),$I$2:$L$2,0)),$AF$4:$AF$6,0),MATCH(IF('Map 2 Do Touch'!AE12&gt;4,"Water","Land"),'Map 3'!$AG$3:$AH$3,0)),INDEX($AK$4:$AL$6,MATCH(INDEX($I$3:$L$6,MATCH(MOD('Map 2 Do Touch'!AE12,4),$H$3:$H$6,0),MATCH(MOD('Map 2 Do Touch'!AF12,4),$I$2:$L$2,0)),'Map 3'!$AJ$4:$AJ$6,0),MATCH(IF('Map 2 Do Touch'!AE12&gt;4,"Water","Land"),'Map 3'!$AK$3:$AL$3,0))),IF('Map 2 Do Touch'!AF12&gt;4,INDEX($AG$4:$AH$6,MATCH(INDEX($P$3:$S$6,MATCH(MOD('Map 2 Do Touch'!AF11,4),$O$3:$O$6,0),MATCH(MOD('Map 2 Do Touch'!AF12,4),$P$2:$S$2,0)),$AF$4:$AF$6,0),MATCH(IF('Map 2 Do Touch'!AF11&gt;4,"Water","Land"),'Map 3'!$AG$3:$AH$3,0)),INDEX($AK$4:$AL$6,MATCH(INDEX($P$3:$S$6,MATCH(MOD('Map 2 Do Touch'!AF11,4),$O$3:$O$6,0),MATCH(MOD('Map 2 Do Touch'!AF12,4),$P$2:$S$2,0)),'Map 3'!$AJ$4:$AJ$6,0),MATCH(IF('Map 2 Do Touch'!AF11&gt;4,"Water","Land"),'Map 3'!$AK$3:$AL$3,0))))</f>
        <v>Coast</v>
      </c>
      <c r="AG16" s="3" t="str">
        <f ca="1">IF('Map 2 Do Touch'!AF11&lt;&gt;'Map 2 Do Touch'!AF12,IF('Map 2 Do Touch'!AG12&gt;4,INDEX($AG$4:$AH$6,MATCH(INDEX($I$3:$L$6,MATCH(MOD('Map 2 Do Touch'!AF12,4),$H$3:$H$6,0),MATCH(MOD('Map 2 Do Touch'!AG12,4),$I$2:$L$2,0)),$AF$4:$AF$6,0),MATCH(IF('Map 2 Do Touch'!AF12&gt;4,"Water","Land"),'Map 3'!$AG$3:$AH$3,0)),INDEX($AK$4:$AL$6,MATCH(INDEX($I$3:$L$6,MATCH(MOD('Map 2 Do Touch'!AF12,4),$H$3:$H$6,0),MATCH(MOD('Map 2 Do Touch'!AG12,4),$I$2:$L$2,0)),'Map 3'!$AJ$4:$AJ$6,0),MATCH(IF('Map 2 Do Touch'!AF12&gt;4,"Water","Land"),'Map 3'!$AK$3:$AL$3,0))),IF('Map 2 Do Touch'!AG12&gt;4,INDEX($AG$4:$AH$6,MATCH(INDEX($P$3:$S$6,MATCH(MOD('Map 2 Do Touch'!AG11,4),$O$3:$O$6,0),MATCH(MOD('Map 2 Do Touch'!AG12,4),$P$2:$S$2,0)),$AF$4:$AF$6,0),MATCH(IF('Map 2 Do Touch'!AG11&gt;4,"Water","Land"),'Map 3'!$AG$3:$AH$3,0)),INDEX($AK$4:$AL$6,MATCH(INDEX($P$3:$S$6,MATCH(MOD('Map 2 Do Touch'!AG11,4),$O$3:$O$6,0),MATCH(MOD('Map 2 Do Touch'!AG12,4),$P$2:$S$2,0)),'Map 3'!$AJ$4:$AJ$6,0),MATCH(IF('Map 2 Do Touch'!AG11&gt;4,"Water","Land"),'Map 3'!$AK$3:$AL$3,0))))</f>
        <v>Coast</v>
      </c>
      <c r="AH16" s="3" t="str">
        <f ca="1">IF('Map 2 Do Touch'!AG11&lt;&gt;'Map 2 Do Touch'!AG12,IF('Map 2 Do Touch'!AH12&gt;4,INDEX($AG$4:$AH$6,MATCH(INDEX($I$3:$L$6,MATCH(MOD('Map 2 Do Touch'!AG12,4),$H$3:$H$6,0),MATCH(MOD('Map 2 Do Touch'!AH12,4),$I$2:$L$2,0)),$AF$4:$AF$6,0),MATCH(IF('Map 2 Do Touch'!AG12&gt;4,"Water","Land"),'Map 3'!$AG$3:$AH$3,0)),INDEX($AK$4:$AL$6,MATCH(INDEX($I$3:$L$6,MATCH(MOD('Map 2 Do Touch'!AG12,4),$H$3:$H$6,0),MATCH(MOD('Map 2 Do Touch'!AH12,4),$I$2:$L$2,0)),'Map 3'!$AJ$4:$AJ$6,0),MATCH(IF('Map 2 Do Touch'!AG12&gt;4,"Water","Land"),'Map 3'!$AK$3:$AL$3,0))),IF('Map 2 Do Touch'!AH12&gt;4,INDEX($AG$4:$AH$6,MATCH(INDEX($P$3:$S$6,MATCH(MOD('Map 2 Do Touch'!AH11,4),$O$3:$O$6,0),MATCH(MOD('Map 2 Do Touch'!AH12,4),$P$2:$S$2,0)),$AF$4:$AF$6,0),MATCH(IF('Map 2 Do Touch'!AH11&gt;4,"Water","Land"),'Map 3'!$AG$3:$AH$3,0)),INDEX($AK$4:$AL$6,MATCH(INDEX($P$3:$S$6,MATCH(MOD('Map 2 Do Touch'!AH11,4),$O$3:$O$6,0),MATCH(MOD('Map 2 Do Touch'!AH12,4),$P$2:$S$2,0)),'Map 3'!$AJ$4:$AJ$6,0),MATCH(IF('Map 2 Do Touch'!AH11&gt;4,"Water","Land"),'Map 3'!$AK$3:$AL$3,0))))</f>
        <v>Cliff</v>
      </c>
      <c r="AI16" s="3" t="str">
        <f ca="1">IF('Map 2 Do Touch'!AH11&lt;&gt;'Map 2 Do Touch'!AH12,IF('Map 2 Do Touch'!AI12&gt;4,INDEX($AG$4:$AH$6,MATCH(INDEX($I$3:$L$6,MATCH(MOD('Map 2 Do Touch'!AH12,4),$H$3:$H$6,0),MATCH(MOD('Map 2 Do Touch'!AI12,4),$I$2:$L$2,0)),$AF$4:$AF$6,0),MATCH(IF('Map 2 Do Touch'!AH12&gt;4,"Water","Land"),'Map 3'!$AG$3:$AH$3,0)),INDEX($AK$4:$AL$6,MATCH(INDEX($I$3:$L$6,MATCH(MOD('Map 2 Do Touch'!AH12,4),$H$3:$H$6,0),MATCH(MOD('Map 2 Do Touch'!AI12,4),$I$2:$L$2,0)),'Map 3'!$AJ$4:$AJ$6,0),MATCH(IF('Map 2 Do Touch'!AH12&gt;4,"Water","Land"),'Map 3'!$AK$3:$AL$3,0))),IF('Map 2 Do Touch'!AI12&gt;4,INDEX($AG$4:$AH$6,MATCH(INDEX($P$3:$S$6,MATCH(MOD('Map 2 Do Touch'!AI11,4),$O$3:$O$6,0),MATCH(MOD('Map 2 Do Touch'!AI12,4),$P$2:$S$2,0)),$AF$4:$AF$6,0),MATCH(IF('Map 2 Do Touch'!AI11&gt;4,"Water","Land"),'Map 3'!$AG$3:$AH$3,0)),INDEX($AK$4:$AL$6,MATCH(INDEX($P$3:$S$6,MATCH(MOD('Map 2 Do Touch'!AI11,4),$O$3:$O$6,0),MATCH(MOD('Map 2 Do Touch'!AI12,4),$P$2:$S$2,0)),'Map 3'!$AJ$4:$AJ$6,0),MATCH(IF('Map 2 Do Touch'!AI11&gt;4,"Water","Land"),'Map 3'!$AK$3:$AL$3,0))))</f>
        <v>Ocean</v>
      </c>
      <c r="AJ16" s="3" t="str">
        <f ca="1">IF('Map 2 Do Touch'!AI11&lt;&gt;'Map 2 Do Touch'!AI12,IF('Map 2 Do Touch'!AJ12&gt;4,INDEX($AG$4:$AH$6,MATCH(INDEX($I$3:$L$6,MATCH(MOD('Map 2 Do Touch'!AI12,4),$H$3:$H$6,0),MATCH(MOD('Map 2 Do Touch'!AJ12,4),$I$2:$L$2,0)),$AF$4:$AF$6,0),MATCH(IF('Map 2 Do Touch'!AI12&gt;4,"Water","Land"),'Map 3'!$AG$3:$AH$3,0)),INDEX($AK$4:$AL$6,MATCH(INDEX($I$3:$L$6,MATCH(MOD('Map 2 Do Touch'!AI12,4),$H$3:$H$6,0),MATCH(MOD('Map 2 Do Touch'!AJ12,4),$I$2:$L$2,0)),'Map 3'!$AJ$4:$AJ$6,0),MATCH(IF('Map 2 Do Touch'!AI12&gt;4,"Water","Land"),'Map 3'!$AK$3:$AL$3,0))),IF('Map 2 Do Touch'!AJ12&gt;4,INDEX($AG$4:$AH$6,MATCH(INDEX($P$3:$S$6,MATCH(MOD('Map 2 Do Touch'!AJ11,4),$O$3:$O$6,0),MATCH(MOD('Map 2 Do Touch'!AJ12,4),$P$2:$S$2,0)),$AF$4:$AF$6,0),MATCH(IF('Map 2 Do Touch'!AJ11&gt;4,"Water","Land"),'Map 3'!$AG$3:$AH$3,0)),INDEX($AK$4:$AL$6,MATCH(INDEX($P$3:$S$6,MATCH(MOD('Map 2 Do Touch'!AJ11,4),$O$3:$O$6,0),MATCH(MOD('Map 2 Do Touch'!AJ12,4),$P$2:$S$2,0)),'Map 3'!$AJ$4:$AJ$6,0),MATCH(IF('Map 2 Do Touch'!AJ11&gt;4,"Water","Land"),'Map 3'!$AK$3:$AL$3,0))))</f>
        <v>Trench</v>
      </c>
      <c r="AK16" s="3" t="str">
        <f ca="1">IF('Map 2 Do Touch'!AJ11&lt;&gt;'Map 2 Do Touch'!AJ12,IF('Map 2 Do Touch'!AK12&gt;4,INDEX($AG$4:$AH$6,MATCH(INDEX($I$3:$L$6,MATCH(MOD('Map 2 Do Touch'!AJ12,4),$H$3:$H$6,0),MATCH(MOD('Map 2 Do Touch'!AK12,4),$I$2:$L$2,0)),$AF$4:$AF$6,0),MATCH(IF('Map 2 Do Touch'!AJ12&gt;4,"Water","Land"),'Map 3'!$AG$3:$AH$3,0)),INDEX($AK$4:$AL$6,MATCH(INDEX($I$3:$L$6,MATCH(MOD('Map 2 Do Touch'!AJ12,4),$H$3:$H$6,0),MATCH(MOD('Map 2 Do Touch'!AK12,4),$I$2:$L$2,0)),'Map 3'!$AJ$4:$AJ$6,0),MATCH(IF('Map 2 Do Touch'!AJ12&gt;4,"Water","Land"),'Map 3'!$AK$3:$AL$3,0))),IF('Map 2 Do Touch'!AK12&gt;4,INDEX($AG$4:$AH$6,MATCH(INDEX($P$3:$S$6,MATCH(MOD('Map 2 Do Touch'!AK11,4),$O$3:$O$6,0),MATCH(MOD('Map 2 Do Touch'!AK12,4),$P$2:$S$2,0)),$AF$4:$AF$6,0),MATCH(IF('Map 2 Do Touch'!AK11&gt;4,"Water","Land"),'Map 3'!$AG$3:$AH$3,0)),INDEX($AK$4:$AL$6,MATCH(INDEX($P$3:$S$6,MATCH(MOD('Map 2 Do Touch'!AK11,4),$O$3:$O$6,0),MATCH(MOD('Map 2 Do Touch'!AK12,4),$P$2:$S$2,0)),'Map 3'!$AJ$4:$AJ$6,0),MATCH(IF('Map 2 Do Touch'!AK11&gt;4,"Water","Land"),'Map 3'!$AK$3:$AL$3,0))))</f>
        <v>Ocean</v>
      </c>
      <c r="AL16" s="3" t="str">
        <f ca="1">IF('Map 2 Do Touch'!AK11&lt;&gt;'Map 2 Do Touch'!AK12,IF('Map 2 Do Touch'!AL12&gt;4,INDEX($AG$4:$AH$6,MATCH(INDEX($I$3:$L$6,MATCH(MOD('Map 2 Do Touch'!AK12,4),$H$3:$H$6,0),MATCH(MOD('Map 2 Do Touch'!AL12,4),$I$2:$L$2,0)),$AF$4:$AF$6,0),MATCH(IF('Map 2 Do Touch'!AK12&gt;4,"Water","Land"),'Map 3'!$AG$3:$AH$3,0)),INDEX($AK$4:$AL$6,MATCH(INDEX($I$3:$L$6,MATCH(MOD('Map 2 Do Touch'!AK12,4),$H$3:$H$6,0),MATCH(MOD('Map 2 Do Touch'!AL12,4),$I$2:$L$2,0)),'Map 3'!$AJ$4:$AJ$6,0),MATCH(IF('Map 2 Do Touch'!AK12&gt;4,"Water","Land"),'Map 3'!$AK$3:$AL$3,0))),IF('Map 2 Do Touch'!AL12&gt;4,INDEX($AG$4:$AH$6,MATCH(INDEX($P$3:$S$6,MATCH(MOD('Map 2 Do Touch'!AL11,4),$O$3:$O$6,0),MATCH(MOD('Map 2 Do Touch'!AL12,4),$P$2:$S$2,0)),$AF$4:$AF$6,0),MATCH(IF('Map 2 Do Touch'!AL11&gt;4,"Water","Land"),'Map 3'!$AG$3:$AH$3,0)),INDEX($AK$4:$AL$6,MATCH(INDEX($P$3:$S$6,MATCH(MOD('Map 2 Do Touch'!AL11,4),$O$3:$O$6,0),MATCH(MOD('Map 2 Do Touch'!AL12,4),$P$2:$S$2,0)),'Map 3'!$AJ$4:$AJ$6,0),MATCH(IF('Map 2 Do Touch'!AL11&gt;4,"Water","Land"),'Map 3'!$AK$3:$AL$3,0))))</f>
        <v>Ocean</v>
      </c>
      <c r="AM16" s="3" t="str">
        <f ca="1">IF('Map 2 Do Touch'!AL11&lt;&gt;'Map 2 Do Touch'!AL12,IF('Map 2 Do Touch'!AM12&gt;4,INDEX($AG$4:$AH$6,MATCH(INDEX($I$3:$L$6,MATCH(MOD('Map 2 Do Touch'!AL12,4),$H$3:$H$6,0),MATCH(MOD('Map 2 Do Touch'!AM12,4),$I$2:$L$2,0)),$AF$4:$AF$6,0),MATCH(IF('Map 2 Do Touch'!AL12&gt;4,"Water","Land"),'Map 3'!$AG$3:$AH$3,0)),INDEX($AK$4:$AL$6,MATCH(INDEX($I$3:$L$6,MATCH(MOD('Map 2 Do Touch'!AL12,4),$H$3:$H$6,0),MATCH(MOD('Map 2 Do Touch'!AM12,4),$I$2:$L$2,0)),'Map 3'!$AJ$4:$AJ$6,0),MATCH(IF('Map 2 Do Touch'!AL12&gt;4,"Water","Land"),'Map 3'!$AK$3:$AL$3,0))),IF('Map 2 Do Touch'!AM12&gt;4,INDEX($AG$4:$AH$6,MATCH(INDEX($P$3:$S$6,MATCH(MOD('Map 2 Do Touch'!AM11,4),$O$3:$O$6,0),MATCH(MOD('Map 2 Do Touch'!AM12,4),$P$2:$S$2,0)),$AF$4:$AF$6,0),MATCH(IF('Map 2 Do Touch'!AM11&gt;4,"Water","Land"),'Map 3'!$AG$3:$AH$3,0)),INDEX($AK$4:$AL$6,MATCH(INDEX($P$3:$S$6,MATCH(MOD('Map 2 Do Touch'!AM11,4),$O$3:$O$6,0),MATCH(MOD('Map 2 Do Touch'!AM12,4),$P$2:$S$2,0)),'Map 3'!$AJ$4:$AJ$6,0),MATCH(IF('Map 2 Do Touch'!AM11&gt;4,"Water","Land"),'Map 3'!$AK$3:$AL$3,0))))</f>
        <v>Cliff</v>
      </c>
      <c r="AN16" s="3" t="str">
        <f ca="1">IF('Map 2 Do Touch'!AM11&lt;&gt;'Map 2 Do Touch'!AM12,IF('Map 2 Do Touch'!AN12&gt;4,INDEX($AG$4:$AH$6,MATCH(INDEX($I$3:$L$6,MATCH(MOD('Map 2 Do Touch'!AM12,4),$H$3:$H$6,0),MATCH(MOD('Map 2 Do Touch'!AN12,4),$I$2:$L$2,0)),$AF$4:$AF$6,0),MATCH(IF('Map 2 Do Touch'!AM12&gt;4,"Water","Land"),'Map 3'!$AG$3:$AH$3,0)),INDEX($AK$4:$AL$6,MATCH(INDEX($I$3:$L$6,MATCH(MOD('Map 2 Do Touch'!AM12,4),$H$3:$H$6,0),MATCH(MOD('Map 2 Do Touch'!AN12,4),$I$2:$L$2,0)),'Map 3'!$AJ$4:$AJ$6,0),MATCH(IF('Map 2 Do Touch'!AM12&gt;4,"Water","Land"),'Map 3'!$AK$3:$AL$3,0))),IF('Map 2 Do Touch'!AN12&gt;4,INDEX($AG$4:$AH$6,MATCH(INDEX($P$3:$S$6,MATCH(MOD('Map 2 Do Touch'!AN11,4),$O$3:$O$6,0),MATCH(MOD('Map 2 Do Touch'!AN12,4),$P$2:$S$2,0)),$AF$4:$AF$6,0),MATCH(IF('Map 2 Do Touch'!AN11&gt;4,"Water","Land"),'Map 3'!$AG$3:$AH$3,0)),INDEX($AK$4:$AL$6,MATCH(INDEX($P$3:$S$6,MATCH(MOD('Map 2 Do Touch'!AN11,4),$O$3:$O$6,0),MATCH(MOD('Map 2 Do Touch'!AN12,4),$P$2:$S$2,0)),'Map 3'!$AJ$4:$AJ$6,0),MATCH(IF('Map 2 Do Touch'!AN11&gt;4,"Water","Land"),'Map 3'!$AK$3:$AL$3,0))))</f>
        <v>Valley</v>
      </c>
      <c r="AO16" s="87" t="str">
        <f ca="1">IF('Map 2 Do Touch'!AN11&lt;&gt;'Map 2 Do Touch'!AN12,IF('Map 2 Do Touch'!AO12&gt;4,INDEX($AG$4:$AH$6,MATCH(INDEX($I$3:$L$6,MATCH(MOD('Map 2 Do Touch'!AN12,4),$H$3:$H$6,0),MATCH(MOD('Map 2 Do Touch'!AO12,4),$I$2:$L$2,0)),$AF$4:$AF$6,0),MATCH(IF('Map 2 Do Touch'!AN12&gt;4,"Water","Land"),'Map 3'!$AG$3:$AH$3,0)),INDEX($AK$4:$AL$6,MATCH(INDEX($I$3:$L$6,MATCH(MOD('Map 2 Do Touch'!AN12,4),$H$3:$H$6,0),MATCH(MOD('Map 2 Do Touch'!AO12,4),$I$2:$L$2,0)),'Map 3'!$AJ$4:$AJ$6,0),MATCH(IF('Map 2 Do Touch'!AN12&gt;4,"Water","Land"),'Map 3'!$AK$3:$AL$3,0))),IF('Map 2 Do Touch'!AO12&gt;4,INDEX($AG$4:$AH$6,MATCH(INDEX($P$3:$S$6,MATCH(MOD('Map 2 Do Touch'!AO11,4),$O$3:$O$6,0),MATCH(MOD('Map 2 Do Touch'!AO12,4),$P$2:$S$2,0)),$AF$4:$AF$6,0),MATCH(IF('Map 2 Do Touch'!AO11&gt;4,"Water","Land"),'Map 3'!$AG$3:$AH$3,0)),INDEX($AK$4:$AL$6,MATCH(INDEX($P$3:$S$6,MATCH(MOD('Map 2 Do Touch'!AO11,4),$O$3:$O$6,0),MATCH(MOD('Map 2 Do Touch'!AO12,4),$P$2:$S$2,0)),'Map 3'!$AJ$4:$AJ$6,0),MATCH(IF('Map 2 Do Touch'!AO11&gt;4,"Water","Land"),'Map 3'!$AK$3:$AL$3,0))))</f>
        <v>Cliff</v>
      </c>
      <c r="AP16" s="3"/>
    </row>
    <row r="17" spans="1:42" ht="37.5" customHeight="1">
      <c r="A17" s="3">
        <v>6</v>
      </c>
      <c r="B17" s="86" t="str">
        <f ca="1">IF('Map 2 Do Touch'!B12&lt;&gt;'Map 2 Do Touch'!B13,IF('Map 2 Do Touch'!B13&gt;4,INDEX($AG$4:$AH$6,MATCH(INDEX($I$3:$L$6,MATCH(MOD('Map 2 Do Touch'!AO13,4),$H$3:$H$6,0),MATCH(MOD('Map 2 Do Touch'!B13,4),$I$2:$L$2,0)),$AF$4:$AF$6,0),MATCH(IF('Map 2 Do Touch'!AO13&gt;4,"Water","Land"),'Map 3'!$AG$3:$AH$3,0)),INDEX($AK$4:$AL$6,MATCH(INDEX($I$3:$L$6,MATCH(MOD('Map 2 Do Touch'!A13,4),$H$3:$H$6,0),MATCH(MOD('Map 2 Do Touch'!B13,4),$I$2:$L$2,0)),'Map 3'!$AJ$4:$AJ$6,0),MATCH(IF('Map 2 Do Touch'!AO13&gt;4,"Water","Land"),'Map 3'!$AK$3:$AL$3,0))),IF('Map 2 Do Touch'!B13&gt;4,INDEX($AG$4:$AH$6,MATCH(INDEX($P$3:$S$6,MATCH(MOD('Map 2 Do Touch'!B12,4),$O$3:$O$6,0),MATCH(MOD('Map 2 Do Touch'!B13,4),$P$2:$S$2,0)),$AF$4:$AF$6,0),MATCH(IF('Map 2 Do Touch'!B12&gt;4,"Water","Land"),'Map 3'!$AG$3:$AH$3,0)),INDEX($AK$4:$AL$6,MATCH(INDEX($P$3:$S$6,MATCH(MOD('Map 2 Do Touch'!B12,4),$O$3:$O$6,0),MATCH(MOD('Map 2 Do Touch'!B13,4),$P$2:$S$2,0)),'Map 3'!$AJ$4:$AJ$6,0),MATCH(IF('Map 2 Do Touch'!B12&gt;4,"Water","Land"),'Map 3'!$AK$3:$AL$3,0))))</f>
        <v>Mountain</v>
      </c>
      <c r="C17" s="3" t="str">
        <f ca="1">IF('Map 2 Do Touch'!B12&lt;&gt;'Map 2 Do Touch'!B13,IF('Map 2 Do Touch'!C13&gt;4,INDEX($AG$4:$AH$6,MATCH(INDEX($I$3:$L$6,MATCH(MOD('Map 2 Do Touch'!B13,4),$H$3:$H$6,0),MATCH(MOD('Map 2 Do Touch'!C13,4),$I$2:$L$2,0)),$AF$4:$AF$6,0),MATCH(IF('Map 2 Do Touch'!B13&gt;4,"Water","Land"),'Map 3'!$AG$3:$AH$3,0)),INDEX($AK$4:$AL$6,MATCH(INDEX($I$3:$L$6,MATCH(MOD('Map 2 Do Touch'!B13,4),$H$3:$H$6,0),MATCH(MOD('Map 2 Do Touch'!C13,4),$I$2:$L$2,0)),'Map 3'!$AJ$4:$AJ$6,0),MATCH(IF('Map 2 Do Touch'!B13&gt;4,"Water","Land"),'Map 3'!$AK$3:$AL$3,0))),IF('Map 2 Do Touch'!C13&gt;4,INDEX($AG$4:$AH$6,MATCH(INDEX($P$3:$S$6,MATCH(MOD('Map 2 Do Touch'!C12,4),$O$3:$O$6,0),MATCH(MOD('Map 2 Do Touch'!C13,4),$P$2:$S$2,0)),$AF$4:$AF$6,0),MATCH(IF('Map 2 Do Touch'!C12&gt;4,"Water","Land"),'Map 3'!$AG$3:$AH$3,0)),INDEX($AK$4:$AL$6,MATCH(INDEX($P$3:$S$6,MATCH(MOD('Map 2 Do Touch'!C12,4),$O$3:$O$6,0),MATCH(MOD('Map 2 Do Touch'!C13,4),$P$2:$S$2,0)),'Map 3'!$AJ$4:$AJ$6,0),MATCH(IF('Map 2 Do Touch'!C12&gt;4,"Water","Land"),'Map 3'!$AK$3:$AL$3,0))))</f>
        <v>Drop Off</v>
      </c>
      <c r="D17" s="3" t="str">
        <f ca="1">IF('Map 2 Do Touch'!C12&lt;&gt;'Map 2 Do Touch'!C13,IF('Map 2 Do Touch'!D13&gt;4,INDEX($AG$4:$AH$6,MATCH(INDEX($I$3:$L$6,MATCH(MOD('Map 2 Do Touch'!C13,4),$H$3:$H$6,0),MATCH(MOD('Map 2 Do Touch'!D13,4),$I$2:$L$2,0)),$AF$4:$AF$6,0),MATCH(IF('Map 2 Do Touch'!C13&gt;4,"Water","Land"),'Map 3'!$AG$3:$AH$3,0)),INDEX($AK$4:$AL$6,MATCH(INDEX($I$3:$L$6,MATCH(MOD('Map 2 Do Touch'!C13,4),$H$3:$H$6,0),MATCH(MOD('Map 2 Do Touch'!D13,4),$I$2:$L$2,0)),'Map 3'!$AJ$4:$AJ$6,0),MATCH(IF('Map 2 Do Touch'!C13&gt;4,"Water","Land"),'Map 3'!$AK$3:$AL$3,0))),IF('Map 2 Do Touch'!D13&gt;4,INDEX($AG$4:$AH$6,MATCH(INDEX($P$3:$S$6,MATCH(MOD('Map 2 Do Touch'!D12,4),$O$3:$O$6,0),MATCH(MOD('Map 2 Do Touch'!D13,4),$P$2:$S$2,0)),$AF$4:$AF$6,0),MATCH(IF('Map 2 Do Touch'!D12&gt;4,"Water","Land"),'Map 3'!$AG$3:$AH$3,0)),INDEX($AK$4:$AL$6,MATCH(INDEX($P$3:$S$6,MATCH(MOD('Map 2 Do Touch'!D12,4),$O$3:$O$6,0),MATCH(MOD('Map 2 Do Touch'!D13,4),$P$2:$S$2,0)),'Map 3'!$AJ$4:$AJ$6,0),MATCH(IF('Map 2 Do Touch'!D12&gt;4,"Water","Land"),'Map 3'!$AK$3:$AL$3,0))))</f>
        <v>Coast</v>
      </c>
      <c r="E17" s="3" t="str">
        <f ca="1">IF('Map 2 Do Touch'!D12&lt;&gt;'Map 2 Do Touch'!D13,IF('Map 2 Do Touch'!E13&gt;4,INDEX($AG$4:$AH$6,MATCH(INDEX($I$3:$L$6,MATCH(MOD('Map 2 Do Touch'!D13,4),$H$3:$H$6,0),MATCH(MOD('Map 2 Do Touch'!E13,4),$I$2:$L$2,0)),$AF$4:$AF$6,0),MATCH(IF('Map 2 Do Touch'!D13&gt;4,"Water","Land"),'Map 3'!$AG$3:$AH$3,0)),INDEX($AK$4:$AL$6,MATCH(INDEX($I$3:$L$6,MATCH(MOD('Map 2 Do Touch'!D13,4),$H$3:$H$6,0),MATCH(MOD('Map 2 Do Touch'!E13,4),$I$2:$L$2,0)),'Map 3'!$AJ$4:$AJ$6,0),MATCH(IF('Map 2 Do Touch'!D13&gt;4,"Water","Land"),'Map 3'!$AK$3:$AL$3,0))),IF('Map 2 Do Touch'!E13&gt;4,INDEX($AG$4:$AH$6,MATCH(INDEX($P$3:$S$6,MATCH(MOD('Map 2 Do Touch'!E12,4),$O$3:$O$6,0),MATCH(MOD('Map 2 Do Touch'!E13,4),$P$2:$S$2,0)),$AF$4:$AF$6,0),MATCH(IF('Map 2 Do Touch'!E12&gt;4,"Water","Land"),'Map 3'!$AG$3:$AH$3,0)),INDEX($AK$4:$AL$6,MATCH(INDEX($P$3:$S$6,MATCH(MOD('Map 2 Do Touch'!E12,4),$O$3:$O$6,0),MATCH(MOD('Map 2 Do Touch'!E13,4),$P$2:$S$2,0)),'Map 3'!$AJ$4:$AJ$6,0),MATCH(IF('Map 2 Do Touch'!E12&gt;4,"Water","Land"),'Map 3'!$AK$3:$AL$3,0))))</f>
        <v>Island</v>
      </c>
      <c r="F17" s="3" t="str">
        <f ca="1">IF('Map 2 Do Touch'!E12&lt;&gt;'Map 2 Do Touch'!E13,IF('Map 2 Do Touch'!F13&gt;4,INDEX($AG$4:$AH$6,MATCH(INDEX($I$3:$L$6,MATCH(MOD('Map 2 Do Touch'!E13,4),$H$3:$H$6,0),MATCH(MOD('Map 2 Do Touch'!F13,4),$I$2:$L$2,0)),$AF$4:$AF$6,0),MATCH(IF('Map 2 Do Touch'!E13&gt;4,"Water","Land"),'Map 3'!$AG$3:$AH$3,0)),INDEX($AK$4:$AL$6,MATCH(INDEX($I$3:$L$6,MATCH(MOD('Map 2 Do Touch'!E13,4),$H$3:$H$6,0),MATCH(MOD('Map 2 Do Touch'!F13,4),$I$2:$L$2,0)),'Map 3'!$AJ$4:$AJ$6,0),MATCH(IF('Map 2 Do Touch'!E13&gt;4,"Water","Land"),'Map 3'!$AK$3:$AL$3,0))),IF('Map 2 Do Touch'!F13&gt;4,INDEX($AG$4:$AH$6,MATCH(INDEX($P$3:$S$6,MATCH(MOD('Map 2 Do Touch'!F12,4),$O$3:$O$6,0),MATCH(MOD('Map 2 Do Touch'!F13,4),$P$2:$S$2,0)),$AF$4:$AF$6,0),MATCH(IF('Map 2 Do Touch'!F12&gt;4,"Water","Land"),'Map 3'!$AG$3:$AH$3,0)),INDEX($AK$4:$AL$6,MATCH(INDEX($P$3:$S$6,MATCH(MOD('Map 2 Do Touch'!F12,4),$O$3:$O$6,0),MATCH(MOD('Map 2 Do Touch'!F13,4),$P$2:$S$2,0)),'Map 3'!$AJ$4:$AJ$6,0),MATCH(IF('Map 2 Do Touch'!F12&gt;4,"Water","Land"),'Map 3'!$AK$3:$AL$3,0))))</f>
        <v>Ocean</v>
      </c>
      <c r="G17" s="3" t="str">
        <f ca="1">IF('Map 2 Do Touch'!F12&lt;&gt;'Map 2 Do Touch'!F13,IF('Map 2 Do Touch'!G13&gt;4,INDEX($AG$4:$AH$6,MATCH(INDEX($I$3:$L$6,MATCH(MOD('Map 2 Do Touch'!F13,4),$H$3:$H$6,0),MATCH(MOD('Map 2 Do Touch'!G13,4),$I$2:$L$2,0)),$AF$4:$AF$6,0),MATCH(IF('Map 2 Do Touch'!F13&gt;4,"Water","Land"),'Map 3'!$AG$3:$AH$3,0)),INDEX($AK$4:$AL$6,MATCH(INDEX($I$3:$L$6,MATCH(MOD('Map 2 Do Touch'!F13,4),$H$3:$H$6,0),MATCH(MOD('Map 2 Do Touch'!G13,4),$I$2:$L$2,0)),'Map 3'!$AJ$4:$AJ$6,0),MATCH(IF('Map 2 Do Touch'!F13&gt;4,"Water","Land"),'Map 3'!$AK$3:$AL$3,0))),IF('Map 2 Do Touch'!G13&gt;4,INDEX($AG$4:$AH$6,MATCH(INDEX($P$3:$S$6,MATCH(MOD('Map 2 Do Touch'!G12,4),$O$3:$O$6,0),MATCH(MOD('Map 2 Do Touch'!G13,4),$P$2:$S$2,0)),$AF$4:$AF$6,0),MATCH(IF('Map 2 Do Touch'!G12&gt;4,"Water","Land"),'Map 3'!$AG$3:$AH$3,0)),INDEX($AK$4:$AL$6,MATCH(INDEX($P$3:$S$6,MATCH(MOD('Map 2 Do Touch'!G12,4),$O$3:$O$6,0),MATCH(MOD('Map 2 Do Touch'!G13,4),$P$2:$S$2,0)),'Map 3'!$AJ$4:$AJ$6,0),MATCH(IF('Map 2 Do Touch'!G12&gt;4,"Water","Land"),'Map 3'!$AK$3:$AL$3,0))))</f>
        <v>Island</v>
      </c>
      <c r="H17" s="3" t="str">
        <f ca="1">IF('Map 2 Do Touch'!G12&lt;&gt;'Map 2 Do Touch'!G13,IF('Map 2 Do Touch'!H13&gt;4,INDEX($AG$4:$AH$6,MATCH(INDEX($I$3:$L$6,MATCH(MOD('Map 2 Do Touch'!G13,4),$H$3:$H$6,0),MATCH(MOD('Map 2 Do Touch'!H13,4),$I$2:$L$2,0)),$AF$4:$AF$6,0),MATCH(IF('Map 2 Do Touch'!G13&gt;4,"Water","Land"),'Map 3'!$AG$3:$AH$3,0)),INDEX($AK$4:$AL$6,MATCH(INDEX($I$3:$L$6,MATCH(MOD('Map 2 Do Touch'!G13,4),$H$3:$H$6,0),MATCH(MOD('Map 2 Do Touch'!H13,4),$I$2:$L$2,0)),'Map 3'!$AJ$4:$AJ$6,0),MATCH(IF('Map 2 Do Touch'!G13&gt;4,"Water","Land"),'Map 3'!$AK$3:$AL$3,0))),IF('Map 2 Do Touch'!H13&gt;4,INDEX($AG$4:$AH$6,MATCH(INDEX($P$3:$S$6,MATCH(MOD('Map 2 Do Touch'!H12,4),$O$3:$O$6,0),MATCH(MOD('Map 2 Do Touch'!H13,4),$P$2:$S$2,0)),$AF$4:$AF$6,0),MATCH(IF('Map 2 Do Touch'!H12&gt;4,"Water","Land"),'Map 3'!$AG$3:$AH$3,0)),INDEX($AK$4:$AL$6,MATCH(INDEX($P$3:$S$6,MATCH(MOD('Map 2 Do Touch'!H12,4),$O$3:$O$6,0),MATCH(MOD('Map 2 Do Touch'!H13,4),$P$2:$S$2,0)),'Map 3'!$AJ$4:$AJ$6,0),MATCH(IF('Map 2 Do Touch'!H12&gt;4,"Water","Land"),'Map 3'!$AK$3:$AL$3,0))))</f>
        <v>Island</v>
      </c>
      <c r="I17" s="3" t="str">
        <f ca="1">IF('Map 2 Do Touch'!H12&lt;&gt;'Map 2 Do Touch'!H13,IF('Map 2 Do Touch'!I13&gt;4,INDEX($AG$4:$AH$6,MATCH(INDEX($I$3:$L$6,MATCH(MOD('Map 2 Do Touch'!H13,4),$H$3:$H$6,0),MATCH(MOD('Map 2 Do Touch'!I13,4),$I$2:$L$2,0)),$AF$4:$AF$6,0),MATCH(IF('Map 2 Do Touch'!H13&gt;4,"Water","Land"),'Map 3'!$AG$3:$AH$3,0)),INDEX($AK$4:$AL$6,MATCH(INDEX($I$3:$L$6,MATCH(MOD('Map 2 Do Touch'!H13,4),$H$3:$H$6,0),MATCH(MOD('Map 2 Do Touch'!I13,4),$I$2:$L$2,0)),'Map 3'!$AJ$4:$AJ$6,0),MATCH(IF('Map 2 Do Touch'!H13&gt;4,"Water","Land"),'Map 3'!$AK$3:$AL$3,0))),IF('Map 2 Do Touch'!I13&gt;4,INDEX($AG$4:$AH$6,MATCH(INDEX($P$3:$S$6,MATCH(MOD('Map 2 Do Touch'!I12,4),$O$3:$O$6,0),MATCH(MOD('Map 2 Do Touch'!I13,4),$P$2:$S$2,0)),$AF$4:$AF$6,0),MATCH(IF('Map 2 Do Touch'!I12&gt;4,"Water","Land"),'Map 3'!$AG$3:$AH$3,0)),INDEX($AK$4:$AL$6,MATCH(INDEX($P$3:$S$6,MATCH(MOD('Map 2 Do Touch'!I12,4),$O$3:$O$6,0),MATCH(MOD('Map 2 Do Touch'!I13,4),$P$2:$S$2,0)),'Map 3'!$AJ$4:$AJ$6,0),MATCH(IF('Map 2 Do Touch'!I12&gt;4,"Water","Land"),'Map 3'!$AK$3:$AL$3,0))))</f>
        <v>Trench</v>
      </c>
      <c r="J17" s="3" t="str">
        <f ca="1">IF('Map 2 Do Touch'!I12&lt;&gt;'Map 2 Do Touch'!I13,IF('Map 2 Do Touch'!J13&gt;4,INDEX($AG$4:$AH$6,MATCH(INDEX($I$3:$L$6,MATCH(MOD('Map 2 Do Touch'!I13,4),$H$3:$H$6,0),MATCH(MOD('Map 2 Do Touch'!J13,4),$I$2:$L$2,0)),$AF$4:$AF$6,0),MATCH(IF('Map 2 Do Touch'!I13&gt;4,"Water","Land"),'Map 3'!$AG$3:$AH$3,0)),INDEX($AK$4:$AL$6,MATCH(INDEX($I$3:$L$6,MATCH(MOD('Map 2 Do Touch'!I13,4),$H$3:$H$6,0),MATCH(MOD('Map 2 Do Touch'!J13,4),$I$2:$L$2,0)),'Map 3'!$AJ$4:$AJ$6,0),MATCH(IF('Map 2 Do Touch'!I13&gt;4,"Water","Land"),'Map 3'!$AK$3:$AL$3,0))),IF('Map 2 Do Touch'!J13&gt;4,INDEX($AG$4:$AH$6,MATCH(INDEX($P$3:$S$6,MATCH(MOD('Map 2 Do Touch'!J12,4),$O$3:$O$6,0),MATCH(MOD('Map 2 Do Touch'!J13,4),$P$2:$S$2,0)),$AF$4:$AF$6,0),MATCH(IF('Map 2 Do Touch'!J12&gt;4,"Water","Land"),'Map 3'!$AG$3:$AH$3,0)),INDEX($AK$4:$AL$6,MATCH(INDEX($P$3:$S$6,MATCH(MOD('Map 2 Do Touch'!J12,4),$O$3:$O$6,0),MATCH(MOD('Map 2 Do Touch'!J13,4),$P$2:$S$2,0)),'Map 3'!$AJ$4:$AJ$6,0),MATCH(IF('Map 2 Do Touch'!J12&gt;4,"Water","Land"),'Map 3'!$AK$3:$AL$3,0))))</f>
        <v>Ocean</v>
      </c>
      <c r="K17" s="3" t="str">
        <f ca="1">IF('Map 2 Do Touch'!J12&lt;&gt;'Map 2 Do Touch'!J13,IF('Map 2 Do Touch'!K13&gt;4,INDEX($AG$4:$AH$6,MATCH(INDEX($I$3:$L$6,MATCH(MOD('Map 2 Do Touch'!J13,4),$H$3:$H$6,0),MATCH(MOD('Map 2 Do Touch'!K13,4),$I$2:$L$2,0)),$AF$4:$AF$6,0),MATCH(IF('Map 2 Do Touch'!J13&gt;4,"Water","Land"),'Map 3'!$AG$3:$AH$3,0)),INDEX($AK$4:$AL$6,MATCH(INDEX($I$3:$L$6,MATCH(MOD('Map 2 Do Touch'!J13,4),$H$3:$H$6,0),MATCH(MOD('Map 2 Do Touch'!K13,4),$I$2:$L$2,0)),'Map 3'!$AJ$4:$AJ$6,0),MATCH(IF('Map 2 Do Touch'!J13&gt;4,"Water","Land"),'Map 3'!$AK$3:$AL$3,0))),IF('Map 2 Do Touch'!K13&gt;4,INDEX($AG$4:$AH$6,MATCH(INDEX($P$3:$S$6,MATCH(MOD('Map 2 Do Touch'!K12,4),$O$3:$O$6,0),MATCH(MOD('Map 2 Do Touch'!K13,4),$P$2:$S$2,0)),$AF$4:$AF$6,0),MATCH(IF('Map 2 Do Touch'!K12&gt;4,"Water","Land"),'Map 3'!$AG$3:$AH$3,0)),INDEX($AK$4:$AL$6,MATCH(INDEX($P$3:$S$6,MATCH(MOD('Map 2 Do Touch'!K12,4),$O$3:$O$6,0),MATCH(MOD('Map 2 Do Touch'!K13,4),$P$2:$S$2,0)),'Map 3'!$AJ$4:$AJ$6,0),MATCH(IF('Map 2 Do Touch'!K12&gt;4,"Water","Land"),'Map 3'!$AK$3:$AL$3,0))))</f>
        <v>Trench</v>
      </c>
      <c r="L17" s="3" t="str">
        <f ca="1">IF('Map 2 Do Touch'!K12&lt;&gt;'Map 2 Do Touch'!K13,IF('Map 2 Do Touch'!L13&gt;4,INDEX($AG$4:$AH$6,MATCH(INDEX($I$3:$L$6,MATCH(MOD('Map 2 Do Touch'!K13,4),$H$3:$H$6,0),MATCH(MOD('Map 2 Do Touch'!L13,4),$I$2:$L$2,0)),$AF$4:$AF$6,0),MATCH(IF('Map 2 Do Touch'!K13&gt;4,"Water","Land"),'Map 3'!$AG$3:$AH$3,0)),INDEX($AK$4:$AL$6,MATCH(INDEX($I$3:$L$6,MATCH(MOD('Map 2 Do Touch'!K13,4),$H$3:$H$6,0),MATCH(MOD('Map 2 Do Touch'!L13,4),$I$2:$L$2,0)),'Map 3'!$AJ$4:$AJ$6,0),MATCH(IF('Map 2 Do Touch'!K13&gt;4,"Water","Land"),'Map 3'!$AK$3:$AL$3,0))),IF('Map 2 Do Touch'!L13&gt;4,INDEX($AG$4:$AH$6,MATCH(INDEX($P$3:$S$6,MATCH(MOD('Map 2 Do Touch'!L12,4),$O$3:$O$6,0),MATCH(MOD('Map 2 Do Touch'!L13,4),$P$2:$S$2,0)),$AF$4:$AF$6,0),MATCH(IF('Map 2 Do Touch'!L12&gt;4,"Water","Land"),'Map 3'!$AG$3:$AH$3,0)),INDEX($AK$4:$AL$6,MATCH(INDEX($P$3:$S$6,MATCH(MOD('Map 2 Do Touch'!L12,4),$O$3:$O$6,0),MATCH(MOD('Map 2 Do Touch'!L13,4),$P$2:$S$2,0)),'Map 3'!$AJ$4:$AJ$6,0),MATCH(IF('Map 2 Do Touch'!L12&gt;4,"Water","Land"),'Map 3'!$AK$3:$AL$3,0))))</f>
        <v>Ocean</v>
      </c>
      <c r="M17" s="3" t="str">
        <f ca="1">IF('Map 2 Do Touch'!L12&lt;&gt;'Map 2 Do Touch'!L13,IF('Map 2 Do Touch'!M13&gt;4,INDEX($AG$4:$AH$6,MATCH(INDEX($I$3:$L$6,MATCH(MOD('Map 2 Do Touch'!L13,4),$H$3:$H$6,0),MATCH(MOD('Map 2 Do Touch'!M13,4),$I$2:$L$2,0)),$AF$4:$AF$6,0),MATCH(IF('Map 2 Do Touch'!L13&gt;4,"Water","Land"),'Map 3'!$AG$3:$AH$3,0)),INDEX($AK$4:$AL$6,MATCH(INDEX($I$3:$L$6,MATCH(MOD('Map 2 Do Touch'!L13,4),$H$3:$H$6,0),MATCH(MOD('Map 2 Do Touch'!M13,4),$I$2:$L$2,0)),'Map 3'!$AJ$4:$AJ$6,0),MATCH(IF('Map 2 Do Touch'!L13&gt;4,"Water","Land"),'Map 3'!$AK$3:$AL$3,0))),IF('Map 2 Do Touch'!M13&gt;4,INDEX($AG$4:$AH$6,MATCH(INDEX($P$3:$S$6,MATCH(MOD('Map 2 Do Touch'!M12,4),$O$3:$O$6,0),MATCH(MOD('Map 2 Do Touch'!M13,4),$P$2:$S$2,0)),$AF$4:$AF$6,0),MATCH(IF('Map 2 Do Touch'!M12&gt;4,"Water","Land"),'Map 3'!$AG$3:$AH$3,0)),INDEX($AK$4:$AL$6,MATCH(INDEX($P$3:$S$6,MATCH(MOD('Map 2 Do Touch'!M12,4),$O$3:$O$6,0),MATCH(MOD('Map 2 Do Touch'!M13,4),$P$2:$S$2,0)),'Map 3'!$AJ$4:$AJ$6,0),MATCH(IF('Map 2 Do Touch'!M12&gt;4,"Water","Land"),'Map 3'!$AK$3:$AL$3,0))))</f>
        <v>Ocean</v>
      </c>
      <c r="N17" s="3" t="str">
        <f ca="1">IF('Map 2 Do Touch'!M12&lt;&gt;'Map 2 Do Touch'!M13,IF('Map 2 Do Touch'!N13&gt;4,INDEX($AG$4:$AH$6,MATCH(INDEX($I$3:$L$6,MATCH(MOD('Map 2 Do Touch'!M13,4),$H$3:$H$6,0),MATCH(MOD('Map 2 Do Touch'!N13,4),$I$2:$L$2,0)),$AF$4:$AF$6,0),MATCH(IF('Map 2 Do Touch'!M13&gt;4,"Water","Land"),'Map 3'!$AG$3:$AH$3,0)),INDEX($AK$4:$AL$6,MATCH(INDEX($I$3:$L$6,MATCH(MOD('Map 2 Do Touch'!M13,4),$H$3:$H$6,0),MATCH(MOD('Map 2 Do Touch'!N13,4),$I$2:$L$2,0)),'Map 3'!$AJ$4:$AJ$6,0),MATCH(IF('Map 2 Do Touch'!M13&gt;4,"Water","Land"),'Map 3'!$AK$3:$AL$3,0))),IF('Map 2 Do Touch'!N13&gt;4,INDEX($AG$4:$AH$6,MATCH(INDEX($P$3:$S$6,MATCH(MOD('Map 2 Do Touch'!N12,4),$O$3:$O$6,0),MATCH(MOD('Map 2 Do Touch'!N13,4),$P$2:$S$2,0)),$AF$4:$AF$6,0),MATCH(IF('Map 2 Do Touch'!N12&gt;4,"Water","Land"),'Map 3'!$AG$3:$AH$3,0)),INDEX($AK$4:$AL$6,MATCH(INDEX($P$3:$S$6,MATCH(MOD('Map 2 Do Touch'!N12,4),$O$3:$O$6,0),MATCH(MOD('Map 2 Do Touch'!N13,4),$P$2:$S$2,0)),'Map 3'!$AJ$4:$AJ$6,0),MATCH(IF('Map 2 Do Touch'!N12&gt;4,"Water","Land"),'Map 3'!$AK$3:$AL$3,0))))</f>
        <v>Ocean</v>
      </c>
      <c r="O17" s="3" t="str">
        <f ca="1">IF('Map 2 Do Touch'!N12&lt;&gt;'Map 2 Do Touch'!N13,IF('Map 2 Do Touch'!O13&gt;4,INDEX($AG$4:$AH$6,MATCH(INDEX($I$3:$L$6,MATCH(MOD('Map 2 Do Touch'!N13,4),$H$3:$H$6,0),MATCH(MOD('Map 2 Do Touch'!O13,4),$I$2:$L$2,0)),$AF$4:$AF$6,0),MATCH(IF('Map 2 Do Touch'!N13&gt;4,"Water","Land"),'Map 3'!$AG$3:$AH$3,0)),INDEX($AK$4:$AL$6,MATCH(INDEX($I$3:$L$6,MATCH(MOD('Map 2 Do Touch'!N13,4),$H$3:$H$6,0),MATCH(MOD('Map 2 Do Touch'!O13,4),$I$2:$L$2,0)),'Map 3'!$AJ$4:$AJ$6,0),MATCH(IF('Map 2 Do Touch'!N13&gt;4,"Water","Land"),'Map 3'!$AK$3:$AL$3,0))),IF('Map 2 Do Touch'!O13&gt;4,INDEX($AG$4:$AH$6,MATCH(INDEX($P$3:$S$6,MATCH(MOD('Map 2 Do Touch'!O12,4),$O$3:$O$6,0),MATCH(MOD('Map 2 Do Touch'!O13,4),$P$2:$S$2,0)),$AF$4:$AF$6,0),MATCH(IF('Map 2 Do Touch'!O12&gt;4,"Water","Land"),'Map 3'!$AG$3:$AH$3,0)),INDEX($AK$4:$AL$6,MATCH(INDEX($P$3:$S$6,MATCH(MOD('Map 2 Do Touch'!O12,4),$O$3:$O$6,0),MATCH(MOD('Map 2 Do Touch'!O13,4),$P$2:$S$2,0)),'Map 3'!$AJ$4:$AJ$6,0),MATCH(IF('Map 2 Do Touch'!O12&gt;4,"Water","Land"),'Map 3'!$AK$3:$AL$3,0))))</f>
        <v>Ocean</v>
      </c>
      <c r="P17" s="3" t="str">
        <f ca="1">IF('Map 2 Do Touch'!O12&lt;&gt;'Map 2 Do Touch'!O13,IF('Map 2 Do Touch'!P13&gt;4,INDEX($AG$4:$AH$6,MATCH(INDEX($I$3:$L$6,MATCH(MOD('Map 2 Do Touch'!O13,4),$H$3:$H$6,0),MATCH(MOD('Map 2 Do Touch'!P13,4),$I$2:$L$2,0)),$AF$4:$AF$6,0),MATCH(IF('Map 2 Do Touch'!O13&gt;4,"Water","Land"),'Map 3'!$AG$3:$AH$3,0)),INDEX($AK$4:$AL$6,MATCH(INDEX($I$3:$L$6,MATCH(MOD('Map 2 Do Touch'!O13,4),$H$3:$H$6,0),MATCH(MOD('Map 2 Do Touch'!P13,4),$I$2:$L$2,0)),'Map 3'!$AJ$4:$AJ$6,0),MATCH(IF('Map 2 Do Touch'!O13&gt;4,"Water","Land"),'Map 3'!$AK$3:$AL$3,0))),IF('Map 2 Do Touch'!P13&gt;4,INDEX($AG$4:$AH$6,MATCH(INDEX($P$3:$S$6,MATCH(MOD('Map 2 Do Touch'!P12,4),$O$3:$O$6,0),MATCH(MOD('Map 2 Do Touch'!P13,4),$P$2:$S$2,0)),$AF$4:$AF$6,0),MATCH(IF('Map 2 Do Touch'!P12&gt;4,"Water","Land"),'Map 3'!$AG$3:$AH$3,0)),INDEX($AK$4:$AL$6,MATCH(INDEX($P$3:$S$6,MATCH(MOD('Map 2 Do Touch'!P12,4),$O$3:$O$6,0),MATCH(MOD('Map 2 Do Touch'!P13,4),$P$2:$S$2,0)),'Map 3'!$AJ$4:$AJ$6,0),MATCH(IF('Map 2 Do Touch'!P12&gt;4,"Water","Land"),'Map 3'!$AK$3:$AL$3,0))))</f>
        <v>Island</v>
      </c>
      <c r="Q17" s="3" t="str">
        <f ca="1">IF('Map 2 Do Touch'!P12&lt;&gt;'Map 2 Do Touch'!P13,IF('Map 2 Do Touch'!Q13&gt;4,INDEX($AG$4:$AH$6,MATCH(INDEX($I$3:$L$6,MATCH(MOD('Map 2 Do Touch'!P13,4),$H$3:$H$6,0),MATCH(MOD('Map 2 Do Touch'!Q13,4),$I$2:$L$2,0)),$AF$4:$AF$6,0),MATCH(IF('Map 2 Do Touch'!P13&gt;4,"Water","Land"),'Map 3'!$AG$3:$AH$3,0)),INDEX($AK$4:$AL$6,MATCH(INDEX($I$3:$L$6,MATCH(MOD('Map 2 Do Touch'!P13,4),$H$3:$H$6,0),MATCH(MOD('Map 2 Do Touch'!Q13,4),$I$2:$L$2,0)),'Map 3'!$AJ$4:$AJ$6,0),MATCH(IF('Map 2 Do Touch'!P13&gt;4,"Water","Land"),'Map 3'!$AK$3:$AL$3,0))),IF('Map 2 Do Touch'!Q13&gt;4,INDEX($AG$4:$AH$6,MATCH(INDEX($P$3:$S$6,MATCH(MOD('Map 2 Do Touch'!Q12,4),$O$3:$O$6,0),MATCH(MOD('Map 2 Do Touch'!Q13,4),$P$2:$S$2,0)),$AF$4:$AF$6,0),MATCH(IF('Map 2 Do Touch'!Q12&gt;4,"Water","Land"),'Map 3'!$AG$3:$AH$3,0)),INDEX($AK$4:$AL$6,MATCH(INDEX($P$3:$S$6,MATCH(MOD('Map 2 Do Touch'!Q12,4),$O$3:$O$6,0),MATCH(MOD('Map 2 Do Touch'!Q13,4),$P$2:$S$2,0)),'Map 3'!$AJ$4:$AJ$6,0),MATCH(IF('Map 2 Do Touch'!Q12&gt;4,"Water","Land"),'Map 3'!$AK$3:$AL$3,0))))</f>
        <v>Ocean</v>
      </c>
      <c r="R17" s="3" t="str">
        <f ca="1">IF('Map 2 Do Touch'!Q12&lt;&gt;'Map 2 Do Touch'!Q13,IF('Map 2 Do Touch'!R13&gt;4,INDEX($AG$4:$AH$6,MATCH(INDEX($I$3:$L$6,MATCH(MOD('Map 2 Do Touch'!Q13,4),$H$3:$H$6,0),MATCH(MOD('Map 2 Do Touch'!R13,4),$I$2:$L$2,0)),$AF$4:$AF$6,0),MATCH(IF('Map 2 Do Touch'!Q13&gt;4,"Water","Land"),'Map 3'!$AG$3:$AH$3,0)),INDEX($AK$4:$AL$6,MATCH(INDEX($I$3:$L$6,MATCH(MOD('Map 2 Do Touch'!Q13,4),$H$3:$H$6,0),MATCH(MOD('Map 2 Do Touch'!R13,4),$I$2:$L$2,0)),'Map 3'!$AJ$4:$AJ$6,0),MATCH(IF('Map 2 Do Touch'!Q13&gt;4,"Water","Land"),'Map 3'!$AK$3:$AL$3,0))),IF('Map 2 Do Touch'!R13&gt;4,INDEX($AG$4:$AH$6,MATCH(INDEX($P$3:$S$6,MATCH(MOD('Map 2 Do Touch'!R12,4),$O$3:$O$6,0),MATCH(MOD('Map 2 Do Touch'!R13,4),$P$2:$S$2,0)),$AF$4:$AF$6,0),MATCH(IF('Map 2 Do Touch'!R12&gt;4,"Water","Land"),'Map 3'!$AG$3:$AH$3,0)),INDEX($AK$4:$AL$6,MATCH(INDEX($P$3:$S$6,MATCH(MOD('Map 2 Do Touch'!R12,4),$O$3:$O$6,0),MATCH(MOD('Map 2 Do Touch'!R13,4),$P$2:$S$2,0)),'Map 3'!$AJ$4:$AJ$6,0),MATCH(IF('Map 2 Do Touch'!R12&gt;4,"Water","Land"),'Map 3'!$AK$3:$AL$3,0))))</f>
        <v>Ocean</v>
      </c>
      <c r="S17" s="3" t="str">
        <f ca="1">IF('Map 2 Do Touch'!R12&lt;&gt;'Map 2 Do Touch'!R13,IF('Map 2 Do Touch'!S13&gt;4,INDEX($AG$4:$AH$6,MATCH(INDEX($I$3:$L$6,MATCH(MOD('Map 2 Do Touch'!R13,4),$H$3:$H$6,0),MATCH(MOD('Map 2 Do Touch'!S13,4),$I$2:$L$2,0)),$AF$4:$AF$6,0),MATCH(IF('Map 2 Do Touch'!R13&gt;4,"Water","Land"),'Map 3'!$AG$3:$AH$3,0)),INDEX($AK$4:$AL$6,MATCH(INDEX($I$3:$L$6,MATCH(MOD('Map 2 Do Touch'!R13,4),$H$3:$H$6,0),MATCH(MOD('Map 2 Do Touch'!S13,4),$I$2:$L$2,0)),'Map 3'!$AJ$4:$AJ$6,0),MATCH(IF('Map 2 Do Touch'!R13&gt;4,"Water","Land"),'Map 3'!$AK$3:$AL$3,0))),IF('Map 2 Do Touch'!S13&gt;4,INDEX($AG$4:$AH$6,MATCH(INDEX($P$3:$S$6,MATCH(MOD('Map 2 Do Touch'!S12,4),$O$3:$O$6,0),MATCH(MOD('Map 2 Do Touch'!S13,4),$P$2:$S$2,0)),$AF$4:$AF$6,0),MATCH(IF('Map 2 Do Touch'!S12&gt;4,"Water","Land"),'Map 3'!$AG$3:$AH$3,0)),INDEX($AK$4:$AL$6,MATCH(INDEX($P$3:$S$6,MATCH(MOD('Map 2 Do Touch'!S12,4),$O$3:$O$6,0),MATCH(MOD('Map 2 Do Touch'!S13,4),$P$2:$S$2,0)),'Map 3'!$AJ$4:$AJ$6,0),MATCH(IF('Map 2 Do Touch'!S12&gt;4,"Water","Land"),'Map 3'!$AK$3:$AL$3,0))))</f>
        <v>Ocean</v>
      </c>
      <c r="T17" s="3" t="str">
        <f ca="1">IF('Map 2 Do Touch'!S12&lt;&gt;'Map 2 Do Touch'!S13,IF('Map 2 Do Touch'!T13&gt;4,INDEX($AG$4:$AH$6,MATCH(INDEX($I$3:$L$6,MATCH(MOD('Map 2 Do Touch'!S13,4),$H$3:$H$6,0),MATCH(MOD('Map 2 Do Touch'!T13,4),$I$2:$L$2,0)),$AF$4:$AF$6,0),MATCH(IF('Map 2 Do Touch'!S13&gt;4,"Water","Land"),'Map 3'!$AG$3:$AH$3,0)),INDEX($AK$4:$AL$6,MATCH(INDEX($I$3:$L$6,MATCH(MOD('Map 2 Do Touch'!S13,4),$H$3:$H$6,0),MATCH(MOD('Map 2 Do Touch'!T13,4),$I$2:$L$2,0)),'Map 3'!$AJ$4:$AJ$6,0),MATCH(IF('Map 2 Do Touch'!S13&gt;4,"Water","Land"),'Map 3'!$AK$3:$AL$3,0))),IF('Map 2 Do Touch'!T13&gt;4,INDEX($AG$4:$AH$6,MATCH(INDEX($P$3:$S$6,MATCH(MOD('Map 2 Do Touch'!T12,4),$O$3:$O$6,0),MATCH(MOD('Map 2 Do Touch'!T13,4),$P$2:$S$2,0)),$AF$4:$AF$6,0),MATCH(IF('Map 2 Do Touch'!T12&gt;4,"Water","Land"),'Map 3'!$AG$3:$AH$3,0)),INDEX($AK$4:$AL$6,MATCH(INDEX($P$3:$S$6,MATCH(MOD('Map 2 Do Touch'!T12,4),$O$3:$O$6,0),MATCH(MOD('Map 2 Do Touch'!T13,4),$P$2:$S$2,0)),'Map 3'!$AJ$4:$AJ$6,0),MATCH(IF('Map 2 Do Touch'!T12&gt;4,"Water","Land"),'Map 3'!$AK$3:$AL$3,0))))</f>
        <v>Ocean</v>
      </c>
      <c r="U17" s="3" t="str">
        <f ca="1">IF('Map 2 Do Touch'!T12&lt;&gt;'Map 2 Do Touch'!T13,IF('Map 2 Do Touch'!U13&gt;4,INDEX($AG$4:$AH$6,MATCH(INDEX($I$3:$L$6,MATCH(MOD('Map 2 Do Touch'!T13,4),$H$3:$H$6,0),MATCH(MOD('Map 2 Do Touch'!U13,4),$I$2:$L$2,0)),$AF$4:$AF$6,0),MATCH(IF('Map 2 Do Touch'!T13&gt;4,"Water","Land"),'Map 3'!$AG$3:$AH$3,0)),INDEX($AK$4:$AL$6,MATCH(INDEX($I$3:$L$6,MATCH(MOD('Map 2 Do Touch'!T13,4),$H$3:$H$6,0),MATCH(MOD('Map 2 Do Touch'!U13,4),$I$2:$L$2,0)),'Map 3'!$AJ$4:$AJ$6,0),MATCH(IF('Map 2 Do Touch'!T13&gt;4,"Water","Land"),'Map 3'!$AK$3:$AL$3,0))),IF('Map 2 Do Touch'!U13&gt;4,INDEX($AG$4:$AH$6,MATCH(INDEX($P$3:$S$6,MATCH(MOD('Map 2 Do Touch'!U12,4),$O$3:$O$6,0),MATCH(MOD('Map 2 Do Touch'!U13,4),$P$2:$S$2,0)),$AF$4:$AF$6,0),MATCH(IF('Map 2 Do Touch'!U12&gt;4,"Water","Land"),'Map 3'!$AG$3:$AH$3,0)),INDEX($AK$4:$AL$6,MATCH(INDEX($P$3:$S$6,MATCH(MOD('Map 2 Do Touch'!U12,4),$O$3:$O$6,0),MATCH(MOD('Map 2 Do Touch'!U13,4),$P$2:$S$2,0)),'Map 3'!$AJ$4:$AJ$6,0),MATCH(IF('Map 2 Do Touch'!U12&gt;4,"Water","Land"),'Map 3'!$AK$3:$AL$3,0))))</f>
        <v>Ocean</v>
      </c>
      <c r="V17" s="3" t="str">
        <f ca="1">IF('Map 2 Do Touch'!U12&lt;&gt;'Map 2 Do Touch'!U13,IF('Map 2 Do Touch'!V13&gt;4,INDEX($AG$4:$AH$6,MATCH(INDEX($I$3:$L$6,MATCH(MOD('Map 2 Do Touch'!U13,4),$H$3:$H$6,0),MATCH(MOD('Map 2 Do Touch'!V13,4),$I$2:$L$2,0)),$AF$4:$AF$6,0),MATCH(IF('Map 2 Do Touch'!U13&gt;4,"Water","Land"),'Map 3'!$AG$3:$AH$3,0)),INDEX($AK$4:$AL$6,MATCH(INDEX($I$3:$L$6,MATCH(MOD('Map 2 Do Touch'!U13,4),$H$3:$H$6,0),MATCH(MOD('Map 2 Do Touch'!V13,4),$I$2:$L$2,0)),'Map 3'!$AJ$4:$AJ$6,0),MATCH(IF('Map 2 Do Touch'!U13&gt;4,"Water","Land"),'Map 3'!$AK$3:$AL$3,0))),IF('Map 2 Do Touch'!V13&gt;4,INDEX($AG$4:$AH$6,MATCH(INDEX($P$3:$S$6,MATCH(MOD('Map 2 Do Touch'!V12,4),$O$3:$O$6,0),MATCH(MOD('Map 2 Do Touch'!V13,4),$P$2:$S$2,0)),$AF$4:$AF$6,0),MATCH(IF('Map 2 Do Touch'!V12&gt;4,"Water","Land"),'Map 3'!$AG$3:$AH$3,0)),INDEX($AK$4:$AL$6,MATCH(INDEX($P$3:$S$6,MATCH(MOD('Map 2 Do Touch'!V12,4),$O$3:$O$6,0),MATCH(MOD('Map 2 Do Touch'!V13,4),$P$2:$S$2,0)),'Map 3'!$AJ$4:$AJ$6,0),MATCH(IF('Map 2 Do Touch'!V12&gt;4,"Water","Land"),'Map 3'!$AK$3:$AL$3,0))))</f>
        <v>Ocean</v>
      </c>
      <c r="W17" s="3" t="str">
        <f ca="1">IF('Map 2 Do Touch'!V12&lt;&gt;'Map 2 Do Touch'!V13,IF('Map 2 Do Touch'!W13&gt;4,INDEX($AG$4:$AH$6,MATCH(INDEX($I$3:$L$6,MATCH(MOD('Map 2 Do Touch'!V13,4),$H$3:$H$6,0),MATCH(MOD('Map 2 Do Touch'!W13,4),$I$2:$L$2,0)),$AF$4:$AF$6,0),MATCH(IF('Map 2 Do Touch'!V13&gt;4,"Water","Land"),'Map 3'!$AG$3:$AH$3,0)),INDEX($AK$4:$AL$6,MATCH(INDEX($I$3:$L$6,MATCH(MOD('Map 2 Do Touch'!V13,4),$H$3:$H$6,0),MATCH(MOD('Map 2 Do Touch'!W13,4),$I$2:$L$2,0)),'Map 3'!$AJ$4:$AJ$6,0),MATCH(IF('Map 2 Do Touch'!V13&gt;4,"Water","Land"),'Map 3'!$AK$3:$AL$3,0))),IF('Map 2 Do Touch'!W13&gt;4,INDEX($AG$4:$AH$6,MATCH(INDEX($P$3:$S$6,MATCH(MOD('Map 2 Do Touch'!W12,4),$O$3:$O$6,0),MATCH(MOD('Map 2 Do Touch'!W13,4),$P$2:$S$2,0)),$AF$4:$AF$6,0),MATCH(IF('Map 2 Do Touch'!W12&gt;4,"Water","Land"),'Map 3'!$AG$3:$AH$3,0)),INDEX($AK$4:$AL$6,MATCH(INDEX($P$3:$S$6,MATCH(MOD('Map 2 Do Touch'!W12,4),$O$3:$O$6,0),MATCH(MOD('Map 2 Do Touch'!W13,4),$P$2:$S$2,0)),'Map 3'!$AJ$4:$AJ$6,0),MATCH(IF('Map 2 Do Touch'!W12&gt;4,"Water","Land"),'Map 3'!$AK$3:$AL$3,0))))</f>
        <v>Island</v>
      </c>
      <c r="X17" s="3" t="str">
        <f ca="1">IF('Map 2 Do Touch'!W12&lt;&gt;'Map 2 Do Touch'!W13,IF('Map 2 Do Touch'!X13&gt;4,INDEX($AG$4:$AH$6,MATCH(INDEX($I$3:$L$6,MATCH(MOD('Map 2 Do Touch'!W13,4),$H$3:$H$6,0),MATCH(MOD('Map 2 Do Touch'!X13,4),$I$2:$L$2,0)),$AF$4:$AF$6,0),MATCH(IF('Map 2 Do Touch'!W13&gt;4,"Water","Land"),'Map 3'!$AG$3:$AH$3,0)),INDEX($AK$4:$AL$6,MATCH(INDEX($I$3:$L$6,MATCH(MOD('Map 2 Do Touch'!W13,4),$H$3:$H$6,0),MATCH(MOD('Map 2 Do Touch'!X13,4),$I$2:$L$2,0)),'Map 3'!$AJ$4:$AJ$6,0),MATCH(IF('Map 2 Do Touch'!W13&gt;4,"Water","Land"),'Map 3'!$AK$3:$AL$3,0))),IF('Map 2 Do Touch'!X13&gt;4,INDEX($AG$4:$AH$6,MATCH(INDEX($P$3:$S$6,MATCH(MOD('Map 2 Do Touch'!X12,4),$O$3:$O$6,0),MATCH(MOD('Map 2 Do Touch'!X13,4),$P$2:$S$2,0)),$AF$4:$AF$6,0),MATCH(IF('Map 2 Do Touch'!X12&gt;4,"Water","Land"),'Map 3'!$AG$3:$AH$3,0)),INDEX($AK$4:$AL$6,MATCH(INDEX($P$3:$S$6,MATCH(MOD('Map 2 Do Touch'!X12,4),$O$3:$O$6,0),MATCH(MOD('Map 2 Do Touch'!X13,4),$P$2:$S$2,0)),'Map 3'!$AJ$4:$AJ$6,0),MATCH(IF('Map 2 Do Touch'!X12&gt;4,"Water","Land"),'Map 3'!$AK$3:$AL$3,0))))</f>
        <v>Island</v>
      </c>
      <c r="Y17" s="3" t="str">
        <f ca="1">IF('Map 2 Do Touch'!X12&lt;&gt;'Map 2 Do Touch'!X13,IF('Map 2 Do Touch'!Y13&gt;4,INDEX($AG$4:$AH$6,MATCH(INDEX($I$3:$L$6,MATCH(MOD('Map 2 Do Touch'!X13,4),$H$3:$H$6,0),MATCH(MOD('Map 2 Do Touch'!Y13,4),$I$2:$L$2,0)),$AF$4:$AF$6,0),MATCH(IF('Map 2 Do Touch'!X13&gt;4,"Water","Land"),'Map 3'!$AG$3:$AH$3,0)),INDEX($AK$4:$AL$6,MATCH(INDEX($I$3:$L$6,MATCH(MOD('Map 2 Do Touch'!X13,4),$H$3:$H$6,0),MATCH(MOD('Map 2 Do Touch'!Y13,4),$I$2:$L$2,0)),'Map 3'!$AJ$4:$AJ$6,0),MATCH(IF('Map 2 Do Touch'!X13&gt;4,"Water","Land"),'Map 3'!$AK$3:$AL$3,0))),IF('Map 2 Do Touch'!Y13&gt;4,INDEX($AG$4:$AH$6,MATCH(INDEX($P$3:$S$6,MATCH(MOD('Map 2 Do Touch'!Y12,4),$O$3:$O$6,0),MATCH(MOD('Map 2 Do Touch'!Y13,4),$P$2:$S$2,0)),$AF$4:$AF$6,0),MATCH(IF('Map 2 Do Touch'!Y12&gt;4,"Water","Land"),'Map 3'!$AG$3:$AH$3,0)),INDEX($AK$4:$AL$6,MATCH(INDEX($P$3:$S$6,MATCH(MOD('Map 2 Do Touch'!Y12,4),$O$3:$O$6,0),MATCH(MOD('Map 2 Do Touch'!Y13,4),$P$2:$S$2,0)),'Map 3'!$AJ$4:$AJ$6,0),MATCH(IF('Map 2 Do Touch'!Y12&gt;4,"Water","Land"),'Map 3'!$AK$3:$AL$3,0))))</f>
        <v>Ocean</v>
      </c>
      <c r="Z17" s="3" t="str">
        <f ca="1">IF('Map 2 Do Touch'!Y12&lt;&gt;'Map 2 Do Touch'!Y13,IF('Map 2 Do Touch'!Z13&gt;4,INDEX($AG$4:$AH$6,MATCH(INDEX($I$3:$L$6,MATCH(MOD('Map 2 Do Touch'!Y13,4),$H$3:$H$6,0),MATCH(MOD('Map 2 Do Touch'!Z13,4),$I$2:$L$2,0)),$AF$4:$AF$6,0),MATCH(IF('Map 2 Do Touch'!Y13&gt;4,"Water","Land"),'Map 3'!$AG$3:$AH$3,0)),INDEX($AK$4:$AL$6,MATCH(INDEX($I$3:$L$6,MATCH(MOD('Map 2 Do Touch'!Y13,4),$H$3:$H$6,0),MATCH(MOD('Map 2 Do Touch'!Z13,4),$I$2:$L$2,0)),'Map 3'!$AJ$4:$AJ$6,0),MATCH(IF('Map 2 Do Touch'!Y13&gt;4,"Water","Land"),'Map 3'!$AK$3:$AL$3,0))),IF('Map 2 Do Touch'!Z13&gt;4,INDEX($AG$4:$AH$6,MATCH(INDEX($P$3:$S$6,MATCH(MOD('Map 2 Do Touch'!Z12,4),$O$3:$O$6,0),MATCH(MOD('Map 2 Do Touch'!Z13,4),$P$2:$S$2,0)),$AF$4:$AF$6,0),MATCH(IF('Map 2 Do Touch'!Z12&gt;4,"Water","Land"),'Map 3'!$AG$3:$AH$3,0)),INDEX($AK$4:$AL$6,MATCH(INDEX($P$3:$S$6,MATCH(MOD('Map 2 Do Touch'!Z12,4),$O$3:$O$6,0),MATCH(MOD('Map 2 Do Touch'!Z13,4),$P$2:$S$2,0)),'Map 3'!$AJ$4:$AJ$6,0),MATCH(IF('Map 2 Do Touch'!Z12&gt;4,"Water","Land"),'Map 3'!$AK$3:$AL$3,0))))</f>
        <v>Trench</v>
      </c>
      <c r="AA17" s="3" t="str">
        <f ca="1">IF('Map 2 Do Touch'!Z12&lt;&gt;'Map 2 Do Touch'!Z13,IF('Map 2 Do Touch'!AA13&gt;4,INDEX($AG$4:$AH$6,MATCH(INDEX($I$3:$L$6,MATCH(MOD('Map 2 Do Touch'!Z13,4),$H$3:$H$6,0),MATCH(MOD('Map 2 Do Touch'!AA13,4),$I$2:$L$2,0)),$AF$4:$AF$6,0),MATCH(IF('Map 2 Do Touch'!Z13&gt;4,"Water","Land"),'Map 3'!$AG$3:$AH$3,0)),INDEX($AK$4:$AL$6,MATCH(INDEX($I$3:$L$6,MATCH(MOD('Map 2 Do Touch'!Z13,4),$H$3:$H$6,0),MATCH(MOD('Map 2 Do Touch'!AA13,4),$I$2:$L$2,0)),'Map 3'!$AJ$4:$AJ$6,0),MATCH(IF('Map 2 Do Touch'!Z13&gt;4,"Water","Land"),'Map 3'!$AK$3:$AL$3,0))),IF('Map 2 Do Touch'!AA13&gt;4,INDEX($AG$4:$AH$6,MATCH(INDEX($P$3:$S$6,MATCH(MOD('Map 2 Do Touch'!AA12,4),$O$3:$O$6,0),MATCH(MOD('Map 2 Do Touch'!AA13,4),$P$2:$S$2,0)),$AF$4:$AF$6,0),MATCH(IF('Map 2 Do Touch'!AA12&gt;4,"Water","Land"),'Map 3'!$AG$3:$AH$3,0)),INDEX($AK$4:$AL$6,MATCH(INDEX($P$3:$S$6,MATCH(MOD('Map 2 Do Touch'!AA12,4),$O$3:$O$6,0),MATCH(MOD('Map 2 Do Touch'!AA13,4),$P$2:$S$2,0)),'Map 3'!$AJ$4:$AJ$6,0),MATCH(IF('Map 2 Do Touch'!AA12&gt;4,"Water","Land"),'Map 3'!$AK$3:$AL$3,0))))</f>
        <v>Ocean</v>
      </c>
      <c r="AB17" s="3" t="str">
        <f ca="1">IF('Map 2 Do Touch'!AA12&lt;&gt;'Map 2 Do Touch'!AA13,IF('Map 2 Do Touch'!AB13&gt;4,INDEX($AG$4:$AH$6,MATCH(INDEX($I$3:$L$6,MATCH(MOD('Map 2 Do Touch'!AA13,4),$H$3:$H$6,0),MATCH(MOD('Map 2 Do Touch'!AB13,4),$I$2:$L$2,0)),$AF$4:$AF$6,0),MATCH(IF('Map 2 Do Touch'!AA13&gt;4,"Water","Land"),'Map 3'!$AG$3:$AH$3,0)),INDEX($AK$4:$AL$6,MATCH(INDEX($I$3:$L$6,MATCH(MOD('Map 2 Do Touch'!AA13,4),$H$3:$H$6,0),MATCH(MOD('Map 2 Do Touch'!AB13,4),$I$2:$L$2,0)),'Map 3'!$AJ$4:$AJ$6,0),MATCH(IF('Map 2 Do Touch'!AA13&gt;4,"Water","Land"),'Map 3'!$AK$3:$AL$3,0))),IF('Map 2 Do Touch'!AB13&gt;4,INDEX($AG$4:$AH$6,MATCH(INDEX($P$3:$S$6,MATCH(MOD('Map 2 Do Touch'!AB12,4),$O$3:$O$6,0),MATCH(MOD('Map 2 Do Touch'!AB13,4),$P$2:$S$2,0)),$AF$4:$AF$6,0),MATCH(IF('Map 2 Do Touch'!AB12&gt;4,"Water","Land"),'Map 3'!$AG$3:$AH$3,0)),INDEX($AK$4:$AL$6,MATCH(INDEX($P$3:$S$6,MATCH(MOD('Map 2 Do Touch'!AB12,4),$O$3:$O$6,0),MATCH(MOD('Map 2 Do Touch'!AB13,4),$P$2:$S$2,0)),'Map 3'!$AJ$4:$AJ$6,0),MATCH(IF('Map 2 Do Touch'!AB12&gt;4,"Water","Land"),'Map 3'!$AK$3:$AL$3,0))))</f>
        <v>Island</v>
      </c>
      <c r="AC17" s="3" t="str">
        <f ca="1">IF('Map 2 Do Touch'!AB12&lt;&gt;'Map 2 Do Touch'!AB13,IF('Map 2 Do Touch'!AC13&gt;4,INDEX($AG$4:$AH$6,MATCH(INDEX($I$3:$L$6,MATCH(MOD('Map 2 Do Touch'!AB13,4),$H$3:$H$6,0),MATCH(MOD('Map 2 Do Touch'!AC13,4),$I$2:$L$2,0)),$AF$4:$AF$6,0),MATCH(IF('Map 2 Do Touch'!AB13&gt;4,"Water","Land"),'Map 3'!$AG$3:$AH$3,0)),INDEX($AK$4:$AL$6,MATCH(INDEX($I$3:$L$6,MATCH(MOD('Map 2 Do Touch'!AB13,4),$H$3:$H$6,0),MATCH(MOD('Map 2 Do Touch'!AC13,4),$I$2:$L$2,0)),'Map 3'!$AJ$4:$AJ$6,0),MATCH(IF('Map 2 Do Touch'!AB13&gt;4,"Water","Land"),'Map 3'!$AK$3:$AL$3,0))),IF('Map 2 Do Touch'!AC13&gt;4,INDEX($AG$4:$AH$6,MATCH(INDEX($P$3:$S$6,MATCH(MOD('Map 2 Do Touch'!AC12,4),$O$3:$O$6,0),MATCH(MOD('Map 2 Do Touch'!AC13,4),$P$2:$S$2,0)),$AF$4:$AF$6,0),MATCH(IF('Map 2 Do Touch'!AC12&gt;4,"Water","Land"),'Map 3'!$AG$3:$AH$3,0)),INDEX($AK$4:$AL$6,MATCH(INDEX($P$3:$S$6,MATCH(MOD('Map 2 Do Touch'!AC12,4),$O$3:$O$6,0),MATCH(MOD('Map 2 Do Touch'!AC13,4),$P$2:$S$2,0)),'Map 3'!$AJ$4:$AJ$6,0),MATCH(IF('Map 2 Do Touch'!AC12&gt;4,"Water","Land"),'Map 3'!$AK$3:$AL$3,0))))</f>
        <v>Ocean</v>
      </c>
      <c r="AD17" s="3" t="str">
        <f ca="1">IF('Map 2 Do Touch'!AC12&lt;&gt;'Map 2 Do Touch'!AC13,IF('Map 2 Do Touch'!AD13&gt;4,INDEX($AG$4:$AH$6,MATCH(INDEX($I$3:$L$6,MATCH(MOD('Map 2 Do Touch'!AC13,4),$H$3:$H$6,0),MATCH(MOD('Map 2 Do Touch'!AD13,4),$I$2:$L$2,0)),$AF$4:$AF$6,0),MATCH(IF('Map 2 Do Touch'!AC13&gt;4,"Water","Land"),'Map 3'!$AG$3:$AH$3,0)),INDEX($AK$4:$AL$6,MATCH(INDEX($I$3:$L$6,MATCH(MOD('Map 2 Do Touch'!AC13,4),$H$3:$H$6,0),MATCH(MOD('Map 2 Do Touch'!AD13,4),$I$2:$L$2,0)),'Map 3'!$AJ$4:$AJ$6,0),MATCH(IF('Map 2 Do Touch'!AC13&gt;4,"Water","Land"),'Map 3'!$AK$3:$AL$3,0))),IF('Map 2 Do Touch'!AD13&gt;4,INDEX($AG$4:$AH$6,MATCH(INDEX($P$3:$S$6,MATCH(MOD('Map 2 Do Touch'!AD12,4),$O$3:$O$6,0),MATCH(MOD('Map 2 Do Touch'!AD13,4),$P$2:$S$2,0)),$AF$4:$AF$6,0),MATCH(IF('Map 2 Do Touch'!AD12&gt;4,"Water","Land"),'Map 3'!$AG$3:$AH$3,0)),INDEX($AK$4:$AL$6,MATCH(INDEX($P$3:$S$6,MATCH(MOD('Map 2 Do Touch'!AD12,4),$O$3:$O$6,0),MATCH(MOD('Map 2 Do Touch'!AD13,4),$P$2:$S$2,0)),'Map 3'!$AJ$4:$AJ$6,0),MATCH(IF('Map 2 Do Touch'!AD12&gt;4,"Water","Land"),'Map 3'!$AK$3:$AL$3,0))))</f>
        <v>Ocean</v>
      </c>
      <c r="AE17" s="3" t="str">
        <f ca="1">IF('Map 2 Do Touch'!AD12&lt;&gt;'Map 2 Do Touch'!AD13,IF('Map 2 Do Touch'!AE13&gt;4,INDEX($AG$4:$AH$6,MATCH(INDEX($I$3:$L$6,MATCH(MOD('Map 2 Do Touch'!AD13,4),$H$3:$H$6,0),MATCH(MOD('Map 2 Do Touch'!AE13,4),$I$2:$L$2,0)),$AF$4:$AF$6,0),MATCH(IF('Map 2 Do Touch'!AD13&gt;4,"Water","Land"),'Map 3'!$AG$3:$AH$3,0)),INDEX($AK$4:$AL$6,MATCH(INDEX($I$3:$L$6,MATCH(MOD('Map 2 Do Touch'!AD13,4),$H$3:$H$6,0),MATCH(MOD('Map 2 Do Touch'!AE13,4),$I$2:$L$2,0)),'Map 3'!$AJ$4:$AJ$6,0),MATCH(IF('Map 2 Do Touch'!AD13&gt;4,"Water","Land"),'Map 3'!$AK$3:$AL$3,0))),IF('Map 2 Do Touch'!AE13&gt;4,INDEX($AG$4:$AH$6,MATCH(INDEX($P$3:$S$6,MATCH(MOD('Map 2 Do Touch'!AE12,4),$O$3:$O$6,0),MATCH(MOD('Map 2 Do Touch'!AE13,4),$P$2:$S$2,0)),$AF$4:$AF$6,0),MATCH(IF('Map 2 Do Touch'!AE12&gt;4,"Water","Land"),'Map 3'!$AG$3:$AH$3,0)),INDEX($AK$4:$AL$6,MATCH(INDEX($P$3:$S$6,MATCH(MOD('Map 2 Do Touch'!AE12,4),$O$3:$O$6,0),MATCH(MOD('Map 2 Do Touch'!AE13,4),$P$2:$S$2,0)),'Map 3'!$AJ$4:$AJ$6,0),MATCH(IF('Map 2 Do Touch'!AE12&gt;4,"Water","Land"),'Map 3'!$AK$3:$AL$3,0))))</f>
        <v>Coast</v>
      </c>
      <c r="AF17" s="3" t="str">
        <f ca="1">IF('Map 2 Do Touch'!AE12&lt;&gt;'Map 2 Do Touch'!AE13,IF('Map 2 Do Touch'!AF13&gt;4,INDEX($AG$4:$AH$6,MATCH(INDEX($I$3:$L$6,MATCH(MOD('Map 2 Do Touch'!AE13,4),$H$3:$H$6,0),MATCH(MOD('Map 2 Do Touch'!AF13,4),$I$2:$L$2,0)),$AF$4:$AF$6,0),MATCH(IF('Map 2 Do Touch'!AE13&gt;4,"Water","Land"),'Map 3'!$AG$3:$AH$3,0)),INDEX($AK$4:$AL$6,MATCH(INDEX($I$3:$L$6,MATCH(MOD('Map 2 Do Touch'!AE13,4),$H$3:$H$6,0),MATCH(MOD('Map 2 Do Touch'!AF13,4),$I$2:$L$2,0)),'Map 3'!$AJ$4:$AJ$6,0),MATCH(IF('Map 2 Do Touch'!AE13&gt;4,"Water","Land"),'Map 3'!$AK$3:$AL$3,0))),IF('Map 2 Do Touch'!AF13&gt;4,INDEX($AG$4:$AH$6,MATCH(INDEX($P$3:$S$6,MATCH(MOD('Map 2 Do Touch'!AF12,4),$O$3:$O$6,0),MATCH(MOD('Map 2 Do Touch'!AF13,4),$P$2:$S$2,0)),$AF$4:$AF$6,0),MATCH(IF('Map 2 Do Touch'!AF12&gt;4,"Water","Land"),'Map 3'!$AG$3:$AH$3,0)),INDEX($AK$4:$AL$6,MATCH(INDEX($P$3:$S$6,MATCH(MOD('Map 2 Do Touch'!AF12,4),$O$3:$O$6,0),MATCH(MOD('Map 2 Do Touch'!AF13,4),$P$2:$S$2,0)),'Map 3'!$AJ$4:$AJ$6,0),MATCH(IF('Map 2 Do Touch'!AF12&gt;4,"Water","Land"),'Map 3'!$AK$3:$AL$3,0))))</f>
        <v>Ocean</v>
      </c>
      <c r="AG17" s="3" t="str">
        <f ca="1">IF('Map 2 Do Touch'!AF12&lt;&gt;'Map 2 Do Touch'!AF13,IF('Map 2 Do Touch'!AG13&gt;4,INDEX($AG$4:$AH$6,MATCH(INDEX($I$3:$L$6,MATCH(MOD('Map 2 Do Touch'!AF13,4),$H$3:$H$6,0),MATCH(MOD('Map 2 Do Touch'!AG13,4),$I$2:$L$2,0)),$AF$4:$AF$6,0),MATCH(IF('Map 2 Do Touch'!AF13&gt;4,"Water","Land"),'Map 3'!$AG$3:$AH$3,0)),INDEX($AK$4:$AL$6,MATCH(INDEX($I$3:$L$6,MATCH(MOD('Map 2 Do Touch'!AF13,4),$H$3:$H$6,0),MATCH(MOD('Map 2 Do Touch'!AG13,4),$I$2:$L$2,0)),'Map 3'!$AJ$4:$AJ$6,0),MATCH(IF('Map 2 Do Touch'!AF13&gt;4,"Water","Land"),'Map 3'!$AK$3:$AL$3,0))),IF('Map 2 Do Touch'!AG13&gt;4,INDEX($AG$4:$AH$6,MATCH(INDEX($P$3:$S$6,MATCH(MOD('Map 2 Do Touch'!AG12,4),$O$3:$O$6,0),MATCH(MOD('Map 2 Do Touch'!AG13,4),$P$2:$S$2,0)),$AF$4:$AF$6,0),MATCH(IF('Map 2 Do Touch'!AG12&gt;4,"Water","Land"),'Map 3'!$AG$3:$AH$3,0)),INDEX($AK$4:$AL$6,MATCH(INDEX($P$3:$S$6,MATCH(MOD('Map 2 Do Touch'!AG12,4),$O$3:$O$6,0),MATCH(MOD('Map 2 Do Touch'!AG13,4),$P$2:$S$2,0)),'Map 3'!$AJ$4:$AJ$6,0),MATCH(IF('Map 2 Do Touch'!AG12&gt;4,"Water","Land"),'Map 3'!$AK$3:$AL$3,0))))</f>
        <v>Coast</v>
      </c>
      <c r="AH17" s="3" t="str">
        <f ca="1">IF('Map 2 Do Touch'!AG12&lt;&gt;'Map 2 Do Touch'!AG13,IF('Map 2 Do Touch'!AH13&gt;4,INDEX($AG$4:$AH$6,MATCH(INDEX($I$3:$L$6,MATCH(MOD('Map 2 Do Touch'!AG13,4),$H$3:$H$6,0),MATCH(MOD('Map 2 Do Touch'!AH13,4),$I$2:$L$2,0)),$AF$4:$AF$6,0),MATCH(IF('Map 2 Do Touch'!AG13&gt;4,"Water","Land"),'Map 3'!$AG$3:$AH$3,0)),INDEX($AK$4:$AL$6,MATCH(INDEX($I$3:$L$6,MATCH(MOD('Map 2 Do Touch'!AG13,4),$H$3:$H$6,0),MATCH(MOD('Map 2 Do Touch'!AH13,4),$I$2:$L$2,0)),'Map 3'!$AJ$4:$AJ$6,0),MATCH(IF('Map 2 Do Touch'!AG13&gt;4,"Water","Land"),'Map 3'!$AK$3:$AL$3,0))),IF('Map 2 Do Touch'!AH13&gt;4,INDEX($AG$4:$AH$6,MATCH(INDEX($P$3:$S$6,MATCH(MOD('Map 2 Do Touch'!AH12,4),$O$3:$O$6,0),MATCH(MOD('Map 2 Do Touch'!AH13,4),$P$2:$S$2,0)),$AF$4:$AF$6,0),MATCH(IF('Map 2 Do Touch'!AH12&gt;4,"Water","Land"),'Map 3'!$AG$3:$AH$3,0)),INDEX($AK$4:$AL$6,MATCH(INDEX($P$3:$S$6,MATCH(MOD('Map 2 Do Touch'!AH12,4),$O$3:$O$6,0),MATCH(MOD('Map 2 Do Touch'!AH13,4),$P$2:$S$2,0)),'Map 3'!$AJ$4:$AJ$6,0),MATCH(IF('Map 2 Do Touch'!AH12&gt;4,"Water","Land"),'Map 3'!$AK$3:$AL$3,0))))</f>
        <v>Island</v>
      </c>
      <c r="AI17" s="3" t="str">
        <f ca="1">IF('Map 2 Do Touch'!AH12&lt;&gt;'Map 2 Do Touch'!AH13,IF('Map 2 Do Touch'!AI13&gt;4,INDEX($AG$4:$AH$6,MATCH(INDEX($I$3:$L$6,MATCH(MOD('Map 2 Do Touch'!AH13,4),$H$3:$H$6,0),MATCH(MOD('Map 2 Do Touch'!AI13,4),$I$2:$L$2,0)),$AF$4:$AF$6,0),MATCH(IF('Map 2 Do Touch'!AH13&gt;4,"Water","Land"),'Map 3'!$AG$3:$AH$3,0)),INDEX($AK$4:$AL$6,MATCH(INDEX($I$3:$L$6,MATCH(MOD('Map 2 Do Touch'!AH13,4),$H$3:$H$6,0),MATCH(MOD('Map 2 Do Touch'!AI13,4),$I$2:$L$2,0)),'Map 3'!$AJ$4:$AJ$6,0),MATCH(IF('Map 2 Do Touch'!AH13&gt;4,"Water","Land"),'Map 3'!$AK$3:$AL$3,0))),IF('Map 2 Do Touch'!AI13&gt;4,INDEX($AG$4:$AH$6,MATCH(INDEX($P$3:$S$6,MATCH(MOD('Map 2 Do Touch'!AI12,4),$O$3:$O$6,0),MATCH(MOD('Map 2 Do Touch'!AI13,4),$P$2:$S$2,0)),$AF$4:$AF$6,0),MATCH(IF('Map 2 Do Touch'!AI12&gt;4,"Water","Land"),'Map 3'!$AG$3:$AH$3,0)),INDEX($AK$4:$AL$6,MATCH(INDEX($P$3:$S$6,MATCH(MOD('Map 2 Do Touch'!AI12,4),$O$3:$O$6,0),MATCH(MOD('Map 2 Do Touch'!AI13,4),$P$2:$S$2,0)),'Map 3'!$AJ$4:$AJ$6,0),MATCH(IF('Map 2 Do Touch'!AI12&gt;4,"Water","Land"),'Map 3'!$AK$3:$AL$3,0))))</f>
        <v>Ocean</v>
      </c>
      <c r="AJ17" s="3" t="str">
        <f ca="1">IF('Map 2 Do Touch'!AI12&lt;&gt;'Map 2 Do Touch'!AI13,IF('Map 2 Do Touch'!AJ13&gt;4,INDEX($AG$4:$AH$6,MATCH(INDEX($I$3:$L$6,MATCH(MOD('Map 2 Do Touch'!AI13,4),$H$3:$H$6,0),MATCH(MOD('Map 2 Do Touch'!AJ13,4),$I$2:$L$2,0)),$AF$4:$AF$6,0),MATCH(IF('Map 2 Do Touch'!AI13&gt;4,"Water","Land"),'Map 3'!$AG$3:$AH$3,0)),INDEX($AK$4:$AL$6,MATCH(INDEX($I$3:$L$6,MATCH(MOD('Map 2 Do Touch'!AI13,4),$H$3:$H$6,0),MATCH(MOD('Map 2 Do Touch'!AJ13,4),$I$2:$L$2,0)),'Map 3'!$AJ$4:$AJ$6,0),MATCH(IF('Map 2 Do Touch'!AI13&gt;4,"Water","Land"),'Map 3'!$AK$3:$AL$3,0))),IF('Map 2 Do Touch'!AJ13&gt;4,INDEX($AG$4:$AH$6,MATCH(INDEX($P$3:$S$6,MATCH(MOD('Map 2 Do Touch'!AJ12,4),$O$3:$O$6,0),MATCH(MOD('Map 2 Do Touch'!AJ13,4),$P$2:$S$2,0)),$AF$4:$AF$6,0),MATCH(IF('Map 2 Do Touch'!AJ12&gt;4,"Water","Land"),'Map 3'!$AG$3:$AH$3,0)),INDEX($AK$4:$AL$6,MATCH(INDEX($P$3:$S$6,MATCH(MOD('Map 2 Do Touch'!AJ12,4),$O$3:$O$6,0),MATCH(MOD('Map 2 Do Touch'!AJ13,4),$P$2:$S$2,0)),'Map 3'!$AJ$4:$AJ$6,0),MATCH(IF('Map 2 Do Touch'!AJ12&gt;4,"Water","Land"),'Map 3'!$AK$3:$AL$3,0))))</f>
        <v>Island</v>
      </c>
      <c r="AK17" s="3" t="str">
        <f ca="1">IF('Map 2 Do Touch'!AJ12&lt;&gt;'Map 2 Do Touch'!AJ13,IF('Map 2 Do Touch'!AK13&gt;4,INDEX($AG$4:$AH$6,MATCH(INDEX($I$3:$L$6,MATCH(MOD('Map 2 Do Touch'!AJ13,4),$H$3:$H$6,0),MATCH(MOD('Map 2 Do Touch'!AK13,4),$I$2:$L$2,0)),$AF$4:$AF$6,0),MATCH(IF('Map 2 Do Touch'!AJ13&gt;4,"Water","Land"),'Map 3'!$AG$3:$AH$3,0)),INDEX($AK$4:$AL$6,MATCH(INDEX($I$3:$L$6,MATCH(MOD('Map 2 Do Touch'!AJ13,4),$H$3:$H$6,0),MATCH(MOD('Map 2 Do Touch'!AK13,4),$I$2:$L$2,0)),'Map 3'!$AJ$4:$AJ$6,0),MATCH(IF('Map 2 Do Touch'!AJ13&gt;4,"Water","Land"),'Map 3'!$AK$3:$AL$3,0))),IF('Map 2 Do Touch'!AK13&gt;4,INDEX($AG$4:$AH$6,MATCH(INDEX($P$3:$S$6,MATCH(MOD('Map 2 Do Touch'!AK12,4),$O$3:$O$6,0),MATCH(MOD('Map 2 Do Touch'!AK13,4),$P$2:$S$2,0)),$AF$4:$AF$6,0),MATCH(IF('Map 2 Do Touch'!AK12&gt;4,"Water","Land"),'Map 3'!$AG$3:$AH$3,0)),INDEX($AK$4:$AL$6,MATCH(INDEX($P$3:$S$6,MATCH(MOD('Map 2 Do Touch'!AK12,4),$O$3:$O$6,0),MATCH(MOD('Map 2 Do Touch'!AK13,4),$P$2:$S$2,0)),'Map 3'!$AJ$4:$AJ$6,0),MATCH(IF('Map 2 Do Touch'!AK12&gt;4,"Water","Land"),'Map 3'!$AK$3:$AL$3,0))))</f>
        <v>Trench</v>
      </c>
      <c r="AL17" s="3" t="str">
        <f ca="1">IF('Map 2 Do Touch'!AK12&lt;&gt;'Map 2 Do Touch'!AK13,IF('Map 2 Do Touch'!AL13&gt;4,INDEX($AG$4:$AH$6,MATCH(INDEX($I$3:$L$6,MATCH(MOD('Map 2 Do Touch'!AK13,4),$H$3:$H$6,0),MATCH(MOD('Map 2 Do Touch'!AL13,4),$I$2:$L$2,0)),$AF$4:$AF$6,0),MATCH(IF('Map 2 Do Touch'!AK13&gt;4,"Water","Land"),'Map 3'!$AG$3:$AH$3,0)),INDEX($AK$4:$AL$6,MATCH(INDEX($I$3:$L$6,MATCH(MOD('Map 2 Do Touch'!AK13,4),$H$3:$H$6,0),MATCH(MOD('Map 2 Do Touch'!AL13,4),$I$2:$L$2,0)),'Map 3'!$AJ$4:$AJ$6,0),MATCH(IF('Map 2 Do Touch'!AK13&gt;4,"Water","Land"),'Map 3'!$AK$3:$AL$3,0))),IF('Map 2 Do Touch'!AL13&gt;4,INDEX($AG$4:$AH$6,MATCH(INDEX($P$3:$S$6,MATCH(MOD('Map 2 Do Touch'!AL12,4),$O$3:$O$6,0),MATCH(MOD('Map 2 Do Touch'!AL13,4),$P$2:$S$2,0)),$AF$4:$AF$6,0),MATCH(IF('Map 2 Do Touch'!AL12&gt;4,"Water","Land"),'Map 3'!$AG$3:$AH$3,0)),INDEX($AK$4:$AL$6,MATCH(INDEX($P$3:$S$6,MATCH(MOD('Map 2 Do Touch'!AL12,4),$O$3:$O$6,0),MATCH(MOD('Map 2 Do Touch'!AL13,4),$P$2:$S$2,0)),'Map 3'!$AJ$4:$AJ$6,0),MATCH(IF('Map 2 Do Touch'!AL12&gt;4,"Water","Land"),'Map 3'!$AK$3:$AL$3,0))))</f>
        <v>Coast</v>
      </c>
      <c r="AM17" s="3" t="str">
        <f ca="1">IF('Map 2 Do Touch'!AL12&lt;&gt;'Map 2 Do Touch'!AL13,IF('Map 2 Do Touch'!AM13&gt;4,INDEX($AG$4:$AH$6,MATCH(INDEX($I$3:$L$6,MATCH(MOD('Map 2 Do Touch'!AL13,4),$H$3:$H$6,0),MATCH(MOD('Map 2 Do Touch'!AM13,4),$I$2:$L$2,0)),$AF$4:$AF$6,0),MATCH(IF('Map 2 Do Touch'!AL13&gt;4,"Water","Land"),'Map 3'!$AG$3:$AH$3,0)),INDEX($AK$4:$AL$6,MATCH(INDEX($I$3:$L$6,MATCH(MOD('Map 2 Do Touch'!AL13,4),$H$3:$H$6,0),MATCH(MOD('Map 2 Do Touch'!AM13,4),$I$2:$L$2,0)),'Map 3'!$AJ$4:$AJ$6,0),MATCH(IF('Map 2 Do Touch'!AL13&gt;4,"Water","Land"),'Map 3'!$AK$3:$AL$3,0))),IF('Map 2 Do Touch'!AM13&gt;4,INDEX($AG$4:$AH$6,MATCH(INDEX($P$3:$S$6,MATCH(MOD('Map 2 Do Touch'!AM12,4),$O$3:$O$6,0),MATCH(MOD('Map 2 Do Touch'!AM13,4),$P$2:$S$2,0)),$AF$4:$AF$6,0),MATCH(IF('Map 2 Do Touch'!AM12&gt;4,"Water","Land"),'Map 3'!$AG$3:$AH$3,0)),INDEX($AK$4:$AL$6,MATCH(INDEX($P$3:$S$6,MATCH(MOD('Map 2 Do Touch'!AM12,4),$O$3:$O$6,0),MATCH(MOD('Map 2 Do Touch'!AM13,4),$P$2:$S$2,0)),'Map 3'!$AJ$4:$AJ$6,0),MATCH(IF('Map 2 Do Touch'!AM12&gt;4,"Water","Land"),'Map 3'!$AK$3:$AL$3,0))))</f>
        <v>Flatland</v>
      </c>
      <c r="AN17" s="3" t="str">
        <f ca="1">IF('Map 2 Do Touch'!AM12&lt;&gt;'Map 2 Do Touch'!AM13,IF('Map 2 Do Touch'!AN13&gt;4,INDEX($AG$4:$AH$6,MATCH(INDEX($I$3:$L$6,MATCH(MOD('Map 2 Do Touch'!AM13,4),$H$3:$H$6,0),MATCH(MOD('Map 2 Do Touch'!AN13,4),$I$2:$L$2,0)),$AF$4:$AF$6,0),MATCH(IF('Map 2 Do Touch'!AM13&gt;4,"Water","Land"),'Map 3'!$AG$3:$AH$3,0)),INDEX($AK$4:$AL$6,MATCH(INDEX($I$3:$L$6,MATCH(MOD('Map 2 Do Touch'!AM13,4),$H$3:$H$6,0),MATCH(MOD('Map 2 Do Touch'!AN13,4),$I$2:$L$2,0)),'Map 3'!$AJ$4:$AJ$6,0),MATCH(IF('Map 2 Do Touch'!AM13&gt;4,"Water","Land"),'Map 3'!$AK$3:$AL$3,0))),IF('Map 2 Do Touch'!AN13&gt;4,INDEX($AG$4:$AH$6,MATCH(INDEX($P$3:$S$6,MATCH(MOD('Map 2 Do Touch'!AN12,4),$O$3:$O$6,0),MATCH(MOD('Map 2 Do Touch'!AN13,4),$P$2:$S$2,0)),$AF$4:$AF$6,0),MATCH(IF('Map 2 Do Touch'!AN12&gt;4,"Water","Land"),'Map 3'!$AG$3:$AH$3,0)),INDEX($AK$4:$AL$6,MATCH(INDEX($P$3:$S$6,MATCH(MOD('Map 2 Do Touch'!AN12,4),$O$3:$O$6,0),MATCH(MOD('Map 2 Do Touch'!AN13,4),$P$2:$S$2,0)),'Map 3'!$AJ$4:$AJ$6,0),MATCH(IF('Map 2 Do Touch'!AN12&gt;4,"Water","Land"),'Map 3'!$AK$3:$AL$3,0))))</f>
        <v>Mountain</v>
      </c>
      <c r="AO17" s="87" t="str">
        <f ca="1">IF('Map 2 Do Touch'!AN12&lt;&gt;'Map 2 Do Touch'!AN13,IF('Map 2 Do Touch'!AO13&gt;4,INDEX($AG$4:$AH$6,MATCH(INDEX($I$3:$L$6,MATCH(MOD('Map 2 Do Touch'!AN13,4),$H$3:$H$6,0),MATCH(MOD('Map 2 Do Touch'!AO13,4),$I$2:$L$2,0)),$AF$4:$AF$6,0),MATCH(IF('Map 2 Do Touch'!AN13&gt;4,"Water","Land"),'Map 3'!$AG$3:$AH$3,0)),INDEX($AK$4:$AL$6,MATCH(INDEX($I$3:$L$6,MATCH(MOD('Map 2 Do Touch'!AN13,4),$H$3:$H$6,0),MATCH(MOD('Map 2 Do Touch'!AO13,4),$I$2:$L$2,0)),'Map 3'!$AJ$4:$AJ$6,0),MATCH(IF('Map 2 Do Touch'!AN13&gt;4,"Water","Land"),'Map 3'!$AK$3:$AL$3,0))),IF('Map 2 Do Touch'!AO13&gt;4,INDEX($AG$4:$AH$6,MATCH(INDEX($P$3:$S$6,MATCH(MOD('Map 2 Do Touch'!AO12,4),$O$3:$O$6,0),MATCH(MOD('Map 2 Do Touch'!AO13,4),$P$2:$S$2,0)),$AF$4:$AF$6,0),MATCH(IF('Map 2 Do Touch'!AO12&gt;4,"Water","Land"),'Map 3'!$AG$3:$AH$3,0)),INDEX($AK$4:$AL$6,MATCH(INDEX($P$3:$S$6,MATCH(MOD('Map 2 Do Touch'!AO12,4),$O$3:$O$6,0),MATCH(MOD('Map 2 Do Touch'!AO13,4),$P$2:$S$2,0)),'Map 3'!$AJ$4:$AJ$6,0),MATCH(IF('Map 2 Do Touch'!AO12&gt;4,"Water","Land"),'Map 3'!$AK$3:$AL$3,0))))</f>
        <v>Valley</v>
      </c>
      <c r="AP17" s="3"/>
    </row>
    <row r="18" spans="1:42" ht="37.5" customHeight="1">
      <c r="A18" s="3">
        <v>7</v>
      </c>
      <c r="B18" s="86" t="str">
        <f ca="1">IF('Map 2 Do Touch'!B13&lt;&gt;'Map 2 Do Touch'!B14,IF('Map 2 Do Touch'!B14&gt;4,INDEX($AG$4:$AH$6,MATCH(INDEX($I$3:$L$6,MATCH(MOD('Map 2 Do Touch'!AO14,4),$H$3:$H$6,0),MATCH(MOD('Map 2 Do Touch'!B14,4),$I$2:$L$2,0)),$AF$4:$AF$6,0),MATCH(IF('Map 2 Do Touch'!AO14&gt;4,"Water","Land"),'Map 3'!$AG$3:$AH$3,0)),INDEX($AK$4:$AL$6,MATCH(INDEX($I$3:$L$6,MATCH(MOD('Map 2 Do Touch'!A14,4),$H$3:$H$6,0),MATCH(MOD('Map 2 Do Touch'!B14,4),$I$2:$L$2,0)),'Map 3'!$AJ$4:$AJ$6,0),MATCH(IF('Map 2 Do Touch'!AO14&gt;4,"Water","Land"),'Map 3'!$AK$3:$AL$3,0))),IF('Map 2 Do Touch'!B14&gt;4,INDEX($AG$4:$AH$6,MATCH(INDEX($P$3:$S$6,MATCH(MOD('Map 2 Do Touch'!B13,4),$O$3:$O$6,0),MATCH(MOD('Map 2 Do Touch'!B14,4),$P$2:$S$2,0)),$AF$4:$AF$6,0),MATCH(IF('Map 2 Do Touch'!B13&gt;4,"Water","Land"),'Map 3'!$AG$3:$AH$3,0)),INDEX($AK$4:$AL$6,MATCH(INDEX($P$3:$S$6,MATCH(MOD('Map 2 Do Touch'!B13,4),$O$3:$O$6,0),MATCH(MOD('Map 2 Do Touch'!B14,4),$P$2:$S$2,0)),'Map 3'!$AJ$4:$AJ$6,0),MATCH(IF('Map 2 Do Touch'!B13&gt;4,"Water","Land"),'Map 3'!$AK$3:$AL$3,0))))</f>
        <v>Flatland</v>
      </c>
      <c r="C18" s="3" t="str">
        <f ca="1">IF('Map 2 Do Touch'!B13&lt;&gt;'Map 2 Do Touch'!B14,IF('Map 2 Do Touch'!C14&gt;4,INDEX($AG$4:$AH$6,MATCH(INDEX($I$3:$L$6,MATCH(MOD('Map 2 Do Touch'!B14,4),$H$3:$H$6,0),MATCH(MOD('Map 2 Do Touch'!C14,4),$I$2:$L$2,0)),$AF$4:$AF$6,0),MATCH(IF('Map 2 Do Touch'!B14&gt;4,"Water","Land"),'Map 3'!$AG$3:$AH$3,0)),INDEX($AK$4:$AL$6,MATCH(INDEX($I$3:$L$6,MATCH(MOD('Map 2 Do Touch'!B14,4),$H$3:$H$6,0),MATCH(MOD('Map 2 Do Touch'!C14,4),$I$2:$L$2,0)),'Map 3'!$AJ$4:$AJ$6,0),MATCH(IF('Map 2 Do Touch'!B14&gt;4,"Water","Land"),'Map 3'!$AK$3:$AL$3,0))),IF('Map 2 Do Touch'!C14&gt;4,INDEX($AG$4:$AH$6,MATCH(INDEX($P$3:$S$6,MATCH(MOD('Map 2 Do Touch'!C13,4),$O$3:$O$6,0),MATCH(MOD('Map 2 Do Touch'!C14,4),$P$2:$S$2,0)),$AF$4:$AF$6,0),MATCH(IF('Map 2 Do Touch'!C13&gt;4,"Water","Land"),'Map 3'!$AG$3:$AH$3,0)),INDEX($AK$4:$AL$6,MATCH(INDEX($P$3:$S$6,MATCH(MOD('Map 2 Do Touch'!C13,4),$O$3:$O$6,0),MATCH(MOD('Map 2 Do Touch'!C14,4),$P$2:$S$2,0)),'Map 3'!$AJ$4:$AJ$6,0),MATCH(IF('Map 2 Do Touch'!C13&gt;4,"Water","Land"),'Map 3'!$AK$3:$AL$3,0))))</f>
        <v>Island</v>
      </c>
      <c r="D18" s="3" t="str">
        <f ca="1">IF('Map 2 Do Touch'!C13&lt;&gt;'Map 2 Do Touch'!C14,IF('Map 2 Do Touch'!D14&gt;4,INDEX($AG$4:$AH$6,MATCH(INDEX($I$3:$L$6,MATCH(MOD('Map 2 Do Touch'!C14,4),$H$3:$H$6,0),MATCH(MOD('Map 2 Do Touch'!D14,4),$I$2:$L$2,0)),$AF$4:$AF$6,0),MATCH(IF('Map 2 Do Touch'!C14&gt;4,"Water","Land"),'Map 3'!$AG$3:$AH$3,0)),INDEX($AK$4:$AL$6,MATCH(INDEX($I$3:$L$6,MATCH(MOD('Map 2 Do Touch'!C14,4),$H$3:$H$6,0),MATCH(MOD('Map 2 Do Touch'!D14,4),$I$2:$L$2,0)),'Map 3'!$AJ$4:$AJ$6,0),MATCH(IF('Map 2 Do Touch'!C14&gt;4,"Water","Land"),'Map 3'!$AK$3:$AL$3,0))),IF('Map 2 Do Touch'!D14&gt;4,INDEX($AG$4:$AH$6,MATCH(INDEX($P$3:$S$6,MATCH(MOD('Map 2 Do Touch'!D13,4),$O$3:$O$6,0),MATCH(MOD('Map 2 Do Touch'!D14,4),$P$2:$S$2,0)),$AF$4:$AF$6,0),MATCH(IF('Map 2 Do Touch'!D13&gt;4,"Water","Land"),'Map 3'!$AG$3:$AH$3,0)),INDEX($AK$4:$AL$6,MATCH(INDEX($P$3:$S$6,MATCH(MOD('Map 2 Do Touch'!D13,4),$O$3:$O$6,0),MATCH(MOD('Map 2 Do Touch'!D14,4),$P$2:$S$2,0)),'Map 3'!$AJ$4:$AJ$6,0),MATCH(IF('Map 2 Do Touch'!D13&gt;4,"Water","Land"),'Map 3'!$AK$3:$AL$3,0))))</f>
        <v>Ocean</v>
      </c>
      <c r="E18" s="3" t="str">
        <f ca="1">IF('Map 2 Do Touch'!D13&lt;&gt;'Map 2 Do Touch'!D14,IF('Map 2 Do Touch'!E14&gt;4,INDEX($AG$4:$AH$6,MATCH(INDEX($I$3:$L$6,MATCH(MOD('Map 2 Do Touch'!D14,4),$H$3:$H$6,0),MATCH(MOD('Map 2 Do Touch'!E14,4),$I$2:$L$2,0)),$AF$4:$AF$6,0),MATCH(IF('Map 2 Do Touch'!D14&gt;4,"Water","Land"),'Map 3'!$AG$3:$AH$3,0)),INDEX($AK$4:$AL$6,MATCH(INDEX($I$3:$L$6,MATCH(MOD('Map 2 Do Touch'!D14,4),$H$3:$H$6,0),MATCH(MOD('Map 2 Do Touch'!E14,4),$I$2:$L$2,0)),'Map 3'!$AJ$4:$AJ$6,0),MATCH(IF('Map 2 Do Touch'!D14&gt;4,"Water","Land"),'Map 3'!$AK$3:$AL$3,0))),IF('Map 2 Do Touch'!E14&gt;4,INDEX($AG$4:$AH$6,MATCH(INDEX($P$3:$S$6,MATCH(MOD('Map 2 Do Touch'!E13,4),$O$3:$O$6,0),MATCH(MOD('Map 2 Do Touch'!E14,4),$P$2:$S$2,0)),$AF$4:$AF$6,0),MATCH(IF('Map 2 Do Touch'!E13&gt;4,"Water","Land"),'Map 3'!$AG$3:$AH$3,0)),INDEX($AK$4:$AL$6,MATCH(INDEX($P$3:$S$6,MATCH(MOD('Map 2 Do Touch'!E13,4),$O$3:$O$6,0),MATCH(MOD('Map 2 Do Touch'!E14,4),$P$2:$S$2,0)),'Map 3'!$AJ$4:$AJ$6,0),MATCH(IF('Map 2 Do Touch'!E13&gt;4,"Water","Land"),'Map 3'!$AK$3:$AL$3,0))))</f>
        <v>Ocean</v>
      </c>
      <c r="F18" s="3" t="str">
        <f ca="1">IF('Map 2 Do Touch'!E13&lt;&gt;'Map 2 Do Touch'!E14,IF('Map 2 Do Touch'!F14&gt;4,INDEX($AG$4:$AH$6,MATCH(INDEX($I$3:$L$6,MATCH(MOD('Map 2 Do Touch'!E14,4),$H$3:$H$6,0),MATCH(MOD('Map 2 Do Touch'!F14,4),$I$2:$L$2,0)),$AF$4:$AF$6,0),MATCH(IF('Map 2 Do Touch'!E14&gt;4,"Water","Land"),'Map 3'!$AG$3:$AH$3,0)),INDEX($AK$4:$AL$6,MATCH(INDEX($I$3:$L$6,MATCH(MOD('Map 2 Do Touch'!E14,4),$H$3:$H$6,0),MATCH(MOD('Map 2 Do Touch'!F14,4),$I$2:$L$2,0)),'Map 3'!$AJ$4:$AJ$6,0),MATCH(IF('Map 2 Do Touch'!E14&gt;4,"Water","Land"),'Map 3'!$AK$3:$AL$3,0))),IF('Map 2 Do Touch'!F14&gt;4,INDEX($AG$4:$AH$6,MATCH(INDEX($P$3:$S$6,MATCH(MOD('Map 2 Do Touch'!F13,4),$O$3:$O$6,0),MATCH(MOD('Map 2 Do Touch'!F14,4),$P$2:$S$2,0)),$AF$4:$AF$6,0),MATCH(IF('Map 2 Do Touch'!F13&gt;4,"Water","Land"),'Map 3'!$AG$3:$AH$3,0)),INDEX($AK$4:$AL$6,MATCH(INDEX($P$3:$S$6,MATCH(MOD('Map 2 Do Touch'!F13,4),$O$3:$O$6,0),MATCH(MOD('Map 2 Do Touch'!F14,4),$P$2:$S$2,0)),'Map 3'!$AJ$4:$AJ$6,0),MATCH(IF('Map 2 Do Touch'!F13&gt;4,"Water","Land"),'Map 3'!$AK$3:$AL$3,0))))</f>
        <v>Trench</v>
      </c>
      <c r="G18" s="3" t="str">
        <f ca="1">IF('Map 2 Do Touch'!F13&lt;&gt;'Map 2 Do Touch'!F14,IF('Map 2 Do Touch'!G14&gt;4,INDEX($AG$4:$AH$6,MATCH(INDEX($I$3:$L$6,MATCH(MOD('Map 2 Do Touch'!F14,4),$H$3:$H$6,0),MATCH(MOD('Map 2 Do Touch'!G14,4),$I$2:$L$2,0)),$AF$4:$AF$6,0),MATCH(IF('Map 2 Do Touch'!F14&gt;4,"Water","Land"),'Map 3'!$AG$3:$AH$3,0)),INDEX($AK$4:$AL$6,MATCH(INDEX($I$3:$L$6,MATCH(MOD('Map 2 Do Touch'!F14,4),$H$3:$H$6,0),MATCH(MOD('Map 2 Do Touch'!G14,4),$I$2:$L$2,0)),'Map 3'!$AJ$4:$AJ$6,0),MATCH(IF('Map 2 Do Touch'!F14&gt;4,"Water","Land"),'Map 3'!$AK$3:$AL$3,0))),IF('Map 2 Do Touch'!G14&gt;4,INDEX($AG$4:$AH$6,MATCH(INDEX($P$3:$S$6,MATCH(MOD('Map 2 Do Touch'!G13,4),$O$3:$O$6,0),MATCH(MOD('Map 2 Do Touch'!G14,4),$P$2:$S$2,0)),$AF$4:$AF$6,0),MATCH(IF('Map 2 Do Touch'!G13&gt;4,"Water","Land"),'Map 3'!$AG$3:$AH$3,0)),INDEX($AK$4:$AL$6,MATCH(INDEX($P$3:$S$6,MATCH(MOD('Map 2 Do Touch'!G13,4),$O$3:$O$6,0),MATCH(MOD('Map 2 Do Touch'!G14,4),$P$2:$S$2,0)),'Map 3'!$AJ$4:$AJ$6,0),MATCH(IF('Map 2 Do Touch'!G13&gt;4,"Water","Land"),'Map 3'!$AK$3:$AL$3,0))))</f>
        <v>Ocean</v>
      </c>
      <c r="H18" s="3" t="str">
        <f ca="1">IF('Map 2 Do Touch'!G13&lt;&gt;'Map 2 Do Touch'!G14,IF('Map 2 Do Touch'!H14&gt;4,INDEX($AG$4:$AH$6,MATCH(INDEX($I$3:$L$6,MATCH(MOD('Map 2 Do Touch'!G14,4),$H$3:$H$6,0),MATCH(MOD('Map 2 Do Touch'!H14,4),$I$2:$L$2,0)),$AF$4:$AF$6,0),MATCH(IF('Map 2 Do Touch'!G14&gt;4,"Water","Land"),'Map 3'!$AG$3:$AH$3,0)),INDEX($AK$4:$AL$6,MATCH(INDEX($I$3:$L$6,MATCH(MOD('Map 2 Do Touch'!G14,4),$H$3:$H$6,0),MATCH(MOD('Map 2 Do Touch'!H14,4),$I$2:$L$2,0)),'Map 3'!$AJ$4:$AJ$6,0),MATCH(IF('Map 2 Do Touch'!G14&gt;4,"Water","Land"),'Map 3'!$AK$3:$AL$3,0))),IF('Map 2 Do Touch'!H14&gt;4,INDEX($AG$4:$AH$6,MATCH(INDEX($P$3:$S$6,MATCH(MOD('Map 2 Do Touch'!H13,4),$O$3:$O$6,0),MATCH(MOD('Map 2 Do Touch'!H14,4),$P$2:$S$2,0)),$AF$4:$AF$6,0),MATCH(IF('Map 2 Do Touch'!H13&gt;4,"Water","Land"),'Map 3'!$AG$3:$AH$3,0)),INDEX($AK$4:$AL$6,MATCH(INDEX($P$3:$S$6,MATCH(MOD('Map 2 Do Touch'!H13,4),$O$3:$O$6,0),MATCH(MOD('Map 2 Do Touch'!H14,4),$P$2:$S$2,0)),'Map 3'!$AJ$4:$AJ$6,0),MATCH(IF('Map 2 Do Touch'!H13&gt;4,"Water","Land"),'Map 3'!$AK$3:$AL$3,0))))</f>
        <v>Ocean</v>
      </c>
      <c r="I18" s="3" t="str">
        <f ca="1">IF('Map 2 Do Touch'!H13&lt;&gt;'Map 2 Do Touch'!H14,IF('Map 2 Do Touch'!I14&gt;4,INDEX($AG$4:$AH$6,MATCH(INDEX($I$3:$L$6,MATCH(MOD('Map 2 Do Touch'!H14,4),$H$3:$H$6,0),MATCH(MOD('Map 2 Do Touch'!I14,4),$I$2:$L$2,0)),$AF$4:$AF$6,0),MATCH(IF('Map 2 Do Touch'!H14&gt;4,"Water","Land"),'Map 3'!$AG$3:$AH$3,0)),INDEX($AK$4:$AL$6,MATCH(INDEX($I$3:$L$6,MATCH(MOD('Map 2 Do Touch'!H14,4),$H$3:$H$6,0),MATCH(MOD('Map 2 Do Touch'!I14,4),$I$2:$L$2,0)),'Map 3'!$AJ$4:$AJ$6,0),MATCH(IF('Map 2 Do Touch'!H14&gt;4,"Water","Land"),'Map 3'!$AK$3:$AL$3,0))),IF('Map 2 Do Touch'!I14&gt;4,INDEX($AG$4:$AH$6,MATCH(INDEX($P$3:$S$6,MATCH(MOD('Map 2 Do Touch'!I13,4),$O$3:$O$6,0),MATCH(MOD('Map 2 Do Touch'!I14,4),$P$2:$S$2,0)),$AF$4:$AF$6,0),MATCH(IF('Map 2 Do Touch'!I13&gt;4,"Water","Land"),'Map 3'!$AG$3:$AH$3,0)),INDEX($AK$4:$AL$6,MATCH(INDEX($P$3:$S$6,MATCH(MOD('Map 2 Do Touch'!I13,4),$O$3:$O$6,0),MATCH(MOD('Map 2 Do Touch'!I14,4),$P$2:$S$2,0)),'Map 3'!$AJ$4:$AJ$6,0),MATCH(IF('Map 2 Do Touch'!I13&gt;4,"Water","Land"),'Map 3'!$AK$3:$AL$3,0))))</f>
        <v>Ocean</v>
      </c>
      <c r="J18" s="3" t="str">
        <f ca="1">IF('Map 2 Do Touch'!I13&lt;&gt;'Map 2 Do Touch'!I14,IF('Map 2 Do Touch'!J14&gt;4,INDEX($AG$4:$AH$6,MATCH(INDEX($I$3:$L$6,MATCH(MOD('Map 2 Do Touch'!I14,4),$H$3:$H$6,0),MATCH(MOD('Map 2 Do Touch'!J14,4),$I$2:$L$2,0)),$AF$4:$AF$6,0),MATCH(IF('Map 2 Do Touch'!I14&gt;4,"Water","Land"),'Map 3'!$AG$3:$AH$3,0)),INDEX($AK$4:$AL$6,MATCH(INDEX($I$3:$L$6,MATCH(MOD('Map 2 Do Touch'!I14,4),$H$3:$H$6,0),MATCH(MOD('Map 2 Do Touch'!J14,4),$I$2:$L$2,0)),'Map 3'!$AJ$4:$AJ$6,0),MATCH(IF('Map 2 Do Touch'!I14&gt;4,"Water","Land"),'Map 3'!$AK$3:$AL$3,0))),IF('Map 2 Do Touch'!J14&gt;4,INDEX($AG$4:$AH$6,MATCH(INDEX($P$3:$S$6,MATCH(MOD('Map 2 Do Touch'!J13,4),$O$3:$O$6,0),MATCH(MOD('Map 2 Do Touch'!J14,4),$P$2:$S$2,0)),$AF$4:$AF$6,0),MATCH(IF('Map 2 Do Touch'!J13&gt;4,"Water","Land"),'Map 3'!$AG$3:$AH$3,0)),INDEX($AK$4:$AL$6,MATCH(INDEX($P$3:$S$6,MATCH(MOD('Map 2 Do Touch'!J13,4),$O$3:$O$6,0),MATCH(MOD('Map 2 Do Touch'!J14,4),$P$2:$S$2,0)),'Map 3'!$AJ$4:$AJ$6,0),MATCH(IF('Map 2 Do Touch'!J13&gt;4,"Water","Land"),'Map 3'!$AK$3:$AL$3,0))))</f>
        <v>Ocean</v>
      </c>
      <c r="K18" s="3" t="str">
        <f ca="1">IF('Map 2 Do Touch'!J13&lt;&gt;'Map 2 Do Touch'!J14,IF('Map 2 Do Touch'!K14&gt;4,INDEX($AG$4:$AH$6,MATCH(INDEX($I$3:$L$6,MATCH(MOD('Map 2 Do Touch'!J14,4),$H$3:$H$6,0),MATCH(MOD('Map 2 Do Touch'!K14,4),$I$2:$L$2,0)),$AF$4:$AF$6,0),MATCH(IF('Map 2 Do Touch'!J14&gt;4,"Water","Land"),'Map 3'!$AG$3:$AH$3,0)),INDEX($AK$4:$AL$6,MATCH(INDEX($I$3:$L$6,MATCH(MOD('Map 2 Do Touch'!J14,4),$H$3:$H$6,0),MATCH(MOD('Map 2 Do Touch'!K14,4),$I$2:$L$2,0)),'Map 3'!$AJ$4:$AJ$6,0),MATCH(IF('Map 2 Do Touch'!J14&gt;4,"Water","Land"),'Map 3'!$AK$3:$AL$3,0))),IF('Map 2 Do Touch'!K14&gt;4,INDEX($AG$4:$AH$6,MATCH(INDEX($P$3:$S$6,MATCH(MOD('Map 2 Do Touch'!K13,4),$O$3:$O$6,0),MATCH(MOD('Map 2 Do Touch'!K14,4),$P$2:$S$2,0)),$AF$4:$AF$6,0),MATCH(IF('Map 2 Do Touch'!K13&gt;4,"Water","Land"),'Map 3'!$AG$3:$AH$3,0)),INDEX($AK$4:$AL$6,MATCH(INDEX($P$3:$S$6,MATCH(MOD('Map 2 Do Touch'!K13,4),$O$3:$O$6,0),MATCH(MOD('Map 2 Do Touch'!K14,4),$P$2:$S$2,0)),'Map 3'!$AJ$4:$AJ$6,0),MATCH(IF('Map 2 Do Touch'!K13&gt;4,"Water","Land"),'Map 3'!$AK$3:$AL$3,0))))</f>
        <v>Trench</v>
      </c>
      <c r="L18" s="3" t="str">
        <f ca="1">IF('Map 2 Do Touch'!K13&lt;&gt;'Map 2 Do Touch'!K14,IF('Map 2 Do Touch'!L14&gt;4,INDEX($AG$4:$AH$6,MATCH(INDEX($I$3:$L$6,MATCH(MOD('Map 2 Do Touch'!K14,4),$H$3:$H$6,0),MATCH(MOD('Map 2 Do Touch'!L14,4),$I$2:$L$2,0)),$AF$4:$AF$6,0),MATCH(IF('Map 2 Do Touch'!K14&gt;4,"Water","Land"),'Map 3'!$AG$3:$AH$3,0)),INDEX($AK$4:$AL$6,MATCH(INDEX($I$3:$L$6,MATCH(MOD('Map 2 Do Touch'!K14,4),$H$3:$H$6,0),MATCH(MOD('Map 2 Do Touch'!L14,4),$I$2:$L$2,0)),'Map 3'!$AJ$4:$AJ$6,0),MATCH(IF('Map 2 Do Touch'!K14&gt;4,"Water","Land"),'Map 3'!$AK$3:$AL$3,0))),IF('Map 2 Do Touch'!L14&gt;4,INDEX($AG$4:$AH$6,MATCH(INDEX($P$3:$S$6,MATCH(MOD('Map 2 Do Touch'!L13,4),$O$3:$O$6,0),MATCH(MOD('Map 2 Do Touch'!L14,4),$P$2:$S$2,0)),$AF$4:$AF$6,0),MATCH(IF('Map 2 Do Touch'!L13&gt;4,"Water","Land"),'Map 3'!$AG$3:$AH$3,0)),INDEX($AK$4:$AL$6,MATCH(INDEX($P$3:$S$6,MATCH(MOD('Map 2 Do Touch'!L13,4),$O$3:$O$6,0),MATCH(MOD('Map 2 Do Touch'!L14,4),$P$2:$S$2,0)),'Map 3'!$AJ$4:$AJ$6,0),MATCH(IF('Map 2 Do Touch'!L13&gt;4,"Water","Land"),'Map 3'!$AK$3:$AL$3,0))))</f>
        <v>Trench</v>
      </c>
      <c r="M18" s="3" t="str">
        <f ca="1">IF('Map 2 Do Touch'!L13&lt;&gt;'Map 2 Do Touch'!L14,IF('Map 2 Do Touch'!M14&gt;4,INDEX($AG$4:$AH$6,MATCH(INDEX($I$3:$L$6,MATCH(MOD('Map 2 Do Touch'!L14,4),$H$3:$H$6,0),MATCH(MOD('Map 2 Do Touch'!M14,4),$I$2:$L$2,0)),$AF$4:$AF$6,0),MATCH(IF('Map 2 Do Touch'!L14&gt;4,"Water","Land"),'Map 3'!$AG$3:$AH$3,0)),INDEX($AK$4:$AL$6,MATCH(INDEX($I$3:$L$6,MATCH(MOD('Map 2 Do Touch'!L14,4),$H$3:$H$6,0),MATCH(MOD('Map 2 Do Touch'!M14,4),$I$2:$L$2,0)),'Map 3'!$AJ$4:$AJ$6,0),MATCH(IF('Map 2 Do Touch'!L14&gt;4,"Water","Land"),'Map 3'!$AK$3:$AL$3,0))),IF('Map 2 Do Touch'!M14&gt;4,INDEX($AG$4:$AH$6,MATCH(INDEX($P$3:$S$6,MATCH(MOD('Map 2 Do Touch'!M13,4),$O$3:$O$6,0),MATCH(MOD('Map 2 Do Touch'!M14,4),$P$2:$S$2,0)),$AF$4:$AF$6,0),MATCH(IF('Map 2 Do Touch'!M13&gt;4,"Water","Land"),'Map 3'!$AG$3:$AH$3,0)),INDEX($AK$4:$AL$6,MATCH(INDEX($P$3:$S$6,MATCH(MOD('Map 2 Do Touch'!M13,4),$O$3:$O$6,0),MATCH(MOD('Map 2 Do Touch'!M14,4),$P$2:$S$2,0)),'Map 3'!$AJ$4:$AJ$6,0),MATCH(IF('Map 2 Do Touch'!M13&gt;4,"Water","Land"),'Map 3'!$AK$3:$AL$3,0))))</f>
        <v>Ocean</v>
      </c>
      <c r="N18" s="3" t="str">
        <f ca="1">IF('Map 2 Do Touch'!M13&lt;&gt;'Map 2 Do Touch'!M14,IF('Map 2 Do Touch'!N14&gt;4,INDEX($AG$4:$AH$6,MATCH(INDEX($I$3:$L$6,MATCH(MOD('Map 2 Do Touch'!M14,4),$H$3:$H$6,0),MATCH(MOD('Map 2 Do Touch'!N14,4),$I$2:$L$2,0)),$AF$4:$AF$6,0),MATCH(IF('Map 2 Do Touch'!M14&gt;4,"Water","Land"),'Map 3'!$AG$3:$AH$3,0)),INDEX($AK$4:$AL$6,MATCH(INDEX($I$3:$L$6,MATCH(MOD('Map 2 Do Touch'!M14,4),$H$3:$H$6,0),MATCH(MOD('Map 2 Do Touch'!N14,4),$I$2:$L$2,0)),'Map 3'!$AJ$4:$AJ$6,0),MATCH(IF('Map 2 Do Touch'!M14&gt;4,"Water","Land"),'Map 3'!$AK$3:$AL$3,0))),IF('Map 2 Do Touch'!N14&gt;4,INDEX($AG$4:$AH$6,MATCH(INDEX($P$3:$S$6,MATCH(MOD('Map 2 Do Touch'!N13,4),$O$3:$O$6,0),MATCH(MOD('Map 2 Do Touch'!N14,4),$P$2:$S$2,0)),$AF$4:$AF$6,0),MATCH(IF('Map 2 Do Touch'!N13&gt;4,"Water","Land"),'Map 3'!$AG$3:$AH$3,0)),INDEX($AK$4:$AL$6,MATCH(INDEX($P$3:$S$6,MATCH(MOD('Map 2 Do Touch'!N13,4),$O$3:$O$6,0),MATCH(MOD('Map 2 Do Touch'!N14,4),$P$2:$S$2,0)),'Map 3'!$AJ$4:$AJ$6,0),MATCH(IF('Map 2 Do Touch'!N13&gt;4,"Water","Land"),'Map 3'!$AK$3:$AL$3,0))))</f>
        <v>Island</v>
      </c>
      <c r="O18" s="3" t="str">
        <f ca="1">IF('Map 2 Do Touch'!N13&lt;&gt;'Map 2 Do Touch'!N14,IF('Map 2 Do Touch'!O14&gt;4,INDEX($AG$4:$AH$6,MATCH(INDEX($I$3:$L$6,MATCH(MOD('Map 2 Do Touch'!N14,4),$H$3:$H$6,0),MATCH(MOD('Map 2 Do Touch'!O14,4),$I$2:$L$2,0)),$AF$4:$AF$6,0),MATCH(IF('Map 2 Do Touch'!N14&gt;4,"Water","Land"),'Map 3'!$AG$3:$AH$3,0)),INDEX($AK$4:$AL$6,MATCH(INDEX($I$3:$L$6,MATCH(MOD('Map 2 Do Touch'!N14,4),$H$3:$H$6,0),MATCH(MOD('Map 2 Do Touch'!O14,4),$I$2:$L$2,0)),'Map 3'!$AJ$4:$AJ$6,0),MATCH(IF('Map 2 Do Touch'!N14&gt;4,"Water","Land"),'Map 3'!$AK$3:$AL$3,0))),IF('Map 2 Do Touch'!O14&gt;4,INDEX($AG$4:$AH$6,MATCH(INDEX($P$3:$S$6,MATCH(MOD('Map 2 Do Touch'!O13,4),$O$3:$O$6,0),MATCH(MOD('Map 2 Do Touch'!O14,4),$P$2:$S$2,0)),$AF$4:$AF$6,0),MATCH(IF('Map 2 Do Touch'!O13&gt;4,"Water","Land"),'Map 3'!$AG$3:$AH$3,0)),INDEX($AK$4:$AL$6,MATCH(INDEX($P$3:$S$6,MATCH(MOD('Map 2 Do Touch'!O13,4),$O$3:$O$6,0),MATCH(MOD('Map 2 Do Touch'!O14,4),$P$2:$S$2,0)),'Map 3'!$AJ$4:$AJ$6,0),MATCH(IF('Map 2 Do Touch'!O13&gt;4,"Water","Land"),'Map 3'!$AK$3:$AL$3,0))))</f>
        <v>Ocean</v>
      </c>
      <c r="P18" s="3" t="str">
        <f ca="1">IF('Map 2 Do Touch'!O13&lt;&gt;'Map 2 Do Touch'!O14,IF('Map 2 Do Touch'!P14&gt;4,INDEX($AG$4:$AH$6,MATCH(INDEX($I$3:$L$6,MATCH(MOD('Map 2 Do Touch'!O14,4),$H$3:$H$6,0),MATCH(MOD('Map 2 Do Touch'!P14,4),$I$2:$L$2,0)),$AF$4:$AF$6,0),MATCH(IF('Map 2 Do Touch'!O14&gt;4,"Water","Land"),'Map 3'!$AG$3:$AH$3,0)),INDEX($AK$4:$AL$6,MATCH(INDEX($I$3:$L$6,MATCH(MOD('Map 2 Do Touch'!O14,4),$H$3:$H$6,0),MATCH(MOD('Map 2 Do Touch'!P14,4),$I$2:$L$2,0)),'Map 3'!$AJ$4:$AJ$6,0),MATCH(IF('Map 2 Do Touch'!O14&gt;4,"Water","Land"),'Map 3'!$AK$3:$AL$3,0))),IF('Map 2 Do Touch'!P14&gt;4,INDEX($AG$4:$AH$6,MATCH(INDEX($P$3:$S$6,MATCH(MOD('Map 2 Do Touch'!P13,4),$O$3:$O$6,0),MATCH(MOD('Map 2 Do Touch'!P14,4),$P$2:$S$2,0)),$AF$4:$AF$6,0),MATCH(IF('Map 2 Do Touch'!P13&gt;4,"Water","Land"),'Map 3'!$AG$3:$AH$3,0)),INDEX($AK$4:$AL$6,MATCH(INDEX($P$3:$S$6,MATCH(MOD('Map 2 Do Touch'!P13,4),$O$3:$O$6,0),MATCH(MOD('Map 2 Do Touch'!P14,4),$P$2:$S$2,0)),'Map 3'!$AJ$4:$AJ$6,0),MATCH(IF('Map 2 Do Touch'!P13&gt;4,"Water","Land"),'Map 3'!$AK$3:$AL$3,0))))</f>
        <v>Ocean</v>
      </c>
      <c r="Q18" s="3" t="str">
        <f ca="1">IF('Map 2 Do Touch'!P13&lt;&gt;'Map 2 Do Touch'!P14,IF('Map 2 Do Touch'!Q14&gt;4,INDEX($AG$4:$AH$6,MATCH(INDEX($I$3:$L$6,MATCH(MOD('Map 2 Do Touch'!P14,4),$H$3:$H$6,0),MATCH(MOD('Map 2 Do Touch'!Q14,4),$I$2:$L$2,0)),$AF$4:$AF$6,0),MATCH(IF('Map 2 Do Touch'!P14&gt;4,"Water","Land"),'Map 3'!$AG$3:$AH$3,0)),INDEX($AK$4:$AL$6,MATCH(INDEX($I$3:$L$6,MATCH(MOD('Map 2 Do Touch'!P14,4),$H$3:$H$6,0),MATCH(MOD('Map 2 Do Touch'!Q14,4),$I$2:$L$2,0)),'Map 3'!$AJ$4:$AJ$6,0),MATCH(IF('Map 2 Do Touch'!P14&gt;4,"Water","Land"),'Map 3'!$AK$3:$AL$3,0))),IF('Map 2 Do Touch'!Q14&gt;4,INDEX($AG$4:$AH$6,MATCH(INDEX($P$3:$S$6,MATCH(MOD('Map 2 Do Touch'!Q13,4),$O$3:$O$6,0),MATCH(MOD('Map 2 Do Touch'!Q14,4),$P$2:$S$2,0)),$AF$4:$AF$6,0),MATCH(IF('Map 2 Do Touch'!Q13&gt;4,"Water","Land"),'Map 3'!$AG$3:$AH$3,0)),INDEX($AK$4:$AL$6,MATCH(INDEX($P$3:$S$6,MATCH(MOD('Map 2 Do Touch'!Q13,4),$O$3:$O$6,0),MATCH(MOD('Map 2 Do Touch'!Q14,4),$P$2:$S$2,0)),'Map 3'!$AJ$4:$AJ$6,0),MATCH(IF('Map 2 Do Touch'!Q13&gt;4,"Water","Land"),'Map 3'!$AK$3:$AL$3,0))))</f>
        <v>Ocean</v>
      </c>
      <c r="R18" s="3" t="str">
        <f ca="1">IF('Map 2 Do Touch'!Q13&lt;&gt;'Map 2 Do Touch'!Q14,IF('Map 2 Do Touch'!R14&gt;4,INDEX($AG$4:$AH$6,MATCH(INDEX($I$3:$L$6,MATCH(MOD('Map 2 Do Touch'!Q14,4),$H$3:$H$6,0),MATCH(MOD('Map 2 Do Touch'!R14,4),$I$2:$L$2,0)),$AF$4:$AF$6,0),MATCH(IF('Map 2 Do Touch'!Q14&gt;4,"Water","Land"),'Map 3'!$AG$3:$AH$3,0)),INDEX($AK$4:$AL$6,MATCH(INDEX($I$3:$L$6,MATCH(MOD('Map 2 Do Touch'!Q14,4),$H$3:$H$6,0),MATCH(MOD('Map 2 Do Touch'!R14,4),$I$2:$L$2,0)),'Map 3'!$AJ$4:$AJ$6,0),MATCH(IF('Map 2 Do Touch'!Q14&gt;4,"Water","Land"),'Map 3'!$AK$3:$AL$3,0))),IF('Map 2 Do Touch'!R14&gt;4,INDEX($AG$4:$AH$6,MATCH(INDEX($P$3:$S$6,MATCH(MOD('Map 2 Do Touch'!R13,4),$O$3:$O$6,0),MATCH(MOD('Map 2 Do Touch'!R14,4),$P$2:$S$2,0)),$AF$4:$AF$6,0),MATCH(IF('Map 2 Do Touch'!R13&gt;4,"Water","Land"),'Map 3'!$AG$3:$AH$3,0)),INDEX($AK$4:$AL$6,MATCH(INDEX($P$3:$S$6,MATCH(MOD('Map 2 Do Touch'!R13,4),$O$3:$O$6,0),MATCH(MOD('Map 2 Do Touch'!R14,4),$P$2:$S$2,0)),'Map 3'!$AJ$4:$AJ$6,0),MATCH(IF('Map 2 Do Touch'!R13&gt;4,"Water","Land"),'Map 3'!$AK$3:$AL$3,0))))</f>
        <v>Ocean</v>
      </c>
      <c r="S18" s="3" t="str">
        <f ca="1">IF('Map 2 Do Touch'!R13&lt;&gt;'Map 2 Do Touch'!R14,IF('Map 2 Do Touch'!S14&gt;4,INDEX($AG$4:$AH$6,MATCH(INDEX($I$3:$L$6,MATCH(MOD('Map 2 Do Touch'!R14,4),$H$3:$H$6,0),MATCH(MOD('Map 2 Do Touch'!S14,4),$I$2:$L$2,0)),$AF$4:$AF$6,0),MATCH(IF('Map 2 Do Touch'!R14&gt;4,"Water","Land"),'Map 3'!$AG$3:$AH$3,0)),INDEX($AK$4:$AL$6,MATCH(INDEX($I$3:$L$6,MATCH(MOD('Map 2 Do Touch'!R14,4),$H$3:$H$6,0),MATCH(MOD('Map 2 Do Touch'!S14,4),$I$2:$L$2,0)),'Map 3'!$AJ$4:$AJ$6,0),MATCH(IF('Map 2 Do Touch'!R14&gt;4,"Water","Land"),'Map 3'!$AK$3:$AL$3,0))),IF('Map 2 Do Touch'!S14&gt;4,INDEX($AG$4:$AH$6,MATCH(INDEX($P$3:$S$6,MATCH(MOD('Map 2 Do Touch'!S13,4),$O$3:$O$6,0),MATCH(MOD('Map 2 Do Touch'!S14,4),$P$2:$S$2,0)),$AF$4:$AF$6,0),MATCH(IF('Map 2 Do Touch'!S13&gt;4,"Water","Land"),'Map 3'!$AG$3:$AH$3,0)),INDEX($AK$4:$AL$6,MATCH(INDEX($P$3:$S$6,MATCH(MOD('Map 2 Do Touch'!S13,4),$O$3:$O$6,0),MATCH(MOD('Map 2 Do Touch'!S14,4),$P$2:$S$2,0)),'Map 3'!$AJ$4:$AJ$6,0),MATCH(IF('Map 2 Do Touch'!S13&gt;4,"Water","Land"),'Map 3'!$AK$3:$AL$3,0))))</f>
        <v>Ocean</v>
      </c>
      <c r="T18" s="3" t="str">
        <f ca="1">IF('Map 2 Do Touch'!S13&lt;&gt;'Map 2 Do Touch'!S14,IF('Map 2 Do Touch'!T14&gt;4,INDEX($AG$4:$AH$6,MATCH(INDEX($I$3:$L$6,MATCH(MOD('Map 2 Do Touch'!S14,4),$H$3:$H$6,0),MATCH(MOD('Map 2 Do Touch'!T14,4),$I$2:$L$2,0)),$AF$4:$AF$6,0),MATCH(IF('Map 2 Do Touch'!S14&gt;4,"Water","Land"),'Map 3'!$AG$3:$AH$3,0)),INDEX($AK$4:$AL$6,MATCH(INDEX($I$3:$L$6,MATCH(MOD('Map 2 Do Touch'!S14,4),$H$3:$H$6,0),MATCH(MOD('Map 2 Do Touch'!T14,4),$I$2:$L$2,0)),'Map 3'!$AJ$4:$AJ$6,0),MATCH(IF('Map 2 Do Touch'!S14&gt;4,"Water","Land"),'Map 3'!$AK$3:$AL$3,0))),IF('Map 2 Do Touch'!T14&gt;4,INDEX($AG$4:$AH$6,MATCH(INDEX($P$3:$S$6,MATCH(MOD('Map 2 Do Touch'!T13,4),$O$3:$O$6,0),MATCH(MOD('Map 2 Do Touch'!T14,4),$P$2:$S$2,0)),$AF$4:$AF$6,0),MATCH(IF('Map 2 Do Touch'!T13&gt;4,"Water","Land"),'Map 3'!$AG$3:$AH$3,0)),INDEX($AK$4:$AL$6,MATCH(INDEX($P$3:$S$6,MATCH(MOD('Map 2 Do Touch'!T13,4),$O$3:$O$6,0),MATCH(MOD('Map 2 Do Touch'!T14,4),$P$2:$S$2,0)),'Map 3'!$AJ$4:$AJ$6,0),MATCH(IF('Map 2 Do Touch'!T13&gt;4,"Water","Land"),'Map 3'!$AK$3:$AL$3,0))))</f>
        <v>Ocean</v>
      </c>
      <c r="U18" s="3" t="str">
        <f ca="1">IF('Map 2 Do Touch'!T13&lt;&gt;'Map 2 Do Touch'!T14,IF('Map 2 Do Touch'!U14&gt;4,INDEX($AG$4:$AH$6,MATCH(INDEX($I$3:$L$6,MATCH(MOD('Map 2 Do Touch'!T14,4),$H$3:$H$6,0),MATCH(MOD('Map 2 Do Touch'!U14,4),$I$2:$L$2,0)),$AF$4:$AF$6,0),MATCH(IF('Map 2 Do Touch'!T14&gt;4,"Water","Land"),'Map 3'!$AG$3:$AH$3,0)),INDEX($AK$4:$AL$6,MATCH(INDEX($I$3:$L$6,MATCH(MOD('Map 2 Do Touch'!T14,4),$H$3:$H$6,0),MATCH(MOD('Map 2 Do Touch'!U14,4),$I$2:$L$2,0)),'Map 3'!$AJ$4:$AJ$6,0),MATCH(IF('Map 2 Do Touch'!T14&gt;4,"Water","Land"),'Map 3'!$AK$3:$AL$3,0))),IF('Map 2 Do Touch'!U14&gt;4,INDEX($AG$4:$AH$6,MATCH(INDEX($P$3:$S$6,MATCH(MOD('Map 2 Do Touch'!U13,4),$O$3:$O$6,0),MATCH(MOD('Map 2 Do Touch'!U14,4),$P$2:$S$2,0)),$AF$4:$AF$6,0),MATCH(IF('Map 2 Do Touch'!U13&gt;4,"Water","Land"),'Map 3'!$AG$3:$AH$3,0)),INDEX($AK$4:$AL$6,MATCH(INDEX($P$3:$S$6,MATCH(MOD('Map 2 Do Touch'!U13,4),$O$3:$O$6,0),MATCH(MOD('Map 2 Do Touch'!U14,4),$P$2:$S$2,0)),'Map 3'!$AJ$4:$AJ$6,0),MATCH(IF('Map 2 Do Touch'!U13&gt;4,"Water","Land"),'Map 3'!$AK$3:$AL$3,0))))</f>
        <v>Ocean</v>
      </c>
      <c r="V18" s="3" t="str">
        <f ca="1">IF('Map 2 Do Touch'!U13&lt;&gt;'Map 2 Do Touch'!U14,IF('Map 2 Do Touch'!V14&gt;4,INDEX($AG$4:$AH$6,MATCH(INDEX($I$3:$L$6,MATCH(MOD('Map 2 Do Touch'!U14,4),$H$3:$H$6,0),MATCH(MOD('Map 2 Do Touch'!V14,4),$I$2:$L$2,0)),$AF$4:$AF$6,0),MATCH(IF('Map 2 Do Touch'!U14&gt;4,"Water","Land"),'Map 3'!$AG$3:$AH$3,0)),INDEX($AK$4:$AL$6,MATCH(INDEX($I$3:$L$6,MATCH(MOD('Map 2 Do Touch'!U14,4),$H$3:$H$6,0),MATCH(MOD('Map 2 Do Touch'!V14,4),$I$2:$L$2,0)),'Map 3'!$AJ$4:$AJ$6,0),MATCH(IF('Map 2 Do Touch'!U14&gt;4,"Water","Land"),'Map 3'!$AK$3:$AL$3,0))),IF('Map 2 Do Touch'!V14&gt;4,INDEX($AG$4:$AH$6,MATCH(INDEX($P$3:$S$6,MATCH(MOD('Map 2 Do Touch'!V13,4),$O$3:$O$6,0),MATCH(MOD('Map 2 Do Touch'!V14,4),$P$2:$S$2,0)),$AF$4:$AF$6,0),MATCH(IF('Map 2 Do Touch'!V13&gt;4,"Water","Land"),'Map 3'!$AG$3:$AH$3,0)),INDEX($AK$4:$AL$6,MATCH(INDEX($P$3:$S$6,MATCH(MOD('Map 2 Do Touch'!V13,4),$O$3:$O$6,0),MATCH(MOD('Map 2 Do Touch'!V14,4),$P$2:$S$2,0)),'Map 3'!$AJ$4:$AJ$6,0),MATCH(IF('Map 2 Do Touch'!V13&gt;4,"Water","Land"),'Map 3'!$AK$3:$AL$3,0))))</f>
        <v>Island</v>
      </c>
      <c r="W18" s="3" t="str">
        <f ca="1">IF('Map 2 Do Touch'!V13&lt;&gt;'Map 2 Do Touch'!V14,IF('Map 2 Do Touch'!W14&gt;4,INDEX($AG$4:$AH$6,MATCH(INDEX($I$3:$L$6,MATCH(MOD('Map 2 Do Touch'!V14,4),$H$3:$H$6,0),MATCH(MOD('Map 2 Do Touch'!W14,4),$I$2:$L$2,0)),$AF$4:$AF$6,0),MATCH(IF('Map 2 Do Touch'!V14&gt;4,"Water","Land"),'Map 3'!$AG$3:$AH$3,0)),INDEX($AK$4:$AL$6,MATCH(INDEX($I$3:$L$6,MATCH(MOD('Map 2 Do Touch'!V14,4),$H$3:$H$6,0),MATCH(MOD('Map 2 Do Touch'!W14,4),$I$2:$L$2,0)),'Map 3'!$AJ$4:$AJ$6,0),MATCH(IF('Map 2 Do Touch'!V14&gt;4,"Water","Land"),'Map 3'!$AK$3:$AL$3,0))),IF('Map 2 Do Touch'!W14&gt;4,INDEX($AG$4:$AH$6,MATCH(INDEX($P$3:$S$6,MATCH(MOD('Map 2 Do Touch'!W13,4),$O$3:$O$6,0),MATCH(MOD('Map 2 Do Touch'!W14,4),$P$2:$S$2,0)),$AF$4:$AF$6,0),MATCH(IF('Map 2 Do Touch'!W13&gt;4,"Water","Land"),'Map 3'!$AG$3:$AH$3,0)),INDEX($AK$4:$AL$6,MATCH(INDEX($P$3:$S$6,MATCH(MOD('Map 2 Do Touch'!W13,4),$O$3:$O$6,0),MATCH(MOD('Map 2 Do Touch'!W14,4),$P$2:$S$2,0)),'Map 3'!$AJ$4:$AJ$6,0),MATCH(IF('Map 2 Do Touch'!W13&gt;4,"Water","Land"),'Map 3'!$AK$3:$AL$3,0))))</f>
        <v>Ocean</v>
      </c>
      <c r="X18" s="3" t="str">
        <f ca="1">IF('Map 2 Do Touch'!W13&lt;&gt;'Map 2 Do Touch'!W14,IF('Map 2 Do Touch'!X14&gt;4,INDEX($AG$4:$AH$6,MATCH(INDEX($I$3:$L$6,MATCH(MOD('Map 2 Do Touch'!W14,4),$H$3:$H$6,0),MATCH(MOD('Map 2 Do Touch'!X14,4),$I$2:$L$2,0)),$AF$4:$AF$6,0),MATCH(IF('Map 2 Do Touch'!W14&gt;4,"Water","Land"),'Map 3'!$AG$3:$AH$3,0)),INDEX($AK$4:$AL$6,MATCH(INDEX($I$3:$L$6,MATCH(MOD('Map 2 Do Touch'!W14,4),$H$3:$H$6,0),MATCH(MOD('Map 2 Do Touch'!X14,4),$I$2:$L$2,0)),'Map 3'!$AJ$4:$AJ$6,0),MATCH(IF('Map 2 Do Touch'!W14&gt;4,"Water","Land"),'Map 3'!$AK$3:$AL$3,0))),IF('Map 2 Do Touch'!X14&gt;4,INDEX($AG$4:$AH$6,MATCH(INDEX($P$3:$S$6,MATCH(MOD('Map 2 Do Touch'!X13,4),$O$3:$O$6,0),MATCH(MOD('Map 2 Do Touch'!X14,4),$P$2:$S$2,0)),$AF$4:$AF$6,0),MATCH(IF('Map 2 Do Touch'!X13&gt;4,"Water","Land"),'Map 3'!$AG$3:$AH$3,0)),INDEX($AK$4:$AL$6,MATCH(INDEX($P$3:$S$6,MATCH(MOD('Map 2 Do Touch'!X13,4),$O$3:$O$6,0),MATCH(MOD('Map 2 Do Touch'!X14,4),$P$2:$S$2,0)),'Map 3'!$AJ$4:$AJ$6,0),MATCH(IF('Map 2 Do Touch'!X13&gt;4,"Water","Land"),'Map 3'!$AK$3:$AL$3,0))))</f>
        <v>Island</v>
      </c>
      <c r="Y18" s="3" t="str">
        <f ca="1">IF('Map 2 Do Touch'!X13&lt;&gt;'Map 2 Do Touch'!X14,IF('Map 2 Do Touch'!Y14&gt;4,INDEX($AG$4:$AH$6,MATCH(INDEX($I$3:$L$6,MATCH(MOD('Map 2 Do Touch'!X14,4),$H$3:$H$6,0),MATCH(MOD('Map 2 Do Touch'!Y14,4),$I$2:$L$2,0)),$AF$4:$AF$6,0),MATCH(IF('Map 2 Do Touch'!X14&gt;4,"Water","Land"),'Map 3'!$AG$3:$AH$3,0)),INDEX($AK$4:$AL$6,MATCH(INDEX($I$3:$L$6,MATCH(MOD('Map 2 Do Touch'!X14,4),$H$3:$H$6,0),MATCH(MOD('Map 2 Do Touch'!Y14,4),$I$2:$L$2,0)),'Map 3'!$AJ$4:$AJ$6,0),MATCH(IF('Map 2 Do Touch'!X14&gt;4,"Water","Land"),'Map 3'!$AK$3:$AL$3,0))),IF('Map 2 Do Touch'!Y14&gt;4,INDEX($AG$4:$AH$6,MATCH(INDEX($P$3:$S$6,MATCH(MOD('Map 2 Do Touch'!Y13,4),$O$3:$O$6,0),MATCH(MOD('Map 2 Do Touch'!Y14,4),$P$2:$S$2,0)),$AF$4:$AF$6,0),MATCH(IF('Map 2 Do Touch'!Y13&gt;4,"Water","Land"),'Map 3'!$AG$3:$AH$3,0)),INDEX($AK$4:$AL$6,MATCH(INDEX($P$3:$S$6,MATCH(MOD('Map 2 Do Touch'!Y13,4),$O$3:$O$6,0),MATCH(MOD('Map 2 Do Touch'!Y14,4),$P$2:$S$2,0)),'Map 3'!$AJ$4:$AJ$6,0),MATCH(IF('Map 2 Do Touch'!Y13&gt;4,"Water","Land"),'Map 3'!$AK$3:$AL$3,0))))</f>
        <v>Ocean</v>
      </c>
      <c r="Z18" s="3" t="str">
        <f ca="1">IF('Map 2 Do Touch'!Y13&lt;&gt;'Map 2 Do Touch'!Y14,IF('Map 2 Do Touch'!Z14&gt;4,INDEX($AG$4:$AH$6,MATCH(INDEX($I$3:$L$6,MATCH(MOD('Map 2 Do Touch'!Y14,4),$H$3:$H$6,0),MATCH(MOD('Map 2 Do Touch'!Z14,4),$I$2:$L$2,0)),$AF$4:$AF$6,0),MATCH(IF('Map 2 Do Touch'!Y14&gt;4,"Water","Land"),'Map 3'!$AG$3:$AH$3,0)),INDEX($AK$4:$AL$6,MATCH(INDEX($I$3:$L$6,MATCH(MOD('Map 2 Do Touch'!Y14,4),$H$3:$H$6,0),MATCH(MOD('Map 2 Do Touch'!Z14,4),$I$2:$L$2,0)),'Map 3'!$AJ$4:$AJ$6,0),MATCH(IF('Map 2 Do Touch'!Y14&gt;4,"Water","Land"),'Map 3'!$AK$3:$AL$3,0))),IF('Map 2 Do Touch'!Z14&gt;4,INDEX($AG$4:$AH$6,MATCH(INDEX($P$3:$S$6,MATCH(MOD('Map 2 Do Touch'!Z13,4),$O$3:$O$6,0),MATCH(MOD('Map 2 Do Touch'!Z14,4),$P$2:$S$2,0)),$AF$4:$AF$6,0),MATCH(IF('Map 2 Do Touch'!Z13&gt;4,"Water","Land"),'Map 3'!$AG$3:$AH$3,0)),INDEX($AK$4:$AL$6,MATCH(INDEX($P$3:$S$6,MATCH(MOD('Map 2 Do Touch'!Z13,4),$O$3:$O$6,0),MATCH(MOD('Map 2 Do Touch'!Z14,4),$P$2:$S$2,0)),'Map 3'!$AJ$4:$AJ$6,0),MATCH(IF('Map 2 Do Touch'!Z13&gt;4,"Water","Land"),'Map 3'!$AK$3:$AL$3,0))))</f>
        <v>Ocean</v>
      </c>
      <c r="AA18" s="3" t="str">
        <f ca="1">IF('Map 2 Do Touch'!Z13&lt;&gt;'Map 2 Do Touch'!Z14,IF('Map 2 Do Touch'!AA14&gt;4,INDEX($AG$4:$AH$6,MATCH(INDEX($I$3:$L$6,MATCH(MOD('Map 2 Do Touch'!Z14,4),$H$3:$H$6,0),MATCH(MOD('Map 2 Do Touch'!AA14,4),$I$2:$L$2,0)),$AF$4:$AF$6,0),MATCH(IF('Map 2 Do Touch'!Z14&gt;4,"Water","Land"),'Map 3'!$AG$3:$AH$3,0)),INDEX($AK$4:$AL$6,MATCH(INDEX($I$3:$L$6,MATCH(MOD('Map 2 Do Touch'!Z14,4),$H$3:$H$6,0),MATCH(MOD('Map 2 Do Touch'!AA14,4),$I$2:$L$2,0)),'Map 3'!$AJ$4:$AJ$6,0),MATCH(IF('Map 2 Do Touch'!Z14&gt;4,"Water","Land"),'Map 3'!$AK$3:$AL$3,0))),IF('Map 2 Do Touch'!AA14&gt;4,INDEX($AG$4:$AH$6,MATCH(INDEX($P$3:$S$6,MATCH(MOD('Map 2 Do Touch'!AA13,4),$O$3:$O$6,0),MATCH(MOD('Map 2 Do Touch'!AA14,4),$P$2:$S$2,0)),$AF$4:$AF$6,0),MATCH(IF('Map 2 Do Touch'!AA13&gt;4,"Water","Land"),'Map 3'!$AG$3:$AH$3,0)),INDEX($AK$4:$AL$6,MATCH(INDEX($P$3:$S$6,MATCH(MOD('Map 2 Do Touch'!AA13,4),$O$3:$O$6,0),MATCH(MOD('Map 2 Do Touch'!AA14,4),$P$2:$S$2,0)),'Map 3'!$AJ$4:$AJ$6,0),MATCH(IF('Map 2 Do Touch'!AA13&gt;4,"Water","Land"),'Map 3'!$AK$3:$AL$3,0))))</f>
        <v>Island</v>
      </c>
      <c r="AB18" s="3" t="str">
        <f ca="1">IF('Map 2 Do Touch'!AA13&lt;&gt;'Map 2 Do Touch'!AA14,IF('Map 2 Do Touch'!AB14&gt;4,INDEX($AG$4:$AH$6,MATCH(INDEX($I$3:$L$6,MATCH(MOD('Map 2 Do Touch'!AA14,4),$H$3:$H$6,0),MATCH(MOD('Map 2 Do Touch'!AB14,4),$I$2:$L$2,0)),$AF$4:$AF$6,0),MATCH(IF('Map 2 Do Touch'!AA14&gt;4,"Water","Land"),'Map 3'!$AG$3:$AH$3,0)),INDEX($AK$4:$AL$6,MATCH(INDEX($I$3:$L$6,MATCH(MOD('Map 2 Do Touch'!AA14,4),$H$3:$H$6,0),MATCH(MOD('Map 2 Do Touch'!AB14,4),$I$2:$L$2,0)),'Map 3'!$AJ$4:$AJ$6,0),MATCH(IF('Map 2 Do Touch'!AA14&gt;4,"Water","Land"),'Map 3'!$AK$3:$AL$3,0))),IF('Map 2 Do Touch'!AB14&gt;4,INDEX($AG$4:$AH$6,MATCH(INDEX($P$3:$S$6,MATCH(MOD('Map 2 Do Touch'!AB13,4),$O$3:$O$6,0),MATCH(MOD('Map 2 Do Touch'!AB14,4),$P$2:$S$2,0)),$AF$4:$AF$6,0),MATCH(IF('Map 2 Do Touch'!AB13&gt;4,"Water","Land"),'Map 3'!$AG$3:$AH$3,0)),INDEX($AK$4:$AL$6,MATCH(INDEX($P$3:$S$6,MATCH(MOD('Map 2 Do Touch'!AB13,4),$O$3:$O$6,0),MATCH(MOD('Map 2 Do Touch'!AB14,4),$P$2:$S$2,0)),'Map 3'!$AJ$4:$AJ$6,0),MATCH(IF('Map 2 Do Touch'!AB13&gt;4,"Water","Land"),'Map 3'!$AK$3:$AL$3,0))))</f>
        <v>Ocean</v>
      </c>
      <c r="AC18" s="3" t="str">
        <f ca="1">IF('Map 2 Do Touch'!AB13&lt;&gt;'Map 2 Do Touch'!AB14,IF('Map 2 Do Touch'!AC14&gt;4,INDEX($AG$4:$AH$6,MATCH(INDEX($I$3:$L$6,MATCH(MOD('Map 2 Do Touch'!AB14,4),$H$3:$H$6,0),MATCH(MOD('Map 2 Do Touch'!AC14,4),$I$2:$L$2,0)),$AF$4:$AF$6,0),MATCH(IF('Map 2 Do Touch'!AB14&gt;4,"Water","Land"),'Map 3'!$AG$3:$AH$3,0)),INDEX($AK$4:$AL$6,MATCH(INDEX($I$3:$L$6,MATCH(MOD('Map 2 Do Touch'!AB14,4),$H$3:$H$6,0),MATCH(MOD('Map 2 Do Touch'!AC14,4),$I$2:$L$2,0)),'Map 3'!$AJ$4:$AJ$6,0),MATCH(IF('Map 2 Do Touch'!AB14&gt;4,"Water","Land"),'Map 3'!$AK$3:$AL$3,0))),IF('Map 2 Do Touch'!AC14&gt;4,INDEX($AG$4:$AH$6,MATCH(INDEX($P$3:$S$6,MATCH(MOD('Map 2 Do Touch'!AC13,4),$O$3:$O$6,0),MATCH(MOD('Map 2 Do Touch'!AC14,4),$P$2:$S$2,0)),$AF$4:$AF$6,0),MATCH(IF('Map 2 Do Touch'!AC13&gt;4,"Water","Land"),'Map 3'!$AG$3:$AH$3,0)),INDEX($AK$4:$AL$6,MATCH(INDEX($P$3:$S$6,MATCH(MOD('Map 2 Do Touch'!AC13,4),$O$3:$O$6,0),MATCH(MOD('Map 2 Do Touch'!AC14,4),$P$2:$S$2,0)),'Map 3'!$AJ$4:$AJ$6,0),MATCH(IF('Map 2 Do Touch'!AC13&gt;4,"Water","Land"),'Map 3'!$AK$3:$AL$3,0))))</f>
        <v>Ocean</v>
      </c>
      <c r="AD18" s="3" t="str">
        <f ca="1">IF('Map 2 Do Touch'!AC13&lt;&gt;'Map 2 Do Touch'!AC14,IF('Map 2 Do Touch'!AD14&gt;4,INDEX($AG$4:$AH$6,MATCH(INDEX($I$3:$L$6,MATCH(MOD('Map 2 Do Touch'!AC14,4),$H$3:$H$6,0),MATCH(MOD('Map 2 Do Touch'!AD14,4),$I$2:$L$2,0)),$AF$4:$AF$6,0),MATCH(IF('Map 2 Do Touch'!AC14&gt;4,"Water","Land"),'Map 3'!$AG$3:$AH$3,0)),INDEX($AK$4:$AL$6,MATCH(INDEX($I$3:$L$6,MATCH(MOD('Map 2 Do Touch'!AC14,4),$H$3:$H$6,0),MATCH(MOD('Map 2 Do Touch'!AD14,4),$I$2:$L$2,0)),'Map 3'!$AJ$4:$AJ$6,0),MATCH(IF('Map 2 Do Touch'!AC14&gt;4,"Water","Land"),'Map 3'!$AK$3:$AL$3,0))),IF('Map 2 Do Touch'!AD14&gt;4,INDEX($AG$4:$AH$6,MATCH(INDEX($P$3:$S$6,MATCH(MOD('Map 2 Do Touch'!AD13,4),$O$3:$O$6,0),MATCH(MOD('Map 2 Do Touch'!AD14,4),$P$2:$S$2,0)),$AF$4:$AF$6,0),MATCH(IF('Map 2 Do Touch'!AD13&gt;4,"Water","Land"),'Map 3'!$AG$3:$AH$3,0)),INDEX($AK$4:$AL$6,MATCH(INDEX($P$3:$S$6,MATCH(MOD('Map 2 Do Touch'!AD13,4),$O$3:$O$6,0),MATCH(MOD('Map 2 Do Touch'!AD14,4),$P$2:$S$2,0)),'Map 3'!$AJ$4:$AJ$6,0),MATCH(IF('Map 2 Do Touch'!AD13&gt;4,"Water","Land"),'Map 3'!$AK$3:$AL$3,0))))</f>
        <v>Ocean</v>
      </c>
      <c r="AE18" s="3" t="str">
        <f ca="1">IF('Map 2 Do Touch'!AD13&lt;&gt;'Map 2 Do Touch'!AD14,IF('Map 2 Do Touch'!AE14&gt;4,INDEX($AG$4:$AH$6,MATCH(INDEX($I$3:$L$6,MATCH(MOD('Map 2 Do Touch'!AD14,4),$H$3:$H$6,0),MATCH(MOD('Map 2 Do Touch'!AE14,4),$I$2:$L$2,0)),$AF$4:$AF$6,0),MATCH(IF('Map 2 Do Touch'!AD14&gt;4,"Water","Land"),'Map 3'!$AG$3:$AH$3,0)),INDEX($AK$4:$AL$6,MATCH(INDEX($I$3:$L$6,MATCH(MOD('Map 2 Do Touch'!AD14,4),$H$3:$H$6,0),MATCH(MOD('Map 2 Do Touch'!AE14,4),$I$2:$L$2,0)),'Map 3'!$AJ$4:$AJ$6,0),MATCH(IF('Map 2 Do Touch'!AD14&gt;4,"Water","Land"),'Map 3'!$AK$3:$AL$3,0))),IF('Map 2 Do Touch'!AE14&gt;4,INDEX($AG$4:$AH$6,MATCH(INDEX($P$3:$S$6,MATCH(MOD('Map 2 Do Touch'!AE13,4),$O$3:$O$6,0),MATCH(MOD('Map 2 Do Touch'!AE14,4),$P$2:$S$2,0)),$AF$4:$AF$6,0),MATCH(IF('Map 2 Do Touch'!AE13&gt;4,"Water","Land"),'Map 3'!$AG$3:$AH$3,0)),INDEX($AK$4:$AL$6,MATCH(INDEX($P$3:$S$6,MATCH(MOD('Map 2 Do Touch'!AE13,4),$O$3:$O$6,0),MATCH(MOD('Map 2 Do Touch'!AE14,4),$P$2:$S$2,0)),'Map 3'!$AJ$4:$AJ$6,0),MATCH(IF('Map 2 Do Touch'!AE13&gt;4,"Water","Land"),'Map 3'!$AK$3:$AL$3,0))))</f>
        <v>Ocean</v>
      </c>
      <c r="AF18" s="3" t="str">
        <f ca="1">IF('Map 2 Do Touch'!AE13&lt;&gt;'Map 2 Do Touch'!AE14,IF('Map 2 Do Touch'!AF14&gt;4,INDEX($AG$4:$AH$6,MATCH(INDEX($I$3:$L$6,MATCH(MOD('Map 2 Do Touch'!AE14,4),$H$3:$H$6,0),MATCH(MOD('Map 2 Do Touch'!AF14,4),$I$2:$L$2,0)),$AF$4:$AF$6,0),MATCH(IF('Map 2 Do Touch'!AE14&gt;4,"Water","Land"),'Map 3'!$AG$3:$AH$3,0)),INDEX($AK$4:$AL$6,MATCH(INDEX($I$3:$L$6,MATCH(MOD('Map 2 Do Touch'!AE14,4),$H$3:$H$6,0),MATCH(MOD('Map 2 Do Touch'!AF14,4),$I$2:$L$2,0)),'Map 3'!$AJ$4:$AJ$6,0),MATCH(IF('Map 2 Do Touch'!AE14&gt;4,"Water","Land"),'Map 3'!$AK$3:$AL$3,0))),IF('Map 2 Do Touch'!AF14&gt;4,INDEX($AG$4:$AH$6,MATCH(INDEX($P$3:$S$6,MATCH(MOD('Map 2 Do Touch'!AF13,4),$O$3:$O$6,0),MATCH(MOD('Map 2 Do Touch'!AF14,4),$P$2:$S$2,0)),$AF$4:$AF$6,0),MATCH(IF('Map 2 Do Touch'!AF13&gt;4,"Water","Land"),'Map 3'!$AG$3:$AH$3,0)),INDEX($AK$4:$AL$6,MATCH(INDEX($P$3:$S$6,MATCH(MOD('Map 2 Do Touch'!AF13,4),$O$3:$O$6,0),MATCH(MOD('Map 2 Do Touch'!AF14,4),$P$2:$S$2,0)),'Map 3'!$AJ$4:$AJ$6,0),MATCH(IF('Map 2 Do Touch'!AF13&gt;4,"Water","Land"),'Map 3'!$AK$3:$AL$3,0))))</f>
        <v>Ocean</v>
      </c>
      <c r="AG18" s="3" t="str">
        <f ca="1">IF('Map 2 Do Touch'!AF13&lt;&gt;'Map 2 Do Touch'!AF14,IF('Map 2 Do Touch'!AG14&gt;4,INDEX($AG$4:$AH$6,MATCH(INDEX($I$3:$L$6,MATCH(MOD('Map 2 Do Touch'!AF14,4),$H$3:$H$6,0),MATCH(MOD('Map 2 Do Touch'!AG14,4),$I$2:$L$2,0)),$AF$4:$AF$6,0),MATCH(IF('Map 2 Do Touch'!AF14&gt;4,"Water","Land"),'Map 3'!$AG$3:$AH$3,0)),INDEX($AK$4:$AL$6,MATCH(INDEX($I$3:$L$6,MATCH(MOD('Map 2 Do Touch'!AF14,4),$H$3:$H$6,0),MATCH(MOD('Map 2 Do Touch'!AG14,4),$I$2:$L$2,0)),'Map 3'!$AJ$4:$AJ$6,0),MATCH(IF('Map 2 Do Touch'!AF14&gt;4,"Water","Land"),'Map 3'!$AK$3:$AL$3,0))),IF('Map 2 Do Touch'!AG14&gt;4,INDEX($AG$4:$AH$6,MATCH(INDEX($P$3:$S$6,MATCH(MOD('Map 2 Do Touch'!AG13,4),$O$3:$O$6,0),MATCH(MOD('Map 2 Do Touch'!AG14,4),$P$2:$S$2,0)),$AF$4:$AF$6,0),MATCH(IF('Map 2 Do Touch'!AG13&gt;4,"Water","Land"),'Map 3'!$AG$3:$AH$3,0)),INDEX($AK$4:$AL$6,MATCH(INDEX($P$3:$S$6,MATCH(MOD('Map 2 Do Touch'!AG13,4),$O$3:$O$6,0),MATCH(MOD('Map 2 Do Touch'!AG14,4),$P$2:$S$2,0)),'Map 3'!$AJ$4:$AJ$6,0),MATCH(IF('Map 2 Do Touch'!AG13&gt;4,"Water","Land"),'Map 3'!$AK$3:$AL$3,0))))</f>
        <v>Ocean</v>
      </c>
      <c r="AH18" s="3" t="str">
        <f ca="1">IF('Map 2 Do Touch'!AG13&lt;&gt;'Map 2 Do Touch'!AG14,IF('Map 2 Do Touch'!AH14&gt;4,INDEX($AG$4:$AH$6,MATCH(INDEX($I$3:$L$6,MATCH(MOD('Map 2 Do Touch'!AG14,4),$H$3:$H$6,0),MATCH(MOD('Map 2 Do Touch'!AH14,4),$I$2:$L$2,0)),$AF$4:$AF$6,0),MATCH(IF('Map 2 Do Touch'!AG14&gt;4,"Water","Land"),'Map 3'!$AG$3:$AH$3,0)),INDEX($AK$4:$AL$6,MATCH(INDEX($I$3:$L$6,MATCH(MOD('Map 2 Do Touch'!AG14,4),$H$3:$H$6,0),MATCH(MOD('Map 2 Do Touch'!AH14,4),$I$2:$L$2,0)),'Map 3'!$AJ$4:$AJ$6,0),MATCH(IF('Map 2 Do Touch'!AG14&gt;4,"Water","Land"),'Map 3'!$AK$3:$AL$3,0))),IF('Map 2 Do Touch'!AH14&gt;4,INDEX($AG$4:$AH$6,MATCH(INDEX($P$3:$S$6,MATCH(MOD('Map 2 Do Touch'!AH13,4),$O$3:$O$6,0),MATCH(MOD('Map 2 Do Touch'!AH14,4),$P$2:$S$2,0)),$AF$4:$AF$6,0),MATCH(IF('Map 2 Do Touch'!AH13&gt;4,"Water","Land"),'Map 3'!$AG$3:$AH$3,0)),INDEX($AK$4:$AL$6,MATCH(INDEX($P$3:$S$6,MATCH(MOD('Map 2 Do Touch'!AH13,4),$O$3:$O$6,0),MATCH(MOD('Map 2 Do Touch'!AH14,4),$P$2:$S$2,0)),'Map 3'!$AJ$4:$AJ$6,0),MATCH(IF('Map 2 Do Touch'!AH13&gt;4,"Water","Land"),'Map 3'!$AK$3:$AL$3,0))))</f>
        <v>Ocean</v>
      </c>
      <c r="AI18" s="3" t="str">
        <f ca="1">IF('Map 2 Do Touch'!AH13&lt;&gt;'Map 2 Do Touch'!AH14,IF('Map 2 Do Touch'!AI14&gt;4,INDEX($AG$4:$AH$6,MATCH(INDEX($I$3:$L$6,MATCH(MOD('Map 2 Do Touch'!AH14,4),$H$3:$H$6,0),MATCH(MOD('Map 2 Do Touch'!AI14,4),$I$2:$L$2,0)),$AF$4:$AF$6,0),MATCH(IF('Map 2 Do Touch'!AH14&gt;4,"Water","Land"),'Map 3'!$AG$3:$AH$3,0)),INDEX($AK$4:$AL$6,MATCH(INDEX($I$3:$L$6,MATCH(MOD('Map 2 Do Touch'!AH14,4),$H$3:$H$6,0),MATCH(MOD('Map 2 Do Touch'!AI14,4),$I$2:$L$2,0)),'Map 3'!$AJ$4:$AJ$6,0),MATCH(IF('Map 2 Do Touch'!AH14&gt;4,"Water","Land"),'Map 3'!$AK$3:$AL$3,0))),IF('Map 2 Do Touch'!AI14&gt;4,INDEX($AG$4:$AH$6,MATCH(INDEX($P$3:$S$6,MATCH(MOD('Map 2 Do Touch'!AI13,4),$O$3:$O$6,0),MATCH(MOD('Map 2 Do Touch'!AI14,4),$P$2:$S$2,0)),$AF$4:$AF$6,0),MATCH(IF('Map 2 Do Touch'!AI13&gt;4,"Water","Land"),'Map 3'!$AG$3:$AH$3,0)),INDEX($AK$4:$AL$6,MATCH(INDEX($P$3:$S$6,MATCH(MOD('Map 2 Do Touch'!AI13,4),$O$3:$O$6,0),MATCH(MOD('Map 2 Do Touch'!AI14,4),$P$2:$S$2,0)),'Map 3'!$AJ$4:$AJ$6,0),MATCH(IF('Map 2 Do Touch'!AI13&gt;4,"Water","Land"),'Map 3'!$AK$3:$AL$3,0))))</f>
        <v>Ocean</v>
      </c>
      <c r="AJ18" s="3" t="str">
        <f ca="1">IF('Map 2 Do Touch'!AI13&lt;&gt;'Map 2 Do Touch'!AI14,IF('Map 2 Do Touch'!AJ14&gt;4,INDEX($AG$4:$AH$6,MATCH(INDEX($I$3:$L$6,MATCH(MOD('Map 2 Do Touch'!AI14,4),$H$3:$H$6,0),MATCH(MOD('Map 2 Do Touch'!AJ14,4),$I$2:$L$2,0)),$AF$4:$AF$6,0),MATCH(IF('Map 2 Do Touch'!AI14&gt;4,"Water","Land"),'Map 3'!$AG$3:$AH$3,0)),INDEX($AK$4:$AL$6,MATCH(INDEX($I$3:$L$6,MATCH(MOD('Map 2 Do Touch'!AI14,4),$H$3:$H$6,0),MATCH(MOD('Map 2 Do Touch'!AJ14,4),$I$2:$L$2,0)),'Map 3'!$AJ$4:$AJ$6,0),MATCH(IF('Map 2 Do Touch'!AI14&gt;4,"Water","Land"),'Map 3'!$AK$3:$AL$3,0))),IF('Map 2 Do Touch'!AJ14&gt;4,INDEX($AG$4:$AH$6,MATCH(INDEX($P$3:$S$6,MATCH(MOD('Map 2 Do Touch'!AJ13,4),$O$3:$O$6,0),MATCH(MOD('Map 2 Do Touch'!AJ14,4),$P$2:$S$2,0)),$AF$4:$AF$6,0),MATCH(IF('Map 2 Do Touch'!AJ13&gt;4,"Water","Land"),'Map 3'!$AG$3:$AH$3,0)),INDEX($AK$4:$AL$6,MATCH(INDEX($P$3:$S$6,MATCH(MOD('Map 2 Do Touch'!AJ13,4),$O$3:$O$6,0),MATCH(MOD('Map 2 Do Touch'!AJ14,4),$P$2:$S$2,0)),'Map 3'!$AJ$4:$AJ$6,0),MATCH(IF('Map 2 Do Touch'!AJ13&gt;4,"Water","Land"),'Map 3'!$AK$3:$AL$3,0))))</f>
        <v>Island</v>
      </c>
      <c r="AK18" s="3" t="str">
        <f ca="1">IF('Map 2 Do Touch'!AJ13&lt;&gt;'Map 2 Do Touch'!AJ14,IF('Map 2 Do Touch'!AK14&gt;4,INDEX($AG$4:$AH$6,MATCH(INDEX($I$3:$L$6,MATCH(MOD('Map 2 Do Touch'!AJ14,4),$H$3:$H$6,0),MATCH(MOD('Map 2 Do Touch'!AK14,4),$I$2:$L$2,0)),$AF$4:$AF$6,0),MATCH(IF('Map 2 Do Touch'!AJ14&gt;4,"Water","Land"),'Map 3'!$AG$3:$AH$3,0)),INDEX($AK$4:$AL$6,MATCH(INDEX($I$3:$L$6,MATCH(MOD('Map 2 Do Touch'!AJ14,4),$H$3:$H$6,0),MATCH(MOD('Map 2 Do Touch'!AK14,4),$I$2:$L$2,0)),'Map 3'!$AJ$4:$AJ$6,0),MATCH(IF('Map 2 Do Touch'!AJ14&gt;4,"Water","Land"),'Map 3'!$AK$3:$AL$3,0))),IF('Map 2 Do Touch'!AK14&gt;4,INDEX($AG$4:$AH$6,MATCH(INDEX($P$3:$S$6,MATCH(MOD('Map 2 Do Touch'!AK13,4),$O$3:$O$6,0),MATCH(MOD('Map 2 Do Touch'!AK14,4),$P$2:$S$2,0)),$AF$4:$AF$6,0),MATCH(IF('Map 2 Do Touch'!AK13&gt;4,"Water","Land"),'Map 3'!$AG$3:$AH$3,0)),INDEX($AK$4:$AL$6,MATCH(INDEX($P$3:$S$6,MATCH(MOD('Map 2 Do Touch'!AK13,4),$O$3:$O$6,0),MATCH(MOD('Map 2 Do Touch'!AK14,4),$P$2:$S$2,0)),'Map 3'!$AJ$4:$AJ$6,0),MATCH(IF('Map 2 Do Touch'!AK13&gt;4,"Water","Land"),'Map 3'!$AK$3:$AL$3,0))))</f>
        <v>Coast</v>
      </c>
      <c r="AL18" s="3" t="str">
        <f ca="1">IF('Map 2 Do Touch'!AK13&lt;&gt;'Map 2 Do Touch'!AK14,IF('Map 2 Do Touch'!AL14&gt;4,INDEX($AG$4:$AH$6,MATCH(INDEX($I$3:$L$6,MATCH(MOD('Map 2 Do Touch'!AK14,4),$H$3:$H$6,0),MATCH(MOD('Map 2 Do Touch'!AL14,4),$I$2:$L$2,0)),$AF$4:$AF$6,0),MATCH(IF('Map 2 Do Touch'!AK14&gt;4,"Water","Land"),'Map 3'!$AG$3:$AH$3,0)),INDEX($AK$4:$AL$6,MATCH(INDEX($I$3:$L$6,MATCH(MOD('Map 2 Do Touch'!AK14,4),$H$3:$H$6,0),MATCH(MOD('Map 2 Do Touch'!AL14,4),$I$2:$L$2,0)),'Map 3'!$AJ$4:$AJ$6,0),MATCH(IF('Map 2 Do Touch'!AK14&gt;4,"Water","Land"),'Map 3'!$AK$3:$AL$3,0))),IF('Map 2 Do Touch'!AL14&gt;4,INDEX($AG$4:$AH$6,MATCH(INDEX($P$3:$S$6,MATCH(MOD('Map 2 Do Touch'!AL13,4),$O$3:$O$6,0),MATCH(MOD('Map 2 Do Touch'!AL14,4),$P$2:$S$2,0)),$AF$4:$AF$6,0),MATCH(IF('Map 2 Do Touch'!AL13&gt;4,"Water","Land"),'Map 3'!$AG$3:$AH$3,0)),INDEX($AK$4:$AL$6,MATCH(INDEX($P$3:$S$6,MATCH(MOD('Map 2 Do Touch'!AL13,4),$O$3:$O$6,0),MATCH(MOD('Map 2 Do Touch'!AL14,4),$P$2:$S$2,0)),'Map 3'!$AJ$4:$AJ$6,0),MATCH(IF('Map 2 Do Touch'!AL13&gt;4,"Water","Land"),'Map 3'!$AK$3:$AL$3,0))))</f>
        <v>Coast</v>
      </c>
      <c r="AM18" s="3" t="str">
        <f ca="1">IF('Map 2 Do Touch'!AL13&lt;&gt;'Map 2 Do Touch'!AL14,IF('Map 2 Do Touch'!AM14&gt;4,INDEX($AG$4:$AH$6,MATCH(INDEX($I$3:$L$6,MATCH(MOD('Map 2 Do Touch'!AL14,4),$H$3:$H$6,0),MATCH(MOD('Map 2 Do Touch'!AM14,4),$I$2:$L$2,0)),$AF$4:$AF$6,0),MATCH(IF('Map 2 Do Touch'!AL14&gt;4,"Water","Land"),'Map 3'!$AG$3:$AH$3,0)),INDEX($AK$4:$AL$6,MATCH(INDEX($I$3:$L$6,MATCH(MOD('Map 2 Do Touch'!AL14,4),$H$3:$H$6,0),MATCH(MOD('Map 2 Do Touch'!AM14,4),$I$2:$L$2,0)),'Map 3'!$AJ$4:$AJ$6,0),MATCH(IF('Map 2 Do Touch'!AL14&gt;4,"Water","Land"),'Map 3'!$AK$3:$AL$3,0))),IF('Map 2 Do Touch'!AM14&gt;4,INDEX($AG$4:$AH$6,MATCH(INDEX($P$3:$S$6,MATCH(MOD('Map 2 Do Touch'!AM13,4),$O$3:$O$6,0),MATCH(MOD('Map 2 Do Touch'!AM14,4),$P$2:$S$2,0)),$AF$4:$AF$6,0),MATCH(IF('Map 2 Do Touch'!AM13&gt;4,"Water","Land"),'Map 3'!$AG$3:$AH$3,0)),INDEX($AK$4:$AL$6,MATCH(INDEX($P$3:$S$6,MATCH(MOD('Map 2 Do Touch'!AM13,4),$O$3:$O$6,0),MATCH(MOD('Map 2 Do Touch'!AM14,4),$P$2:$S$2,0)),'Map 3'!$AJ$4:$AJ$6,0),MATCH(IF('Map 2 Do Touch'!AM13&gt;4,"Water","Land"),'Map 3'!$AK$3:$AL$3,0))))</f>
        <v>Coast</v>
      </c>
      <c r="AN18" s="3" t="str">
        <f ca="1">IF('Map 2 Do Touch'!AM13&lt;&gt;'Map 2 Do Touch'!AM14,IF('Map 2 Do Touch'!AN14&gt;4,INDEX($AG$4:$AH$6,MATCH(INDEX($I$3:$L$6,MATCH(MOD('Map 2 Do Touch'!AM14,4),$H$3:$H$6,0),MATCH(MOD('Map 2 Do Touch'!AN14,4),$I$2:$L$2,0)),$AF$4:$AF$6,0),MATCH(IF('Map 2 Do Touch'!AM14&gt;4,"Water","Land"),'Map 3'!$AG$3:$AH$3,0)),INDEX($AK$4:$AL$6,MATCH(INDEX($I$3:$L$6,MATCH(MOD('Map 2 Do Touch'!AM14,4),$H$3:$H$6,0),MATCH(MOD('Map 2 Do Touch'!AN14,4),$I$2:$L$2,0)),'Map 3'!$AJ$4:$AJ$6,0),MATCH(IF('Map 2 Do Touch'!AM14&gt;4,"Water","Land"),'Map 3'!$AK$3:$AL$3,0))),IF('Map 2 Do Touch'!AN14&gt;4,INDEX($AG$4:$AH$6,MATCH(INDEX($P$3:$S$6,MATCH(MOD('Map 2 Do Touch'!AN13,4),$O$3:$O$6,0),MATCH(MOD('Map 2 Do Touch'!AN14,4),$P$2:$S$2,0)),$AF$4:$AF$6,0),MATCH(IF('Map 2 Do Touch'!AN13&gt;4,"Water","Land"),'Map 3'!$AG$3:$AH$3,0)),INDEX($AK$4:$AL$6,MATCH(INDEX($P$3:$S$6,MATCH(MOD('Map 2 Do Touch'!AN13,4),$O$3:$O$6,0),MATCH(MOD('Map 2 Do Touch'!AN14,4),$P$2:$S$2,0)),'Map 3'!$AJ$4:$AJ$6,0),MATCH(IF('Map 2 Do Touch'!AN13&gt;4,"Water","Land"),'Map 3'!$AK$3:$AL$3,0))))</f>
        <v>Flatland</v>
      </c>
      <c r="AO18" s="87" t="str">
        <f ca="1">IF('Map 2 Do Touch'!AN13&lt;&gt;'Map 2 Do Touch'!AN14,IF('Map 2 Do Touch'!AO14&gt;4,INDEX($AG$4:$AH$6,MATCH(INDEX($I$3:$L$6,MATCH(MOD('Map 2 Do Touch'!AN14,4),$H$3:$H$6,0),MATCH(MOD('Map 2 Do Touch'!AO14,4),$I$2:$L$2,0)),$AF$4:$AF$6,0),MATCH(IF('Map 2 Do Touch'!AN14&gt;4,"Water","Land"),'Map 3'!$AG$3:$AH$3,0)),INDEX($AK$4:$AL$6,MATCH(INDEX($I$3:$L$6,MATCH(MOD('Map 2 Do Touch'!AN14,4),$H$3:$H$6,0),MATCH(MOD('Map 2 Do Touch'!AO14,4),$I$2:$L$2,0)),'Map 3'!$AJ$4:$AJ$6,0),MATCH(IF('Map 2 Do Touch'!AN14&gt;4,"Water","Land"),'Map 3'!$AK$3:$AL$3,0))),IF('Map 2 Do Touch'!AO14&gt;4,INDEX($AG$4:$AH$6,MATCH(INDEX($P$3:$S$6,MATCH(MOD('Map 2 Do Touch'!AO13,4),$O$3:$O$6,0),MATCH(MOD('Map 2 Do Touch'!AO14,4),$P$2:$S$2,0)),$AF$4:$AF$6,0),MATCH(IF('Map 2 Do Touch'!AO13&gt;4,"Water","Land"),'Map 3'!$AG$3:$AH$3,0)),INDEX($AK$4:$AL$6,MATCH(INDEX($P$3:$S$6,MATCH(MOD('Map 2 Do Touch'!AO13,4),$O$3:$O$6,0),MATCH(MOD('Map 2 Do Touch'!AO14,4),$P$2:$S$2,0)),'Map 3'!$AJ$4:$AJ$6,0),MATCH(IF('Map 2 Do Touch'!AO13&gt;4,"Water","Land"),'Map 3'!$AK$3:$AL$3,0))))</f>
        <v>Mountain</v>
      </c>
      <c r="AP18" s="3"/>
    </row>
    <row r="19" spans="1:42" ht="37.5" customHeight="1">
      <c r="A19" s="3">
        <v>8</v>
      </c>
      <c r="B19" s="86" t="str">
        <f ca="1">IF('Map 2 Do Touch'!B14&lt;&gt;'Map 2 Do Touch'!B15,IF('Map 2 Do Touch'!B15&gt;4,INDEX($AG$4:$AH$6,MATCH(INDEX($I$3:$L$6,MATCH(MOD('Map 2 Do Touch'!AO15,4),$H$3:$H$6,0),MATCH(MOD('Map 2 Do Touch'!B15,4),$I$2:$L$2,0)),$AF$4:$AF$6,0),MATCH(IF('Map 2 Do Touch'!AO15&gt;4,"Water","Land"),'Map 3'!$AG$3:$AH$3,0)),INDEX($AK$4:$AL$6,MATCH(INDEX($I$3:$L$6,MATCH(MOD('Map 2 Do Touch'!A15,4),$H$3:$H$6,0),MATCH(MOD('Map 2 Do Touch'!B15,4),$I$2:$L$2,0)),'Map 3'!$AJ$4:$AJ$6,0),MATCH(IF('Map 2 Do Touch'!AO15&gt;4,"Water","Land"),'Map 3'!$AK$3:$AL$3,0))),IF('Map 2 Do Touch'!B15&gt;4,INDEX($AG$4:$AH$6,MATCH(INDEX($P$3:$S$6,MATCH(MOD('Map 2 Do Touch'!B14,4),$O$3:$O$6,0),MATCH(MOD('Map 2 Do Touch'!B15,4),$P$2:$S$2,0)),$AF$4:$AF$6,0),MATCH(IF('Map 2 Do Touch'!B14&gt;4,"Water","Land"),'Map 3'!$AG$3:$AH$3,0)),INDEX($AK$4:$AL$6,MATCH(INDEX($P$3:$S$6,MATCH(MOD('Map 2 Do Touch'!B14,4),$O$3:$O$6,0),MATCH(MOD('Map 2 Do Touch'!B15,4),$P$2:$S$2,0)),'Map 3'!$AJ$4:$AJ$6,0),MATCH(IF('Map 2 Do Touch'!B14&gt;4,"Water","Land"),'Map 3'!$AK$3:$AL$3,0))))</f>
        <v>Coast</v>
      </c>
      <c r="C19" s="3" t="str">
        <f ca="1">IF('Map 2 Do Touch'!B14&lt;&gt;'Map 2 Do Touch'!B15,IF('Map 2 Do Touch'!C15&gt;4,INDEX($AG$4:$AH$6,MATCH(INDEX($I$3:$L$6,MATCH(MOD('Map 2 Do Touch'!B15,4),$H$3:$H$6,0),MATCH(MOD('Map 2 Do Touch'!C15,4),$I$2:$L$2,0)),$AF$4:$AF$6,0),MATCH(IF('Map 2 Do Touch'!B15&gt;4,"Water","Land"),'Map 3'!$AG$3:$AH$3,0)),INDEX($AK$4:$AL$6,MATCH(INDEX($I$3:$L$6,MATCH(MOD('Map 2 Do Touch'!B15,4),$H$3:$H$6,0),MATCH(MOD('Map 2 Do Touch'!C15,4),$I$2:$L$2,0)),'Map 3'!$AJ$4:$AJ$6,0),MATCH(IF('Map 2 Do Touch'!B15&gt;4,"Water","Land"),'Map 3'!$AK$3:$AL$3,0))),IF('Map 2 Do Touch'!C15&gt;4,INDEX($AG$4:$AH$6,MATCH(INDEX($P$3:$S$6,MATCH(MOD('Map 2 Do Touch'!C14,4),$O$3:$O$6,0),MATCH(MOD('Map 2 Do Touch'!C15,4),$P$2:$S$2,0)),$AF$4:$AF$6,0),MATCH(IF('Map 2 Do Touch'!C14&gt;4,"Water","Land"),'Map 3'!$AG$3:$AH$3,0)),INDEX($AK$4:$AL$6,MATCH(INDEX($P$3:$S$6,MATCH(MOD('Map 2 Do Touch'!C14,4),$O$3:$O$6,0),MATCH(MOD('Map 2 Do Touch'!C15,4),$P$2:$S$2,0)),'Map 3'!$AJ$4:$AJ$6,0),MATCH(IF('Map 2 Do Touch'!C14&gt;4,"Water","Land"),'Map 3'!$AK$3:$AL$3,0))))</f>
        <v>Ocean</v>
      </c>
      <c r="D19" s="3" t="str">
        <f ca="1">IF('Map 2 Do Touch'!C14&lt;&gt;'Map 2 Do Touch'!C15,IF('Map 2 Do Touch'!D15&gt;4,INDEX($AG$4:$AH$6,MATCH(INDEX($I$3:$L$6,MATCH(MOD('Map 2 Do Touch'!C15,4),$H$3:$H$6,0),MATCH(MOD('Map 2 Do Touch'!D15,4),$I$2:$L$2,0)),$AF$4:$AF$6,0),MATCH(IF('Map 2 Do Touch'!C15&gt;4,"Water","Land"),'Map 3'!$AG$3:$AH$3,0)),INDEX($AK$4:$AL$6,MATCH(INDEX($I$3:$L$6,MATCH(MOD('Map 2 Do Touch'!C15,4),$H$3:$H$6,0),MATCH(MOD('Map 2 Do Touch'!D15,4),$I$2:$L$2,0)),'Map 3'!$AJ$4:$AJ$6,0),MATCH(IF('Map 2 Do Touch'!C15&gt;4,"Water","Land"),'Map 3'!$AK$3:$AL$3,0))),IF('Map 2 Do Touch'!D15&gt;4,INDEX($AG$4:$AH$6,MATCH(INDEX($P$3:$S$6,MATCH(MOD('Map 2 Do Touch'!D14,4),$O$3:$O$6,0),MATCH(MOD('Map 2 Do Touch'!D15,4),$P$2:$S$2,0)),$AF$4:$AF$6,0),MATCH(IF('Map 2 Do Touch'!D14&gt;4,"Water","Land"),'Map 3'!$AG$3:$AH$3,0)),INDEX($AK$4:$AL$6,MATCH(INDEX($P$3:$S$6,MATCH(MOD('Map 2 Do Touch'!D14,4),$O$3:$O$6,0),MATCH(MOD('Map 2 Do Touch'!D15,4),$P$2:$S$2,0)),'Map 3'!$AJ$4:$AJ$6,0),MATCH(IF('Map 2 Do Touch'!D14&gt;4,"Water","Land"),'Map 3'!$AK$3:$AL$3,0))))</f>
        <v>Ocean</v>
      </c>
      <c r="E19" s="3" t="str">
        <f ca="1">IF('Map 2 Do Touch'!D14&lt;&gt;'Map 2 Do Touch'!D15,IF('Map 2 Do Touch'!E15&gt;4,INDEX($AG$4:$AH$6,MATCH(INDEX($I$3:$L$6,MATCH(MOD('Map 2 Do Touch'!D15,4),$H$3:$H$6,0),MATCH(MOD('Map 2 Do Touch'!E15,4),$I$2:$L$2,0)),$AF$4:$AF$6,0),MATCH(IF('Map 2 Do Touch'!D15&gt;4,"Water","Land"),'Map 3'!$AG$3:$AH$3,0)),INDEX($AK$4:$AL$6,MATCH(INDEX($I$3:$L$6,MATCH(MOD('Map 2 Do Touch'!D15,4),$H$3:$H$6,0),MATCH(MOD('Map 2 Do Touch'!E15,4),$I$2:$L$2,0)),'Map 3'!$AJ$4:$AJ$6,0),MATCH(IF('Map 2 Do Touch'!D15&gt;4,"Water","Land"),'Map 3'!$AK$3:$AL$3,0))),IF('Map 2 Do Touch'!E15&gt;4,INDEX($AG$4:$AH$6,MATCH(INDEX($P$3:$S$6,MATCH(MOD('Map 2 Do Touch'!E14,4),$O$3:$O$6,0),MATCH(MOD('Map 2 Do Touch'!E15,4),$P$2:$S$2,0)),$AF$4:$AF$6,0),MATCH(IF('Map 2 Do Touch'!E14&gt;4,"Water","Land"),'Map 3'!$AG$3:$AH$3,0)),INDEX($AK$4:$AL$6,MATCH(INDEX($P$3:$S$6,MATCH(MOD('Map 2 Do Touch'!E14,4),$O$3:$O$6,0),MATCH(MOD('Map 2 Do Touch'!E15,4),$P$2:$S$2,0)),'Map 3'!$AJ$4:$AJ$6,0),MATCH(IF('Map 2 Do Touch'!E14&gt;4,"Water","Land"),'Map 3'!$AK$3:$AL$3,0))))</f>
        <v>Ocean</v>
      </c>
      <c r="F19" s="3" t="str">
        <f ca="1">IF('Map 2 Do Touch'!E14&lt;&gt;'Map 2 Do Touch'!E15,IF('Map 2 Do Touch'!F15&gt;4,INDEX($AG$4:$AH$6,MATCH(INDEX($I$3:$L$6,MATCH(MOD('Map 2 Do Touch'!E15,4),$H$3:$H$6,0),MATCH(MOD('Map 2 Do Touch'!F15,4),$I$2:$L$2,0)),$AF$4:$AF$6,0),MATCH(IF('Map 2 Do Touch'!E15&gt;4,"Water","Land"),'Map 3'!$AG$3:$AH$3,0)),INDEX($AK$4:$AL$6,MATCH(INDEX($I$3:$L$6,MATCH(MOD('Map 2 Do Touch'!E15,4),$H$3:$H$6,0),MATCH(MOD('Map 2 Do Touch'!F15,4),$I$2:$L$2,0)),'Map 3'!$AJ$4:$AJ$6,0),MATCH(IF('Map 2 Do Touch'!E15&gt;4,"Water","Land"),'Map 3'!$AK$3:$AL$3,0))),IF('Map 2 Do Touch'!F15&gt;4,INDEX($AG$4:$AH$6,MATCH(INDEX($P$3:$S$6,MATCH(MOD('Map 2 Do Touch'!F14,4),$O$3:$O$6,0),MATCH(MOD('Map 2 Do Touch'!F15,4),$P$2:$S$2,0)),$AF$4:$AF$6,0),MATCH(IF('Map 2 Do Touch'!F14&gt;4,"Water","Land"),'Map 3'!$AG$3:$AH$3,0)),INDEX($AK$4:$AL$6,MATCH(INDEX($P$3:$S$6,MATCH(MOD('Map 2 Do Touch'!F14,4),$O$3:$O$6,0),MATCH(MOD('Map 2 Do Touch'!F15,4),$P$2:$S$2,0)),'Map 3'!$AJ$4:$AJ$6,0),MATCH(IF('Map 2 Do Touch'!F14&gt;4,"Water","Land"),'Map 3'!$AK$3:$AL$3,0))))</f>
        <v>Island</v>
      </c>
      <c r="G19" s="3" t="str">
        <f ca="1">IF('Map 2 Do Touch'!F14&lt;&gt;'Map 2 Do Touch'!F15,IF('Map 2 Do Touch'!G15&gt;4,INDEX($AG$4:$AH$6,MATCH(INDEX($I$3:$L$6,MATCH(MOD('Map 2 Do Touch'!F15,4),$H$3:$H$6,0),MATCH(MOD('Map 2 Do Touch'!G15,4),$I$2:$L$2,0)),$AF$4:$AF$6,0),MATCH(IF('Map 2 Do Touch'!F15&gt;4,"Water","Land"),'Map 3'!$AG$3:$AH$3,0)),INDEX($AK$4:$AL$6,MATCH(INDEX($I$3:$L$6,MATCH(MOD('Map 2 Do Touch'!F15,4),$H$3:$H$6,0),MATCH(MOD('Map 2 Do Touch'!G15,4),$I$2:$L$2,0)),'Map 3'!$AJ$4:$AJ$6,0),MATCH(IF('Map 2 Do Touch'!F15&gt;4,"Water","Land"),'Map 3'!$AK$3:$AL$3,0))),IF('Map 2 Do Touch'!G15&gt;4,INDEX($AG$4:$AH$6,MATCH(INDEX($P$3:$S$6,MATCH(MOD('Map 2 Do Touch'!G14,4),$O$3:$O$6,0),MATCH(MOD('Map 2 Do Touch'!G15,4),$P$2:$S$2,0)),$AF$4:$AF$6,0),MATCH(IF('Map 2 Do Touch'!G14&gt;4,"Water","Land"),'Map 3'!$AG$3:$AH$3,0)),INDEX($AK$4:$AL$6,MATCH(INDEX($P$3:$S$6,MATCH(MOD('Map 2 Do Touch'!G14,4),$O$3:$O$6,0),MATCH(MOD('Map 2 Do Touch'!G15,4),$P$2:$S$2,0)),'Map 3'!$AJ$4:$AJ$6,0),MATCH(IF('Map 2 Do Touch'!G14&gt;4,"Water","Land"),'Map 3'!$AK$3:$AL$3,0))))</f>
        <v>Island</v>
      </c>
      <c r="H19" s="3" t="str">
        <f ca="1">IF('Map 2 Do Touch'!G14&lt;&gt;'Map 2 Do Touch'!G15,IF('Map 2 Do Touch'!H15&gt;4,INDEX($AG$4:$AH$6,MATCH(INDEX($I$3:$L$6,MATCH(MOD('Map 2 Do Touch'!G15,4),$H$3:$H$6,0),MATCH(MOD('Map 2 Do Touch'!H15,4),$I$2:$L$2,0)),$AF$4:$AF$6,0),MATCH(IF('Map 2 Do Touch'!G15&gt;4,"Water","Land"),'Map 3'!$AG$3:$AH$3,0)),INDEX($AK$4:$AL$6,MATCH(INDEX($I$3:$L$6,MATCH(MOD('Map 2 Do Touch'!G15,4),$H$3:$H$6,0),MATCH(MOD('Map 2 Do Touch'!H15,4),$I$2:$L$2,0)),'Map 3'!$AJ$4:$AJ$6,0),MATCH(IF('Map 2 Do Touch'!G15&gt;4,"Water","Land"),'Map 3'!$AK$3:$AL$3,0))),IF('Map 2 Do Touch'!H15&gt;4,INDEX($AG$4:$AH$6,MATCH(INDEX($P$3:$S$6,MATCH(MOD('Map 2 Do Touch'!H14,4),$O$3:$O$6,0),MATCH(MOD('Map 2 Do Touch'!H15,4),$P$2:$S$2,0)),$AF$4:$AF$6,0),MATCH(IF('Map 2 Do Touch'!H14&gt;4,"Water","Land"),'Map 3'!$AG$3:$AH$3,0)),INDEX($AK$4:$AL$6,MATCH(INDEX($P$3:$S$6,MATCH(MOD('Map 2 Do Touch'!H14,4),$O$3:$O$6,0),MATCH(MOD('Map 2 Do Touch'!H15,4),$P$2:$S$2,0)),'Map 3'!$AJ$4:$AJ$6,0),MATCH(IF('Map 2 Do Touch'!H14&gt;4,"Water","Land"),'Map 3'!$AK$3:$AL$3,0))))</f>
        <v>Ocean</v>
      </c>
      <c r="I19" s="3" t="str">
        <f ca="1">IF('Map 2 Do Touch'!H14&lt;&gt;'Map 2 Do Touch'!H15,IF('Map 2 Do Touch'!I15&gt;4,INDEX($AG$4:$AH$6,MATCH(INDEX($I$3:$L$6,MATCH(MOD('Map 2 Do Touch'!H15,4),$H$3:$H$6,0),MATCH(MOD('Map 2 Do Touch'!I15,4),$I$2:$L$2,0)),$AF$4:$AF$6,0),MATCH(IF('Map 2 Do Touch'!H15&gt;4,"Water","Land"),'Map 3'!$AG$3:$AH$3,0)),INDEX($AK$4:$AL$6,MATCH(INDEX($I$3:$L$6,MATCH(MOD('Map 2 Do Touch'!H15,4),$H$3:$H$6,0),MATCH(MOD('Map 2 Do Touch'!I15,4),$I$2:$L$2,0)),'Map 3'!$AJ$4:$AJ$6,0),MATCH(IF('Map 2 Do Touch'!H15&gt;4,"Water","Land"),'Map 3'!$AK$3:$AL$3,0))),IF('Map 2 Do Touch'!I15&gt;4,INDEX($AG$4:$AH$6,MATCH(INDEX($P$3:$S$6,MATCH(MOD('Map 2 Do Touch'!I14,4),$O$3:$O$6,0),MATCH(MOD('Map 2 Do Touch'!I15,4),$P$2:$S$2,0)),$AF$4:$AF$6,0),MATCH(IF('Map 2 Do Touch'!I14&gt;4,"Water","Land"),'Map 3'!$AG$3:$AH$3,0)),INDEX($AK$4:$AL$6,MATCH(INDEX($P$3:$S$6,MATCH(MOD('Map 2 Do Touch'!I14,4),$O$3:$O$6,0),MATCH(MOD('Map 2 Do Touch'!I15,4),$P$2:$S$2,0)),'Map 3'!$AJ$4:$AJ$6,0),MATCH(IF('Map 2 Do Touch'!I14&gt;4,"Water","Land"),'Map 3'!$AK$3:$AL$3,0))))</f>
        <v>Ocean</v>
      </c>
      <c r="J19" s="3" t="str">
        <f ca="1">IF('Map 2 Do Touch'!I14&lt;&gt;'Map 2 Do Touch'!I15,IF('Map 2 Do Touch'!J15&gt;4,INDEX($AG$4:$AH$6,MATCH(INDEX($I$3:$L$6,MATCH(MOD('Map 2 Do Touch'!I15,4),$H$3:$H$6,0),MATCH(MOD('Map 2 Do Touch'!J15,4),$I$2:$L$2,0)),$AF$4:$AF$6,0),MATCH(IF('Map 2 Do Touch'!I15&gt;4,"Water","Land"),'Map 3'!$AG$3:$AH$3,0)),INDEX($AK$4:$AL$6,MATCH(INDEX($I$3:$L$6,MATCH(MOD('Map 2 Do Touch'!I15,4),$H$3:$H$6,0),MATCH(MOD('Map 2 Do Touch'!J15,4),$I$2:$L$2,0)),'Map 3'!$AJ$4:$AJ$6,0),MATCH(IF('Map 2 Do Touch'!I15&gt;4,"Water","Land"),'Map 3'!$AK$3:$AL$3,0))),IF('Map 2 Do Touch'!J15&gt;4,INDEX($AG$4:$AH$6,MATCH(INDEX($P$3:$S$6,MATCH(MOD('Map 2 Do Touch'!J14,4),$O$3:$O$6,0),MATCH(MOD('Map 2 Do Touch'!J15,4),$P$2:$S$2,0)),$AF$4:$AF$6,0),MATCH(IF('Map 2 Do Touch'!J14&gt;4,"Water","Land"),'Map 3'!$AG$3:$AH$3,0)),INDEX($AK$4:$AL$6,MATCH(INDEX($P$3:$S$6,MATCH(MOD('Map 2 Do Touch'!J14,4),$O$3:$O$6,0),MATCH(MOD('Map 2 Do Touch'!J15,4),$P$2:$S$2,0)),'Map 3'!$AJ$4:$AJ$6,0),MATCH(IF('Map 2 Do Touch'!J14&gt;4,"Water","Land"),'Map 3'!$AK$3:$AL$3,0))))</f>
        <v>Ocean</v>
      </c>
      <c r="K19" s="3" t="str">
        <f ca="1">IF('Map 2 Do Touch'!J14&lt;&gt;'Map 2 Do Touch'!J15,IF('Map 2 Do Touch'!K15&gt;4,INDEX($AG$4:$AH$6,MATCH(INDEX($I$3:$L$6,MATCH(MOD('Map 2 Do Touch'!J15,4),$H$3:$H$6,0),MATCH(MOD('Map 2 Do Touch'!K15,4),$I$2:$L$2,0)),$AF$4:$AF$6,0),MATCH(IF('Map 2 Do Touch'!J15&gt;4,"Water","Land"),'Map 3'!$AG$3:$AH$3,0)),INDEX($AK$4:$AL$6,MATCH(INDEX($I$3:$L$6,MATCH(MOD('Map 2 Do Touch'!J15,4),$H$3:$H$6,0),MATCH(MOD('Map 2 Do Touch'!K15,4),$I$2:$L$2,0)),'Map 3'!$AJ$4:$AJ$6,0),MATCH(IF('Map 2 Do Touch'!J15&gt;4,"Water","Land"),'Map 3'!$AK$3:$AL$3,0))),IF('Map 2 Do Touch'!K15&gt;4,INDEX($AG$4:$AH$6,MATCH(INDEX($P$3:$S$6,MATCH(MOD('Map 2 Do Touch'!K14,4),$O$3:$O$6,0),MATCH(MOD('Map 2 Do Touch'!K15,4),$P$2:$S$2,0)),$AF$4:$AF$6,0),MATCH(IF('Map 2 Do Touch'!K14&gt;4,"Water","Land"),'Map 3'!$AG$3:$AH$3,0)),INDEX($AK$4:$AL$6,MATCH(INDEX($P$3:$S$6,MATCH(MOD('Map 2 Do Touch'!K14,4),$O$3:$O$6,0),MATCH(MOD('Map 2 Do Touch'!K15,4),$P$2:$S$2,0)),'Map 3'!$AJ$4:$AJ$6,0),MATCH(IF('Map 2 Do Touch'!K14&gt;4,"Water","Land"),'Map 3'!$AK$3:$AL$3,0))))</f>
        <v>Island</v>
      </c>
      <c r="L19" s="3" t="str">
        <f ca="1">IF('Map 2 Do Touch'!K14&lt;&gt;'Map 2 Do Touch'!K15,IF('Map 2 Do Touch'!L15&gt;4,INDEX($AG$4:$AH$6,MATCH(INDEX($I$3:$L$6,MATCH(MOD('Map 2 Do Touch'!K15,4),$H$3:$H$6,0),MATCH(MOD('Map 2 Do Touch'!L15,4),$I$2:$L$2,0)),$AF$4:$AF$6,0),MATCH(IF('Map 2 Do Touch'!K15&gt;4,"Water","Land"),'Map 3'!$AG$3:$AH$3,0)),INDEX($AK$4:$AL$6,MATCH(INDEX($I$3:$L$6,MATCH(MOD('Map 2 Do Touch'!K15,4),$H$3:$H$6,0),MATCH(MOD('Map 2 Do Touch'!L15,4),$I$2:$L$2,0)),'Map 3'!$AJ$4:$AJ$6,0),MATCH(IF('Map 2 Do Touch'!K15&gt;4,"Water","Land"),'Map 3'!$AK$3:$AL$3,0))),IF('Map 2 Do Touch'!L15&gt;4,INDEX($AG$4:$AH$6,MATCH(INDEX($P$3:$S$6,MATCH(MOD('Map 2 Do Touch'!L14,4),$O$3:$O$6,0),MATCH(MOD('Map 2 Do Touch'!L15,4),$P$2:$S$2,0)),$AF$4:$AF$6,0),MATCH(IF('Map 2 Do Touch'!L14&gt;4,"Water","Land"),'Map 3'!$AG$3:$AH$3,0)),INDEX($AK$4:$AL$6,MATCH(INDEX($P$3:$S$6,MATCH(MOD('Map 2 Do Touch'!L14,4),$O$3:$O$6,0),MATCH(MOD('Map 2 Do Touch'!L15,4),$P$2:$S$2,0)),'Map 3'!$AJ$4:$AJ$6,0),MATCH(IF('Map 2 Do Touch'!L14&gt;4,"Water","Land"),'Map 3'!$AK$3:$AL$3,0))))</f>
        <v>Ocean</v>
      </c>
      <c r="M19" s="3" t="str">
        <f ca="1">IF('Map 2 Do Touch'!L14&lt;&gt;'Map 2 Do Touch'!L15,IF('Map 2 Do Touch'!M15&gt;4,INDEX($AG$4:$AH$6,MATCH(INDEX($I$3:$L$6,MATCH(MOD('Map 2 Do Touch'!L15,4),$H$3:$H$6,0),MATCH(MOD('Map 2 Do Touch'!M15,4),$I$2:$L$2,0)),$AF$4:$AF$6,0),MATCH(IF('Map 2 Do Touch'!L15&gt;4,"Water","Land"),'Map 3'!$AG$3:$AH$3,0)),INDEX($AK$4:$AL$6,MATCH(INDEX($I$3:$L$6,MATCH(MOD('Map 2 Do Touch'!L15,4),$H$3:$H$6,0),MATCH(MOD('Map 2 Do Touch'!M15,4),$I$2:$L$2,0)),'Map 3'!$AJ$4:$AJ$6,0),MATCH(IF('Map 2 Do Touch'!L15&gt;4,"Water","Land"),'Map 3'!$AK$3:$AL$3,0))),IF('Map 2 Do Touch'!M15&gt;4,INDEX($AG$4:$AH$6,MATCH(INDEX($P$3:$S$6,MATCH(MOD('Map 2 Do Touch'!M14,4),$O$3:$O$6,0),MATCH(MOD('Map 2 Do Touch'!M15,4),$P$2:$S$2,0)),$AF$4:$AF$6,0),MATCH(IF('Map 2 Do Touch'!M14&gt;4,"Water","Land"),'Map 3'!$AG$3:$AH$3,0)),INDEX($AK$4:$AL$6,MATCH(INDEX($P$3:$S$6,MATCH(MOD('Map 2 Do Touch'!M14,4),$O$3:$O$6,0),MATCH(MOD('Map 2 Do Touch'!M15,4),$P$2:$S$2,0)),'Map 3'!$AJ$4:$AJ$6,0),MATCH(IF('Map 2 Do Touch'!M14&gt;4,"Water","Land"),'Map 3'!$AK$3:$AL$3,0))))</f>
        <v>Coast</v>
      </c>
      <c r="N19" s="3" t="str">
        <f ca="1">IF('Map 2 Do Touch'!M14&lt;&gt;'Map 2 Do Touch'!M15,IF('Map 2 Do Touch'!N15&gt;4,INDEX($AG$4:$AH$6,MATCH(INDEX($I$3:$L$6,MATCH(MOD('Map 2 Do Touch'!M15,4),$H$3:$H$6,0),MATCH(MOD('Map 2 Do Touch'!N15,4),$I$2:$L$2,0)),$AF$4:$AF$6,0),MATCH(IF('Map 2 Do Touch'!M15&gt;4,"Water","Land"),'Map 3'!$AG$3:$AH$3,0)),INDEX($AK$4:$AL$6,MATCH(INDEX($I$3:$L$6,MATCH(MOD('Map 2 Do Touch'!M15,4),$H$3:$H$6,0),MATCH(MOD('Map 2 Do Touch'!N15,4),$I$2:$L$2,0)),'Map 3'!$AJ$4:$AJ$6,0),MATCH(IF('Map 2 Do Touch'!M15&gt;4,"Water","Land"),'Map 3'!$AK$3:$AL$3,0))),IF('Map 2 Do Touch'!N15&gt;4,INDEX($AG$4:$AH$6,MATCH(INDEX($P$3:$S$6,MATCH(MOD('Map 2 Do Touch'!N14,4),$O$3:$O$6,0),MATCH(MOD('Map 2 Do Touch'!N15,4),$P$2:$S$2,0)),$AF$4:$AF$6,0),MATCH(IF('Map 2 Do Touch'!N14&gt;4,"Water","Land"),'Map 3'!$AG$3:$AH$3,0)),INDEX($AK$4:$AL$6,MATCH(INDEX($P$3:$S$6,MATCH(MOD('Map 2 Do Touch'!N14,4),$O$3:$O$6,0),MATCH(MOD('Map 2 Do Touch'!N15,4),$P$2:$S$2,0)),'Map 3'!$AJ$4:$AJ$6,0),MATCH(IF('Map 2 Do Touch'!N14&gt;4,"Water","Land"),'Map 3'!$AK$3:$AL$3,0))))</f>
        <v>Flatland</v>
      </c>
      <c r="O19" s="3" t="str">
        <f ca="1">IF('Map 2 Do Touch'!N14&lt;&gt;'Map 2 Do Touch'!N15,IF('Map 2 Do Touch'!O15&gt;4,INDEX($AG$4:$AH$6,MATCH(INDEX($I$3:$L$6,MATCH(MOD('Map 2 Do Touch'!N15,4),$H$3:$H$6,0),MATCH(MOD('Map 2 Do Touch'!O15,4),$I$2:$L$2,0)),$AF$4:$AF$6,0),MATCH(IF('Map 2 Do Touch'!N15&gt;4,"Water","Land"),'Map 3'!$AG$3:$AH$3,0)),INDEX($AK$4:$AL$6,MATCH(INDEX($I$3:$L$6,MATCH(MOD('Map 2 Do Touch'!N15,4),$H$3:$H$6,0),MATCH(MOD('Map 2 Do Touch'!O15,4),$I$2:$L$2,0)),'Map 3'!$AJ$4:$AJ$6,0),MATCH(IF('Map 2 Do Touch'!N15&gt;4,"Water","Land"),'Map 3'!$AK$3:$AL$3,0))),IF('Map 2 Do Touch'!O15&gt;4,INDEX($AG$4:$AH$6,MATCH(INDEX($P$3:$S$6,MATCH(MOD('Map 2 Do Touch'!O14,4),$O$3:$O$6,0),MATCH(MOD('Map 2 Do Touch'!O15,4),$P$2:$S$2,0)),$AF$4:$AF$6,0),MATCH(IF('Map 2 Do Touch'!O14&gt;4,"Water","Land"),'Map 3'!$AG$3:$AH$3,0)),INDEX($AK$4:$AL$6,MATCH(INDEX($P$3:$S$6,MATCH(MOD('Map 2 Do Touch'!O14,4),$O$3:$O$6,0),MATCH(MOD('Map 2 Do Touch'!O15,4),$P$2:$S$2,0)),'Map 3'!$AJ$4:$AJ$6,0),MATCH(IF('Map 2 Do Touch'!O14&gt;4,"Water","Land"),'Map 3'!$AK$3:$AL$3,0))))</f>
        <v>Coast</v>
      </c>
      <c r="P19" s="3" t="str">
        <f ca="1">IF('Map 2 Do Touch'!O14&lt;&gt;'Map 2 Do Touch'!O15,IF('Map 2 Do Touch'!P15&gt;4,INDEX($AG$4:$AH$6,MATCH(INDEX($I$3:$L$6,MATCH(MOD('Map 2 Do Touch'!O15,4),$H$3:$H$6,0),MATCH(MOD('Map 2 Do Touch'!P15,4),$I$2:$L$2,0)),$AF$4:$AF$6,0),MATCH(IF('Map 2 Do Touch'!O15&gt;4,"Water","Land"),'Map 3'!$AG$3:$AH$3,0)),INDEX($AK$4:$AL$6,MATCH(INDEX($I$3:$L$6,MATCH(MOD('Map 2 Do Touch'!O15,4),$H$3:$H$6,0),MATCH(MOD('Map 2 Do Touch'!P15,4),$I$2:$L$2,0)),'Map 3'!$AJ$4:$AJ$6,0),MATCH(IF('Map 2 Do Touch'!O15&gt;4,"Water","Land"),'Map 3'!$AK$3:$AL$3,0))),IF('Map 2 Do Touch'!P15&gt;4,INDEX($AG$4:$AH$6,MATCH(INDEX($P$3:$S$6,MATCH(MOD('Map 2 Do Touch'!P14,4),$O$3:$O$6,0),MATCH(MOD('Map 2 Do Touch'!P15,4),$P$2:$S$2,0)),$AF$4:$AF$6,0),MATCH(IF('Map 2 Do Touch'!P14&gt;4,"Water","Land"),'Map 3'!$AG$3:$AH$3,0)),INDEX($AK$4:$AL$6,MATCH(INDEX($P$3:$S$6,MATCH(MOD('Map 2 Do Touch'!P14,4),$O$3:$O$6,0),MATCH(MOD('Map 2 Do Touch'!P15,4),$P$2:$S$2,0)),'Map 3'!$AJ$4:$AJ$6,0),MATCH(IF('Map 2 Do Touch'!P14&gt;4,"Water","Land"),'Map 3'!$AK$3:$AL$3,0))))</f>
        <v>Coast</v>
      </c>
      <c r="Q19" s="3" t="str">
        <f ca="1">IF('Map 2 Do Touch'!P14&lt;&gt;'Map 2 Do Touch'!P15,IF('Map 2 Do Touch'!Q15&gt;4,INDEX($AG$4:$AH$6,MATCH(INDEX($I$3:$L$6,MATCH(MOD('Map 2 Do Touch'!P15,4),$H$3:$H$6,0),MATCH(MOD('Map 2 Do Touch'!Q15,4),$I$2:$L$2,0)),$AF$4:$AF$6,0),MATCH(IF('Map 2 Do Touch'!P15&gt;4,"Water","Land"),'Map 3'!$AG$3:$AH$3,0)),INDEX($AK$4:$AL$6,MATCH(INDEX($I$3:$L$6,MATCH(MOD('Map 2 Do Touch'!P15,4),$H$3:$H$6,0),MATCH(MOD('Map 2 Do Touch'!Q15,4),$I$2:$L$2,0)),'Map 3'!$AJ$4:$AJ$6,0),MATCH(IF('Map 2 Do Touch'!P15&gt;4,"Water","Land"),'Map 3'!$AK$3:$AL$3,0))),IF('Map 2 Do Touch'!Q15&gt;4,INDEX($AG$4:$AH$6,MATCH(INDEX($P$3:$S$6,MATCH(MOD('Map 2 Do Touch'!Q14,4),$O$3:$O$6,0),MATCH(MOD('Map 2 Do Touch'!Q15,4),$P$2:$S$2,0)),$AF$4:$AF$6,0),MATCH(IF('Map 2 Do Touch'!Q14&gt;4,"Water","Land"),'Map 3'!$AG$3:$AH$3,0)),INDEX($AK$4:$AL$6,MATCH(INDEX($P$3:$S$6,MATCH(MOD('Map 2 Do Touch'!Q14,4),$O$3:$O$6,0),MATCH(MOD('Map 2 Do Touch'!Q15,4),$P$2:$S$2,0)),'Map 3'!$AJ$4:$AJ$6,0),MATCH(IF('Map 2 Do Touch'!Q14&gt;4,"Water","Land"),'Map 3'!$AK$3:$AL$3,0))))</f>
        <v>Coast</v>
      </c>
      <c r="R19" s="3" t="str">
        <f ca="1">IF('Map 2 Do Touch'!Q14&lt;&gt;'Map 2 Do Touch'!Q15,IF('Map 2 Do Touch'!R15&gt;4,INDEX($AG$4:$AH$6,MATCH(INDEX($I$3:$L$6,MATCH(MOD('Map 2 Do Touch'!Q15,4),$H$3:$H$6,0),MATCH(MOD('Map 2 Do Touch'!R15,4),$I$2:$L$2,0)),$AF$4:$AF$6,0),MATCH(IF('Map 2 Do Touch'!Q15&gt;4,"Water","Land"),'Map 3'!$AG$3:$AH$3,0)),INDEX($AK$4:$AL$6,MATCH(INDEX($I$3:$L$6,MATCH(MOD('Map 2 Do Touch'!Q15,4),$H$3:$H$6,0),MATCH(MOD('Map 2 Do Touch'!R15,4),$I$2:$L$2,0)),'Map 3'!$AJ$4:$AJ$6,0),MATCH(IF('Map 2 Do Touch'!Q15&gt;4,"Water","Land"),'Map 3'!$AK$3:$AL$3,0))),IF('Map 2 Do Touch'!R15&gt;4,INDEX($AG$4:$AH$6,MATCH(INDEX($P$3:$S$6,MATCH(MOD('Map 2 Do Touch'!R14,4),$O$3:$O$6,0),MATCH(MOD('Map 2 Do Touch'!R15,4),$P$2:$S$2,0)),$AF$4:$AF$6,0),MATCH(IF('Map 2 Do Touch'!R14&gt;4,"Water","Land"),'Map 3'!$AG$3:$AH$3,0)),INDEX($AK$4:$AL$6,MATCH(INDEX($P$3:$S$6,MATCH(MOD('Map 2 Do Touch'!R14,4),$O$3:$O$6,0),MATCH(MOD('Map 2 Do Touch'!R15,4),$P$2:$S$2,0)),'Map 3'!$AJ$4:$AJ$6,0),MATCH(IF('Map 2 Do Touch'!R14&gt;4,"Water","Land"),'Map 3'!$AK$3:$AL$3,0))))</f>
        <v>Ocean</v>
      </c>
      <c r="S19" s="3" t="str">
        <f ca="1">IF('Map 2 Do Touch'!R14&lt;&gt;'Map 2 Do Touch'!R15,IF('Map 2 Do Touch'!S15&gt;4,INDEX($AG$4:$AH$6,MATCH(INDEX($I$3:$L$6,MATCH(MOD('Map 2 Do Touch'!R15,4),$H$3:$H$6,0),MATCH(MOD('Map 2 Do Touch'!S15,4),$I$2:$L$2,0)),$AF$4:$AF$6,0),MATCH(IF('Map 2 Do Touch'!R15&gt;4,"Water","Land"),'Map 3'!$AG$3:$AH$3,0)),INDEX($AK$4:$AL$6,MATCH(INDEX($I$3:$L$6,MATCH(MOD('Map 2 Do Touch'!R15,4),$H$3:$H$6,0),MATCH(MOD('Map 2 Do Touch'!S15,4),$I$2:$L$2,0)),'Map 3'!$AJ$4:$AJ$6,0),MATCH(IF('Map 2 Do Touch'!R15&gt;4,"Water","Land"),'Map 3'!$AK$3:$AL$3,0))),IF('Map 2 Do Touch'!S15&gt;4,INDEX($AG$4:$AH$6,MATCH(INDEX($P$3:$S$6,MATCH(MOD('Map 2 Do Touch'!S14,4),$O$3:$O$6,0),MATCH(MOD('Map 2 Do Touch'!S15,4),$P$2:$S$2,0)),$AF$4:$AF$6,0),MATCH(IF('Map 2 Do Touch'!S14&gt;4,"Water","Land"),'Map 3'!$AG$3:$AH$3,0)),INDEX($AK$4:$AL$6,MATCH(INDEX($P$3:$S$6,MATCH(MOD('Map 2 Do Touch'!S14,4),$O$3:$O$6,0),MATCH(MOD('Map 2 Do Touch'!S15,4),$P$2:$S$2,0)),'Map 3'!$AJ$4:$AJ$6,0),MATCH(IF('Map 2 Do Touch'!S14&gt;4,"Water","Land"),'Map 3'!$AK$3:$AL$3,0))))</f>
        <v>Ocean</v>
      </c>
      <c r="T19" s="3" t="str">
        <f ca="1">IF('Map 2 Do Touch'!S14&lt;&gt;'Map 2 Do Touch'!S15,IF('Map 2 Do Touch'!T15&gt;4,INDEX($AG$4:$AH$6,MATCH(INDEX($I$3:$L$6,MATCH(MOD('Map 2 Do Touch'!S15,4),$H$3:$H$6,0),MATCH(MOD('Map 2 Do Touch'!T15,4),$I$2:$L$2,0)),$AF$4:$AF$6,0),MATCH(IF('Map 2 Do Touch'!S15&gt;4,"Water","Land"),'Map 3'!$AG$3:$AH$3,0)),INDEX($AK$4:$AL$6,MATCH(INDEX($I$3:$L$6,MATCH(MOD('Map 2 Do Touch'!S15,4),$H$3:$H$6,0),MATCH(MOD('Map 2 Do Touch'!T15,4),$I$2:$L$2,0)),'Map 3'!$AJ$4:$AJ$6,0),MATCH(IF('Map 2 Do Touch'!S15&gt;4,"Water","Land"),'Map 3'!$AK$3:$AL$3,0))),IF('Map 2 Do Touch'!T15&gt;4,INDEX($AG$4:$AH$6,MATCH(INDEX($P$3:$S$6,MATCH(MOD('Map 2 Do Touch'!T14,4),$O$3:$O$6,0),MATCH(MOD('Map 2 Do Touch'!T15,4),$P$2:$S$2,0)),$AF$4:$AF$6,0),MATCH(IF('Map 2 Do Touch'!T14&gt;4,"Water","Land"),'Map 3'!$AG$3:$AH$3,0)),INDEX($AK$4:$AL$6,MATCH(INDEX($P$3:$S$6,MATCH(MOD('Map 2 Do Touch'!T14,4),$O$3:$O$6,0),MATCH(MOD('Map 2 Do Touch'!T15,4),$P$2:$S$2,0)),'Map 3'!$AJ$4:$AJ$6,0),MATCH(IF('Map 2 Do Touch'!T14&gt;4,"Water","Land"),'Map 3'!$AK$3:$AL$3,0))))</f>
        <v>Ocean</v>
      </c>
      <c r="U19" s="3" t="str">
        <f ca="1">IF('Map 2 Do Touch'!T14&lt;&gt;'Map 2 Do Touch'!T15,IF('Map 2 Do Touch'!U15&gt;4,INDEX($AG$4:$AH$6,MATCH(INDEX($I$3:$L$6,MATCH(MOD('Map 2 Do Touch'!T15,4),$H$3:$H$6,0),MATCH(MOD('Map 2 Do Touch'!U15,4),$I$2:$L$2,0)),$AF$4:$AF$6,0),MATCH(IF('Map 2 Do Touch'!T15&gt;4,"Water","Land"),'Map 3'!$AG$3:$AH$3,0)),INDEX($AK$4:$AL$6,MATCH(INDEX($I$3:$L$6,MATCH(MOD('Map 2 Do Touch'!T15,4),$H$3:$H$6,0),MATCH(MOD('Map 2 Do Touch'!U15,4),$I$2:$L$2,0)),'Map 3'!$AJ$4:$AJ$6,0),MATCH(IF('Map 2 Do Touch'!T15&gt;4,"Water","Land"),'Map 3'!$AK$3:$AL$3,0))),IF('Map 2 Do Touch'!U15&gt;4,INDEX($AG$4:$AH$6,MATCH(INDEX($P$3:$S$6,MATCH(MOD('Map 2 Do Touch'!U14,4),$O$3:$O$6,0),MATCH(MOD('Map 2 Do Touch'!U15,4),$P$2:$S$2,0)),$AF$4:$AF$6,0),MATCH(IF('Map 2 Do Touch'!U14&gt;4,"Water","Land"),'Map 3'!$AG$3:$AH$3,0)),INDEX($AK$4:$AL$6,MATCH(INDEX($P$3:$S$6,MATCH(MOD('Map 2 Do Touch'!U14,4),$O$3:$O$6,0),MATCH(MOD('Map 2 Do Touch'!U15,4),$P$2:$S$2,0)),'Map 3'!$AJ$4:$AJ$6,0),MATCH(IF('Map 2 Do Touch'!U14&gt;4,"Water","Land"),'Map 3'!$AK$3:$AL$3,0))))</f>
        <v>Ocean</v>
      </c>
      <c r="V19" s="3" t="str">
        <f ca="1">IF('Map 2 Do Touch'!U14&lt;&gt;'Map 2 Do Touch'!U15,IF('Map 2 Do Touch'!V15&gt;4,INDEX($AG$4:$AH$6,MATCH(INDEX($I$3:$L$6,MATCH(MOD('Map 2 Do Touch'!U15,4),$H$3:$H$6,0),MATCH(MOD('Map 2 Do Touch'!V15,4),$I$2:$L$2,0)),$AF$4:$AF$6,0),MATCH(IF('Map 2 Do Touch'!U15&gt;4,"Water","Land"),'Map 3'!$AG$3:$AH$3,0)),INDEX($AK$4:$AL$6,MATCH(INDEX($I$3:$L$6,MATCH(MOD('Map 2 Do Touch'!U15,4),$H$3:$H$6,0),MATCH(MOD('Map 2 Do Touch'!V15,4),$I$2:$L$2,0)),'Map 3'!$AJ$4:$AJ$6,0),MATCH(IF('Map 2 Do Touch'!U15&gt;4,"Water","Land"),'Map 3'!$AK$3:$AL$3,0))),IF('Map 2 Do Touch'!V15&gt;4,INDEX($AG$4:$AH$6,MATCH(INDEX($P$3:$S$6,MATCH(MOD('Map 2 Do Touch'!V14,4),$O$3:$O$6,0),MATCH(MOD('Map 2 Do Touch'!V15,4),$P$2:$S$2,0)),$AF$4:$AF$6,0),MATCH(IF('Map 2 Do Touch'!V14&gt;4,"Water","Land"),'Map 3'!$AG$3:$AH$3,0)),INDEX($AK$4:$AL$6,MATCH(INDEX($P$3:$S$6,MATCH(MOD('Map 2 Do Touch'!V14,4),$O$3:$O$6,0),MATCH(MOD('Map 2 Do Touch'!V15,4),$P$2:$S$2,0)),'Map 3'!$AJ$4:$AJ$6,0),MATCH(IF('Map 2 Do Touch'!V14&gt;4,"Water","Land"),'Map 3'!$AK$3:$AL$3,0))))</f>
        <v>Ocean</v>
      </c>
      <c r="W19" s="3" t="str">
        <f ca="1">IF('Map 2 Do Touch'!V14&lt;&gt;'Map 2 Do Touch'!V15,IF('Map 2 Do Touch'!W15&gt;4,INDEX($AG$4:$AH$6,MATCH(INDEX($I$3:$L$6,MATCH(MOD('Map 2 Do Touch'!V15,4),$H$3:$H$6,0),MATCH(MOD('Map 2 Do Touch'!W15,4),$I$2:$L$2,0)),$AF$4:$AF$6,0),MATCH(IF('Map 2 Do Touch'!V15&gt;4,"Water","Land"),'Map 3'!$AG$3:$AH$3,0)),INDEX($AK$4:$AL$6,MATCH(INDEX($I$3:$L$6,MATCH(MOD('Map 2 Do Touch'!V15,4),$H$3:$H$6,0),MATCH(MOD('Map 2 Do Touch'!W15,4),$I$2:$L$2,0)),'Map 3'!$AJ$4:$AJ$6,0),MATCH(IF('Map 2 Do Touch'!V15&gt;4,"Water","Land"),'Map 3'!$AK$3:$AL$3,0))),IF('Map 2 Do Touch'!W15&gt;4,INDEX($AG$4:$AH$6,MATCH(INDEX($P$3:$S$6,MATCH(MOD('Map 2 Do Touch'!W14,4),$O$3:$O$6,0),MATCH(MOD('Map 2 Do Touch'!W15,4),$P$2:$S$2,0)),$AF$4:$AF$6,0),MATCH(IF('Map 2 Do Touch'!W14&gt;4,"Water","Land"),'Map 3'!$AG$3:$AH$3,0)),INDEX($AK$4:$AL$6,MATCH(INDEX($P$3:$S$6,MATCH(MOD('Map 2 Do Touch'!W14,4),$O$3:$O$6,0),MATCH(MOD('Map 2 Do Touch'!W15,4),$P$2:$S$2,0)),'Map 3'!$AJ$4:$AJ$6,0),MATCH(IF('Map 2 Do Touch'!W14&gt;4,"Water","Land"),'Map 3'!$AK$3:$AL$3,0))))</f>
        <v>Ocean</v>
      </c>
      <c r="X19" s="3" t="str">
        <f ca="1">IF('Map 2 Do Touch'!W14&lt;&gt;'Map 2 Do Touch'!W15,IF('Map 2 Do Touch'!X15&gt;4,INDEX($AG$4:$AH$6,MATCH(INDEX($I$3:$L$6,MATCH(MOD('Map 2 Do Touch'!W15,4),$H$3:$H$6,0),MATCH(MOD('Map 2 Do Touch'!X15,4),$I$2:$L$2,0)),$AF$4:$AF$6,0),MATCH(IF('Map 2 Do Touch'!W15&gt;4,"Water","Land"),'Map 3'!$AG$3:$AH$3,0)),INDEX($AK$4:$AL$6,MATCH(INDEX($I$3:$L$6,MATCH(MOD('Map 2 Do Touch'!W15,4),$H$3:$H$6,0),MATCH(MOD('Map 2 Do Touch'!X15,4),$I$2:$L$2,0)),'Map 3'!$AJ$4:$AJ$6,0),MATCH(IF('Map 2 Do Touch'!W15&gt;4,"Water","Land"),'Map 3'!$AK$3:$AL$3,0))),IF('Map 2 Do Touch'!X15&gt;4,INDEX($AG$4:$AH$6,MATCH(INDEX($P$3:$S$6,MATCH(MOD('Map 2 Do Touch'!X14,4),$O$3:$O$6,0),MATCH(MOD('Map 2 Do Touch'!X15,4),$P$2:$S$2,0)),$AF$4:$AF$6,0),MATCH(IF('Map 2 Do Touch'!X14&gt;4,"Water","Land"),'Map 3'!$AG$3:$AH$3,0)),INDEX($AK$4:$AL$6,MATCH(INDEX($P$3:$S$6,MATCH(MOD('Map 2 Do Touch'!X14,4),$O$3:$O$6,0),MATCH(MOD('Map 2 Do Touch'!X15,4),$P$2:$S$2,0)),'Map 3'!$AJ$4:$AJ$6,0),MATCH(IF('Map 2 Do Touch'!X14&gt;4,"Water","Land"),'Map 3'!$AK$3:$AL$3,0))))</f>
        <v>Ocean</v>
      </c>
      <c r="Y19" s="3" t="str">
        <f ca="1">IF('Map 2 Do Touch'!X14&lt;&gt;'Map 2 Do Touch'!X15,IF('Map 2 Do Touch'!Y15&gt;4,INDEX($AG$4:$AH$6,MATCH(INDEX($I$3:$L$6,MATCH(MOD('Map 2 Do Touch'!X15,4),$H$3:$H$6,0),MATCH(MOD('Map 2 Do Touch'!Y15,4),$I$2:$L$2,0)),$AF$4:$AF$6,0),MATCH(IF('Map 2 Do Touch'!X15&gt;4,"Water","Land"),'Map 3'!$AG$3:$AH$3,0)),INDEX($AK$4:$AL$6,MATCH(INDEX($I$3:$L$6,MATCH(MOD('Map 2 Do Touch'!X15,4),$H$3:$H$6,0),MATCH(MOD('Map 2 Do Touch'!Y15,4),$I$2:$L$2,0)),'Map 3'!$AJ$4:$AJ$6,0),MATCH(IF('Map 2 Do Touch'!X15&gt;4,"Water","Land"),'Map 3'!$AK$3:$AL$3,0))),IF('Map 2 Do Touch'!Y15&gt;4,INDEX($AG$4:$AH$6,MATCH(INDEX($P$3:$S$6,MATCH(MOD('Map 2 Do Touch'!Y14,4),$O$3:$O$6,0),MATCH(MOD('Map 2 Do Touch'!Y15,4),$P$2:$S$2,0)),$AF$4:$AF$6,0),MATCH(IF('Map 2 Do Touch'!Y14&gt;4,"Water","Land"),'Map 3'!$AG$3:$AH$3,0)),INDEX($AK$4:$AL$6,MATCH(INDEX($P$3:$S$6,MATCH(MOD('Map 2 Do Touch'!Y14,4),$O$3:$O$6,0),MATCH(MOD('Map 2 Do Touch'!Y15,4),$P$2:$S$2,0)),'Map 3'!$AJ$4:$AJ$6,0),MATCH(IF('Map 2 Do Touch'!Y14&gt;4,"Water","Land"),'Map 3'!$AK$3:$AL$3,0))))</f>
        <v>Ocean</v>
      </c>
      <c r="Z19" s="3" t="str">
        <f ca="1">IF('Map 2 Do Touch'!Y14&lt;&gt;'Map 2 Do Touch'!Y15,IF('Map 2 Do Touch'!Z15&gt;4,INDEX($AG$4:$AH$6,MATCH(INDEX($I$3:$L$6,MATCH(MOD('Map 2 Do Touch'!Y15,4),$H$3:$H$6,0),MATCH(MOD('Map 2 Do Touch'!Z15,4),$I$2:$L$2,0)),$AF$4:$AF$6,0),MATCH(IF('Map 2 Do Touch'!Y15&gt;4,"Water","Land"),'Map 3'!$AG$3:$AH$3,0)),INDEX($AK$4:$AL$6,MATCH(INDEX($I$3:$L$6,MATCH(MOD('Map 2 Do Touch'!Y15,4),$H$3:$H$6,0),MATCH(MOD('Map 2 Do Touch'!Z15,4),$I$2:$L$2,0)),'Map 3'!$AJ$4:$AJ$6,0),MATCH(IF('Map 2 Do Touch'!Y15&gt;4,"Water","Land"),'Map 3'!$AK$3:$AL$3,0))),IF('Map 2 Do Touch'!Z15&gt;4,INDEX($AG$4:$AH$6,MATCH(INDEX($P$3:$S$6,MATCH(MOD('Map 2 Do Touch'!Z14,4),$O$3:$O$6,0),MATCH(MOD('Map 2 Do Touch'!Z15,4),$P$2:$S$2,0)),$AF$4:$AF$6,0),MATCH(IF('Map 2 Do Touch'!Z14&gt;4,"Water","Land"),'Map 3'!$AG$3:$AH$3,0)),INDEX($AK$4:$AL$6,MATCH(INDEX($P$3:$S$6,MATCH(MOD('Map 2 Do Touch'!Z14,4),$O$3:$O$6,0),MATCH(MOD('Map 2 Do Touch'!Z15,4),$P$2:$S$2,0)),'Map 3'!$AJ$4:$AJ$6,0),MATCH(IF('Map 2 Do Touch'!Z14&gt;4,"Water","Land"),'Map 3'!$AK$3:$AL$3,0))))</f>
        <v>Coast</v>
      </c>
      <c r="AA19" s="3" t="str">
        <f ca="1">IF('Map 2 Do Touch'!Z14&lt;&gt;'Map 2 Do Touch'!Z15,IF('Map 2 Do Touch'!AA15&gt;4,INDEX($AG$4:$AH$6,MATCH(INDEX($I$3:$L$6,MATCH(MOD('Map 2 Do Touch'!Z15,4),$H$3:$H$6,0),MATCH(MOD('Map 2 Do Touch'!AA15,4),$I$2:$L$2,0)),$AF$4:$AF$6,0),MATCH(IF('Map 2 Do Touch'!Z15&gt;4,"Water","Land"),'Map 3'!$AG$3:$AH$3,0)),INDEX($AK$4:$AL$6,MATCH(INDEX($I$3:$L$6,MATCH(MOD('Map 2 Do Touch'!Z15,4),$H$3:$H$6,0),MATCH(MOD('Map 2 Do Touch'!AA15,4),$I$2:$L$2,0)),'Map 3'!$AJ$4:$AJ$6,0),MATCH(IF('Map 2 Do Touch'!Z15&gt;4,"Water","Land"),'Map 3'!$AK$3:$AL$3,0))),IF('Map 2 Do Touch'!AA15&gt;4,INDEX($AG$4:$AH$6,MATCH(INDEX($P$3:$S$6,MATCH(MOD('Map 2 Do Touch'!AA14,4),$O$3:$O$6,0),MATCH(MOD('Map 2 Do Touch'!AA15,4),$P$2:$S$2,0)),$AF$4:$AF$6,0),MATCH(IF('Map 2 Do Touch'!AA14&gt;4,"Water","Land"),'Map 3'!$AG$3:$AH$3,0)),INDEX($AK$4:$AL$6,MATCH(INDEX($P$3:$S$6,MATCH(MOD('Map 2 Do Touch'!AA14,4),$O$3:$O$6,0),MATCH(MOD('Map 2 Do Touch'!AA15,4),$P$2:$S$2,0)),'Map 3'!$AJ$4:$AJ$6,0),MATCH(IF('Map 2 Do Touch'!AA14&gt;4,"Water","Land"),'Map 3'!$AK$3:$AL$3,0))))</f>
        <v>Mountain</v>
      </c>
      <c r="AB19" s="3" t="str">
        <f ca="1">IF('Map 2 Do Touch'!AA14&lt;&gt;'Map 2 Do Touch'!AA15,IF('Map 2 Do Touch'!AB15&gt;4,INDEX($AG$4:$AH$6,MATCH(INDEX($I$3:$L$6,MATCH(MOD('Map 2 Do Touch'!AA15,4),$H$3:$H$6,0),MATCH(MOD('Map 2 Do Touch'!AB15,4),$I$2:$L$2,0)),$AF$4:$AF$6,0),MATCH(IF('Map 2 Do Touch'!AA15&gt;4,"Water","Land"),'Map 3'!$AG$3:$AH$3,0)),INDEX($AK$4:$AL$6,MATCH(INDEX($I$3:$L$6,MATCH(MOD('Map 2 Do Touch'!AA15,4),$H$3:$H$6,0),MATCH(MOD('Map 2 Do Touch'!AB15,4),$I$2:$L$2,0)),'Map 3'!$AJ$4:$AJ$6,0),MATCH(IF('Map 2 Do Touch'!AA15&gt;4,"Water","Land"),'Map 3'!$AK$3:$AL$3,0))),IF('Map 2 Do Touch'!AB15&gt;4,INDEX($AG$4:$AH$6,MATCH(INDEX($P$3:$S$6,MATCH(MOD('Map 2 Do Touch'!AB14,4),$O$3:$O$6,0),MATCH(MOD('Map 2 Do Touch'!AB15,4),$P$2:$S$2,0)),$AF$4:$AF$6,0),MATCH(IF('Map 2 Do Touch'!AB14&gt;4,"Water","Land"),'Map 3'!$AG$3:$AH$3,0)),INDEX($AK$4:$AL$6,MATCH(INDEX($P$3:$S$6,MATCH(MOD('Map 2 Do Touch'!AB14,4),$O$3:$O$6,0),MATCH(MOD('Map 2 Do Touch'!AB15,4),$P$2:$S$2,0)),'Map 3'!$AJ$4:$AJ$6,0),MATCH(IF('Map 2 Do Touch'!AB14&gt;4,"Water","Land"),'Map 3'!$AK$3:$AL$3,0))))</f>
        <v>Flatland</v>
      </c>
      <c r="AC19" s="3" t="str">
        <f ca="1">IF('Map 2 Do Touch'!AB14&lt;&gt;'Map 2 Do Touch'!AB15,IF('Map 2 Do Touch'!AC15&gt;4,INDEX($AG$4:$AH$6,MATCH(INDEX($I$3:$L$6,MATCH(MOD('Map 2 Do Touch'!AB15,4),$H$3:$H$6,0),MATCH(MOD('Map 2 Do Touch'!AC15,4),$I$2:$L$2,0)),$AF$4:$AF$6,0),MATCH(IF('Map 2 Do Touch'!AB15&gt;4,"Water","Land"),'Map 3'!$AG$3:$AH$3,0)),INDEX($AK$4:$AL$6,MATCH(INDEX($I$3:$L$6,MATCH(MOD('Map 2 Do Touch'!AB15,4),$H$3:$H$6,0),MATCH(MOD('Map 2 Do Touch'!AC15,4),$I$2:$L$2,0)),'Map 3'!$AJ$4:$AJ$6,0),MATCH(IF('Map 2 Do Touch'!AB15&gt;4,"Water","Land"),'Map 3'!$AK$3:$AL$3,0))),IF('Map 2 Do Touch'!AC15&gt;4,INDEX($AG$4:$AH$6,MATCH(INDEX($P$3:$S$6,MATCH(MOD('Map 2 Do Touch'!AC14,4),$O$3:$O$6,0),MATCH(MOD('Map 2 Do Touch'!AC15,4),$P$2:$S$2,0)),$AF$4:$AF$6,0),MATCH(IF('Map 2 Do Touch'!AC14&gt;4,"Water","Land"),'Map 3'!$AG$3:$AH$3,0)),INDEX($AK$4:$AL$6,MATCH(INDEX($P$3:$S$6,MATCH(MOD('Map 2 Do Touch'!AC14,4),$O$3:$O$6,0),MATCH(MOD('Map 2 Do Touch'!AC15,4),$P$2:$S$2,0)),'Map 3'!$AJ$4:$AJ$6,0),MATCH(IF('Map 2 Do Touch'!AC14&gt;4,"Water","Land"),'Map 3'!$AK$3:$AL$3,0))))</f>
        <v>Coast</v>
      </c>
      <c r="AD19" s="3" t="str">
        <f ca="1">IF('Map 2 Do Touch'!AC14&lt;&gt;'Map 2 Do Touch'!AC15,IF('Map 2 Do Touch'!AD15&gt;4,INDEX($AG$4:$AH$6,MATCH(INDEX($I$3:$L$6,MATCH(MOD('Map 2 Do Touch'!AC15,4),$H$3:$H$6,0),MATCH(MOD('Map 2 Do Touch'!AD15,4),$I$2:$L$2,0)),$AF$4:$AF$6,0),MATCH(IF('Map 2 Do Touch'!AC15&gt;4,"Water","Land"),'Map 3'!$AG$3:$AH$3,0)),INDEX($AK$4:$AL$6,MATCH(INDEX($I$3:$L$6,MATCH(MOD('Map 2 Do Touch'!AC15,4),$H$3:$H$6,0),MATCH(MOD('Map 2 Do Touch'!AD15,4),$I$2:$L$2,0)),'Map 3'!$AJ$4:$AJ$6,0),MATCH(IF('Map 2 Do Touch'!AC15&gt;4,"Water","Land"),'Map 3'!$AK$3:$AL$3,0))),IF('Map 2 Do Touch'!AD15&gt;4,INDEX($AG$4:$AH$6,MATCH(INDEX($P$3:$S$6,MATCH(MOD('Map 2 Do Touch'!AD14,4),$O$3:$O$6,0),MATCH(MOD('Map 2 Do Touch'!AD15,4),$P$2:$S$2,0)),$AF$4:$AF$6,0),MATCH(IF('Map 2 Do Touch'!AD14&gt;4,"Water","Land"),'Map 3'!$AG$3:$AH$3,0)),INDEX($AK$4:$AL$6,MATCH(INDEX($P$3:$S$6,MATCH(MOD('Map 2 Do Touch'!AD14,4),$O$3:$O$6,0),MATCH(MOD('Map 2 Do Touch'!AD15,4),$P$2:$S$2,0)),'Map 3'!$AJ$4:$AJ$6,0),MATCH(IF('Map 2 Do Touch'!AD14&gt;4,"Water","Land"),'Map 3'!$AK$3:$AL$3,0))))</f>
        <v>Ocean</v>
      </c>
      <c r="AE19" s="3" t="str">
        <f ca="1">IF('Map 2 Do Touch'!AD14&lt;&gt;'Map 2 Do Touch'!AD15,IF('Map 2 Do Touch'!AE15&gt;4,INDEX($AG$4:$AH$6,MATCH(INDEX($I$3:$L$6,MATCH(MOD('Map 2 Do Touch'!AD15,4),$H$3:$H$6,0),MATCH(MOD('Map 2 Do Touch'!AE15,4),$I$2:$L$2,0)),$AF$4:$AF$6,0),MATCH(IF('Map 2 Do Touch'!AD15&gt;4,"Water","Land"),'Map 3'!$AG$3:$AH$3,0)),INDEX($AK$4:$AL$6,MATCH(INDEX($I$3:$L$6,MATCH(MOD('Map 2 Do Touch'!AD15,4),$H$3:$H$6,0),MATCH(MOD('Map 2 Do Touch'!AE15,4),$I$2:$L$2,0)),'Map 3'!$AJ$4:$AJ$6,0),MATCH(IF('Map 2 Do Touch'!AD15&gt;4,"Water","Land"),'Map 3'!$AK$3:$AL$3,0))),IF('Map 2 Do Touch'!AE15&gt;4,INDEX($AG$4:$AH$6,MATCH(INDEX($P$3:$S$6,MATCH(MOD('Map 2 Do Touch'!AE14,4),$O$3:$O$6,0),MATCH(MOD('Map 2 Do Touch'!AE15,4),$P$2:$S$2,0)),$AF$4:$AF$6,0),MATCH(IF('Map 2 Do Touch'!AE14&gt;4,"Water","Land"),'Map 3'!$AG$3:$AH$3,0)),INDEX($AK$4:$AL$6,MATCH(INDEX($P$3:$S$6,MATCH(MOD('Map 2 Do Touch'!AE14,4),$O$3:$O$6,0),MATCH(MOD('Map 2 Do Touch'!AE15,4),$P$2:$S$2,0)),'Map 3'!$AJ$4:$AJ$6,0),MATCH(IF('Map 2 Do Touch'!AE14&gt;4,"Water","Land"),'Map 3'!$AK$3:$AL$3,0))))</f>
        <v>Ocean</v>
      </c>
      <c r="AF19" s="3" t="str">
        <f ca="1">IF('Map 2 Do Touch'!AE14&lt;&gt;'Map 2 Do Touch'!AE15,IF('Map 2 Do Touch'!AF15&gt;4,INDEX($AG$4:$AH$6,MATCH(INDEX($I$3:$L$6,MATCH(MOD('Map 2 Do Touch'!AE15,4),$H$3:$H$6,0),MATCH(MOD('Map 2 Do Touch'!AF15,4),$I$2:$L$2,0)),$AF$4:$AF$6,0),MATCH(IF('Map 2 Do Touch'!AE15&gt;4,"Water","Land"),'Map 3'!$AG$3:$AH$3,0)),INDEX($AK$4:$AL$6,MATCH(INDEX($I$3:$L$6,MATCH(MOD('Map 2 Do Touch'!AE15,4),$H$3:$H$6,0),MATCH(MOD('Map 2 Do Touch'!AF15,4),$I$2:$L$2,0)),'Map 3'!$AJ$4:$AJ$6,0),MATCH(IF('Map 2 Do Touch'!AE15&gt;4,"Water","Land"),'Map 3'!$AK$3:$AL$3,0))),IF('Map 2 Do Touch'!AF15&gt;4,INDEX($AG$4:$AH$6,MATCH(INDEX($P$3:$S$6,MATCH(MOD('Map 2 Do Touch'!AF14,4),$O$3:$O$6,0),MATCH(MOD('Map 2 Do Touch'!AF15,4),$P$2:$S$2,0)),$AF$4:$AF$6,0),MATCH(IF('Map 2 Do Touch'!AF14&gt;4,"Water","Land"),'Map 3'!$AG$3:$AH$3,0)),INDEX($AK$4:$AL$6,MATCH(INDEX($P$3:$S$6,MATCH(MOD('Map 2 Do Touch'!AF14,4),$O$3:$O$6,0),MATCH(MOD('Map 2 Do Touch'!AF15,4),$P$2:$S$2,0)),'Map 3'!$AJ$4:$AJ$6,0),MATCH(IF('Map 2 Do Touch'!AF14&gt;4,"Water","Land"),'Map 3'!$AK$3:$AL$3,0))))</f>
        <v>Ocean</v>
      </c>
      <c r="AG19" s="3" t="str">
        <f ca="1">IF('Map 2 Do Touch'!AF14&lt;&gt;'Map 2 Do Touch'!AF15,IF('Map 2 Do Touch'!AG15&gt;4,INDEX($AG$4:$AH$6,MATCH(INDEX($I$3:$L$6,MATCH(MOD('Map 2 Do Touch'!AF15,4),$H$3:$H$6,0),MATCH(MOD('Map 2 Do Touch'!AG15,4),$I$2:$L$2,0)),$AF$4:$AF$6,0),MATCH(IF('Map 2 Do Touch'!AF15&gt;4,"Water","Land"),'Map 3'!$AG$3:$AH$3,0)),INDEX($AK$4:$AL$6,MATCH(INDEX($I$3:$L$6,MATCH(MOD('Map 2 Do Touch'!AF15,4),$H$3:$H$6,0),MATCH(MOD('Map 2 Do Touch'!AG15,4),$I$2:$L$2,0)),'Map 3'!$AJ$4:$AJ$6,0),MATCH(IF('Map 2 Do Touch'!AF15&gt;4,"Water","Land"),'Map 3'!$AK$3:$AL$3,0))),IF('Map 2 Do Touch'!AG15&gt;4,INDEX($AG$4:$AH$6,MATCH(INDEX($P$3:$S$6,MATCH(MOD('Map 2 Do Touch'!AG14,4),$O$3:$O$6,0),MATCH(MOD('Map 2 Do Touch'!AG15,4),$P$2:$S$2,0)),$AF$4:$AF$6,0),MATCH(IF('Map 2 Do Touch'!AG14&gt;4,"Water","Land"),'Map 3'!$AG$3:$AH$3,0)),INDEX($AK$4:$AL$6,MATCH(INDEX($P$3:$S$6,MATCH(MOD('Map 2 Do Touch'!AG14,4),$O$3:$O$6,0),MATCH(MOD('Map 2 Do Touch'!AG15,4),$P$2:$S$2,0)),'Map 3'!$AJ$4:$AJ$6,0),MATCH(IF('Map 2 Do Touch'!AG14&gt;4,"Water","Land"),'Map 3'!$AK$3:$AL$3,0))))</f>
        <v>Trench</v>
      </c>
      <c r="AH19" s="3" t="str">
        <f ca="1">IF('Map 2 Do Touch'!AG14&lt;&gt;'Map 2 Do Touch'!AG15,IF('Map 2 Do Touch'!AH15&gt;4,INDEX($AG$4:$AH$6,MATCH(INDEX($I$3:$L$6,MATCH(MOD('Map 2 Do Touch'!AG15,4),$H$3:$H$6,0),MATCH(MOD('Map 2 Do Touch'!AH15,4),$I$2:$L$2,0)),$AF$4:$AF$6,0),MATCH(IF('Map 2 Do Touch'!AG15&gt;4,"Water","Land"),'Map 3'!$AG$3:$AH$3,0)),INDEX($AK$4:$AL$6,MATCH(INDEX($I$3:$L$6,MATCH(MOD('Map 2 Do Touch'!AG15,4),$H$3:$H$6,0),MATCH(MOD('Map 2 Do Touch'!AH15,4),$I$2:$L$2,0)),'Map 3'!$AJ$4:$AJ$6,0),MATCH(IF('Map 2 Do Touch'!AG15&gt;4,"Water","Land"),'Map 3'!$AK$3:$AL$3,0))),IF('Map 2 Do Touch'!AH15&gt;4,INDEX($AG$4:$AH$6,MATCH(INDEX($P$3:$S$6,MATCH(MOD('Map 2 Do Touch'!AH14,4),$O$3:$O$6,0),MATCH(MOD('Map 2 Do Touch'!AH15,4),$P$2:$S$2,0)),$AF$4:$AF$6,0),MATCH(IF('Map 2 Do Touch'!AH14&gt;4,"Water","Land"),'Map 3'!$AG$3:$AH$3,0)),INDEX($AK$4:$AL$6,MATCH(INDEX($P$3:$S$6,MATCH(MOD('Map 2 Do Touch'!AH14,4),$O$3:$O$6,0),MATCH(MOD('Map 2 Do Touch'!AH15,4),$P$2:$S$2,0)),'Map 3'!$AJ$4:$AJ$6,0),MATCH(IF('Map 2 Do Touch'!AH14&gt;4,"Water","Land"),'Map 3'!$AK$3:$AL$3,0))))</f>
        <v>Ocean</v>
      </c>
      <c r="AI19" s="3" t="str">
        <f ca="1">IF('Map 2 Do Touch'!AH14&lt;&gt;'Map 2 Do Touch'!AH15,IF('Map 2 Do Touch'!AI15&gt;4,INDEX($AG$4:$AH$6,MATCH(INDEX($I$3:$L$6,MATCH(MOD('Map 2 Do Touch'!AH15,4),$H$3:$H$6,0),MATCH(MOD('Map 2 Do Touch'!AI15,4),$I$2:$L$2,0)),$AF$4:$AF$6,0),MATCH(IF('Map 2 Do Touch'!AH15&gt;4,"Water","Land"),'Map 3'!$AG$3:$AH$3,0)),INDEX($AK$4:$AL$6,MATCH(INDEX($I$3:$L$6,MATCH(MOD('Map 2 Do Touch'!AH15,4),$H$3:$H$6,0),MATCH(MOD('Map 2 Do Touch'!AI15,4),$I$2:$L$2,0)),'Map 3'!$AJ$4:$AJ$6,0),MATCH(IF('Map 2 Do Touch'!AH15&gt;4,"Water","Land"),'Map 3'!$AK$3:$AL$3,0))),IF('Map 2 Do Touch'!AI15&gt;4,INDEX($AG$4:$AH$6,MATCH(INDEX($P$3:$S$6,MATCH(MOD('Map 2 Do Touch'!AI14,4),$O$3:$O$6,0),MATCH(MOD('Map 2 Do Touch'!AI15,4),$P$2:$S$2,0)),$AF$4:$AF$6,0),MATCH(IF('Map 2 Do Touch'!AI14&gt;4,"Water","Land"),'Map 3'!$AG$3:$AH$3,0)),INDEX($AK$4:$AL$6,MATCH(INDEX($P$3:$S$6,MATCH(MOD('Map 2 Do Touch'!AI14,4),$O$3:$O$6,0),MATCH(MOD('Map 2 Do Touch'!AI15,4),$P$2:$S$2,0)),'Map 3'!$AJ$4:$AJ$6,0),MATCH(IF('Map 2 Do Touch'!AI14&gt;4,"Water","Land"),'Map 3'!$AK$3:$AL$3,0))))</f>
        <v>Ocean</v>
      </c>
      <c r="AJ19" s="3" t="str">
        <f ca="1">IF('Map 2 Do Touch'!AI14&lt;&gt;'Map 2 Do Touch'!AI15,IF('Map 2 Do Touch'!AJ15&gt;4,INDEX($AG$4:$AH$6,MATCH(INDEX($I$3:$L$6,MATCH(MOD('Map 2 Do Touch'!AI15,4),$H$3:$H$6,0),MATCH(MOD('Map 2 Do Touch'!AJ15,4),$I$2:$L$2,0)),$AF$4:$AF$6,0),MATCH(IF('Map 2 Do Touch'!AI15&gt;4,"Water","Land"),'Map 3'!$AG$3:$AH$3,0)),INDEX($AK$4:$AL$6,MATCH(INDEX($I$3:$L$6,MATCH(MOD('Map 2 Do Touch'!AI15,4),$H$3:$H$6,0),MATCH(MOD('Map 2 Do Touch'!AJ15,4),$I$2:$L$2,0)),'Map 3'!$AJ$4:$AJ$6,0),MATCH(IF('Map 2 Do Touch'!AI15&gt;4,"Water","Land"),'Map 3'!$AK$3:$AL$3,0))),IF('Map 2 Do Touch'!AJ15&gt;4,INDEX($AG$4:$AH$6,MATCH(INDEX($P$3:$S$6,MATCH(MOD('Map 2 Do Touch'!AJ14,4),$O$3:$O$6,0),MATCH(MOD('Map 2 Do Touch'!AJ15,4),$P$2:$S$2,0)),$AF$4:$AF$6,0),MATCH(IF('Map 2 Do Touch'!AJ14&gt;4,"Water","Land"),'Map 3'!$AG$3:$AH$3,0)),INDEX($AK$4:$AL$6,MATCH(INDEX($P$3:$S$6,MATCH(MOD('Map 2 Do Touch'!AJ14,4),$O$3:$O$6,0),MATCH(MOD('Map 2 Do Touch'!AJ15,4),$P$2:$S$2,0)),'Map 3'!$AJ$4:$AJ$6,0),MATCH(IF('Map 2 Do Touch'!AJ14&gt;4,"Water","Land"),'Map 3'!$AK$3:$AL$3,0))))</f>
        <v>Trench</v>
      </c>
      <c r="AK19" s="3" t="str">
        <f ca="1">IF('Map 2 Do Touch'!AJ14&lt;&gt;'Map 2 Do Touch'!AJ15,IF('Map 2 Do Touch'!AK15&gt;4,INDEX($AG$4:$AH$6,MATCH(INDEX($I$3:$L$6,MATCH(MOD('Map 2 Do Touch'!AJ15,4),$H$3:$H$6,0),MATCH(MOD('Map 2 Do Touch'!AK15,4),$I$2:$L$2,0)),$AF$4:$AF$6,0),MATCH(IF('Map 2 Do Touch'!AJ15&gt;4,"Water","Land"),'Map 3'!$AG$3:$AH$3,0)),INDEX($AK$4:$AL$6,MATCH(INDEX($I$3:$L$6,MATCH(MOD('Map 2 Do Touch'!AJ15,4),$H$3:$H$6,0),MATCH(MOD('Map 2 Do Touch'!AK15,4),$I$2:$L$2,0)),'Map 3'!$AJ$4:$AJ$6,0),MATCH(IF('Map 2 Do Touch'!AJ15&gt;4,"Water","Land"),'Map 3'!$AK$3:$AL$3,0))),IF('Map 2 Do Touch'!AK15&gt;4,INDEX($AG$4:$AH$6,MATCH(INDEX($P$3:$S$6,MATCH(MOD('Map 2 Do Touch'!AK14,4),$O$3:$O$6,0),MATCH(MOD('Map 2 Do Touch'!AK15,4),$P$2:$S$2,0)),$AF$4:$AF$6,0),MATCH(IF('Map 2 Do Touch'!AK14&gt;4,"Water","Land"),'Map 3'!$AG$3:$AH$3,0)),INDEX($AK$4:$AL$6,MATCH(INDEX($P$3:$S$6,MATCH(MOD('Map 2 Do Touch'!AK14,4),$O$3:$O$6,0),MATCH(MOD('Map 2 Do Touch'!AK15,4),$P$2:$S$2,0)),'Map 3'!$AJ$4:$AJ$6,0),MATCH(IF('Map 2 Do Touch'!AK14&gt;4,"Water","Land"),'Map 3'!$AK$3:$AL$3,0))))</f>
        <v>Cliff</v>
      </c>
      <c r="AL19" s="3" t="str">
        <f ca="1">IF('Map 2 Do Touch'!AK14&lt;&gt;'Map 2 Do Touch'!AK15,IF('Map 2 Do Touch'!AL15&gt;4,INDEX($AG$4:$AH$6,MATCH(INDEX($I$3:$L$6,MATCH(MOD('Map 2 Do Touch'!AK15,4),$H$3:$H$6,0),MATCH(MOD('Map 2 Do Touch'!AL15,4),$I$2:$L$2,0)),$AF$4:$AF$6,0),MATCH(IF('Map 2 Do Touch'!AK15&gt;4,"Water","Land"),'Map 3'!$AG$3:$AH$3,0)),INDEX($AK$4:$AL$6,MATCH(INDEX($I$3:$L$6,MATCH(MOD('Map 2 Do Touch'!AK15,4),$H$3:$H$6,0),MATCH(MOD('Map 2 Do Touch'!AL15,4),$I$2:$L$2,0)),'Map 3'!$AJ$4:$AJ$6,0),MATCH(IF('Map 2 Do Touch'!AK15&gt;4,"Water","Land"),'Map 3'!$AK$3:$AL$3,0))),IF('Map 2 Do Touch'!AL15&gt;4,INDEX($AG$4:$AH$6,MATCH(INDEX($P$3:$S$6,MATCH(MOD('Map 2 Do Touch'!AL14,4),$O$3:$O$6,0),MATCH(MOD('Map 2 Do Touch'!AL15,4),$P$2:$S$2,0)),$AF$4:$AF$6,0),MATCH(IF('Map 2 Do Touch'!AL14&gt;4,"Water","Land"),'Map 3'!$AG$3:$AH$3,0)),INDEX($AK$4:$AL$6,MATCH(INDEX($P$3:$S$6,MATCH(MOD('Map 2 Do Touch'!AL14,4),$O$3:$O$6,0),MATCH(MOD('Map 2 Do Touch'!AL15,4),$P$2:$S$2,0)),'Map 3'!$AJ$4:$AJ$6,0),MATCH(IF('Map 2 Do Touch'!AL14&gt;4,"Water","Land"),'Map 3'!$AK$3:$AL$3,0))))</f>
        <v>Ocean</v>
      </c>
      <c r="AM19" s="3" t="str">
        <f ca="1">IF('Map 2 Do Touch'!AL14&lt;&gt;'Map 2 Do Touch'!AL15,IF('Map 2 Do Touch'!AM15&gt;4,INDEX($AG$4:$AH$6,MATCH(INDEX($I$3:$L$6,MATCH(MOD('Map 2 Do Touch'!AL15,4),$H$3:$H$6,0),MATCH(MOD('Map 2 Do Touch'!AM15,4),$I$2:$L$2,0)),$AF$4:$AF$6,0),MATCH(IF('Map 2 Do Touch'!AL15&gt;4,"Water","Land"),'Map 3'!$AG$3:$AH$3,0)),INDEX($AK$4:$AL$6,MATCH(INDEX($I$3:$L$6,MATCH(MOD('Map 2 Do Touch'!AL15,4),$H$3:$H$6,0),MATCH(MOD('Map 2 Do Touch'!AM15,4),$I$2:$L$2,0)),'Map 3'!$AJ$4:$AJ$6,0),MATCH(IF('Map 2 Do Touch'!AL15&gt;4,"Water","Land"),'Map 3'!$AK$3:$AL$3,0))),IF('Map 2 Do Touch'!AM15&gt;4,INDEX($AG$4:$AH$6,MATCH(INDEX($P$3:$S$6,MATCH(MOD('Map 2 Do Touch'!AM14,4),$O$3:$O$6,0),MATCH(MOD('Map 2 Do Touch'!AM15,4),$P$2:$S$2,0)),$AF$4:$AF$6,0),MATCH(IF('Map 2 Do Touch'!AM14&gt;4,"Water","Land"),'Map 3'!$AG$3:$AH$3,0)),INDEX($AK$4:$AL$6,MATCH(INDEX($P$3:$S$6,MATCH(MOD('Map 2 Do Touch'!AM14,4),$O$3:$O$6,0),MATCH(MOD('Map 2 Do Touch'!AM15,4),$P$2:$S$2,0)),'Map 3'!$AJ$4:$AJ$6,0),MATCH(IF('Map 2 Do Touch'!AM14&gt;4,"Water","Land"),'Map 3'!$AK$3:$AL$3,0))))</f>
        <v>Coast</v>
      </c>
      <c r="AN19" s="3" t="str">
        <f ca="1">IF('Map 2 Do Touch'!AM14&lt;&gt;'Map 2 Do Touch'!AM15,IF('Map 2 Do Touch'!AN15&gt;4,INDEX($AG$4:$AH$6,MATCH(INDEX($I$3:$L$6,MATCH(MOD('Map 2 Do Touch'!AM15,4),$H$3:$H$6,0),MATCH(MOD('Map 2 Do Touch'!AN15,4),$I$2:$L$2,0)),$AF$4:$AF$6,0),MATCH(IF('Map 2 Do Touch'!AM15&gt;4,"Water","Land"),'Map 3'!$AG$3:$AH$3,0)),INDEX($AK$4:$AL$6,MATCH(INDEX($I$3:$L$6,MATCH(MOD('Map 2 Do Touch'!AM15,4),$H$3:$H$6,0),MATCH(MOD('Map 2 Do Touch'!AN15,4),$I$2:$L$2,0)),'Map 3'!$AJ$4:$AJ$6,0),MATCH(IF('Map 2 Do Touch'!AM15&gt;4,"Water","Land"),'Map 3'!$AK$3:$AL$3,0))),IF('Map 2 Do Touch'!AN15&gt;4,INDEX($AG$4:$AH$6,MATCH(INDEX($P$3:$S$6,MATCH(MOD('Map 2 Do Touch'!AN14,4),$O$3:$O$6,0),MATCH(MOD('Map 2 Do Touch'!AN15,4),$P$2:$S$2,0)),$AF$4:$AF$6,0),MATCH(IF('Map 2 Do Touch'!AN14&gt;4,"Water","Land"),'Map 3'!$AG$3:$AH$3,0)),INDEX($AK$4:$AL$6,MATCH(INDEX($P$3:$S$6,MATCH(MOD('Map 2 Do Touch'!AN14,4),$O$3:$O$6,0),MATCH(MOD('Map 2 Do Touch'!AN15,4),$P$2:$S$2,0)),'Map 3'!$AJ$4:$AJ$6,0),MATCH(IF('Map 2 Do Touch'!AN14&gt;4,"Water","Land"),'Map 3'!$AK$3:$AL$3,0))))</f>
        <v>Coast</v>
      </c>
      <c r="AO19" s="87" t="str">
        <f ca="1">IF('Map 2 Do Touch'!AN14&lt;&gt;'Map 2 Do Touch'!AN15,IF('Map 2 Do Touch'!AO15&gt;4,INDEX($AG$4:$AH$6,MATCH(INDEX($I$3:$L$6,MATCH(MOD('Map 2 Do Touch'!AN15,4),$H$3:$H$6,0),MATCH(MOD('Map 2 Do Touch'!AO15,4),$I$2:$L$2,0)),$AF$4:$AF$6,0),MATCH(IF('Map 2 Do Touch'!AN15&gt;4,"Water","Land"),'Map 3'!$AG$3:$AH$3,0)),INDEX($AK$4:$AL$6,MATCH(INDEX($I$3:$L$6,MATCH(MOD('Map 2 Do Touch'!AN15,4),$H$3:$H$6,0),MATCH(MOD('Map 2 Do Touch'!AO15,4),$I$2:$L$2,0)),'Map 3'!$AJ$4:$AJ$6,0),MATCH(IF('Map 2 Do Touch'!AN15&gt;4,"Water","Land"),'Map 3'!$AK$3:$AL$3,0))),IF('Map 2 Do Touch'!AO15&gt;4,INDEX($AG$4:$AH$6,MATCH(INDEX($P$3:$S$6,MATCH(MOD('Map 2 Do Touch'!AO14,4),$O$3:$O$6,0),MATCH(MOD('Map 2 Do Touch'!AO15,4),$P$2:$S$2,0)),$AF$4:$AF$6,0),MATCH(IF('Map 2 Do Touch'!AO14&gt;4,"Water","Land"),'Map 3'!$AG$3:$AH$3,0)),INDEX($AK$4:$AL$6,MATCH(INDEX($P$3:$S$6,MATCH(MOD('Map 2 Do Touch'!AO14,4),$O$3:$O$6,0),MATCH(MOD('Map 2 Do Touch'!AO15,4),$P$2:$S$2,0)),'Map 3'!$AJ$4:$AJ$6,0),MATCH(IF('Map 2 Do Touch'!AO14&gt;4,"Water","Land"),'Map 3'!$AK$3:$AL$3,0))))</f>
        <v>Flatland</v>
      </c>
      <c r="AP19" s="3"/>
    </row>
    <row r="20" spans="1:42" ht="37.5" customHeight="1">
      <c r="A20" s="3">
        <v>9</v>
      </c>
      <c r="B20" s="86" t="str">
        <f ca="1">IF('Map 2 Do Touch'!B15&lt;&gt;'Map 2 Do Touch'!B16,IF('Map 2 Do Touch'!B16&gt;4,INDEX($AG$4:$AH$6,MATCH(INDEX($I$3:$L$6,MATCH(MOD('Map 2 Do Touch'!AO16,4),$H$3:$H$6,0),MATCH(MOD('Map 2 Do Touch'!B16,4),$I$2:$L$2,0)),$AF$4:$AF$6,0),MATCH(IF('Map 2 Do Touch'!AO16&gt;4,"Water","Land"),'Map 3'!$AG$3:$AH$3,0)),INDEX($AK$4:$AL$6,MATCH(INDEX($I$3:$L$6,MATCH(MOD('Map 2 Do Touch'!A16,4),$H$3:$H$6,0),MATCH(MOD('Map 2 Do Touch'!B16,4),$I$2:$L$2,0)),'Map 3'!$AJ$4:$AJ$6,0),MATCH(IF('Map 2 Do Touch'!AO16&gt;4,"Water","Land"),'Map 3'!$AK$3:$AL$3,0))),IF('Map 2 Do Touch'!B16&gt;4,INDEX($AG$4:$AH$6,MATCH(INDEX($P$3:$S$6,MATCH(MOD('Map 2 Do Touch'!B15,4),$O$3:$O$6,0),MATCH(MOD('Map 2 Do Touch'!B16,4),$P$2:$S$2,0)),$AF$4:$AF$6,0),MATCH(IF('Map 2 Do Touch'!B15&gt;4,"Water","Land"),'Map 3'!$AG$3:$AH$3,0)),INDEX($AK$4:$AL$6,MATCH(INDEX($P$3:$S$6,MATCH(MOD('Map 2 Do Touch'!B15,4),$O$3:$O$6,0),MATCH(MOD('Map 2 Do Touch'!B16,4),$P$2:$S$2,0)),'Map 3'!$AJ$4:$AJ$6,0),MATCH(IF('Map 2 Do Touch'!B15&gt;4,"Water","Land"),'Map 3'!$AK$3:$AL$3,0))))</f>
        <v>Ocean</v>
      </c>
      <c r="C20" s="3" t="str">
        <f ca="1">IF('Map 2 Do Touch'!B15&lt;&gt;'Map 2 Do Touch'!B16,IF('Map 2 Do Touch'!C16&gt;4,INDEX($AG$4:$AH$6,MATCH(INDEX($I$3:$L$6,MATCH(MOD('Map 2 Do Touch'!B16,4),$H$3:$H$6,0),MATCH(MOD('Map 2 Do Touch'!C16,4),$I$2:$L$2,0)),$AF$4:$AF$6,0),MATCH(IF('Map 2 Do Touch'!B16&gt;4,"Water","Land"),'Map 3'!$AG$3:$AH$3,0)),INDEX($AK$4:$AL$6,MATCH(INDEX($I$3:$L$6,MATCH(MOD('Map 2 Do Touch'!B16,4),$H$3:$H$6,0),MATCH(MOD('Map 2 Do Touch'!C16,4),$I$2:$L$2,0)),'Map 3'!$AJ$4:$AJ$6,0),MATCH(IF('Map 2 Do Touch'!B16&gt;4,"Water","Land"),'Map 3'!$AK$3:$AL$3,0))),IF('Map 2 Do Touch'!C16&gt;4,INDEX($AG$4:$AH$6,MATCH(INDEX($P$3:$S$6,MATCH(MOD('Map 2 Do Touch'!C15,4),$O$3:$O$6,0),MATCH(MOD('Map 2 Do Touch'!C16,4),$P$2:$S$2,0)),$AF$4:$AF$6,0),MATCH(IF('Map 2 Do Touch'!C15&gt;4,"Water","Land"),'Map 3'!$AG$3:$AH$3,0)),INDEX($AK$4:$AL$6,MATCH(INDEX($P$3:$S$6,MATCH(MOD('Map 2 Do Touch'!C15,4),$O$3:$O$6,0),MATCH(MOD('Map 2 Do Touch'!C16,4),$P$2:$S$2,0)),'Map 3'!$AJ$4:$AJ$6,0),MATCH(IF('Map 2 Do Touch'!C15&gt;4,"Water","Land"),'Map 3'!$AK$3:$AL$3,0))))</f>
        <v>Ocean</v>
      </c>
      <c r="D20" s="3" t="str">
        <f ca="1">IF('Map 2 Do Touch'!C15&lt;&gt;'Map 2 Do Touch'!C16,IF('Map 2 Do Touch'!D16&gt;4,INDEX($AG$4:$AH$6,MATCH(INDEX($I$3:$L$6,MATCH(MOD('Map 2 Do Touch'!C16,4),$H$3:$H$6,0),MATCH(MOD('Map 2 Do Touch'!D16,4),$I$2:$L$2,0)),$AF$4:$AF$6,0),MATCH(IF('Map 2 Do Touch'!C16&gt;4,"Water","Land"),'Map 3'!$AG$3:$AH$3,0)),INDEX($AK$4:$AL$6,MATCH(INDEX($I$3:$L$6,MATCH(MOD('Map 2 Do Touch'!C16,4),$H$3:$H$6,0),MATCH(MOD('Map 2 Do Touch'!D16,4),$I$2:$L$2,0)),'Map 3'!$AJ$4:$AJ$6,0),MATCH(IF('Map 2 Do Touch'!C16&gt;4,"Water","Land"),'Map 3'!$AK$3:$AL$3,0))),IF('Map 2 Do Touch'!D16&gt;4,INDEX($AG$4:$AH$6,MATCH(INDEX($P$3:$S$6,MATCH(MOD('Map 2 Do Touch'!D15,4),$O$3:$O$6,0),MATCH(MOD('Map 2 Do Touch'!D16,4),$P$2:$S$2,0)),$AF$4:$AF$6,0),MATCH(IF('Map 2 Do Touch'!D15&gt;4,"Water","Land"),'Map 3'!$AG$3:$AH$3,0)),INDEX($AK$4:$AL$6,MATCH(INDEX($P$3:$S$6,MATCH(MOD('Map 2 Do Touch'!D15,4),$O$3:$O$6,0),MATCH(MOD('Map 2 Do Touch'!D16,4),$P$2:$S$2,0)),'Map 3'!$AJ$4:$AJ$6,0),MATCH(IF('Map 2 Do Touch'!D15&gt;4,"Water","Land"),'Map 3'!$AK$3:$AL$3,0))))</f>
        <v>Ocean</v>
      </c>
      <c r="E20" s="3" t="str">
        <f ca="1">IF('Map 2 Do Touch'!D15&lt;&gt;'Map 2 Do Touch'!D16,IF('Map 2 Do Touch'!E16&gt;4,INDEX($AG$4:$AH$6,MATCH(INDEX($I$3:$L$6,MATCH(MOD('Map 2 Do Touch'!D16,4),$H$3:$H$6,0),MATCH(MOD('Map 2 Do Touch'!E16,4),$I$2:$L$2,0)),$AF$4:$AF$6,0),MATCH(IF('Map 2 Do Touch'!D16&gt;4,"Water","Land"),'Map 3'!$AG$3:$AH$3,0)),INDEX($AK$4:$AL$6,MATCH(INDEX($I$3:$L$6,MATCH(MOD('Map 2 Do Touch'!D16,4),$H$3:$H$6,0),MATCH(MOD('Map 2 Do Touch'!E16,4),$I$2:$L$2,0)),'Map 3'!$AJ$4:$AJ$6,0),MATCH(IF('Map 2 Do Touch'!D16&gt;4,"Water","Land"),'Map 3'!$AK$3:$AL$3,0))),IF('Map 2 Do Touch'!E16&gt;4,INDEX($AG$4:$AH$6,MATCH(INDEX($P$3:$S$6,MATCH(MOD('Map 2 Do Touch'!E15,4),$O$3:$O$6,0),MATCH(MOD('Map 2 Do Touch'!E16,4),$P$2:$S$2,0)),$AF$4:$AF$6,0),MATCH(IF('Map 2 Do Touch'!E15&gt;4,"Water","Land"),'Map 3'!$AG$3:$AH$3,0)),INDEX($AK$4:$AL$6,MATCH(INDEX($P$3:$S$6,MATCH(MOD('Map 2 Do Touch'!E15,4),$O$3:$O$6,0),MATCH(MOD('Map 2 Do Touch'!E16,4),$P$2:$S$2,0)),'Map 3'!$AJ$4:$AJ$6,0),MATCH(IF('Map 2 Do Touch'!E15&gt;4,"Water","Land"),'Map 3'!$AK$3:$AL$3,0))))</f>
        <v>Ocean</v>
      </c>
      <c r="F20" s="3" t="str">
        <f ca="1">IF('Map 2 Do Touch'!E15&lt;&gt;'Map 2 Do Touch'!E16,IF('Map 2 Do Touch'!F16&gt;4,INDEX($AG$4:$AH$6,MATCH(INDEX($I$3:$L$6,MATCH(MOD('Map 2 Do Touch'!E16,4),$H$3:$H$6,0),MATCH(MOD('Map 2 Do Touch'!F16,4),$I$2:$L$2,0)),$AF$4:$AF$6,0),MATCH(IF('Map 2 Do Touch'!E16&gt;4,"Water","Land"),'Map 3'!$AG$3:$AH$3,0)),INDEX($AK$4:$AL$6,MATCH(INDEX($I$3:$L$6,MATCH(MOD('Map 2 Do Touch'!E16,4),$H$3:$H$6,0),MATCH(MOD('Map 2 Do Touch'!F16,4),$I$2:$L$2,0)),'Map 3'!$AJ$4:$AJ$6,0),MATCH(IF('Map 2 Do Touch'!E16&gt;4,"Water","Land"),'Map 3'!$AK$3:$AL$3,0))),IF('Map 2 Do Touch'!F16&gt;4,INDEX($AG$4:$AH$6,MATCH(INDEX($P$3:$S$6,MATCH(MOD('Map 2 Do Touch'!F15,4),$O$3:$O$6,0),MATCH(MOD('Map 2 Do Touch'!F16,4),$P$2:$S$2,0)),$AF$4:$AF$6,0),MATCH(IF('Map 2 Do Touch'!F15&gt;4,"Water","Land"),'Map 3'!$AG$3:$AH$3,0)),INDEX($AK$4:$AL$6,MATCH(INDEX($P$3:$S$6,MATCH(MOD('Map 2 Do Touch'!F15,4),$O$3:$O$6,0),MATCH(MOD('Map 2 Do Touch'!F16,4),$P$2:$S$2,0)),'Map 3'!$AJ$4:$AJ$6,0),MATCH(IF('Map 2 Do Touch'!F15&gt;4,"Water","Land"),'Map 3'!$AK$3:$AL$3,0))))</f>
        <v>Ocean</v>
      </c>
      <c r="G20" s="3" t="str">
        <f ca="1">IF('Map 2 Do Touch'!F15&lt;&gt;'Map 2 Do Touch'!F16,IF('Map 2 Do Touch'!G16&gt;4,INDEX($AG$4:$AH$6,MATCH(INDEX($I$3:$L$6,MATCH(MOD('Map 2 Do Touch'!F16,4),$H$3:$H$6,0),MATCH(MOD('Map 2 Do Touch'!G16,4),$I$2:$L$2,0)),$AF$4:$AF$6,0),MATCH(IF('Map 2 Do Touch'!F16&gt;4,"Water","Land"),'Map 3'!$AG$3:$AH$3,0)),INDEX($AK$4:$AL$6,MATCH(INDEX($I$3:$L$6,MATCH(MOD('Map 2 Do Touch'!F16,4),$H$3:$H$6,0),MATCH(MOD('Map 2 Do Touch'!G16,4),$I$2:$L$2,0)),'Map 3'!$AJ$4:$AJ$6,0),MATCH(IF('Map 2 Do Touch'!F16&gt;4,"Water","Land"),'Map 3'!$AK$3:$AL$3,0))),IF('Map 2 Do Touch'!G16&gt;4,INDEX($AG$4:$AH$6,MATCH(INDEX($P$3:$S$6,MATCH(MOD('Map 2 Do Touch'!G15,4),$O$3:$O$6,0),MATCH(MOD('Map 2 Do Touch'!G16,4),$P$2:$S$2,0)),$AF$4:$AF$6,0),MATCH(IF('Map 2 Do Touch'!G15&gt;4,"Water","Land"),'Map 3'!$AG$3:$AH$3,0)),INDEX($AK$4:$AL$6,MATCH(INDEX($P$3:$S$6,MATCH(MOD('Map 2 Do Touch'!G15,4),$O$3:$O$6,0),MATCH(MOD('Map 2 Do Touch'!G16,4),$P$2:$S$2,0)),'Map 3'!$AJ$4:$AJ$6,0),MATCH(IF('Map 2 Do Touch'!G15&gt;4,"Water","Land"),'Map 3'!$AK$3:$AL$3,0))))</f>
        <v>Ocean</v>
      </c>
      <c r="H20" s="3" t="str">
        <f ca="1">IF('Map 2 Do Touch'!G15&lt;&gt;'Map 2 Do Touch'!G16,IF('Map 2 Do Touch'!H16&gt;4,INDEX($AG$4:$AH$6,MATCH(INDEX($I$3:$L$6,MATCH(MOD('Map 2 Do Touch'!G16,4),$H$3:$H$6,0),MATCH(MOD('Map 2 Do Touch'!H16,4),$I$2:$L$2,0)),$AF$4:$AF$6,0),MATCH(IF('Map 2 Do Touch'!G16&gt;4,"Water","Land"),'Map 3'!$AG$3:$AH$3,0)),INDEX($AK$4:$AL$6,MATCH(INDEX($I$3:$L$6,MATCH(MOD('Map 2 Do Touch'!G16,4),$H$3:$H$6,0),MATCH(MOD('Map 2 Do Touch'!H16,4),$I$2:$L$2,0)),'Map 3'!$AJ$4:$AJ$6,0),MATCH(IF('Map 2 Do Touch'!G16&gt;4,"Water","Land"),'Map 3'!$AK$3:$AL$3,0))),IF('Map 2 Do Touch'!H16&gt;4,INDEX($AG$4:$AH$6,MATCH(INDEX($P$3:$S$6,MATCH(MOD('Map 2 Do Touch'!H15,4),$O$3:$O$6,0),MATCH(MOD('Map 2 Do Touch'!H16,4),$P$2:$S$2,0)),$AF$4:$AF$6,0),MATCH(IF('Map 2 Do Touch'!H15&gt;4,"Water","Land"),'Map 3'!$AG$3:$AH$3,0)),INDEX($AK$4:$AL$6,MATCH(INDEX($P$3:$S$6,MATCH(MOD('Map 2 Do Touch'!H15,4),$O$3:$O$6,0),MATCH(MOD('Map 2 Do Touch'!H16,4),$P$2:$S$2,0)),'Map 3'!$AJ$4:$AJ$6,0),MATCH(IF('Map 2 Do Touch'!H15&gt;4,"Water","Land"),'Map 3'!$AK$3:$AL$3,0))))</f>
        <v>Ocean</v>
      </c>
      <c r="I20" s="3" t="str">
        <f ca="1">IF('Map 2 Do Touch'!H15&lt;&gt;'Map 2 Do Touch'!H16,IF('Map 2 Do Touch'!I16&gt;4,INDEX($AG$4:$AH$6,MATCH(INDEX($I$3:$L$6,MATCH(MOD('Map 2 Do Touch'!H16,4),$H$3:$H$6,0),MATCH(MOD('Map 2 Do Touch'!I16,4),$I$2:$L$2,0)),$AF$4:$AF$6,0),MATCH(IF('Map 2 Do Touch'!H16&gt;4,"Water","Land"),'Map 3'!$AG$3:$AH$3,0)),INDEX($AK$4:$AL$6,MATCH(INDEX($I$3:$L$6,MATCH(MOD('Map 2 Do Touch'!H16,4),$H$3:$H$6,0),MATCH(MOD('Map 2 Do Touch'!I16,4),$I$2:$L$2,0)),'Map 3'!$AJ$4:$AJ$6,0),MATCH(IF('Map 2 Do Touch'!H16&gt;4,"Water","Land"),'Map 3'!$AK$3:$AL$3,0))),IF('Map 2 Do Touch'!I16&gt;4,INDEX($AG$4:$AH$6,MATCH(INDEX($P$3:$S$6,MATCH(MOD('Map 2 Do Touch'!I15,4),$O$3:$O$6,0),MATCH(MOD('Map 2 Do Touch'!I16,4),$P$2:$S$2,0)),$AF$4:$AF$6,0),MATCH(IF('Map 2 Do Touch'!I15&gt;4,"Water","Land"),'Map 3'!$AG$3:$AH$3,0)),INDEX($AK$4:$AL$6,MATCH(INDEX($P$3:$S$6,MATCH(MOD('Map 2 Do Touch'!I15,4),$O$3:$O$6,0),MATCH(MOD('Map 2 Do Touch'!I16,4),$P$2:$S$2,0)),'Map 3'!$AJ$4:$AJ$6,0),MATCH(IF('Map 2 Do Touch'!I15&gt;4,"Water","Land"),'Map 3'!$AK$3:$AL$3,0))))</f>
        <v>Ocean</v>
      </c>
      <c r="J20" s="3" t="str">
        <f ca="1">IF('Map 2 Do Touch'!I15&lt;&gt;'Map 2 Do Touch'!I16,IF('Map 2 Do Touch'!J16&gt;4,INDEX($AG$4:$AH$6,MATCH(INDEX($I$3:$L$6,MATCH(MOD('Map 2 Do Touch'!I16,4),$H$3:$H$6,0),MATCH(MOD('Map 2 Do Touch'!J16,4),$I$2:$L$2,0)),$AF$4:$AF$6,0),MATCH(IF('Map 2 Do Touch'!I16&gt;4,"Water","Land"),'Map 3'!$AG$3:$AH$3,0)),INDEX($AK$4:$AL$6,MATCH(INDEX($I$3:$L$6,MATCH(MOD('Map 2 Do Touch'!I16,4),$H$3:$H$6,0),MATCH(MOD('Map 2 Do Touch'!J16,4),$I$2:$L$2,0)),'Map 3'!$AJ$4:$AJ$6,0),MATCH(IF('Map 2 Do Touch'!I16&gt;4,"Water","Land"),'Map 3'!$AK$3:$AL$3,0))),IF('Map 2 Do Touch'!J16&gt;4,INDEX($AG$4:$AH$6,MATCH(INDEX($P$3:$S$6,MATCH(MOD('Map 2 Do Touch'!J15,4),$O$3:$O$6,0),MATCH(MOD('Map 2 Do Touch'!J16,4),$P$2:$S$2,0)),$AF$4:$AF$6,0),MATCH(IF('Map 2 Do Touch'!J15&gt;4,"Water","Land"),'Map 3'!$AG$3:$AH$3,0)),INDEX($AK$4:$AL$6,MATCH(INDEX($P$3:$S$6,MATCH(MOD('Map 2 Do Touch'!J15,4),$O$3:$O$6,0),MATCH(MOD('Map 2 Do Touch'!J16,4),$P$2:$S$2,0)),'Map 3'!$AJ$4:$AJ$6,0),MATCH(IF('Map 2 Do Touch'!J15&gt;4,"Water","Land"),'Map 3'!$AK$3:$AL$3,0))))</f>
        <v>Ocean</v>
      </c>
      <c r="K20" s="3" t="str">
        <f ca="1">IF('Map 2 Do Touch'!J15&lt;&gt;'Map 2 Do Touch'!J16,IF('Map 2 Do Touch'!K16&gt;4,INDEX($AG$4:$AH$6,MATCH(INDEX($I$3:$L$6,MATCH(MOD('Map 2 Do Touch'!J16,4),$H$3:$H$6,0),MATCH(MOD('Map 2 Do Touch'!K16,4),$I$2:$L$2,0)),$AF$4:$AF$6,0),MATCH(IF('Map 2 Do Touch'!J16&gt;4,"Water","Land"),'Map 3'!$AG$3:$AH$3,0)),INDEX($AK$4:$AL$6,MATCH(INDEX($I$3:$L$6,MATCH(MOD('Map 2 Do Touch'!J16,4),$H$3:$H$6,0),MATCH(MOD('Map 2 Do Touch'!K16,4),$I$2:$L$2,0)),'Map 3'!$AJ$4:$AJ$6,0),MATCH(IF('Map 2 Do Touch'!J16&gt;4,"Water","Land"),'Map 3'!$AK$3:$AL$3,0))),IF('Map 2 Do Touch'!K16&gt;4,INDEX($AG$4:$AH$6,MATCH(INDEX($P$3:$S$6,MATCH(MOD('Map 2 Do Touch'!K15,4),$O$3:$O$6,0),MATCH(MOD('Map 2 Do Touch'!K16,4),$P$2:$S$2,0)),$AF$4:$AF$6,0),MATCH(IF('Map 2 Do Touch'!K15&gt;4,"Water","Land"),'Map 3'!$AG$3:$AH$3,0)),INDEX($AK$4:$AL$6,MATCH(INDEX($P$3:$S$6,MATCH(MOD('Map 2 Do Touch'!K15,4),$O$3:$O$6,0),MATCH(MOD('Map 2 Do Touch'!K16,4),$P$2:$S$2,0)),'Map 3'!$AJ$4:$AJ$6,0),MATCH(IF('Map 2 Do Touch'!K15&gt;4,"Water","Land"),'Map 3'!$AK$3:$AL$3,0))))</f>
        <v>Trench</v>
      </c>
      <c r="L20" s="3" t="str">
        <f ca="1">IF('Map 2 Do Touch'!K15&lt;&gt;'Map 2 Do Touch'!K16,IF('Map 2 Do Touch'!L16&gt;4,INDEX($AG$4:$AH$6,MATCH(INDEX($I$3:$L$6,MATCH(MOD('Map 2 Do Touch'!K16,4),$H$3:$H$6,0),MATCH(MOD('Map 2 Do Touch'!L16,4),$I$2:$L$2,0)),$AF$4:$AF$6,0),MATCH(IF('Map 2 Do Touch'!K16&gt;4,"Water","Land"),'Map 3'!$AG$3:$AH$3,0)),INDEX($AK$4:$AL$6,MATCH(INDEX($I$3:$L$6,MATCH(MOD('Map 2 Do Touch'!K16,4),$H$3:$H$6,0),MATCH(MOD('Map 2 Do Touch'!L16,4),$I$2:$L$2,0)),'Map 3'!$AJ$4:$AJ$6,0),MATCH(IF('Map 2 Do Touch'!K16&gt;4,"Water","Land"),'Map 3'!$AK$3:$AL$3,0))),IF('Map 2 Do Touch'!L16&gt;4,INDEX($AG$4:$AH$6,MATCH(INDEX($P$3:$S$6,MATCH(MOD('Map 2 Do Touch'!L15,4),$O$3:$O$6,0),MATCH(MOD('Map 2 Do Touch'!L16,4),$P$2:$S$2,0)),$AF$4:$AF$6,0),MATCH(IF('Map 2 Do Touch'!L15&gt;4,"Water","Land"),'Map 3'!$AG$3:$AH$3,0)),INDEX($AK$4:$AL$6,MATCH(INDEX($P$3:$S$6,MATCH(MOD('Map 2 Do Touch'!L15,4),$O$3:$O$6,0),MATCH(MOD('Map 2 Do Touch'!L16,4),$P$2:$S$2,0)),'Map 3'!$AJ$4:$AJ$6,0),MATCH(IF('Map 2 Do Touch'!L15&gt;4,"Water","Land"),'Map 3'!$AK$3:$AL$3,0))))</f>
        <v>Trench</v>
      </c>
      <c r="M20" s="3" t="str">
        <f ca="1">IF('Map 2 Do Touch'!L15&lt;&gt;'Map 2 Do Touch'!L16,IF('Map 2 Do Touch'!M16&gt;4,INDEX($AG$4:$AH$6,MATCH(INDEX($I$3:$L$6,MATCH(MOD('Map 2 Do Touch'!L16,4),$H$3:$H$6,0),MATCH(MOD('Map 2 Do Touch'!M16,4),$I$2:$L$2,0)),$AF$4:$AF$6,0),MATCH(IF('Map 2 Do Touch'!L16&gt;4,"Water","Land"),'Map 3'!$AG$3:$AH$3,0)),INDEX($AK$4:$AL$6,MATCH(INDEX($I$3:$L$6,MATCH(MOD('Map 2 Do Touch'!L16,4),$H$3:$H$6,0),MATCH(MOD('Map 2 Do Touch'!M16,4),$I$2:$L$2,0)),'Map 3'!$AJ$4:$AJ$6,0),MATCH(IF('Map 2 Do Touch'!L16&gt;4,"Water","Land"),'Map 3'!$AK$3:$AL$3,0))),IF('Map 2 Do Touch'!M16&gt;4,INDEX($AG$4:$AH$6,MATCH(INDEX($P$3:$S$6,MATCH(MOD('Map 2 Do Touch'!M15,4),$O$3:$O$6,0),MATCH(MOD('Map 2 Do Touch'!M16,4),$P$2:$S$2,0)),$AF$4:$AF$6,0),MATCH(IF('Map 2 Do Touch'!M15&gt;4,"Water","Land"),'Map 3'!$AG$3:$AH$3,0)),INDEX($AK$4:$AL$6,MATCH(INDEX($P$3:$S$6,MATCH(MOD('Map 2 Do Touch'!M15,4),$O$3:$O$6,0),MATCH(MOD('Map 2 Do Touch'!M16,4),$P$2:$S$2,0)),'Map 3'!$AJ$4:$AJ$6,0),MATCH(IF('Map 2 Do Touch'!M15&gt;4,"Water","Land"),'Map 3'!$AK$3:$AL$3,0))))</f>
        <v>Flatland</v>
      </c>
      <c r="N20" s="3" t="str">
        <f ca="1">IF('Map 2 Do Touch'!M15&lt;&gt;'Map 2 Do Touch'!M16,IF('Map 2 Do Touch'!N16&gt;4,INDEX($AG$4:$AH$6,MATCH(INDEX($I$3:$L$6,MATCH(MOD('Map 2 Do Touch'!M16,4),$H$3:$H$6,0),MATCH(MOD('Map 2 Do Touch'!N16,4),$I$2:$L$2,0)),$AF$4:$AF$6,0),MATCH(IF('Map 2 Do Touch'!M16&gt;4,"Water","Land"),'Map 3'!$AG$3:$AH$3,0)),INDEX($AK$4:$AL$6,MATCH(INDEX($I$3:$L$6,MATCH(MOD('Map 2 Do Touch'!M16,4),$H$3:$H$6,0),MATCH(MOD('Map 2 Do Touch'!N16,4),$I$2:$L$2,0)),'Map 3'!$AJ$4:$AJ$6,0),MATCH(IF('Map 2 Do Touch'!M16&gt;4,"Water","Land"),'Map 3'!$AK$3:$AL$3,0))),IF('Map 2 Do Touch'!N16&gt;4,INDEX($AG$4:$AH$6,MATCH(INDEX($P$3:$S$6,MATCH(MOD('Map 2 Do Touch'!N15,4),$O$3:$O$6,0),MATCH(MOD('Map 2 Do Touch'!N16,4),$P$2:$S$2,0)),$AF$4:$AF$6,0),MATCH(IF('Map 2 Do Touch'!N15&gt;4,"Water","Land"),'Map 3'!$AG$3:$AH$3,0)),INDEX($AK$4:$AL$6,MATCH(INDEX($P$3:$S$6,MATCH(MOD('Map 2 Do Touch'!N15,4),$O$3:$O$6,0),MATCH(MOD('Map 2 Do Touch'!N16,4),$P$2:$S$2,0)),'Map 3'!$AJ$4:$AJ$6,0),MATCH(IF('Map 2 Do Touch'!N15&gt;4,"Water","Land"),'Map 3'!$AK$3:$AL$3,0))))</f>
        <v>Flatland</v>
      </c>
      <c r="O20" s="3" t="str">
        <f ca="1">IF('Map 2 Do Touch'!N15&lt;&gt;'Map 2 Do Touch'!N16,IF('Map 2 Do Touch'!O16&gt;4,INDEX($AG$4:$AH$6,MATCH(INDEX($I$3:$L$6,MATCH(MOD('Map 2 Do Touch'!N16,4),$H$3:$H$6,0),MATCH(MOD('Map 2 Do Touch'!O16,4),$I$2:$L$2,0)),$AF$4:$AF$6,0),MATCH(IF('Map 2 Do Touch'!N16&gt;4,"Water","Land"),'Map 3'!$AG$3:$AH$3,0)),INDEX($AK$4:$AL$6,MATCH(INDEX($I$3:$L$6,MATCH(MOD('Map 2 Do Touch'!N16,4),$H$3:$H$6,0),MATCH(MOD('Map 2 Do Touch'!O16,4),$I$2:$L$2,0)),'Map 3'!$AJ$4:$AJ$6,0),MATCH(IF('Map 2 Do Touch'!N16&gt;4,"Water","Land"),'Map 3'!$AK$3:$AL$3,0))),IF('Map 2 Do Touch'!O16&gt;4,INDEX($AG$4:$AH$6,MATCH(INDEX($P$3:$S$6,MATCH(MOD('Map 2 Do Touch'!O15,4),$O$3:$O$6,0),MATCH(MOD('Map 2 Do Touch'!O16,4),$P$2:$S$2,0)),$AF$4:$AF$6,0),MATCH(IF('Map 2 Do Touch'!O15&gt;4,"Water","Land"),'Map 3'!$AG$3:$AH$3,0)),INDEX($AK$4:$AL$6,MATCH(INDEX($P$3:$S$6,MATCH(MOD('Map 2 Do Touch'!O15,4),$O$3:$O$6,0),MATCH(MOD('Map 2 Do Touch'!O16,4),$P$2:$S$2,0)),'Map 3'!$AJ$4:$AJ$6,0),MATCH(IF('Map 2 Do Touch'!O15&gt;4,"Water","Land"),'Map 3'!$AK$3:$AL$3,0))))</f>
        <v>Coast</v>
      </c>
      <c r="P20" s="3" t="str">
        <f ca="1">IF('Map 2 Do Touch'!O15&lt;&gt;'Map 2 Do Touch'!O16,IF('Map 2 Do Touch'!P16&gt;4,INDEX($AG$4:$AH$6,MATCH(INDEX($I$3:$L$6,MATCH(MOD('Map 2 Do Touch'!O16,4),$H$3:$H$6,0),MATCH(MOD('Map 2 Do Touch'!P16,4),$I$2:$L$2,0)),$AF$4:$AF$6,0),MATCH(IF('Map 2 Do Touch'!O16&gt;4,"Water","Land"),'Map 3'!$AG$3:$AH$3,0)),INDEX($AK$4:$AL$6,MATCH(INDEX($I$3:$L$6,MATCH(MOD('Map 2 Do Touch'!O16,4),$H$3:$H$6,0),MATCH(MOD('Map 2 Do Touch'!P16,4),$I$2:$L$2,0)),'Map 3'!$AJ$4:$AJ$6,0),MATCH(IF('Map 2 Do Touch'!O16&gt;4,"Water","Land"),'Map 3'!$AK$3:$AL$3,0))),IF('Map 2 Do Touch'!P16&gt;4,INDEX($AG$4:$AH$6,MATCH(INDEX($P$3:$S$6,MATCH(MOD('Map 2 Do Touch'!P15,4),$O$3:$O$6,0),MATCH(MOD('Map 2 Do Touch'!P16,4),$P$2:$S$2,0)),$AF$4:$AF$6,0),MATCH(IF('Map 2 Do Touch'!P15&gt;4,"Water","Land"),'Map 3'!$AG$3:$AH$3,0)),INDEX($AK$4:$AL$6,MATCH(INDEX($P$3:$S$6,MATCH(MOD('Map 2 Do Touch'!P15,4),$O$3:$O$6,0),MATCH(MOD('Map 2 Do Touch'!P16,4),$P$2:$S$2,0)),'Map 3'!$AJ$4:$AJ$6,0),MATCH(IF('Map 2 Do Touch'!P15&gt;4,"Water","Land"),'Map 3'!$AK$3:$AL$3,0))))</f>
        <v>Flatland</v>
      </c>
      <c r="Q20" s="3" t="str">
        <f ca="1">IF('Map 2 Do Touch'!P15&lt;&gt;'Map 2 Do Touch'!P16,IF('Map 2 Do Touch'!Q16&gt;4,INDEX($AG$4:$AH$6,MATCH(INDEX($I$3:$L$6,MATCH(MOD('Map 2 Do Touch'!P16,4),$H$3:$H$6,0),MATCH(MOD('Map 2 Do Touch'!Q16,4),$I$2:$L$2,0)),$AF$4:$AF$6,0),MATCH(IF('Map 2 Do Touch'!P16&gt;4,"Water","Land"),'Map 3'!$AG$3:$AH$3,0)),INDEX($AK$4:$AL$6,MATCH(INDEX($I$3:$L$6,MATCH(MOD('Map 2 Do Touch'!P16,4),$H$3:$H$6,0),MATCH(MOD('Map 2 Do Touch'!Q16,4),$I$2:$L$2,0)),'Map 3'!$AJ$4:$AJ$6,0),MATCH(IF('Map 2 Do Touch'!P16&gt;4,"Water","Land"),'Map 3'!$AK$3:$AL$3,0))),IF('Map 2 Do Touch'!Q16&gt;4,INDEX($AG$4:$AH$6,MATCH(INDEX($P$3:$S$6,MATCH(MOD('Map 2 Do Touch'!Q15,4),$O$3:$O$6,0),MATCH(MOD('Map 2 Do Touch'!Q16,4),$P$2:$S$2,0)),$AF$4:$AF$6,0),MATCH(IF('Map 2 Do Touch'!Q15&gt;4,"Water","Land"),'Map 3'!$AG$3:$AH$3,0)),INDEX($AK$4:$AL$6,MATCH(INDEX($P$3:$S$6,MATCH(MOD('Map 2 Do Touch'!Q15,4),$O$3:$O$6,0),MATCH(MOD('Map 2 Do Touch'!Q16,4),$P$2:$S$2,0)),'Map 3'!$AJ$4:$AJ$6,0),MATCH(IF('Map 2 Do Touch'!Q15&gt;4,"Water","Land"),'Map 3'!$AK$3:$AL$3,0))))</f>
        <v>Ocean</v>
      </c>
      <c r="R20" s="3" t="str">
        <f ca="1">IF('Map 2 Do Touch'!Q15&lt;&gt;'Map 2 Do Touch'!Q16,IF('Map 2 Do Touch'!R16&gt;4,INDEX($AG$4:$AH$6,MATCH(INDEX($I$3:$L$6,MATCH(MOD('Map 2 Do Touch'!Q16,4),$H$3:$H$6,0),MATCH(MOD('Map 2 Do Touch'!R16,4),$I$2:$L$2,0)),$AF$4:$AF$6,0),MATCH(IF('Map 2 Do Touch'!Q16&gt;4,"Water","Land"),'Map 3'!$AG$3:$AH$3,0)),INDEX($AK$4:$AL$6,MATCH(INDEX($I$3:$L$6,MATCH(MOD('Map 2 Do Touch'!Q16,4),$H$3:$H$6,0),MATCH(MOD('Map 2 Do Touch'!R16,4),$I$2:$L$2,0)),'Map 3'!$AJ$4:$AJ$6,0),MATCH(IF('Map 2 Do Touch'!Q16&gt;4,"Water","Land"),'Map 3'!$AK$3:$AL$3,0))),IF('Map 2 Do Touch'!R16&gt;4,INDEX($AG$4:$AH$6,MATCH(INDEX($P$3:$S$6,MATCH(MOD('Map 2 Do Touch'!R15,4),$O$3:$O$6,0),MATCH(MOD('Map 2 Do Touch'!R16,4),$P$2:$S$2,0)),$AF$4:$AF$6,0),MATCH(IF('Map 2 Do Touch'!R15&gt;4,"Water","Land"),'Map 3'!$AG$3:$AH$3,0)),INDEX($AK$4:$AL$6,MATCH(INDEX($P$3:$S$6,MATCH(MOD('Map 2 Do Touch'!R15,4),$O$3:$O$6,0),MATCH(MOD('Map 2 Do Touch'!R16,4),$P$2:$S$2,0)),'Map 3'!$AJ$4:$AJ$6,0),MATCH(IF('Map 2 Do Touch'!R15&gt;4,"Water","Land"),'Map 3'!$AK$3:$AL$3,0))))</f>
        <v>Ocean</v>
      </c>
      <c r="S20" s="3" t="str">
        <f ca="1">IF('Map 2 Do Touch'!R15&lt;&gt;'Map 2 Do Touch'!R16,IF('Map 2 Do Touch'!S16&gt;4,INDEX($AG$4:$AH$6,MATCH(INDEX($I$3:$L$6,MATCH(MOD('Map 2 Do Touch'!R16,4),$H$3:$H$6,0),MATCH(MOD('Map 2 Do Touch'!S16,4),$I$2:$L$2,0)),$AF$4:$AF$6,0),MATCH(IF('Map 2 Do Touch'!R16&gt;4,"Water","Land"),'Map 3'!$AG$3:$AH$3,0)),INDEX($AK$4:$AL$6,MATCH(INDEX($I$3:$L$6,MATCH(MOD('Map 2 Do Touch'!R16,4),$H$3:$H$6,0),MATCH(MOD('Map 2 Do Touch'!S16,4),$I$2:$L$2,0)),'Map 3'!$AJ$4:$AJ$6,0),MATCH(IF('Map 2 Do Touch'!R16&gt;4,"Water","Land"),'Map 3'!$AK$3:$AL$3,0))),IF('Map 2 Do Touch'!S16&gt;4,INDEX($AG$4:$AH$6,MATCH(INDEX($P$3:$S$6,MATCH(MOD('Map 2 Do Touch'!S15,4),$O$3:$O$6,0),MATCH(MOD('Map 2 Do Touch'!S16,4),$P$2:$S$2,0)),$AF$4:$AF$6,0),MATCH(IF('Map 2 Do Touch'!S15&gt;4,"Water","Land"),'Map 3'!$AG$3:$AH$3,0)),INDEX($AK$4:$AL$6,MATCH(INDEX($P$3:$S$6,MATCH(MOD('Map 2 Do Touch'!S15,4),$O$3:$O$6,0),MATCH(MOD('Map 2 Do Touch'!S16,4),$P$2:$S$2,0)),'Map 3'!$AJ$4:$AJ$6,0),MATCH(IF('Map 2 Do Touch'!S15&gt;4,"Water","Land"),'Map 3'!$AK$3:$AL$3,0))))</f>
        <v>Ocean</v>
      </c>
      <c r="T20" s="3" t="str">
        <f ca="1">IF('Map 2 Do Touch'!S15&lt;&gt;'Map 2 Do Touch'!S16,IF('Map 2 Do Touch'!T16&gt;4,INDEX($AG$4:$AH$6,MATCH(INDEX($I$3:$L$6,MATCH(MOD('Map 2 Do Touch'!S16,4),$H$3:$H$6,0),MATCH(MOD('Map 2 Do Touch'!T16,4),$I$2:$L$2,0)),$AF$4:$AF$6,0),MATCH(IF('Map 2 Do Touch'!S16&gt;4,"Water","Land"),'Map 3'!$AG$3:$AH$3,0)),INDEX($AK$4:$AL$6,MATCH(INDEX($I$3:$L$6,MATCH(MOD('Map 2 Do Touch'!S16,4),$H$3:$H$6,0),MATCH(MOD('Map 2 Do Touch'!T16,4),$I$2:$L$2,0)),'Map 3'!$AJ$4:$AJ$6,0),MATCH(IF('Map 2 Do Touch'!S16&gt;4,"Water","Land"),'Map 3'!$AK$3:$AL$3,0))),IF('Map 2 Do Touch'!T16&gt;4,INDEX($AG$4:$AH$6,MATCH(INDEX($P$3:$S$6,MATCH(MOD('Map 2 Do Touch'!T15,4),$O$3:$O$6,0),MATCH(MOD('Map 2 Do Touch'!T16,4),$P$2:$S$2,0)),$AF$4:$AF$6,0),MATCH(IF('Map 2 Do Touch'!T15&gt;4,"Water","Land"),'Map 3'!$AG$3:$AH$3,0)),INDEX($AK$4:$AL$6,MATCH(INDEX($P$3:$S$6,MATCH(MOD('Map 2 Do Touch'!T15,4),$O$3:$O$6,0),MATCH(MOD('Map 2 Do Touch'!T16,4),$P$2:$S$2,0)),'Map 3'!$AJ$4:$AJ$6,0),MATCH(IF('Map 2 Do Touch'!T15&gt;4,"Water","Land"),'Map 3'!$AK$3:$AL$3,0))))</f>
        <v>Ocean</v>
      </c>
      <c r="U20" s="3" t="str">
        <f ca="1">IF('Map 2 Do Touch'!T15&lt;&gt;'Map 2 Do Touch'!T16,IF('Map 2 Do Touch'!U16&gt;4,INDEX($AG$4:$AH$6,MATCH(INDEX($I$3:$L$6,MATCH(MOD('Map 2 Do Touch'!T16,4),$H$3:$H$6,0),MATCH(MOD('Map 2 Do Touch'!U16,4),$I$2:$L$2,0)),$AF$4:$AF$6,0),MATCH(IF('Map 2 Do Touch'!T16&gt;4,"Water","Land"),'Map 3'!$AG$3:$AH$3,0)),INDEX($AK$4:$AL$6,MATCH(INDEX($I$3:$L$6,MATCH(MOD('Map 2 Do Touch'!T16,4),$H$3:$H$6,0),MATCH(MOD('Map 2 Do Touch'!U16,4),$I$2:$L$2,0)),'Map 3'!$AJ$4:$AJ$6,0),MATCH(IF('Map 2 Do Touch'!T16&gt;4,"Water","Land"),'Map 3'!$AK$3:$AL$3,0))),IF('Map 2 Do Touch'!U16&gt;4,INDEX($AG$4:$AH$6,MATCH(INDEX($P$3:$S$6,MATCH(MOD('Map 2 Do Touch'!U15,4),$O$3:$O$6,0),MATCH(MOD('Map 2 Do Touch'!U16,4),$P$2:$S$2,0)),$AF$4:$AF$6,0),MATCH(IF('Map 2 Do Touch'!U15&gt;4,"Water","Land"),'Map 3'!$AG$3:$AH$3,0)),INDEX($AK$4:$AL$6,MATCH(INDEX($P$3:$S$6,MATCH(MOD('Map 2 Do Touch'!U15,4),$O$3:$O$6,0),MATCH(MOD('Map 2 Do Touch'!U16,4),$P$2:$S$2,0)),'Map 3'!$AJ$4:$AJ$6,0),MATCH(IF('Map 2 Do Touch'!U15&gt;4,"Water","Land"),'Map 3'!$AK$3:$AL$3,0))))</f>
        <v>Ocean</v>
      </c>
      <c r="V20" s="3" t="str">
        <f ca="1">IF('Map 2 Do Touch'!U15&lt;&gt;'Map 2 Do Touch'!U16,IF('Map 2 Do Touch'!V16&gt;4,INDEX($AG$4:$AH$6,MATCH(INDEX($I$3:$L$6,MATCH(MOD('Map 2 Do Touch'!U16,4),$H$3:$H$6,0),MATCH(MOD('Map 2 Do Touch'!V16,4),$I$2:$L$2,0)),$AF$4:$AF$6,0),MATCH(IF('Map 2 Do Touch'!U16&gt;4,"Water","Land"),'Map 3'!$AG$3:$AH$3,0)),INDEX($AK$4:$AL$6,MATCH(INDEX($I$3:$L$6,MATCH(MOD('Map 2 Do Touch'!U16,4),$H$3:$H$6,0),MATCH(MOD('Map 2 Do Touch'!V16,4),$I$2:$L$2,0)),'Map 3'!$AJ$4:$AJ$6,0),MATCH(IF('Map 2 Do Touch'!U16&gt;4,"Water","Land"),'Map 3'!$AK$3:$AL$3,0))),IF('Map 2 Do Touch'!V16&gt;4,INDEX($AG$4:$AH$6,MATCH(INDEX($P$3:$S$6,MATCH(MOD('Map 2 Do Touch'!V15,4),$O$3:$O$6,0),MATCH(MOD('Map 2 Do Touch'!V16,4),$P$2:$S$2,0)),$AF$4:$AF$6,0),MATCH(IF('Map 2 Do Touch'!V15&gt;4,"Water","Land"),'Map 3'!$AG$3:$AH$3,0)),INDEX($AK$4:$AL$6,MATCH(INDEX($P$3:$S$6,MATCH(MOD('Map 2 Do Touch'!V15,4),$O$3:$O$6,0),MATCH(MOD('Map 2 Do Touch'!V16,4),$P$2:$S$2,0)),'Map 3'!$AJ$4:$AJ$6,0),MATCH(IF('Map 2 Do Touch'!V15&gt;4,"Water","Land"),'Map 3'!$AK$3:$AL$3,0))))</f>
        <v>Ocean</v>
      </c>
      <c r="W20" s="3" t="str">
        <f ca="1">IF('Map 2 Do Touch'!V15&lt;&gt;'Map 2 Do Touch'!V16,IF('Map 2 Do Touch'!W16&gt;4,INDEX($AG$4:$AH$6,MATCH(INDEX($I$3:$L$6,MATCH(MOD('Map 2 Do Touch'!V16,4),$H$3:$H$6,0),MATCH(MOD('Map 2 Do Touch'!W16,4),$I$2:$L$2,0)),$AF$4:$AF$6,0),MATCH(IF('Map 2 Do Touch'!V16&gt;4,"Water","Land"),'Map 3'!$AG$3:$AH$3,0)),INDEX($AK$4:$AL$6,MATCH(INDEX($I$3:$L$6,MATCH(MOD('Map 2 Do Touch'!V16,4),$H$3:$H$6,0),MATCH(MOD('Map 2 Do Touch'!W16,4),$I$2:$L$2,0)),'Map 3'!$AJ$4:$AJ$6,0),MATCH(IF('Map 2 Do Touch'!V16&gt;4,"Water","Land"),'Map 3'!$AK$3:$AL$3,0))),IF('Map 2 Do Touch'!W16&gt;4,INDEX($AG$4:$AH$6,MATCH(INDEX($P$3:$S$6,MATCH(MOD('Map 2 Do Touch'!W15,4),$O$3:$O$6,0),MATCH(MOD('Map 2 Do Touch'!W16,4),$P$2:$S$2,0)),$AF$4:$AF$6,0),MATCH(IF('Map 2 Do Touch'!W15&gt;4,"Water","Land"),'Map 3'!$AG$3:$AH$3,0)),INDEX($AK$4:$AL$6,MATCH(INDEX($P$3:$S$6,MATCH(MOD('Map 2 Do Touch'!W15,4),$O$3:$O$6,0),MATCH(MOD('Map 2 Do Touch'!W16,4),$P$2:$S$2,0)),'Map 3'!$AJ$4:$AJ$6,0),MATCH(IF('Map 2 Do Touch'!W15&gt;4,"Water","Land"),'Map 3'!$AK$3:$AL$3,0))))</f>
        <v>Ocean</v>
      </c>
      <c r="X20" s="3" t="str">
        <f ca="1">IF('Map 2 Do Touch'!W15&lt;&gt;'Map 2 Do Touch'!W16,IF('Map 2 Do Touch'!X16&gt;4,INDEX($AG$4:$AH$6,MATCH(INDEX($I$3:$L$6,MATCH(MOD('Map 2 Do Touch'!W16,4),$H$3:$H$6,0),MATCH(MOD('Map 2 Do Touch'!X16,4),$I$2:$L$2,0)),$AF$4:$AF$6,0),MATCH(IF('Map 2 Do Touch'!W16&gt;4,"Water","Land"),'Map 3'!$AG$3:$AH$3,0)),INDEX($AK$4:$AL$6,MATCH(INDEX($I$3:$L$6,MATCH(MOD('Map 2 Do Touch'!W16,4),$H$3:$H$6,0),MATCH(MOD('Map 2 Do Touch'!X16,4),$I$2:$L$2,0)),'Map 3'!$AJ$4:$AJ$6,0),MATCH(IF('Map 2 Do Touch'!W16&gt;4,"Water","Land"),'Map 3'!$AK$3:$AL$3,0))),IF('Map 2 Do Touch'!X16&gt;4,INDEX($AG$4:$AH$6,MATCH(INDEX($P$3:$S$6,MATCH(MOD('Map 2 Do Touch'!X15,4),$O$3:$O$6,0),MATCH(MOD('Map 2 Do Touch'!X16,4),$P$2:$S$2,0)),$AF$4:$AF$6,0),MATCH(IF('Map 2 Do Touch'!X15&gt;4,"Water","Land"),'Map 3'!$AG$3:$AH$3,0)),INDEX($AK$4:$AL$6,MATCH(INDEX($P$3:$S$6,MATCH(MOD('Map 2 Do Touch'!X15,4),$O$3:$O$6,0),MATCH(MOD('Map 2 Do Touch'!X16,4),$P$2:$S$2,0)),'Map 3'!$AJ$4:$AJ$6,0),MATCH(IF('Map 2 Do Touch'!X15&gt;4,"Water","Land"),'Map 3'!$AK$3:$AL$3,0))))</f>
        <v>Ocean</v>
      </c>
      <c r="Y20" s="3" t="str">
        <f ca="1">IF('Map 2 Do Touch'!X15&lt;&gt;'Map 2 Do Touch'!X16,IF('Map 2 Do Touch'!Y16&gt;4,INDEX($AG$4:$AH$6,MATCH(INDEX($I$3:$L$6,MATCH(MOD('Map 2 Do Touch'!X16,4),$H$3:$H$6,0),MATCH(MOD('Map 2 Do Touch'!Y16,4),$I$2:$L$2,0)),$AF$4:$AF$6,0),MATCH(IF('Map 2 Do Touch'!X16&gt;4,"Water","Land"),'Map 3'!$AG$3:$AH$3,0)),INDEX($AK$4:$AL$6,MATCH(INDEX($I$3:$L$6,MATCH(MOD('Map 2 Do Touch'!X16,4),$H$3:$H$6,0),MATCH(MOD('Map 2 Do Touch'!Y16,4),$I$2:$L$2,0)),'Map 3'!$AJ$4:$AJ$6,0),MATCH(IF('Map 2 Do Touch'!X16&gt;4,"Water","Land"),'Map 3'!$AK$3:$AL$3,0))),IF('Map 2 Do Touch'!Y16&gt;4,INDEX($AG$4:$AH$6,MATCH(INDEX($P$3:$S$6,MATCH(MOD('Map 2 Do Touch'!Y15,4),$O$3:$O$6,0),MATCH(MOD('Map 2 Do Touch'!Y16,4),$P$2:$S$2,0)),$AF$4:$AF$6,0),MATCH(IF('Map 2 Do Touch'!Y15&gt;4,"Water","Land"),'Map 3'!$AG$3:$AH$3,0)),INDEX($AK$4:$AL$6,MATCH(INDEX($P$3:$S$6,MATCH(MOD('Map 2 Do Touch'!Y15,4),$O$3:$O$6,0),MATCH(MOD('Map 2 Do Touch'!Y16,4),$P$2:$S$2,0)),'Map 3'!$AJ$4:$AJ$6,0),MATCH(IF('Map 2 Do Touch'!Y15&gt;4,"Water","Land"),'Map 3'!$AK$3:$AL$3,0))))</f>
        <v>Coast</v>
      </c>
      <c r="Z20" s="3" t="str">
        <f ca="1">IF('Map 2 Do Touch'!Y15&lt;&gt;'Map 2 Do Touch'!Y16,IF('Map 2 Do Touch'!Z16&gt;4,INDEX($AG$4:$AH$6,MATCH(INDEX($I$3:$L$6,MATCH(MOD('Map 2 Do Touch'!Y16,4),$H$3:$H$6,0),MATCH(MOD('Map 2 Do Touch'!Z16,4),$I$2:$L$2,0)),$AF$4:$AF$6,0),MATCH(IF('Map 2 Do Touch'!Y16&gt;4,"Water","Land"),'Map 3'!$AG$3:$AH$3,0)),INDEX($AK$4:$AL$6,MATCH(INDEX($I$3:$L$6,MATCH(MOD('Map 2 Do Touch'!Y16,4),$H$3:$H$6,0),MATCH(MOD('Map 2 Do Touch'!Z16,4),$I$2:$L$2,0)),'Map 3'!$AJ$4:$AJ$6,0),MATCH(IF('Map 2 Do Touch'!Y16&gt;4,"Water","Land"),'Map 3'!$AK$3:$AL$3,0))),IF('Map 2 Do Touch'!Z16&gt;4,INDEX($AG$4:$AH$6,MATCH(INDEX($P$3:$S$6,MATCH(MOD('Map 2 Do Touch'!Z15,4),$O$3:$O$6,0),MATCH(MOD('Map 2 Do Touch'!Z16,4),$P$2:$S$2,0)),$AF$4:$AF$6,0),MATCH(IF('Map 2 Do Touch'!Z15&gt;4,"Water","Land"),'Map 3'!$AG$3:$AH$3,0)),INDEX($AK$4:$AL$6,MATCH(INDEX($P$3:$S$6,MATCH(MOD('Map 2 Do Touch'!Z15,4),$O$3:$O$6,0),MATCH(MOD('Map 2 Do Touch'!Z16,4),$P$2:$S$2,0)),'Map 3'!$AJ$4:$AJ$6,0),MATCH(IF('Map 2 Do Touch'!Z15&gt;4,"Water","Land"),'Map 3'!$AK$3:$AL$3,0))))</f>
        <v>Flatland</v>
      </c>
      <c r="AA20" s="3" t="str">
        <f ca="1">IF('Map 2 Do Touch'!Z15&lt;&gt;'Map 2 Do Touch'!Z16,IF('Map 2 Do Touch'!AA16&gt;4,INDEX($AG$4:$AH$6,MATCH(INDEX($I$3:$L$6,MATCH(MOD('Map 2 Do Touch'!Z16,4),$H$3:$H$6,0),MATCH(MOD('Map 2 Do Touch'!AA16,4),$I$2:$L$2,0)),$AF$4:$AF$6,0),MATCH(IF('Map 2 Do Touch'!Z16&gt;4,"Water","Land"),'Map 3'!$AG$3:$AH$3,0)),INDEX($AK$4:$AL$6,MATCH(INDEX($I$3:$L$6,MATCH(MOD('Map 2 Do Touch'!Z16,4),$H$3:$H$6,0),MATCH(MOD('Map 2 Do Touch'!AA16,4),$I$2:$L$2,0)),'Map 3'!$AJ$4:$AJ$6,0),MATCH(IF('Map 2 Do Touch'!Z16&gt;4,"Water","Land"),'Map 3'!$AK$3:$AL$3,0))),IF('Map 2 Do Touch'!AA16&gt;4,INDEX($AG$4:$AH$6,MATCH(INDEX($P$3:$S$6,MATCH(MOD('Map 2 Do Touch'!AA15,4),$O$3:$O$6,0),MATCH(MOD('Map 2 Do Touch'!AA16,4),$P$2:$S$2,0)),$AF$4:$AF$6,0),MATCH(IF('Map 2 Do Touch'!AA15&gt;4,"Water","Land"),'Map 3'!$AG$3:$AH$3,0)),INDEX($AK$4:$AL$6,MATCH(INDEX($P$3:$S$6,MATCH(MOD('Map 2 Do Touch'!AA15,4),$O$3:$O$6,0),MATCH(MOD('Map 2 Do Touch'!AA16,4),$P$2:$S$2,0)),'Map 3'!$AJ$4:$AJ$6,0),MATCH(IF('Map 2 Do Touch'!AA15&gt;4,"Water","Land"),'Map 3'!$AK$3:$AL$3,0))))</f>
        <v>Flatland</v>
      </c>
      <c r="AB20" s="3" t="str">
        <f ca="1">IF('Map 2 Do Touch'!AA15&lt;&gt;'Map 2 Do Touch'!AA16,IF('Map 2 Do Touch'!AB16&gt;4,INDEX($AG$4:$AH$6,MATCH(INDEX($I$3:$L$6,MATCH(MOD('Map 2 Do Touch'!AA16,4),$H$3:$H$6,0),MATCH(MOD('Map 2 Do Touch'!AB16,4),$I$2:$L$2,0)),$AF$4:$AF$6,0),MATCH(IF('Map 2 Do Touch'!AA16&gt;4,"Water","Land"),'Map 3'!$AG$3:$AH$3,0)),INDEX($AK$4:$AL$6,MATCH(INDEX($I$3:$L$6,MATCH(MOD('Map 2 Do Touch'!AA16,4),$H$3:$H$6,0),MATCH(MOD('Map 2 Do Touch'!AB16,4),$I$2:$L$2,0)),'Map 3'!$AJ$4:$AJ$6,0),MATCH(IF('Map 2 Do Touch'!AA16&gt;4,"Water","Land"),'Map 3'!$AK$3:$AL$3,0))),IF('Map 2 Do Touch'!AB16&gt;4,INDEX($AG$4:$AH$6,MATCH(INDEX($P$3:$S$6,MATCH(MOD('Map 2 Do Touch'!AB15,4),$O$3:$O$6,0),MATCH(MOD('Map 2 Do Touch'!AB16,4),$P$2:$S$2,0)),$AF$4:$AF$6,0),MATCH(IF('Map 2 Do Touch'!AB15&gt;4,"Water","Land"),'Map 3'!$AG$3:$AH$3,0)),INDEX($AK$4:$AL$6,MATCH(INDEX($P$3:$S$6,MATCH(MOD('Map 2 Do Touch'!AB15,4),$O$3:$O$6,0),MATCH(MOD('Map 2 Do Touch'!AB16,4),$P$2:$S$2,0)),'Map 3'!$AJ$4:$AJ$6,0),MATCH(IF('Map 2 Do Touch'!AB15&gt;4,"Water","Land"),'Map 3'!$AK$3:$AL$3,0))))</f>
        <v>Coast</v>
      </c>
      <c r="AC20" s="3" t="str">
        <f ca="1">IF('Map 2 Do Touch'!AB15&lt;&gt;'Map 2 Do Touch'!AB16,IF('Map 2 Do Touch'!AC16&gt;4,INDEX($AG$4:$AH$6,MATCH(INDEX($I$3:$L$6,MATCH(MOD('Map 2 Do Touch'!AB16,4),$H$3:$H$6,0),MATCH(MOD('Map 2 Do Touch'!AC16,4),$I$2:$L$2,0)),$AF$4:$AF$6,0),MATCH(IF('Map 2 Do Touch'!AB16&gt;4,"Water","Land"),'Map 3'!$AG$3:$AH$3,0)),INDEX($AK$4:$AL$6,MATCH(INDEX($I$3:$L$6,MATCH(MOD('Map 2 Do Touch'!AB16,4),$H$3:$H$6,0),MATCH(MOD('Map 2 Do Touch'!AC16,4),$I$2:$L$2,0)),'Map 3'!$AJ$4:$AJ$6,0),MATCH(IF('Map 2 Do Touch'!AB16&gt;4,"Water","Land"),'Map 3'!$AK$3:$AL$3,0))),IF('Map 2 Do Touch'!AC16&gt;4,INDEX($AG$4:$AH$6,MATCH(INDEX($P$3:$S$6,MATCH(MOD('Map 2 Do Touch'!AC15,4),$O$3:$O$6,0),MATCH(MOD('Map 2 Do Touch'!AC16,4),$P$2:$S$2,0)),$AF$4:$AF$6,0),MATCH(IF('Map 2 Do Touch'!AC15&gt;4,"Water","Land"),'Map 3'!$AG$3:$AH$3,0)),INDEX($AK$4:$AL$6,MATCH(INDEX($P$3:$S$6,MATCH(MOD('Map 2 Do Touch'!AC15,4),$O$3:$O$6,0),MATCH(MOD('Map 2 Do Touch'!AC16,4),$P$2:$S$2,0)),'Map 3'!$AJ$4:$AJ$6,0),MATCH(IF('Map 2 Do Touch'!AC15&gt;4,"Water","Land"),'Map 3'!$AK$3:$AL$3,0))))</f>
        <v>Ocean</v>
      </c>
      <c r="AD20" s="3" t="str">
        <f ca="1">IF('Map 2 Do Touch'!AC15&lt;&gt;'Map 2 Do Touch'!AC16,IF('Map 2 Do Touch'!AD16&gt;4,INDEX($AG$4:$AH$6,MATCH(INDEX($I$3:$L$6,MATCH(MOD('Map 2 Do Touch'!AC16,4),$H$3:$H$6,0),MATCH(MOD('Map 2 Do Touch'!AD16,4),$I$2:$L$2,0)),$AF$4:$AF$6,0),MATCH(IF('Map 2 Do Touch'!AC16&gt;4,"Water","Land"),'Map 3'!$AG$3:$AH$3,0)),INDEX($AK$4:$AL$6,MATCH(INDEX($I$3:$L$6,MATCH(MOD('Map 2 Do Touch'!AC16,4),$H$3:$H$6,0),MATCH(MOD('Map 2 Do Touch'!AD16,4),$I$2:$L$2,0)),'Map 3'!$AJ$4:$AJ$6,0),MATCH(IF('Map 2 Do Touch'!AC16&gt;4,"Water","Land"),'Map 3'!$AK$3:$AL$3,0))),IF('Map 2 Do Touch'!AD16&gt;4,INDEX($AG$4:$AH$6,MATCH(INDEX($P$3:$S$6,MATCH(MOD('Map 2 Do Touch'!AD15,4),$O$3:$O$6,0),MATCH(MOD('Map 2 Do Touch'!AD16,4),$P$2:$S$2,0)),$AF$4:$AF$6,0),MATCH(IF('Map 2 Do Touch'!AD15&gt;4,"Water","Land"),'Map 3'!$AG$3:$AH$3,0)),INDEX($AK$4:$AL$6,MATCH(INDEX($P$3:$S$6,MATCH(MOD('Map 2 Do Touch'!AD15,4),$O$3:$O$6,0),MATCH(MOD('Map 2 Do Touch'!AD16,4),$P$2:$S$2,0)),'Map 3'!$AJ$4:$AJ$6,0),MATCH(IF('Map 2 Do Touch'!AD15&gt;4,"Water","Land"),'Map 3'!$AK$3:$AL$3,0))))</f>
        <v>Ocean</v>
      </c>
      <c r="AE20" s="3" t="str">
        <f ca="1">IF('Map 2 Do Touch'!AD15&lt;&gt;'Map 2 Do Touch'!AD16,IF('Map 2 Do Touch'!AE16&gt;4,INDEX($AG$4:$AH$6,MATCH(INDEX($I$3:$L$6,MATCH(MOD('Map 2 Do Touch'!AD16,4),$H$3:$H$6,0),MATCH(MOD('Map 2 Do Touch'!AE16,4),$I$2:$L$2,0)),$AF$4:$AF$6,0),MATCH(IF('Map 2 Do Touch'!AD16&gt;4,"Water","Land"),'Map 3'!$AG$3:$AH$3,0)),INDEX($AK$4:$AL$6,MATCH(INDEX($I$3:$L$6,MATCH(MOD('Map 2 Do Touch'!AD16,4),$H$3:$H$6,0),MATCH(MOD('Map 2 Do Touch'!AE16,4),$I$2:$L$2,0)),'Map 3'!$AJ$4:$AJ$6,0),MATCH(IF('Map 2 Do Touch'!AD16&gt;4,"Water","Land"),'Map 3'!$AK$3:$AL$3,0))),IF('Map 2 Do Touch'!AE16&gt;4,INDEX($AG$4:$AH$6,MATCH(INDEX($P$3:$S$6,MATCH(MOD('Map 2 Do Touch'!AE15,4),$O$3:$O$6,0),MATCH(MOD('Map 2 Do Touch'!AE16,4),$P$2:$S$2,0)),$AF$4:$AF$6,0),MATCH(IF('Map 2 Do Touch'!AE15&gt;4,"Water","Land"),'Map 3'!$AG$3:$AH$3,0)),INDEX($AK$4:$AL$6,MATCH(INDEX($P$3:$S$6,MATCH(MOD('Map 2 Do Touch'!AE15,4),$O$3:$O$6,0),MATCH(MOD('Map 2 Do Touch'!AE16,4),$P$2:$S$2,0)),'Map 3'!$AJ$4:$AJ$6,0),MATCH(IF('Map 2 Do Touch'!AE15&gt;4,"Water","Land"),'Map 3'!$AK$3:$AL$3,0))))</f>
        <v>Ocean</v>
      </c>
      <c r="AF20" s="3" t="str">
        <f ca="1">IF('Map 2 Do Touch'!AE15&lt;&gt;'Map 2 Do Touch'!AE16,IF('Map 2 Do Touch'!AF16&gt;4,INDEX($AG$4:$AH$6,MATCH(INDEX($I$3:$L$6,MATCH(MOD('Map 2 Do Touch'!AE16,4),$H$3:$H$6,0),MATCH(MOD('Map 2 Do Touch'!AF16,4),$I$2:$L$2,0)),$AF$4:$AF$6,0),MATCH(IF('Map 2 Do Touch'!AE16&gt;4,"Water","Land"),'Map 3'!$AG$3:$AH$3,0)),INDEX($AK$4:$AL$6,MATCH(INDEX($I$3:$L$6,MATCH(MOD('Map 2 Do Touch'!AE16,4),$H$3:$H$6,0),MATCH(MOD('Map 2 Do Touch'!AF16,4),$I$2:$L$2,0)),'Map 3'!$AJ$4:$AJ$6,0),MATCH(IF('Map 2 Do Touch'!AE16&gt;4,"Water","Land"),'Map 3'!$AK$3:$AL$3,0))),IF('Map 2 Do Touch'!AF16&gt;4,INDEX($AG$4:$AH$6,MATCH(INDEX($P$3:$S$6,MATCH(MOD('Map 2 Do Touch'!AF15,4),$O$3:$O$6,0),MATCH(MOD('Map 2 Do Touch'!AF16,4),$P$2:$S$2,0)),$AF$4:$AF$6,0),MATCH(IF('Map 2 Do Touch'!AF15&gt;4,"Water","Land"),'Map 3'!$AG$3:$AH$3,0)),INDEX($AK$4:$AL$6,MATCH(INDEX($P$3:$S$6,MATCH(MOD('Map 2 Do Touch'!AF15,4),$O$3:$O$6,0),MATCH(MOD('Map 2 Do Touch'!AF16,4),$P$2:$S$2,0)),'Map 3'!$AJ$4:$AJ$6,0),MATCH(IF('Map 2 Do Touch'!AF15&gt;4,"Water","Land"),'Map 3'!$AK$3:$AL$3,0))))</f>
        <v>Ocean</v>
      </c>
      <c r="AG20" s="3" t="str">
        <f ca="1">IF('Map 2 Do Touch'!AF15&lt;&gt;'Map 2 Do Touch'!AF16,IF('Map 2 Do Touch'!AG16&gt;4,INDEX($AG$4:$AH$6,MATCH(INDEX($I$3:$L$6,MATCH(MOD('Map 2 Do Touch'!AF16,4),$H$3:$H$6,0),MATCH(MOD('Map 2 Do Touch'!AG16,4),$I$2:$L$2,0)),$AF$4:$AF$6,0),MATCH(IF('Map 2 Do Touch'!AF16&gt;4,"Water","Land"),'Map 3'!$AG$3:$AH$3,0)),INDEX($AK$4:$AL$6,MATCH(INDEX($I$3:$L$6,MATCH(MOD('Map 2 Do Touch'!AF16,4),$H$3:$H$6,0),MATCH(MOD('Map 2 Do Touch'!AG16,4),$I$2:$L$2,0)),'Map 3'!$AJ$4:$AJ$6,0),MATCH(IF('Map 2 Do Touch'!AF16&gt;4,"Water","Land"),'Map 3'!$AK$3:$AL$3,0))),IF('Map 2 Do Touch'!AG16&gt;4,INDEX($AG$4:$AH$6,MATCH(INDEX($P$3:$S$6,MATCH(MOD('Map 2 Do Touch'!AG15,4),$O$3:$O$6,0),MATCH(MOD('Map 2 Do Touch'!AG16,4),$P$2:$S$2,0)),$AF$4:$AF$6,0),MATCH(IF('Map 2 Do Touch'!AG15&gt;4,"Water","Land"),'Map 3'!$AG$3:$AH$3,0)),INDEX($AK$4:$AL$6,MATCH(INDEX($P$3:$S$6,MATCH(MOD('Map 2 Do Touch'!AG15,4),$O$3:$O$6,0),MATCH(MOD('Map 2 Do Touch'!AG16,4),$P$2:$S$2,0)),'Map 3'!$AJ$4:$AJ$6,0),MATCH(IF('Map 2 Do Touch'!AG15&gt;4,"Water","Land"),'Map 3'!$AK$3:$AL$3,0))))</f>
        <v>Ocean</v>
      </c>
      <c r="AH20" s="3" t="str">
        <f ca="1">IF('Map 2 Do Touch'!AG15&lt;&gt;'Map 2 Do Touch'!AG16,IF('Map 2 Do Touch'!AH16&gt;4,INDEX($AG$4:$AH$6,MATCH(INDEX($I$3:$L$6,MATCH(MOD('Map 2 Do Touch'!AG16,4),$H$3:$H$6,0),MATCH(MOD('Map 2 Do Touch'!AH16,4),$I$2:$L$2,0)),$AF$4:$AF$6,0),MATCH(IF('Map 2 Do Touch'!AG16&gt;4,"Water","Land"),'Map 3'!$AG$3:$AH$3,0)),INDEX($AK$4:$AL$6,MATCH(INDEX($I$3:$L$6,MATCH(MOD('Map 2 Do Touch'!AG16,4),$H$3:$H$6,0),MATCH(MOD('Map 2 Do Touch'!AH16,4),$I$2:$L$2,0)),'Map 3'!$AJ$4:$AJ$6,0),MATCH(IF('Map 2 Do Touch'!AG16&gt;4,"Water","Land"),'Map 3'!$AK$3:$AL$3,0))),IF('Map 2 Do Touch'!AH16&gt;4,INDEX($AG$4:$AH$6,MATCH(INDEX($P$3:$S$6,MATCH(MOD('Map 2 Do Touch'!AH15,4),$O$3:$O$6,0),MATCH(MOD('Map 2 Do Touch'!AH16,4),$P$2:$S$2,0)),$AF$4:$AF$6,0),MATCH(IF('Map 2 Do Touch'!AH15&gt;4,"Water","Land"),'Map 3'!$AG$3:$AH$3,0)),INDEX($AK$4:$AL$6,MATCH(INDEX($P$3:$S$6,MATCH(MOD('Map 2 Do Touch'!AH15,4),$O$3:$O$6,0),MATCH(MOD('Map 2 Do Touch'!AH16,4),$P$2:$S$2,0)),'Map 3'!$AJ$4:$AJ$6,0),MATCH(IF('Map 2 Do Touch'!AH15&gt;4,"Water","Land"),'Map 3'!$AK$3:$AL$3,0))))</f>
        <v>Ocean</v>
      </c>
      <c r="AI20" s="3" t="str">
        <f ca="1">IF('Map 2 Do Touch'!AH15&lt;&gt;'Map 2 Do Touch'!AH16,IF('Map 2 Do Touch'!AI16&gt;4,INDEX($AG$4:$AH$6,MATCH(INDEX($I$3:$L$6,MATCH(MOD('Map 2 Do Touch'!AH16,4),$H$3:$H$6,0),MATCH(MOD('Map 2 Do Touch'!AI16,4),$I$2:$L$2,0)),$AF$4:$AF$6,0),MATCH(IF('Map 2 Do Touch'!AH16&gt;4,"Water","Land"),'Map 3'!$AG$3:$AH$3,0)),INDEX($AK$4:$AL$6,MATCH(INDEX($I$3:$L$6,MATCH(MOD('Map 2 Do Touch'!AH16,4),$H$3:$H$6,0),MATCH(MOD('Map 2 Do Touch'!AI16,4),$I$2:$L$2,0)),'Map 3'!$AJ$4:$AJ$6,0),MATCH(IF('Map 2 Do Touch'!AH16&gt;4,"Water","Land"),'Map 3'!$AK$3:$AL$3,0))),IF('Map 2 Do Touch'!AI16&gt;4,INDEX($AG$4:$AH$6,MATCH(INDEX($P$3:$S$6,MATCH(MOD('Map 2 Do Touch'!AI15,4),$O$3:$O$6,0),MATCH(MOD('Map 2 Do Touch'!AI16,4),$P$2:$S$2,0)),$AF$4:$AF$6,0),MATCH(IF('Map 2 Do Touch'!AI15&gt;4,"Water","Land"),'Map 3'!$AG$3:$AH$3,0)),INDEX($AK$4:$AL$6,MATCH(INDEX($P$3:$S$6,MATCH(MOD('Map 2 Do Touch'!AI15,4),$O$3:$O$6,0),MATCH(MOD('Map 2 Do Touch'!AI16,4),$P$2:$S$2,0)),'Map 3'!$AJ$4:$AJ$6,0),MATCH(IF('Map 2 Do Touch'!AI15&gt;4,"Water","Land"),'Map 3'!$AK$3:$AL$3,0))))</f>
        <v>Ocean</v>
      </c>
      <c r="AJ20" s="3" t="str">
        <f ca="1">IF('Map 2 Do Touch'!AI15&lt;&gt;'Map 2 Do Touch'!AI16,IF('Map 2 Do Touch'!AJ16&gt;4,INDEX($AG$4:$AH$6,MATCH(INDEX($I$3:$L$6,MATCH(MOD('Map 2 Do Touch'!AI16,4),$H$3:$H$6,0),MATCH(MOD('Map 2 Do Touch'!AJ16,4),$I$2:$L$2,0)),$AF$4:$AF$6,0),MATCH(IF('Map 2 Do Touch'!AI16&gt;4,"Water","Land"),'Map 3'!$AG$3:$AH$3,0)),INDEX($AK$4:$AL$6,MATCH(INDEX($I$3:$L$6,MATCH(MOD('Map 2 Do Touch'!AI16,4),$H$3:$H$6,0),MATCH(MOD('Map 2 Do Touch'!AJ16,4),$I$2:$L$2,0)),'Map 3'!$AJ$4:$AJ$6,0),MATCH(IF('Map 2 Do Touch'!AI16&gt;4,"Water","Land"),'Map 3'!$AK$3:$AL$3,0))),IF('Map 2 Do Touch'!AJ16&gt;4,INDEX($AG$4:$AH$6,MATCH(INDEX($P$3:$S$6,MATCH(MOD('Map 2 Do Touch'!AJ15,4),$O$3:$O$6,0),MATCH(MOD('Map 2 Do Touch'!AJ16,4),$P$2:$S$2,0)),$AF$4:$AF$6,0),MATCH(IF('Map 2 Do Touch'!AJ15&gt;4,"Water","Land"),'Map 3'!$AG$3:$AH$3,0)),INDEX($AK$4:$AL$6,MATCH(INDEX($P$3:$S$6,MATCH(MOD('Map 2 Do Touch'!AJ15,4),$O$3:$O$6,0),MATCH(MOD('Map 2 Do Touch'!AJ16,4),$P$2:$S$2,0)),'Map 3'!$AJ$4:$AJ$6,0),MATCH(IF('Map 2 Do Touch'!AJ15&gt;4,"Water","Land"),'Map 3'!$AK$3:$AL$3,0))))</f>
        <v>Ocean</v>
      </c>
      <c r="AK20" s="3" t="str">
        <f ca="1">IF('Map 2 Do Touch'!AJ15&lt;&gt;'Map 2 Do Touch'!AJ16,IF('Map 2 Do Touch'!AK16&gt;4,INDEX($AG$4:$AH$6,MATCH(INDEX($I$3:$L$6,MATCH(MOD('Map 2 Do Touch'!AJ16,4),$H$3:$H$6,0),MATCH(MOD('Map 2 Do Touch'!AK16,4),$I$2:$L$2,0)),$AF$4:$AF$6,0),MATCH(IF('Map 2 Do Touch'!AJ16&gt;4,"Water","Land"),'Map 3'!$AG$3:$AH$3,0)),INDEX($AK$4:$AL$6,MATCH(INDEX($I$3:$L$6,MATCH(MOD('Map 2 Do Touch'!AJ16,4),$H$3:$H$6,0),MATCH(MOD('Map 2 Do Touch'!AK16,4),$I$2:$L$2,0)),'Map 3'!$AJ$4:$AJ$6,0),MATCH(IF('Map 2 Do Touch'!AJ16&gt;4,"Water","Land"),'Map 3'!$AK$3:$AL$3,0))),IF('Map 2 Do Touch'!AK16&gt;4,INDEX($AG$4:$AH$6,MATCH(INDEX($P$3:$S$6,MATCH(MOD('Map 2 Do Touch'!AK15,4),$O$3:$O$6,0),MATCH(MOD('Map 2 Do Touch'!AK16,4),$P$2:$S$2,0)),$AF$4:$AF$6,0),MATCH(IF('Map 2 Do Touch'!AK15&gt;4,"Water","Land"),'Map 3'!$AG$3:$AH$3,0)),INDEX($AK$4:$AL$6,MATCH(INDEX($P$3:$S$6,MATCH(MOD('Map 2 Do Touch'!AK15,4),$O$3:$O$6,0),MATCH(MOD('Map 2 Do Touch'!AK16,4),$P$2:$S$2,0)),'Map 3'!$AJ$4:$AJ$6,0),MATCH(IF('Map 2 Do Touch'!AK15&gt;4,"Water","Land"),'Map 3'!$AK$3:$AL$3,0))))</f>
        <v>Drop Off</v>
      </c>
      <c r="AL20" s="3" t="str">
        <f ca="1">IF('Map 2 Do Touch'!AK15&lt;&gt;'Map 2 Do Touch'!AK16,IF('Map 2 Do Touch'!AL16&gt;4,INDEX($AG$4:$AH$6,MATCH(INDEX($I$3:$L$6,MATCH(MOD('Map 2 Do Touch'!AK16,4),$H$3:$H$6,0),MATCH(MOD('Map 2 Do Touch'!AL16,4),$I$2:$L$2,0)),$AF$4:$AF$6,0),MATCH(IF('Map 2 Do Touch'!AK16&gt;4,"Water","Land"),'Map 3'!$AG$3:$AH$3,0)),INDEX($AK$4:$AL$6,MATCH(INDEX($I$3:$L$6,MATCH(MOD('Map 2 Do Touch'!AK16,4),$H$3:$H$6,0),MATCH(MOD('Map 2 Do Touch'!AL16,4),$I$2:$L$2,0)),'Map 3'!$AJ$4:$AJ$6,0),MATCH(IF('Map 2 Do Touch'!AK16&gt;4,"Water","Land"),'Map 3'!$AK$3:$AL$3,0))),IF('Map 2 Do Touch'!AL16&gt;4,INDEX($AG$4:$AH$6,MATCH(INDEX($P$3:$S$6,MATCH(MOD('Map 2 Do Touch'!AL15,4),$O$3:$O$6,0),MATCH(MOD('Map 2 Do Touch'!AL16,4),$P$2:$S$2,0)),$AF$4:$AF$6,0),MATCH(IF('Map 2 Do Touch'!AL15&gt;4,"Water","Land"),'Map 3'!$AG$3:$AH$3,0)),INDEX($AK$4:$AL$6,MATCH(INDEX($P$3:$S$6,MATCH(MOD('Map 2 Do Touch'!AL15,4),$O$3:$O$6,0),MATCH(MOD('Map 2 Do Touch'!AL16,4),$P$2:$S$2,0)),'Map 3'!$AJ$4:$AJ$6,0),MATCH(IF('Map 2 Do Touch'!AL15&gt;4,"Water","Land"),'Map 3'!$AK$3:$AL$3,0))))</f>
        <v>Island</v>
      </c>
      <c r="AM20" s="3" t="str">
        <f ca="1">IF('Map 2 Do Touch'!AL15&lt;&gt;'Map 2 Do Touch'!AL16,IF('Map 2 Do Touch'!AM16&gt;4,INDEX($AG$4:$AH$6,MATCH(INDEX($I$3:$L$6,MATCH(MOD('Map 2 Do Touch'!AL16,4),$H$3:$H$6,0),MATCH(MOD('Map 2 Do Touch'!AM16,4),$I$2:$L$2,0)),$AF$4:$AF$6,0),MATCH(IF('Map 2 Do Touch'!AL16&gt;4,"Water","Land"),'Map 3'!$AG$3:$AH$3,0)),INDEX($AK$4:$AL$6,MATCH(INDEX($I$3:$L$6,MATCH(MOD('Map 2 Do Touch'!AL16,4),$H$3:$H$6,0),MATCH(MOD('Map 2 Do Touch'!AM16,4),$I$2:$L$2,0)),'Map 3'!$AJ$4:$AJ$6,0),MATCH(IF('Map 2 Do Touch'!AL16&gt;4,"Water","Land"),'Map 3'!$AK$3:$AL$3,0))),IF('Map 2 Do Touch'!AM16&gt;4,INDEX($AG$4:$AH$6,MATCH(INDEX($P$3:$S$6,MATCH(MOD('Map 2 Do Touch'!AM15,4),$O$3:$O$6,0),MATCH(MOD('Map 2 Do Touch'!AM16,4),$P$2:$S$2,0)),$AF$4:$AF$6,0),MATCH(IF('Map 2 Do Touch'!AM15&gt;4,"Water","Land"),'Map 3'!$AG$3:$AH$3,0)),INDEX($AK$4:$AL$6,MATCH(INDEX($P$3:$S$6,MATCH(MOD('Map 2 Do Touch'!AM15,4),$O$3:$O$6,0),MATCH(MOD('Map 2 Do Touch'!AM16,4),$P$2:$S$2,0)),'Map 3'!$AJ$4:$AJ$6,0),MATCH(IF('Map 2 Do Touch'!AM15&gt;4,"Water","Land"),'Map 3'!$AK$3:$AL$3,0))))</f>
        <v>Ocean</v>
      </c>
      <c r="AN20" s="3" t="str">
        <f ca="1">IF('Map 2 Do Touch'!AM15&lt;&gt;'Map 2 Do Touch'!AM16,IF('Map 2 Do Touch'!AN16&gt;4,INDEX($AG$4:$AH$6,MATCH(INDEX($I$3:$L$6,MATCH(MOD('Map 2 Do Touch'!AM16,4),$H$3:$H$6,0),MATCH(MOD('Map 2 Do Touch'!AN16,4),$I$2:$L$2,0)),$AF$4:$AF$6,0),MATCH(IF('Map 2 Do Touch'!AM16&gt;4,"Water","Land"),'Map 3'!$AG$3:$AH$3,0)),INDEX($AK$4:$AL$6,MATCH(INDEX($I$3:$L$6,MATCH(MOD('Map 2 Do Touch'!AM16,4),$H$3:$H$6,0),MATCH(MOD('Map 2 Do Touch'!AN16,4),$I$2:$L$2,0)),'Map 3'!$AJ$4:$AJ$6,0),MATCH(IF('Map 2 Do Touch'!AM16&gt;4,"Water","Land"),'Map 3'!$AK$3:$AL$3,0))),IF('Map 2 Do Touch'!AN16&gt;4,INDEX($AG$4:$AH$6,MATCH(INDEX($P$3:$S$6,MATCH(MOD('Map 2 Do Touch'!AN15,4),$O$3:$O$6,0),MATCH(MOD('Map 2 Do Touch'!AN16,4),$P$2:$S$2,0)),$AF$4:$AF$6,0),MATCH(IF('Map 2 Do Touch'!AN15&gt;4,"Water","Land"),'Map 3'!$AG$3:$AH$3,0)),INDEX($AK$4:$AL$6,MATCH(INDEX($P$3:$S$6,MATCH(MOD('Map 2 Do Touch'!AN15,4),$O$3:$O$6,0),MATCH(MOD('Map 2 Do Touch'!AN16,4),$P$2:$S$2,0)),'Map 3'!$AJ$4:$AJ$6,0),MATCH(IF('Map 2 Do Touch'!AN15&gt;4,"Water","Land"),'Map 3'!$AK$3:$AL$3,0))))</f>
        <v>Flatland</v>
      </c>
      <c r="AO20" s="87" t="str">
        <f ca="1">IF('Map 2 Do Touch'!AN15&lt;&gt;'Map 2 Do Touch'!AN16,IF('Map 2 Do Touch'!AO16&gt;4,INDEX($AG$4:$AH$6,MATCH(INDEX($I$3:$L$6,MATCH(MOD('Map 2 Do Touch'!AN16,4),$H$3:$H$6,0),MATCH(MOD('Map 2 Do Touch'!AO16,4),$I$2:$L$2,0)),$AF$4:$AF$6,0),MATCH(IF('Map 2 Do Touch'!AN16&gt;4,"Water","Land"),'Map 3'!$AG$3:$AH$3,0)),INDEX($AK$4:$AL$6,MATCH(INDEX($I$3:$L$6,MATCH(MOD('Map 2 Do Touch'!AN16,4),$H$3:$H$6,0),MATCH(MOD('Map 2 Do Touch'!AO16,4),$I$2:$L$2,0)),'Map 3'!$AJ$4:$AJ$6,0),MATCH(IF('Map 2 Do Touch'!AN16&gt;4,"Water","Land"),'Map 3'!$AK$3:$AL$3,0))),IF('Map 2 Do Touch'!AO16&gt;4,INDEX($AG$4:$AH$6,MATCH(INDEX($P$3:$S$6,MATCH(MOD('Map 2 Do Touch'!AO15,4),$O$3:$O$6,0),MATCH(MOD('Map 2 Do Touch'!AO16,4),$P$2:$S$2,0)),$AF$4:$AF$6,0),MATCH(IF('Map 2 Do Touch'!AO15&gt;4,"Water","Land"),'Map 3'!$AG$3:$AH$3,0)),INDEX($AK$4:$AL$6,MATCH(INDEX($P$3:$S$6,MATCH(MOD('Map 2 Do Touch'!AO15,4),$O$3:$O$6,0),MATCH(MOD('Map 2 Do Touch'!AO16,4),$P$2:$S$2,0)),'Map 3'!$AJ$4:$AJ$6,0),MATCH(IF('Map 2 Do Touch'!AO15&gt;4,"Water","Land"),'Map 3'!$AK$3:$AL$3,0))))</f>
        <v>Coast</v>
      </c>
      <c r="AP20" s="3"/>
    </row>
    <row r="21" spans="1:42" ht="37.5" customHeight="1">
      <c r="A21" s="3">
        <v>10</v>
      </c>
      <c r="B21" s="86" t="str">
        <f ca="1">IF('Map 2 Do Touch'!B16&lt;&gt;'Map 2 Do Touch'!B17,IF('Map 2 Do Touch'!B17&gt;4,INDEX($AG$4:$AH$6,MATCH(INDEX($I$3:$L$6,MATCH(MOD('Map 2 Do Touch'!AO17,4),$H$3:$H$6,0),MATCH(MOD('Map 2 Do Touch'!B17,4),$I$2:$L$2,0)),$AF$4:$AF$6,0),MATCH(IF('Map 2 Do Touch'!AO17&gt;4,"Water","Land"),'Map 3'!$AG$3:$AH$3,0)),INDEX($AK$4:$AL$6,MATCH(INDEX($I$3:$L$6,MATCH(MOD('Map 2 Do Touch'!A17,4),$H$3:$H$6,0),MATCH(MOD('Map 2 Do Touch'!B17,4),$I$2:$L$2,0)),'Map 3'!$AJ$4:$AJ$6,0),MATCH(IF('Map 2 Do Touch'!AO17&gt;4,"Water","Land"),'Map 3'!$AK$3:$AL$3,0))),IF('Map 2 Do Touch'!B17&gt;4,INDEX($AG$4:$AH$6,MATCH(INDEX($P$3:$S$6,MATCH(MOD('Map 2 Do Touch'!B16,4),$O$3:$O$6,0),MATCH(MOD('Map 2 Do Touch'!B17,4),$P$2:$S$2,0)),$AF$4:$AF$6,0),MATCH(IF('Map 2 Do Touch'!B16&gt;4,"Water","Land"),'Map 3'!$AG$3:$AH$3,0)),INDEX($AK$4:$AL$6,MATCH(INDEX($P$3:$S$6,MATCH(MOD('Map 2 Do Touch'!B16,4),$O$3:$O$6,0),MATCH(MOD('Map 2 Do Touch'!B17,4),$P$2:$S$2,0)),'Map 3'!$AJ$4:$AJ$6,0),MATCH(IF('Map 2 Do Touch'!B16&gt;4,"Water","Land"),'Map 3'!$AK$3:$AL$3,0))))</f>
        <v>Ocean</v>
      </c>
      <c r="C21" s="3" t="str">
        <f ca="1">IF('Map 2 Do Touch'!B16&lt;&gt;'Map 2 Do Touch'!B17,IF('Map 2 Do Touch'!C17&gt;4,INDEX($AG$4:$AH$6,MATCH(INDEX($I$3:$L$6,MATCH(MOD('Map 2 Do Touch'!B17,4),$H$3:$H$6,0),MATCH(MOD('Map 2 Do Touch'!C17,4),$I$2:$L$2,0)),$AF$4:$AF$6,0),MATCH(IF('Map 2 Do Touch'!B17&gt;4,"Water","Land"),'Map 3'!$AG$3:$AH$3,0)),INDEX($AK$4:$AL$6,MATCH(INDEX($I$3:$L$6,MATCH(MOD('Map 2 Do Touch'!B17,4),$H$3:$H$6,0),MATCH(MOD('Map 2 Do Touch'!C17,4),$I$2:$L$2,0)),'Map 3'!$AJ$4:$AJ$6,0),MATCH(IF('Map 2 Do Touch'!B17&gt;4,"Water","Land"),'Map 3'!$AK$3:$AL$3,0))),IF('Map 2 Do Touch'!C17&gt;4,INDEX($AG$4:$AH$6,MATCH(INDEX($P$3:$S$6,MATCH(MOD('Map 2 Do Touch'!C16,4),$O$3:$O$6,0),MATCH(MOD('Map 2 Do Touch'!C17,4),$P$2:$S$2,0)),$AF$4:$AF$6,0),MATCH(IF('Map 2 Do Touch'!C16&gt;4,"Water","Land"),'Map 3'!$AG$3:$AH$3,0)),INDEX($AK$4:$AL$6,MATCH(INDEX($P$3:$S$6,MATCH(MOD('Map 2 Do Touch'!C16,4),$O$3:$O$6,0),MATCH(MOD('Map 2 Do Touch'!C17,4),$P$2:$S$2,0)),'Map 3'!$AJ$4:$AJ$6,0),MATCH(IF('Map 2 Do Touch'!C16&gt;4,"Water","Land"),'Map 3'!$AK$3:$AL$3,0))))</f>
        <v>Ocean</v>
      </c>
      <c r="D21" s="3" t="str">
        <f ca="1">IF('Map 2 Do Touch'!C16&lt;&gt;'Map 2 Do Touch'!C17,IF('Map 2 Do Touch'!D17&gt;4,INDEX($AG$4:$AH$6,MATCH(INDEX($I$3:$L$6,MATCH(MOD('Map 2 Do Touch'!C17,4),$H$3:$H$6,0),MATCH(MOD('Map 2 Do Touch'!D17,4),$I$2:$L$2,0)),$AF$4:$AF$6,0),MATCH(IF('Map 2 Do Touch'!C17&gt;4,"Water","Land"),'Map 3'!$AG$3:$AH$3,0)),INDEX($AK$4:$AL$6,MATCH(INDEX($I$3:$L$6,MATCH(MOD('Map 2 Do Touch'!C17,4),$H$3:$H$6,0),MATCH(MOD('Map 2 Do Touch'!D17,4),$I$2:$L$2,0)),'Map 3'!$AJ$4:$AJ$6,0),MATCH(IF('Map 2 Do Touch'!C17&gt;4,"Water","Land"),'Map 3'!$AK$3:$AL$3,0))),IF('Map 2 Do Touch'!D17&gt;4,INDEX($AG$4:$AH$6,MATCH(INDEX($P$3:$S$6,MATCH(MOD('Map 2 Do Touch'!D16,4),$O$3:$O$6,0),MATCH(MOD('Map 2 Do Touch'!D17,4),$P$2:$S$2,0)),$AF$4:$AF$6,0),MATCH(IF('Map 2 Do Touch'!D16&gt;4,"Water","Land"),'Map 3'!$AG$3:$AH$3,0)),INDEX($AK$4:$AL$6,MATCH(INDEX($P$3:$S$6,MATCH(MOD('Map 2 Do Touch'!D16,4),$O$3:$O$6,0),MATCH(MOD('Map 2 Do Touch'!D17,4),$P$2:$S$2,0)),'Map 3'!$AJ$4:$AJ$6,0),MATCH(IF('Map 2 Do Touch'!D16&gt;4,"Water","Land"),'Map 3'!$AK$3:$AL$3,0))))</f>
        <v>Ocean</v>
      </c>
      <c r="E21" s="3" t="str">
        <f ca="1">IF('Map 2 Do Touch'!D16&lt;&gt;'Map 2 Do Touch'!D17,IF('Map 2 Do Touch'!E17&gt;4,INDEX($AG$4:$AH$6,MATCH(INDEX($I$3:$L$6,MATCH(MOD('Map 2 Do Touch'!D17,4),$H$3:$H$6,0),MATCH(MOD('Map 2 Do Touch'!E17,4),$I$2:$L$2,0)),$AF$4:$AF$6,0),MATCH(IF('Map 2 Do Touch'!D17&gt;4,"Water","Land"),'Map 3'!$AG$3:$AH$3,0)),INDEX($AK$4:$AL$6,MATCH(INDEX($I$3:$L$6,MATCH(MOD('Map 2 Do Touch'!D17,4),$H$3:$H$6,0),MATCH(MOD('Map 2 Do Touch'!E17,4),$I$2:$L$2,0)),'Map 3'!$AJ$4:$AJ$6,0),MATCH(IF('Map 2 Do Touch'!D17&gt;4,"Water","Land"),'Map 3'!$AK$3:$AL$3,0))),IF('Map 2 Do Touch'!E17&gt;4,INDEX($AG$4:$AH$6,MATCH(INDEX($P$3:$S$6,MATCH(MOD('Map 2 Do Touch'!E16,4),$O$3:$O$6,0),MATCH(MOD('Map 2 Do Touch'!E17,4),$P$2:$S$2,0)),$AF$4:$AF$6,0),MATCH(IF('Map 2 Do Touch'!E16&gt;4,"Water","Land"),'Map 3'!$AG$3:$AH$3,0)),INDEX($AK$4:$AL$6,MATCH(INDEX($P$3:$S$6,MATCH(MOD('Map 2 Do Touch'!E16,4),$O$3:$O$6,0),MATCH(MOD('Map 2 Do Touch'!E17,4),$P$2:$S$2,0)),'Map 3'!$AJ$4:$AJ$6,0),MATCH(IF('Map 2 Do Touch'!E16&gt;4,"Water","Land"),'Map 3'!$AK$3:$AL$3,0))))</f>
        <v>Ocean</v>
      </c>
      <c r="F21" s="3" t="str">
        <f ca="1">IF('Map 2 Do Touch'!E16&lt;&gt;'Map 2 Do Touch'!E17,IF('Map 2 Do Touch'!F17&gt;4,INDEX($AG$4:$AH$6,MATCH(INDEX($I$3:$L$6,MATCH(MOD('Map 2 Do Touch'!E17,4),$H$3:$H$6,0),MATCH(MOD('Map 2 Do Touch'!F17,4),$I$2:$L$2,0)),$AF$4:$AF$6,0),MATCH(IF('Map 2 Do Touch'!E17&gt;4,"Water","Land"),'Map 3'!$AG$3:$AH$3,0)),INDEX($AK$4:$AL$6,MATCH(INDEX($I$3:$L$6,MATCH(MOD('Map 2 Do Touch'!E17,4),$H$3:$H$6,0),MATCH(MOD('Map 2 Do Touch'!F17,4),$I$2:$L$2,0)),'Map 3'!$AJ$4:$AJ$6,0),MATCH(IF('Map 2 Do Touch'!E17&gt;4,"Water","Land"),'Map 3'!$AK$3:$AL$3,0))),IF('Map 2 Do Touch'!F17&gt;4,INDEX($AG$4:$AH$6,MATCH(INDEX($P$3:$S$6,MATCH(MOD('Map 2 Do Touch'!F16,4),$O$3:$O$6,0),MATCH(MOD('Map 2 Do Touch'!F17,4),$P$2:$S$2,0)),$AF$4:$AF$6,0),MATCH(IF('Map 2 Do Touch'!F16&gt;4,"Water","Land"),'Map 3'!$AG$3:$AH$3,0)),INDEX($AK$4:$AL$6,MATCH(INDEX($P$3:$S$6,MATCH(MOD('Map 2 Do Touch'!F16,4),$O$3:$O$6,0),MATCH(MOD('Map 2 Do Touch'!F17,4),$P$2:$S$2,0)),'Map 3'!$AJ$4:$AJ$6,0),MATCH(IF('Map 2 Do Touch'!F16&gt;4,"Water","Land"),'Map 3'!$AK$3:$AL$3,0))))</f>
        <v>Ocean</v>
      </c>
      <c r="G21" s="3" t="str">
        <f ca="1">IF('Map 2 Do Touch'!F16&lt;&gt;'Map 2 Do Touch'!F17,IF('Map 2 Do Touch'!G17&gt;4,INDEX($AG$4:$AH$6,MATCH(INDEX($I$3:$L$6,MATCH(MOD('Map 2 Do Touch'!F17,4),$H$3:$H$6,0),MATCH(MOD('Map 2 Do Touch'!G17,4),$I$2:$L$2,0)),$AF$4:$AF$6,0),MATCH(IF('Map 2 Do Touch'!F17&gt;4,"Water","Land"),'Map 3'!$AG$3:$AH$3,0)),INDEX($AK$4:$AL$6,MATCH(INDEX($I$3:$L$6,MATCH(MOD('Map 2 Do Touch'!F17,4),$H$3:$H$6,0),MATCH(MOD('Map 2 Do Touch'!G17,4),$I$2:$L$2,0)),'Map 3'!$AJ$4:$AJ$6,0),MATCH(IF('Map 2 Do Touch'!F17&gt;4,"Water","Land"),'Map 3'!$AK$3:$AL$3,0))),IF('Map 2 Do Touch'!G17&gt;4,INDEX($AG$4:$AH$6,MATCH(INDEX($P$3:$S$6,MATCH(MOD('Map 2 Do Touch'!G16,4),$O$3:$O$6,0),MATCH(MOD('Map 2 Do Touch'!G17,4),$P$2:$S$2,0)),$AF$4:$AF$6,0),MATCH(IF('Map 2 Do Touch'!G16&gt;4,"Water","Land"),'Map 3'!$AG$3:$AH$3,0)),INDEX($AK$4:$AL$6,MATCH(INDEX($P$3:$S$6,MATCH(MOD('Map 2 Do Touch'!G16,4),$O$3:$O$6,0),MATCH(MOD('Map 2 Do Touch'!G17,4),$P$2:$S$2,0)),'Map 3'!$AJ$4:$AJ$6,0),MATCH(IF('Map 2 Do Touch'!G16&gt;4,"Water","Land"),'Map 3'!$AK$3:$AL$3,0))))</f>
        <v>Island</v>
      </c>
      <c r="H21" s="3" t="str">
        <f ca="1">IF('Map 2 Do Touch'!G16&lt;&gt;'Map 2 Do Touch'!G17,IF('Map 2 Do Touch'!H17&gt;4,INDEX($AG$4:$AH$6,MATCH(INDEX($I$3:$L$6,MATCH(MOD('Map 2 Do Touch'!G17,4),$H$3:$H$6,0),MATCH(MOD('Map 2 Do Touch'!H17,4),$I$2:$L$2,0)),$AF$4:$AF$6,0),MATCH(IF('Map 2 Do Touch'!G17&gt;4,"Water","Land"),'Map 3'!$AG$3:$AH$3,0)),INDEX($AK$4:$AL$6,MATCH(INDEX($I$3:$L$6,MATCH(MOD('Map 2 Do Touch'!G17,4),$H$3:$H$6,0),MATCH(MOD('Map 2 Do Touch'!H17,4),$I$2:$L$2,0)),'Map 3'!$AJ$4:$AJ$6,0),MATCH(IF('Map 2 Do Touch'!G17&gt;4,"Water","Land"),'Map 3'!$AK$3:$AL$3,0))),IF('Map 2 Do Touch'!H17&gt;4,INDEX($AG$4:$AH$6,MATCH(INDEX($P$3:$S$6,MATCH(MOD('Map 2 Do Touch'!H16,4),$O$3:$O$6,0),MATCH(MOD('Map 2 Do Touch'!H17,4),$P$2:$S$2,0)),$AF$4:$AF$6,0),MATCH(IF('Map 2 Do Touch'!H16&gt;4,"Water","Land"),'Map 3'!$AG$3:$AH$3,0)),INDEX($AK$4:$AL$6,MATCH(INDEX($P$3:$S$6,MATCH(MOD('Map 2 Do Touch'!H16,4),$O$3:$O$6,0),MATCH(MOD('Map 2 Do Touch'!H17,4),$P$2:$S$2,0)),'Map 3'!$AJ$4:$AJ$6,0),MATCH(IF('Map 2 Do Touch'!H16&gt;4,"Water","Land"),'Map 3'!$AK$3:$AL$3,0))))</f>
        <v>Island</v>
      </c>
      <c r="I21" s="3" t="str">
        <f ca="1">IF('Map 2 Do Touch'!H16&lt;&gt;'Map 2 Do Touch'!H17,IF('Map 2 Do Touch'!I17&gt;4,INDEX($AG$4:$AH$6,MATCH(INDEX($I$3:$L$6,MATCH(MOD('Map 2 Do Touch'!H17,4),$H$3:$H$6,0),MATCH(MOD('Map 2 Do Touch'!I17,4),$I$2:$L$2,0)),$AF$4:$AF$6,0),MATCH(IF('Map 2 Do Touch'!H17&gt;4,"Water","Land"),'Map 3'!$AG$3:$AH$3,0)),INDEX($AK$4:$AL$6,MATCH(INDEX($I$3:$L$6,MATCH(MOD('Map 2 Do Touch'!H17,4),$H$3:$H$6,0),MATCH(MOD('Map 2 Do Touch'!I17,4),$I$2:$L$2,0)),'Map 3'!$AJ$4:$AJ$6,0),MATCH(IF('Map 2 Do Touch'!H17&gt;4,"Water","Land"),'Map 3'!$AK$3:$AL$3,0))),IF('Map 2 Do Touch'!I17&gt;4,INDEX($AG$4:$AH$6,MATCH(INDEX($P$3:$S$6,MATCH(MOD('Map 2 Do Touch'!I16,4),$O$3:$O$6,0),MATCH(MOD('Map 2 Do Touch'!I17,4),$P$2:$S$2,0)),$AF$4:$AF$6,0),MATCH(IF('Map 2 Do Touch'!I16&gt;4,"Water","Land"),'Map 3'!$AG$3:$AH$3,0)),INDEX($AK$4:$AL$6,MATCH(INDEX($P$3:$S$6,MATCH(MOD('Map 2 Do Touch'!I16,4),$O$3:$O$6,0),MATCH(MOD('Map 2 Do Touch'!I17,4),$P$2:$S$2,0)),'Map 3'!$AJ$4:$AJ$6,0),MATCH(IF('Map 2 Do Touch'!I16&gt;4,"Water","Land"),'Map 3'!$AK$3:$AL$3,0))))</f>
        <v>Trench</v>
      </c>
      <c r="J21" s="3" t="str">
        <f ca="1">IF('Map 2 Do Touch'!I16&lt;&gt;'Map 2 Do Touch'!I17,IF('Map 2 Do Touch'!J17&gt;4,INDEX($AG$4:$AH$6,MATCH(INDEX($I$3:$L$6,MATCH(MOD('Map 2 Do Touch'!I17,4),$H$3:$H$6,0),MATCH(MOD('Map 2 Do Touch'!J17,4),$I$2:$L$2,0)),$AF$4:$AF$6,0),MATCH(IF('Map 2 Do Touch'!I17&gt;4,"Water","Land"),'Map 3'!$AG$3:$AH$3,0)),INDEX($AK$4:$AL$6,MATCH(INDEX($I$3:$L$6,MATCH(MOD('Map 2 Do Touch'!I17,4),$H$3:$H$6,0),MATCH(MOD('Map 2 Do Touch'!J17,4),$I$2:$L$2,0)),'Map 3'!$AJ$4:$AJ$6,0),MATCH(IF('Map 2 Do Touch'!I17&gt;4,"Water","Land"),'Map 3'!$AK$3:$AL$3,0))),IF('Map 2 Do Touch'!J17&gt;4,INDEX($AG$4:$AH$6,MATCH(INDEX($P$3:$S$6,MATCH(MOD('Map 2 Do Touch'!J16,4),$O$3:$O$6,0),MATCH(MOD('Map 2 Do Touch'!J17,4),$P$2:$S$2,0)),$AF$4:$AF$6,0),MATCH(IF('Map 2 Do Touch'!J16&gt;4,"Water","Land"),'Map 3'!$AG$3:$AH$3,0)),INDEX($AK$4:$AL$6,MATCH(INDEX($P$3:$S$6,MATCH(MOD('Map 2 Do Touch'!J16,4),$O$3:$O$6,0),MATCH(MOD('Map 2 Do Touch'!J17,4),$P$2:$S$2,0)),'Map 3'!$AJ$4:$AJ$6,0),MATCH(IF('Map 2 Do Touch'!J16&gt;4,"Water","Land"),'Map 3'!$AK$3:$AL$3,0))))</f>
        <v>Island</v>
      </c>
      <c r="K21" s="3" t="str">
        <f ca="1">IF('Map 2 Do Touch'!J16&lt;&gt;'Map 2 Do Touch'!J17,IF('Map 2 Do Touch'!K17&gt;4,INDEX($AG$4:$AH$6,MATCH(INDEX($I$3:$L$6,MATCH(MOD('Map 2 Do Touch'!J17,4),$H$3:$H$6,0),MATCH(MOD('Map 2 Do Touch'!K17,4),$I$2:$L$2,0)),$AF$4:$AF$6,0),MATCH(IF('Map 2 Do Touch'!J17&gt;4,"Water","Land"),'Map 3'!$AG$3:$AH$3,0)),INDEX($AK$4:$AL$6,MATCH(INDEX($I$3:$L$6,MATCH(MOD('Map 2 Do Touch'!J17,4),$H$3:$H$6,0),MATCH(MOD('Map 2 Do Touch'!K17,4),$I$2:$L$2,0)),'Map 3'!$AJ$4:$AJ$6,0),MATCH(IF('Map 2 Do Touch'!J17&gt;4,"Water","Land"),'Map 3'!$AK$3:$AL$3,0))),IF('Map 2 Do Touch'!K17&gt;4,INDEX($AG$4:$AH$6,MATCH(INDEX($P$3:$S$6,MATCH(MOD('Map 2 Do Touch'!K16,4),$O$3:$O$6,0),MATCH(MOD('Map 2 Do Touch'!K17,4),$P$2:$S$2,0)),$AF$4:$AF$6,0),MATCH(IF('Map 2 Do Touch'!K16&gt;4,"Water","Land"),'Map 3'!$AG$3:$AH$3,0)),INDEX($AK$4:$AL$6,MATCH(INDEX($P$3:$S$6,MATCH(MOD('Map 2 Do Touch'!K16,4),$O$3:$O$6,0),MATCH(MOD('Map 2 Do Touch'!K17,4),$P$2:$S$2,0)),'Map 3'!$AJ$4:$AJ$6,0),MATCH(IF('Map 2 Do Touch'!K16&gt;4,"Water","Land"),'Map 3'!$AK$3:$AL$3,0))))</f>
        <v>Ocean</v>
      </c>
      <c r="L21" s="3" t="str">
        <f ca="1">IF('Map 2 Do Touch'!K16&lt;&gt;'Map 2 Do Touch'!K17,IF('Map 2 Do Touch'!L17&gt;4,INDEX($AG$4:$AH$6,MATCH(INDEX($I$3:$L$6,MATCH(MOD('Map 2 Do Touch'!K17,4),$H$3:$H$6,0),MATCH(MOD('Map 2 Do Touch'!L17,4),$I$2:$L$2,0)),$AF$4:$AF$6,0),MATCH(IF('Map 2 Do Touch'!K17&gt;4,"Water","Land"),'Map 3'!$AG$3:$AH$3,0)),INDEX($AK$4:$AL$6,MATCH(INDEX($I$3:$L$6,MATCH(MOD('Map 2 Do Touch'!K17,4),$H$3:$H$6,0),MATCH(MOD('Map 2 Do Touch'!L17,4),$I$2:$L$2,0)),'Map 3'!$AJ$4:$AJ$6,0),MATCH(IF('Map 2 Do Touch'!K17&gt;4,"Water","Land"),'Map 3'!$AK$3:$AL$3,0))),IF('Map 2 Do Touch'!L17&gt;4,INDEX($AG$4:$AH$6,MATCH(INDEX($P$3:$S$6,MATCH(MOD('Map 2 Do Touch'!L16,4),$O$3:$O$6,0),MATCH(MOD('Map 2 Do Touch'!L17,4),$P$2:$S$2,0)),$AF$4:$AF$6,0),MATCH(IF('Map 2 Do Touch'!L16&gt;4,"Water","Land"),'Map 3'!$AG$3:$AH$3,0)),INDEX($AK$4:$AL$6,MATCH(INDEX($P$3:$S$6,MATCH(MOD('Map 2 Do Touch'!L16,4),$O$3:$O$6,0),MATCH(MOD('Map 2 Do Touch'!L17,4),$P$2:$S$2,0)),'Map 3'!$AJ$4:$AJ$6,0),MATCH(IF('Map 2 Do Touch'!L16&gt;4,"Water","Land"),'Map 3'!$AK$3:$AL$3,0))))</f>
        <v>Trench</v>
      </c>
      <c r="M21" s="3" t="str">
        <f ca="1">IF('Map 2 Do Touch'!L16&lt;&gt;'Map 2 Do Touch'!L17,IF('Map 2 Do Touch'!M17&gt;4,INDEX($AG$4:$AH$6,MATCH(INDEX($I$3:$L$6,MATCH(MOD('Map 2 Do Touch'!L17,4),$H$3:$H$6,0),MATCH(MOD('Map 2 Do Touch'!M17,4),$I$2:$L$2,0)),$AF$4:$AF$6,0),MATCH(IF('Map 2 Do Touch'!L17&gt;4,"Water","Land"),'Map 3'!$AG$3:$AH$3,0)),INDEX($AK$4:$AL$6,MATCH(INDEX($I$3:$L$6,MATCH(MOD('Map 2 Do Touch'!L17,4),$H$3:$H$6,0),MATCH(MOD('Map 2 Do Touch'!M17,4),$I$2:$L$2,0)),'Map 3'!$AJ$4:$AJ$6,0),MATCH(IF('Map 2 Do Touch'!L17&gt;4,"Water","Land"),'Map 3'!$AK$3:$AL$3,0))),IF('Map 2 Do Touch'!M17&gt;4,INDEX($AG$4:$AH$6,MATCH(INDEX($P$3:$S$6,MATCH(MOD('Map 2 Do Touch'!M16,4),$O$3:$O$6,0),MATCH(MOD('Map 2 Do Touch'!M17,4),$P$2:$S$2,0)),$AF$4:$AF$6,0),MATCH(IF('Map 2 Do Touch'!M16&gt;4,"Water","Land"),'Map 3'!$AG$3:$AH$3,0)),INDEX($AK$4:$AL$6,MATCH(INDEX($P$3:$S$6,MATCH(MOD('Map 2 Do Touch'!M16,4),$O$3:$O$6,0),MATCH(MOD('Map 2 Do Touch'!M17,4),$P$2:$S$2,0)),'Map 3'!$AJ$4:$AJ$6,0),MATCH(IF('Map 2 Do Touch'!M16&gt;4,"Water","Land"),'Map 3'!$AK$3:$AL$3,0))))</f>
        <v>Ocean</v>
      </c>
      <c r="N21" s="3" t="str">
        <f ca="1">IF('Map 2 Do Touch'!M16&lt;&gt;'Map 2 Do Touch'!M17,IF('Map 2 Do Touch'!N17&gt;4,INDEX($AG$4:$AH$6,MATCH(INDEX($I$3:$L$6,MATCH(MOD('Map 2 Do Touch'!M17,4),$H$3:$H$6,0),MATCH(MOD('Map 2 Do Touch'!N17,4),$I$2:$L$2,0)),$AF$4:$AF$6,0),MATCH(IF('Map 2 Do Touch'!M17&gt;4,"Water","Land"),'Map 3'!$AG$3:$AH$3,0)),INDEX($AK$4:$AL$6,MATCH(INDEX($I$3:$L$6,MATCH(MOD('Map 2 Do Touch'!M17,4),$H$3:$H$6,0),MATCH(MOD('Map 2 Do Touch'!N17,4),$I$2:$L$2,0)),'Map 3'!$AJ$4:$AJ$6,0),MATCH(IF('Map 2 Do Touch'!M17&gt;4,"Water","Land"),'Map 3'!$AK$3:$AL$3,0))),IF('Map 2 Do Touch'!N17&gt;4,INDEX($AG$4:$AH$6,MATCH(INDEX($P$3:$S$6,MATCH(MOD('Map 2 Do Touch'!N16,4),$O$3:$O$6,0),MATCH(MOD('Map 2 Do Touch'!N17,4),$P$2:$S$2,0)),$AF$4:$AF$6,0),MATCH(IF('Map 2 Do Touch'!N16&gt;4,"Water","Land"),'Map 3'!$AG$3:$AH$3,0)),INDEX($AK$4:$AL$6,MATCH(INDEX($P$3:$S$6,MATCH(MOD('Map 2 Do Touch'!N16,4),$O$3:$O$6,0),MATCH(MOD('Map 2 Do Touch'!N17,4),$P$2:$S$2,0)),'Map 3'!$AJ$4:$AJ$6,0),MATCH(IF('Map 2 Do Touch'!N16&gt;4,"Water","Land"),'Map 3'!$AK$3:$AL$3,0))))</f>
        <v>Coast</v>
      </c>
      <c r="O21" s="3" t="str">
        <f ca="1">IF('Map 2 Do Touch'!N16&lt;&gt;'Map 2 Do Touch'!N17,IF('Map 2 Do Touch'!O17&gt;4,INDEX($AG$4:$AH$6,MATCH(INDEX($I$3:$L$6,MATCH(MOD('Map 2 Do Touch'!N17,4),$H$3:$H$6,0),MATCH(MOD('Map 2 Do Touch'!O17,4),$I$2:$L$2,0)),$AF$4:$AF$6,0),MATCH(IF('Map 2 Do Touch'!N17&gt;4,"Water","Land"),'Map 3'!$AG$3:$AH$3,0)),INDEX($AK$4:$AL$6,MATCH(INDEX($I$3:$L$6,MATCH(MOD('Map 2 Do Touch'!N17,4),$H$3:$H$6,0),MATCH(MOD('Map 2 Do Touch'!O17,4),$I$2:$L$2,0)),'Map 3'!$AJ$4:$AJ$6,0),MATCH(IF('Map 2 Do Touch'!N17&gt;4,"Water","Land"),'Map 3'!$AK$3:$AL$3,0))),IF('Map 2 Do Touch'!O17&gt;4,INDEX($AG$4:$AH$6,MATCH(INDEX($P$3:$S$6,MATCH(MOD('Map 2 Do Touch'!O16,4),$O$3:$O$6,0),MATCH(MOD('Map 2 Do Touch'!O17,4),$P$2:$S$2,0)),$AF$4:$AF$6,0),MATCH(IF('Map 2 Do Touch'!O16&gt;4,"Water","Land"),'Map 3'!$AG$3:$AH$3,0)),INDEX($AK$4:$AL$6,MATCH(INDEX($P$3:$S$6,MATCH(MOD('Map 2 Do Touch'!O16,4),$O$3:$O$6,0),MATCH(MOD('Map 2 Do Touch'!O17,4),$P$2:$S$2,0)),'Map 3'!$AJ$4:$AJ$6,0),MATCH(IF('Map 2 Do Touch'!O16&gt;4,"Water","Land"),'Map 3'!$AK$3:$AL$3,0))))</f>
        <v>Valley</v>
      </c>
      <c r="P21" s="3" t="str">
        <f ca="1">IF('Map 2 Do Touch'!O16&lt;&gt;'Map 2 Do Touch'!O17,IF('Map 2 Do Touch'!P17&gt;4,INDEX($AG$4:$AH$6,MATCH(INDEX($I$3:$L$6,MATCH(MOD('Map 2 Do Touch'!O17,4),$H$3:$H$6,0),MATCH(MOD('Map 2 Do Touch'!P17,4),$I$2:$L$2,0)),$AF$4:$AF$6,0),MATCH(IF('Map 2 Do Touch'!O17&gt;4,"Water","Land"),'Map 3'!$AG$3:$AH$3,0)),INDEX($AK$4:$AL$6,MATCH(INDEX($I$3:$L$6,MATCH(MOD('Map 2 Do Touch'!O17,4),$H$3:$H$6,0),MATCH(MOD('Map 2 Do Touch'!P17,4),$I$2:$L$2,0)),'Map 3'!$AJ$4:$AJ$6,0),MATCH(IF('Map 2 Do Touch'!O17&gt;4,"Water","Land"),'Map 3'!$AK$3:$AL$3,0))),IF('Map 2 Do Touch'!P17&gt;4,INDEX($AG$4:$AH$6,MATCH(INDEX($P$3:$S$6,MATCH(MOD('Map 2 Do Touch'!P16,4),$O$3:$O$6,0),MATCH(MOD('Map 2 Do Touch'!P17,4),$P$2:$S$2,0)),$AF$4:$AF$6,0),MATCH(IF('Map 2 Do Touch'!P16&gt;4,"Water","Land"),'Map 3'!$AG$3:$AH$3,0)),INDEX($AK$4:$AL$6,MATCH(INDEX($P$3:$S$6,MATCH(MOD('Map 2 Do Touch'!P16,4),$O$3:$O$6,0),MATCH(MOD('Map 2 Do Touch'!P17,4),$P$2:$S$2,0)),'Map 3'!$AJ$4:$AJ$6,0),MATCH(IF('Map 2 Do Touch'!P16&gt;4,"Water","Land"),'Map 3'!$AK$3:$AL$3,0))))</f>
        <v>Flatland</v>
      </c>
      <c r="Q21" s="3" t="str">
        <f ca="1">IF('Map 2 Do Touch'!P16&lt;&gt;'Map 2 Do Touch'!P17,IF('Map 2 Do Touch'!Q17&gt;4,INDEX($AG$4:$AH$6,MATCH(INDEX($I$3:$L$6,MATCH(MOD('Map 2 Do Touch'!P17,4),$H$3:$H$6,0),MATCH(MOD('Map 2 Do Touch'!Q17,4),$I$2:$L$2,0)),$AF$4:$AF$6,0),MATCH(IF('Map 2 Do Touch'!P17&gt;4,"Water","Land"),'Map 3'!$AG$3:$AH$3,0)),INDEX($AK$4:$AL$6,MATCH(INDEX($I$3:$L$6,MATCH(MOD('Map 2 Do Touch'!P17,4),$H$3:$H$6,0),MATCH(MOD('Map 2 Do Touch'!Q17,4),$I$2:$L$2,0)),'Map 3'!$AJ$4:$AJ$6,0),MATCH(IF('Map 2 Do Touch'!P17&gt;4,"Water","Land"),'Map 3'!$AK$3:$AL$3,0))),IF('Map 2 Do Touch'!Q17&gt;4,INDEX($AG$4:$AH$6,MATCH(INDEX($P$3:$S$6,MATCH(MOD('Map 2 Do Touch'!Q16,4),$O$3:$O$6,0),MATCH(MOD('Map 2 Do Touch'!Q17,4),$P$2:$S$2,0)),$AF$4:$AF$6,0),MATCH(IF('Map 2 Do Touch'!Q16&gt;4,"Water","Land"),'Map 3'!$AG$3:$AH$3,0)),INDEX($AK$4:$AL$6,MATCH(INDEX($P$3:$S$6,MATCH(MOD('Map 2 Do Touch'!Q16,4),$O$3:$O$6,0),MATCH(MOD('Map 2 Do Touch'!Q17,4),$P$2:$S$2,0)),'Map 3'!$AJ$4:$AJ$6,0),MATCH(IF('Map 2 Do Touch'!Q16&gt;4,"Water","Land"),'Map 3'!$AK$3:$AL$3,0))))</f>
        <v>Flatland</v>
      </c>
      <c r="R21" s="3" t="str">
        <f ca="1">IF('Map 2 Do Touch'!Q16&lt;&gt;'Map 2 Do Touch'!Q17,IF('Map 2 Do Touch'!R17&gt;4,INDEX($AG$4:$AH$6,MATCH(INDEX($I$3:$L$6,MATCH(MOD('Map 2 Do Touch'!Q17,4),$H$3:$H$6,0),MATCH(MOD('Map 2 Do Touch'!R17,4),$I$2:$L$2,0)),$AF$4:$AF$6,0),MATCH(IF('Map 2 Do Touch'!Q17&gt;4,"Water","Land"),'Map 3'!$AG$3:$AH$3,0)),INDEX($AK$4:$AL$6,MATCH(INDEX($I$3:$L$6,MATCH(MOD('Map 2 Do Touch'!Q17,4),$H$3:$H$6,0),MATCH(MOD('Map 2 Do Touch'!R17,4),$I$2:$L$2,0)),'Map 3'!$AJ$4:$AJ$6,0),MATCH(IF('Map 2 Do Touch'!Q17&gt;4,"Water","Land"),'Map 3'!$AK$3:$AL$3,0))),IF('Map 2 Do Touch'!R17&gt;4,INDEX($AG$4:$AH$6,MATCH(INDEX($P$3:$S$6,MATCH(MOD('Map 2 Do Touch'!R16,4),$O$3:$O$6,0),MATCH(MOD('Map 2 Do Touch'!R17,4),$P$2:$S$2,0)),$AF$4:$AF$6,0),MATCH(IF('Map 2 Do Touch'!R16&gt;4,"Water","Land"),'Map 3'!$AG$3:$AH$3,0)),INDEX($AK$4:$AL$6,MATCH(INDEX($P$3:$S$6,MATCH(MOD('Map 2 Do Touch'!R16,4),$O$3:$O$6,0),MATCH(MOD('Map 2 Do Touch'!R17,4),$P$2:$S$2,0)),'Map 3'!$AJ$4:$AJ$6,0),MATCH(IF('Map 2 Do Touch'!R16&gt;4,"Water","Land"),'Map 3'!$AK$3:$AL$3,0))))</f>
        <v>Coast</v>
      </c>
      <c r="S21" s="3" t="str">
        <f ca="1">IF('Map 2 Do Touch'!R16&lt;&gt;'Map 2 Do Touch'!R17,IF('Map 2 Do Touch'!S17&gt;4,INDEX($AG$4:$AH$6,MATCH(INDEX($I$3:$L$6,MATCH(MOD('Map 2 Do Touch'!R17,4),$H$3:$H$6,0),MATCH(MOD('Map 2 Do Touch'!S17,4),$I$2:$L$2,0)),$AF$4:$AF$6,0),MATCH(IF('Map 2 Do Touch'!R17&gt;4,"Water","Land"),'Map 3'!$AG$3:$AH$3,0)),INDEX($AK$4:$AL$6,MATCH(INDEX($I$3:$L$6,MATCH(MOD('Map 2 Do Touch'!R17,4),$H$3:$H$6,0),MATCH(MOD('Map 2 Do Touch'!S17,4),$I$2:$L$2,0)),'Map 3'!$AJ$4:$AJ$6,0),MATCH(IF('Map 2 Do Touch'!R17&gt;4,"Water","Land"),'Map 3'!$AK$3:$AL$3,0))),IF('Map 2 Do Touch'!S17&gt;4,INDEX($AG$4:$AH$6,MATCH(INDEX($P$3:$S$6,MATCH(MOD('Map 2 Do Touch'!S16,4),$O$3:$O$6,0),MATCH(MOD('Map 2 Do Touch'!S17,4),$P$2:$S$2,0)),$AF$4:$AF$6,0),MATCH(IF('Map 2 Do Touch'!S16&gt;4,"Water","Land"),'Map 3'!$AG$3:$AH$3,0)),INDEX($AK$4:$AL$6,MATCH(INDEX($P$3:$S$6,MATCH(MOD('Map 2 Do Touch'!S16,4),$O$3:$O$6,0),MATCH(MOD('Map 2 Do Touch'!S17,4),$P$2:$S$2,0)),'Map 3'!$AJ$4:$AJ$6,0),MATCH(IF('Map 2 Do Touch'!S16&gt;4,"Water","Land"),'Map 3'!$AK$3:$AL$3,0))))</f>
        <v>Ocean</v>
      </c>
      <c r="T21" s="3" t="str">
        <f ca="1">IF('Map 2 Do Touch'!S16&lt;&gt;'Map 2 Do Touch'!S17,IF('Map 2 Do Touch'!T17&gt;4,INDEX($AG$4:$AH$6,MATCH(INDEX($I$3:$L$6,MATCH(MOD('Map 2 Do Touch'!S17,4),$H$3:$H$6,0),MATCH(MOD('Map 2 Do Touch'!T17,4),$I$2:$L$2,0)),$AF$4:$AF$6,0),MATCH(IF('Map 2 Do Touch'!S17&gt;4,"Water","Land"),'Map 3'!$AG$3:$AH$3,0)),INDEX($AK$4:$AL$6,MATCH(INDEX($I$3:$L$6,MATCH(MOD('Map 2 Do Touch'!S17,4),$H$3:$H$6,0),MATCH(MOD('Map 2 Do Touch'!T17,4),$I$2:$L$2,0)),'Map 3'!$AJ$4:$AJ$6,0),MATCH(IF('Map 2 Do Touch'!S17&gt;4,"Water","Land"),'Map 3'!$AK$3:$AL$3,0))),IF('Map 2 Do Touch'!T17&gt;4,INDEX($AG$4:$AH$6,MATCH(INDEX($P$3:$S$6,MATCH(MOD('Map 2 Do Touch'!T16,4),$O$3:$O$6,0),MATCH(MOD('Map 2 Do Touch'!T17,4),$P$2:$S$2,0)),$AF$4:$AF$6,0),MATCH(IF('Map 2 Do Touch'!T16&gt;4,"Water","Land"),'Map 3'!$AG$3:$AH$3,0)),INDEX($AK$4:$AL$6,MATCH(INDEX($P$3:$S$6,MATCH(MOD('Map 2 Do Touch'!T16,4),$O$3:$O$6,0),MATCH(MOD('Map 2 Do Touch'!T17,4),$P$2:$S$2,0)),'Map 3'!$AJ$4:$AJ$6,0),MATCH(IF('Map 2 Do Touch'!T16&gt;4,"Water","Land"),'Map 3'!$AK$3:$AL$3,0))))</f>
        <v>Ocean</v>
      </c>
      <c r="U21" s="3" t="str">
        <f ca="1">IF('Map 2 Do Touch'!T16&lt;&gt;'Map 2 Do Touch'!T17,IF('Map 2 Do Touch'!U17&gt;4,INDEX($AG$4:$AH$6,MATCH(INDEX($I$3:$L$6,MATCH(MOD('Map 2 Do Touch'!T17,4),$H$3:$H$6,0),MATCH(MOD('Map 2 Do Touch'!U17,4),$I$2:$L$2,0)),$AF$4:$AF$6,0),MATCH(IF('Map 2 Do Touch'!T17&gt;4,"Water","Land"),'Map 3'!$AG$3:$AH$3,0)),INDEX($AK$4:$AL$6,MATCH(INDEX($I$3:$L$6,MATCH(MOD('Map 2 Do Touch'!T17,4),$H$3:$H$6,0),MATCH(MOD('Map 2 Do Touch'!U17,4),$I$2:$L$2,0)),'Map 3'!$AJ$4:$AJ$6,0),MATCH(IF('Map 2 Do Touch'!T17&gt;4,"Water","Land"),'Map 3'!$AK$3:$AL$3,0))),IF('Map 2 Do Touch'!U17&gt;4,INDEX($AG$4:$AH$6,MATCH(INDEX($P$3:$S$6,MATCH(MOD('Map 2 Do Touch'!U16,4),$O$3:$O$6,0),MATCH(MOD('Map 2 Do Touch'!U17,4),$P$2:$S$2,0)),$AF$4:$AF$6,0),MATCH(IF('Map 2 Do Touch'!U16&gt;4,"Water","Land"),'Map 3'!$AG$3:$AH$3,0)),INDEX($AK$4:$AL$6,MATCH(INDEX($P$3:$S$6,MATCH(MOD('Map 2 Do Touch'!U16,4),$O$3:$O$6,0),MATCH(MOD('Map 2 Do Touch'!U17,4),$P$2:$S$2,0)),'Map 3'!$AJ$4:$AJ$6,0),MATCH(IF('Map 2 Do Touch'!U16&gt;4,"Water","Land"),'Map 3'!$AK$3:$AL$3,0))))</f>
        <v>Ocean</v>
      </c>
      <c r="V21" s="3" t="str">
        <f ca="1">IF('Map 2 Do Touch'!U16&lt;&gt;'Map 2 Do Touch'!U17,IF('Map 2 Do Touch'!V17&gt;4,INDEX($AG$4:$AH$6,MATCH(INDEX($I$3:$L$6,MATCH(MOD('Map 2 Do Touch'!U17,4),$H$3:$H$6,0),MATCH(MOD('Map 2 Do Touch'!V17,4),$I$2:$L$2,0)),$AF$4:$AF$6,0),MATCH(IF('Map 2 Do Touch'!U17&gt;4,"Water","Land"),'Map 3'!$AG$3:$AH$3,0)),INDEX($AK$4:$AL$6,MATCH(INDEX($I$3:$L$6,MATCH(MOD('Map 2 Do Touch'!U17,4),$H$3:$H$6,0),MATCH(MOD('Map 2 Do Touch'!V17,4),$I$2:$L$2,0)),'Map 3'!$AJ$4:$AJ$6,0),MATCH(IF('Map 2 Do Touch'!U17&gt;4,"Water","Land"),'Map 3'!$AK$3:$AL$3,0))),IF('Map 2 Do Touch'!V17&gt;4,INDEX($AG$4:$AH$6,MATCH(INDEX($P$3:$S$6,MATCH(MOD('Map 2 Do Touch'!V16,4),$O$3:$O$6,0),MATCH(MOD('Map 2 Do Touch'!V17,4),$P$2:$S$2,0)),$AF$4:$AF$6,0),MATCH(IF('Map 2 Do Touch'!V16&gt;4,"Water","Land"),'Map 3'!$AG$3:$AH$3,0)),INDEX($AK$4:$AL$6,MATCH(INDEX($P$3:$S$6,MATCH(MOD('Map 2 Do Touch'!V16,4),$O$3:$O$6,0),MATCH(MOD('Map 2 Do Touch'!V17,4),$P$2:$S$2,0)),'Map 3'!$AJ$4:$AJ$6,0),MATCH(IF('Map 2 Do Touch'!V16&gt;4,"Water","Land"),'Map 3'!$AK$3:$AL$3,0))))</f>
        <v>Ocean</v>
      </c>
      <c r="W21" s="3" t="str">
        <f ca="1">IF('Map 2 Do Touch'!V16&lt;&gt;'Map 2 Do Touch'!V17,IF('Map 2 Do Touch'!W17&gt;4,INDEX($AG$4:$AH$6,MATCH(INDEX($I$3:$L$6,MATCH(MOD('Map 2 Do Touch'!V17,4),$H$3:$H$6,0),MATCH(MOD('Map 2 Do Touch'!W17,4),$I$2:$L$2,0)),$AF$4:$AF$6,0),MATCH(IF('Map 2 Do Touch'!V17&gt;4,"Water","Land"),'Map 3'!$AG$3:$AH$3,0)),INDEX($AK$4:$AL$6,MATCH(INDEX($I$3:$L$6,MATCH(MOD('Map 2 Do Touch'!V17,4),$H$3:$H$6,0),MATCH(MOD('Map 2 Do Touch'!W17,4),$I$2:$L$2,0)),'Map 3'!$AJ$4:$AJ$6,0),MATCH(IF('Map 2 Do Touch'!V17&gt;4,"Water","Land"),'Map 3'!$AK$3:$AL$3,0))),IF('Map 2 Do Touch'!W17&gt;4,INDEX($AG$4:$AH$6,MATCH(INDEX($P$3:$S$6,MATCH(MOD('Map 2 Do Touch'!W16,4),$O$3:$O$6,0),MATCH(MOD('Map 2 Do Touch'!W17,4),$P$2:$S$2,0)),$AF$4:$AF$6,0),MATCH(IF('Map 2 Do Touch'!W16&gt;4,"Water","Land"),'Map 3'!$AG$3:$AH$3,0)),INDEX($AK$4:$AL$6,MATCH(INDEX($P$3:$S$6,MATCH(MOD('Map 2 Do Touch'!W16,4),$O$3:$O$6,0),MATCH(MOD('Map 2 Do Touch'!W17,4),$P$2:$S$2,0)),'Map 3'!$AJ$4:$AJ$6,0),MATCH(IF('Map 2 Do Touch'!W16&gt;4,"Water","Land"),'Map 3'!$AK$3:$AL$3,0))))</f>
        <v>Ocean</v>
      </c>
      <c r="X21" s="3" t="str">
        <f ca="1">IF('Map 2 Do Touch'!W16&lt;&gt;'Map 2 Do Touch'!W17,IF('Map 2 Do Touch'!X17&gt;4,INDEX($AG$4:$AH$6,MATCH(INDEX($I$3:$L$6,MATCH(MOD('Map 2 Do Touch'!W17,4),$H$3:$H$6,0),MATCH(MOD('Map 2 Do Touch'!X17,4),$I$2:$L$2,0)),$AF$4:$AF$6,0),MATCH(IF('Map 2 Do Touch'!W17&gt;4,"Water","Land"),'Map 3'!$AG$3:$AH$3,0)),INDEX($AK$4:$AL$6,MATCH(INDEX($I$3:$L$6,MATCH(MOD('Map 2 Do Touch'!W17,4),$H$3:$H$6,0),MATCH(MOD('Map 2 Do Touch'!X17,4),$I$2:$L$2,0)),'Map 3'!$AJ$4:$AJ$6,0),MATCH(IF('Map 2 Do Touch'!W17&gt;4,"Water","Land"),'Map 3'!$AK$3:$AL$3,0))),IF('Map 2 Do Touch'!X17&gt;4,INDEX($AG$4:$AH$6,MATCH(INDEX($P$3:$S$6,MATCH(MOD('Map 2 Do Touch'!X16,4),$O$3:$O$6,0),MATCH(MOD('Map 2 Do Touch'!X17,4),$P$2:$S$2,0)),$AF$4:$AF$6,0),MATCH(IF('Map 2 Do Touch'!X16&gt;4,"Water","Land"),'Map 3'!$AG$3:$AH$3,0)),INDEX($AK$4:$AL$6,MATCH(INDEX($P$3:$S$6,MATCH(MOD('Map 2 Do Touch'!X16,4),$O$3:$O$6,0),MATCH(MOD('Map 2 Do Touch'!X17,4),$P$2:$S$2,0)),'Map 3'!$AJ$4:$AJ$6,0),MATCH(IF('Map 2 Do Touch'!X16&gt;4,"Water","Land"),'Map 3'!$AK$3:$AL$3,0))))</f>
        <v>Trench</v>
      </c>
      <c r="Y21" s="3" t="str">
        <f ca="1">IF('Map 2 Do Touch'!X16&lt;&gt;'Map 2 Do Touch'!X17,IF('Map 2 Do Touch'!Y17&gt;4,INDEX($AG$4:$AH$6,MATCH(INDEX($I$3:$L$6,MATCH(MOD('Map 2 Do Touch'!X17,4),$H$3:$H$6,0),MATCH(MOD('Map 2 Do Touch'!Y17,4),$I$2:$L$2,0)),$AF$4:$AF$6,0),MATCH(IF('Map 2 Do Touch'!X17&gt;4,"Water","Land"),'Map 3'!$AG$3:$AH$3,0)),INDEX($AK$4:$AL$6,MATCH(INDEX($I$3:$L$6,MATCH(MOD('Map 2 Do Touch'!X17,4),$H$3:$H$6,0),MATCH(MOD('Map 2 Do Touch'!Y17,4),$I$2:$L$2,0)),'Map 3'!$AJ$4:$AJ$6,0),MATCH(IF('Map 2 Do Touch'!X17&gt;4,"Water","Land"),'Map 3'!$AK$3:$AL$3,0))),IF('Map 2 Do Touch'!Y17&gt;4,INDEX($AG$4:$AH$6,MATCH(INDEX($P$3:$S$6,MATCH(MOD('Map 2 Do Touch'!Y16,4),$O$3:$O$6,0),MATCH(MOD('Map 2 Do Touch'!Y17,4),$P$2:$S$2,0)),$AF$4:$AF$6,0),MATCH(IF('Map 2 Do Touch'!Y16&gt;4,"Water","Land"),'Map 3'!$AG$3:$AH$3,0)),INDEX($AK$4:$AL$6,MATCH(INDEX($P$3:$S$6,MATCH(MOD('Map 2 Do Touch'!Y16,4),$O$3:$O$6,0),MATCH(MOD('Map 2 Do Touch'!Y17,4),$P$2:$S$2,0)),'Map 3'!$AJ$4:$AJ$6,0),MATCH(IF('Map 2 Do Touch'!Y16&gt;4,"Water","Land"),'Map 3'!$AK$3:$AL$3,0))))</f>
        <v>Ocean</v>
      </c>
      <c r="Z21" s="3" t="str">
        <f ca="1">IF('Map 2 Do Touch'!Y16&lt;&gt;'Map 2 Do Touch'!Y17,IF('Map 2 Do Touch'!Z17&gt;4,INDEX($AG$4:$AH$6,MATCH(INDEX($I$3:$L$6,MATCH(MOD('Map 2 Do Touch'!Y17,4),$H$3:$H$6,0),MATCH(MOD('Map 2 Do Touch'!Z17,4),$I$2:$L$2,0)),$AF$4:$AF$6,0),MATCH(IF('Map 2 Do Touch'!Y17&gt;4,"Water","Land"),'Map 3'!$AG$3:$AH$3,0)),INDEX($AK$4:$AL$6,MATCH(INDEX($I$3:$L$6,MATCH(MOD('Map 2 Do Touch'!Y17,4),$H$3:$H$6,0),MATCH(MOD('Map 2 Do Touch'!Z17,4),$I$2:$L$2,0)),'Map 3'!$AJ$4:$AJ$6,0),MATCH(IF('Map 2 Do Touch'!Y17&gt;4,"Water","Land"),'Map 3'!$AK$3:$AL$3,0))),IF('Map 2 Do Touch'!Z17&gt;4,INDEX($AG$4:$AH$6,MATCH(INDEX($P$3:$S$6,MATCH(MOD('Map 2 Do Touch'!Z16,4),$O$3:$O$6,0),MATCH(MOD('Map 2 Do Touch'!Z17,4),$P$2:$S$2,0)),$AF$4:$AF$6,0),MATCH(IF('Map 2 Do Touch'!Z16&gt;4,"Water","Land"),'Map 3'!$AG$3:$AH$3,0)),INDEX($AK$4:$AL$6,MATCH(INDEX($P$3:$S$6,MATCH(MOD('Map 2 Do Touch'!Z16,4),$O$3:$O$6,0),MATCH(MOD('Map 2 Do Touch'!Z17,4),$P$2:$S$2,0)),'Map 3'!$AJ$4:$AJ$6,0),MATCH(IF('Map 2 Do Touch'!Z16&gt;4,"Water","Land"),'Map 3'!$AK$3:$AL$3,0))))</f>
        <v>Coast</v>
      </c>
      <c r="AA21" s="3" t="str">
        <f ca="1">IF('Map 2 Do Touch'!Z16&lt;&gt;'Map 2 Do Touch'!Z17,IF('Map 2 Do Touch'!AA17&gt;4,INDEX($AG$4:$AH$6,MATCH(INDEX($I$3:$L$6,MATCH(MOD('Map 2 Do Touch'!Z17,4),$H$3:$H$6,0),MATCH(MOD('Map 2 Do Touch'!AA17,4),$I$2:$L$2,0)),$AF$4:$AF$6,0),MATCH(IF('Map 2 Do Touch'!Z17&gt;4,"Water","Land"),'Map 3'!$AG$3:$AH$3,0)),INDEX($AK$4:$AL$6,MATCH(INDEX($I$3:$L$6,MATCH(MOD('Map 2 Do Touch'!Z17,4),$H$3:$H$6,0),MATCH(MOD('Map 2 Do Touch'!AA17,4),$I$2:$L$2,0)),'Map 3'!$AJ$4:$AJ$6,0),MATCH(IF('Map 2 Do Touch'!Z17&gt;4,"Water","Land"),'Map 3'!$AK$3:$AL$3,0))),IF('Map 2 Do Touch'!AA17&gt;4,INDEX($AG$4:$AH$6,MATCH(INDEX($P$3:$S$6,MATCH(MOD('Map 2 Do Touch'!AA16,4),$O$3:$O$6,0),MATCH(MOD('Map 2 Do Touch'!AA17,4),$P$2:$S$2,0)),$AF$4:$AF$6,0),MATCH(IF('Map 2 Do Touch'!AA16&gt;4,"Water","Land"),'Map 3'!$AG$3:$AH$3,0)),INDEX($AK$4:$AL$6,MATCH(INDEX($P$3:$S$6,MATCH(MOD('Map 2 Do Touch'!AA16,4),$O$3:$O$6,0),MATCH(MOD('Map 2 Do Touch'!AA17,4),$P$2:$S$2,0)),'Map 3'!$AJ$4:$AJ$6,0),MATCH(IF('Map 2 Do Touch'!AA16&gt;4,"Water","Land"),'Map 3'!$AK$3:$AL$3,0))))</f>
        <v>Mountain</v>
      </c>
      <c r="AB21" s="3" t="str">
        <f ca="1">IF('Map 2 Do Touch'!AA16&lt;&gt;'Map 2 Do Touch'!AA17,IF('Map 2 Do Touch'!AB17&gt;4,INDEX($AG$4:$AH$6,MATCH(INDEX($I$3:$L$6,MATCH(MOD('Map 2 Do Touch'!AA17,4),$H$3:$H$6,0),MATCH(MOD('Map 2 Do Touch'!AB17,4),$I$2:$L$2,0)),$AF$4:$AF$6,0),MATCH(IF('Map 2 Do Touch'!AA17&gt;4,"Water","Land"),'Map 3'!$AG$3:$AH$3,0)),INDEX($AK$4:$AL$6,MATCH(INDEX($I$3:$L$6,MATCH(MOD('Map 2 Do Touch'!AA17,4),$H$3:$H$6,0),MATCH(MOD('Map 2 Do Touch'!AB17,4),$I$2:$L$2,0)),'Map 3'!$AJ$4:$AJ$6,0),MATCH(IF('Map 2 Do Touch'!AA17&gt;4,"Water","Land"),'Map 3'!$AK$3:$AL$3,0))),IF('Map 2 Do Touch'!AB17&gt;4,INDEX($AG$4:$AH$6,MATCH(INDEX($P$3:$S$6,MATCH(MOD('Map 2 Do Touch'!AB16,4),$O$3:$O$6,0),MATCH(MOD('Map 2 Do Touch'!AB17,4),$P$2:$S$2,0)),$AF$4:$AF$6,0),MATCH(IF('Map 2 Do Touch'!AB16&gt;4,"Water","Land"),'Map 3'!$AG$3:$AH$3,0)),INDEX($AK$4:$AL$6,MATCH(INDEX($P$3:$S$6,MATCH(MOD('Map 2 Do Touch'!AB16,4),$O$3:$O$6,0),MATCH(MOD('Map 2 Do Touch'!AB17,4),$P$2:$S$2,0)),'Map 3'!$AJ$4:$AJ$6,0),MATCH(IF('Map 2 Do Touch'!AB16&gt;4,"Water","Land"),'Map 3'!$AK$3:$AL$3,0))))</f>
        <v>Mountain</v>
      </c>
      <c r="AC21" s="3" t="str">
        <f ca="1">IF('Map 2 Do Touch'!AB16&lt;&gt;'Map 2 Do Touch'!AB17,IF('Map 2 Do Touch'!AC17&gt;4,INDEX($AG$4:$AH$6,MATCH(INDEX($I$3:$L$6,MATCH(MOD('Map 2 Do Touch'!AB17,4),$H$3:$H$6,0),MATCH(MOD('Map 2 Do Touch'!AC17,4),$I$2:$L$2,0)),$AF$4:$AF$6,0),MATCH(IF('Map 2 Do Touch'!AB17&gt;4,"Water","Land"),'Map 3'!$AG$3:$AH$3,0)),INDEX($AK$4:$AL$6,MATCH(INDEX($I$3:$L$6,MATCH(MOD('Map 2 Do Touch'!AB17,4),$H$3:$H$6,0),MATCH(MOD('Map 2 Do Touch'!AC17,4),$I$2:$L$2,0)),'Map 3'!$AJ$4:$AJ$6,0),MATCH(IF('Map 2 Do Touch'!AB17&gt;4,"Water","Land"),'Map 3'!$AK$3:$AL$3,0))),IF('Map 2 Do Touch'!AC17&gt;4,INDEX($AG$4:$AH$6,MATCH(INDEX($P$3:$S$6,MATCH(MOD('Map 2 Do Touch'!AC16,4),$O$3:$O$6,0),MATCH(MOD('Map 2 Do Touch'!AC17,4),$P$2:$S$2,0)),$AF$4:$AF$6,0),MATCH(IF('Map 2 Do Touch'!AC16&gt;4,"Water","Land"),'Map 3'!$AG$3:$AH$3,0)),INDEX($AK$4:$AL$6,MATCH(INDEX($P$3:$S$6,MATCH(MOD('Map 2 Do Touch'!AC16,4),$O$3:$O$6,0),MATCH(MOD('Map 2 Do Touch'!AC17,4),$P$2:$S$2,0)),'Map 3'!$AJ$4:$AJ$6,0),MATCH(IF('Map 2 Do Touch'!AC16&gt;4,"Water","Land"),'Map 3'!$AK$3:$AL$3,0))))</f>
        <v>Valley</v>
      </c>
      <c r="AD21" s="3" t="str">
        <f ca="1">IF('Map 2 Do Touch'!AC16&lt;&gt;'Map 2 Do Touch'!AC17,IF('Map 2 Do Touch'!AD17&gt;4,INDEX($AG$4:$AH$6,MATCH(INDEX($I$3:$L$6,MATCH(MOD('Map 2 Do Touch'!AC17,4),$H$3:$H$6,0),MATCH(MOD('Map 2 Do Touch'!AD17,4),$I$2:$L$2,0)),$AF$4:$AF$6,0),MATCH(IF('Map 2 Do Touch'!AC17&gt;4,"Water","Land"),'Map 3'!$AG$3:$AH$3,0)),INDEX($AK$4:$AL$6,MATCH(INDEX($I$3:$L$6,MATCH(MOD('Map 2 Do Touch'!AC17,4),$H$3:$H$6,0),MATCH(MOD('Map 2 Do Touch'!AD17,4),$I$2:$L$2,0)),'Map 3'!$AJ$4:$AJ$6,0),MATCH(IF('Map 2 Do Touch'!AC17&gt;4,"Water","Land"),'Map 3'!$AK$3:$AL$3,0))),IF('Map 2 Do Touch'!AD17&gt;4,INDEX($AG$4:$AH$6,MATCH(INDEX($P$3:$S$6,MATCH(MOD('Map 2 Do Touch'!AD16,4),$O$3:$O$6,0),MATCH(MOD('Map 2 Do Touch'!AD17,4),$P$2:$S$2,0)),$AF$4:$AF$6,0),MATCH(IF('Map 2 Do Touch'!AD16&gt;4,"Water","Land"),'Map 3'!$AG$3:$AH$3,0)),INDEX($AK$4:$AL$6,MATCH(INDEX($P$3:$S$6,MATCH(MOD('Map 2 Do Touch'!AD16,4),$O$3:$O$6,0),MATCH(MOD('Map 2 Do Touch'!AD17,4),$P$2:$S$2,0)),'Map 3'!$AJ$4:$AJ$6,0),MATCH(IF('Map 2 Do Touch'!AD16&gt;4,"Water","Land"),'Map 3'!$AK$3:$AL$3,0))))</f>
        <v>Coast</v>
      </c>
      <c r="AE21" s="3" t="str">
        <f ca="1">IF('Map 2 Do Touch'!AD16&lt;&gt;'Map 2 Do Touch'!AD17,IF('Map 2 Do Touch'!AE17&gt;4,INDEX($AG$4:$AH$6,MATCH(INDEX($I$3:$L$6,MATCH(MOD('Map 2 Do Touch'!AD17,4),$H$3:$H$6,0),MATCH(MOD('Map 2 Do Touch'!AE17,4),$I$2:$L$2,0)),$AF$4:$AF$6,0),MATCH(IF('Map 2 Do Touch'!AD17&gt;4,"Water","Land"),'Map 3'!$AG$3:$AH$3,0)),INDEX($AK$4:$AL$6,MATCH(INDEX($I$3:$L$6,MATCH(MOD('Map 2 Do Touch'!AD17,4),$H$3:$H$6,0),MATCH(MOD('Map 2 Do Touch'!AE17,4),$I$2:$L$2,0)),'Map 3'!$AJ$4:$AJ$6,0),MATCH(IF('Map 2 Do Touch'!AD17&gt;4,"Water","Land"),'Map 3'!$AK$3:$AL$3,0))),IF('Map 2 Do Touch'!AE17&gt;4,INDEX($AG$4:$AH$6,MATCH(INDEX($P$3:$S$6,MATCH(MOD('Map 2 Do Touch'!AE16,4),$O$3:$O$6,0),MATCH(MOD('Map 2 Do Touch'!AE17,4),$P$2:$S$2,0)),$AF$4:$AF$6,0),MATCH(IF('Map 2 Do Touch'!AE16&gt;4,"Water","Land"),'Map 3'!$AG$3:$AH$3,0)),INDEX($AK$4:$AL$6,MATCH(INDEX($P$3:$S$6,MATCH(MOD('Map 2 Do Touch'!AE16,4),$O$3:$O$6,0),MATCH(MOD('Map 2 Do Touch'!AE17,4),$P$2:$S$2,0)),'Map 3'!$AJ$4:$AJ$6,0),MATCH(IF('Map 2 Do Touch'!AE16&gt;4,"Water","Land"),'Map 3'!$AK$3:$AL$3,0))))</f>
        <v>Ocean</v>
      </c>
      <c r="AF21" s="3" t="str">
        <f ca="1">IF('Map 2 Do Touch'!AE16&lt;&gt;'Map 2 Do Touch'!AE17,IF('Map 2 Do Touch'!AF17&gt;4,INDEX($AG$4:$AH$6,MATCH(INDEX($I$3:$L$6,MATCH(MOD('Map 2 Do Touch'!AE17,4),$H$3:$H$6,0),MATCH(MOD('Map 2 Do Touch'!AF17,4),$I$2:$L$2,0)),$AF$4:$AF$6,0),MATCH(IF('Map 2 Do Touch'!AE17&gt;4,"Water","Land"),'Map 3'!$AG$3:$AH$3,0)),INDEX($AK$4:$AL$6,MATCH(INDEX($I$3:$L$6,MATCH(MOD('Map 2 Do Touch'!AE17,4),$H$3:$H$6,0),MATCH(MOD('Map 2 Do Touch'!AF17,4),$I$2:$L$2,0)),'Map 3'!$AJ$4:$AJ$6,0),MATCH(IF('Map 2 Do Touch'!AE17&gt;4,"Water","Land"),'Map 3'!$AK$3:$AL$3,0))),IF('Map 2 Do Touch'!AF17&gt;4,INDEX($AG$4:$AH$6,MATCH(INDEX($P$3:$S$6,MATCH(MOD('Map 2 Do Touch'!AF16,4),$O$3:$O$6,0),MATCH(MOD('Map 2 Do Touch'!AF17,4),$P$2:$S$2,0)),$AF$4:$AF$6,0),MATCH(IF('Map 2 Do Touch'!AF16&gt;4,"Water","Land"),'Map 3'!$AG$3:$AH$3,0)),INDEX($AK$4:$AL$6,MATCH(INDEX($P$3:$S$6,MATCH(MOD('Map 2 Do Touch'!AF16,4),$O$3:$O$6,0),MATCH(MOD('Map 2 Do Touch'!AF17,4),$P$2:$S$2,0)),'Map 3'!$AJ$4:$AJ$6,0),MATCH(IF('Map 2 Do Touch'!AF16&gt;4,"Water","Land"),'Map 3'!$AK$3:$AL$3,0))))</f>
        <v>Ocean</v>
      </c>
      <c r="AG21" s="3" t="str">
        <f ca="1">IF('Map 2 Do Touch'!AF16&lt;&gt;'Map 2 Do Touch'!AF17,IF('Map 2 Do Touch'!AG17&gt;4,INDEX($AG$4:$AH$6,MATCH(INDEX($I$3:$L$6,MATCH(MOD('Map 2 Do Touch'!AF17,4),$H$3:$H$6,0),MATCH(MOD('Map 2 Do Touch'!AG17,4),$I$2:$L$2,0)),$AF$4:$AF$6,0),MATCH(IF('Map 2 Do Touch'!AF17&gt;4,"Water","Land"),'Map 3'!$AG$3:$AH$3,0)),INDEX($AK$4:$AL$6,MATCH(INDEX($I$3:$L$6,MATCH(MOD('Map 2 Do Touch'!AF17,4),$H$3:$H$6,0),MATCH(MOD('Map 2 Do Touch'!AG17,4),$I$2:$L$2,0)),'Map 3'!$AJ$4:$AJ$6,0),MATCH(IF('Map 2 Do Touch'!AF17&gt;4,"Water","Land"),'Map 3'!$AK$3:$AL$3,0))),IF('Map 2 Do Touch'!AG17&gt;4,INDEX($AG$4:$AH$6,MATCH(INDEX($P$3:$S$6,MATCH(MOD('Map 2 Do Touch'!AG16,4),$O$3:$O$6,0),MATCH(MOD('Map 2 Do Touch'!AG17,4),$P$2:$S$2,0)),$AF$4:$AF$6,0),MATCH(IF('Map 2 Do Touch'!AG16&gt;4,"Water","Land"),'Map 3'!$AG$3:$AH$3,0)),INDEX($AK$4:$AL$6,MATCH(INDEX($P$3:$S$6,MATCH(MOD('Map 2 Do Touch'!AG16,4),$O$3:$O$6,0),MATCH(MOD('Map 2 Do Touch'!AG17,4),$P$2:$S$2,0)),'Map 3'!$AJ$4:$AJ$6,0),MATCH(IF('Map 2 Do Touch'!AG16&gt;4,"Water","Land"),'Map 3'!$AK$3:$AL$3,0))))</f>
        <v>Ocean</v>
      </c>
      <c r="AH21" s="3" t="str">
        <f ca="1">IF('Map 2 Do Touch'!AG16&lt;&gt;'Map 2 Do Touch'!AG17,IF('Map 2 Do Touch'!AH17&gt;4,INDEX($AG$4:$AH$6,MATCH(INDEX($I$3:$L$6,MATCH(MOD('Map 2 Do Touch'!AG17,4),$H$3:$H$6,0),MATCH(MOD('Map 2 Do Touch'!AH17,4),$I$2:$L$2,0)),$AF$4:$AF$6,0),MATCH(IF('Map 2 Do Touch'!AG17&gt;4,"Water","Land"),'Map 3'!$AG$3:$AH$3,0)),INDEX($AK$4:$AL$6,MATCH(INDEX($I$3:$L$6,MATCH(MOD('Map 2 Do Touch'!AG17,4),$H$3:$H$6,0),MATCH(MOD('Map 2 Do Touch'!AH17,4),$I$2:$L$2,0)),'Map 3'!$AJ$4:$AJ$6,0),MATCH(IF('Map 2 Do Touch'!AG17&gt;4,"Water","Land"),'Map 3'!$AK$3:$AL$3,0))),IF('Map 2 Do Touch'!AH17&gt;4,INDEX($AG$4:$AH$6,MATCH(INDEX($P$3:$S$6,MATCH(MOD('Map 2 Do Touch'!AH16,4),$O$3:$O$6,0),MATCH(MOD('Map 2 Do Touch'!AH17,4),$P$2:$S$2,0)),$AF$4:$AF$6,0),MATCH(IF('Map 2 Do Touch'!AH16&gt;4,"Water","Land"),'Map 3'!$AG$3:$AH$3,0)),INDEX($AK$4:$AL$6,MATCH(INDEX($P$3:$S$6,MATCH(MOD('Map 2 Do Touch'!AH16,4),$O$3:$O$6,0),MATCH(MOD('Map 2 Do Touch'!AH17,4),$P$2:$S$2,0)),'Map 3'!$AJ$4:$AJ$6,0),MATCH(IF('Map 2 Do Touch'!AH16&gt;4,"Water","Land"),'Map 3'!$AK$3:$AL$3,0))))</f>
        <v>Trench</v>
      </c>
      <c r="AI21" s="3" t="str">
        <f ca="1">IF('Map 2 Do Touch'!AH16&lt;&gt;'Map 2 Do Touch'!AH17,IF('Map 2 Do Touch'!AI17&gt;4,INDEX($AG$4:$AH$6,MATCH(INDEX($I$3:$L$6,MATCH(MOD('Map 2 Do Touch'!AH17,4),$H$3:$H$6,0),MATCH(MOD('Map 2 Do Touch'!AI17,4),$I$2:$L$2,0)),$AF$4:$AF$6,0),MATCH(IF('Map 2 Do Touch'!AH17&gt;4,"Water","Land"),'Map 3'!$AG$3:$AH$3,0)),INDEX($AK$4:$AL$6,MATCH(INDEX($I$3:$L$6,MATCH(MOD('Map 2 Do Touch'!AH17,4),$H$3:$H$6,0),MATCH(MOD('Map 2 Do Touch'!AI17,4),$I$2:$L$2,0)),'Map 3'!$AJ$4:$AJ$6,0),MATCH(IF('Map 2 Do Touch'!AH17&gt;4,"Water","Land"),'Map 3'!$AK$3:$AL$3,0))),IF('Map 2 Do Touch'!AI17&gt;4,INDEX($AG$4:$AH$6,MATCH(INDEX($P$3:$S$6,MATCH(MOD('Map 2 Do Touch'!AI16,4),$O$3:$O$6,0),MATCH(MOD('Map 2 Do Touch'!AI17,4),$P$2:$S$2,0)),$AF$4:$AF$6,0),MATCH(IF('Map 2 Do Touch'!AI16&gt;4,"Water","Land"),'Map 3'!$AG$3:$AH$3,0)),INDEX($AK$4:$AL$6,MATCH(INDEX($P$3:$S$6,MATCH(MOD('Map 2 Do Touch'!AI16,4),$O$3:$O$6,0),MATCH(MOD('Map 2 Do Touch'!AI17,4),$P$2:$S$2,0)),'Map 3'!$AJ$4:$AJ$6,0),MATCH(IF('Map 2 Do Touch'!AI16&gt;4,"Water","Land"),'Map 3'!$AK$3:$AL$3,0))))</f>
        <v>Ocean</v>
      </c>
      <c r="AJ21" s="3" t="str">
        <f ca="1">IF('Map 2 Do Touch'!AI16&lt;&gt;'Map 2 Do Touch'!AI17,IF('Map 2 Do Touch'!AJ17&gt;4,INDEX($AG$4:$AH$6,MATCH(INDEX($I$3:$L$6,MATCH(MOD('Map 2 Do Touch'!AI17,4),$H$3:$H$6,0),MATCH(MOD('Map 2 Do Touch'!AJ17,4),$I$2:$L$2,0)),$AF$4:$AF$6,0),MATCH(IF('Map 2 Do Touch'!AI17&gt;4,"Water","Land"),'Map 3'!$AG$3:$AH$3,0)),INDEX($AK$4:$AL$6,MATCH(INDEX($I$3:$L$6,MATCH(MOD('Map 2 Do Touch'!AI17,4),$H$3:$H$6,0),MATCH(MOD('Map 2 Do Touch'!AJ17,4),$I$2:$L$2,0)),'Map 3'!$AJ$4:$AJ$6,0),MATCH(IF('Map 2 Do Touch'!AI17&gt;4,"Water","Land"),'Map 3'!$AK$3:$AL$3,0))),IF('Map 2 Do Touch'!AJ17&gt;4,INDEX($AG$4:$AH$6,MATCH(INDEX($P$3:$S$6,MATCH(MOD('Map 2 Do Touch'!AJ16,4),$O$3:$O$6,0),MATCH(MOD('Map 2 Do Touch'!AJ17,4),$P$2:$S$2,0)),$AF$4:$AF$6,0),MATCH(IF('Map 2 Do Touch'!AJ16&gt;4,"Water","Land"),'Map 3'!$AG$3:$AH$3,0)),INDEX($AK$4:$AL$6,MATCH(INDEX($P$3:$S$6,MATCH(MOD('Map 2 Do Touch'!AJ16,4),$O$3:$O$6,0),MATCH(MOD('Map 2 Do Touch'!AJ17,4),$P$2:$S$2,0)),'Map 3'!$AJ$4:$AJ$6,0),MATCH(IF('Map 2 Do Touch'!AJ16&gt;4,"Water","Land"),'Map 3'!$AK$3:$AL$3,0))))</f>
        <v>Ocean</v>
      </c>
      <c r="AK21" s="3" t="str">
        <f ca="1">IF('Map 2 Do Touch'!AJ16&lt;&gt;'Map 2 Do Touch'!AJ17,IF('Map 2 Do Touch'!AK17&gt;4,INDEX($AG$4:$AH$6,MATCH(INDEX($I$3:$L$6,MATCH(MOD('Map 2 Do Touch'!AJ17,4),$H$3:$H$6,0),MATCH(MOD('Map 2 Do Touch'!AK17,4),$I$2:$L$2,0)),$AF$4:$AF$6,0),MATCH(IF('Map 2 Do Touch'!AJ17&gt;4,"Water","Land"),'Map 3'!$AG$3:$AH$3,0)),INDEX($AK$4:$AL$6,MATCH(INDEX($I$3:$L$6,MATCH(MOD('Map 2 Do Touch'!AJ17,4),$H$3:$H$6,0),MATCH(MOD('Map 2 Do Touch'!AK17,4),$I$2:$L$2,0)),'Map 3'!$AJ$4:$AJ$6,0),MATCH(IF('Map 2 Do Touch'!AJ17&gt;4,"Water","Land"),'Map 3'!$AK$3:$AL$3,0))),IF('Map 2 Do Touch'!AK17&gt;4,INDEX($AG$4:$AH$6,MATCH(INDEX($P$3:$S$6,MATCH(MOD('Map 2 Do Touch'!AK16,4),$O$3:$O$6,0),MATCH(MOD('Map 2 Do Touch'!AK17,4),$P$2:$S$2,0)),$AF$4:$AF$6,0),MATCH(IF('Map 2 Do Touch'!AK16&gt;4,"Water","Land"),'Map 3'!$AG$3:$AH$3,0)),INDEX($AK$4:$AL$6,MATCH(INDEX($P$3:$S$6,MATCH(MOD('Map 2 Do Touch'!AK16,4),$O$3:$O$6,0),MATCH(MOD('Map 2 Do Touch'!AK17,4),$P$2:$S$2,0)),'Map 3'!$AJ$4:$AJ$6,0),MATCH(IF('Map 2 Do Touch'!AK16&gt;4,"Water","Land"),'Map 3'!$AK$3:$AL$3,0))))</f>
        <v>Island</v>
      </c>
      <c r="AL21" s="3" t="str">
        <f ca="1">IF('Map 2 Do Touch'!AK16&lt;&gt;'Map 2 Do Touch'!AK17,IF('Map 2 Do Touch'!AL17&gt;4,INDEX($AG$4:$AH$6,MATCH(INDEX($I$3:$L$6,MATCH(MOD('Map 2 Do Touch'!AK17,4),$H$3:$H$6,0),MATCH(MOD('Map 2 Do Touch'!AL17,4),$I$2:$L$2,0)),$AF$4:$AF$6,0),MATCH(IF('Map 2 Do Touch'!AK17&gt;4,"Water","Land"),'Map 3'!$AG$3:$AH$3,0)),INDEX($AK$4:$AL$6,MATCH(INDEX($I$3:$L$6,MATCH(MOD('Map 2 Do Touch'!AK17,4),$H$3:$H$6,0),MATCH(MOD('Map 2 Do Touch'!AL17,4),$I$2:$L$2,0)),'Map 3'!$AJ$4:$AJ$6,0),MATCH(IF('Map 2 Do Touch'!AK17&gt;4,"Water","Land"),'Map 3'!$AK$3:$AL$3,0))),IF('Map 2 Do Touch'!AL17&gt;4,INDEX($AG$4:$AH$6,MATCH(INDEX($P$3:$S$6,MATCH(MOD('Map 2 Do Touch'!AL16,4),$O$3:$O$6,0),MATCH(MOD('Map 2 Do Touch'!AL17,4),$P$2:$S$2,0)),$AF$4:$AF$6,0),MATCH(IF('Map 2 Do Touch'!AL16&gt;4,"Water","Land"),'Map 3'!$AG$3:$AH$3,0)),INDEX($AK$4:$AL$6,MATCH(INDEX($P$3:$S$6,MATCH(MOD('Map 2 Do Touch'!AL16,4),$O$3:$O$6,0),MATCH(MOD('Map 2 Do Touch'!AL17,4),$P$2:$S$2,0)),'Map 3'!$AJ$4:$AJ$6,0),MATCH(IF('Map 2 Do Touch'!AL16&gt;4,"Water","Land"),'Map 3'!$AK$3:$AL$3,0))))</f>
        <v>Ocean</v>
      </c>
      <c r="AM21" s="3" t="str">
        <f ca="1">IF('Map 2 Do Touch'!AL16&lt;&gt;'Map 2 Do Touch'!AL17,IF('Map 2 Do Touch'!AM17&gt;4,INDEX($AG$4:$AH$6,MATCH(INDEX($I$3:$L$6,MATCH(MOD('Map 2 Do Touch'!AL17,4),$H$3:$H$6,0),MATCH(MOD('Map 2 Do Touch'!AM17,4),$I$2:$L$2,0)),$AF$4:$AF$6,0),MATCH(IF('Map 2 Do Touch'!AL17&gt;4,"Water","Land"),'Map 3'!$AG$3:$AH$3,0)),INDEX($AK$4:$AL$6,MATCH(INDEX($I$3:$L$6,MATCH(MOD('Map 2 Do Touch'!AL17,4),$H$3:$H$6,0),MATCH(MOD('Map 2 Do Touch'!AM17,4),$I$2:$L$2,0)),'Map 3'!$AJ$4:$AJ$6,0),MATCH(IF('Map 2 Do Touch'!AL17&gt;4,"Water","Land"),'Map 3'!$AK$3:$AL$3,0))),IF('Map 2 Do Touch'!AM17&gt;4,INDEX($AG$4:$AH$6,MATCH(INDEX($P$3:$S$6,MATCH(MOD('Map 2 Do Touch'!AM16,4),$O$3:$O$6,0),MATCH(MOD('Map 2 Do Touch'!AM17,4),$P$2:$S$2,0)),$AF$4:$AF$6,0),MATCH(IF('Map 2 Do Touch'!AM16&gt;4,"Water","Land"),'Map 3'!$AG$3:$AH$3,0)),INDEX($AK$4:$AL$6,MATCH(INDEX($P$3:$S$6,MATCH(MOD('Map 2 Do Touch'!AM16,4),$O$3:$O$6,0),MATCH(MOD('Map 2 Do Touch'!AM17,4),$P$2:$S$2,0)),'Map 3'!$AJ$4:$AJ$6,0),MATCH(IF('Map 2 Do Touch'!AM16&gt;4,"Water","Land"),'Map 3'!$AK$3:$AL$3,0))))</f>
        <v>Ocean</v>
      </c>
      <c r="AN21" s="3" t="str">
        <f ca="1">IF('Map 2 Do Touch'!AM16&lt;&gt;'Map 2 Do Touch'!AM17,IF('Map 2 Do Touch'!AN17&gt;4,INDEX($AG$4:$AH$6,MATCH(INDEX($I$3:$L$6,MATCH(MOD('Map 2 Do Touch'!AM17,4),$H$3:$H$6,0),MATCH(MOD('Map 2 Do Touch'!AN17,4),$I$2:$L$2,0)),$AF$4:$AF$6,0),MATCH(IF('Map 2 Do Touch'!AM17&gt;4,"Water","Land"),'Map 3'!$AG$3:$AH$3,0)),INDEX($AK$4:$AL$6,MATCH(INDEX($I$3:$L$6,MATCH(MOD('Map 2 Do Touch'!AM17,4),$H$3:$H$6,0),MATCH(MOD('Map 2 Do Touch'!AN17,4),$I$2:$L$2,0)),'Map 3'!$AJ$4:$AJ$6,0),MATCH(IF('Map 2 Do Touch'!AM17&gt;4,"Water","Land"),'Map 3'!$AK$3:$AL$3,0))),IF('Map 2 Do Touch'!AN17&gt;4,INDEX($AG$4:$AH$6,MATCH(INDEX($P$3:$S$6,MATCH(MOD('Map 2 Do Touch'!AN16,4),$O$3:$O$6,0),MATCH(MOD('Map 2 Do Touch'!AN17,4),$P$2:$S$2,0)),$AF$4:$AF$6,0),MATCH(IF('Map 2 Do Touch'!AN16&gt;4,"Water","Land"),'Map 3'!$AG$3:$AH$3,0)),INDEX($AK$4:$AL$6,MATCH(INDEX($P$3:$S$6,MATCH(MOD('Map 2 Do Touch'!AN16,4),$O$3:$O$6,0),MATCH(MOD('Map 2 Do Touch'!AN17,4),$P$2:$S$2,0)),'Map 3'!$AJ$4:$AJ$6,0),MATCH(IF('Map 2 Do Touch'!AN16&gt;4,"Water","Land"),'Map 3'!$AK$3:$AL$3,0))))</f>
        <v>Coast</v>
      </c>
      <c r="AO21" s="87" t="str">
        <f ca="1">IF('Map 2 Do Touch'!AN16&lt;&gt;'Map 2 Do Touch'!AN17,IF('Map 2 Do Touch'!AO17&gt;4,INDEX($AG$4:$AH$6,MATCH(INDEX($I$3:$L$6,MATCH(MOD('Map 2 Do Touch'!AN17,4),$H$3:$H$6,0),MATCH(MOD('Map 2 Do Touch'!AO17,4),$I$2:$L$2,0)),$AF$4:$AF$6,0),MATCH(IF('Map 2 Do Touch'!AN17&gt;4,"Water","Land"),'Map 3'!$AG$3:$AH$3,0)),INDEX($AK$4:$AL$6,MATCH(INDEX($I$3:$L$6,MATCH(MOD('Map 2 Do Touch'!AN17,4),$H$3:$H$6,0),MATCH(MOD('Map 2 Do Touch'!AO17,4),$I$2:$L$2,0)),'Map 3'!$AJ$4:$AJ$6,0),MATCH(IF('Map 2 Do Touch'!AN17&gt;4,"Water","Land"),'Map 3'!$AK$3:$AL$3,0))),IF('Map 2 Do Touch'!AO17&gt;4,INDEX($AG$4:$AH$6,MATCH(INDEX($P$3:$S$6,MATCH(MOD('Map 2 Do Touch'!AO16,4),$O$3:$O$6,0),MATCH(MOD('Map 2 Do Touch'!AO17,4),$P$2:$S$2,0)),$AF$4:$AF$6,0),MATCH(IF('Map 2 Do Touch'!AO16&gt;4,"Water","Land"),'Map 3'!$AG$3:$AH$3,0)),INDEX($AK$4:$AL$6,MATCH(INDEX($P$3:$S$6,MATCH(MOD('Map 2 Do Touch'!AO16,4),$O$3:$O$6,0),MATCH(MOD('Map 2 Do Touch'!AO17,4),$P$2:$S$2,0)),'Map 3'!$AJ$4:$AJ$6,0),MATCH(IF('Map 2 Do Touch'!AO16&gt;4,"Water","Land"),'Map 3'!$AK$3:$AL$3,0))))</f>
        <v>Ocean</v>
      </c>
      <c r="AP21" s="3"/>
    </row>
    <row r="22" spans="1:42" ht="37.5" customHeight="1">
      <c r="A22" s="3">
        <v>11</v>
      </c>
      <c r="B22" s="86" t="str">
        <f ca="1">IF('Map 2 Do Touch'!B17&lt;&gt;'Map 2 Do Touch'!B18,IF('Map 2 Do Touch'!B18&gt;4,INDEX($AG$4:$AH$6,MATCH(INDEX($I$3:$L$6,MATCH(MOD('Map 2 Do Touch'!AO18,4),$H$3:$H$6,0),MATCH(MOD('Map 2 Do Touch'!B18,4),$I$2:$L$2,0)),$AF$4:$AF$6,0),MATCH(IF('Map 2 Do Touch'!AO18&gt;4,"Water","Land"),'Map 3'!$AG$3:$AH$3,0)),INDEX($AK$4:$AL$6,MATCH(INDEX($I$3:$L$6,MATCH(MOD('Map 2 Do Touch'!A18,4),$H$3:$H$6,0),MATCH(MOD('Map 2 Do Touch'!B18,4),$I$2:$L$2,0)),'Map 3'!$AJ$4:$AJ$6,0),MATCH(IF('Map 2 Do Touch'!AO18&gt;4,"Water","Land"),'Map 3'!$AK$3:$AL$3,0))),IF('Map 2 Do Touch'!B18&gt;4,INDEX($AG$4:$AH$6,MATCH(INDEX($P$3:$S$6,MATCH(MOD('Map 2 Do Touch'!B17,4),$O$3:$O$6,0),MATCH(MOD('Map 2 Do Touch'!B18,4),$P$2:$S$2,0)),$AF$4:$AF$6,0),MATCH(IF('Map 2 Do Touch'!B17&gt;4,"Water","Land"),'Map 3'!$AG$3:$AH$3,0)),INDEX($AK$4:$AL$6,MATCH(INDEX($P$3:$S$6,MATCH(MOD('Map 2 Do Touch'!B17,4),$O$3:$O$6,0),MATCH(MOD('Map 2 Do Touch'!B18,4),$P$2:$S$2,0)),'Map 3'!$AJ$4:$AJ$6,0),MATCH(IF('Map 2 Do Touch'!B17&gt;4,"Water","Land"),'Map 3'!$AK$3:$AL$3,0))))</f>
        <v>Ocean</v>
      </c>
      <c r="C22" s="3" t="str">
        <f ca="1">IF('Map 2 Do Touch'!B17&lt;&gt;'Map 2 Do Touch'!B18,IF('Map 2 Do Touch'!C18&gt;4,INDEX($AG$4:$AH$6,MATCH(INDEX($I$3:$L$6,MATCH(MOD('Map 2 Do Touch'!B18,4),$H$3:$H$6,0),MATCH(MOD('Map 2 Do Touch'!C18,4),$I$2:$L$2,0)),$AF$4:$AF$6,0),MATCH(IF('Map 2 Do Touch'!B18&gt;4,"Water","Land"),'Map 3'!$AG$3:$AH$3,0)),INDEX($AK$4:$AL$6,MATCH(INDEX($I$3:$L$6,MATCH(MOD('Map 2 Do Touch'!B18,4),$H$3:$H$6,0),MATCH(MOD('Map 2 Do Touch'!C18,4),$I$2:$L$2,0)),'Map 3'!$AJ$4:$AJ$6,0),MATCH(IF('Map 2 Do Touch'!B18&gt;4,"Water","Land"),'Map 3'!$AK$3:$AL$3,0))),IF('Map 2 Do Touch'!C18&gt;4,INDEX($AG$4:$AH$6,MATCH(INDEX($P$3:$S$6,MATCH(MOD('Map 2 Do Touch'!C17,4),$O$3:$O$6,0),MATCH(MOD('Map 2 Do Touch'!C18,4),$P$2:$S$2,0)),$AF$4:$AF$6,0),MATCH(IF('Map 2 Do Touch'!C17&gt;4,"Water","Land"),'Map 3'!$AG$3:$AH$3,0)),INDEX($AK$4:$AL$6,MATCH(INDEX($P$3:$S$6,MATCH(MOD('Map 2 Do Touch'!C17,4),$O$3:$O$6,0),MATCH(MOD('Map 2 Do Touch'!C18,4),$P$2:$S$2,0)),'Map 3'!$AJ$4:$AJ$6,0),MATCH(IF('Map 2 Do Touch'!C17&gt;4,"Water","Land"),'Map 3'!$AK$3:$AL$3,0))))</f>
        <v>Ocean</v>
      </c>
      <c r="D22" s="3" t="str">
        <f ca="1">IF('Map 2 Do Touch'!C17&lt;&gt;'Map 2 Do Touch'!C18,IF('Map 2 Do Touch'!D18&gt;4,INDEX($AG$4:$AH$6,MATCH(INDEX($I$3:$L$6,MATCH(MOD('Map 2 Do Touch'!C18,4),$H$3:$H$6,0),MATCH(MOD('Map 2 Do Touch'!D18,4),$I$2:$L$2,0)),$AF$4:$AF$6,0),MATCH(IF('Map 2 Do Touch'!C18&gt;4,"Water","Land"),'Map 3'!$AG$3:$AH$3,0)),INDEX($AK$4:$AL$6,MATCH(INDEX($I$3:$L$6,MATCH(MOD('Map 2 Do Touch'!C18,4),$H$3:$H$6,0),MATCH(MOD('Map 2 Do Touch'!D18,4),$I$2:$L$2,0)),'Map 3'!$AJ$4:$AJ$6,0),MATCH(IF('Map 2 Do Touch'!C18&gt;4,"Water","Land"),'Map 3'!$AK$3:$AL$3,0))),IF('Map 2 Do Touch'!D18&gt;4,INDEX($AG$4:$AH$6,MATCH(INDEX($P$3:$S$6,MATCH(MOD('Map 2 Do Touch'!D17,4),$O$3:$O$6,0),MATCH(MOD('Map 2 Do Touch'!D18,4),$P$2:$S$2,0)),$AF$4:$AF$6,0),MATCH(IF('Map 2 Do Touch'!D17&gt;4,"Water","Land"),'Map 3'!$AG$3:$AH$3,0)),INDEX($AK$4:$AL$6,MATCH(INDEX($P$3:$S$6,MATCH(MOD('Map 2 Do Touch'!D17,4),$O$3:$O$6,0),MATCH(MOD('Map 2 Do Touch'!D18,4),$P$2:$S$2,0)),'Map 3'!$AJ$4:$AJ$6,0),MATCH(IF('Map 2 Do Touch'!D17&gt;4,"Water","Land"),'Map 3'!$AK$3:$AL$3,0))))</f>
        <v>Trench</v>
      </c>
      <c r="E22" s="3" t="str">
        <f ca="1">IF('Map 2 Do Touch'!D17&lt;&gt;'Map 2 Do Touch'!D18,IF('Map 2 Do Touch'!E18&gt;4,INDEX($AG$4:$AH$6,MATCH(INDEX($I$3:$L$6,MATCH(MOD('Map 2 Do Touch'!D18,4),$H$3:$H$6,0),MATCH(MOD('Map 2 Do Touch'!E18,4),$I$2:$L$2,0)),$AF$4:$AF$6,0),MATCH(IF('Map 2 Do Touch'!D18&gt;4,"Water","Land"),'Map 3'!$AG$3:$AH$3,0)),INDEX($AK$4:$AL$6,MATCH(INDEX($I$3:$L$6,MATCH(MOD('Map 2 Do Touch'!D18,4),$H$3:$H$6,0),MATCH(MOD('Map 2 Do Touch'!E18,4),$I$2:$L$2,0)),'Map 3'!$AJ$4:$AJ$6,0),MATCH(IF('Map 2 Do Touch'!D18&gt;4,"Water","Land"),'Map 3'!$AK$3:$AL$3,0))),IF('Map 2 Do Touch'!E18&gt;4,INDEX($AG$4:$AH$6,MATCH(INDEX($P$3:$S$6,MATCH(MOD('Map 2 Do Touch'!E17,4),$O$3:$O$6,0),MATCH(MOD('Map 2 Do Touch'!E18,4),$P$2:$S$2,0)),$AF$4:$AF$6,0),MATCH(IF('Map 2 Do Touch'!E17&gt;4,"Water","Land"),'Map 3'!$AG$3:$AH$3,0)),INDEX($AK$4:$AL$6,MATCH(INDEX($P$3:$S$6,MATCH(MOD('Map 2 Do Touch'!E17,4),$O$3:$O$6,0),MATCH(MOD('Map 2 Do Touch'!E18,4),$P$2:$S$2,0)),'Map 3'!$AJ$4:$AJ$6,0),MATCH(IF('Map 2 Do Touch'!E17&gt;4,"Water","Land"),'Map 3'!$AK$3:$AL$3,0))))</f>
        <v>Ocean</v>
      </c>
      <c r="F22" s="3" t="str">
        <f ca="1">IF('Map 2 Do Touch'!E17&lt;&gt;'Map 2 Do Touch'!E18,IF('Map 2 Do Touch'!F18&gt;4,INDEX($AG$4:$AH$6,MATCH(INDEX($I$3:$L$6,MATCH(MOD('Map 2 Do Touch'!E18,4),$H$3:$H$6,0),MATCH(MOD('Map 2 Do Touch'!F18,4),$I$2:$L$2,0)),$AF$4:$AF$6,0),MATCH(IF('Map 2 Do Touch'!E18&gt;4,"Water","Land"),'Map 3'!$AG$3:$AH$3,0)),INDEX($AK$4:$AL$6,MATCH(INDEX($I$3:$L$6,MATCH(MOD('Map 2 Do Touch'!E18,4),$H$3:$H$6,0),MATCH(MOD('Map 2 Do Touch'!F18,4),$I$2:$L$2,0)),'Map 3'!$AJ$4:$AJ$6,0),MATCH(IF('Map 2 Do Touch'!E18&gt;4,"Water","Land"),'Map 3'!$AK$3:$AL$3,0))),IF('Map 2 Do Touch'!F18&gt;4,INDEX($AG$4:$AH$6,MATCH(INDEX($P$3:$S$6,MATCH(MOD('Map 2 Do Touch'!F17,4),$O$3:$O$6,0),MATCH(MOD('Map 2 Do Touch'!F18,4),$P$2:$S$2,0)),$AF$4:$AF$6,0),MATCH(IF('Map 2 Do Touch'!F17&gt;4,"Water","Land"),'Map 3'!$AG$3:$AH$3,0)),INDEX($AK$4:$AL$6,MATCH(INDEX($P$3:$S$6,MATCH(MOD('Map 2 Do Touch'!F17,4),$O$3:$O$6,0),MATCH(MOD('Map 2 Do Touch'!F18,4),$P$2:$S$2,0)),'Map 3'!$AJ$4:$AJ$6,0),MATCH(IF('Map 2 Do Touch'!F17&gt;4,"Water","Land"),'Map 3'!$AK$3:$AL$3,0))))</f>
        <v>Island</v>
      </c>
      <c r="G22" s="3" t="str">
        <f ca="1">IF('Map 2 Do Touch'!F17&lt;&gt;'Map 2 Do Touch'!F18,IF('Map 2 Do Touch'!G18&gt;4,INDEX($AG$4:$AH$6,MATCH(INDEX($I$3:$L$6,MATCH(MOD('Map 2 Do Touch'!F18,4),$H$3:$H$6,0),MATCH(MOD('Map 2 Do Touch'!G18,4),$I$2:$L$2,0)),$AF$4:$AF$6,0),MATCH(IF('Map 2 Do Touch'!F18&gt;4,"Water","Land"),'Map 3'!$AG$3:$AH$3,0)),INDEX($AK$4:$AL$6,MATCH(INDEX($I$3:$L$6,MATCH(MOD('Map 2 Do Touch'!F18,4),$H$3:$H$6,0),MATCH(MOD('Map 2 Do Touch'!G18,4),$I$2:$L$2,0)),'Map 3'!$AJ$4:$AJ$6,0),MATCH(IF('Map 2 Do Touch'!F18&gt;4,"Water","Land"),'Map 3'!$AK$3:$AL$3,0))),IF('Map 2 Do Touch'!G18&gt;4,INDEX($AG$4:$AH$6,MATCH(INDEX($P$3:$S$6,MATCH(MOD('Map 2 Do Touch'!G17,4),$O$3:$O$6,0),MATCH(MOD('Map 2 Do Touch'!G18,4),$P$2:$S$2,0)),$AF$4:$AF$6,0),MATCH(IF('Map 2 Do Touch'!G17&gt;4,"Water","Land"),'Map 3'!$AG$3:$AH$3,0)),INDEX($AK$4:$AL$6,MATCH(INDEX($P$3:$S$6,MATCH(MOD('Map 2 Do Touch'!G17,4),$O$3:$O$6,0),MATCH(MOD('Map 2 Do Touch'!G18,4),$P$2:$S$2,0)),'Map 3'!$AJ$4:$AJ$6,0),MATCH(IF('Map 2 Do Touch'!G17&gt;4,"Water","Land"),'Map 3'!$AK$3:$AL$3,0))))</f>
        <v>Trench</v>
      </c>
      <c r="H22" s="3" t="str">
        <f ca="1">IF('Map 2 Do Touch'!G17&lt;&gt;'Map 2 Do Touch'!G18,IF('Map 2 Do Touch'!H18&gt;4,INDEX($AG$4:$AH$6,MATCH(INDEX($I$3:$L$6,MATCH(MOD('Map 2 Do Touch'!G18,4),$H$3:$H$6,0),MATCH(MOD('Map 2 Do Touch'!H18,4),$I$2:$L$2,0)),$AF$4:$AF$6,0),MATCH(IF('Map 2 Do Touch'!G18&gt;4,"Water","Land"),'Map 3'!$AG$3:$AH$3,0)),INDEX($AK$4:$AL$6,MATCH(INDEX($I$3:$L$6,MATCH(MOD('Map 2 Do Touch'!G18,4),$H$3:$H$6,0),MATCH(MOD('Map 2 Do Touch'!H18,4),$I$2:$L$2,0)),'Map 3'!$AJ$4:$AJ$6,0),MATCH(IF('Map 2 Do Touch'!G18&gt;4,"Water","Land"),'Map 3'!$AK$3:$AL$3,0))),IF('Map 2 Do Touch'!H18&gt;4,INDEX($AG$4:$AH$6,MATCH(INDEX($P$3:$S$6,MATCH(MOD('Map 2 Do Touch'!H17,4),$O$3:$O$6,0),MATCH(MOD('Map 2 Do Touch'!H18,4),$P$2:$S$2,0)),$AF$4:$AF$6,0),MATCH(IF('Map 2 Do Touch'!H17&gt;4,"Water","Land"),'Map 3'!$AG$3:$AH$3,0)),INDEX($AK$4:$AL$6,MATCH(INDEX($P$3:$S$6,MATCH(MOD('Map 2 Do Touch'!H17,4),$O$3:$O$6,0),MATCH(MOD('Map 2 Do Touch'!H18,4),$P$2:$S$2,0)),'Map 3'!$AJ$4:$AJ$6,0),MATCH(IF('Map 2 Do Touch'!H17&gt;4,"Water","Land"),'Map 3'!$AK$3:$AL$3,0))))</f>
        <v>Island</v>
      </c>
      <c r="I22" s="3" t="str">
        <f ca="1">IF('Map 2 Do Touch'!H17&lt;&gt;'Map 2 Do Touch'!H18,IF('Map 2 Do Touch'!I18&gt;4,INDEX($AG$4:$AH$6,MATCH(INDEX($I$3:$L$6,MATCH(MOD('Map 2 Do Touch'!H18,4),$H$3:$H$6,0),MATCH(MOD('Map 2 Do Touch'!I18,4),$I$2:$L$2,0)),$AF$4:$AF$6,0),MATCH(IF('Map 2 Do Touch'!H18&gt;4,"Water","Land"),'Map 3'!$AG$3:$AH$3,0)),INDEX($AK$4:$AL$6,MATCH(INDEX($I$3:$L$6,MATCH(MOD('Map 2 Do Touch'!H18,4),$H$3:$H$6,0),MATCH(MOD('Map 2 Do Touch'!I18,4),$I$2:$L$2,0)),'Map 3'!$AJ$4:$AJ$6,0),MATCH(IF('Map 2 Do Touch'!H18&gt;4,"Water","Land"),'Map 3'!$AK$3:$AL$3,0))),IF('Map 2 Do Touch'!I18&gt;4,INDEX($AG$4:$AH$6,MATCH(INDEX($P$3:$S$6,MATCH(MOD('Map 2 Do Touch'!I17,4),$O$3:$O$6,0),MATCH(MOD('Map 2 Do Touch'!I18,4),$P$2:$S$2,0)),$AF$4:$AF$6,0),MATCH(IF('Map 2 Do Touch'!I17&gt;4,"Water","Land"),'Map 3'!$AG$3:$AH$3,0)),INDEX($AK$4:$AL$6,MATCH(INDEX($P$3:$S$6,MATCH(MOD('Map 2 Do Touch'!I17,4),$O$3:$O$6,0),MATCH(MOD('Map 2 Do Touch'!I18,4),$P$2:$S$2,0)),'Map 3'!$AJ$4:$AJ$6,0),MATCH(IF('Map 2 Do Touch'!I17&gt;4,"Water","Land"),'Map 3'!$AK$3:$AL$3,0))))</f>
        <v>Island</v>
      </c>
      <c r="J22" s="3" t="str">
        <f ca="1">IF('Map 2 Do Touch'!I17&lt;&gt;'Map 2 Do Touch'!I18,IF('Map 2 Do Touch'!J18&gt;4,INDEX($AG$4:$AH$6,MATCH(INDEX($I$3:$L$6,MATCH(MOD('Map 2 Do Touch'!I18,4),$H$3:$H$6,0),MATCH(MOD('Map 2 Do Touch'!J18,4),$I$2:$L$2,0)),$AF$4:$AF$6,0),MATCH(IF('Map 2 Do Touch'!I18&gt;4,"Water","Land"),'Map 3'!$AG$3:$AH$3,0)),INDEX($AK$4:$AL$6,MATCH(INDEX($I$3:$L$6,MATCH(MOD('Map 2 Do Touch'!I18,4),$H$3:$H$6,0),MATCH(MOD('Map 2 Do Touch'!J18,4),$I$2:$L$2,0)),'Map 3'!$AJ$4:$AJ$6,0),MATCH(IF('Map 2 Do Touch'!I18&gt;4,"Water","Land"),'Map 3'!$AK$3:$AL$3,0))),IF('Map 2 Do Touch'!J18&gt;4,INDEX($AG$4:$AH$6,MATCH(INDEX($P$3:$S$6,MATCH(MOD('Map 2 Do Touch'!J17,4),$O$3:$O$6,0),MATCH(MOD('Map 2 Do Touch'!J18,4),$P$2:$S$2,0)),$AF$4:$AF$6,0),MATCH(IF('Map 2 Do Touch'!J17&gt;4,"Water","Land"),'Map 3'!$AG$3:$AH$3,0)),INDEX($AK$4:$AL$6,MATCH(INDEX($P$3:$S$6,MATCH(MOD('Map 2 Do Touch'!J17,4),$O$3:$O$6,0),MATCH(MOD('Map 2 Do Touch'!J18,4),$P$2:$S$2,0)),'Map 3'!$AJ$4:$AJ$6,0),MATCH(IF('Map 2 Do Touch'!J17&gt;4,"Water","Land"),'Map 3'!$AK$3:$AL$3,0))))</f>
        <v>Trench</v>
      </c>
      <c r="K22" s="3" t="str">
        <f ca="1">IF('Map 2 Do Touch'!J17&lt;&gt;'Map 2 Do Touch'!J18,IF('Map 2 Do Touch'!K18&gt;4,INDEX($AG$4:$AH$6,MATCH(INDEX($I$3:$L$6,MATCH(MOD('Map 2 Do Touch'!J18,4),$H$3:$H$6,0),MATCH(MOD('Map 2 Do Touch'!K18,4),$I$2:$L$2,0)),$AF$4:$AF$6,0),MATCH(IF('Map 2 Do Touch'!J18&gt;4,"Water","Land"),'Map 3'!$AG$3:$AH$3,0)),INDEX($AK$4:$AL$6,MATCH(INDEX($I$3:$L$6,MATCH(MOD('Map 2 Do Touch'!J18,4),$H$3:$H$6,0),MATCH(MOD('Map 2 Do Touch'!K18,4),$I$2:$L$2,0)),'Map 3'!$AJ$4:$AJ$6,0),MATCH(IF('Map 2 Do Touch'!J18&gt;4,"Water","Land"),'Map 3'!$AK$3:$AL$3,0))),IF('Map 2 Do Touch'!K18&gt;4,INDEX($AG$4:$AH$6,MATCH(INDEX($P$3:$S$6,MATCH(MOD('Map 2 Do Touch'!K17,4),$O$3:$O$6,0),MATCH(MOD('Map 2 Do Touch'!K18,4),$P$2:$S$2,0)),$AF$4:$AF$6,0),MATCH(IF('Map 2 Do Touch'!K17&gt;4,"Water","Land"),'Map 3'!$AG$3:$AH$3,0)),INDEX($AK$4:$AL$6,MATCH(INDEX($P$3:$S$6,MATCH(MOD('Map 2 Do Touch'!K17,4),$O$3:$O$6,0),MATCH(MOD('Map 2 Do Touch'!K18,4),$P$2:$S$2,0)),'Map 3'!$AJ$4:$AJ$6,0),MATCH(IF('Map 2 Do Touch'!K17&gt;4,"Water","Land"),'Map 3'!$AK$3:$AL$3,0))))</f>
        <v>Ocean</v>
      </c>
      <c r="L22" s="3" t="str">
        <f ca="1">IF('Map 2 Do Touch'!K17&lt;&gt;'Map 2 Do Touch'!K18,IF('Map 2 Do Touch'!L18&gt;4,INDEX($AG$4:$AH$6,MATCH(INDEX($I$3:$L$6,MATCH(MOD('Map 2 Do Touch'!K18,4),$H$3:$H$6,0),MATCH(MOD('Map 2 Do Touch'!L18,4),$I$2:$L$2,0)),$AF$4:$AF$6,0),MATCH(IF('Map 2 Do Touch'!K18&gt;4,"Water","Land"),'Map 3'!$AG$3:$AH$3,0)),INDEX($AK$4:$AL$6,MATCH(INDEX($I$3:$L$6,MATCH(MOD('Map 2 Do Touch'!K18,4),$H$3:$H$6,0),MATCH(MOD('Map 2 Do Touch'!L18,4),$I$2:$L$2,0)),'Map 3'!$AJ$4:$AJ$6,0),MATCH(IF('Map 2 Do Touch'!K18&gt;4,"Water","Land"),'Map 3'!$AK$3:$AL$3,0))),IF('Map 2 Do Touch'!L18&gt;4,INDEX($AG$4:$AH$6,MATCH(INDEX($P$3:$S$6,MATCH(MOD('Map 2 Do Touch'!L17,4),$O$3:$O$6,0),MATCH(MOD('Map 2 Do Touch'!L18,4),$P$2:$S$2,0)),$AF$4:$AF$6,0),MATCH(IF('Map 2 Do Touch'!L17&gt;4,"Water","Land"),'Map 3'!$AG$3:$AH$3,0)),INDEX($AK$4:$AL$6,MATCH(INDEX($P$3:$S$6,MATCH(MOD('Map 2 Do Touch'!L17,4),$O$3:$O$6,0),MATCH(MOD('Map 2 Do Touch'!L18,4),$P$2:$S$2,0)),'Map 3'!$AJ$4:$AJ$6,0),MATCH(IF('Map 2 Do Touch'!L17&gt;4,"Water","Land"),'Map 3'!$AK$3:$AL$3,0))))</f>
        <v>Ocean</v>
      </c>
      <c r="M22" s="3" t="str">
        <f ca="1">IF('Map 2 Do Touch'!L17&lt;&gt;'Map 2 Do Touch'!L18,IF('Map 2 Do Touch'!M18&gt;4,INDEX($AG$4:$AH$6,MATCH(INDEX($I$3:$L$6,MATCH(MOD('Map 2 Do Touch'!L18,4),$H$3:$H$6,0),MATCH(MOD('Map 2 Do Touch'!M18,4),$I$2:$L$2,0)),$AF$4:$AF$6,0),MATCH(IF('Map 2 Do Touch'!L18&gt;4,"Water","Land"),'Map 3'!$AG$3:$AH$3,0)),INDEX($AK$4:$AL$6,MATCH(INDEX($I$3:$L$6,MATCH(MOD('Map 2 Do Touch'!L18,4),$H$3:$H$6,0),MATCH(MOD('Map 2 Do Touch'!M18,4),$I$2:$L$2,0)),'Map 3'!$AJ$4:$AJ$6,0),MATCH(IF('Map 2 Do Touch'!L18&gt;4,"Water","Land"),'Map 3'!$AK$3:$AL$3,0))),IF('Map 2 Do Touch'!M18&gt;4,INDEX($AG$4:$AH$6,MATCH(INDEX($P$3:$S$6,MATCH(MOD('Map 2 Do Touch'!M17,4),$O$3:$O$6,0),MATCH(MOD('Map 2 Do Touch'!M18,4),$P$2:$S$2,0)),$AF$4:$AF$6,0),MATCH(IF('Map 2 Do Touch'!M17&gt;4,"Water","Land"),'Map 3'!$AG$3:$AH$3,0)),INDEX($AK$4:$AL$6,MATCH(INDEX($P$3:$S$6,MATCH(MOD('Map 2 Do Touch'!M17,4),$O$3:$O$6,0),MATCH(MOD('Map 2 Do Touch'!M18,4),$P$2:$S$2,0)),'Map 3'!$AJ$4:$AJ$6,0),MATCH(IF('Map 2 Do Touch'!M17&gt;4,"Water","Land"),'Map 3'!$AK$3:$AL$3,0))))</f>
        <v>Ocean</v>
      </c>
      <c r="N22" s="3" t="str">
        <f ca="1">IF('Map 2 Do Touch'!M17&lt;&gt;'Map 2 Do Touch'!M18,IF('Map 2 Do Touch'!N18&gt;4,INDEX($AG$4:$AH$6,MATCH(INDEX($I$3:$L$6,MATCH(MOD('Map 2 Do Touch'!M18,4),$H$3:$H$6,0),MATCH(MOD('Map 2 Do Touch'!N18,4),$I$2:$L$2,0)),$AF$4:$AF$6,0),MATCH(IF('Map 2 Do Touch'!M18&gt;4,"Water","Land"),'Map 3'!$AG$3:$AH$3,0)),INDEX($AK$4:$AL$6,MATCH(INDEX($I$3:$L$6,MATCH(MOD('Map 2 Do Touch'!M18,4),$H$3:$H$6,0),MATCH(MOD('Map 2 Do Touch'!N18,4),$I$2:$L$2,0)),'Map 3'!$AJ$4:$AJ$6,0),MATCH(IF('Map 2 Do Touch'!M18&gt;4,"Water","Land"),'Map 3'!$AK$3:$AL$3,0))),IF('Map 2 Do Touch'!N18&gt;4,INDEX($AG$4:$AH$6,MATCH(INDEX($P$3:$S$6,MATCH(MOD('Map 2 Do Touch'!N17,4),$O$3:$O$6,0),MATCH(MOD('Map 2 Do Touch'!N18,4),$P$2:$S$2,0)),$AF$4:$AF$6,0),MATCH(IF('Map 2 Do Touch'!N17&gt;4,"Water","Land"),'Map 3'!$AG$3:$AH$3,0)),INDEX($AK$4:$AL$6,MATCH(INDEX($P$3:$S$6,MATCH(MOD('Map 2 Do Touch'!N17,4),$O$3:$O$6,0),MATCH(MOD('Map 2 Do Touch'!N18,4),$P$2:$S$2,0)),'Map 3'!$AJ$4:$AJ$6,0),MATCH(IF('Map 2 Do Touch'!N17&gt;4,"Water","Land"),'Map 3'!$AK$3:$AL$3,0))))</f>
        <v>Flatland</v>
      </c>
      <c r="O22" s="3" t="str">
        <f ca="1">IF('Map 2 Do Touch'!N17&lt;&gt;'Map 2 Do Touch'!N18,IF('Map 2 Do Touch'!O18&gt;4,INDEX($AG$4:$AH$6,MATCH(INDEX($I$3:$L$6,MATCH(MOD('Map 2 Do Touch'!N18,4),$H$3:$H$6,0),MATCH(MOD('Map 2 Do Touch'!O18,4),$I$2:$L$2,0)),$AF$4:$AF$6,0),MATCH(IF('Map 2 Do Touch'!N18&gt;4,"Water","Land"),'Map 3'!$AG$3:$AH$3,0)),INDEX($AK$4:$AL$6,MATCH(INDEX($I$3:$L$6,MATCH(MOD('Map 2 Do Touch'!N18,4),$H$3:$H$6,0),MATCH(MOD('Map 2 Do Touch'!O18,4),$I$2:$L$2,0)),'Map 3'!$AJ$4:$AJ$6,0),MATCH(IF('Map 2 Do Touch'!N18&gt;4,"Water","Land"),'Map 3'!$AK$3:$AL$3,0))),IF('Map 2 Do Touch'!O18&gt;4,INDEX($AG$4:$AH$6,MATCH(INDEX($P$3:$S$6,MATCH(MOD('Map 2 Do Touch'!O17,4),$O$3:$O$6,0),MATCH(MOD('Map 2 Do Touch'!O18,4),$P$2:$S$2,0)),$AF$4:$AF$6,0),MATCH(IF('Map 2 Do Touch'!O17&gt;4,"Water","Land"),'Map 3'!$AG$3:$AH$3,0)),INDEX($AK$4:$AL$6,MATCH(INDEX($P$3:$S$6,MATCH(MOD('Map 2 Do Touch'!O17,4),$O$3:$O$6,0),MATCH(MOD('Map 2 Do Touch'!O18,4),$P$2:$S$2,0)),'Map 3'!$AJ$4:$AJ$6,0),MATCH(IF('Map 2 Do Touch'!O17&gt;4,"Water","Land"),'Map 3'!$AK$3:$AL$3,0))))</f>
        <v>Flatland</v>
      </c>
      <c r="P22" s="3" t="str">
        <f ca="1">IF('Map 2 Do Touch'!O17&lt;&gt;'Map 2 Do Touch'!O18,IF('Map 2 Do Touch'!P18&gt;4,INDEX($AG$4:$AH$6,MATCH(INDEX($I$3:$L$6,MATCH(MOD('Map 2 Do Touch'!O18,4),$H$3:$H$6,0),MATCH(MOD('Map 2 Do Touch'!P18,4),$I$2:$L$2,0)),$AF$4:$AF$6,0),MATCH(IF('Map 2 Do Touch'!O18&gt;4,"Water","Land"),'Map 3'!$AG$3:$AH$3,0)),INDEX($AK$4:$AL$6,MATCH(INDEX($I$3:$L$6,MATCH(MOD('Map 2 Do Touch'!O18,4),$H$3:$H$6,0),MATCH(MOD('Map 2 Do Touch'!P18,4),$I$2:$L$2,0)),'Map 3'!$AJ$4:$AJ$6,0),MATCH(IF('Map 2 Do Touch'!O18&gt;4,"Water","Land"),'Map 3'!$AK$3:$AL$3,0))),IF('Map 2 Do Touch'!P18&gt;4,INDEX($AG$4:$AH$6,MATCH(INDEX($P$3:$S$6,MATCH(MOD('Map 2 Do Touch'!P17,4),$O$3:$O$6,0),MATCH(MOD('Map 2 Do Touch'!P18,4),$P$2:$S$2,0)),$AF$4:$AF$6,0),MATCH(IF('Map 2 Do Touch'!P17&gt;4,"Water","Land"),'Map 3'!$AG$3:$AH$3,0)),INDEX($AK$4:$AL$6,MATCH(INDEX($P$3:$S$6,MATCH(MOD('Map 2 Do Touch'!P17,4),$O$3:$O$6,0),MATCH(MOD('Map 2 Do Touch'!P18,4),$P$2:$S$2,0)),'Map 3'!$AJ$4:$AJ$6,0),MATCH(IF('Map 2 Do Touch'!P17&gt;4,"Water","Land"),'Map 3'!$AK$3:$AL$3,0))))</f>
        <v>Flatland</v>
      </c>
      <c r="Q22" s="3" t="str">
        <f ca="1">IF('Map 2 Do Touch'!P17&lt;&gt;'Map 2 Do Touch'!P18,IF('Map 2 Do Touch'!Q18&gt;4,INDEX($AG$4:$AH$6,MATCH(INDEX($I$3:$L$6,MATCH(MOD('Map 2 Do Touch'!P18,4),$H$3:$H$6,0),MATCH(MOD('Map 2 Do Touch'!Q18,4),$I$2:$L$2,0)),$AF$4:$AF$6,0),MATCH(IF('Map 2 Do Touch'!P18&gt;4,"Water","Land"),'Map 3'!$AG$3:$AH$3,0)),INDEX($AK$4:$AL$6,MATCH(INDEX($I$3:$L$6,MATCH(MOD('Map 2 Do Touch'!P18,4),$H$3:$H$6,0),MATCH(MOD('Map 2 Do Touch'!Q18,4),$I$2:$L$2,0)),'Map 3'!$AJ$4:$AJ$6,0),MATCH(IF('Map 2 Do Touch'!P18&gt;4,"Water","Land"),'Map 3'!$AK$3:$AL$3,0))),IF('Map 2 Do Touch'!Q18&gt;4,INDEX($AG$4:$AH$6,MATCH(INDEX($P$3:$S$6,MATCH(MOD('Map 2 Do Touch'!Q17,4),$O$3:$O$6,0),MATCH(MOD('Map 2 Do Touch'!Q18,4),$P$2:$S$2,0)),$AF$4:$AF$6,0),MATCH(IF('Map 2 Do Touch'!Q17&gt;4,"Water","Land"),'Map 3'!$AG$3:$AH$3,0)),INDEX($AK$4:$AL$6,MATCH(INDEX($P$3:$S$6,MATCH(MOD('Map 2 Do Touch'!Q17,4),$O$3:$O$6,0),MATCH(MOD('Map 2 Do Touch'!Q18,4),$P$2:$S$2,0)),'Map 3'!$AJ$4:$AJ$6,0),MATCH(IF('Map 2 Do Touch'!Q17&gt;4,"Water","Land"),'Map 3'!$AK$3:$AL$3,0))))</f>
        <v>Valley</v>
      </c>
      <c r="R22" s="3" t="str">
        <f ca="1">IF('Map 2 Do Touch'!Q17&lt;&gt;'Map 2 Do Touch'!Q18,IF('Map 2 Do Touch'!R18&gt;4,INDEX($AG$4:$AH$6,MATCH(INDEX($I$3:$L$6,MATCH(MOD('Map 2 Do Touch'!Q18,4),$H$3:$H$6,0),MATCH(MOD('Map 2 Do Touch'!R18,4),$I$2:$L$2,0)),$AF$4:$AF$6,0),MATCH(IF('Map 2 Do Touch'!Q18&gt;4,"Water","Land"),'Map 3'!$AG$3:$AH$3,0)),INDEX($AK$4:$AL$6,MATCH(INDEX($I$3:$L$6,MATCH(MOD('Map 2 Do Touch'!Q18,4),$H$3:$H$6,0),MATCH(MOD('Map 2 Do Touch'!R18,4),$I$2:$L$2,0)),'Map 3'!$AJ$4:$AJ$6,0),MATCH(IF('Map 2 Do Touch'!Q18&gt;4,"Water","Land"),'Map 3'!$AK$3:$AL$3,0))),IF('Map 2 Do Touch'!R18&gt;4,INDEX($AG$4:$AH$6,MATCH(INDEX($P$3:$S$6,MATCH(MOD('Map 2 Do Touch'!R17,4),$O$3:$O$6,0),MATCH(MOD('Map 2 Do Touch'!R18,4),$P$2:$S$2,0)),$AF$4:$AF$6,0),MATCH(IF('Map 2 Do Touch'!R17&gt;4,"Water","Land"),'Map 3'!$AG$3:$AH$3,0)),INDEX($AK$4:$AL$6,MATCH(INDEX($P$3:$S$6,MATCH(MOD('Map 2 Do Touch'!R17,4),$O$3:$O$6,0),MATCH(MOD('Map 2 Do Touch'!R18,4),$P$2:$S$2,0)),'Map 3'!$AJ$4:$AJ$6,0),MATCH(IF('Map 2 Do Touch'!R17&gt;4,"Water","Land"),'Map 3'!$AK$3:$AL$3,0))))</f>
        <v>Coast</v>
      </c>
      <c r="S22" s="3" t="str">
        <f ca="1">IF('Map 2 Do Touch'!R17&lt;&gt;'Map 2 Do Touch'!R18,IF('Map 2 Do Touch'!S18&gt;4,INDEX($AG$4:$AH$6,MATCH(INDEX($I$3:$L$6,MATCH(MOD('Map 2 Do Touch'!R18,4),$H$3:$H$6,0),MATCH(MOD('Map 2 Do Touch'!S18,4),$I$2:$L$2,0)),$AF$4:$AF$6,0),MATCH(IF('Map 2 Do Touch'!R18&gt;4,"Water","Land"),'Map 3'!$AG$3:$AH$3,0)),INDEX($AK$4:$AL$6,MATCH(INDEX($I$3:$L$6,MATCH(MOD('Map 2 Do Touch'!R18,4),$H$3:$H$6,0),MATCH(MOD('Map 2 Do Touch'!S18,4),$I$2:$L$2,0)),'Map 3'!$AJ$4:$AJ$6,0),MATCH(IF('Map 2 Do Touch'!R18&gt;4,"Water","Land"),'Map 3'!$AK$3:$AL$3,0))),IF('Map 2 Do Touch'!S18&gt;4,INDEX($AG$4:$AH$6,MATCH(INDEX($P$3:$S$6,MATCH(MOD('Map 2 Do Touch'!S17,4),$O$3:$O$6,0),MATCH(MOD('Map 2 Do Touch'!S18,4),$P$2:$S$2,0)),$AF$4:$AF$6,0),MATCH(IF('Map 2 Do Touch'!S17&gt;4,"Water","Land"),'Map 3'!$AG$3:$AH$3,0)),INDEX($AK$4:$AL$6,MATCH(INDEX($P$3:$S$6,MATCH(MOD('Map 2 Do Touch'!S17,4),$O$3:$O$6,0),MATCH(MOD('Map 2 Do Touch'!S18,4),$P$2:$S$2,0)),'Map 3'!$AJ$4:$AJ$6,0),MATCH(IF('Map 2 Do Touch'!S17&gt;4,"Water","Land"),'Map 3'!$AK$3:$AL$3,0))))</f>
        <v>Ocean</v>
      </c>
      <c r="T22" s="3" t="str">
        <f ca="1">IF('Map 2 Do Touch'!S17&lt;&gt;'Map 2 Do Touch'!S18,IF('Map 2 Do Touch'!T18&gt;4,INDEX($AG$4:$AH$6,MATCH(INDEX($I$3:$L$6,MATCH(MOD('Map 2 Do Touch'!S18,4),$H$3:$H$6,0),MATCH(MOD('Map 2 Do Touch'!T18,4),$I$2:$L$2,0)),$AF$4:$AF$6,0),MATCH(IF('Map 2 Do Touch'!S18&gt;4,"Water","Land"),'Map 3'!$AG$3:$AH$3,0)),INDEX($AK$4:$AL$6,MATCH(INDEX($I$3:$L$6,MATCH(MOD('Map 2 Do Touch'!S18,4),$H$3:$H$6,0),MATCH(MOD('Map 2 Do Touch'!T18,4),$I$2:$L$2,0)),'Map 3'!$AJ$4:$AJ$6,0),MATCH(IF('Map 2 Do Touch'!S18&gt;4,"Water","Land"),'Map 3'!$AK$3:$AL$3,0))),IF('Map 2 Do Touch'!T18&gt;4,INDEX($AG$4:$AH$6,MATCH(INDEX($P$3:$S$6,MATCH(MOD('Map 2 Do Touch'!T17,4),$O$3:$O$6,0),MATCH(MOD('Map 2 Do Touch'!T18,4),$P$2:$S$2,0)),$AF$4:$AF$6,0),MATCH(IF('Map 2 Do Touch'!T17&gt;4,"Water","Land"),'Map 3'!$AG$3:$AH$3,0)),INDEX($AK$4:$AL$6,MATCH(INDEX($P$3:$S$6,MATCH(MOD('Map 2 Do Touch'!T17,4),$O$3:$O$6,0),MATCH(MOD('Map 2 Do Touch'!T18,4),$P$2:$S$2,0)),'Map 3'!$AJ$4:$AJ$6,0),MATCH(IF('Map 2 Do Touch'!T17&gt;4,"Water","Land"),'Map 3'!$AK$3:$AL$3,0))))</f>
        <v>Ocean</v>
      </c>
      <c r="U22" s="3" t="str">
        <f ca="1">IF('Map 2 Do Touch'!T17&lt;&gt;'Map 2 Do Touch'!T18,IF('Map 2 Do Touch'!U18&gt;4,INDEX($AG$4:$AH$6,MATCH(INDEX($I$3:$L$6,MATCH(MOD('Map 2 Do Touch'!T18,4),$H$3:$H$6,0),MATCH(MOD('Map 2 Do Touch'!U18,4),$I$2:$L$2,0)),$AF$4:$AF$6,0),MATCH(IF('Map 2 Do Touch'!T18&gt;4,"Water","Land"),'Map 3'!$AG$3:$AH$3,0)),INDEX($AK$4:$AL$6,MATCH(INDEX($I$3:$L$6,MATCH(MOD('Map 2 Do Touch'!T18,4),$H$3:$H$6,0),MATCH(MOD('Map 2 Do Touch'!U18,4),$I$2:$L$2,0)),'Map 3'!$AJ$4:$AJ$6,0),MATCH(IF('Map 2 Do Touch'!T18&gt;4,"Water","Land"),'Map 3'!$AK$3:$AL$3,0))),IF('Map 2 Do Touch'!U18&gt;4,INDEX($AG$4:$AH$6,MATCH(INDEX($P$3:$S$6,MATCH(MOD('Map 2 Do Touch'!U17,4),$O$3:$O$6,0),MATCH(MOD('Map 2 Do Touch'!U18,4),$P$2:$S$2,0)),$AF$4:$AF$6,0),MATCH(IF('Map 2 Do Touch'!U17&gt;4,"Water","Land"),'Map 3'!$AG$3:$AH$3,0)),INDEX($AK$4:$AL$6,MATCH(INDEX($P$3:$S$6,MATCH(MOD('Map 2 Do Touch'!U17,4),$O$3:$O$6,0),MATCH(MOD('Map 2 Do Touch'!U18,4),$P$2:$S$2,0)),'Map 3'!$AJ$4:$AJ$6,0),MATCH(IF('Map 2 Do Touch'!U17&gt;4,"Water","Land"),'Map 3'!$AK$3:$AL$3,0))))</f>
        <v>Ocean</v>
      </c>
      <c r="V22" s="3" t="str">
        <f ca="1">IF('Map 2 Do Touch'!U17&lt;&gt;'Map 2 Do Touch'!U18,IF('Map 2 Do Touch'!V18&gt;4,INDEX($AG$4:$AH$6,MATCH(INDEX($I$3:$L$6,MATCH(MOD('Map 2 Do Touch'!U18,4),$H$3:$H$6,0),MATCH(MOD('Map 2 Do Touch'!V18,4),$I$2:$L$2,0)),$AF$4:$AF$6,0),MATCH(IF('Map 2 Do Touch'!U18&gt;4,"Water","Land"),'Map 3'!$AG$3:$AH$3,0)),INDEX($AK$4:$AL$6,MATCH(INDEX($I$3:$L$6,MATCH(MOD('Map 2 Do Touch'!U18,4),$H$3:$H$6,0),MATCH(MOD('Map 2 Do Touch'!V18,4),$I$2:$L$2,0)),'Map 3'!$AJ$4:$AJ$6,0),MATCH(IF('Map 2 Do Touch'!U18&gt;4,"Water","Land"),'Map 3'!$AK$3:$AL$3,0))),IF('Map 2 Do Touch'!V18&gt;4,INDEX($AG$4:$AH$6,MATCH(INDEX($P$3:$S$6,MATCH(MOD('Map 2 Do Touch'!V17,4),$O$3:$O$6,0),MATCH(MOD('Map 2 Do Touch'!V18,4),$P$2:$S$2,0)),$AF$4:$AF$6,0),MATCH(IF('Map 2 Do Touch'!V17&gt;4,"Water","Land"),'Map 3'!$AG$3:$AH$3,0)),INDEX($AK$4:$AL$6,MATCH(INDEX($P$3:$S$6,MATCH(MOD('Map 2 Do Touch'!V17,4),$O$3:$O$6,0),MATCH(MOD('Map 2 Do Touch'!V18,4),$P$2:$S$2,0)),'Map 3'!$AJ$4:$AJ$6,0),MATCH(IF('Map 2 Do Touch'!V17&gt;4,"Water","Land"),'Map 3'!$AK$3:$AL$3,0))))</f>
        <v>Ocean</v>
      </c>
      <c r="W22" s="3" t="str">
        <f ca="1">IF('Map 2 Do Touch'!V17&lt;&gt;'Map 2 Do Touch'!V18,IF('Map 2 Do Touch'!W18&gt;4,INDEX($AG$4:$AH$6,MATCH(INDEX($I$3:$L$6,MATCH(MOD('Map 2 Do Touch'!V18,4),$H$3:$H$6,0),MATCH(MOD('Map 2 Do Touch'!W18,4),$I$2:$L$2,0)),$AF$4:$AF$6,0),MATCH(IF('Map 2 Do Touch'!V18&gt;4,"Water","Land"),'Map 3'!$AG$3:$AH$3,0)),INDEX($AK$4:$AL$6,MATCH(INDEX($I$3:$L$6,MATCH(MOD('Map 2 Do Touch'!V18,4),$H$3:$H$6,0),MATCH(MOD('Map 2 Do Touch'!W18,4),$I$2:$L$2,0)),'Map 3'!$AJ$4:$AJ$6,0),MATCH(IF('Map 2 Do Touch'!V18&gt;4,"Water","Land"),'Map 3'!$AK$3:$AL$3,0))),IF('Map 2 Do Touch'!W18&gt;4,INDEX($AG$4:$AH$6,MATCH(INDEX($P$3:$S$6,MATCH(MOD('Map 2 Do Touch'!W17,4),$O$3:$O$6,0),MATCH(MOD('Map 2 Do Touch'!W18,4),$P$2:$S$2,0)),$AF$4:$AF$6,0),MATCH(IF('Map 2 Do Touch'!W17&gt;4,"Water","Land"),'Map 3'!$AG$3:$AH$3,0)),INDEX($AK$4:$AL$6,MATCH(INDEX($P$3:$S$6,MATCH(MOD('Map 2 Do Touch'!W17,4),$O$3:$O$6,0),MATCH(MOD('Map 2 Do Touch'!W18,4),$P$2:$S$2,0)),'Map 3'!$AJ$4:$AJ$6,0),MATCH(IF('Map 2 Do Touch'!W17&gt;4,"Water","Land"),'Map 3'!$AK$3:$AL$3,0))))</f>
        <v>Ocean</v>
      </c>
      <c r="X22" s="3" t="str">
        <f ca="1">IF('Map 2 Do Touch'!W17&lt;&gt;'Map 2 Do Touch'!W18,IF('Map 2 Do Touch'!X18&gt;4,INDEX($AG$4:$AH$6,MATCH(INDEX($I$3:$L$6,MATCH(MOD('Map 2 Do Touch'!W18,4),$H$3:$H$6,0),MATCH(MOD('Map 2 Do Touch'!X18,4),$I$2:$L$2,0)),$AF$4:$AF$6,0),MATCH(IF('Map 2 Do Touch'!W18&gt;4,"Water","Land"),'Map 3'!$AG$3:$AH$3,0)),INDEX($AK$4:$AL$6,MATCH(INDEX($I$3:$L$6,MATCH(MOD('Map 2 Do Touch'!W18,4),$H$3:$H$6,0),MATCH(MOD('Map 2 Do Touch'!X18,4),$I$2:$L$2,0)),'Map 3'!$AJ$4:$AJ$6,0),MATCH(IF('Map 2 Do Touch'!W18&gt;4,"Water","Land"),'Map 3'!$AK$3:$AL$3,0))),IF('Map 2 Do Touch'!X18&gt;4,INDEX($AG$4:$AH$6,MATCH(INDEX($P$3:$S$6,MATCH(MOD('Map 2 Do Touch'!X17,4),$O$3:$O$6,0),MATCH(MOD('Map 2 Do Touch'!X18,4),$P$2:$S$2,0)),$AF$4:$AF$6,0),MATCH(IF('Map 2 Do Touch'!X17&gt;4,"Water","Land"),'Map 3'!$AG$3:$AH$3,0)),INDEX($AK$4:$AL$6,MATCH(INDEX($P$3:$S$6,MATCH(MOD('Map 2 Do Touch'!X17,4),$O$3:$O$6,0),MATCH(MOD('Map 2 Do Touch'!X18,4),$P$2:$S$2,0)),'Map 3'!$AJ$4:$AJ$6,0),MATCH(IF('Map 2 Do Touch'!X17&gt;4,"Water","Land"),'Map 3'!$AK$3:$AL$3,0))))</f>
        <v>Ocean</v>
      </c>
      <c r="Y22" s="3" t="str">
        <f ca="1">IF('Map 2 Do Touch'!X17&lt;&gt;'Map 2 Do Touch'!X18,IF('Map 2 Do Touch'!Y18&gt;4,INDEX($AG$4:$AH$6,MATCH(INDEX($I$3:$L$6,MATCH(MOD('Map 2 Do Touch'!X18,4),$H$3:$H$6,0),MATCH(MOD('Map 2 Do Touch'!Y18,4),$I$2:$L$2,0)),$AF$4:$AF$6,0),MATCH(IF('Map 2 Do Touch'!X18&gt;4,"Water","Land"),'Map 3'!$AG$3:$AH$3,0)),INDEX($AK$4:$AL$6,MATCH(INDEX($I$3:$L$6,MATCH(MOD('Map 2 Do Touch'!X18,4),$H$3:$H$6,0),MATCH(MOD('Map 2 Do Touch'!Y18,4),$I$2:$L$2,0)),'Map 3'!$AJ$4:$AJ$6,0),MATCH(IF('Map 2 Do Touch'!X18&gt;4,"Water","Land"),'Map 3'!$AK$3:$AL$3,0))),IF('Map 2 Do Touch'!Y18&gt;4,INDEX($AG$4:$AH$6,MATCH(INDEX($P$3:$S$6,MATCH(MOD('Map 2 Do Touch'!Y17,4),$O$3:$O$6,0),MATCH(MOD('Map 2 Do Touch'!Y18,4),$P$2:$S$2,0)),$AF$4:$AF$6,0),MATCH(IF('Map 2 Do Touch'!Y17&gt;4,"Water","Land"),'Map 3'!$AG$3:$AH$3,0)),INDEX($AK$4:$AL$6,MATCH(INDEX($P$3:$S$6,MATCH(MOD('Map 2 Do Touch'!Y17,4),$O$3:$O$6,0),MATCH(MOD('Map 2 Do Touch'!Y18,4),$P$2:$S$2,0)),'Map 3'!$AJ$4:$AJ$6,0),MATCH(IF('Map 2 Do Touch'!Y17&gt;4,"Water","Land"),'Map 3'!$AK$3:$AL$3,0))))</f>
        <v>Drop Off</v>
      </c>
      <c r="Z22" s="3" t="str">
        <f ca="1">IF('Map 2 Do Touch'!Y17&lt;&gt;'Map 2 Do Touch'!Y18,IF('Map 2 Do Touch'!Z18&gt;4,INDEX($AG$4:$AH$6,MATCH(INDEX($I$3:$L$6,MATCH(MOD('Map 2 Do Touch'!Y18,4),$H$3:$H$6,0),MATCH(MOD('Map 2 Do Touch'!Z18,4),$I$2:$L$2,0)),$AF$4:$AF$6,0),MATCH(IF('Map 2 Do Touch'!Y18&gt;4,"Water","Land"),'Map 3'!$AG$3:$AH$3,0)),INDEX($AK$4:$AL$6,MATCH(INDEX($I$3:$L$6,MATCH(MOD('Map 2 Do Touch'!Y18,4),$H$3:$H$6,0),MATCH(MOD('Map 2 Do Touch'!Z18,4),$I$2:$L$2,0)),'Map 3'!$AJ$4:$AJ$6,0),MATCH(IF('Map 2 Do Touch'!Y18&gt;4,"Water","Land"),'Map 3'!$AK$3:$AL$3,0))),IF('Map 2 Do Touch'!Z18&gt;4,INDEX($AG$4:$AH$6,MATCH(INDEX($P$3:$S$6,MATCH(MOD('Map 2 Do Touch'!Z17,4),$O$3:$O$6,0),MATCH(MOD('Map 2 Do Touch'!Z18,4),$P$2:$S$2,0)),$AF$4:$AF$6,0),MATCH(IF('Map 2 Do Touch'!Z17&gt;4,"Water","Land"),'Map 3'!$AG$3:$AH$3,0)),INDEX($AK$4:$AL$6,MATCH(INDEX($P$3:$S$6,MATCH(MOD('Map 2 Do Touch'!Z17,4),$O$3:$O$6,0),MATCH(MOD('Map 2 Do Touch'!Z18,4),$P$2:$S$2,0)),'Map 3'!$AJ$4:$AJ$6,0),MATCH(IF('Map 2 Do Touch'!Z17&gt;4,"Water","Land"),'Map 3'!$AK$3:$AL$3,0))))</f>
        <v>Flatland</v>
      </c>
      <c r="AA22" s="3" t="str">
        <f ca="1">IF('Map 2 Do Touch'!Z17&lt;&gt;'Map 2 Do Touch'!Z18,IF('Map 2 Do Touch'!AA18&gt;4,INDEX($AG$4:$AH$6,MATCH(INDEX($I$3:$L$6,MATCH(MOD('Map 2 Do Touch'!Z18,4),$H$3:$H$6,0),MATCH(MOD('Map 2 Do Touch'!AA18,4),$I$2:$L$2,0)),$AF$4:$AF$6,0),MATCH(IF('Map 2 Do Touch'!Z18&gt;4,"Water","Land"),'Map 3'!$AG$3:$AH$3,0)),INDEX($AK$4:$AL$6,MATCH(INDEX($I$3:$L$6,MATCH(MOD('Map 2 Do Touch'!Z18,4),$H$3:$H$6,0),MATCH(MOD('Map 2 Do Touch'!AA18,4),$I$2:$L$2,0)),'Map 3'!$AJ$4:$AJ$6,0),MATCH(IF('Map 2 Do Touch'!Z18&gt;4,"Water","Land"),'Map 3'!$AK$3:$AL$3,0))),IF('Map 2 Do Touch'!AA18&gt;4,INDEX($AG$4:$AH$6,MATCH(INDEX($P$3:$S$6,MATCH(MOD('Map 2 Do Touch'!AA17,4),$O$3:$O$6,0),MATCH(MOD('Map 2 Do Touch'!AA18,4),$P$2:$S$2,0)),$AF$4:$AF$6,0),MATCH(IF('Map 2 Do Touch'!AA17&gt;4,"Water","Land"),'Map 3'!$AG$3:$AH$3,0)),INDEX($AK$4:$AL$6,MATCH(INDEX($P$3:$S$6,MATCH(MOD('Map 2 Do Touch'!AA17,4),$O$3:$O$6,0),MATCH(MOD('Map 2 Do Touch'!AA18,4),$P$2:$S$2,0)),'Map 3'!$AJ$4:$AJ$6,0),MATCH(IF('Map 2 Do Touch'!AA17&gt;4,"Water","Land"),'Map 3'!$AK$3:$AL$3,0))))</f>
        <v>Valley</v>
      </c>
      <c r="AB22" s="3" t="str">
        <f ca="1">IF('Map 2 Do Touch'!AA17&lt;&gt;'Map 2 Do Touch'!AA18,IF('Map 2 Do Touch'!AB18&gt;4,INDEX($AG$4:$AH$6,MATCH(INDEX($I$3:$L$6,MATCH(MOD('Map 2 Do Touch'!AA18,4),$H$3:$H$6,0),MATCH(MOD('Map 2 Do Touch'!AB18,4),$I$2:$L$2,0)),$AF$4:$AF$6,0),MATCH(IF('Map 2 Do Touch'!AA18&gt;4,"Water","Land"),'Map 3'!$AG$3:$AH$3,0)),INDEX($AK$4:$AL$6,MATCH(INDEX($I$3:$L$6,MATCH(MOD('Map 2 Do Touch'!AA18,4),$H$3:$H$6,0),MATCH(MOD('Map 2 Do Touch'!AB18,4),$I$2:$L$2,0)),'Map 3'!$AJ$4:$AJ$6,0),MATCH(IF('Map 2 Do Touch'!AA18&gt;4,"Water","Land"),'Map 3'!$AK$3:$AL$3,0))),IF('Map 2 Do Touch'!AB18&gt;4,INDEX($AG$4:$AH$6,MATCH(INDEX($P$3:$S$6,MATCH(MOD('Map 2 Do Touch'!AB17,4),$O$3:$O$6,0),MATCH(MOD('Map 2 Do Touch'!AB18,4),$P$2:$S$2,0)),$AF$4:$AF$6,0),MATCH(IF('Map 2 Do Touch'!AB17&gt;4,"Water","Land"),'Map 3'!$AG$3:$AH$3,0)),INDEX($AK$4:$AL$6,MATCH(INDEX($P$3:$S$6,MATCH(MOD('Map 2 Do Touch'!AB17,4),$O$3:$O$6,0),MATCH(MOD('Map 2 Do Touch'!AB18,4),$P$2:$S$2,0)),'Map 3'!$AJ$4:$AJ$6,0),MATCH(IF('Map 2 Do Touch'!AB17&gt;4,"Water","Land"),'Map 3'!$AK$3:$AL$3,0))))</f>
        <v>Valley</v>
      </c>
      <c r="AC22" s="3" t="str">
        <f ca="1">IF('Map 2 Do Touch'!AB17&lt;&gt;'Map 2 Do Touch'!AB18,IF('Map 2 Do Touch'!AC18&gt;4,INDEX($AG$4:$AH$6,MATCH(INDEX($I$3:$L$6,MATCH(MOD('Map 2 Do Touch'!AB18,4),$H$3:$H$6,0),MATCH(MOD('Map 2 Do Touch'!AC18,4),$I$2:$L$2,0)),$AF$4:$AF$6,0),MATCH(IF('Map 2 Do Touch'!AB18&gt;4,"Water","Land"),'Map 3'!$AG$3:$AH$3,0)),INDEX($AK$4:$AL$6,MATCH(INDEX($I$3:$L$6,MATCH(MOD('Map 2 Do Touch'!AB18,4),$H$3:$H$6,0),MATCH(MOD('Map 2 Do Touch'!AC18,4),$I$2:$L$2,0)),'Map 3'!$AJ$4:$AJ$6,0),MATCH(IF('Map 2 Do Touch'!AB18&gt;4,"Water","Land"),'Map 3'!$AK$3:$AL$3,0))),IF('Map 2 Do Touch'!AC18&gt;4,INDEX($AG$4:$AH$6,MATCH(INDEX($P$3:$S$6,MATCH(MOD('Map 2 Do Touch'!AC17,4),$O$3:$O$6,0),MATCH(MOD('Map 2 Do Touch'!AC18,4),$P$2:$S$2,0)),$AF$4:$AF$6,0),MATCH(IF('Map 2 Do Touch'!AC17&gt;4,"Water","Land"),'Map 3'!$AG$3:$AH$3,0)),INDEX($AK$4:$AL$6,MATCH(INDEX($P$3:$S$6,MATCH(MOD('Map 2 Do Touch'!AC17,4),$O$3:$O$6,0),MATCH(MOD('Map 2 Do Touch'!AC18,4),$P$2:$S$2,0)),'Map 3'!$AJ$4:$AJ$6,0),MATCH(IF('Map 2 Do Touch'!AC17&gt;4,"Water","Land"),'Map 3'!$AK$3:$AL$3,0))))</f>
        <v>Mountain</v>
      </c>
      <c r="AD22" s="3" t="str">
        <f ca="1">IF('Map 2 Do Touch'!AC17&lt;&gt;'Map 2 Do Touch'!AC18,IF('Map 2 Do Touch'!AD18&gt;4,INDEX($AG$4:$AH$6,MATCH(INDEX($I$3:$L$6,MATCH(MOD('Map 2 Do Touch'!AC18,4),$H$3:$H$6,0),MATCH(MOD('Map 2 Do Touch'!AD18,4),$I$2:$L$2,0)),$AF$4:$AF$6,0),MATCH(IF('Map 2 Do Touch'!AC18&gt;4,"Water","Land"),'Map 3'!$AG$3:$AH$3,0)),INDEX($AK$4:$AL$6,MATCH(INDEX($I$3:$L$6,MATCH(MOD('Map 2 Do Touch'!AC18,4),$H$3:$H$6,0),MATCH(MOD('Map 2 Do Touch'!AD18,4),$I$2:$L$2,0)),'Map 3'!$AJ$4:$AJ$6,0),MATCH(IF('Map 2 Do Touch'!AC18&gt;4,"Water","Land"),'Map 3'!$AK$3:$AL$3,0))),IF('Map 2 Do Touch'!AD18&gt;4,INDEX($AG$4:$AH$6,MATCH(INDEX($P$3:$S$6,MATCH(MOD('Map 2 Do Touch'!AD17,4),$O$3:$O$6,0),MATCH(MOD('Map 2 Do Touch'!AD18,4),$P$2:$S$2,0)),$AF$4:$AF$6,0),MATCH(IF('Map 2 Do Touch'!AD17&gt;4,"Water","Land"),'Map 3'!$AG$3:$AH$3,0)),INDEX($AK$4:$AL$6,MATCH(INDEX($P$3:$S$6,MATCH(MOD('Map 2 Do Touch'!AD17,4),$O$3:$O$6,0),MATCH(MOD('Map 2 Do Touch'!AD18,4),$P$2:$S$2,0)),'Map 3'!$AJ$4:$AJ$6,0),MATCH(IF('Map 2 Do Touch'!AD17&gt;4,"Water","Land"),'Map 3'!$AK$3:$AL$3,0))))</f>
        <v>Valley</v>
      </c>
      <c r="AE22" s="3" t="str">
        <f ca="1">IF('Map 2 Do Touch'!AD17&lt;&gt;'Map 2 Do Touch'!AD18,IF('Map 2 Do Touch'!AE18&gt;4,INDEX($AG$4:$AH$6,MATCH(INDEX($I$3:$L$6,MATCH(MOD('Map 2 Do Touch'!AD18,4),$H$3:$H$6,0),MATCH(MOD('Map 2 Do Touch'!AE18,4),$I$2:$L$2,0)),$AF$4:$AF$6,0),MATCH(IF('Map 2 Do Touch'!AD18&gt;4,"Water","Land"),'Map 3'!$AG$3:$AH$3,0)),INDEX($AK$4:$AL$6,MATCH(INDEX($I$3:$L$6,MATCH(MOD('Map 2 Do Touch'!AD18,4),$H$3:$H$6,0),MATCH(MOD('Map 2 Do Touch'!AE18,4),$I$2:$L$2,0)),'Map 3'!$AJ$4:$AJ$6,0),MATCH(IF('Map 2 Do Touch'!AD18&gt;4,"Water","Land"),'Map 3'!$AK$3:$AL$3,0))),IF('Map 2 Do Touch'!AE18&gt;4,INDEX($AG$4:$AH$6,MATCH(INDEX($P$3:$S$6,MATCH(MOD('Map 2 Do Touch'!AE17,4),$O$3:$O$6,0),MATCH(MOD('Map 2 Do Touch'!AE18,4),$P$2:$S$2,0)),$AF$4:$AF$6,0),MATCH(IF('Map 2 Do Touch'!AE17&gt;4,"Water","Land"),'Map 3'!$AG$3:$AH$3,0)),INDEX($AK$4:$AL$6,MATCH(INDEX($P$3:$S$6,MATCH(MOD('Map 2 Do Touch'!AE17,4),$O$3:$O$6,0),MATCH(MOD('Map 2 Do Touch'!AE18,4),$P$2:$S$2,0)),'Map 3'!$AJ$4:$AJ$6,0),MATCH(IF('Map 2 Do Touch'!AE17&gt;4,"Water","Land"),'Map 3'!$AK$3:$AL$3,0))))</f>
        <v>Cliff</v>
      </c>
      <c r="AF22" s="3" t="str">
        <f ca="1">IF('Map 2 Do Touch'!AE17&lt;&gt;'Map 2 Do Touch'!AE18,IF('Map 2 Do Touch'!AF18&gt;4,INDEX($AG$4:$AH$6,MATCH(INDEX($I$3:$L$6,MATCH(MOD('Map 2 Do Touch'!AE18,4),$H$3:$H$6,0),MATCH(MOD('Map 2 Do Touch'!AF18,4),$I$2:$L$2,0)),$AF$4:$AF$6,0),MATCH(IF('Map 2 Do Touch'!AE18&gt;4,"Water","Land"),'Map 3'!$AG$3:$AH$3,0)),INDEX($AK$4:$AL$6,MATCH(INDEX($I$3:$L$6,MATCH(MOD('Map 2 Do Touch'!AE18,4),$H$3:$H$6,0),MATCH(MOD('Map 2 Do Touch'!AF18,4),$I$2:$L$2,0)),'Map 3'!$AJ$4:$AJ$6,0),MATCH(IF('Map 2 Do Touch'!AE18&gt;4,"Water","Land"),'Map 3'!$AK$3:$AL$3,0))),IF('Map 2 Do Touch'!AF18&gt;4,INDEX($AG$4:$AH$6,MATCH(INDEX($P$3:$S$6,MATCH(MOD('Map 2 Do Touch'!AF17,4),$O$3:$O$6,0),MATCH(MOD('Map 2 Do Touch'!AF18,4),$P$2:$S$2,0)),$AF$4:$AF$6,0),MATCH(IF('Map 2 Do Touch'!AF17&gt;4,"Water","Land"),'Map 3'!$AG$3:$AH$3,0)),INDEX($AK$4:$AL$6,MATCH(INDEX($P$3:$S$6,MATCH(MOD('Map 2 Do Touch'!AF17,4),$O$3:$O$6,0),MATCH(MOD('Map 2 Do Touch'!AF18,4),$P$2:$S$2,0)),'Map 3'!$AJ$4:$AJ$6,0),MATCH(IF('Map 2 Do Touch'!AF17&gt;4,"Water","Land"),'Map 3'!$AK$3:$AL$3,0))))</f>
        <v>Trench</v>
      </c>
      <c r="AG22" s="3" t="str">
        <f ca="1">IF('Map 2 Do Touch'!AF17&lt;&gt;'Map 2 Do Touch'!AF18,IF('Map 2 Do Touch'!AG18&gt;4,INDEX($AG$4:$AH$6,MATCH(INDEX($I$3:$L$6,MATCH(MOD('Map 2 Do Touch'!AF18,4),$H$3:$H$6,0),MATCH(MOD('Map 2 Do Touch'!AG18,4),$I$2:$L$2,0)),$AF$4:$AF$6,0),MATCH(IF('Map 2 Do Touch'!AF18&gt;4,"Water","Land"),'Map 3'!$AG$3:$AH$3,0)),INDEX($AK$4:$AL$6,MATCH(INDEX($I$3:$L$6,MATCH(MOD('Map 2 Do Touch'!AF18,4),$H$3:$H$6,0),MATCH(MOD('Map 2 Do Touch'!AG18,4),$I$2:$L$2,0)),'Map 3'!$AJ$4:$AJ$6,0),MATCH(IF('Map 2 Do Touch'!AF18&gt;4,"Water","Land"),'Map 3'!$AK$3:$AL$3,0))),IF('Map 2 Do Touch'!AG18&gt;4,INDEX($AG$4:$AH$6,MATCH(INDEX($P$3:$S$6,MATCH(MOD('Map 2 Do Touch'!AG17,4),$O$3:$O$6,0),MATCH(MOD('Map 2 Do Touch'!AG18,4),$P$2:$S$2,0)),$AF$4:$AF$6,0),MATCH(IF('Map 2 Do Touch'!AG17&gt;4,"Water","Land"),'Map 3'!$AG$3:$AH$3,0)),INDEX($AK$4:$AL$6,MATCH(INDEX($P$3:$S$6,MATCH(MOD('Map 2 Do Touch'!AG17,4),$O$3:$O$6,0),MATCH(MOD('Map 2 Do Touch'!AG18,4),$P$2:$S$2,0)),'Map 3'!$AJ$4:$AJ$6,0),MATCH(IF('Map 2 Do Touch'!AG17&gt;4,"Water","Land"),'Map 3'!$AK$3:$AL$3,0))))</f>
        <v>Ocean</v>
      </c>
      <c r="AH22" s="3" t="str">
        <f ca="1">IF('Map 2 Do Touch'!AG17&lt;&gt;'Map 2 Do Touch'!AG18,IF('Map 2 Do Touch'!AH18&gt;4,INDEX($AG$4:$AH$6,MATCH(INDEX($I$3:$L$6,MATCH(MOD('Map 2 Do Touch'!AG18,4),$H$3:$H$6,0),MATCH(MOD('Map 2 Do Touch'!AH18,4),$I$2:$L$2,0)),$AF$4:$AF$6,0),MATCH(IF('Map 2 Do Touch'!AG18&gt;4,"Water","Land"),'Map 3'!$AG$3:$AH$3,0)),INDEX($AK$4:$AL$6,MATCH(INDEX($I$3:$L$6,MATCH(MOD('Map 2 Do Touch'!AG18,4),$H$3:$H$6,0),MATCH(MOD('Map 2 Do Touch'!AH18,4),$I$2:$L$2,0)),'Map 3'!$AJ$4:$AJ$6,0),MATCH(IF('Map 2 Do Touch'!AG18&gt;4,"Water","Land"),'Map 3'!$AK$3:$AL$3,0))),IF('Map 2 Do Touch'!AH18&gt;4,INDEX($AG$4:$AH$6,MATCH(INDEX($P$3:$S$6,MATCH(MOD('Map 2 Do Touch'!AH17,4),$O$3:$O$6,0),MATCH(MOD('Map 2 Do Touch'!AH18,4),$P$2:$S$2,0)),$AF$4:$AF$6,0),MATCH(IF('Map 2 Do Touch'!AH17&gt;4,"Water","Land"),'Map 3'!$AG$3:$AH$3,0)),INDEX($AK$4:$AL$6,MATCH(INDEX($P$3:$S$6,MATCH(MOD('Map 2 Do Touch'!AH17,4),$O$3:$O$6,0),MATCH(MOD('Map 2 Do Touch'!AH18,4),$P$2:$S$2,0)),'Map 3'!$AJ$4:$AJ$6,0),MATCH(IF('Map 2 Do Touch'!AH17&gt;4,"Water","Land"),'Map 3'!$AK$3:$AL$3,0))))</f>
        <v>Ocean</v>
      </c>
      <c r="AI22" s="3" t="str">
        <f ca="1">IF('Map 2 Do Touch'!AH17&lt;&gt;'Map 2 Do Touch'!AH18,IF('Map 2 Do Touch'!AI18&gt;4,INDEX($AG$4:$AH$6,MATCH(INDEX($I$3:$L$6,MATCH(MOD('Map 2 Do Touch'!AH18,4),$H$3:$H$6,0),MATCH(MOD('Map 2 Do Touch'!AI18,4),$I$2:$L$2,0)),$AF$4:$AF$6,0),MATCH(IF('Map 2 Do Touch'!AH18&gt;4,"Water","Land"),'Map 3'!$AG$3:$AH$3,0)),INDEX($AK$4:$AL$6,MATCH(INDEX($I$3:$L$6,MATCH(MOD('Map 2 Do Touch'!AH18,4),$H$3:$H$6,0),MATCH(MOD('Map 2 Do Touch'!AI18,4),$I$2:$L$2,0)),'Map 3'!$AJ$4:$AJ$6,0),MATCH(IF('Map 2 Do Touch'!AH18&gt;4,"Water","Land"),'Map 3'!$AK$3:$AL$3,0))),IF('Map 2 Do Touch'!AI18&gt;4,INDEX($AG$4:$AH$6,MATCH(INDEX($P$3:$S$6,MATCH(MOD('Map 2 Do Touch'!AI17,4),$O$3:$O$6,0),MATCH(MOD('Map 2 Do Touch'!AI18,4),$P$2:$S$2,0)),$AF$4:$AF$6,0),MATCH(IF('Map 2 Do Touch'!AI17&gt;4,"Water","Land"),'Map 3'!$AG$3:$AH$3,0)),INDEX($AK$4:$AL$6,MATCH(INDEX($P$3:$S$6,MATCH(MOD('Map 2 Do Touch'!AI17,4),$O$3:$O$6,0),MATCH(MOD('Map 2 Do Touch'!AI18,4),$P$2:$S$2,0)),'Map 3'!$AJ$4:$AJ$6,0),MATCH(IF('Map 2 Do Touch'!AI17&gt;4,"Water","Land"),'Map 3'!$AK$3:$AL$3,0))))</f>
        <v>Ocean</v>
      </c>
      <c r="AJ22" s="3" t="str">
        <f ca="1">IF('Map 2 Do Touch'!AI17&lt;&gt;'Map 2 Do Touch'!AI18,IF('Map 2 Do Touch'!AJ18&gt;4,INDEX($AG$4:$AH$6,MATCH(INDEX($I$3:$L$6,MATCH(MOD('Map 2 Do Touch'!AI18,4),$H$3:$H$6,0),MATCH(MOD('Map 2 Do Touch'!AJ18,4),$I$2:$L$2,0)),$AF$4:$AF$6,0),MATCH(IF('Map 2 Do Touch'!AI18&gt;4,"Water","Land"),'Map 3'!$AG$3:$AH$3,0)),INDEX($AK$4:$AL$6,MATCH(INDEX($I$3:$L$6,MATCH(MOD('Map 2 Do Touch'!AI18,4),$H$3:$H$6,0),MATCH(MOD('Map 2 Do Touch'!AJ18,4),$I$2:$L$2,0)),'Map 3'!$AJ$4:$AJ$6,0),MATCH(IF('Map 2 Do Touch'!AI18&gt;4,"Water","Land"),'Map 3'!$AK$3:$AL$3,0))),IF('Map 2 Do Touch'!AJ18&gt;4,INDEX($AG$4:$AH$6,MATCH(INDEX($P$3:$S$6,MATCH(MOD('Map 2 Do Touch'!AJ17,4),$O$3:$O$6,0),MATCH(MOD('Map 2 Do Touch'!AJ18,4),$P$2:$S$2,0)),$AF$4:$AF$6,0),MATCH(IF('Map 2 Do Touch'!AJ17&gt;4,"Water","Land"),'Map 3'!$AG$3:$AH$3,0)),INDEX($AK$4:$AL$6,MATCH(INDEX($P$3:$S$6,MATCH(MOD('Map 2 Do Touch'!AJ17,4),$O$3:$O$6,0),MATCH(MOD('Map 2 Do Touch'!AJ18,4),$P$2:$S$2,0)),'Map 3'!$AJ$4:$AJ$6,0),MATCH(IF('Map 2 Do Touch'!AJ17&gt;4,"Water","Land"),'Map 3'!$AK$3:$AL$3,0))))</f>
        <v>Island</v>
      </c>
      <c r="AK22" s="3" t="str">
        <f ca="1">IF('Map 2 Do Touch'!AJ17&lt;&gt;'Map 2 Do Touch'!AJ18,IF('Map 2 Do Touch'!AK18&gt;4,INDEX($AG$4:$AH$6,MATCH(INDEX($I$3:$L$6,MATCH(MOD('Map 2 Do Touch'!AJ18,4),$H$3:$H$6,0),MATCH(MOD('Map 2 Do Touch'!AK18,4),$I$2:$L$2,0)),$AF$4:$AF$6,0),MATCH(IF('Map 2 Do Touch'!AJ18&gt;4,"Water","Land"),'Map 3'!$AG$3:$AH$3,0)),INDEX($AK$4:$AL$6,MATCH(INDEX($I$3:$L$6,MATCH(MOD('Map 2 Do Touch'!AJ18,4),$H$3:$H$6,0),MATCH(MOD('Map 2 Do Touch'!AK18,4),$I$2:$L$2,0)),'Map 3'!$AJ$4:$AJ$6,0),MATCH(IF('Map 2 Do Touch'!AJ18&gt;4,"Water","Land"),'Map 3'!$AK$3:$AL$3,0))),IF('Map 2 Do Touch'!AK18&gt;4,INDEX($AG$4:$AH$6,MATCH(INDEX($P$3:$S$6,MATCH(MOD('Map 2 Do Touch'!AK17,4),$O$3:$O$6,0),MATCH(MOD('Map 2 Do Touch'!AK18,4),$P$2:$S$2,0)),$AF$4:$AF$6,0),MATCH(IF('Map 2 Do Touch'!AK17&gt;4,"Water","Land"),'Map 3'!$AG$3:$AH$3,0)),INDEX($AK$4:$AL$6,MATCH(INDEX($P$3:$S$6,MATCH(MOD('Map 2 Do Touch'!AK17,4),$O$3:$O$6,0),MATCH(MOD('Map 2 Do Touch'!AK18,4),$P$2:$S$2,0)),'Map 3'!$AJ$4:$AJ$6,0),MATCH(IF('Map 2 Do Touch'!AK17&gt;4,"Water","Land"),'Map 3'!$AK$3:$AL$3,0))))</f>
        <v>Ocean</v>
      </c>
      <c r="AL22" s="3" t="str">
        <f ca="1">IF('Map 2 Do Touch'!AK17&lt;&gt;'Map 2 Do Touch'!AK18,IF('Map 2 Do Touch'!AL18&gt;4,INDEX($AG$4:$AH$6,MATCH(INDEX($I$3:$L$6,MATCH(MOD('Map 2 Do Touch'!AK18,4),$H$3:$H$6,0),MATCH(MOD('Map 2 Do Touch'!AL18,4),$I$2:$L$2,0)),$AF$4:$AF$6,0),MATCH(IF('Map 2 Do Touch'!AK18&gt;4,"Water","Land"),'Map 3'!$AG$3:$AH$3,0)),INDEX($AK$4:$AL$6,MATCH(INDEX($I$3:$L$6,MATCH(MOD('Map 2 Do Touch'!AK18,4),$H$3:$H$6,0),MATCH(MOD('Map 2 Do Touch'!AL18,4),$I$2:$L$2,0)),'Map 3'!$AJ$4:$AJ$6,0),MATCH(IF('Map 2 Do Touch'!AK18&gt;4,"Water","Land"),'Map 3'!$AK$3:$AL$3,0))),IF('Map 2 Do Touch'!AL18&gt;4,INDEX($AG$4:$AH$6,MATCH(INDEX($P$3:$S$6,MATCH(MOD('Map 2 Do Touch'!AL17,4),$O$3:$O$6,0),MATCH(MOD('Map 2 Do Touch'!AL18,4),$P$2:$S$2,0)),$AF$4:$AF$6,0),MATCH(IF('Map 2 Do Touch'!AL17&gt;4,"Water","Land"),'Map 3'!$AG$3:$AH$3,0)),INDEX($AK$4:$AL$6,MATCH(INDEX($P$3:$S$6,MATCH(MOD('Map 2 Do Touch'!AL17,4),$O$3:$O$6,0),MATCH(MOD('Map 2 Do Touch'!AL18,4),$P$2:$S$2,0)),'Map 3'!$AJ$4:$AJ$6,0),MATCH(IF('Map 2 Do Touch'!AL17&gt;4,"Water","Land"),'Map 3'!$AK$3:$AL$3,0))))</f>
        <v>Ocean</v>
      </c>
      <c r="AM22" s="3" t="str">
        <f ca="1">IF('Map 2 Do Touch'!AL17&lt;&gt;'Map 2 Do Touch'!AL18,IF('Map 2 Do Touch'!AM18&gt;4,INDEX($AG$4:$AH$6,MATCH(INDEX($I$3:$L$6,MATCH(MOD('Map 2 Do Touch'!AL18,4),$H$3:$H$6,0),MATCH(MOD('Map 2 Do Touch'!AM18,4),$I$2:$L$2,0)),$AF$4:$AF$6,0),MATCH(IF('Map 2 Do Touch'!AL18&gt;4,"Water","Land"),'Map 3'!$AG$3:$AH$3,0)),INDEX($AK$4:$AL$6,MATCH(INDEX($I$3:$L$6,MATCH(MOD('Map 2 Do Touch'!AL18,4),$H$3:$H$6,0),MATCH(MOD('Map 2 Do Touch'!AM18,4),$I$2:$L$2,0)),'Map 3'!$AJ$4:$AJ$6,0),MATCH(IF('Map 2 Do Touch'!AL18&gt;4,"Water","Land"),'Map 3'!$AK$3:$AL$3,0))),IF('Map 2 Do Touch'!AM18&gt;4,INDEX($AG$4:$AH$6,MATCH(INDEX($P$3:$S$6,MATCH(MOD('Map 2 Do Touch'!AM17,4),$O$3:$O$6,0),MATCH(MOD('Map 2 Do Touch'!AM18,4),$P$2:$S$2,0)),$AF$4:$AF$6,0),MATCH(IF('Map 2 Do Touch'!AM17&gt;4,"Water","Land"),'Map 3'!$AG$3:$AH$3,0)),INDEX($AK$4:$AL$6,MATCH(INDEX($P$3:$S$6,MATCH(MOD('Map 2 Do Touch'!AM17,4),$O$3:$O$6,0),MATCH(MOD('Map 2 Do Touch'!AM18,4),$P$2:$S$2,0)),'Map 3'!$AJ$4:$AJ$6,0),MATCH(IF('Map 2 Do Touch'!AM17&gt;4,"Water","Land"),'Map 3'!$AK$3:$AL$3,0))))</f>
        <v>Ocean</v>
      </c>
      <c r="AN22" s="3" t="str">
        <f ca="1">IF('Map 2 Do Touch'!AM17&lt;&gt;'Map 2 Do Touch'!AM18,IF('Map 2 Do Touch'!AN18&gt;4,INDEX($AG$4:$AH$6,MATCH(INDEX($I$3:$L$6,MATCH(MOD('Map 2 Do Touch'!AM18,4),$H$3:$H$6,0),MATCH(MOD('Map 2 Do Touch'!AN18,4),$I$2:$L$2,0)),$AF$4:$AF$6,0),MATCH(IF('Map 2 Do Touch'!AM18&gt;4,"Water","Land"),'Map 3'!$AG$3:$AH$3,0)),INDEX($AK$4:$AL$6,MATCH(INDEX($I$3:$L$6,MATCH(MOD('Map 2 Do Touch'!AM18,4),$H$3:$H$6,0),MATCH(MOD('Map 2 Do Touch'!AN18,4),$I$2:$L$2,0)),'Map 3'!$AJ$4:$AJ$6,0),MATCH(IF('Map 2 Do Touch'!AM18&gt;4,"Water","Land"),'Map 3'!$AK$3:$AL$3,0))),IF('Map 2 Do Touch'!AN18&gt;4,INDEX($AG$4:$AH$6,MATCH(INDEX($P$3:$S$6,MATCH(MOD('Map 2 Do Touch'!AN17,4),$O$3:$O$6,0),MATCH(MOD('Map 2 Do Touch'!AN18,4),$P$2:$S$2,0)),$AF$4:$AF$6,0),MATCH(IF('Map 2 Do Touch'!AN17&gt;4,"Water","Land"),'Map 3'!$AG$3:$AH$3,0)),INDEX($AK$4:$AL$6,MATCH(INDEX($P$3:$S$6,MATCH(MOD('Map 2 Do Touch'!AN17,4),$O$3:$O$6,0),MATCH(MOD('Map 2 Do Touch'!AN18,4),$P$2:$S$2,0)),'Map 3'!$AJ$4:$AJ$6,0),MATCH(IF('Map 2 Do Touch'!AN17&gt;4,"Water","Land"),'Map 3'!$AK$3:$AL$3,0))))</f>
        <v>Ocean</v>
      </c>
      <c r="AO22" s="87" t="str">
        <f ca="1">IF('Map 2 Do Touch'!AN17&lt;&gt;'Map 2 Do Touch'!AN18,IF('Map 2 Do Touch'!AO18&gt;4,INDEX($AG$4:$AH$6,MATCH(INDEX($I$3:$L$6,MATCH(MOD('Map 2 Do Touch'!AN18,4),$H$3:$H$6,0),MATCH(MOD('Map 2 Do Touch'!AO18,4),$I$2:$L$2,0)),$AF$4:$AF$6,0),MATCH(IF('Map 2 Do Touch'!AN18&gt;4,"Water","Land"),'Map 3'!$AG$3:$AH$3,0)),INDEX($AK$4:$AL$6,MATCH(INDEX($I$3:$L$6,MATCH(MOD('Map 2 Do Touch'!AN18,4),$H$3:$H$6,0),MATCH(MOD('Map 2 Do Touch'!AO18,4),$I$2:$L$2,0)),'Map 3'!$AJ$4:$AJ$6,0),MATCH(IF('Map 2 Do Touch'!AN18&gt;4,"Water","Land"),'Map 3'!$AK$3:$AL$3,0))),IF('Map 2 Do Touch'!AO18&gt;4,INDEX($AG$4:$AH$6,MATCH(INDEX($P$3:$S$6,MATCH(MOD('Map 2 Do Touch'!AO17,4),$O$3:$O$6,0),MATCH(MOD('Map 2 Do Touch'!AO18,4),$P$2:$S$2,0)),$AF$4:$AF$6,0),MATCH(IF('Map 2 Do Touch'!AO17&gt;4,"Water","Land"),'Map 3'!$AG$3:$AH$3,0)),INDEX($AK$4:$AL$6,MATCH(INDEX($P$3:$S$6,MATCH(MOD('Map 2 Do Touch'!AO17,4),$O$3:$O$6,0),MATCH(MOD('Map 2 Do Touch'!AO18,4),$P$2:$S$2,0)),'Map 3'!$AJ$4:$AJ$6,0),MATCH(IF('Map 2 Do Touch'!AO17&gt;4,"Water","Land"),'Map 3'!$AK$3:$AL$3,0))))</f>
        <v>Trench</v>
      </c>
      <c r="AP22" s="3"/>
    </row>
    <row r="23" spans="1:42" ht="37.5" customHeight="1">
      <c r="A23" s="3">
        <v>12</v>
      </c>
      <c r="B23" s="86" t="str">
        <f ca="1">IF('Map 2 Do Touch'!B18&lt;&gt;'Map 2 Do Touch'!B19,IF('Map 2 Do Touch'!B19&gt;4,INDEX($AG$4:$AH$6,MATCH(INDEX($I$3:$L$6,MATCH(MOD('Map 2 Do Touch'!AO19,4),$H$3:$H$6,0),MATCH(MOD('Map 2 Do Touch'!B19,4),$I$2:$L$2,0)),$AF$4:$AF$6,0),MATCH(IF('Map 2 Do Touch'!AO19&gt;4,"Water","Land"),'Map 3'!$AG$3:$AH$3,0)),INDEX($AK$4:$AL$6,MATCH(INDEX($I$3:$L$6,MATCH(MOD('Map 2 Do Touch'!A19,4),$H$3:$H$6,0),MATCH(MOD('Map 2 Do Touch'!B19,4),$I$2:$L$2,0)),'Map 3'!$AJ$4:$AJ$6,0),MATCH(IF('Map 2 Do Touch'!AO19&gt;4,"Water","Land"),'Map 3'!$AK$3:$AL$3,0))),IF('Map 2 Do Touch'!B19&gt;4,INDEX($AG$4:$AH$6,MATCH(INDEX($P$3:$S$6,MATCH(MOD('Map 2 Do Touch'!B18,4),$O$3:$O$6,0),MATCH(MOD('Map 2 Do Touch'!B19,4),$P$2:$S$2,0)),$AF$4:$AF$6,0),MATCH(IF('Map 2 Do Touch'!B18&gt;4,"Water","Land"),'Map 3'!$AG$3:$AH$3,0)),INDEX($AK$4:$AL$6,MATCH(INDEX($P$3:$S$6,MATCH(MOD('Map 2 Do Touch'!B18,4),$O$3:$O$6,0),MATCH(MOD('Map 2 Do Touch'!B19,4),$P$2:$S$2,0)),'Map 3'!$AJ$4:$AJ$6,0),MATCH(IF('Map 2 Do Touch'!B18&gt;4,"Water","Land"),'Map 3'!$AK$3:$AL$3,0))))</f>
        <v>Trench</v>
      </c>
      <c r="C23" s="3" t="str">
        <f ca="1">IF('Map 2 Do Touch'!B18&lt;&gt;'Map 2 Do Touch'!B19,IF('Map 2 Do Touch'!C19&gt;4,INDEX($AG$4:$AH$6,MATCH(INDEX($I$3:$L$6,MATCH(MOD('Map 2 Do Touch'!B19,4),$H$3:$H$6,0),MATCH(MOD('Map 2 Do Touch'!C19,4),$I$2:$L$2,0)),$AF$4:$AF$6,0),MATCH(IF('Map 2 Do Touch'!B19&gt;4,"Water","Land"),'Map 3'!$AG$3:$AH$3,0)),INDEX($AK$4:$AL$6,MATCH(INDEX($I$3:$L$6,MATCH(MOD('Map 2 Do Touch'!B19,4),$H$3:$H$6,0),MATCH(MOD('Map 2 Do Touch'!C19,4),$I$2:$L$2,0)),'Map 3'!$AJ$4:$AJ$6,0),MATCH(IF('Map 2 Do Touch'!B19&gt;4,"Water","Land"),'Map 3'!$AK$3:$AL$3,0))),IF('Map 2 Do Touch'!C19&gt;4,INDEX($AG$4:$AH$6,MATCH(INDEX($P$3:$S$6,MATCH(MOD('Map 2 Do Touch'!C18,4),$O$3:$O$6,0),MATCH(MOD('Map 2 Do Touch'!C19,4),$P$2:$S$2,0)),$AF$4:$AF$6,0),MATCH(IF('Map 2 Do Touch'!C18&gt;4,"Water","Land"),'Map 3'!$AG$3:$AH$3,0)),INDEX($AK$4:$AL$6,MATCH(INDEX($P$3:$S$6,MATCH(MOD('Map 2 Do Touch'!C18,4),$O$3:$O$6,0),MATCH(MOD('Map 2 Do Touch'!C19,4),$P$2:$S$2,0)),'Map 3'!$AJ$4:$AJ$6,0),MATCH(IF('Map 2 Do Touch'!C18&gt;4,"Water","Land"),'Map 3'!$AK$3:$AL$3,0))))</f>
        <v>Ocean</v>
      </c>
      <c r="D23" s="3" t="str">
        <f ca="1">IF('Map 2 Do Touch'!C18&lt;&gt;'Map 2 Do Touch'!C19,IF('Map 2 Do Touch'!D19&gt;4,INDEX($AG$4:$AH$6,MATCH(INDEX($I$3:$L$6,MATCH(MOD('Map 2 Do Touch'!C19,4),$H$3:$H$6,0),MATCH(MOD('Map 2 Do Touch'!D19,4),$I$2:$L$2,0)),$AF$4:$AF$6,0),MATCH(IF('Map 2 Do Touch'!C19&gt;4,"Water","Land"),'Map 3'!$AG$3:$AH$3,0)),INDEX($AK$4:$AL$6,MATCH(INDEX($I$3:$L$6,MATCH(MOD('Map 2 Do Touch'!C19,4),$H$3:$H$6,0),MATCH(MOD('Map 2 Do Touch'!D19,4),$I$2:$L$2,0)),'Map 3'!$AJ$4:$AJ$6,0),MATCH(IF('Map 2 Do Touch'!C19&gt;4,"Water","Land"),'Map 3'!$AK$3:$AL$3,0))),IF('Map 2 Do Touch'!D19&gt;4,INDEX($AG$4:$AH$6,MATCH(INDEX($P$3:$S$6,MATCH(MOD('Map 2 Do Touch'!D18,4),$O$3:$O$6,0),MATCH(MOD('Map 2 Do Touch'!D19,4),$P$2:$S$2,0)),$AF$4:$AF$6,0),MATCH(IF('Map 2 Do Touch'!D18&gt;4,"Water","Land"),'Map 3'!$AG$3:$AH$3,0)),INDEX($AK$4:$AL$6,MATCH(INDEX($P$3:$S$6,MATCH(MOD('Map 2 Do Touch'!D18,4),$O$3:$O$6,0),MATCH(MOD('Map 2 Do Touch'!D19,4),$P$2:$S$2,0)),'Map 3'!$AJ$4:$AJ$6,0),MATCH(IF('Map 2 Do Touch'!D18&gt;4,"Water","Land"),'Map 3'!$AK$3:$AL$3,0))))</f>
        <v>Ocean</v>
      </c>
      <c r="E23" s="3" t="str">
        <f ca="1">IF('Map 2 Do Touch'!D18&lt;&gt;'Map 2 Do Touch'!D19,IF('Map 2 Do Touch'!E19&gt;4,INDEX($AG$4:$AH$6,MATCH(INDEX($I$3:$L$6,MATCH(MOD('Map 2 Do Touch'!D19,4),$H$3:$H$6,0),MATCH(MOD('Map 2 Do Touch'!E19,4),$I$2:$L$2,0)),$AF$4:$AF$6,0),MATCH(IF('Map 2 Do Touch'!D19&gt;4,"Water","Land"),'Map 3'!$AG$3:$AH$3,0)),INDEX($AK$4:$AL$6,MATCH(INDEX($I$3:$L$6,MATCH(MOD('Map 2 Do Touch'!D19,4),$H$3:$H$6,0),MATCH(MOD('Map 2 Do Touch'!E19,4),$I$2:$L$2,0)),'Map 3'!$AJ$4:$AJ$6,0),MATCH(IF('Map 2 Do Touch'!D19&gt;4,"Water","Land"),'Map 3'!$AK$3:$AL$3,0))),IF('Map 2 Do Touch'!E19&gt;4,INDEX($AG$4:$AH$6,MATCH(INDEX($P$3:$S$6,MATCH(MOD('Map 2 Do Touch'!E18,4),$O$3:$O$6,0),MATCH(MOD('Map 2 Do Touch'!E19,4),$P$2:$S$2,0)),$AF$4:$AF$6,0),MATCH(IF('Map 2 Do Touch'!E18&gt;4,"Water","Land"),'Map 3'!$AG$3:$AH$3,0)),INDEX($AK$4:$AL$6,MATCH(INDEX($P$3:$S$6,MATCH(MOD('Map 2 Do Touch'!E18,4),$O$3:$O$6,0),MATCH(MOD('Map 2 Do Touch'!E19,4),$P$2:$S$2,0)),'Map 3'!$AJ$4:$AJ$6,0),MATCH(IF('Map 2 Do Touch'!E18&gt;4,"Water","Land"),'Map 3'!$AK$3:$AL$3,0))))</f>
        <v>Ocean</v>
      </c>
      <c r="F23" s="3" t="str">
        <f ca="1">IF('Map 2 Do Touch'!E18&lt;&gt;'Map 2 Do Touch'!E19,IF('Map 2 Do Touch'!F19&gt;4,INDEX($AG$4:$AH$6,MATCH(INDEX($I$3:$L$6,MATCH(MOD('Map 2 Do Touch'!E19,4),$H$3:$H$6,0),MATCH(MOD('Map 2 Do Touch'!F19,4),$I$2:$L$2,0)),$AF$4:$AF$6,0),MATCH(IF('Map 2 Do Touch'!E19&gt;4,"Water","Land"),'Map 3'!$AG$3:$AH$3,0)),INDEX($AK$4:$AL$6,MATCH(INDEX($I$3:$L$6,MATCH(MOD('Map 2 Do Touch'!E19,4),$H$3:$H$6,0),MATCH(MOD('Map 2 Do Touch'!F19,4),$I$2:$L$2,0)),'Map 3'!$AJ$4:$AJ$6,0),MATCH(IF('Map 2 Do Touch'!E19&gt;4,"Water","Land"),'Map 3'!$AK$3:$AL$3,0))),IF('Map 2 Do Touch'!F19&gt;4,INDEX($AG$4:$AH$6,MATCH(INDEX($P$3:$S$6,MATCH(MOD('Map 2 Do Touch'!F18,4),$O$3:$O$6,0),MATCH(MOD('Map 2 Do Touch'!F19,4),$P$2:$S$2,0)),$AF$4:$AF$6,0),MATCH(IF('Map 2 Do Touch'!F18&gt;4,"Water","Land"),'Map 3'!$AG$3:$AH$3,0)),INDEX($AK$4:$AL$6,MATCH(INDEX($P$3:$S$6,MATCH(MOD('Map 2 Do Touch'!F18,4),$O$3:$O$6,0),MATCH(MOD('Map 2 Do Touch'!F19,4),$P$2:$S$2,0)),'Map 3'!$AJ$4:$AJ$6,0),MATCH(IF('Map 2 Do Touch'!F18&gt;4,"Water","Land"),'Map 3'!$AK$3:$AL$3,0))))</f>
        <v>Trench</v>
      </c>
      <c r="G23" s="3" t="str">
        <f ca="1">IF('Map 2 Do Touch'!F18&lt;&gt;'Map 2 Do Touch'!F19,IF('Map 2 Do Touch'!G19&gt;4,INDEX($AG$4:$AH$6,MATCH(INDEX($I$3:$L$6,MATCH(MOD('Map 2 Do Touch'!F19,4),$H$3:$H$6,0),MATCH(MOD('Map 2 Do Touch'!G19,4),$I$2:$L$2,0)),$AF$4:$AF$6,0),MATCH(IF('Map 2 Do Touch'!F19&gt;4,"Water","Land"),'Map 3'!$AG$3:$AH$3,0)),INDEX($AK$4:$AL$6,MATCH(INDEX($I$3:$L$6,MATCH(MOD('Map 2 Do Touch'!F19,4),$H$3:$H$6,0),MATCH(MOD('Map 2 Do Touch'!G19,4),$I$2:$L$2,0)),'Map 3'!$AJ$4:$AJ$6,0),MATCH(IF('Map 2 Do Touch'!F19&gt;4,"Water","Land"),'Map 3'!$AK$3:$AL$3,0))),IF('Map 2 Do Touch'!G19&gt;4,INDEX($AG$4:$AH$6,MATCH(INDEX($P$3:$S$6,MATCH(MOD('Map 2 Do Touch'!G18,4),$O$3:$O$6,0),MATCH(MOD('Map 2 Do Touch'!G19,4),$P$2:$S$2,0)),$AF$4:$AF$6,0),MATCH(IF('Map 2 Do Touch'!G18&gt;4,"Water","Land"),'Map 3'!$AG$3:$AH$3,0)),INDEX($AK$4:$AL$6,MATCH(INDEX($P$3:$S$6,MATCH(MOD('Map 2 Do Touch'!G18,4),$O$3:$O$6,0),MATCH(MOD('Map 2 Do Touch'!G19,4),$P$2:$S$2,0)),'Map 3'!$AJ$4:$AJ$6,0),MATCH(IF('Map 2 Do Touch'!G18&gt;4,"Water","Land"),'Map 3'!$AK$3:$AL$3,0))))</f>
        <v>Island</v>
      </c>
      <c r="H23" s="3" t="str">
        <f ca="1">IF('Map 2 Do Touch'!G18&lt;&gt;'Map 2 Do Touch'!G19,IF('Map 2 Do Touch'!H19&gt;4,INDEX($AG$4:$AH$6,MATCH(INDEX($I$3:$L$6,MATCH(MOD('Map 2 Do Touch'!G19,4),$H$3:$H$6,0),MATCH(MOD('Map 2 Do Touch'!H19,4),$I$2:$L$2,0)),$AF$4:$AF$6,0),MATCH(IF('Map 2 Do Touch'!G19&gt;4,"Water","Land"),'Map 3'!$AG$3:$AH$3,0)),INDEX($AK$4:$AL$6,MATCH(INDEX($I$3:$L$6,MATCH(MOD('Map 2 Do Touch'!G19,4),$H$3:$H$6,0),MATCH(MOD('Map 2 Do Touch'!H19,4),$I$2:$L$2,0)),'Map 3'!$AJ$4:$AJ$6,0),MATCH(IF('Map 2 Do Touch'!G19&gt;4,"Water","Land"),'Map 3'!$AK$3:$AL$3,0))),IF('Map 2 Do Touch'!H19&gt;4,INDEX($AG$4:$AH$6,MATCH(INDEX($P$3:$S$6,MATCH(MOD('Map 2 Do Touch'!H18,4),$O$3:$O$6,0),MATCH(MOD('Map 2 Do Touch'!H19,4),$P$2:$S$2,0)),$AF$4:$AF$6,0),MATCH(IF('Map 2 Do Touch'!H18&gt;4,"Water","Land"),'Map 3'!$AG$3:$AH$3,0)),INDEX($AK$4:$AL$6,MATCH(INDEX($P$3:$S$6,MATCH(MOD('Map 2 Do Touch'!H18,4),$O$3:$O$6,0),MATCH(MOD('Map 2 Do Touch'!H19,4),$P$2:$S$2,0)),'Map 3'!$AJ$4:$AJ$6,0),MATCH(IF('Map 2 Do Touch'!H18&gt;4,"Water","Land"),'Map 3'!$AK$3:$AL$3,0))))</f>
        <v>Ocean</v>
      </c>
      <c r="I23" s="3" t="str">
        <f ca="1">IF('Map 2 Do Touch'!H18&lt;&gt;'Map 2 Do Touch'!H19,IF('Map 2 Do Touch'!I19&gt;4,INDEX($AG$4:$AH$6,MATCH(INDEX($I$3:$L$6,MATCH(MOD('Map 2 Do Touch'!H19,4),$H$3:$H$6,0),MATCH(MOD('Map 2 Do Touch'!I19,4),$I$2:$L$2,0)),$AF$4:$AF$6,0),MATCH(IF('Map 2 Do Touch'!H19&gt;4,"Water","Land"),'Map 3'!$AG$3:$AH$3,0)),INDEX($AK$4:$AL$6,MATCH(INDEX($I$3:$L$6,MATCH(MOD('Map 2 Do Touch'!H19,4),$H$3:$H$6,0),MATCH(MOD('Map 2 Do Touch'!I19,4),$I$2:$L$2,0)),'Map 3'!$AJ$4:$AJ$6,0),MATCH(IF('Map 2 Do Touch'!H19&gt;4,"Water","Land"),'Map 3'!$AK$3:$AL$3,0))),IF('Map 2 Do Touch'!I19&gt;4,INDEX($AG$4:$AH$6,MATCH(INDEX($P$3:$S$6,MATCH(MOD('Map 2 Do Touch'!I18,4),$O$3:$O$6,0),MATCH(MOD('Map 2 Do Touch'!I19,4),$P$2:$S$2,0)),$AF$4:$AF$6,0),MATCH(IF('Map 2 Do Touch'!I18&gt;4,"Water","Land"),'Map 3'!$AG$3:$AH$3,0)),INDEX($AK$4:$AL$6,MATCH(INDEX($P$3:$S$6,MATCH(MOD('Map 2 Do Touch'!I18,4),$O$3:$O$6,0),MATCH(MOD('Map 2 Do Touch'!I19,4),$P$2:$S$2,0)),'Map 3'!$AJ$4:$AJ$6,0),MATCH(IF('Map 2 Do Touch'!I18&gt;4,"Water","Land"),'Map 3'!$AK$3:$AL$3,0))))</f>
        <v>Trench</v>
      </c>
      <c r="J23" s="3" t="str">
        <f ca="1">IF('Map 2 Do Touch'!I18&lt;&gt;'Map 2 Do Touch'!I19,IF('Map 2 Do Touch'!J19&gt;4,INDEX($AG$4:$AH$6,MATCH(INDEX($I$3:$L$6,MATCH(MOD('Map 2 Do Touch'!I19,4),$H$3:$H$6,0),MATCH(MOD('Map 2 Do Touch'!J19,4),$I$2:$L$2,0)),$AF$4:$AF$6,0),MATCH(IF('Map 2 Do Touch'!I19&gt;4,"Water","Land"),'Map 3'!$AG$3:$AH$3,0)),INDEX($AK$4:$AL$6,MATCH(INDEX($I$3:$L$6,MATCH(MOD('Map 2 Do Touch'!I19,4),$H$3:$H$6,0),MATCH(MOD('Map 2 Do Touch'!J19,4),$I$2:$L$2,0)),'Map 3'!$AJ$4:$AJ$6,0),MATCH(IF('Map 2 Do Touch'!I19&gt;4,"Water","Land"),'Map 3'!$AK$3:$AL$3,0))),IF('Map 2 Do Touch'!J19&gt;4,INDEX($AG$4:$AH$6,MATCH(INDEX($P$3:$S$6,MATCH(MOD('Map 2 Do Touch'!J18,4),$O$3:$O$6,0),MATCH(MOD('Map 2 Do Touch'!J19,4),$P$2:$S$2,0)),$AF$4:$AF$6,0),MATCH(IF('Map 2 Do Touch'!J18&gt;4,"Water","Land"),'Map 3'!$AG$3:$AH$3,0)),INDEX($AK$4:$AL$6,MATCH(INDEX($P$3:$S$6,MATCH(MOD('Map 2 Do Touch'!J18,4),$O$3:$O$6,0),MATCH(MOD('Map 2 Do Touch'!J19,4),$P$2:$S$2,0)),'Map 3'!$AJ$4:$AJ$6,0),MATCH(IF('Map 2 Do Touch'!J18&gt;4,"Water","Land"),'Map 3'!$AK$3:$AL$3,0))))</f>
        <v>Ocean</v>
      </c>
      <c r="K23" s="3" t="str">
        <f ca="1">IF('Map 2 Do Touch'!J18&lt;&gt;'Map 2 Do Touch'!J19,IF('Map 2 Do Touch'!K19&gt;4,INDEX($AG$4:$AH$6,MATCH(INDEX($I$3:$L$6,MATCH(MOD('Map 2 Do Touch'!J19,4),$H$3:$H$6,0),MATCH(MOD('Map 2 Do Touch'!K19,4),$I$2:$L$2,0)),$AF$4:$AF$6,0),MATCH(IF('Map 2 Do Touch'!J19&gt;4,"Water","Land"),'Map 3'!$AG$3:$AH$3,0)),INDEX($AK$4:$AL$6,MATCH(INDEX($I$3:$L$6,MATCH(MOD('Map 2 Do Touch'!J19,4),$H$3:$H$6,0),MATCH(MOD('Map 2 Do Touch'!K19,4),$I$2:$L$2,0)),'Map 3'!$AJ$4:$AJ$6,0),MATCH(IF('Map 2 Do Touch'!J19&gt;4,"Water","Land"),'Map 3'!$AK$3:$AL$3,0))),IF('Map 2 Do Touch'!K19&gt;4,INDEX($AG$4:$AH$6,MATCH(INDEX($P$3:$S$6,MATCH(MOD('Map 2 Do Touch'!K18,4),$O$3:$O$6,0),MATCH(MOD('Map 2 Do Touch'!K19,4),$P$2:$S$2,0)),$AF$4:$AF$6,0),MATCH(IF('Map 2 Do Touch'!K18&gt;4,"Water","Land"),'Map 3'!$AG$3:$AH$3,0)),INDEX($AK$4:$AL$6,MATCH(INDEX($P$3:$S$6,MATCH(MOD('Map 2 Do Touch'!K18,4),$O$3:$O$6,0),MATCH(MOD('Map 2 Do Touch'!K19,4),$P$2:$S$2,0)),'Map 3'!$AJ$4:$AJ$6,0),MATCH(IF('Map 2 Do Touch'!K18&gt;4,"Water","Land"),'Map 3'!$AK$3:$AL$3,0))))</f>
        <v>Ocean</v>
      </c>
      <c r="L23" s="3" t="str">
        <f ca="1">IF('Map 2 Do Touch'!K18&lt;&gt;'Map 2 Do Touch'!K19,IF('Map 2 Do Touch'!L19&gt;4,INDEX($AG$4:$AH$6,MATCH(INDEX($I$3:$L$6,MATCH(MOD('Map 2 Do Touch'!K19,4),$H$3:$H$6,0),MATCH(MOD('Map 2 Do Touch'!L19,4),$I$2:$L$2,0)),$AF$4:$AF$6,0),MATCH(IF('Map 2 Do Touch'!K19&gt;4,"Water","Land"),'Map 3'!$AG$3:$AH$3,0)),INDEX($AK$4:$AL$6,MATCH(INDEX($I$3:$L$6,MATCH(MOD('Map 2 Do Touch'!K19,4),$H$3:$H$6,0),MATCH(MOD('Map 2 Do Touch'!L19,4),$I$2:$L$2,0)),'Map 3'!$AJ$4:$AJ$6,0),MATCH(IF('Map 2 Do Touch'!K19&gt;4,"Water","Land"),'Map 3'!$AK$3:$AL$3,0))),IF('Map 2 Do Touch'!L19&gt;4,INDEX($AG$4:$AH$6,MATCH(INDEX($P$3:$S$6,MATCH(MOD('Map 2 Do Touch'!L18,4),$O$3:$O$6,0),MATCH(MOD('Map 2 Do Touch'!L19,4),$P$2:$S$2,0)),$AF$4:$AF$6,0),MATCH(IF('Map 2 Do Touch'!L18&gt;4,"Water","Land"),'Map 3'!$AG$3:$AH$3,0)),INDEX($AK$4:$AL$6,MATCH(INDEX($P$3:$S$6,MATCH(MOD('Map 2 Do Touch'!L18,4),$O$3:$O$6,0),MATCH(MOD('Map 2 Do Touch'!L19,4),$P$2:$S$2,0)),'Map 3'!$AJ$4:$AJ$6,0),MATCH(IF('Map 2 Do Touch'!L18&gt;4,"Water","Land"),'Map 3'!$AK$3:$AL$3,0))))</f>
        <v>Trench</v>
      </c>
      <c r="M23" s="3" t="str">
        <f ca="1">IF('Map 2 Do Touch'!L18&lt;&gt;'Map 2 Do Touch'!L19,IF('Map 2 Do Touch'!M19&gt;4,INDEX($AG$4:$AH$6,MATCH(INDEX($I$3:$L$6,MATCH(MOD('Map 2 Do Touch'!L19,4),$H$3:$H$6,0),MATCH(MOD('Map 2 Do Touch'!M19,4),$I$2:$L$2,0)),$AF$4:$AF$6,0),MATCH(IF('Map 2 Do Touch'!L19&gt;4,"Water","Land"),'Map 3'!$AG$3:$AH$3,0)),INDEX($AK$4:$AL$6,MATCH(INDEX($I$3:$L$6,MATCH(MOD('Map 2 Do Touch'!L19,4),$H$3:$H$6,0),MATCH(MOD('Map 2 Do Touch'!M19,4),$I$2:$L$2,0)),'Map 3'!$AJ$4:$AJ$6,0),MATCH(IF('Map 2 Do Touch'!L19&gt;4,"Water","Land"),'Map 3'!$AK$3:$AL$3,0))),IF('Map 2 Do Touch'!M19&gt;4,INDEX($AG$4:$AH$6,MATCH(INDEX($P$3:$S$6,MATCH(MOD('Map 2 Do Touch'!M18,4),$O$3:$O$6,0),MATCH(MOD('Map 2 Do Touch'!M19,4),$P$2:$S$2,0)),$AF$4:$AF$6,0),MATCH(IF('Map 2 Do Touch'!M18&gt;4,"Water","Land"),'Map 3'!$AG$3:$AH$3,0)),INDEX($AK$4:$AL$6,MATCH(INDEX($P$3:$S$6,MATCH(MOD('Map 2 Do Touch'!M18,4),$O$3:$O$6,0),MATCH(MOD('Map 2 Do Touch'!M19,4),$P$2:$S$2,0)),'Map 3'!$AJ$4:$AJ$6,0),MATCH(IF('Map 2 Do Touch'!M18&gt;4,"Water","Land"),'Map 3'!$AK$3:$AL$3,0))))</f>
        <v>Ocean</v>
      </c>
      <c r="N23" s="3" t="str">
        <f ca="1">IF('Map 2 Do Touch'!M18&lt;&gt;'Map 2 Do Touch'!M19,IF('Map 2 Do Touch'!N19&gt;4,INDEX($AG$4:$AH$6,MATCH(INDEX($I$3:$L$6,MATCH(MOD('Map 2 Do Touch'!M19,4),$H$3:$H$6,0),MATCH(MOD('Map 2 Do Touch'!N19,4),$I$2:$L$2,0)),$AF$4:$AF$6,0),MATCH(IF('Map 2 Do Touch'!M19&gt;4,"Water","Land"),'Map 3'!$AG$3:$AH$3,0)),INDEX($AK$4:$AL$6,MATCH(INDEX($I$3:$L$6,MATCH(MOD('Map 2 Do Touch'!M19,4),$H$3:$H$6,0),MATCH(MOD('Map 2 Do Touch'!N19,4),$I$2:$L$2,0)),'Map 3'!$AJ$4:$AJ$6,0),MATCH(IF('Map 2 Do Touch'!M19&gt;4,"Water","Land"),'Map 3'!$AK$3:$AL$3,0))),IF('Map 2 Do Touch'!N19&gt;4,INDEX($AG$4:$AH$6,MATCH(INDEX($P$3:$S$6,MATCH(MOD('Map 2 Do Touch'!N18,4),$O$3:$O$6,0),MATCH(MOD('Map 2 Do Touch'!N19,4),$P$2:$S$2,0)),$AF$4:$AF$6,0),MATCH(IF('Map 2 Do Touch'!N18&gt;4,"Water","Land"),'Map 3'!$AG$3:$AH$3,0)),INDEX($AK$4:$AL$6,MATCH(INDEX($P$3:$S$6,MATCH(MOD('Map 2 Do Touch'!N18,4),$O$3:$O$6,0),MATCH(MOD('Map 2 Do Touch'!N19,4),$P$2:$S$2,0)),'Map 3'!$AJ$4:$AJ$6,0),MATCH(IF('Map 2 Do Touch'!N18&gt;4,"Water","Land"),'Map 3'!$AK$3:$AL$3,0))))</f>
        <v>Drop Off</v>
      </c>
      <c r="O23" s="3" t="str">
        <f ca="1">IF('Map 2 Do Touch'!N18&lt;&gt;'Map 2 Do Touch'!N19,IF('Map 2 Do Touch'!O19&gt;4,INDEX($AG$4:$AH$6,MATCH(INDEX($I$3:$L$6,MATCH(MOD('Map 2 Do Touch'!N19,4),$H$3:$H$6,0),MATCH(MOD('Map 2 Do Touch'!O19,4),$I$2:$L$2,0)),$AF$4:$AF$6,0),MATCH(IF('Map 2 Do Touch'!N19&gt;4,"Water","Land"),'Map 3'!$AG$3:$AH$3,0)),INDEX($AK$4:$AL$6,MATCH(INDEX($I$3:$L$6,MATCH(MOD('Map 2 Do Touch'!N19,4),$H$3:$H$6,0),MATCH(MOD('Map 2 Do Touch'!O19,4),$I$2:$L$2,0)),'Map 3'!$AJ$4:$AJ$6,0),MATCH(IF('Map 2 Do Touch'!N19&gt;4,"Water","Land"),'Map 3'!$AK$3:$AL$3,0))),IF('Map 2 Do Touch'!O19&gt;4,INDEX($AG$4:$AH$6,MATCH(INDEX($P$3:$S$6,MATCH(MOD('Map 2 Do Touch'!O18,4),$O$3:$O$6,0),MATCH(MOD('Map 2 Do Touch'!O19,4),$P$2:$S$2,0)),$AF$4:$AF$6,0),MATCH(IF('Map 2 Do Touch'!O18&gt;4,"Water","Land"),'Map 3'!$AG$3:$AH$3,0)),INDEX($AK$4:$AL$6,MATCH(INDEX($P$3:$S$6,MATCH(MOD('Map 2 Do Touch'!O18,4),$O$3:$O$6,0),MATCH(MOD('Map 2 Do Touch'!O19,4),$P$2:$S$2,0)),'Map 3'!$AJ$4:$AJ$6,0),MATCH(IF('Map 2 Do Touch'!O18&gt;4,"Water","Land"),'Map 3'!$AK$3:$AL$3,0))))</f>
        <v>Ocean</v>
      </c>
      <c r="P23" s="3" t="str">
        <f ca="1">IF('Map 2 Do Touch'!O18&lt;&gt;'Map 2 Do Touch'!O19,IF('Map 2 Do Touch'!P19&gt;4,INDEX($AG$4:$AH$6,MATCH(INDEX($I$3:$L$6,MATCH(MOD('Map 2 Do Touch'!O19,4),$H$3:$H$6,0),MATCH(MOD('Map 2 Do Touch'!P19,4),$I$2:$L$2,0)),$AF$4:$AF$6,0),MATCH(IF('Map 2 Do Touch'!O19&gt;4,"Water","Land"),'Map 3'!$AG$3:$AH$3,0)),INDEX($AK$4:$AL$6,MATCH(INDEX($I$3:$L$6,MATCH(MOD('Map 2 Do Touch'!O19,4),$H$3:$H$6,0),MATCH(MOD('Map 2 Do Touch'!P19,4),$I$2:$L$2,0)),'Map 3'!$AJ$4:$AJ$6,0),MATCH(IF('Map 2 Do Touch'!O19&gt;4,"Water","Land"),'Map 3'!$AK$3:$AL$3,0))),IF('Map 2 Do Touch'!P19&gt;4,INDEX($AG$4:$AH$6,MATCH(INDEX($P$3:$S$6,MATCH(MOD('Map 2 Do Touch'!P18,4),$O$3:$O$6,0),MATCH(MOD('Map 2 Do Touch'!P19,4),$P$2:$S$2,0)),$AF$4:$AF$6,0),MATCH(IF('Map 2 Do Touch'!P18&gt;4,"Water","Land"),'Map 3'!$AG$3:$AH$3,0)),INDEX($AK$4:$AL$6,MATCH(INDEX($P$3:$S$6,MATCH(MOD('Map 2 Do Touch'!P18,4),$O$3:$O$6,0),MATCH(MOD('Map 2 Do Touch'!P19,4),$P$2:$S$2,0)),'Map 3'!$AJ$4:$AJ$6,0),MATCH(IF('Map 2 Do Touch'!P18&gt;4,"Water","Land"),'Map 3'!$AK$3:$AL$3,0))))</f>
        <v>Ocean</v>
      </c>
      <c r="Q23" s="3" t="str">
        <f ca="1">IF('Map 2 Do Touch'!P18&lt;&gt;'Map 2 Do Touch'!P19,IF('Map 2 Do Touch'!Q19&gt;4,INDEX($AG$4:$AH$6,MATCH(INDEX($I$3:$L$6,MATCH(MOD('Map 2 Do Touch'!P19,4),$H$3:$H$6,0),MATCH(MOD('Map 2 Do Touch'!Q19,4),$I$2:$L$2,0)),$AF$4:$AF$6,0),MATCH(IF('Map 2 Do Touch'!P19&gt;4,"Water","Land"),'Map 3'!$AG$3:$AH$3,0)),INDEX($AK$4:$AL$6,MATCH(INDEX($I$3:$L$6,MATCH(MOD('Map 2 Do Touch'!P19,4),$H$3:$H$6,0),MATCH(MOD('Map 2 Do Touch'!Q19,4),$I$2:$L$2,0)),'Map 3'!$AJ$4:$AJ$6,0),MATCH(IF('Map 2 Do Touch'!P19&gt;4,"Water","Land"),'Map 3'!$AK$3:$AL$3,0))),IF('Map 2 Do Touch'!Q19&gt;4,INDEX($AG$4:$AH$6,MATCH(INDEX($P$3:$S$6,MATCH(MOD('Map 2 Do Touch'!Q18,4),$O$3:$O$6,0),MATCH(MOD('Map 2 Do Touch'!Q19,4),$P$2:$S$2,0)),$AF$4:$AF$6,0),MATCH(IF('Map 2 Do Touch'!Q18&gt;4,"Water","Land"),'Map 3'!$AG$3:$AH$3,0)),INDEX($AK$4:$AL$6,MATCH(INDEX($P$3:$S$6,MATCH(MOD('Map 2 Do Touch'!Q18,4),$O$3:$O$6,0),MATCH(MOD('Map 2 Do Touch'!Q19,4),$P$2:$S$2,0)),'Map 3'!$AJ$4:$AJ$6,0),MATCH(IF('Map 2 Do Touch'!Q18&gt;4,"Water","Land"),'Map 3'!$AK$3:$AL$3,0))))</f>
        <v>Coast</v>
      </c>
      <c r="R23" s="3" t="str">
        <f ca="1">IF('Map 2 Do Touch'!Q18&lt;&gt;'Map 2 Do Touch'!Q19,IF('Map 2 Do Touch'!R19&gt;4,INDEX($AG$4:$AH$6,MATCH(INDEX($I$3:$L$6,MATCH(MOD('Map 2 Do Touch'!Q19,4),$H$3:$H$6,0),MATCH(MOD('Map 2 Do Touch'!R19,4),$I$2:$L$2,0)),$AF$4:$AF$6,0),MATCH(IF('Map 2 Do Touch'!Q19&gt;4,"Water","Land"),'Map 3'!$AG$3:$AH$3,0)),INDEX($AK$4:$AL$6,MATCH(INDEX($I$3:$L$6,MATCH(MOD('Map 2 Do Touch'!Q19,4),$H$3:$H$6,0),MATCH(MOD('Map 2 Do Touch'!R19,4),$I$2:$L$2,0)),'Map 3'!$AJ$4:$AJ$6,0),MATCH(IF('Map 2 Do Touch'!Q19&gt;4,"Water","Land"),'Map 3'!$AK$3:$AL$3,0))),IF('Map 2 Do Touch'!R19&gt;4,INDEX($AG$4:$AH$6,MATCH(INDEX($P$3:$S$6,MATCH(MOD('Map 2 Do Touch'!R18,4),$O$3:$O$6,0),MATCH(MOD('Map 2 Do Touch'!R19,4),$P$2:$S$2,0)),$AF$4:$AF$6,0),MATCH(IF('Map 2 Do Touch'!R18&gt;4,"Water","Land"),'Map 3'!$AG$3:$AH$3,0)),INDEX($AK$4:$AL$6,MATCH(INDEX($P$3:$S$6,MATCH(MOD('Map 2 Do Touch'!R18,4),$O$3:$O$6,0),MATCH(MOD('Map 2 Do Touch'!R19,4),$P$2:$S$2,0)),'Map 3'!$AJ$4:$AJ$6,0),MATCH(IF('Map 2 Do Touch'!R18&gt;4,"Water","Land"),'Map 3'!$AK$3:$AL$3,0))))</f>
        <v>Coast</v>
      </c>
      <c r="S23" s="3" t="str">
        <f ca="1">IF('Map 2 Do Touch'!R18&lt;&gt;'Map 2 Do Touch'!R19,IF('Map 2 Do Touch'!S19&gt;4,INDEX($AG$4:$AH$6,MATCH(INDEX($I$3:$L$6,MATCH(MOD('Map 2 Do Touch'!R19,4),$H$3:$H$6,0),MATCH(MOD('Map 2 Do Touch'!S19,4),$I$2:$L$2,0)),$AF$4:$AF$6,0),MATCH(IF('Map 2 Do Touch'!R19&gt;4,"Water","Land"),'Map 3'!$AG$3:$AH$3,0)),INDEX($AK$4:$AL$6,MATCH(INDEX($I$3:$L$6,MATCH(MOD('Map 2 Do Touch'!R19,4),$H$3:$H$6,0),MATCH(MOD('Map 2 Do Touch'!S19,4),$I$2:$L$2,0)),'Map 3'!$AJ$4:$AJ$6,0),MATCH(IF('Map 2 Do Touch'!R19&gt;4,"Water","Land"),'Map 3'!$AK$3:$AL$3,0))),IF('Map 2 Do Touch'!S19&gt;4,INDEX($AG$4:$AH$6,MATCH(INDEX($P$3:$S$6,MATCH(MOD('Map 2 Do Touch'!S18,4),$O$3:$O$6,0),MATCH(MOD('Map 2 Do Touch'!S19,4),$P$2:$S$2,0)),$AF$4:$AF$6,0),MATCH(IF('Map 2 Do Touch'!S18&gt;4,"Water","Land"),'Map 3'!$AG$3:$AH$3,0)),INDEX($AK$4:$AL$6,MATCH(INDEX($P$3:$S$6,MATCH(MOD('Map 2 Do Touch'!S18,4),$O$3:$O$6,0),MATCH(MOD('Map 2 Do Touch'!S19,4),$P$2:$S$2,0)),'Map 3'!$AJ$4:$AJ$6,0),MATCH(IF('Map 2 Do Touch'!S18&gt;4,"Water","Land"),'Map 3'!$AK$3:$AL$3,0))))</f>
        <v>Ocean</v>
      </c>
      <c r="T23" s="3" t="str">
        <f ca="1">IF('Map 2 Do Touch'!S18&lt;&gt;'Map 2 Do Touch'!S19,IF('Map 2 Do Touch'!T19&gt;4,INDEX($AG$4:$AH$6,MATCH(INDEX($I$3:$L$6,MATCH(MOD('Map 2 Do Touch'!S19,4),$H$3:$H$6,0),MATCH(MOD('Map 2 Do Touch'!T19,4),$I$2:$L$2,0)),$AF$4:$AF$6,0),MATCH(IF('Map 2 Do Touch'!S19&gt;4,"Water","Land"),'Map 3'!$AG$3:$AH$3,0)),INDEX($AK$4:$AL$6,MATCH(INDEX($I$3:$L$6,MATCH(MOD('Map 2 Do Touch'!S19,4),$H$3:$H$6,0),MATCH(MOD('Map 2 Do Touch'!T19,4),$I$2:$L$2,0)),'Map 3'!$AJ$4:$AJ$6,0),MATCH(IF('Map 2 Do Touch'!S19&gt;4,"Water","Land"),'Map 3'!$AK$3:$AL$3,0))),IF('Map 2 Do Touch'!T19&gt;4,INDEX($AG$4:$AH$6,MATCH(INDEX($P$3:$S$6,MATCH(MOD('Map 2 Do Touch'!T18,4),$O$3:$O$6,0),MATCH(MOD('Map 2 Do Touch'!T19,4),$P$2:$S$2,0)),$AF$4:$AF$6,0),MATCH(IF('Map 2 Do Touch'!T18&gt;4,"Water","Land"),'Map 3'!$AG$3:$AH$3,0)),INDEX($AK$4:$AL$6,MATCH(INDEX($P$3:$S$6,MATCH(MOD('Map 2 Do Touch'!T18,4),$O$3:$O$6,0),MATCH(MOD('Map 2 Do Touch'!T19,4),$P$2:$S$2,0)),'Map 3'!$AJ$4:$AJ$6,0),MATCH(IF('Map 2 Do Touch'!T18&gt;4,"Water","Land"),'Map 3'!$AK$3:$AL$3,0))))</f>
        <v>Ocean</v>
      </c>
      <c r="U23" s="3" t="str">
        <f ca="1">IF('Map 2 Do Touch'!T18&lt;&gt;'Map 2 Do Touch'!T19,IF('Map 2 Do Touch'!U19&gt;4,INDEX($AG$4:$AH$6,MATCH(INDEX($I$3:$L$6,MATCH(MOD('Map 2 Do Touch'!T19,4),$H$3:$H$6,0),MATCH(MOD('Map 2 Do Touch'!U19,4),$I$2:$L$2,0)),$AF$4:$AF$6,0),MATCH(IF('Map 2 Do Touch'!T19&gt;4,"Water","Land"),'Map 3'!$AG$3:$AH$3,0)),INDEX($AK$4:$AL$6,MATCH(INDEX($I$3:$L$6,MATCH(MOD('Map 2 Do Touch'!T19,4),$H$3:$H$6,0),MATCH(MOD('Map 2 Do Touch'!U19,4),$I$2:$L$2,0)),'Map 3'!$AJ$4:$AJ$6,0),MATCH(IF('Map 2 Do Touch'!T19&gt;4,"Water","Land"),'Map 3'!$AK$3:$AL$3,0))),IF('Map 2 Do Touch'!U19&gt;4,INDEX($AG$4:$AH$6,MATCH(INDEX($P$3:$S$6,MATCH(MOD('Map 2 Do Touch'!U18,4),$O$3:$O$6,0),MATCH(MOD('Map 2 Do Touch'!U19,4),$P$2:$S$2,0)),$AF$4:$AF$6,0),MATCH(IF('Map 2 Do Touch'!U18&gt;4,"Water","Land"),'Map 3'!$AG$3:$AH$3,0)),INDEX($AK$4:$AL$6,MATCH(INDEX($P$3:$S$6,MATCH(MOD('Map 2 Do Touch'!U18,4),$O$3:$O$6,0),MATCH(MOD('Map 2 Do Touch'!U19,4),$P$2:$S$2,0)),'Map 3'!$AJ$4:$AJ$6,0),MATCH(IF('Map 2 Do Touch'!U18&gt;4,"Water","Land"),'Map 3'!$AK$3:$AL$3,0))))</f>
        <v>Ocean</v>
      </c>
      <c r="V23" s="3" t="str">
        <f ca="1">IF('Map 2 Do Touch'!U18&lt;&gt;'Map 2 Do Touch'!U19,IF('Map 2 Do Touch'!V19&gt;4,INDEX($AG$4:$AH$6,MATCH(INDEX($I$3:$L$6,MATCH(MOD('Map 2 Do Touch'!U19,4),$H$3:$H$6,0),MATCH(MOD('Map 2 Do Touch'!V19,4),$I$2:$L$2,0)),$AF$4:$AF$6,0),MATCH(IF('Map 2 Do Touch'!U19&gt;4,"Water","Land"),'Map 3'!$AG$3:$AH$3,0)),INDEX($AK$4:$AL$6,MATCH(INDEX($I$3:$L$6,MATCH(MOD('Map 2 Do Touch'!U19,4),$H$3:$H$6,0),MATCH(MOD('Map 2 Do Touch'!V19,4),$I$2:$L$2,0)),'Map 3'!$AJ$4:$AJ$6,0),MATCH(IF('Map 2 Do Touch'!U19&gt;4,"Water","Land"),'Map 3'!$AK$3:$AL$3,0))),IF('Map 2 Do Touch'!V19&gt;4,INDEX($AG$4:$AH$6,MATCH(INDEX($P$3:$S$6,MATCH(MOD('Map 2 Do Touch'!V18,4),$O$3:$O$6,0),MATCH(MOD('Map 2 Do Touch'!V19,4),$P$2:$S$2,0)),$AF$4:$AF$6,0),MATCH(IF('Map 2 Do Touch'!V18&gt;4,"Water","Land"),'Map 3'!$AG$3:$AH$3,0)),INDEX($AK$4:$AL$6,MATCH(INDEX($P$3:$S$6,MATCH(MOD('Map 2 Do Touch'!V18,4),$O$3:$O$6,0),MATCH(MOD('Map 2 Do Touch'!V19,4),$P$2:$S$2,0)),'Map 3'!$AJ$4:$AJ$6,0),MATCH(IF('Map 2 Do Touch'!V18&gt;4,"Water","Land"),'Map 3'!$AK$3:$AL$3,0))))</f>
        <v>Trench</v>
      </c>
      <c r="W23" s="3" t="str">
        <f ca="1">IF('Map 2 Do Touch'!V18&lt;&gt;'Map 2 Do Touch'!V19,IF('Map 2 Do Touch'!W19&gt;4,INDEX($AG$4:$AH$6,MATCH(INDEX($I$3:$L$6,MATCH(MOD('Map 2 Do Touch'!V19,4),$H$3:$H$6,0),MATCH(MOD('Map 2 Do Touch'!W19,4),$I$2:$L$2,0)),$AF$4:$AF$6,0),MATCH(IF('Map 2 Do Touch'!V19&gt;4,"Water","Land"),'Map 3'!$AG$3:$AH$3,0)),INDEX($AK$4:$AL$6,MATCH(INDEX($I$3:$L$6,MATCH(MOD('Map 2 Do Touch'!V19,4),$H$3:$H$6,0),MATCH(MOD('Map 2 Do Touch'!W19,4),$I$2:$L$2,0)),'Map 3'!$AJ$4:$AJ$6,0),MATCH(IF('Map 2 Do Touch'!V19&gt;4,"Water","Land"),'Map 3'!$AK$3:$AL$3,0))),IF('Map 2 Do Touch'!W19&gt;4,INDEX($AG$4:$AH$6,MATCH(INDEX($P$3:$S$6,MATCH(MOD('Map 2 Do Touch'!W18,4),$O$3:$O$6,0),MATCH(MOD('Map 2 Do Touch'!W19,4),$P$2:$S$2,0)),$AF$4:$AF$6,0),MATCH(IF('Map 2 Do Touch'!W18&gt;4,"Water","Land"),'Map 3'!$AG$3:$AH$3,0)),INDEX($AK$4:$AL$6,MATCH(INDEX($P$3:$S$6,MATCH(MOD('Map 2 Do Touch'!W18,4),$O$3:$O$6,0),MATCH(MOD('Map 2 Do Touch'!W19,4),$P$2:$S$2,0)),'Map 3'!$AJ$4:$AJ$6,0),MATCH(IF('Map 2 Do Touch'!W18&gt;4,"Water","Land"),'Map 3'!$AK$3:$AL$3,0))))</f>
        <v>Ocean</v>
      </c>
      <c r="X23" s="3" t="str">
        <f ca="1">IF('Map 2 Do Touch'!W18&lt;&gt;'Map 2 Do Touch'!W19,IF('Map 2 Do Touch'!X19&gt;4,INDEX($AG$4:$AH$6,MATCH(INDEX($I$3:$L$6,MATCH(MOD('Map 2 Do Touch'!W19,4),$H$3:$H$6,0),MATCH(MOD('Map 2 Do Touch'!X19,4),$I$2:$L$2,0)),$AF$4:$AF$6,0),MATCH(IF('Map 2 Do Touch'!W19&gt;4,"Water","Land"),'Map 3'!$AG$3:$AH$3,0)),INDEX($AK$4:$AL$6,MATCH(INDEX($I$3:$L$6,MATCH(MOD('Map 2 Do Touch'!W19,4),$H$3:$H$6,0),MATCH(MOD('Map 2 Do Touch'!X19,4),$I$2:$L$2,0)),'Map 3'!$AJ$4:$AJ$6,0),MATCH(IF('Map 2 Do Touch'!W19&gt;4,"Water","Land"),'Map 3'!$AK$3:$AL$3,0))),IF('Map 2 Do Touch'!X19&gt;4,INDEX($AG$4:$AH$6,MATCH(INDEX($P$3:$S$6,MATCH(MOD('Map 2 Do Touch'!X18,4),$O$3:$O$6,0),MATCH(MOD('Map 2 Do Touch'!X19,4),$P$2:$S$2,0)),$AF$4:$AF$6,0),MATCH(IF('Map 2 Do Touch'!X18&gt;4,"Water","Land"),'Map 3'!$AG$3:$AH$3,0)),INDEX($AK$4:$AL$6,MATCH(INDEX($P$3:$S$6,MATCH(MOD('Map 2 Do Touch'!X18,4),$O$3:$O$6,0),MATCH(MOD('Map 2 Do Touch'!X19,4),$P$2:$S$2,0)),'Map 3'!$AJ$4:$AJ$6,0),MATCH(IF('Map 2 Do Touch'!X18&gt;4,"Water","Land"),'Map 3'!$AK$3:$AL$3,0))))</f>
        <v>Ocean</v>
      </c>
      <c r="Y23" s="3" t="str">
        <f ca="1">IF('Map 2 Do Touch'!X18&lt;&gt;'Map 2 Do Touch'!X19,IF('Map 2 Do Touch'!Y19&gt;4,INDEX($AG$4:$AH$6,MATCH(INDEX($I$3:$L$6,MATCH(MOD('Map 2 Do Touch'!X19,4),$H$3:$H$6,0),MATCH(MOD('Map 2 Do Touch'!Y19,4),$I$2:$L$2,0)),$AF$4:$AF$6,0),MATCH(IF('Map 2 Do Touch'!X19&gt;4,"Water","Land"),'Map 3'!$AG$3:$AH$3,0)),INDEX($AK$4:$AL$6,MATCH(INDEX($I$3:$L$6,MATCH(MOD('Map 2 Do Touch'!X19,4),$H$3:$H$6,0),MATCH(MOD('Map 2 Do Touch'!Y19,4),$I$2:$L$2,0)),'Map 3'!$AJ$4:$AJ$6,0),MATCH(IF('Map 2 Do Touch'!X19&gt;4,"Water","Land"),'Map 3'!$AK$3:$AL$3,0))),IF('Map 2 Do Touch'!Y19&gt;4,INDEX($AG$4:$AH$6,MATCH(INDEX($P$3:$S$6,MATCH(MOD('Map 2 Do Touch'!Y18,4),$O$3:$O$6,0),MATCH(MOD('Map 2 Do Touch'!Y19,4),$P$2:$S$2,0)),$AF$4:$AF$6,0),MATCH(IF('Map 2 Do Touch'!Y18&gt;4,"Water","Land"),'Map 3'!$AG$3:$AH$3,0)),INDEX($AK$4:$AL$6,MATCH(INDEX($P$3:$S$6,MATCH(MOD('Map 2 Do Touch'!Y18,4),$O$3:$O$6,0),MATCH(MOD('Map 2 Do Touch'!Y19,4),$P$2:$S$2,0)),'Map 3'!$AJ$4:$AJ$6,0),MATCH(IF('Map 2 Do Touch'!Y18&gt;4,"Water","Land"),'Map 3'!$AK$3:$AL$3,0))))</f>
        <v>Coast</v>
      </c>
      <c r="Z23" s="3" t="str">
        <f ca="1">IF('Map 2 Do Touch'!Y18&lt;&gt;'Map 2 Do Touch'!Y19,IF('Map 2 Do Touch'!Z19&gt;4,INDEX($AG$4:$AH$6,MATCH(INDEX($I$3:$L$6,MATCH(MOD('Map 2 Do Touch'!Y19,4),$H$3:$H$6,0),MATCH(MOD('Map 2 Do Touch'!Z19,4),$I$2:$L$2,0)),$AF$4:$AF$6,0),MATCH(IF('Map 2 Do Touch'!Y19&gt;4,"Water","Land"),'Map 3'!$AG$3:$AH$3,0)),INDEX($AK$4:$AL$6,MATCH(INDEX($I$3:$L$6,MATCH(MOD('Map 2 Do Touch'!Y19,4),$H$3:$H$6,0),MATCH(MOD('Map 2 Do Touch'!Z19,4),$I$2:$L$2,0)),'Map 3'!$AJ$4:$AJ$6,0),MATCH(IF('Map 2 Do Touch'!Y19&gt;4,"Water","Land"),'Map 3'!$AK$3:$AL$3,0))),IF('Map 2 Do Touch'!Z19&gt;4,INDEX($AG$4:$AH$6,MATCH(INDEX($P$3:$S$6,MATCH(MOD('Map 2 Do Touch'!Z18,4),$O$3:$O$6,0),MATCH(MOD('Map 2 Do Touch'!Z19,4),$P$2:$S$2,0)),$AF$4:$AF$6,0),MATCH(IF('Map 2 Do Touch'!Z18&gt;4,"Water","Land"),'Map 3'!$AG$3:$AH$3,0)),INDEX($AK$4:$AL$6,MATCH(INDEX($P$3:$S$6,MATCH(MOD('Map 2 Do Touch'!Z18,4),$O$3:$O$6,0),MATCH(MOD('Map 2 Do Touch'!Z19,4),$P$2:$S$2,0)),'Map 3'!$AJ$4:$AJ$6,0),MATCH(IF('Map 2 Do Touch'!Z18&gt;4,"Water","Land"),'Map 3'!$AK$3:$AL$3,0))))</f>
        <v>Ocean</v>
      </c>
      <c r="AA23" s="3" t="str">
        <f ca="1">IF('Map 2 Do Touch'!Z18&lt;&gt;'Map 2 Do Touch'!Z19,IF('Map 2 Do Touch'!AA19&gt;4,INDEX($AG$4:$AH$6,MATCH(INDEX($I$3:$L$6,MATCH(MOD('Map 2 Do Touch'!Z19,4),$H$3:$H$6,0),MATCH(MOD('Map 2 Do Touch'!AA19,4),$I$2:$L$2,0)),$AF$4:$AF$6,0),MATCH(IF('Map 2 Do Touch'!Z19&gt;4,"Water","Land"),'Map 3'!$AG$3:$AH$3,0)),INDEX($AK$4:$AL$6,MATCH(INDEX($I$3:$L$6,MATCH(MOD('Map 2 Do Touch'!Z19,4),$H$3:$H$6,0),MATCH(MOD('Map 2 Do Touch'!AA19,4),$I$2:$L$2,0)),'Map 3'!$AJ$4:$AJ$6,0),MATCH(IF('Map 2 Do Touch'!Z19&gt;4,"Water","Land"),'Map 3'!$AK$3:$AL$3,0))),IF('Map 2 Do Touch'!AA19&gt;4,INDEX($AG$4:$AH$6,MATCH(INDEX($P$3:$S$6,MATCH(MOD('Map 2 Do Touch'!AA18,4),$O$3:$O$6,0),MATCH(MOD('Map 2 Do Touch'!AA19,4),$P$2:$S$2,0)),$AF$4:$AF$6,0),MATCH(IF('Map 2 Do Touch'!AA18&gt;4,"Water","Land"),'Map 3'!$AG$3:$AH$3,0)),INDEX($AK$4:$AL$6,MATCH(INDEX($P$3:$S$6,MATCH(MOD('Map 2 Do Touch'!AA18,4),$O$3:$O$6,0),MATCH(MOD('Map 2 Do Touch'!AA19,4),$P$2:$S$2,0)),'Map 3'!$AJ$4:$AJ$6,0),MATCH(IF('Map 2 Do Touch'!AA18&gt;4,"Water","Land"),'Map 3'!$AK$3:$AL$3,0))))</f>
        <v>Ocean</v>
      </c>
      <c r="AB23" s="3" t="str">
        <f ca="1">IF('Map 2 Do Touch'!AA18&lt;&gt;'Map 2 Do Touch'!AA19,IF('Map 2 Do Touch'!AB19&gt;4,INDEX($AG$4:$AH$6,MATCH(INDEX($I$3:$L$6,MATCH(MOD('Map 2 Do Touch'!AA19,4),$H$3:$H$6,0),MATCH(MOD('Map 2 Do Touch'!AB19,4),$I$2:$L$2,0)),$AF$4:$AF$6,0),MATCH(IF('Map 2 Do Touch'!AA19&gt;4,"Water","Land"),'Map 3'!$AG$3:$AH$3,0)),INDEX($AK$4:$AL$6,MATCH(INDEX($I$3:$L$6,MATCH(MOD('Map 2 Do Touch'!AA19,4),$H$3:$H$6,0),MATCH(MOD('Map 2 Do Touch'!AB19,4),$I$2:$L$2,0)),'Map 3'!$AJ$4:$AJ$6,0),MATCH(IF('Map 2 Do Touch'!AA19&gt;4,"Water","Land"),'Map 3'!$AK$3:$AL$3,0))),IF('Map 2 Do Touch'!AB19&gt;4,INDEX($AG$4:$AH$6,MATCH(INDEX($P$3:$S$6,MATCH(MOD('Map 2 Do Touch'!AB18,4),$O$3:$O$6,0),MATCH(MOD('Map 2 Do Touch'!AB19,4),$P$2:$S$2,0)),$AF$4:$AF$6,0),MATCH(IF('Map 2 Do Touch'!AB18&gt;4,"Water","Land"),'Map 3'!$AG$3:$AH$3,0)),INDEX($AK$4:$AL$6,MATCH(INDEX($P$3:$S$6,MATCH(MOD('Map 2 Do Touch'!AB18,4),$O$3:$O$6,0),MATCH(MOD('Map 2 Do Touch'!AB19,4),$P$2:$S$2,0)),'Map 3'!$AJ$4:$AJ$6,0),MATCH(IF('Map 2 Do Touch'!AB18&gt;4,"Water","Land"),'Map 3'!$AK$3:$AL$3,0))))</f>
        <v>Ocean</v>
      </c>
      <c r="AC23" s="3" t="str">
        <f ca="1">IF('Map 2 Do Touch'!AB18&lt;&gt;'Map 2 Do Touch'!AB19,IF('Map 2 Do Touch'!AC19&gt;4,INDEX($AG$4:$AH$6,MATCH(INDEX($I$3:$L$6,MATCH(MOD('Map 2 Do Touch'!AB19,4),$H$3:$H$6,0),MATCH(MOD('Map 2 Do Touch'!AC19,4),$I$2:$L$2,0)),$AF$4:$AF$6,0),MATCH(IF('Map 2 Do Touch'!AB19&gt;4,"Water","Land"),'Map 3'!$AG$3:$AH$3,0)),INDEX($AK$4:$AL$6,MATCH(INDEX($I$3:$L$6,MATCH(MOD('Map 2 Do Touch'!AB19,4),$H$3:$H$6,0),MATCH(MOD('Map 2 Do Touch'!AC19,4),$I$2:$L$2,0)),'Map 3'!$AJ$4:$AJ$6,0),MATCH(IF('Map 2 Do Touch'!AB19&gt;4,"Water","Land"),'Map 3'!$AK$3:$AL$3,0))),IF('Map 2 Do Touch'!AC19&gt;4,INDEX($AG$4:$AH$6,MATCH(INDEX($P$3:$S$6,MATCH(MOD('Map 2 Do Touch'!AC18,4),$O$3:$O$6,0),MATCH(MOD('Map 2 Do Touch'!AC19,4),$P$2:$S$2,0)),$AF$4:$AF$6,0),MATCH(IF('Map 2 Do Touch'!AC18&gt;4,"Water","Land"),'Map 3'!$AG$3:$AH$3,0)),INDEX($AK$4:$AL$6,MATCH(INDEX($P$3:$S$6,MATCH(MOD('Map 2 Do Touch'!AC18,4),$O$3:$O$6,0),MATCH(MOD('Map 2 Do Touch'!AC19,4),$P$2:$S$2,0)),'Map 3'!$AJ$4:$AJ$6,0),MATCH(IF('Map 2 Do Touch'!AC18&gt;4,"Water","Land"),'Map 3'!$AK$3:$AL$3,0))))</f>
        <v>Coast</v>
      </c>
      <c r="AD23" s="3" t="str">
        <f ca="1">IF('Map 2 Do Touch'!AC18&lt;&gt;'Map 2 Do Touch'!AC19,IF('Map 2 Do Touch'!AD19&gt;4,INDEX($AG$4:$AH$6,MATCH(INDEX($I$3:$L$6,MATCH(MOD('Map 2 Do Touch'!AC19,4),$H$3:$H$6,0),MATCH(MOD('Map 2 Do Touch'!AD19,4),$I$2:$L$2,0)),$AF$4:$AF$6,0),MATCH(IF('Map 2 Do Touch'!AC19&gt;4,"Water","Land"),'Map 3'!$AG$3:$AH$3,0)),INDEX($AK$4:$AL$6,MATCH(INDEX($I$3:$L$6,MATCH(MOD('Map 2 Do Touch'!AC19,4),$H$3:$H$6,0),MATCH(MOD('Map 2 Do Touch'!AD19,4),$I$2:$L$2,0)),'Map 3'!$AJ$4:$AJ$6,0),MATCH(IF('Map 2 Do Touch'!AC19&gt;4,"Water","Land"),'Map 3'!$AK$3:$AL$3,0))),IF('Map 2 Do Touch'!AD19&gt;4,INDEX($AG$4:$AH$6,MATCH(INDEX($P$3:$S$6,MATCH(MOD('Map 2 Do Touch'!AD18,4),$O$3:$O$6,0),MATCH(MOD('Map 2 Do Touch'!AD19,4),$P$2:$S$2,0)),$AF$4:$AF$6,0),MATCH(IF('Map 2 Do Touch'!AD18&gt;4,"Water","Land"),'Map 3'!$AG$3:$AH$3,0)),INDEX($AK$4:$AL$6,MATCH(INDEX($P$3:$S$6,MATCH(MOD('Map 2 Do Touch'!AD18,4),$O$3:$O$6,0),MATCH(MOD('Map 2 Do Touch'!AD19,4),$P$2:$S$2,0)),'Map 3'!$AJ$4:$AJ$6,0),MATCH(IF('Map 2 Do Touch'!AD18&gt;4,"Water","Land"),'Map 3'!$AK$3:$AL$3,0))))</f>
        <v>Coast</v>
      </c>
      <c r="AE23" s="3" t="str">
        <f ca="1">IF('Map 2 Do Touch'!AD18&lt;&gt;'Map 2 Do Touch'!AD19,IF('Map 2 Do Touch'!AE19&gt;4,INDEX($AG$4:$AH$6,MATCH(INDEX($I$3:$L$6,MATCH(MOD('Map 2 Do Touch'!AD19,4),$H$3:$H$6,0),MATCH(MOD('Map 2 Do Touch'!AE19,4),$I$2:$L$2,0)),$AF$4:$AF$6,0),MATCH(IF('Map 2 Do Touch'!AD19&gt;4,"Water","Land"),'Map 3'!$AG$3:$AH$3,0)),INDEX($AK$4:$AL$6,MATCH(INDEX($I$3:$L$6,MATCH(MOD('Map 2 Do Touch'!AD19,4),$H$3:$H$6,0),MATCH(MOD('Map 2 Do Touch'!AE19,4),$I$2:$L$2,0)),'Map 3'!$AJ$4:$AJ$6,0),MATCH(IF('Map 2 Do Touch'!AD19&gt;4,"Water","Land"),'Map 3'!$AK$3:$AL$3,0))),IF('Map 2 Do Touch'!AE19&gt;4,INDEX($AG$4:$AH$6,MATCH(INDEX($P$3:$S$6,MATCH(MOD('Map 2 Do Touch'!AE18,4),$O$3:$O$6,0),MATCH(MOD('Map 2 Do Touch'!AE19,4),$P$2:$S$2,0)),$AF$4:$AF$6,0),MATCH(IF('Map 2 Do Touch'!AE18&gt;4,"Water","Land"),'Map 3'!$AG$3:$AH$3,0)),INDEX($AK$4:$AL$6,MATCH(INDEX($P$3:$S$6,MATCH(MOD('Map 2 Do Touch'!AE18,4),$O$3:$O$6,0),MATCH(MOD('Map 2 Do Touch'!AE19,4),$P$2:$S$2,0)),'Map 3'!$AJ$4:$AJ$6,0),MATCH(IF('Map 2 Do Touch'!AE18&gt;4,"Water","Land"),'Map 3'!$AK$3:$AL$3,0))))</f>
        <v>Ocean</v>
      </c>
      <c r="AF23" s="3" t="str">
        <f ca="1">IF('Map 2 Do Touch'!AE18&lt;&gt;'Map 2 Do Touch'!AE19,IF('Map 2 Do Touch'!AF19&gt;4,INDEX($AG$4:$AH$6,MATCH(INDEX($I$3:$L$6,MATCH(MOD('Map 2 Do Touch'!AE19,4),$H$3:$H$6,0),MATCH(MOD('Map 2 Do Touch'!AF19,4),$I$2:$L$2,0)),$AF$4:$AF$6,0),MATCH(IF('Map 2 Do Touch'!AE19&gt;4,"Water","Land"),'Map 3'!$AG$3:$AH$3,0)),INDEX($AK$4:$AL$6,MATCH(INDEX($I$3:$L$6,MATCH(MOD('Map 2 Do Touch'!AE19,4),$H$3:$H$6,0),MATCH(MOD('Map 2 Do Touch'!AF19,4),$I$2:$L$2,0)),'Map 3'!$AJ$4:$AJ$6,0),MATCH(IF('Map 2 Do Touch'!AE19&gt;4,"Water","Land"),'Map 3'!$AK$3:$AL$3,0))),IF('Map 2 Do Touch'!AF19&gt;4,INDEX($AG$4:$AH$6,MATCH(INDEX($P$3:$S$6,MATCH(MOD('Map 2 Do Touch'!AF18,4),$O$3:$O$6,0),MATCH(MOD('Map 2 Do Touch'!AF19,4),$P$2:$S$2,0)),$AF$4:$AF$6,0),MATCH(IF('Map 2 Do Touch'!AF18&gt;4,"Water","Land"),'Map 3'!$AG$3:$AH$3,0)),INDEX($AK$4:$AL$6,MATCH(INDEX($P$3:$S$6,MATCH(MOD('Map 2 Do Touch'!AF18,4),$O$3:$O$6,0),MATCH(MOD('Map 2 Do Touch'!AF19,4),$P$2:$S$2,0)),'Map 3'!$AJ$4:$AJ$6,0),MATCH(IF('Map 2 Do Touch'!AF18&gt;4,"Water","Land"),'Map 3'!$AK$3:$AL$3,0))))</f>
        <v>Ocean</v>
      </c>
      <c r="AG23" s="3" t="str">
        <f ca="1">IF('Map 2 Do Touch'!AF18&lt;&gt;'Map 2 Do Touch'!AF19,IF('Map 2 Do Touch'!AG19&gt;4,INDEX($AG$4:$AH$6,MATCH(INDEX($I$3:$L$6,MATCH(MOD('Map 2 Do Touch'!AF19,4),$H$3:$H$6,0),MATCH(MOD('Map 2 Do Touch'!AG19,4),$I$2:$L$2,0)),$AF$4:$AF$6,0),MATCH(IF('Map 2 Do Touch'!AF19&gt;4,"Water","Land"),'Map 3'!$AG$3:$AH$3,0)),INDEX($AK$4:$AL$6,MATCH(INDEX($I$3:$L$6,MATCH(MOD('Map 2 Do Touch'!AF19,4),$H$3:$H$6,0),MATCH(MOD('Map 2 Do Touch'!AG19,4),$I$2:$L$2,0)),'Map 3'!$AJ$4:$AJ$6,0),MATCH(IF('Map 2 Do Touch'!AF19&gt;4,"Water","Land"),'Map 3'!$AK$3:$AL$3,0))),IF('Map 2 Do Touch'!AG19&gt;4,INDEX($AG$4:$AH$6,MATCH(INDEX($P$3:$S$6,MATCH(MOD('Map 2 Do Touch'!AG18,4),$O$3:$O$6,0),MATCH(MOD('Map 2 Do Touch'!AG19,4),$P$2:$S$2,0)),$AF$4:$AF$6,0),MATCH(IF('Map 2 Do Touch'!AG18&gt;4,"Water","Land"),'Map 3'!$AG$3:$AH$3,0)),INDEX($AK$4:$AL$6,MATCH(INDEX($P$3:$S$6,MATCH(MOD('Map 2 Do Touch'!AG18,4),$O$3:$O$6,0),MATCH(MOD('Map 2 Do Touch'!AG19,4),$P$2:$S$2,0)),'Map 3'!$AJ$4:$AJ$6,0),MATCH(IF('Map 2 Do Touch'!AG18&gt;4,"Water","Land"),'Map 3'!$AK$3:$AL$3,0))))</f>
        <v>Ocean</v>
      </c>
      <c r="AH23" s="3" t="str">
        <f ca="1">IF('Map 2 Do Touch'!AG18&lt;&gt;'Map 2 Do Touch'!AG19,IF('Map 2 Do Touch'!AH19&gt;4,INDEX($AG$4:$AH$6,MATCH(INDEX($I$3:$L$6,MATCH(MOD('Map 2 Do Touch'!AG19,4),$H$3:$H$6,0),MATCH(MOD('Map 2 Do Touch'!AH19,4),$I$2:$L$2,0)),$AF$4:$AF$6,0),MATCH(IF('Map 2 Do Touch'!AG19&gt;4,"Water","Land"),'Map 3'!$AG$3:$AH$3,0)),INDEX($AK$4:$AL$6,MATCH(INDEX($I$3:$L$6,MATCH(MOD('Map 2 Do Touch'!AG19,4),$H$3:$H$6,0),MATCH(MOD('Map 2 Do Touch'!AH19,4),$I$2:$L$2,0)),'Map 3'!$AJ$4:$AJ$6,0),MATCH(IF('Map 2 Do Touch'!AG19&gt;4,"Water","Land"),'Map 3'!$AK$3:$AL$3,0))),IF('Map 2 Do Touch'!AH19&gt;4,INDEX($AG$4:$AH$6,MATCH(INDEX($P$3:$S$6,MATCH(MOD('Map 2 Do Touch'!AH18,4),$O$3:$O$6,0),MATCH(MOD('Map 2 Do Touch'!AH19,4),$P$2:$S$2,0)),$AF$4:$AF$6,0),MATCH(IF('Map 2 Do Touch'!AH18&gt;4,"Water","Land"),'Map 3'!$AG$3:$AH$3,0)),INDEX($AK$4:$AL$6,MATCH(INDEX($P$3:$S$6,MATCH(MOD('Map 2 Do Touch'!AH18,4),$O$3:$O$6,0),MATCH(MOD('Map 2 Do Touch'!AH19,4),$P$2:$S$2,0)),'Map 3'!$AJ$4:$AJ$6,0),MATCH(IF('Map 2 Do Touch'!AH18&gt;4,"Water","Land"),'Map 3'!$AK$3:$AL$3,0))))</f>
        <v>Island</v>
      </c>
      <c r="AI23" s="3" t="str">
        <f ca="1">IF('Map 2 Do Touch'!AH18&lt;&gt;'Map 2 Do Touch'!AH19,IF('Map 2 Do Touch'!AI19&gt;4,INDEX($AG$4:$AH$6,MATCH(INDEX($I$3:$L$6,MATCH(MOD('Map 2 Do Touch'!AH19,4),$H$3:$H$6,0),MATCH(MOD('Map 2 Do Touch'!AI19,4),$I$2:$L$2,0)),$AF$4:$AF$6,0),MATCH(IF('Map 2 Do Touch'!AH19&gt;4,"Water","Land"),'Map 3'!$AG$3:$AH$3,0)),INDEX($AK$4:$AL$6,MATCH(INDEX($I$3:$L$6,MATCH(MOD('Map 2 Do Touch'!AH19,4),$H$3:$H$6,0),MATCH(MOD('Map 2 Do Touch'!AI19,4),$I$2:$L$2,0)),'Map 3'!$AJ$4:$AJ$6,0),MATCH(IF('Map 2 Do Touch'!AH19&gt;4,"Water","Land"),'Map 3'!$AK$3:$AL$3,0))),IF('Map 2 Do Touch'!AI19&gt;4,INDEX($AG$4:$AH$6,MATCH(INDEX($P$3:$S$6,MATCH(MOD('Map 2 Do Touch'!AI18,4),$O$3:$O$6,0),MATCH(MOD('Map 2 Do Touch'!AI19,4),$P$2:$S$2,0)),$AF$4:$AF$6,0),MATCH(IF('Map 2 Do Touch'!AI18&gt;4,"Water","Land"),'Map 3'!$AG$3:$AH$3,0)),INDEX($AK$4:$AL$6,MATCH(INDEX($P$3:$S$6,MATCH(MOD('Map 2 Do Touch'!AI18,4),$O$3:$O$6,0),MATCH(MOD('Map 2 Do Touch'!AI19,4),$P$2:$S$2,0)),'Map 3'!$AJ$4:$AJ$6,0),MATCH(IF('Map 2 Do Touch'!AI18&gt;4,"Water","Land"),'Map 3'!$AK$3:$AL$3,0))))</f>
        <v>Ocean</v>
      </c>
      <c r="AJ23" s="3" t="str">
        <f ca="1">IF('Map 2 Do Touch'!AI18&lt;&gt;'Map 2 Do Touch'!AI19,IF('Map 2 Do Touch'!AJ19&gt;4,INDEX($AG$4:$AH$6,MATCH(INDEX($I$3:$L$6,MATCH(MOD('Map 2 Do Touch'!AI19,4),$H$3:$H$6,0),MATCH(MOD('Map 2 Do Touch'!AJ19,4),$I$2:$L$2,0)),$AF$4:$AF$6,0),MATCH(IF('Map 2 Do Touch'!AI19&gt;4,"Water","Land"),'Map 3'!$AG$3:$AH$3,0)),INDEX($AK$4:$AL$6,MATCH(INDEX($I$3:$L$6,MATCH(MOD('Map 2 Do Touch'!AI19,4),$H$3:$H$6,0),MATCH(MOD('Map 2 Do Touch'!AJ19,4),$I$2:$L$2,0)),'Map 3'!$AJ$4:$AJ$6,0),MATCH(IF('Map 2 Do Touch'!AI19&gt;4,"Water","Land"),'Map 3'!$AK$3:$AL$3,0))),IF('Map 2 Do Touch'!AJ19&gt;4,INDEX($AG$4:$AH$6,MATCH(INDEX($P$3:$S$6,MATCH(MOD('Map 2 Do Touch'!AJ18,4),$O$3:$O$6,0),MATCH(MOD('Map 2 Do Touch'!AJ19,4),$P$2:$S$2,0)),$AF$4:$AF$6,0),MATCH(IF('Map 2 Do Touch'!AJ18&gt;4,"Water","Land"),'Map 3'!$AG$3:$AH$3,0)),INDEX($AK$4:$AL$6,MATCH(INDEX($P$3:$S$6,MATCH(MOD('Map 2 Do Touch'!AJ18,4),$O$3:$O$6,0),MATCH(MOD('Map 2 Do Touch'!AJ19,4),$P$2:$S$2,0)),'Map 3'!$AJ$4:$AJ$6,0),MATCH(IF('Map 2 Do Touch'!AJ18&gt;4,"Water","Land"),'Map 3'!$AK$3:$AL$3,0))))</f>
        <v>Ocean</v>
      </c>
      <c r="AK23" s="3" t="str">
        <f ca="1">IF('Map 2 Do Touch'!AJ18&lt;&gt;'Map 2 Do Touch'!AJ19,IF('Map 2 Do Touch'!AK19&gt;4,INDEX($AG$4:$AH$6,MATCH(INDEX($I$3:$L$6,MATCH(MOD('Map 2 Do Touch'!AJ19,4),$H$3:$H$6,0),MATCH(MOD('Map 2 Do Touch'!AK19,4),$I$2:$L$2,0)),$AF$4:$AF$6,0),MATCH(IF('Map 2 Do Touch'!AJ19&gt;4,"Water","Land"),'Map 3'!$AG$3:$AH$3,0)),INDEX($AK$4:$AL$6,MATCH(INDEX($I$3:$L$6,MATCH(MOD('Map 2 Do Touch'!AJ19,4),$H$3:$H$6,0),MATCH(MOD('Map 2 Do Touch'!AK19,4),$I$2:$L$2,0)),'Map 3'!$AJ$4:$AJ$6,0),MATCH(IF('Map 2 Do Touch'!AJ19&gt;4,"Water","Land"),'Map 3'!$AK$3:$AL$3,0))),IF('Map 2 Do Touch'!AK19&gt;4,INDEX($AG$4:$AH$6,MATCH(INDEX($P$3:$S$6,MATCH(MOD('Map 2 Do Touch'!AK18,4),$O$3:$O$6,0),MATCH(MOD('Map 2 Do Touch'!AK19,4),$P$2:$S$2,0)),$AF$4:$AF$6,0),MATCH(IF('Map 2 Do Touch'!AK18&gt;4,"Water","Land"),'Map 3'!$AG$3:$AH$3,0)),INDEX($AK$4:$AL$6,MATCH(INDEX($P$3:$S$6,MATCH(MOD('Map 2 Do Touch'!AK18,4),$O$3:$O$6,0),MATCH(MOD('Map 2 Do Touch'!AK19,4),$P$2:$S$2,0)),'Map 3'!$AJ$4:$AJ$6,0),MATCH(IF('Map 2 Do Touch'!AK18&gt;4,"Water","Land"),'Map 3'!$AK$3:$AL$3,0))))</f>
        <v>Ocean</v>
      </c>
      <c r="AL23" s="3" t="str">
        <f ca="1">IF('Map 2 Do Touch'!AK18&lt;&gt;'Map 2 Do Touch'!AK19,IF('Map 2 Do Touch'!AL19&gt;4,INDEX($AG$4:$AH$6,MATCH(INDEX($I$3:$L$6,MATCH(MOD('Map 2 Do Touch'!AK19,4),$H$3:$H$6,0),MATCH(MOD('Map 2 Do Touch'!AL19,4),$I$2:$L$2,0)),$AF$4:$AF$6,0),MATCH(IF('Map 2 Do Touch'!AK19&gt;4,"Water","Land"),'Map 3'!$AG$3:$AH$3,0)),INDEX($AK$4:$AL$6,MATCH(INDEX($I$3:$L$6,MATCH(MOD('Map 2 Do Touch'!AK19,4),$H$3:$H$6,0),MATCH(MOD('Map 2 Do Touch'!AL19,4),$I$2:$L$2,0)),'Map 3'!$AJ$4:$AJ$6,0),MATCH(IF('Map 2 Do Touch'!AK19&gt;4,"Water","Land"),'Map 3'!$AK$3:$AL$3,0))),IF('Map 2 Do Touch'!AL19&gt;4,INDEX($AG$4:$AH$6,MATCH(INDEX($P$3:$S$6,MATCH(MOD('Map 2 Do Touch'!AL18,4),$O$3:$O$6,0),MATCH(MOD('Map 2 Do Touch'!AL19,4),$P$2:$S$2,0)),$AF$4:$AF$6,0),MATCH(IF('Map 2 Do Touch'!AL18&gt;4,"Water","Land"),'Map 3'!$AG$3:$AH$3,0)),INDEX($AK$4:$AL$6,MATCH(INDEX($P$3:$S$6,MATCH(MOD('Map 2 Do Touch'!AL18,4),$O$3:$O$6,0),MATCH(MOD('Map 2 Do Touch'!AL19,4),$P$2:$S$2,0)),'Map 3'!$AJ$4:$AJ$6,0),MATCH(IF('Map 2 Do Touch'!AL18&gt;4,"Water","Land"),'Map 3'!$AK$3:$AL$3,0))))</f>
        <v>Ocean</v>
      </c>
      <c r="AM23" s="3" t="str">
        <f ca="1">IF('Map 2 Do Touch'!AL18&lt;&gt;'Map 2 Do Touch'!AL19,IF('Map 2 Do Touch'!AM19&gt;4,INDEX($AG$4:$AH$6,MATCH(INDEX($I$3:$L$6,MATCH(MOD('Map 2 Do Touch'!AL19,4),$H$3:$H$6,0),MATCH(MOD('Map 2 Do Touch'!AM19,4),$I$2:$L$2,0)),$AF$4:$AF$6,0),MATCH(IF('Map 2 Do Touch'!AL19&gt;4,"Water","Land"),'Map 3'!$AG$3:$AH$3,0)),INDEX($AK$4:$AL$6,MATCH(INDEX($I$3:$L$6,MATCH(MOD('Map 2 Do Touch'!AL19,4),$H$3:$H$6,0),MATCH(MOD('Map 2 Do Touch'!AM19,4),$I$2:$L$2,0)),'Map 3'!$AJ$4:$AJ$6,0),MATCH(IF('Map 2 Do Touch'!AL19&gt;4,"Water","Land"),'Map 3'!$AK$3:$AL$3,0))),IF('Map 2 Do Touch'!AM19&gt;4,INDEX($AG$4:$AH$6,MATCH(INDEX($P$3:$S$6,MATCH(MOD('Map 2 Do Touch'!AM18,4),$O$3:$O$6,0),MATCH(MOD('Map 2 Do Touch'!AM19,4),$P$2:$S$2,0)),$AF$4:$AF$6,0),MATCH(IF('Map 2 Do Touch'!AM18&gt;4,"Water","Land"),'Map 3'!$AG$3:$AH$3,0)),INDEX($AK$4:$AL$6,MATCH(INDEX($P$3:$S$6,MATCH(MOD('Map 2 Do Touch'!AM18,4),$O$3:$O$6,0),MATCH(MOD('Map 2 Do Touch'!AM19,4),$P$2:$S$2,0)),'Map 3'!$AJ$4:$AJ$6,0),MATCH(IF('Map 2 Do Touch'!AM18&gt;4,"Water","Land"),'Map 3'!$AK$3:$AL$3,0))))</f>
        <v>Ocean</v>
      </c>
      <c r="AN23" s="3" t="str">
        <f ca="1">IF('Map 2 Do Touch'!AM18&lt;&gt;'Map 2 Do Touch'!AM19,IF('Map 2 Do Touch'!AN19&gt;4,INDEX($AG$4:$AH$6,MATCH(INDEX($I$3:$L$6,MATCH(MOD('Map 2 Do Touch'!AM19,4),$H$3:$H$6,0),MATCH(MOD('Map 2 Do Touch'!AN19,4),$I$2:$L$2,0)),$AF$4:$AF$6,0),MATCH(IF('Map 2 Do Touch'!AM19&gt;4,"Water","Land"),'Map 3'!$AG$3:$AH$3,0)),INDEX($AK$4:$AL$6,MATCH(INDEX($I$3:$L$6,MATCH(MOD('Map 2 Do Touch'!AM19,4),$H$3:$H$6,0),MATCH(MOD('Map 2 Do Touch'!AN19,4),$I$2:$L$2,0)),'Map 3'!$AJ$4:$AJ$6,0),MATCH(IF('Map 2 Do Touch'!AM19&gt;4,"Water","Land"),'Map 3'!$AK$3:$AL$3,0))),IF('Map 2 Do Touch'!AN19&gt;4,INDEX($AG$4:$AH$6,MATCH(INDEX($P$3:$S$6,MATCH(MOD('Map 2 Do Touch'!AN18,4),$O$3:$O$6,0),MATCH(MOD('Map 2 Do Touch'!AN19,4),$P$2:$S$2,0)),$AF$4:$AF$6,0),MATCH(IF('Map 2 Do Touch'!AN18&gt;4,"Water","Land"),'Map 3'!$AG$3:$AH$3,0)),INDEX($AK$4:$AL$6,MATCH(INDEX($P$3:$S$6,MATCH(MOD('Map 2 Do Touch'!AN18,4),$O$3:$O$6,0),MATCH(MOD('Map 2 Do Touch'!AN19,4),$P$2:$S$2,0)),'Map 3'!$AJ$4:$AJ$6,0),MATCH(IF('Map 2 Do Touch'!AN18&gt;4,"Water","Land"),'Map 3'!$AK$3:$AL$3,0))))</f>
        <v>Ocean</v>
      </c>
      <c r="AO23" s="87" t="str">
        <f ca="1">IF('Map 2 Do Touch'!AN18&lt;&gt;'Map 2 Do Touch'!AN19,IF('Map 2 Do Touch'!AO19&gt;4,INDEX($AG$4:$AH$6,MATCH(INDEX($I$3:$L$6,MATCH(MOD('Map 2 Do Touch'!AN19,4),$H$3:$H$6,0),MATCH(MOD('Map 2 Do Touch'!AO19,4),$I$2:$L$2,0)),$AF$4:$AF$6,0),MATCH(IF('Map 2 Do Touch'!AN19&gt;4,"Water","Land"),'Map 3'!$AG$3:$AH$3,0)),INDEX($AK$4:$AL$6,MATCH(INDEX($I$3:$L$6,MATCH(MOD('Map 2 Do Touch'!AN19,4),$H$3:$H$6,0),MATCH(MOD('Map 2 Do Touch'!AO19,4),$I$2:$L$2,0)),'Map 3'!$AJ$4:$AJ$6,0),MATCH(IF('Map 2 Do Touch'!AN19&gt;4,"Water","Land"),'Map 3'!$AK$3:$AL$3,0))),IF('Map 2 Do Touch'!AO19&gt;4,INDEX($AG$4:$AH$6,MATCH(INDEX($P$3:$S$6,MATCH(MOD('Map 2 Do Touch'!AO18,4),$O$3:$O$6,0),MATCH(MOD('Map 2 Do Touch'!AO19,4),$P$2:$S$2,0)),$AF$4:$AF$6,0),MATCH(IF('Map 2 Do Touch'!AO18&gt;4,"Water","Land"),'Map 3'!$AG$3:$AH$3,0)),INDEX($AK$4:$AL$6,MATCH(INDEX($P$3:$S$6,MATCH(MOD('Map 2 Do Touch'!AO18,4),$O$3:$O$6,0),MATCH(MOD('Map 2 Do Touch'!AO19,4),$P$2:$S$2,0)),'Map 3'!$AJ$4:$AJ$6,0),MATCH(IF('Map 2 Do Touch'!AO18&gt;4,"Water","Land"),'Map 3'!$AK$3:$AL$3,0))))</f>
        <v>Island</v>
      </c>
      <c r="AP23" s="3"/>
    </row>
    <row r="24" spans="1:42" ht="37.5" customHeight="1">
      <c r="A24" s="3">
        <v>13</v>
      </c>
      <c r="B24" s="86" t="str">
        <f ca="1">IF('Map 2 Do Touch'!B19&lt;&gt;'Map 2 Do Touch'!B20,IF('Map 2 Do Touch'!B20&gt;4,INDEX($AG$4:$AH$6,MATCH(INDEX($I$3:$L$6,MATCH(MOD('Map 2 Do Touch'!AO20,4),$H$3:$H$6,0),MATCH(MOD('Map 2 Do Touch'!B20,4),$I$2:$L$2,0)),$AF$4:$AF$6,0),MATCH(IF('Map 2 Do Touch'!AO20&gt;4,"Water","Land"),'Map 3'!$AG$3:$AH$3,0)),INDEX($AK$4:$AL$6,MATCH(INDEX($I$3:$L$6,MATCH(MOD('Map 2 Do Touch'!A20,4),$H$3:$H$6,0),MATCH(MOD('Map 2 Do Touch'!B20,4),$I$2:$L$2,0)),'Map 3'!$AJ$4:$AJ$6,0),MATCH(IF('Map 2 Do Touch'!AO20&gt;4,"Water","Land"),'Map 3'!$AK$3:$AL$3,0))),IF('Map 2 Do Touch'!B20&gt;4,INDEX($AG$4:$AH$6,MATCH(INDEX($P$3:$S$6,MATCH(MOD('Map 2 Do Touch'!B19,4),$O$3:$O$6,0),MATCH(MOD('Map 2 Do Touch'!B20,4),$P$2:$S$2,0)),$AF$4:$AF$6,0),MATCH(IF('Map 2 Do Touch'!B19&gt;4,"Water","Land"),'Map 3'!$AG$3:$AH$3,0)),INDEX($AK$4:$AL$6,MATCH(INDEX($P$3:$S$6,MATCH(MOD('Map 2 Do Touch'!B19,4),$O$3:$O$6,0),MATCH(MOD('Map 2 Do Touch'!B20,4),$P$2:$S$2,0)),'Map 3'!$AJ$4:$AJ$6,0),MATCH(IF('Map 2 Do Touch'!B19&gt;4,"Water","Land"),'Map 3'!$AK$3:$AL$3,0))))</f>
        <v>Ocean</v>
      </c>
      <c r="C24" s="3" t="str">
        <f ca="1">IF('Map 2 Do Touch'!B19&lt;&gt;'Map 2 Do Touch'!B20,IF('Map 2 Do Touch'!C20&gt;4,INDEX($AG$4:$AH$6,MATCH(INDEX($I$3:$L$6,MATCH(MOD('Map 2 Do Touch'!B20,4),$H$3:$H$6,0),MATCH(MOD('Map 2 Do Touch'!C20,4),$I$2:$L$2,0)),$AF$4:$AF$6,0),MATCH(IF('Map 2 Do Touch'!B20&gt;4,"Water","Land"),'Map 3'!$AG$3:$AH$3,0)),INDEX($AK$4:$AL$6,MATCH(INDEX($I$3:$L$6,MATCH(MOD('Map 2 Do Touch'!B20,4),$H$3:$H$6,0),MATCH(MOD('Map 2 Do Touch'!C20,4),$I$2:$L$2,0)),'Map 3'!$AJ$4:$AJ$6,0),MATCH(IF('Map 2 Do Touch'!B20&gt;4,"Water","Land"),'Map 3'!$AK$3:$AL$3,0))),IF('Map 2 Do Touch'!C20&gt;4,INDEX($AG$4:$AH$6,MATCH(INDEX($P$3:$S$6,MATCH(MOD('Map 2 Do Touch'!C19,4),$O$3:$O$6,0),MATCH(MOD('Map 2 Do Touch'!C20,4),$P$2:$S$2,0)),$AF$4:$AF$6,0),MATCH(IF('Map 2 Do Touch'!C19&gt;4,"Water","Land"),'Map 3'!$AG$3:$AH$3,0)),INDEX($AK$4:$AL$6,MATCH(INDEX($P$3:$S$6,MATCH(MOD('Map 2 Do Touch'!C19,4),$O$3:$O$6,0),MATCH(MOD('Map 2 Do Touch'!C20,4),$P$2:$S$2,0)),'Map 3'!$AJ$4:$AJ$6,0),MATCH(IF('Map 2 Do Touch'!C19&gt;4,"Water","Land"),'Map 3'!$AK$3:$AL$3,0))))</f>
        <v>Trench</v>
      </c>
      <c r="D24" s="3" t="str">
        <f ca="1">IF('Map 2 Do Touch'!C19&lt;&gt;'Map 2 Do Touch'!C20,IF('Map 2 Do Touch'!D20&gt;4,INDEX($AG$4:$AH$6,MATCH(INDEX($I$3:$L$6,MATCH(MOD('Map 2 Do Touch'!C20,4),$H$3:$H$6,0),MATCH(MOD('Map 2 Do Touch'!D20,4),$I$2:$L$2,0)),$AF$4:$AF$6,0),MATCH(IF('Map 2 Do Touch'!C20&gt;4,"Water","Land"),'Map 3'!$AG$3:$AH$3,0)),INDEX($AK$4:$AL$6,MATCH(INDEX($I$3:$L$6,MATCH(MOD('Map 2 Do Touch'!C20,4),$H$3:$H$6,0),MATCH(MOD('Map 2 Do Touch'!D20,4),$I$2:$L$2,0)),'Map 3'!$AJ$4:$AJ$6,0),MATCH(IF('Map 2 Do Touch'!C20&gt;4,"Water","Land"),'Map 3'!$AK$3:$AL$3,0))),IF('Map 2 Do Touch'!D20&gt;4,INDEX($AG$4:$AH$6,MATCH(INDEX($P$3:$S$6,MATCH(MOD('Map 2 Do Touch'!D19,4),$O$3:$O$6,0),MATCH(MOD('Map 2 Do Touch'!D20,4),$P$2:$S$2,0)),$AF$4:$AF$6,0),MATCH(IF('Map 2 Do Touch'!D19&gt;4,"Water","Land"),'Map 3'!$AG$3:$AH$3,0)),INDEX($AK$4:$AL$6,MATCH(INDEX($P$3:$S$6,MATCH(MOD('Map 2 Do Touch'!D19,4),$O$3:$O$6,0),MATCH(MOD('Map 2 Do Touch'!D20,4),$P$2:$S$2,0)),'Map 3'!$AJ$4:$AJ$6,0),MATCH(IF('Map 2 Do Touch'!D19&gt;4,"Water","Land"),'Map 3'!$AK$3:$AL$3,0))))</f>
        <v>Ocean</v>
      </c>
      <c r="E24" s="3" t="str">
        <f ca="1">IF('Map 2 Do Touch'!D19&lt;&gt;'Map 2 Do Touch'!D20,IF('Map 2 Do Touch'!E20&gt;4,INDEX($AG$4:$AH$6,MATCH(INDEX($I$3:$L$6,MATCH(MOD('Map 2 Do Touch'!D20,4),$H$3:$H$6,0),MATCH(MOD('Map 2 Do Touch'!E20,4),$I$2:$L$2,0)),$AF$4:$AF$6,0),MATCH(IF('Map 2 Do Touch'!D20&gt;4,"Water","Land"),'Map 3'!$AG$3:$AH$3,0)),INDEX($AK$4:$AL$6,MATCH(INDEX($I$3:$L$6,MATCH(MOD('Map 2 Do Touch'!D20,4),$H$3:$H$6,0),MATCH(MOD('Map 2 Do Touch'!E20,4),$I$2:$L$2,0)),'Map 3'!$AJ$4:$AJ$6,0),MATCH(IF('Map 2 Do Touch'!D20&gt;4,"Water","Land"),'Map 3'!$AK$3:$AL$3,0))),IF('Map 2 Do Touch'!E20&gt;4,INDEX($AG$4:$AH$6,MATCH(INDEX($P$3:$S$6,MATCH(MOD('Map 2 Do Touch'!E19,4),$O$3:$O$6,0),MATCH(MOD('Map 2 Do Touch'!E20,4),$P$2:$S$2,0)),$AF$4:$AF$6,0),MATCH(IF('Map 2 Do Touch'!E19&gt;4,"Water","Land"),'Map 3'!$AG$3:$AH$3,0)),INDEX($AK$4:$AL$6,MATCH(INDEX($P$3:$S$6,MATCH(MOD('Map 2 Do Touch'!E19,4),$O$3:$O$6,0),MATCH(MOD('Map 2 Do Touch'!E20,4),$P$2:$S$2,0)),'Map 3'!$AJ$4:$AJ$6,0),MATCH(IF('Map 2 Do Touch'!E19&gt;4,"Water","Land"),'Map 3'!$AK$3:$AL$3,0))))</f>
        <v>Ocean</v>
      </c>
      <c r="F24" s="3" t="str">
        <f ca="1">IF('Map 2 Do Touch'!E19&lt;&gt;'Map 2 Do Touch'!E20,IF('Map 2 Do Touch'!F20&gt;4,INDEX($AG$4:$AH$6,MATCH(INDEX($I$3:$L$6,MATCH(MOD('Map 2 Do Touch'!E20,4),$H$3:$H$6,0),MATCH(MOD('Map 2 Do Touch'!F20,4),$I$2:$L$2,0)),$AF$4:$AF$6,0),MATCH(IF('Map 2 Do Touch'!E20&gt;4,"Water","Land"),'Map 3'!$AG$3:$AH$3,0)),INDEX($AK$4:$AL$6,MATCH(INDEX($I$3:$L$6,MATCH(MOD('Map 2 Do Touch'!E20,4),$H$3:$H$6,0),MATCH(MOD('Map 2 Do Touch'!F20,4),$I$2:$L$2,0)),'Map 3'!$AJ$4:$AJ$6,0),MATCH(IF('Map 2 Do Touch'!E20&gt;4,"Water","Land"),'Map 3'!$AK$3:$AL$3,0))),IF('Map 2 Do Touch'!F20&gt;4,INDEX($AG$4:$AH$6,MATCH(INDEX($P$3:$S$6,MATCH(MOD('Map 2 Do Touch'!F19,4),$O$3:$O$6,0),MATCH(MOD('Map 2 Do Touch'!F20,4),$P$2:$S$2,0)),$AF$4:$AF$6,0),MATCH(IF('Map 2 Do Touch'!F19&gt;4,"Water","Land"),'Map 3'!$AG$3:$AH$3,0)),INDEX($AK$4:$AL$6,MATCH(INDEX($P$3:$S$6,MATCH(MOD('Map 2 Do Touch'!F19,4),$O$3:$O$6,0),MATCH(MOD('Map 2 Do Touch'!F20,4),$P$2:$S$2,0)),'Map 3'!$AJ$4:$AJ$6,0),MATCH(IF('Map 2 Do Touch'!F19&gt;4,"Water","Land"),'Map 3'!$AK$3:$AL$3,0))))</f>
        <v>Trench</v>
      </c>
      <c r="G24" s="3" t="str">
        <f ca="1">IF('Map 2 Do Touch'!F19&lt;&gt;'Map 2 Do Touch'!F20,IF('Map 2 Do Touch'!G20&gt;4,INDEX($AG$4:$AH$6,MATCH(INDEX($I$3:$L$6,MATCH(MOD('Map 2 Do Touch'!F20,4),$H$3:$H$6,0),MATCH(MOD('Map 2 Do Touch'!G20,4),$I$2:$L$2,0)),$AF$4:$AF$6,0),MATCH(IF('Map 2 Do Touch'!F20&gt;4,"Water","Land"),'Map 3'!$AG$3:$AH$3,0)),INDEX($AK$4:$AL$6,MATCH(INDEX($I$3:$L$6,MATCH(MOD('Map 2 Do Touch'!F20,4),$H$3:$H$6,0),MATCH(MOD('Map 2 Do Touch'!G20,4),$I$2:$L$2,0)),'Map 3'!$AJ$4:$AJ$6,0),MATCH(IF('Map 2 Do Touch'!F20&gt;4,"Water","Land"),'Map 3'!$AK$3:$AL$3,0))),IF('Map 2 Do Touch'!G20&gt;4,INDEX($AG$4:$AH$6,MATCH(INDEX($P$3:$S$6,MATCH(MOD('Map 2 Do Touch'!G19,4),$O$3:$O$6,0),MATCH(MOD('Map 2 Do Touch'!G20,4),$P$2:$S$2,0)),$AF$4:$AF$6,0),MATCH(IF('Map 2 Do Touch'!G19&gt;4,"Water","Land"),'Map 3'!$AG$3:$AH$3,0)),INDEX($AK$4:$AL$6,MATCH(INDEX($P$3:$S$6,MATCH(MOD('Map 2 Do Touch'!G19,4),$O$3:$O$6,0),MATCH(MOD('Map 2 Do Touch'!G20,4),$P$2:$S$2,0)),'Map 3'!$AJ$4:$AJ$6,0),MATCH(IF('Map 2 Do Touch'!G19&gt;4,"Water","Land"),'Map 3'!$AK$3:$AL$3,0))))</f>
        <v>Trench</v>
      </c>
      <c r="H24" s="3" t="str">
        <f ca="1">IF('Map 2 Do Touch'!G19&lt;&gt;'Map 2 Do Touch'!G20,IF('Map 2 Do Touch'!H20&gt;4,INDEX($AG$4:$AH$6,MATCH(INDEX($I$3:$L$6,MATCH(MOD('Map 2 Do Touch'!G20,4),$H$3:$H$6,0),MATCH(MOD('Map 2 Do Touch'!H20,4),$I$2:$L$2,0)),$AF$4:$AF$6,0),MATCH(IF('Map 2 Do Touch'!G20&gt;4,"Water","Land"),'Map 3'!$AG$3:$AH$3,0)),INDEX($AK$4:$AL$6,MATCH(INDEX($I$3:$L$6,MATCH(MOD('Map 2 Do Touch'!G20,4),$H$3:$H$6,0),MATCH(MOD('Map 2 Do Touch'!H20,4),$I$2:$L$2,0)),'Map 3'!$AJ$4:$AJ$6,0),MATCH(IF('Map 2 Do Touch'!G20&gt;4,"Water","Land"),'Map 3'!$AK$3:$AL$3,0))),IF('Map 2 Do Touch'!H20&gt;4,INDEX($AG$4:$AH$6,MATCH(INDEX($P$3:$S$6,MATCH(MOD('Map 2 Do Touch'!H19,4),$O$3:$O$6,0),MATCH(MOD('Map 2 Do Touch'!H20,4),$P$2:$S$2,0)),$AF$4:$AF$6,0),MATCH(IF('Map 2 Do Touch'!H19&gt;4,"Water","Land"),'Map 3'!$AG$3:$AH$3,0)),INDEX($AK$4:$AL$6,MATCH(INDEX($P$3:$S$6,MATCH(MOD('Map 2 Do Touch'!H19,4),$O$3:$O$6,0),MATCH(MOD('Map 2 Do Touch'!H20,4),$P$2:$S$2,0)),'Map 3'!$AJ$4:$AJ$6,0),MATCH(IF('Map 2 Do Touch'!H19&gt;4,"Water","Land"),'Map 3'!$AK$3:$AL$3,0))))</f>
        <v>Island</v>
      </c>
      <c r="I24" s="3" t="str">
        <f ca="1">IF('Map 2 Do Touch'!H19&lt;&gt;'Map 2 Do Touch'!H20,IF('Map 2 Do Touch'!I20&gt;4,INDEX($AG$4:$AH$6,MATCH(INDEX($I$3:$L$6,MATCH(MOD('Map 2 Do Touch'!H20,4),$H$3:$H$6,0),MATCH(MOD('Map 2 Do Touch'!I20,4),$I$2:$L$2,0)),$AF$4:$AF$6,0),MATCH(IF('Map 2 Do Touch'!H20&gt;4,"Water","Land"),'Map 3'!$AG$3:$AH$3,0)),INDEX($AK$4:$AL$6,MATCH(INDEX($I$3:$L$6,MATCH(MOD('Map 2 Do Touch'!H20,4),$H$3:$H$6,0),MATCH(MOD('Map 2 Do Touch'!I20,4),$I$2:$L$2,0)),'Map 3'!$AJ$4:$AJ$6,0),MATCH(IF('Map 2 Do Touch'!H20&gt;4,"Water","Land"),'Map 3'!$AK$3:$AL$3,0))),IF('Map 2 Do Touch'!I20&gt;4,INDEX($AG$4:$AH$6,MATCH(INDEX($P$3:$S$6,MATCH(MOD('Map 2 Do Touch'!I19,4),$O$3:$O$6,0),MATCH(MOD('Map 2 Do Touch'!I20,4),$P$2:$S$2,0)),$AF$4:$AF$6,0),MATCH(IF('Map 2 Do Touch'!I19&gt;4,"Water","Land"),'Map 3'!$AG$3:$AH$3,0)),INDEX($AK$4:$AL$6,MATCH(INDEX($P$3:$S$6,MATCH(MOD('Map 2 Do Touch'!I19,4),$O$3:$O$6,0),MATCH(MOD('Map 2 Do Touch'!I20,4),$P$2:$S$2,0)),'Map 3'!$AJ$4:$AJ$6,0),MATCH(IF('Map 2 Do Touch'!I19&gt;4,"Water","Land"),'Map 3'!$AK$3:$AL$3,0))))</f>
        <v>Ocean</v>
      </c>
      <c r="J24" s="3" t="str">
        <f ca="1">IF('Map 2 Do Touch'!I19&lt;&gt;'Map 2 Do Touch'!I20,IF('Map 2 Do Touch'!J20&gt;4,INDEX($AG$4:$AH$6,MATCH(INDEX($I$3:$L$6,MATCH(MOD('Map 2 Do Touch'!I20,4),$H$3:$H$6,0),MATCH(MOD('Map 2 Do Touch'!J20,4),$I$2:$L$2,0)),$AF$4:$AF$6,0),MATCH(IF('Map 2 Do Touch'!I20&gt;4,"Water","Land"),'Map 3'!$AG$3:$AH$3,0)),INDEX($AK$4:$AL$6,MATCH(INDEX($I$3:$L$6,MATCH(MOD('Map 2 Do Touch'!I20,4),$H$3:$H$6,0),MATCH(MOD('Map 2 Do Touch'!J20,4),$I$2:$L$2,0)),'Map 3'!$AJ$4:$AJ$6,0),MATCH(IF('Map 2 Do Touch'!I20&gt;4,"Water","Land"),'Map 3'!$AK$3:$AL$3,0))),IF('Map 2 Do Touch'!J20&gt;4,INDEX($AG$4:$AH$6,MATCH(INDEX($P$3:$S$6,MATCH(MOD('Map 2 Do Touch'!J19,4),$O$3:$O$6,0),MATCH(MOD('Map 2 Do Touch'!J20,4),$P$2:$S$2,0)),$AF$4:$AF$6,0),MATCH(IF('Map 2 Do Touch'!J19&gt;4,"Water","Land"),'Map 3'!$AG$3:$AH$3,0)),INDEX($AK$4:$AL$6,MATCH(INDEX($P$3:$S$6,MATCH(MOD('Map 2 Do Touch'!J19,4),$O$3:$O$6,0),MATCH(MOD('Map 2 Do Touch'!J20,4),$P$2:$S$2,0)),'Map 3'!$AJ$4:$AJ$6,0),MATCH(IF('Map 2 Do Touch'!J19&gt;4,"Water","Land"),'Map 3'!$AK$3:$AL$3,0))))</f>
        <v>Ocean</v>
      </c>
      <c r="K24" s="3" t="str">
        <f ca="1">IF('Map 2 Do Touch'!J19&lt;&gt;'Map 2 Do Touch'!J20,IF('Map 2 Do Touch'!K20&gt;4,INDEX($AG$4:$AH$6,MATCH(INDEX($I$3:$L$6,MATCH(MOD('Map 2 Do Touch'!J20,4),$H$3:$H$6,0),MATCH(MOD('Map 2 Do Touch'!K20,4),$I$2:$L$2,0)),$AF$4:$AF$6,0),MATCH(IF('Map 2 Do Touch'!J20&gt;4,"Water","Land"),'Map 3'!$AG$3:$AH$3,0)),INDEX($AK$4:$AL$6,MATCH(INDEX($I$3:$L$6,MATCH(MOD('Map 2 Do Touch'!J20,4),$H$3:$H$6,0),MATCH(MOD('Map 2 Do Touch'!K20,4),$I$2:$L$2,0)),'Map 3'!$AJ$4:$AJ$6,0),MATCH(IF('Map 2 Do Touch'!J20&gt;4,"Water","Land"),'Map 3'!$AK$3:$AL$3,0))),IF('Map 2 Do Touch'!K20&gt;4,INDEX($AG$4:$AH$6,MATCH(INDEX($P$3:$S$6,MATCH(MOD('Map 2 Do Touch'!K19,4),$O$3:$O$6,0),MATCH(MOD('Map 2 Do Touch'!K20,4),$P$2:$S$2,0)),$AF$4:$AF$6,0),MATCH(IF('Map 2 Do Touch'!K19&gt;4,"Water","Land"),'Map 3'!$AG$3:$AH$3,0)),INDEX($AK$4:$AL$6,MATCH(INDEX($P$3:$S$6,MATCH(MOD('Map 2 Do Touch'!K19,4),$O$3:$O$6,0),MATCH(MOD('Map 2 Do Touch'!K20,4),$P$2:$S$2,0)),'Map 3'!$AJ$4:$AJ$6,0),MATCH(IF('Map 2 Do Touch'!K19&gt;4,"Water","Land"),'Map 3'!$AK$3:$AL$3,0))))</f>
        <v>Ocean</v>
      </c>
      <c r="L24" s="3" t="str">
        <f ca="1">IF('Map 2 Do Touch'!K19&lt;&gt;'Map 2 Do Touch'!K20,IF('Map 2 Do Touch'!L20&gt;4,INDEX($AG$4:$AH$6,MATCH(INDEX($I$3:$L$6,MATCH(MOD('Map 2 Do Touch'!K20,4),$H$3:$H$6,0),MATCH(MOD('Map 2 Do Touch'!L20,4),$I$2:$L$2,0)),$AF$4:$AF$6,0),MATCH(IF('Map 2 Do Touch'!K20&gt;4,"Water","Land"),'Map 3'!$AG$3:$AH$3,0)),INDEX($AK$4:$AL$6,MATCH(INDEX($I$3:$L$6,MATCH(MOD('Map 2 Do Touch'!K20,4),$H$3:$H$6,0),MATCH(MOD('Map 2 Do Touch'!L20,4),$I$2:$L$2,0)),'Map 3'!$AJ$4:$AJ$6,0),MATCH(IF('Map 2 Do Touch'!K20&gt;4,"Water","Land"),'Map 3'!$AK$3:$AL$3,0))),IF('Map 2 Do Touch'!L20&gt;4,INDEX($AG$4:$AH$6,MATCH(INDEX($P$3:$S$6,MATCH(MOD('Map 2 Do Touch'!L19,4),$O$3:$O$6,0),MATCH(MOD('Map 2 Do Touch'!L20,4),$P$2:$S$2,0)),$AF$4:$AF$6,0),MATCH(IF('Map 2 Do Touch'!L19&gt;4,"Water","Land"),'Map 3'!$AG$3:$AH$3,0)),INDEX($AK$4:$AL$6,MATCH(INDEX($P$3:$S$6,MATCH(MOD('Map 2 Do Touch'!L19,4),$O$3:$O$6,0),MATCH(MOD('Map 2 Do Touch'!L20,4),$P$2:$S$2,0)),'Map 3'!$AJ$4:$AJ$6,0),MATCH(IF('Map 2 Do Touch'!L19&gt;4,"Water","Land"),'Map 3'!$AK$3:$AL$3,0))))</f>
        <v>Ocean</v>
      </c>
      <c r="M24" s="3" t="str">
        <f ca="1">IF('Map 2 Do Touch'!L19&lt;&gt;'Map 2 Do Touch'!L20,IF('Map 2 Do Touch'!M20&gt;4,INDEX($AG$4:$AH$6,MATCH(INDEX($I$3:$L$6,MATCH(MOD('Map 2 Do Touch'!L20,4),$H$3:$H$6,0),MATCH(MOD('Map 2 Do Touch'!M20,4),$I$2:$L$2,0)),$AF$4:$AF$6,0),MATCH(IF('Map 2 Do Touch'!L20&gt;4,"Water","Land"),'Map 3'!$AG$3:$AH$3,0)),INDEX($AK$4:$AL$6,MATCH(INDEX($I$3:$L$6,MATCH(MOD('Map 2 Do Touch'!L20,4),$H$3:$H$6,0),MATCH(MOD('Map 2 Do Touch'!M20,4),$I$2:$L$2,0)),'Map 3'!$AJ$4:$AJ$6,0),MATCH(IF('Map 2 Do Touch'!L20&gt;4,"Water","Land"),'Map 3'!$AK$3:$AL$3,0))),IF('Map 2 Do Touch'!M20&gt;4,INDEX($AG$4:$AH$6,MATCH(INDEX($P$3:$S$6,MATCH(MOD('Map 2 Do Touch'!M19,4),$O$3:$O$6,0),MATCH(MOD('Map 2 Do Touch'!M20,4),$P$2:$S$2,0)),$AF$4:$AF$6,0),MATCH(IF('Map 2 Do Touch'!M19&gt;4,"Water","Land"),'Map 3'!$AG$3:$AH$3,0)),INDEX($AK$4:$AL$6,MATCH(INDEX($P$3:$S$6,MATCH(MOD('Map 2 Do Touch'!M19,4),$O$3:$O$6,0),MATCH(MOD('Map 2 Do Touch'!M20,4),$P$2:$S$2,0)),'Map 3'!$AJ$4:$AJ$6,0),MATCH(IF('Map 2 Do Touch'!M19&gt;4,"Water","Land"),'Map 3'!$AK$3:$AL$3,0))))</f>
        <v>Ocean</v>
      </c>
      <c r="N24" s="3" t="str">
        <f ca="1">IF('Map 2 Do Touch'!M19&lt;&gt;'Map 2 Do Touch'!M20,IF('Map 2 Do Touch'!N20&gt;4,INDEX($AG$4:$AH$6,MATCH(INDEX($I$3:$L$6,MATCH(MOD('Map 2 Do Touch'!M20,4),$H$3:$H$6,0),MATCH(MOD('Map 2 Do Touch'!N20,4),$I$2:$L$2,0)),$AF$4:$AF$6,0),MATCH(IF('Map 2 Do Touch'!M20&gt;4,"Water","Land"),'Map 3'!$AG$3:$AH$3,0)),INDEX($AK$4:$AL$6,MATCH(INDEX($I$3:$L$6,MATCH(MOD('Map 2 Do Touch'!M20,4),$H$3:$H$6,0),MATCH(MOD('Map 2 Do Touch'!N20,4),$I$2:$L$2,0)),'Map 3'!$AJ$4:$AJ$6,0),MATCH(IF('Map 2 Do Touch'!M20&gt;4,"Water","Land"),'Map 3'!$AK$3:$AL$3,0))),IF('Map 2 Do Touch'!N20&gt;4,INDEX($AG$4:$AH$6,MATCH(INDEX($P$3:$S$6,MATCH(MOD('Map 2 Do Touch'!N19,4),$O$3:$O$6,0),MATCH(MOD('Map 2 Do Touch'!N20,4),$P$2:$S$2,0)),$AF$4:$AF$6,0),MATCH(IF('Map 2 Do Touch'!N19&gt;4,"Water","Land"),'Map 3'!$AG$3:$AH$3,0)),INDEX($AK$4:$AL$6,MATCH(INDEX($P$3:$S$6,MATCH(MOD('Map 2 Do Touch'!N19,4),$O$3:$O$6,0),MATCH(MOD('Map 2 Do Touch'!N20,4),$P$2:$S$2,0)),'Map 3'!$AJ$4:$AJ$6,0),MATCH(IF('Map 2 Do Touch'!N19&gt;4,"Water","Land"),'Map 3'!$AK$3:$AL$3,0))))</f>
        <v>Ocean</v>
      </c>
      <c r="O24" s="3" t="str">
        <f ca="1">IF('Map 2 Do Touch'!N19&lt;&gt;'Map 2 Do Touch'!N20,IF('Map 2 Do Touch'!O20&gt;4,INDEX($AG$4:$AH$6,MATCH(INDEX($I$3:$L$6,MATCH(MOD('Map 2 Do Touch'!N20,4),$H$3:$H$6,0),MATCH(MOD('Map 2 Do Touch'!O20,4),$I$2:$L$2,0)),$AF$4:$AF$6,0),MATCH(IF('Map 2 Do Touch'!N20&gt;4,"Water","Land"),'Map 3'!$AG$3:$AH$3,0)),INDEX($AK$4:$AL$6,MATCH(INDEX($I$3:$L$6,MATCH(MOD('Map 2 Do Touch'!N20,4),$H$3:$H$6,0),MATCH(MOD('Map 2 Do Touch'!O20,4),$I$2:$L$2,0)),'Map 3'!$AJ$4:$AJ$6,0),MATCH(IF('Map 2 Do Touch'!N20&gt;4,"Water","Land"),'Map 3'!$AK$3:$AL$3,0))),IF('Map 2 Do Touch'!O20&gt;4,INDEX($AG$4:$AH$6,MATCH(INDEX($P$3:$S$6,MATCH(MOD('Map 2 Do Touch'!O19,4),$O$3:$O$6,0),MATCH(MOD('Map 2 Do Touch'!O20,4),$P$2:$S$2,0)),$AF$4:$AF$6,0),MATCH(IF('Map 2 Do Touch'!O19&gt;4,"Water","Land"),'Map 3'!$AG$3:$AH$3,0)),INDEX($AK$4:$AL$6,MATCH(INDEX($P$3:$S$6,MATCH(MOD('Map 2 Do Touch'!O19,4),$O$3:$O$6,0),MATCH(MOD('Map 2 Do Touch'!O20,4),$P$2:$S$2,0)),'Map 3'!$AJ$4:$AJ$6,0),MATCH(IF('Map 2 Do Touch'!O19&gt;4,"Water","Land"),'Map 3'!$AK$3:$AL$3,0))))</f>
        <v>Coast</v>
      </c>
      <c r="P24" s="3" t="str">
        <f ca="1">IF('Map 2 Do Touch'!O19&lt;&gt;'Map 2 Do Touch'!O20,IF('Map 2 Do Touch'!P20&gt;4,INDEX($AG$4:$AH$6,MATCH(INDEX($I$3:$L$6,MATCH(MOD('Map 2 Do Touch'!O20,4),$H$3:$H$6,0),MATCH(MOD('Map 2 Do Touch'!P20,4),$I$2:$L$2,0)),$AF$4:$AF$6,0),MATCH(IF('Map 2 Do Touch'!O20&gt;4,"Water","Land"),'Map 3'!$AG$3:$AH$3,0)),INDEX($AK$4:$AL$6,MATCH(INDEX($I$3:$L$6,MATCH(MOD('Map 2 Do Touch'!O20,4),$H$3:$H$6,0),MATCH(MOD('Map 2 Do Touch'!P20,4),$I$2:$L$2,0)),'Map 3'!$AJ$4:$AJ$6,0),MATCH(IF('Map 2 Do Touch'!O20&gt;4,"Water","Land"),'Map 3'!$AK$3:$AL$3,0))),IF('Map 2 Do Touch'!P20&gt;4,INDEX($AG$4:$AH$6,MATCH(INDEX($P$3:$S$6,MATCH(MOD('Map 2 Do Touch'!P19,4),$O$3:$O$6,0),MATCH(MOD('Map 2 Do Touch'!P20,4),$P$2:$S$2,0)),$AF$4:$AF$6,0),MATCH(IF('Map 2 Do Touch'!P19&gt;4,"Water","Land"),'Map 3'!$AG$3:$AH$3,0)),INDEX($AK$4:$AL$6,MATCH(INDEX($P$3:$S$6,MATCH(MOD('Map 2 Do Touch'!P19,4),$O$3:$O$6,0),MATCH(MOD('Map 2 Do Touch'!P20,4),$P$2:$S$2,0)),'Map 3'!$AJ$4:$AJ$6,0),MATCH(IF('Map 2 Do Touch'!P19&gt;4,"Water","Land"),'Map 3'!$AK$3:$AL$3,0))))</f>
        <v>Flatland</v>
      </c>
      <c r="Q24" s="3" t="str">
        <f ca="1">IF('Map 2 Do Touch'!P19&lt;&gt;'Map 2 Do Touch'!P20,IF('Map 2 Do Touch'!Q20&gt;4,INDEX($AG$4:$AH$6,MATCH(INDEX($I$3:$L$6,MATCH(MOD('Map 2 Do Touch'!P20,4),$H$3:$H$6,0),MATCH(MOD('Map 2 Do Touch'!Q20,4),$I$2:$L$2,0)),$AF$4:$AF$6,0),MATCH(IF('Map 2 Do Touch'!P20&gt;4,"Water","Land"),'Map 3'!$AG$3:$AH$3,0)),INDEX($AK$4:$AL$6,MATCH(INDEX($I$3:$L$6,MATCH(MOD('Map 2 Do Touch'!P20,4),$H$3:$H$6,0),MATCH(MOD('Map 2 Do Touch'!Q20,4),$I$2:$L$2,0)),'Map 3'!$AJ$4:$AJ$6,0),MATCH(IF('Map 2 Do Touch'!P20&gt;4,"Water","Land"),'Map 3'!$AK$3:$AL$3,0))),IF('Map 2 Do Touch'!Q20&gt;4,INDEX($AG$4:$AH$6,MATCH(INDEX($P$3:$S$6,MATCH(MOD('Map 2 Do Touch'!Q19,4),$O$3:$O$6,0),MATCH(MOD('Map 2 Do Touch'!Q20,4),$P$2:$S$2,0)),$AF$4:$AF$6,0),MATCH(IF('Map 2 Do Touch'!Q19&gt;4,"Water","Land"),'Map 3'!$AG$3:$AH$3,0)),INDEX($AK$4:$AL$6,MATCH(INDEX($P$3:$S$6,MATCH(MOD('Map 2 Do Touch'!Q19,4),$O$3:$O$6,0),MATCH(MOD('Map 2 Do Touch'!Q20,4),$P$2:$S$2,0)),'Map 3'!$AJ$4:$AJ$6,0),MATCH(IF('Map 2 Do Touch'!Q19&gt;4,"Water","Land"),'Map 3'!$AK$3:$AL$3,0))))</f>
        <v>Coast</v>
      </c>
      <c r="R24" s="3" t="str">
        <f ca="1">IF('Map 2 Do Touch'!Q19&lt;&gt;'Map 2 Do Touch'!Q20,IF('Map 2 Do Touch'!R20&gt;4,INDEX($AG$4:$AH$6,MATCH(INDEX($I$3:$L$6,MATCH(MOD('Map 2 Do Touch'!Q20,4),$H$3:$H$6,0),MATCH(MOD('Map 2 Do Touch'!R20,4),$I$2:$L$2,0)),$AF$4:$AF$6,0),MATCH(IF('Map 2 Do Touch'!Q20&gt;4,"Water","Land"),'Map 3'!$AG$3:$AH$3,0)),INDEX($AK$4:$AL$6,MATCH(INDEX($I$3:$L$6,MATCH(MOD('Map 2 Do Touch'!Q20,4),$H$3:$H$6,0),MATCH(MOD('Map 2 Do Touch'!R20,4),$I$2:$L$2,0)),'Map 3'!$AJ$4:$AJ$6,0),MATCH(IF('Map 2 Do Touch'!Q20&gt;4,"Water","Land"),'Map 3'!$AK$3:$AL$3,0))),IF('Map 2 Do Touch'!R20&gt;4,INDEX($AG$4:$AH$6,MATCH(INDEX($P$3:$S$6,MATCH(MOD('Map 2 Do Touch'!R19,4),$O$3:$O$6,0),MATCH(MOD('Map 2 Do Touch'!R20,4),$P$2:$S$2,0)),$AF$4:$AF$6,0),MATCH(IF('Map 2 Do Touch'!R19&gt;4,"Water","Land"),'Map 3'!$AG$3:$AH$3,0)),INDEX($AK$4:$AL$6,MATCH(INDEX($P$3:$S$6,MATCH(MOD('Map 2 Do Touch'!R19,4),$O$3:$O$6,0),MATCH(MOD('Map 2 Do Touch'!R20,4),$P$2:$S$2,0)),'Map 3'!$AJ$4:$AJ$6,0),MATCH(IF('Map 2 Do Touch'!R19&gt;4,"Water","Land"),'Map 3'!$AK$3:$AL$3,0))))</f>
        <v>Coast</v>
      </c>
      <c r="S24" s="3" t="str">
        <f ca="1">IF('Map 2 Do Touch'!R19&lt;&gt;'Map 2 Do Touch'!R20,IF('Map 2 Do Touch'!S20&gt;4,INDEX($AG$4:$AH$6,MATCH(INDEX($I$3:$L$6,MATCH(MOD('Map 2 Do Touch'!R20,4),$H$3:$H$6,0),MATCH(MOD('Map 2 Do Touch'!S20,4),$I$2:$L$2,0)),$AF$4:$AF$6,0),MATCH(IF('Map 2 Do Touch'!R20&gt;4,"Water","Land"),'Map 3'!$AG$3:$AH$3,0)),INDEX($AK$4:$AL$6,MATCH(INDEX($I$3:$L$6,MATCH(MOD('Map 2 Do Touch'!R20,4),$H$3:$H$6,0),MATCH(MOD('Map 2 Do Touch'!S20,4),$I$2:$L$2,0)),'Map 3'!$AJ$4:$AJ$6,0),MATCH(IF('Map 2 Do Touch'!R20&gt;4,"Water","Land"),'Map 3'!$AK$3:$AL$3,0))),IF('Map 2 Do Touch'!S20&gt;4,INDEX($AG$4:$AH$6,MATCH(INDEX($P$3:$S$6,MATCH(MOD('Map 2 Do Touch'!S19,4),$O$3:$O$6,0),MATCH(MOD('Map 2 Do Touch'!S20,4),$P$2:$S$2,0)),$AF$4:$AF$6,0),MATCH(IF('Map 2 Do Touch'!S19&gt;4,"Water","Land"),'Map 3'!$AG$3:$AH$3,0)),INDEX($AK$4:$AL$6,MATCH(INDEX($P$3:$S$6,MATCH(MOD('Map 2 Do Touch'!S19,4),$O$3:$O$6,0),MATCH(MOD('Map 2 Do Touch'!S20,4),$P$2:$S$2,0)),'Map 3'!$AJ$4:$AJ$6,0),MATCH(IF('Map 2 Do Touch'!S19&gt;4,"Water","Land"),'Map 3'!$AK$3:$AL$3,0))))</f>
        <v>Coast</v>
      </c>
      <c r="T24" s="3" t="str">
        <f ca="1">IF('Map 2 Do Touch'!S19&lt;&gt;'Map 2 Do Touch'!S20,IF('Map 2 Do Touch'!T20&gt;4,INDEX($AG$4:$AH$6,MATCH(INDEX($I$3:$L$6,MATCH(MOD('Map 2 Do Touch'!S20,4),$H$3:$H$6,0),MATCH(MOD('Map 2 Do Touch'!T20,4),$I$2:$L$2,0)),$AF$4:$AF$6,0),MATCH(IF('Map 2 Do Touch'!S20&gt;4,"Water","Land"),'Map 3'!$AG$3:$AH$3,0)),INDEX($AK$4:$AL$6,MATCH(INDEX($I$3:$L$6,MATCH(MOD('Map 2 Do Touch'!S20,4),$H$3:$H$6,0),MATCH(MOD('Map 2 Do Touch'!T20,4),$I$2:$L$2,0)),'Map 3'!$AJ$4:$AJ$6,0),MATCH(IF('Map 2 Do Touch'!S20&gt;4,"Water","Land"),'Map 3'!$AK$3:$AL$3,0))),IF('Map 2 Do Touch'!T20&gt;4,INDEX($AG$4:$AH$6,MATCH(INDEX($P$3:$S$6,MATCH(MOD('Map 2 Do Touch'!T19,4),$O$3:$O$6,0),MATCH(MOD('Map 2 Do Touch'!T20,4),$P$2:$S$2,0)),$AF$4:$AF$6,0),MATCH(IF('Map 2 Do Touch'!T19&gt;4,"Water","Land"),'Map 3'!$AG$3:$AH$3,0)),INDEX($AK$4:$AL$6,MATCH(INDEX($P$3:$S$6,MATCH(MOD('Map 2 Do Touch'!T19,4),$O$3:$O$6,0),MATCH(MOD('Map 2 Do Touch'!T20,4),$P$2:$S$2,0)),'Map 3'!$AJ$4:$AJ$6,0),MATCH(IF('Map 2 Do Touch'!T19&gt;4,"Water","Land"),'Map 3'!$AK$3:$AL$3,0))))</f>
        <v>Ocean</v>
      </c>
      <c r="U24" s="3" t="str">
        <f ca="1">IF('Map 2 Do Touch'!T19&lt;&gt;'Map 2 Do Touch'!T20,IF('Map 2 Do Touch'!U20&gt;4,INDEX($AG$4:$AH$6,MATCH(INDEX($I$3:$L$6,MATCH(MOD('Map 2 Do Touch'!T20,4),$H$3:$H$6,0),MATCH(MOD('Map 2 Do Touch'!U20,4),$I$2:$L$2,0)),$AF$4:$AF$6,0),MATCH(IF('Map 2 Do Touch'!T20&gt;4,"Water","Land"),'Map 3'!$AG$3:$AH$3,0)),INDEX($AK$4:$AL$6,MATCH(INDEX($I$3:$L$6,MATCH(MOD('Map 2 Do Touch'!T20,4),$H$3:$H$6,0),MATCH(MOD('Map 2 Do Touch'!U20,4),$I$2:$L$2,0)),'Map 3'!$AJ$4:$AJ$6,0),MATCH(IF('Map 2 Do Touch'!T20&gt;4,"Water","Land"),'Map 3'!$AK$3:$AL$3,0))),IF('Map 2 Do Touch'!U20&gt;4,INDEX($AG$4:$AH$6,MATCH(INDEX($P$3:$S$6,MATCH(MOD('Map 2 Do Touch'!U19,4),$O$3:$O$6,0),MATCH(MOD('Map 2 Do Touch'!U20,4),$P$2:$S$2,0)),$AF$4:$AF$6,0),MATCH(IF('Map 2 Do Touch'!U19&gt;4,"Water","Land"),'Map 3'!$AG$3:$AH$3,0)),INDEX($AK$4:$AL$6,MATCH(INDEX($P$3:$S$6,MATCH(MOD('Map 2 Do Touch'!U19,4),$O$3:$O$6,0),MATCH(MOD('Map 2 Do Touch'!U20,4),$P$2:$S$2,0)),'Map 3'!$AJ$4:$AJ$6,0),MATCH(IF('Map 2 Do Touch'!U19&gt;4,"Water","Land"),'Map 3'!$AK$3:$AL$3,0))))</f>
        <v>Ocean</v>
      </c>
      <c r="V24" s="3" t="str">
        <f ca="1">IF('Map 2 Do Touch'!U19&lt;&gt;'Map 2 Do Touch'!U20,IF('Map 2 Do Touch'!V20&gt;4,INDEX($AG$4:$AH$6,MATCH(INDEX($I$3:$L$6,MATCH(MOD('Map 2 Do Touch'!U20,4),$H$3:$H$6,0),MATCH(MOD('Map 2 Do Touch'!V20,4),$I$2:$L$2,0)),$AF$4:$AF$6,0),MATCH(IF('Map 2 Do Touch'!U20&gt;4,"Water","Land"),'Map 3'!$AG$3:$AH$3,0)),INDEX($AK$4:$AL$6,MATCH(INDEX($I$3:$L$6,MATCH(MOD('Map 2 Do Touch'!U20,4),$H$3:$H$6,0),MATCH(MOD('Map 2 Do Touch'!V20,4),$I$2:$L$2,0)),'Map 3'!$AJ$4:$AJ$6,0),MATCH(IF('Map 2 Do Touch'!U20&gt;4,"Water","Land"),'Map 3'!$AK$3:$AL$3,0))),IF('Map 2 Do Touch'!V20&gt;4,INDEX($AG$4:$AH$6,MATCH(INDEX($P$3:$S$6,MATCH(MOD('Map 2 Do Touch'!V19,4),$O$3:$O$6,0),MATCH(MOD('Map 2 Do Touch'!V20,4),$P$2:$S$2,0)),$AF$4:$AF$6,0),MATCH(IF('Map 2 Do Touch'!V19&gt;4,"Water","Land"),'Map 3'!$AG$3:$AH$3,0)),INDEX($AK$4:$AL$6,MATCH(INDEX($P$3:$S$6,MATCH(MOD('Map 2 Do Touch'!V19,4),$O$3:$O$6,0),MATCH(MOD('Map 2 Do Touch'!V20,4),$P$2:$S$2,0)),'Map 3'!$AJ$4:$AJ$6,0),MATCH(IF('Map 2 Do Touch'!V19&gt;4,"Water","Land"),'Map 3'!$AK$3:$AL$3,0))))</f>
        <v>Island</v>
      </c>
      <c r="W24" s="3" t="str">
        <f ca="1">IF('Map 2 Do Touch'!V19&lt;&gt;'Map 2 Do Touch'!V20,IF('Map 2 Do Touch'!W20&gt;4,INDEX($AG$4:$AH$6,MATCH(INDEX($I$3:$L$6,MATCH(MOD('Map 2 Do Touch'!V20,4),$H$3:$H$6,0),MATCH(MOD('Map 2 Do Touch'!W20,4),$I$2:$L$2,0)),$AF$4:$AF$6,0),MATCH(IF('Map 2 Do Touch'!V20&gt;4,"Water","Land"),'Map 3'!$AG$3:$AH$3,0)),INDEX($AK$4:$AL$6,MATCH(INDEX($I$3:$L$6,MATCH(MOD('Map 2 Do Touch'!V20,4),$H$3:$H$6,0),MATCH(MOD('Map 2 Do Touch'!W20,4),$I$2:$L$2,0)),'Map 3'!$AJ$4:$AJ$6,0),MATCH(IF('Map 2 Do Touch'!V20&gt;4,"Water","Land"),'Map 3'!$AK$3:$AL$3,0))),IF('Map 2 Do Touch'!W20&gt;4,INDEX($AG$4:$AH$6,MATCH(INDEX($P$3:$S$6,MATCH(MOD('Map 2 Do Touch'!W19,4),$O$3:$O$6,0),MATCH(MOD('Map 2 Do Touch'!W20,4),$P$2:$S$2,0)),$AF$4:$AF$6,0),MATCH(IF('Map 2 Do Touch'!W19&gt;4,"Water","Land"),'Map 3'!$AG$3:$AH$3,0)),INDEX($AK$4:$AL$6,MATCH(INDEX($P$3:$S$6,MATCH(MOD('Map 2 Do Touch'!W19,4),$O$3:$O$6,0),MATCH(MOD('Map 2 Do Touch'!W20,4),$P$2:$S$2,0)),'Map 3'!$AJ$4:$AJ$6,0),MATCH(IF('Map 2 Do Touch'!W19&gt;4,"Water","Land"),'Map 3'!$AK$3:$AL$3,0))))</f>
        <v>Coast</v>
      </c>
      <c r="X24" s="3" t="str">
        <f ca="1">IF('Map 2 Do Touch'!W19&lt;&gt;'Map 2 Do Touch'!W20,IF('Map 2 Do Touch'!X20&gt;4,INDEX($AG$4:$AH$6,MATCH(INDEX($I$3:$L$6,MATCH(MOD('Map 2 Do Touch'!W20,4),$H$3:$H$6,0),MATCH(MOD('Map 2 Do Touch'!X20,4),$I$2:$L$2,0)),$AF$4:$AF$6,0),MATCH(IF('Map 2 Do Touch'!W20&gt;4,"Water","Land"),'Map 3'!$AG$3:$AH$3,0)),INDEX($AK$4:$AL$6,MATCH(INDEX($I$3:$L$6,MATCH(MOD('Map 2 Do Touch'!W20,4),$H$3:$H$6,0),MATCH(MOD('Map 2 Do Touch'!X20,4),$I$2:$L$2,0)),'Map 3'!$AJ$4:$AJ$6,0),MATCH(IF('Map 2 Do Touch'!W20&gt;4,"Water","Land"),'Map 3'!$AK$3:$AL$3,0))),IF('Map 2 Do Touch'!X20&gt;4,INDEX($AG$4:$AH$6,MATCH(INDEX($P$3:$S$6,MATCH(MOD('Map 2 Do Touch'!X19,4),$O$3:$O$6,0),MATCH(MOD('Map 2 Do Touch'!X20,4),$P$2:$S$2,0)),$AF$4:$AF$6,0),MATCH(IF('Map 2 Do Touch'!X19&gt;4,"Water","Land"),'Map 3'!$AG$3:$AH$3,0)),INDEX($AK$4:$AL$6,MATCH(INDEX($P$3:$S$6,MATCH(MOD('Map 2 Do Touch'!X19,4),$O$3:$O$6,0),MATCH(MOD('Map 2 Do Touch'!X20,4),$P$2:$S$2,0)),'Map 3'!$AJ$4:$AJ$6,0),MATCH(IF('Map 2 Do Touch'!X19&gt;4,"Water","Land"),'Map 3'!$AK$3:$AL$3,0))))</f>
        <v>Coast</v>
      </c>
      <c r="Y24" s="3" t="str">
        <f ca="1">IF('Map 2 Do Touch'!X19&lt;&gt;'Map 2 Do Touch'!X20,IF('Map 2 Do Touch'!Y20&gt;4,INDEX($AG$4:$AH$6,MATCH(INDEX($I$3:$L$6,MATCH(MOD('Map 2 Do Touch'!X20,4),$H$3:$H$6,0),MATCH(MOD('Map 2 Do Touch'!Y20,4),$I$2:$L$2,0)),$AF$4:$AF$6,0),MATCH(IF('Map 2 Do Touch'!X20&gt;4,"Water","Land"),'Map 3'!$AG$3:$AH$3,0)),INDEX($AK$4:$AL$6,MATCH(INDEX($I$3:$L$6,MATCH(MOD('Map 2 Do Touch'!X20,4),$H$3:$H$6,0),MATCH(MOD('Map 2 Do Touch'!Y20,4),$I$2:$L$2,0)),'Map 3'!$AJ$4:$AJ$6,0),MATCH(IF('Map 2 Do Touch'!X20&gt;4,"Water","Land"),'Map 3'!$AK$3:$AL$3,0))),IF('Map 2 Do Touch'!Y20&gt;4,INDEX($AG$4:$AH$6,MATCH(INDEX($P$3:$S$6,MATCH(MOD('Map 2 Do Touch'!Y19,4),$O$3:$O$6,0),MATCH(MOD('Map 2 Do Touch'!Y20,4),$P$2:$S$2,0)),$AF$4:$AF$6,0),MATCH(IF('Map 2 Do Touch'!Y19&gt;4,"Water","Land"),'Map 3'!$AG$3:$AH$3,0)),INDEX($AK$4:$AL$6,MATCH(INDEX($P$3:$S$6,MATCH(MOD('Map 2 Do Touch'!Y19,4),$O$3:$O$6,0),MATCH(MOD('Map 2 Do Touch'!Y20,4),$P$2:$S$2,0)),'Map 3'!$AJ$4:$AJ$6,0),MATCH(IF('Map 2 Do Touch'!Y19&gt;4,"Water","Land"),'Map 3'!$AK$3:$AL$3,0))))</f>
        <v>Coast</v>
      </c>
      <c r="Z24" s="3" t="str">
        <f ca="1">IF('Map 2 Do Touch'!Y19&lt;&gt;'Map 2 Do Touch'!Y20,IF('Map 2 Do Touch'!Z20&gt;4,INDEX($AG$4:$AH$6,MATCH(INDEX($I$3:$L$6,MATCH(MOD('Map 2 Do Touch'!Y20,4),$H$3:$H$6,0),MATCH(MOD('Map 2 Do Touch'!Z20,4),$I$2:$L$2,0)),$AF$4:$AF$6,0),MATCH(IF('Map 2 Do Touch'!Y20&gt;4,"Water","Land"),'Map 3'!$AG$3:$AH$3,0)),INDEX($AK$4:$AL$6,MATCH(INDEX($I$3:$L$6,MATCH(MOD('Map 2 Do Touch'!Y20,4),$H$3:$H$6,0),MATCH(MOD('Map 2 Do Touch'!Z20,4),$I$2:$L$2,0)),'Map 3'!$AJ$4:$AJ$6,0),MATCH(IF('Map 2 Do Touch'!Y20&gt;4,"Water","Land"),'Map 3'!$AK$3:$AL$3,0))),IF('Map 2 Do Touch'!Z20&gt;4,INDEX($AG$4:$AH$6,MATCH(INDEX($P$3:$S$6,MATCH(MOD('Map 2 Do Touch'!Z19,4),$O$3:$O$6,0),MATCH(MOD('Map 2 Do Touch'!Z20,4),$P$2:$S$2,0)),$AF$4:$AF$6,0),MATCH(IF('Map 2 Do Touch'!Z19&gt;4,"Water","Land"),'Map 3'!$AG$3:$AH$3,0)),INDEX($AK$4:$AL$6,MATCH(INDEX($P$3:$S$6,MATCH(MOD('Map 2 Do Touch'!Z19,4),$O$3:$O$6,0),MATCH(MOD('Map 2 Do Touch'!Z20,4),$P$2:$S$2,0)),'Map 3'!$AJ$4:$AJ$6,0),MATCH(IF('Map 2 Do Touch'!Z19&gt;4,"Water","Land"),'Map 3'!$AK$3:$AL$3,0))))</f>
        <v>Flatland</v>
      </c>
      <c r="AA24" s="3" t="str">
        <f ca="1">IF('Map 2 Do Touch'!Z19&lt;&gt;'Map 2 Do Touch'!Z20,IF('Map 2 Do Touch'!AA20&gt;4,INDEX($AG$4:$AH$6,MATCH(INDEX($I$3:$L$6,MATCH(MOD('Map 2 Do Touch'!Z20,4),$H$3:$H$6,0),MATCH(MOD('Map 2 Do Touch'!AA20,4),$I$2:$L$2,0)),$AF$4:$AF$6,0),MATCH(IF('Map 2 Do Touch'!Z20&gt;4,"Water","Land"),'Map 3'!$AG$3:$AH$3,0)),INDEX($AK$4:$AL$6,MATCH(INDEX($I$3:$L$6,MATCH(MOD('Map 2 Do Touch'!Z20,4),$H$3:$H$6,0),MATCH(MOD('Map 2 Do Touch'!AA20,4),$I$2:$L$2,0)),'Map 3'!$AJ$4:$AJ$6,0),MATCH(IF('Map 2 Do Touch'!Z20&gt;4,"Water","Land"),'Map 3'!$AK$3:$AL$3,0))),IF('Map 2 Do Touch'!AA20&gt;4,INDEX($AG$4:$AH$6,MATCH(INDEX($P$3:$S$6,MATCH(MOD('Map 2 Do Touch'!AA19,4),$O$3:$O$6,0),MATCH(MOD('Map 2 Do Touch'!AA20,4),$P$2:$S$2,0)),$AF$4:$AF$6,0),MATCH(IF('Map 2 Do Touch'!AA19&gt;4,"Water","Land"),'Map 3'!$AG$3:$AH$3,0)),INDEX($AK$4:$AL$6,MATCH(INDEX($P$3:$S$6,MATCH(MOD('Map 2 Do Touch'!AA19,4),$O$3:$O$6,0),MATCH(MOD('Map 2 Do Touch'!AA20,4),$P$2:$S$2,0)),'Map 3'!$AJ$4:$AJ$6,0),MATCH(IF('Map 2 Do Touch'!AA19&gt;4,"Water","Land"),'Map 3'!$AK$3:$AL$3,0))))</f>
        <v>Coast</v>
      </c>
      <c r="AB24" s="3" t="str">
        <f ca="1">IF('Map 2 Do Touch'!AA19&lt;&gt;'Map 2 Do Touch'!AA20,IF('Map 2 Do Touch'!AB20&gt;4,INDEX($AG$4:$AH$6,MATCH(INDEX($I$3:$L$6,MATCH(MOD('Map 2 Do Touch'!AA20,4),$H$3:$H$6,0),MATCH(MOD('Map 2 Do Touch'!AB20,4),$I$2:$L$2,0)),$AF$4:$AF$6,0),MATCH(IF('Map 2 Do Touch'!AA20&gt;4,"Water","Land"),'Map 3'!$AG$3:$AH$3,0)),INDEX($AK$4:$AL$6,MATCH(INDEX($I$3:$L$6,MATCH(MOD('Map 2 Do Touch'!AA20,4),$H$3:$H$6,0),MATCH(MOD('Map 2 Do Touch'!AB20,4),$I$2:$L$2,0)),'Map 3'!$AJ$4:$AJ$6,0),MATCH(IF('Map 2 Do Touch'!AA20&gt;4,"Water","Land"),'Map 3'!$AK$3:$AL$3,0))),IF('Map 2 Do Touch'!AB20&gt;4,INDEX($AG$4:$AH$6,MATCH(INDEX($P$3:$S$6,MATCH(MOD('Map 2 Do Touch'!AB19,4),$O$3:$O$6,0),MATCH(MOD('Map 2 Do Touch'!AB20,4),$P$2:$S$2,0)),$AF$4:$AF$6,0),MATCH(IF('Map 2 Do Touch'!AB19&gt;4,"Water","Land"),'Map 3'!$AG$3:$AH$3,0)),INDEX($AK$4:$AL$6,MATCH(INDEX($P$3:$S$6,MATCH(MOD('Map 2 Do Touch'!AB19,4),$O$3:$O$6,0),MATCH(MOD('Map 2 Do Touch'!AB20,4),$P$2:$S$2,0)),'Map 3'!$AJ$4:$AJ$6,0),MATCH(IF('Map 2 Do Touch'!AB19&gt;4,"Water","Land"),'Map 3'!$AK$3:$AL$3,0))))</f>
        <v>Ocean</v>
      </c>
      <c r="AC24" s="3" t="str">
        <f ca="1">IF('Map 2 Do Touch'!AB19&lt;&gt;'Map 2 Do Touch'!AB20,IF('Map 2 Do Touch'!AC20&gt;4,INDEX($AG$4:$AH$6,MATCH(INDEX($I$3:$L$6,MATCH(MOD('Map 2 Do Touch'!AB20,4),$H$3:$H$6,0),MATCH(MOD('Map 2 Do Touch'!AC20,4),$I$2:$L$2,0)),$AF$4:$AF$6,0),MATCH(IF('Map 2 Do Touch'!AB20&gt;4,"Water","Land"),'Map 3'!$AG$3:$AH$3,0)),INDEX($AK$4:$AL$6,MATCH(INDEX($I$3:$L$6,MATCH(MOD('Map 2 Do Touch'!AB20,4),$H$3:$H$6,0),MATCH(MOD('Map 2 Do Touch'!AC20,4),$I$2:$L$2,0)),'Map 3'!$AJ$4:$AJ$6,0),MATCH(IF('Map 2 Do Touch'!AB20&gt;4,"Water","Land"),'Map 3'!$AK$3:$AL$3,0))),IF('Map 2 Do Touch'!AC20&gt;4,INDEX($AG$4:$AH$6,MATCH(INDEX($P$3:$S$6,MATCH(MOD('Map 2 Do Touch'!AC19,4),$O$3:$O$6,0),MATCH(MOD('Map 2 Do Touch'!AC20,4),$P$2:$S$2,0)),$AF$4:$AF$6,0),MATCH(IF('Map 2 Do Touch'!AC19&gt;4,"Water","Land"),'Map 3'!$AG$3:$AH$3,0)),INDEX($AK$4:$AL$6,MATCH(INDEX($P$3:$S$6,MATCH(MOD('Map 2 Do Touch'!AC19,4),$O$3:$O$6,0),MATCH(MOD('Map 2 Do Touch'!AC20,4),$P$2:$S$2,0)),'Map 3'!$AJ$4:$AJ$6,0),MATCH(IF('Map 2 Do Touch'!AC19&gt;4,"Water","Land"),'Map 3'!$AK$3:$AL$3,0))))</f>
        <v>Coast</v>
      </c>
      <c r="AD24" s="3" t="str">
        <f ca="1">IF('Map 2 Do Touch'!AC19&lt;&gt;'Map 2 Do Touch'!AC20,IF('Map 2 Do Touch'!AD20&gt;4,INDEX($AG$4:$AH$6,MATCH(INDEX($I$3:$L$6,MATCH(MOD('Map 2 Do Touch'!AC20,4),$H$3:$H$6,0),MATCH(MOD('Map 2 Do Touch'!AD20,4),$I$2:$L$2,0)),$AF$4:$AF$6,0),MATCH(IF('Map 2 Do Touch'!AC20&gt;4,"Water","Land"),'Map 3'!$AG$3:$AH$3,0)),INDEX($AK$4:$AL$6,MATCH(INDEX($I$3:$L$6,MATCH(MOD('Map 2 Do Touch'!AC20,4),$H$3:$H$6,0),MATCH(MOD('Map 2 Do Touch'!AD20,4),$I$2:$L$2,0)),'Map 3'!$AJ$4:$AJ$6,0),MATCH(IF('Map 2 Do Touch'!AC20&gt;4,"Water","Land"),'Map 3'!$AK$3:$AL$3,0))),IF('Map 2 Do Touch'!AD20&gt;4,INDEX($AG$4:$AH$6,MATCH(INDEX($P$3:$S$6,MATCH(MOD('Map 2 Do Touch'!AD19,4),$O$3:$O$6,0),MATCH(MOD('Map 2 Do Touch'!AD20,4),$P$2:$S$2,0)),$AF$4:$AF$6,0),MATCH(IF('Map 2 Do Touch'!AD19&gt;4,"Water","Land"),'Map 3'!$AG$3:$AH$3,0)),INDEX($AK$4:$AL$6,MATCH(INDEX($P$3:$S$6,MATCH(MOD('Map 2 Do Touch'!AD19,4),$O$3:$O$6,0),MATCH(MOD('Map 2 Do Touch'!AD20,4),$P$2:$S$2,0)),'Map 3'!$AJ$4:$AJ$6,0),MATCH(IF('Map 2 Do Touch'!AD19&gt;4,"Water","Land"),'Map 3'!$AK$3:$AL$3,0))))</f>
        <v>Ocean</v>
      </c>
      <c r="AE24" s="3" t="str">
        <f ca="1">IF('Map 2 Do Touch'!AD19&lt;&gt;'Map 2 Do Touch'!AD20,IF('Map 2 Do Touch'!AE20&gt;4,INDEX($AG$4:$AH$6,MATCH(INDEX($I$3:$L$6,MATCH(MOD('Map 2 Do Touch'!AD20,4),$H$3:$H$6,0),MATCH(MOD('Map 2 Do Touch'!AE20,4),$I$2:$L$2,0)),$AF$4:$AF$6,0),MATCH(IF('Map 2 Do Touch'!AD20&gt;4,"Water","Land"),'Map 3'!$AG$3:$AH$3,0)),INDEX($AK$4:$AL$6,MATCH(INDEX($I$3:$L$6,MATCH(MOD('Map 2 Do Touch'!AD20,4),$H$3:$H$6,0),MATCH(MOD('Map 2 Do Touch'!AE20,4),$I$2:$L$2,0)),'Map 3'!$AJ$4:$AJ$6,0),MATCH(IF('Map 2 Do Touch'!AD20&gt;4,"Water","Land"),'Map 3'!$AK$3:$AL$3,0))),IF('Map 2 Do Touch'!AE20&gt;4,INDEX($AG$4:$AH$6,MATCH(INDEX($P$3:$S$6,MATCH(MOD('Map 2 Do Touch'!AE19,4),$O$3:$O$6,0),MATCH(MOD('Map 2 Do Touch'!AE20,4),$P$2:$S$2,0)),$AF$4:$AF$6,0),MATCH(IF('Map 2 Do Touch'!AE19&gt;4,"Water","Land"),'Map 3'!$AG$3:$AH$3,0)),INDEX($AK$4:$AL$6,MATCH(INDEX($P$3:$S$6,MATCH(MOD('Map 2 Do Touch'!AE19,4),$O$3:$O$6,0),MATCH(MOD('Map 2 Do Touch'!AE20,4),$P$2:$S$2,0)),'Map 3'!$AJ$4:$AJ$6,0),MATCH(IF('Map 2 Do Touch'!AE19&gt;4,"Water","Land"),'Map 3'!$AK$3:$AL$3,0))))</f>
        <v>Ocean</v>
      </c>
      <c r="AF24" s="3" t="str">
        <f ca="1">IF('Map 2 Do Touch'!AE19&lt;&gt;'Map 2 Do Touch'!AE20,IF('Map 2 Do Touch'!AF20&gt;4,INDEX($AG$4:$AH$6,MATCH(INDEX($I$3:$L$6,MATCH(MOD('Map 2 Do Touch'!AE20,4),$H$3:$H$6,0),MATCH(MOD('Map 2 Do Touch'!AF20,4),$I$2:$L$2,0)),$AF$4:$AF$6,0),MATCH(IF('Map 2 Do Touch'!AE20&gt;4,"Water","Land"),'Map 3'!$AG$3:$AH$3,0)),INDEX($AK$4:$AL$6,MATCH(INDEX($I$3:$L$6,MATCH(MOD('Map 2 Do Touch'!AE20,4),$H$3:$H$6,0),MATCH(MOD('Map 2 Do Touch'!AF20,4),$I$2:$L$2,0)),'Map 3'!$AJ$4:$AJ$6,0),MATCH(IF('Map 2 Do Touch'!AE20&gt;4,"Water","Land"),'Map 3'!$AK$3:$AL$3,0))),IF('Map 2 Do Touch'!AF20&gt;4,INDEX($AG$4:$AH$6,MATCH(INDEX($P$3:$S$6,MATCH(MOD('Map 2 Do Touch'!AF19,4),$O$3:$O$6,0),MATCH(MOD('Map 2 Do Touch'!AF20,4),$P$2:$S$2,0)),$AF$4:$AF$6,0),MATCH(IF('Map 2 Do Touch'!AF19&gt;4,"Water","Land"),'Map 3'!$AG$3:$AH$3,0)),INDEX($AK$4:$AL$6,MATCH(INDEX($P$3:$S$6,MATCH(MOD('Map 2 Do Touch'!AF19,4),$O$3:$O$6,0),MATCH(MOD('Map 2 Do Touch'!AF20,4),$P$2:$S$2,0)),'Map 3'!$AJ$4:$AJ$6,0),MATCH(IF('Map 2 Do Touch'!AF19&gt;4,"Water","Land"),'Map 3'!$AK$3:$AL$3,0))))</f>
        <v>Ocean</v>
      </c>
      <c r="AG24" s="3" t="str">
        <f ca="1">IF('Map 2 Do Touch'!AF19&lt;&gt;'Map 2 Do Touch'!AF20,IF('Map 2 Do Touch'!AG20&gt;4,INDEX($AG$4:$AH$6,MATCH(INDEX($I$3:$L$6,MATCH(MOD('Map 2 Do Touch'!AF20,4),$H$3:$H$6,0),MATCH(MOD('Map 2 Do Touch'!AG20,4),$I$2:$L$2,0)),$AF$4:$AF$6,0),MATCH(IF('Map 2 Do Touch'!AF20&gt;4,"Water","Land"),'Map 3'!$AG$3:$AH$3,0)),INDEX($AK$4:$AL$6,MATCH(INDEX($I$3:$L$6,MATCH(MOD('Map 2 Do Touch'!AF20,4),$H$3:$H$6,0),MATCH(MOD('Map 2 Do Touch'!AG20,4),$I$2:$L$2,0)),'Map 3'!$AJ$4:$AJ$6,0),MATCH(IF('Map 2 Do Touch'!AF20&gt;4,"Water","Land"),'Map 3'!$AK$3:$AL$3,0))),IF('Map 2 Do Touch'!AG20&gt;4,INDEX($AG$4:$AH$6,MATCH(INDEX($P$3:$S$6,MATCH(MOD('Map 2 Do Touch'!AG19,4),$O$3:$O$6,0),MATCH(MOD('Map 2 Do Touch'!AG20,4),$P$2:$S$2,0)),$AF$4:$AF$6,0),MATCH(IF('Map 2 Do Touch'!AG19&gt;4,"Water","Land"),'Map 3'!$AG$3:$AH$3,0)),INDEX($AK$4:$AL$6,MATCH(INDEX($P$3:$S$6,MATCH(MOD('Map 2 Do Touch'!AG19,4),$O$3:$O$6,0),MATCH(MOD('Map 2 Do Touch'!AG20,4),$P$2:$S$2,0)),'Map 3'!$AJ$4:$AJ$6,0),MATCH(IF('Map 2 Do Touch'!AG19&gt;4,"Water","Land"),'Map 3'!$AK$3:$AL$3,0))))</f>
        <v>Ocean</v>
      </c>
      <c r="AH24" s="3" t="str">
        <f ca="1">IF('Map 2 Do Touch'!AG19&lt;&gt;'Map 2 Do Touch'!AG20,IF('Map 2 Do Touch'!AH20&gt;4,INDEX($AG$4:$AH$6,MATCH(INDEX($I$3:$L$6,MATCH(MOD('Map 2 Do Touch'!AG20,4),$H$3:$H$6,0),MATCH(MOD('Map 2 Do Touch'!AH20,4),$I$2:$L$2,0)),$AF$4:$AF$6,0),MATCH(IF('Map 2 Do Touch'!AG20&gt;4,"Water","Land"),'Map 3'!$AG$3:$AH$3,0)),INDEX($AK$4:$AL$6,MATCH(INDEX($I$3:$L$6,MATCH(MOD('Map 2 Do Touch'!AG20,4),$H$3:$H$6,0),MATCH(MOD('Map 2 Do Touch'!AH20,4),$I$2:$L$2,0)),'Map 3'!$AJ$4:$AJ$6,0),MATCH(IF('Map 2 Do Touch'!AG20&gt;4,"Water","Land"),'Map 3'!$AK$3:$AL$3,0))),IF('Map 2 Do Touch'!AH20&gt;4,INDEX($AG$4:$AH$6,MATCH(INDEX($P$3:$S$6,MATCH(MOD('Map 2 Do Touch'!AH19,4),$O$3:$O$6,0),MATCH(MOD('Map 2 Do Touch'!AH20,4),$P$2:$S$2,0)),$AF$4:$AF$6,0),MATCH(IF('Map 2 Do Touch'!AH19&gt;4,"Water","Land"),'Map 3'!$AG$3:$AH$3,0)),INDEX($AK$4:$AL$6,MATCH(INDEX($P$3:$S$6,MATCH(MOD('Map 2 Do Touch'!AH19,4),$O$3:$O$6,0),MATCH(MOD('Map 2 Do Touch'!AH20,4),$P$2:$S$2,0)),'Map 3'!$AJ$4:$AJ$6,0),MATCH(IF('Map 2 Do Touch'!AH19&gt;4,"Water","Land"),'Map 3'!$AK$3:$AL$3,0))))</f>
        <v>Ocean</v>
      </c>
      <c r="AI24" s="3" t="str">
        <f ca="1">IF('Map 2 Do Touch'!AH19&lt;&gt;'Map 2 Do Touch'!AH20,IF('Map 2 Do Touch'!AI20&gt;4,INDEX($AG$4:$AH$6,MATCH(INDEX($I$3:$L$6,MATCH(MOD('Map 2 Do Touch'!AH20,4),$H$3:$H$6,0),MATCH(MOD('Map 2 Do Touch'!AI20,4),$I$2:$L$2,0)),$AF$4:$AF$6,0),MATCH(IF('Map 2 Do Touch'!AH20&gt;4,"Water","Land"),'Map 3'!$AG$3:$AH$3,0)),INDEX($AK$4:$AL$6,MATCH(INDEX($I$3:$L$6,MATCH(MOD('Map 2 Do Touch'!AH20,4),$H$3:$H$6,0),MATCH(MOD('Map 2 Do Touch'!AI20,4),$I$2:$L$2,0)),'Map 3'!$AJ$4:$AJ$6,0),MATCH(IF('Map 2 Do Touch'!AH20&gt;4,"Water","Land"),'Map 3'!$AK$3:$AL$3,0))),IF('Map 2 Do Touch'!AI20&gt;4,INDEX($AG$4:$AH$6,MATCH(INDEX($P$3:$S$6,MATCH(MOD('Map 2 Do Touch'!AI19,4),$O$3:$O$6,0),MATCH(MOD('Map 2 Do Touch'!AI20,4),$P$2:$S$2,0)),$AF$4:$AF$6,0),MATCH(IF('Map 2 Do Touch'!AI19&gt;4,"Water","Land"),'Map 3'!$AG$3:$AH$3,0)),INDEX($AK$4:$AL$6,MATCH(INDEX($P$3:$S$6,MATCH(MOD('Map 2 Do Touch'!AI19,4),$O$3:$O$6,0),MATCH(MOD('Map 2 Do Touch'!AI20,4),$P$2:$S$2,0)),'Map 3'!$AJ$4:$AJ$6,0),MATCH(IF('Map 2 Do Touch'!AI19&gt;4,"Water","Land"),'Map 3'!$AK$3:$AL$3,0))))</f>
        <v>Ocean</v>
      </c>
      <c r="AJ24" s="3" t="str">
        <f ca="1">IF('Map 2 Do Touch'!AI19&lt;&gt;'Map 2 Do Touch'!AI20,IF('Map 2 Do Touch'!AJ20&gt;4,INDEX($AG$4:$AH$6,MATCH(INDEX($I$3:$L$6,MATCH(MOD('Map 2 Do Touch'!AI20,4),$H$3:$H$6,0),MATCH(MOD('Map 2 Do Touch'!AJ20,4),$I$2:$L$2,0)),$AF$4:$AF$6,0),MATCH(IF('Map 2 Do Touch'!AI20&gt;4,"Water","Land"),'Map 3'!$AG$3:$AH$3,0)),INDEX($AK$4:$AL$6,MATCH(INDEX($I$3:$L$6,MATCH(MOD('Map 2 Do Touch'!AI20,4),$H$3:$H$6,0),MATCH(MOD('Map 2 Do Touch'!AJ20,4),$I$2:$L$2,0)),'Map 3'!$AJ$4:$AJ$6,0),MATCH(IF('Map 2 Do Touch'!AI20&gt;4,"Water","Land"),'Map 3'!$AK$3:$AL$3,0))),IF('Map 2 Do Touch'!AJ20&gt;4,INDEX($AG$4:$AH$6,MATCH(INDEX($P$3:$S$6,MATCH(MOD('Map 2 Do Touch'!AJ19,4),$O$3:$O$6,0),MATCH(MOD('Map 2 Do Touch'!AJ20,4),$P$2:$S$2,0)),$AF$4:$AF$6,0),MATCH(IF('Map 2 Do Touch'!AJ19&gt;4,"Water","Land"),'Map 3'!$AG$3:$AH$3,0)),INDEX($AK$4:$AL$6,MATCH(INDEX($P$3:$S$6,MATCH(MOD('Map 2 Do Touch'!AJ19,4),$O$3:$O$6,0),MATCH(MOD('Map 2 Do Touch'!AJ20,4),$P$2:$S$2,0)),'Map 3'!$AJ$4:$AJ$6,0),MATCH(IF('Map 2 Do Touch'!AJ19&gt;4,"Water","Land"),'Map 3'!$AK$3:$AL$3,0))))</f>
        <v>Ocean</v>
      </c>
      <c r="AK24" s="3" t="str">
        <f ca="1">IF('Map 2 Do Touch'!AJ19&lt;&gt;'Map 2 Do Touch'!AJ20,IF('Map 2 Do Touch'!AK20&gt;4,INDEX($AG$4:$AH$6,MATCH(INDEX($I$3:$L$6,MATCH(MOD('Map 2 Do Touch'!AJ20,4),$H$3:$H$6,0),MATCH(MOD('Map 2 Do Touch'!AK20,4),$I$2:$L$2,0)),$AF$4:$AF$6,0),MATCH(IF('Map 2 Do Touch'!AJ20&gt;4,"Water","Land"),'Map 3'!$AG$3:$AH$3,0)),INDEX($AK$4:$AL$6,MATCH(INDEX($I$3:$L$6,MATCH(MOD('Map 2 Do Touch'!AJ20,4),$H$3:$H$6,0),MATCH(MOD('Map 2 Do Touch'!AK20,4),$I$2:$L$2,0)),'Map 3'!$AJ$4:$AJ$6,0),MATCH(IF('Map 2 Do Touch'!AJ20&gt;4,"Water","Land"),'Map 3'!$AK$3:$AL$3,0))),IF('Map 2 Do Touch'!AK20&gt;4,INDEX($AG$4:$AH$6,MATCH(INDEX($P$3:$S$6,MATCH(MOD('Map 2 Do Touch'!AK19,4),$O$3:$O$6,0),MATCH(MOD('Map 2 Do Touch'!AK20,4),$P$2:$S$2,0)),$AF$4:$AF$6,0),MATCH(IF('Map 2 Do Touch'!AK19&gt;4,"Water","Land"),'Map 3'!$AG$3:$AH$3,0)),INDEX($AK$4:$AL$6,MATCH(INDEX($P$3:$S$6,MATCH(MOD('Map 2 Do Touch'!AK19,4),$O$3:$O$6,0),MATCH(MOD('Map 2 Do Touch'!AK20,4),$P$2:$S$2,0)),'Map 3'!$AJ$4:$AJ$6,0),MATCH(IF('Map 2 Do Touch'!AK19&gt;4,"Water","Land"),'Map 3'!$AK$3:$AL$3,0))))</f>
        <v>Ocean</v>
      </c>
      <c r="AL24" s="3" t="str">
        <f ca="1">IF('Map 2 Do Touch'!AK19&lt;&gt;'Map 2 Do Touch'!AK20,IF('Map 2 Do Touch'!AL20&gt;4,INDEX($AG$4:$AH$6,MATCH(INDEX($I$3:$L$6,MATCH(MOD('Map 2 Do Touch'!AK20,4),$H$3:$H$6,0),MATCH(MOD('Map 2 Do Touch'!AL20,4),$I$2:$L$2,0)),$AF$4:$AF$6,0),MATCH(IF('Map 2 Do Touch'!AK20&gt;4,"Water","Land"),'Map 3'!$AG$3:$AH$3,0)),INDEX($AK$4:$AL$6,MATCH(INDEX($I$3:$L$6,MATCH(MOD('Map 2 Do Touch'!AK20,4),$H$3:$H$6,0),MATCH(MOD('Map 2 Do Touch'!AL20,4),$I$2:$L$2,0)),'Map 3'!$AJ$4:$AJ$6,0),MATCH(IF('Map 2 Do Touch'!AK20&gt;4,"Water","Land"),'Map 3'!$AK$3:$AL$3,0))),IF('Map 2 Do Touch'!AL20&gt;4,INDEX($AG$4:$AH$6,MATCH(INDEX($P$3:$S$6,MATCH(MOD('Map 2 Do Touch'!AL19,4),$O$3:$O$6,0),MATCH(MOD('Map 2 Do Touch'!AL20,4),$P$2:$S$2,0)),$AF$4:$AF$6,0),MATCH(IF('Map 2 Do Touch'!AL19&gt;4,"Water","Land"),'Map 3'!$AG$3:$AH$3,0)),INDEX($AK$4:$AL$6,MATCH(INDEX($P$3:$S$6,MATCH(MOD('Map 2 Do Touch'!AL19,4),$O$3:$O$6,0),MATCH(MOD('Map 2 Do Touch'!AL20,4),$P$2:$S$2,0)),'Map 3'!$AJ$4:$AJ$6,0),MATCH(IF('Map 2 Do Touch'!AL19&gt;4,"Water","Land"),'Map 3'!$AK$3:$AL$3,0))))</f>
        <v>Ocean</v>
      </c>
      <c r="AM24" s="3" t="str">
        <f ca="1">IF('Map 2 Do Touch'!AL19&lt;&gt;'Map 2 Do Touch'!AL20,IF('Map 2 Do Touch'!AM20&gt;4,INDEX($AG$4:$AH$6,MATCH(INDEX($I$3:$L$6,MATCH(MOD('Map 2 Do Touch'!AL20,4),$H$3:$H$6,0),MATCH(MOD('Map 2 Do Touch'!AM20,4),$I$2:$L$2,0)),$AF$4:$AF$6,0),MATCH(IF('Map 2 Do Touch'!AL20&gt;4,"Water","Land"),'Map 3'!$AG$3:$AH$3,0)),INDEX($AK$4:$AL$6,MATCH(INDEX($I$3:$L$6,MATCH(MOD('Map 2 Do Touch'!AL20,4),$H$3:$H$6,0),MATCH(MOD('Map 2 Do Touch'!AM20,4),$I$2:$L$2,0)),'Map 3'!$AJ$4:$AJ$6,0),MATCH(IF('Map 2 Do Touch'!AL20&gt;4,"Water","Land"),'Map 3'!$AK$3:$AL$3,0))),IF('Map 2 Do Touch'!AM20&gt;4,INDEX($AG$4:$AH$6,MATCH(INDEX($P$3:$S$6,MATCH(MOD('Map 2 Do Touch'!AM19,4),$O$3:$O$6,0),MATCH(MOD('Map 2 Do Touch'!AM20,4),$P$2:$S$2,0)),$AF$4:$AF$6,0),MATCH(IF('Map 2 Do Touch'!AM19&gt;4,"Water","Land"),'Map 3'!$AG$3:$AH$3,0)),INDEX($AK$4:$AL$6,MATCH(INDEX($P$3:$S$6,MATCH(MOD('Map 2 Do Touch'!AM19,4),$O$3:$O$6,0),MATCH(MOD('Map 2 Do Touch'!AM20,4),$P$2:$S$2,0)),'Map 3'!$AJ$4:$AJ$6,0),MATCH(IF('Map 2 Do Touch'!AM19&gt;4,"Water","Land"),'Map 3'!$AK$3:$AL$3,0))))</f>
        <v>Ocean</v>
      </c>
      <c r="AN24" s="3" t="str">
        <f ca="1">IF('Map 2 Do Touch'!AM19&lt;&gt;'Map 2 Do Touch'!AM20,IF('Map 2 Do Touch'!AN20&gt;4,INDEX($AG$4:$AH$6,MATCH(INDEX($I$3:$L$6,MATCH(MOD('Map 2 Do Touch'!AM20,4),$H$3:$H$6,0),MATCH(MOD('Map 2 Do Touch'!AN20,4),$I$2:$L$2,0)),$AF$4:$AF$6,0),MATCH(IF('Map 2 Do Touch'!AM20&gt;4,"Water","Land"),'Map 3'!$AG$3:$AH$3,0)),INDEX($AK$4:$AL$6,MATCH(INDEX($I$3:$L$6,MATCH(MOD('Map 2 Do Touch'!AM20,4),$H$3:$H$6,0),MATCH(MOD('Map 2 Do Touch'!AN20,4),$I$2:$L$2,0)),'Map 3'!$AJ$4:$AJ$6,0),MATCH(IF('Map 2 Do Touch'!AM20&gt;4,"Water","Land"),'Map 3'!$AK$3:$AL$3,0))),IF('Map 2 Do Touch'!AN20&gt;4,INDEX($AG$4:$AH$6,MATCH(INDEX($P$3:$S$6,MATCH(MOD('Map 2 Do Touch'!AN19,4),$O$3:$O$6,0),MATCH(MOD('Map 2 Do Touch'!AN20,4),$P$2:$S$2,0)),$AF$4:$AF$6,0),MATCH(IF('Map 2 Do Touch'!AN19&gt;4,"Water","Land"),'Map 3'!$AG$3:$AH$3,0)),INDEX($AK$4:$AL$6,MATCH(INDEX($P$3:$S$6,MATCH(MOD('Map 2 Do Touch'!AN19,4),$O$3:$O$6,0),MATCH(MOD('Map 2 Do Touch'!AN20,4),$P$2:$S$2,0)),'Map 3'!$AJ$4:$AJ$6,0),MATCH(IF('Map 2 Do Touch'!AN19&gt;4,"Water","Land"),'Map 3'!$AK$3:$AL$3,0))))</f>
        <v>Ocean</v>
      </c>
      <c r="AO24" s="87" t="str">
        <f ca="1">IF('Map 2 Do Touch'!AN19&lt;&gt;'Map 2 Do Touch'!AN20,IF('Map 2 Do Touch'!AO20&gt;4,INDEX($AG$4:$AH$6,MATCH(INDEX($I$3:$L$6,MATCH(MOD('Map 2 Do Touch'!AN20,4),$H$3:$H$6,0),MATCH(MOD('Map 2 Do Touch'!AO20,4),$I$2:$L$2,0)),$AF$4:$AF$6,0),MATCH(IF('Map 2 Do Touch'!AN20&gt;4,"Water","Land"),'Map 3'!$AG$3:$AH$3,0)),INDEX($AK$4:$AL$6,MATCH(INDEX($I$3:$L$6,MATCH(MOD('Map 2 Do Touch'!AN20,4),$H$3:$H$6,0),MATCH(MOD('Map 2 Do Touch'!AO20,4),$I$2:$L$2,0)),'Map 3'!$AJ$4:$AJ$6,0),MATCH(IF('Map 2 Do Touch'!AN20&gt;4,"Water","Land"),'Map 3'!$AK$3:$AL$3,0))),IF('Map 2 Do Touch'!AO20&gt;4,INDEX($AG$4:$AH$6,MATCH(INDEX($P$3:$S$6,MATCH(MOD('Map 2 Do Touch'!AO19,4),$O$3:$O$6,0),MATCH(MOD('Map 2 Do Touch'!AO20,4),$P$2:$S$2,0)),$AF$4:$AF$6,0),MATCH(IF('Map 2 Do Touch'!AO19&gt;4,"Water","Land"),'Map 3'!$AG$3:$AH$3,0)),INDEX($AK$4:$AL$6,MATCH(INDEX($P$3:$S$6,MATCH(MOD('Map 2 Do Touch'!AO19,4),$O$3:$O$6,0),MATCH(MOD('Map 2 Do Touch'!AO20,4),$P$2:$S$2,0)),'Map 3'!$AJ$4:$AJ$6,0),MATCH(IF('Map 2 Do Touch'!AO19&gt;4,"Water","Land"),'Map 3'!$AK$3:$AL$3,0))))</f>
        <v>Ocean</v>
      </c>
      <c r="AP24" s="3"/>
    </row>
    <row r="25" spans="1:42" ht="37.5" customHeight="1">
      <c r="A25" s="3">
        <v>14</v>
      </c>
      <c r="B25" s="86" t="str">
        <f ca="1">IF('Map 2 Do Touch'!B20&lt;&gt;'Map 2 Do Touch'!B21,IF('Map 2 Do Touch'!B21&gt;4,INDEX($AG$4:$AH$6,MATCH(INDEX($I$3:$L$6,MATCH(MOD('Map 2 Do Touch'!AO21,4),$H$3:$H$6,0),MATCH(MOD('Map 2 Do Touch'!B21,4),$I$2:$L$2,0)),$AF$4:$AF$6,0),MATCH(IF('Map 2 Do Touch'!AO21&gt;4,"Water","Land"),'Map 3'!$AG$3:$AH$3,0)),INDEX($AK$4:$AL$6,MATCH(INDEX($I$3:$L$6,MATCH(MOD('Map 2 Do Touch'!A21,4),$H$3:$H$6,0),MATCH(MOD('Map 2 Do Touch'!B21,4),$I$2:$L$2,0)),'Map 3'!$AJ$4:$AJ$6,0),MATCH(IF('Map 2 Do Touch'!AO21&gt;4,"Water","Land"),'Map 3'!$AK$3:$AL$3,0))),IF('Map 2 Do Touch'!B21&gt;4,INDEX($AG$4:$AH$6,MATCH(INDEX($P$3:$S$6,MATCH(MOD('Map 2 Do Touch'!B20,4),$O$3:$O$6,0),MATCH(MOD('Map 2 Do Touch'!B21,4),$P$2:$S$2,0)),$AF$4:$AF$6,0),MATCH(IF('Map 2 Do Touch'!B20&gt;4,"Water","Land"),'Map 3'!$AG$3:$AH$3,0)),INDEX($AK$4:$AL$6,MATCH(INDEX($P$3:$S$6,MATCH(MOD('Map 2 Do Touch'!B20,4),$O$3:$O$6,0),MATCH(MOD('Map 2 Do Touch'!B21,4),$P$2:$S$2,0)),'Map 3'!$AJ$4:$AJ$6,0),MATCH(IF('Map 2 Do Touch'!B20&gt;4,"Water","Land"),'Map 3'!$AK$3:$AL$3,0))))</f>
        <v>Ocean</v>
      </c>
      <c r="C25" s="3" t="str">
        <f ca="1">IF('Map 2 Do Touch'!B20&lt;&gt;'Map 2 Do Touch'!B21,IF('Map 2 Do Touch'!C21&gt;4,INDEX($AG$4:$AH$6,MATCH(INDEX($I$3:$L$6,MATCH(MOD('Map 2 Do Touch'!B21,4),$H$3:$H$6,0),MATCH(MOD('Map 2 Do Touch'!C21,4),$I$2:$L$2,0)),$AF$4:$AF$6,0),MATCH(IF('Map 2 Do Touch'!B21&gt;4,"Water","Land"),'Map 3'!$AG$3:$AH$3,0)),INDEX($AK$4:$AL$6,MATCH(INDEX($I$3:$L$6,MATCH(MOD('Map 2 Do Touch'!B21,4),$H$3:$H$6,0),MATCH(MOD('Map 2 Do Touch'!C21,4),$I$2:$L$2,0)),'Map 3'!$AJ$4:$AJ$6,0),MATCH(IF('Map 2 Do Touch'!B21&gt;4,"Water","Land"),'Map 3'!$AK$3:$AL$3,0))),IF('Map 2 Do Touch'!C21&gt;4,INDEX($AG$4:$AH$6,MATCH(INDEX($P$3:$S$6,MATCH(MOD('Map 2 Do Touch'!C20,4),$O$3:$O$6,0),MATCH(MOD('Map 2 Do Touch'!C21,4),$P$2:$S$2,0)),$AF$4:$AF$6,0),MATCH(IF('Map 2 Do Touch'!C20&gt;4,"Water","Land"),'Map 3'!$AG$3:$AH$3,0)),INDEX($AK$4:$AL$6,MATCH(INDEX($P$3:$S$6,MATCH(MOD('Map 2 Do Touch'!C20,4),$O$3:$O$6,0),MATCH(MOD('Map 2 Do Touch'!C21,4),$P$2:$S$2,0)),'Map 3'!$AJ$4:$AJ$6,0),MATCH(IF('Map 2 Do Touch'!C20&gt;4,"Water","Land"),'Map 3'!$AK$3:$AL$3,0))))</f>
        <v>Ocean</v>
      </c>
      <c r="D25" s="3" t="str">
        <f ca="1">IF('Map 2 Do Touch'!C20&lt;&gt;'Map 2 Do Touch'!C21,IF('Map 2 Do Touch'!D21&gt;4,INDEX($AG$4:$AH$6,MATCH(INDEX($I$3:$L$6,MATCH(MOD('Map 2 Do Touch'!C21,4),$H$3:$H$6,0),MATCH(MOD('Map 2 Do Touch'!D21,4),$I$2:$L$2,0)),$AF$4:$AF$6,0),MATCH(IF('Map 2 Do Touch'!C21&gt;4,"Water","Land"),'Map 3'!$AG$3:$AH$3,0)),INDEX($AK$4:$AL$6,MATCH(INDEX($I$3:$L$6,MATCH(MOD('Map 2 Do Touch'!C21,4),$H$3:$H$6,0),MATCH(MOD('Map 2 Do Touch'!D21,4),$I$2:$L$2,0)),'Map 3'!$AJ$4:$AJ$6,0),MATCH(IF('Map 2 Do Touch'!C21&gt;4,"Water","Land"),'Map 3'!$AK$3:$AL$3,0))),IF('Map 2 Do Touch'!D21&gt;4,INDEX($AG$4:$AH$6,MATCH(INDEX($P$3:$S$6,MATCH(MOD('Map 2 Do Touch'!D20,4),$O$3:$O$6,0),MATCH(MOD('Map 2 Do Touch'!D21,4),$P$2:$S$2,0)),$AF$4:$AF$6,0),MATCH(IF('Map 2 Do Touch'!D20&gt;4,"Water","Land"),'Map 3'!$AG$3:$AH$3,0)),INDEX($AK$4:$AL$6,MATCH(INDEX($P$3:$S$6,MATCH(MOD('Map 2 Do Touch'!D20,4),$O$3:$O$6,0),MATCH(MOD('Map 2 Do Touch'!D21,4),$P$2:$S$2,0)),'Map 3'!$AJ$4:$AJ$6,0),MATCH(IF('Map 2 Do Touch'!D20&gt;4,"Water","Land"),'Map 3'!$AK$3:$AL$3,0))))</f>
        <v>Ocean</v>
      </c>
      <c r="E25" s="3" t="str">
        <f ca="1">IF('Map 2 Do Touch'!D20&lt;&gt;'Map 2 Do Touch'!D21,IF('Map 2 Do Touch'!E21&gt;4,INDEX($AG$4:$AH$6,MATCH(INDEX($I$3:$L$6,MATCH(MOD('Map 2 Do Touch'!D21,4),$H$3:$H$6,0),MATCH(MOD('Map 2 Do Touch'!E21,4),$I$2:$L$2,0)),$AF$4:$AF$6,0),MATCH(IF('Map 2 Do Touch'!D21&gt;4,"Water","Land"),'Map 3'!$AG$3:$AH$3,0)),INDEX($AK$4:$AL$6,MATCH(INDEX($I$3:$L$6,MATCH(MOD('Map 2 Do Touch'!D21,4),$H$3:$H$6,0),MATCH(MOD('Map 2 Do Touch'!E21,4),$I$2:$L$2,0)),'Map 3'!$AJ$4:$AJ$6,0),MATCH(IF('Map 2 Do Touch'!D21&gt;4,"Water","Land"),'Map 3'!$AK$3:$AL$3,0))),IF('Map 2 Do Touch'!E21&gt;4,INDEX($AG$4:$AH$6,MATCH(INDEX($P$3:$S$6,MATCH(MOD('Map 2 Do Touch'!E20,4),$O$3:$O$6,0),MATCH(MOD('Map 2 Do Touch'!E21,4),$P$2:$S$2,0)),$AF$4:$AF$6,0),MATCH(IF('Map 2 Do Touch'!E20&gt;4,"Water","Land"),'Map 3'!$AG$3:$AH$3,0)),INDEX($AK$4:$AL$6,MATCH(INDEX($P$3:$S$6,MATCH(MOD('Map 2 Do Touch'!E20,4),$O$3:$O$6,0),MATCH(MOD('Map 2 Do Touch'!E21,4),$P$2:$S$2,0)),'Map 3'!$AJ$4:$AJ$6,0),MATCH(IF('Map 2 Do Touch'!E20&gt;4,"Water","Land"),'Map 3'!$AK$3:$AL$3,0))))</f>
        <v>Ocean</v>
      </c>
      <c r="F25" s="3" t="str">
        <f ca="1">IF('Map 2 Do Touch'!E20&lt;&gt;'Map 2 Do Touch'!E21,IF('Map 2 Do Touch'!F21&gt;4,INDEX($AG$4:$AH$6,MATCH(INDEX($I$3:$L$6,MATCH(MOD('Map 2 Do Touch'!E21,4),$H$3:$H$6,0),MATCH(MOD('Map 2 Do Touch'!F21,4),$I$2:$L$2,0)),$AF$4:$AF$6,0),MATCH(IF('Map 2 Do Touch'!E21&gt;4,"Water","Land"),'Map 3'!$AG$3:$AH$3,0)),INDEX($AK$4:$AL$6,MATCH(INDEX($I$3:$L$6,MATCH(MOD('Map 2 Do Touch'!E21,4),$H$3:$H$6,0),MATCH(MOD('Map 2 Do Touch'!F21,4),$I$2:$L$2,0)),'Map 3'!$AJ$4:$AJ$6,0),MATCH(IF('Map 2 Do Touch'!E21&gt;4,"Water","Land"),'Map 3'!$AK$3:$AL$3,0))),IF('Map 2 Do Touch'!F21&gt;4,INDEX($AG$4:$AH$6,MATCH(INDEX($P$3:$S$6,MATCH(MOD('Map 2 Do Touch'!F20,4),$O$3:$O$6,0),MATCH(MOD('Map 2 Do Touch'!F21,4),$P$2:$S$2,0)),$AF$4:$AF$6,0),MATCH(IF('Map 2 Do Touch'!F20&gt;4,"Water","Land"),'Map 3'!$AG$3:$AH$3,0)),INDEX($AK$4:$AL$6,MATCH(INDEX($P$3:$S$6,MATCH(MOD('Map 2 Do Touch'!F20,4),$O$3:$O$6,0),MATCH(MOD('Map 2 Do Touch'!F21,4),$P$2:$S$2,0)),'Map 3'!$AJ$4:$AJ$6,0),MATCH(IF('Map 2 Do Touch'!F20&gt;4,"Water","Land"),'Map 3'!$AK$3:$AL$3,0))))</f>
        <v>Ocean</v>
      </c>
      <c r="G25" s="3" t="str">
        <f ca="1">IF('Map 2 Do Touch'!F20&lt;&gt;'Map 2 Do Touch'!F21,IF('Map 2 Do Touch'!G21&gt;4,INDEX($AG$4:$AH$6,MATCH(INDEX($I$3:$L$6,MATCH(MOD('Map 2 Do Touch'!F21,4),$H$3:$H$6,0),MATCH(MOD('Map 2 Do Touch'!G21,4),$I$2:$L$2,0)),$AF$4:$AF$6,0),MATCH(IF('Map 2 Do Touch'!F21&gt;4,"Water","Land"),'Map 3'!$AG$3:$AH$3,0)),INDEX($AK$4:$AL$6,MATCH(INDEX($I$3:$L$6,MATCH(MOD('Map 2 Do Touch'!F21,4),$H$3:$H$6,0),MATCH(MOD('Map 2 Do Touch'!G21,4),$I$2:$L$2,0)),'Map 3'!$AJ$4:$AJ$6,0),MATCH(IF('Map 2 Do Touch'!F21&gt;4,"Water","Land"),'Map 3'!$AK$3:$AL$3,0))),IF('Map 2 Do Touch'!G21&gt;4,INDEX($AG$4:$AH$6,MATCH(INDEX($P$3:$S$6,MATCH(MOD('Map 2 Do Touch'!G20,4),$O$3:$O$6,0),MATCH(MOD('Map 2 Do Touch'!G21,4),$P$2:$S$2,0)),$AF$4:$AF$6,0),MATCH(IF('Map 2 Do Touch'!G20&gt;4,"Water","Land"),'Map 3'!$AG$3:$AH$3,0)),INDEX($AK$4:$AL$6,MATCH(INDEX($P$3:$S$6,MATCH(MOD('Map 2 Do Touch'!G20,4),$O$3:$O$6,0),MATCH(MOD('Map 2 Do Touch'!G21,4),$P$2:$S$2,0)),'Map 3'!$AJ$4:$AJ$6,0),MATCH(IF('Map 2 Do Touch'!G20&gt;4,"Water","Land"),'Map 3'!$AK$3:$AL$3,0))))</f>
        <v>Ocean</v>
      </c>
      <c r="H25" s="3" t="str">
        <f ca="1">IF('Map 2 Do Touch'!G20&lt;&gt;'Map 2 Do Touch'!G21,IF('Map 2 Do Touch'!H21&gt;4,INDEX($AG$4:$AH$6,MATCH(INDEX($I$3:$L$6,MATCH(MOD('Map 2 Do Touch'!G21,4),$H$3:$H$6,0),MATCH(MOD('Map 2 Do Touch'!H21,4),$I$2:$L$2,0)),$AF$4:$AF$6,0),MATCH(IF('Map 2 Do Touch'!G21&gt;4,"Water","Land"),'Map 3'!$AG$3:$AH$3,0)),INDEX($AK$4:$AL$6,MATCH(INDEX($I$3:$L$6,MATCH(MOD('Map 2 Do Touch'!G21,4),$H$3:$H$6,0),MATCH(MOD('Map 2 Do Touch'!H21,4),$I$2:$L$2,0)),'Map 3'!$AJ$4:$AJ$6,0),MATCH(IF('Map 2 Do Touch'!G21&gt;4,"Water","Land"),'Map 3'!$AK$3:$AL$3,0))),IF('Map 2 Do Touch'!H21&gt;4,INDEX($AG$4:$AH$6,MATCH(INDEX($P$3:$S$6,MATCH(MOD('Map 2 Do Touch'!H20,4),$O$3:$O$6,0),MATCH(MOD('Map 2 Do Touch'!H21,4),$P$2:$S$2,0)),$AF$4:$AF$6,0),MATCH(IF('Map 2 Do Touch'!H20&gt;4,"Water","Land"),'Map 3'!$AG$3:$AH$3,0)),INDEX($AK$4:$AL$6,MATCH(INDEX($P$3:$S$6,MATCH(MOD('Map 2 Do Touch'!H20,4),$O$3:$O$6,0),MATCH(MOD('Map 2 Do Touch'!H21,4),$P$2:$S$2,0)),'Map 3'!$AJ$4:$AJ$6,0),MATCH(IF('Map 2 Do Touch'!H20&gt;4,"Water","Land"),'Map 3'!$AK$3:$AL$3,0))))</f>
        <v>Ocean</v>
      </c>
      <c r="I25" s="3" t="str">
        <f ca="1">IF('Map 2 Do Touch'!H20&lt;&gt;'Map 2 Do Touch'!H21,IF('Map 2 Do Touch'!I21&gt;4,INDEX($AG$4:$AH$6,MATCH(INDEX($I$3:$L$6,MATCH(MOD('Map 2 Do Touch'!H21,4),$H$3:$H$6,0),MATCH(MOD('Map 2 Do Touch'!I21,4),$I$2:$L$2,0)),$AF$4:$AF$6,0),MATCH(IF('Map 2 Do Touch'!H21&gt;4,"Water","Land"),'Map 3'!$AG$3:$AH$3,0)),INDEX($AK$4:$AL$6,MATCH(INDEX($I$3:$L$6,MATCH(MOD('Map 2 Do Touch'!H21,4),$H$3:$H$6,0),MATCH(MOD('Map 2 Do Touch'!I21,4),$I$2:$L$2,0)),'Map 3'!$AJ$4:$AJ$6,0),MATCH(IF('Map 2 Do Touch'!H21&gt;4,"Water","Land"),'Map 3'!$AK$3:$AL$3,0))),IF('Map 2 Do Touch'!I21&gt;4,INDEX($AG$4:$AH$6,MATCH(INDEX($P$3:$S$6,MATCH(MOD('Map 2 Do Touch'!I20,4),$O$3:$O$6,0),MATCH(MOD('Map 2 Do Touch'!I21,4),$P$2:$S$2,0)),$AF$4:$AF$6,0),MATCH(IF('Map 2 Do Touch'!I20&gt;4,"Water","Land"),'Map 3'!$AG$3:$AH$3,0)),INDEX($AK$4:$AL$6,MATCH(INDEX($P$3:$S$6,MATCH(MOD('Map 2 Do Touch'!I20,4),$O$3:$O$6,0),MATCH(MOD('Map 2 Do Touch'!I21,4),$P$2:$S$2,0)),'Map 3'!$AJ$4:$AJ$6,0),MATCH(IF('Map 2 Do Touch'!I20&gt;4,"Water","Land"),'Map 3'!$AK$3:$AL$3,0))))</f>
        <v>Ocean</v>
      </c>
      <c r="J25" s="3" t="str">
        <f ca="1">IF('Map 2 Do Touch'!I20&lt;&gt;'Map 2 Do Touch'!I21,IF('Map 2 Do Touch'!J21&gt;4,INDEX($AG$4:$AH$6,MATCH(INDEX($I$3:$L$6,MATCH(MOD('Map 2 Do Touch'!I21,4),$H$3:$H$6,0),MATCH(MOD('Map 2 Do Touch'!J21,4),$I$2:$L$2,0)),$AF$4:$AF$6,0),MATCH(IF('Map 2 Do Touch'!I21&gt;4,"Water","Land"),'Map 3'!$AG$3:$AH$3,0)),INDEX($AK$4:$AL$6,MATCH(INDEX($I$3:$L$6,MATCH(MOD('Map 2 Do Touch'!I21,4),$H$3:$H$6,0),MATCH(MOD('Map 2 Do Touch'!J21,4),$I$2:$L$2,0)),'Map 3'!$AJ$4:$AJ$6,0),MATCH(IF('Map 2 Do Touch'!I21&gt;4,"Water","Land"),'Map 3'!$AK$3:$AL$3,0))),IF('Map 2 Do Touch'!J21&gt;4,INDEX($AG$4:$AH$6,MATCH(INDEX($P$3:$S$6,MATCH(MOD('Map 2 Do Touch'!J20,4),$O$3:$O$6,0),MATCH(MOD('Map 2 Do Touch'!J21,4),$P$2:$S$2,0)),$AF$4:$AF$6,0),MATCH(IF('Map 2 Do Touch'!J20&gt;4,"Water","Land"),'Map 3'!$AG$3:$AH$3,0)),INDEX($AK$4:$AL$6,MATCH(INDEX($P$3:$S$6,MATCH(MOD('Map 2 Do Touch'!J20,4),$O$3:$O$6,0),MATCH(MOD('Map 2 Do Touch'!J21,4),$P$2:$S$2,0)),'Map 3'!$AJ$4:$AJ$6,0),MATCH(IF('Map 2 Do Touch'!J20&gt;4,"Water","Land"),'Map 3'!$AK$3:$AL$3,0))))</f>
        <v>Ocean</v>
      </c>
      <c r="K25" s="3" t="str">
        <f ca="1">IF('Map 2 Do Touch'!J20&lt;&gt;'Map 2 Do Touch'!J21,IF('Map 2 Do Touch'!K21&gt;4,INDEX($AG$4:$AH$6,MATCH(INDEX($I$3:$L$6,MATCH(MOD('Map 2 Do Touch'!J21,4),$H$3:$H$6,0),MATCH(MOD('Map 2 Do Touch'!K21,4),$I$2:$L$2,0)),$AF$4:$AF$6,0),MATCH(IF('Map 2 Do Touch'!J21&gt;4,"Water","Land"),'Map 3'!$AG$3:$AH$3,0)),INDEX($AK$4:$AL$6,MATCH(INDEX($I$3:$L$6,MATCH(MOD('Map 2 Do Touch'!J21,4),$H$3:$H$6,0),MATCH(MOD('Map 2 Do Touch'!K21,4),$I$2:$L$2,0)),'Map 3'!$AJ$4:$AJ$6,0),MATCH(IF('Map 2 Do Touch'!J21&gt;4,"Water","Land"),'Map 3'!$AK$3:$AL$3,0))),IF('Map 2 Do Touch'!K21&gt;4,INDEX($AG$4:$AH$6,MATCH(INDEX($P$3:$S$6,MATCH(MOD('Map 2 Do Touch'!K20,4),$O$3:$O$6,0),MATCH(MOD('Map 2 Do Touch'!K21,4),$P$2:$S$2,0)),$AF$4:$AF$6,0),MATCH(IF('Map 2 Do Touch'!K20&gt;4,"Water","Land"),'Map 3'!$AG$3:$AH$3,0)),INDEX($AK$4:$AL$6,MATCH(INDEX($P$3:$S$6,MATCH(MOD('Map 2 Do Touch'!K20,4),$O$3:$O$6,0),MATCH(MOD('Map 2 Do Touch'!K21,4),$P$2:$S$2,0)),'Map 3'!$AJ$4:$AJ$6,0),MATCH(IF('Map 2 Do Touch'!K20&gt;4,"Water","Land"),'Map 3'!$AK$3:$AL$3,0))))</f>
        <v>Ocean</v>
      </c>
      <c r="L25" s="3" t="str">
        <f ca="1">IF('Map 2 Do Touch'!K20&lt;&gt;'Map 2 Do Touch'!K21,IF('Map 2 Do Touch'!L21&gt;4,INDEX($AG$4:$AH$6,MATCH(INDEX($I$3:$L$6,MATCH(MOD('Map 2 Do Touch'!K21,4),$H$3:$H$6,0),MATCH(MOD('Map 2 Do Touch'!L21,4),$I$2:$L$2,0)),$AF$4:$AF$6,0),MATCH(IF('Map 2 Do Touch'!K21&gt;4,"Water","Land"),'Map 3'!$AG$3:$AH$3,0)),INDEX($AK$4:$AL$6,MATCH(INDEX($I$3:$L$6,MATCH(MOD('Map 2 Do Touch'!K21,4),$H$3:$H$6,0),MATCH(MOD('Map 2 Do Touch'!L21,4),$I$2:$L$2,0)),'Map 3'!$AJ$4:$AJ$6,0),MATCH(IF('Map 2 Do Touch'!K21&gt;4,"Water","Land"),'Map 3'!$AK$3:$AL$3,0))),IF('Map 2 Do Touch'!L21&gt;4,INDEX($AG$4:$AH$6,MATCH(INDEX($P$3:$S$6,MATCH(MOD('Map 2 Do Touch'!L20,4),$O$3:$O$6,0),MATCH(MOD('Map 2 Do Touch'!L21,4),$P$2:$S$2,0)),$AF$4:$AF$6,0),MATCH(IF('Map 2 Do Touch'!L20&gt;4,"Water","Land"),'Map 3'!$AG$3:$AH$3,0)),INDEX($AK$4:$AL$6,MATCH(INDEX($P$3:$S$6,MATCH(MOD('Map 2 Do Touch'!L20,4),$O$3:$O$6,0),MATCH(MOD('Map 2 Do Touch'!L21,4),$P$2:$S$2,0)),'Map 3'!$AJ$4:$AJ$6,0),MATCH(IF('Map 2 Do Touch'!L20&gt;4,"Water","Land"),'Map 3'!$AK$3:$AL$3,0))))</f>
        <v>Ocean</v>
      </c>
      <c r="M25" s="3" t="str">
        <f ca="1">IF('Map 2 Do Touch'!L20&lt;&gt;'Map 2 Do Touch'!L21,IF('Map 2 Do Touch'!M21&gt;4,INDEX($AG$4:$AH$6,MATCH(INDEX($I$3:$L$6,MATCH(MOD('Map 2 Do Touch'!L21,4),$H$3:$H$6,0),MATCH(MOD('Map 2 Do Touch'!M21,4),$I$2:$L$2,0)),$AF$4:$AF$6,0),MATCH(IF('Map 2 Do Touch'!L21&gt;4,"Water","Land"),'Map 3'!$AG$3:$AH$3,0)),INDEX($AK$4:$AL$6,MATCH(INDEX($I$3:$L$6,MATCH(MOD('Map 2 Do Touch'!L21,4),$H$3:$H$6,0),MATCH(MOD('Map 2 Do Touch'!M21,4),$I$2:$L$2,0)),'Map 3'!$AJ$4:$AJ$6,0),MATCH(IF('Map 2 Do Touch'!L21&gt;4,"Water","Land"),'Map 3'!$AK$3:$AL$3,0))),IF('Map 2 Do Touch'!M21&gt;4,INDEX($AG$4:$AH$6,MATCH(INDEX($P$3:$S$6,MATCH(MOD('Map 2 Do Touch'!M20,4),$O$3:$O$6,0),MATCH(MOD('Map 2 Do Touch'!M21,4),$P$2:$S$2,0)),$AF$4:$AF$6,0),MATCH(IF('Map 2 Do Touch'!M20&gt;4,"Water","Land"),'Map 3'!$AG$3:$AH$3,0)),INDEX($AK$4:$AL$6,MATCH(INDEX($P$3:$S$6,MATCH(MOD('Map 2 Do Touch'!M20,4),$O$3:$O$6,0),MATCH(MOD('Map 2 Do Touch'!M21,4),$P$2:$S$2,0)),'Map 3'!$AJ$4:$AJ$6,0),MATCH(IF('Map 2 Do Touch'!M20&gt;4,"Water","Land"),'Map 3'!$AK$3:$AL$3,0))))</f>
        <v>Ocean</v>
      </c>
      <c r="N25" s="3" t="str">
        <f ca="1">IF('Map 2 Do Touch'!M20&lt;&gt;'Map 2 Do Touch'!M21,IF('Map 2 Do Touch'!N21&gt;4,INDEX($AG$4:$AH$6,MATCH(INDEX($I$3:$L$6,MATCH(MOD('Map 2 Do Touch'!M21,4),$H$3:$H$6,0),MATCH(MOD('Map 2 Do Touch'!N21,4),$I$2:$L$2,0)),$AF$4:$AF$6,0),MATCH(IF('Map 2 Do Touch'!M21&gt;4,"Water","Land"),'Map 3'!$AG$3:$AH$3,0)),INDEX($AK$4:$AL$6,MATCH(INDEX($I$3:$L$6,MATCH(MOD('Map 2 Do Touch'!M21,4),$H$3:$H$6,0),MATCH(MOD('Map 2 Do Touch'!N21,4),$I$2:$L$2,0)),'Map 3'!$AJ$4:$AJ$6,0),MATCH(IF('Map 2 Do Touch'!M21&gt;4,"Water","Land"),'Map 3'!$AK$3:$AL$3,0))),IF('Map 2 Do Touch'!N21&gt;4,INDEX($AG$4:$AH$6,MATCH(INDEX($P$3:$S$6,MATCH(MOD('Map 2 Do Touch'!N20,4),$O$3:$O$6,0),MATCH(MOD('Map 2 Do Touch'!N21,4),$P$2:$S$2,0)),$AF$4:$AF$6,0),MATCH(IF('Map 2 Do Touch'!N20&gt;4,"Water","Land"),'Map 3'!$AG$3:$AH$3,0)),INDEX($AK$4:$AL$6,MATCH(INDEX($P$3:$S$6,MATCH(MOD('Map 2 Do Touch'!N20,4),$O$3:$O$6,0),MATCH(MOD('Map 2 Do Touch'!N21,4),$P$2:$S$2,0)),'Map 3'!$AJ$4:$AJ$6,0),MATCH(IF('Map 2 Do Touch'!N20&gt;4,"Water","Land"),'Map 3'!$AK$3:$AL$3,0))))</f>
        <v>Ocean</v>
      </c>
      <c r="O25" s="3" t="str">
        <f ca="1">IF('Map 2 Do Touch'!N20&lt;&gt;'Map 2 Do Touch'!N21,IF('Map 2 Do Touch'!O21&gt;4,INDEX($AG$4:$AH$6,MATCH(INDEX($I$3:$L$6,MATCH(MOD('Map 2 Do Touch'!N21,4),$H$3:$H$6,0),MATCH(MOD('Map 2 Do Touch'!O21,4),$I$2:$L$2,0)),$AF$4:$AF$6,0),MATCH(IF('Map 2 Do Touch'!N21&gt;4,"Water","Land"),'Map 3'!$AG$3:$AH$3,0)),INDEX($AK$4:$AL$6,MATCH(INDEX($I$3:$L$6,MATCH(MOD('Map 2 Do Touch'!N21,4),$H$3:$H$6,0),MATCH(MOD('Map 2 Do Touch'!O21,4),$I$2:$L$2,0)),'Map 3'!$AJ$4:$AJ$6,0),MATCH(IF('Map 2 Do Touch'!N21&gt;4,"Water","Land"),'Map 3'!$AK$3:$AL$3,0))),IF('Map 2 Do Touch'!O21&gt;4,INDEX($AG$4:$AH$6,MATCH(INDEX($P$3:$S$6,MATCH(MOD('Map 2 Do Touch'!O20,4),$O$3:$O$6,0),MATCH(MOD('Map 2 Do Touch'!O21,4),$P$2:$S$2,0)),$AF$4:$AF$6,0),MATCH(IF('Map 2 Do Touch'!O20&gt;4,"Water","Land"),'Map 3'!$AG$3:$AH$3,0)),INDEX($AK$4:$AL$6,MATCH(INDEX($P$3:$S$6,MATCH(MOD('Map 2 Do Touch'!O20,4),$O$3:$O$6,0),MATCH(MOD('Map 2 Do Touch'!O21,4),$P$2:$S$2,0)),'Map 3'!$AJ$4:$AJ$6,0),MATCH(IF('Map 2 Do Touch'!O20&gt;4,"Water","Land"),'Map 3'!$AK$3:$AL$3,0))))</f>
        <v>Coast</v>
      </c>
      <c r="P25" s="3" t="str">
        <f ca="1">IF('Map 2 Do Touch'!O20&lt;&gt;'Map 2 Do Touch'!O21,IF('Map 2 Do Touch'!P21&gt;4,INDEX($AG$4:$AH$6,MATCH(INDEX($I$3:$L$6,MATCH(MOD('Map 2 Do Touch'!O21,4),$H$3:$H$6,0),MATCH(MOD('Map 2 Do Touch'!P21,4),$I$2:$L$2,0)),$AF$4:$AF$6,0),MATCH(IF('Map 2 Do Touch'!O21&gt;4,"Water","Land"),'Map 3'!$AG$3:$AH$3,0)),INDEX($AK$4:$AL$6,MATCH(INDEX($I$3:$L$6,MATCH(MOD('Map 2 Do Touch'!O21,4),$H$3:$H$6,0),MATCH(MOD('Map 2 Do Touch'!P21,4),$I$2:$L$2,0)),'Map 3'!$AJ$4:$AJ$6,0),MATCH(IF('Map 2 Do Touch'!O21&gt;4,"Water","Land"),'Map 3'!$AK$3:$AL$3,0))),IF('Map 2 Do Touch'!P21&gt;4,INDEX($AG$4:$AH$6,MATCH(INDEX($P$3:$S$6,MATCH(MOD('Map 2 Do Touch'!P20,4),$O$3:$O$6,0),MATCH(MOD('Map 2 Do Touch'!P21,4),$P$2:$S$2,0)),$AF$4:$AF$6,0),MATCH(IF('Map 2 Do Touch'!P20&gt;4,"Water","Land"),'Map 3'!$AG$3:$AH$3,0)),INDEX($AK$4:$AL$6,MATCH(INDEX($P$3:$S$6,MATCH(MOD('Map 2 Do Touch'!P20,4),$O$3:$O$6,0),MATCH(MOD('Map 2 Do Touch'!P21,4),$P$2:$S$2,0)),'Map 3'!$AJ$4:$AJ$6,0),MATCH(IF('Map 2 Do Touch'!P20&gt;4,"Water","Land"),'Map 3'!$AK$3:$AL$3,0))))</f>
        <v>Ocean</v>
      </c>
      <c r="Q25" s="3" t="str">
        <f ca="1">IF('Map 2 Do Touch'!P20&lt;&gt;'Map 2 Do Touch'!P21,IF('Map 2 Do Touch'!Q21&gt;4,INDEX($AG$4:$AH$6,MATCH(INDEX($I$3:$L$6,MATCH(MOD('Map 2 Do Touch'!P21,4),$H$3:$H$6,0),MATCH(MOD('Map 2 Do Touch'!Q21,4),$I$2:$L$2,0)),$AF$4:$AF$6,0),MATCH(IF('Map 2 Do Touch'!P21&gt;4,"Water","Land"),'Map 3'!$AG$3:$AH$3,0)),INDEX($AK$4:$AL$6,MATCH(INDEX($I$3:$L$6,MATCH(MOD('Map 2 Do Touch'!P21,4),$H$3:$H$6,0),MATCH(MOD('Map 2 Do Touch'!Q21,4),$I$2:$L$2,0)),'Map 3'!$AJ$4:$AJ$6,0),MATCH(IF('Map 2 Do Touch'!P21&gt;4,"Water","Land"),'Map 3'!$AK$3:$AL$3,0))),IF('Map 2 Do Touch'!Q21&gt;4,INDEX($AG$4:$AH$6,MATCH(INDEX($P$3:$S$6,MATCH(MOD('Map 2 Do Touch'!Q20,4),$O$3:$O$6,0),MATCH(MOD('Map 2 Do Touch'!Q21,4),$P$2:$S$2,0)),$AF$4:$AF$6,0),MATCH(IF('Map 2 Do Touch'!Q20&gt;4,"Water","Land"),'Map 3'!$AG$3:$AH$3,0)),INDEX($AK$4:$AL$6,MATCH(INDEX($P$3:$S$6,MATCH(MOD('Map 2 Do Touch'!Q20,4),$O$3:$O$6,0),MATCH(MOD('Map 2 Do Touch'!Q21,4),$P$2:$S$2,0)),'Map 3'!$AJ$4:$AJ$6,0),MATCH(IF('Map 2 Do Touch'!Q20&gt;4,"Water","Land"),'Map 3'!$AK$3:$AL$3,0))))</f>
        <v>Ocean</v>
      </c>
      <c r="R25" s="3" t="str">
        <f ca="1">IF('Map 2 Do Touch'!Q20&lt;&gt;'Map 2 Do Touch'!Q21,IF('Map 2 Do Touch'!R21&gt;4,INDEX($AG$4:$AH$6,MATCH(INDEX($I$3:$L$6,MATCH(MOD('Map 2 Do Touch'!Q21,4),$H$3:$H$6,0),MATCH(MOD('Map 2 Do Touch'!R21,4),$I$2:$L$2,0)),$AF$4:$AF$6,0),MATCH(IF('Map 2 Do Touch'!Q21&gt;4,"Water","Land"),'Map 3'!$AG$3:$AH$3,0)),INDEX($AK$4:$AL$6,MATCH(INDEX($I$3:$L$6,MATCH(MOD('Map 2 Do Touch'!Q21,4),$H$3:$H$6,0),MATCH(MOD('Map 2 Do Touch'!R21,4),$I$2:$L$2,0)),'Map 3'!$AJ$4:$AJ$6,0),MATCH(IF('Map 2 Do Touch'!Q21&gt;4,"Water","Land"),'Map 3'!$AK$3:$AL$3,0))),IF('Map 2 Do Touch'!R21&gt;4,INDEX($AG$4:$AH$6,MATCH(INDEX($P$3:$S$6,MATCH(MOD('Map 2 Do Touch'!R20,4),$O$3:$O$6,0),MATCH(MOD('Map 2 Do Touch'!R21,4),$P$2:$S$2,0)),$AF$4:$AF$6,0),MATCH(IF('Map 2 Do Touch'!R20&gt;4,"Water","Land"),'Map 3'!$AG$3:$AH$3,0)),INDEX($AK$4:$AL$6,MATCH(INDEX($P$3:$S$6,MATCH(MOD('Map 2 Do Touch'!R20,4),$O$3:$O$6,0),MATCH(MOD('Map 2 Do Touch'!R21,4),$P$2:$S$2,0)),'Map 3'!$AJ$4:$AJ$6,0),MATCH(IF('Map 2 Do Touch'!R20&gt;4,"Water","Land"),'Map 3'!$AK$3:$AL$3,0))))</f>
        <v>Ocean</v>
      </c>
      <c r="S25" s="3" t="str">
        <f ca="1">IF('Map 2 Do Touch'!R20&lt;&gt;'Map 2 Do Touch'!R21,IF('Map 2 Do Touch'!S21&gt;4,INDEX($AG$4:$AH$6,MATCH(INDEX($I$3:$L$6,MATCH(MOD('Map 2 Do Touch'!R21,4),$H$3:$H$6,0),MATCH(MOD('Map 2 Do Touch'!S21,4),$I$2:$L$2,0)),$AF$4:$AF$6,0),MATCH(IF('Map 2 Do Touch'!R21&gt;4,"Water","Land"),'Map 3'!$AG$3:$AH$3,0)),INDEX($AK$4:$AL$6,MATCH(INDEX($I$3:$L$6,MATCH(MOD('Map 2 Do Touch'!R21,4),$H$3:$H$6,0),MATCH(MOD('Map 2 Do Touch'!S21,4),$I$2:$L$2,0)),'Map 3'!$AJ$4:$AJ$6,0),MATCH(IF('Map 2 Do Touch'!R21&gt;4,"Water","Land"),'Map 3'!$AK$3:$AL$3,0))),IF('Map 2 Do Touch'!S21&gt;4,INDEX($AG$4:$AH$6,MATCH(INDEX($P$3:$S$6,MATCH(MOD('Map 2 Do Touch'!S20,4),$O$3:$O$6,0),MATCH(MOD('Map 2 Do Touch'!S21,4),$P$2:$S$2,0)),$AF$4:$AF$6,0),MATCH(IF('Map 2 Do Touch'!S20&gt;4,"Water","Land"),'Map 3'!$AG$3:$AH$3,0)),INDEX($AK$4:$AL$6,MATCH(INDEX($P$3:$S$6,MATCH(MOD('Map 2 Do Touch'!S20,4),$O$3:$O$6,0),MATCH(MOD('Map 2 Do Touch'!S21,4),$P$2:$S$2,0)),'Map 3'!$AJ$4:$AJ$6,0),MATCH(IF('Map 2 Do Touch'!S20&gt;4,"Water","Land"),'Map 3'!$AK$3:$AL$3,0))))</f>
        <v>Ocean</v>
      </c>
      <c r="T25" s="3" t="str">
        <f ca="1">IF('Map 2 Do Touch'!S20&lt;&gt;'Map 2 Do Touch'!S21,IF('Map 2 Do Touch'!T21&gt;4,INDEX($AG$4:$AH$6,MATCH(INDEX($I$3:$L$6,MATCH(MOD('Map 2 Do Touch'!S21,4),$H$3:$H$6,0),MATCH(MOD('Map 2 Do Touch'!T21,4),$I$2:$L$2,0)),$AF$4:$AF$6,0),MATCH(IF('Map 2 Do Touch'!S21&gt;4,"Water","Land"),'Map 3'!$AG$3:$AH$3,0)),INDEX($AK$4:$AL$6,MATCH(INDEX($I$3:$L$6,MATCH(MOD('Map 2 Do Touch'!S21,4),$H$3:$H$6,0),MATCH(MOD('Map 2 Do Touch'!T21,4),$I$2:$L$2,0)),'Map 3'!$AJ$4:$AJ$6,0),MATCH(IF('Map 2 Do Touch'!S21&gt;4,"Water","Land"),'Map 3'!$AK$3:$AL$3,0))),IF('Map 2 Do Touch'!T21&gt;4,INDEX($AG$4:$AH$6,MATCH(INDEX($P$3:$S$6,MATCH(MOD('Map 2 Do Touch'!T20,4),$O$3:$O$6,0),MATCH(MOD('Map 2 Do Touch'!T21,4),$P$2:$S$2,0)),$AF$4:$AF$6,0),MATCH(IF('Map 2 Do Touch'!T20&gt;4,"Water","Land"),'Map 3'!$AG$3:$AH$3,0)),INDEX($AK$4:$AL$6,MATCH(INDEX($P$3:$S$6,MATCH(MOD('Map 2 Do Touch'!T20,4),$O$3:$O$6,0),MATCH(MOD('Map 2 Do Touch'!T21,4),$P$2:$S$2,0)),'Map 3'!$AJ$4:$AJ$6,0),MATCH(IF('Map 2 Do Touch'!T20&gt;4,"Water","Land"),'Map 3'!$AK$3:$AL$3,0))))</f>
        <v>Ocean</v>
      </c>
      <c r="U25" s="3" t="str">
        <f ca="1">IF('Map 2 Do Touch'!T20&lt;&gt;'Map 2 Do Touch'!T21,IF('Map 2 Do Touch'!U21&gt;4,INDEX($AG$4:$AH$6,MATCH(INDEX($I$3:$L$6,MATCH(MOD('Map 2 Do Touch'!T21,4),$H$3:$H$6,0),MATCH(MOD('Map 2 Do Touch'!U21,4),$I$2:$L$2,0)),$AF$4:$AF$6,0),MATCH(IF('Map 2 Do Touch'!T21&gt;4,"Water","Land"),'Map 3'!$AG$3:$AH$3,0)),INDEX($AK$4:$AL$6,MATCH(INDEX($I$3:$L$6,MATCH(MOD('Map 2 Do Touch'!T21,4),$H$3:$H$6,0),MATCH(MOD('Map 2 Do Touch'!U21,4),$I$2:$L$2,0)),'Map 3'!$AJ$4:$AJ$6,0),MATCH(IF('Map 2 Do Touch'!T21&gt;4,"Water","Land"),'Map 3'!$AK$3:$AL$3,0))),IF('Map 2 Do Touch'!U21&gt;4,INDEX($AG$4:$AH$6,MATCH(INDEX($P$3:$S$6,MATCH(MOD('Map 2 Do Touch'!U20,4),$O$3:$O$6,0),MATCH(MOD('Map 2 Do Touch'!U21,4),$P$2:$S$2,0)),$AF$4:$AF$6,0),MATCH(IF('Map 2 Do Touch'!U20&gt;4,"Water","Land"),'Map 3'!$AG$3:$AH$3,0)),INDEX($AK$4:$AL$6,MATCH(INDEX($P$3:$S$6,MATCH(MOD('Map 2 Do Touch'!U20,4),$O$3:$O$6,0),MATCH(MOD('Map 2 Do Touch'!U21,4),$P$2:$S$2,0)),'Map 3'!$AJ$4:$AJ$6,0),MATCH(IF('Map 2 Do Touch'!U20&gt;4,"Water","Land"),'Map 3'!$AK$3:$AL$3,0))))</f>
        <v>Coast</v>
      </c>
      <c r="V25" s="3" t="str">
        <f ca="1">IF('Map 2 Do Touch'!U20&lt;&gt;'Map 2 Do Touch'!U21,IF('Map 2 Do Touch'!V21&gt;4,INDEX($AG$4:$AH$6,MATCH(INDEX($I$3:$L$6,MATCH(MOD('Map 2 Do Touch'!U21,4),$H$3:$H$6,0),MATCH(MOD('Map 2 Do Touch'!V21,4),$I$2:$L$2,0)),$AF$4:$AF$6,0),MATCH(IF('Map 2 Do Touch'!U21&gt;4,"Water","Land"),'Map 3'!$AG$3:$AH$3,0)),INDEX($AK$4:$AL$6,MATCH(INDEX($I$3:$L$6,MATCH(MOD('Map 2 Do Touch'!U21,4),$H$3:$H$6,0),MATCH(MOD('Map 2 Do Touch'!V21,4),$I$2:$L$2,0)),'Map 3'!$AJ$4:$AJ$6,0),MATCH(IF('Map 2 Do Touch'!U21&gt;4,"Water","Land"),'Map 3'!$AK$3:$AL$3,0))),IF('Map 2 Do Touch'!V21&gt;4,INDEX($AG$4:$AH$6,MATCH(INDEX($P$3:$S$6,MATCH(MOD('Map 2 Do Touch'!V20,4),$O$3:$O$6,0),MATCH(MOD('Map 2 Do Touch'!V21,4),$P$2:$S$2,0)),$AF$4:$AF$6,0),MATCH(IF('Map 2 Do Touch'!V20&gt;4,"Water","Land"),'Map 3'!$AG$3:$AH$3,0)),INDEX($AK$4:$AL$6,MATCH(INDEX($P$3:$S$6,MATCH(MOD('Map 2 Do Touch'!V20,4),$O$3:$O$6,0),MATCH(MOD('Map 2 Do Touch'!V21,4),$P$2:$S$2,0)),'Map 3'!$AJ$4:$AJ$6,0),MATCH(IF('Map 2 Do Touch'!V20&gt;4,"Water","Land"),'Map 3'!$AK$3:$AL$3,0))))</f>
        <v>Flatland</v>
      </c>
      <c r="W25" s="3" t="str">
        <f ca="1">IF('Map 2 Do Touch'!V20&lt;&gt;'Map 2 Do Touch'!V21,IF('Map 2 Do Touch'!W21&gt;4,INDEX($AG$4:$AH$6,MATCH(INDEX($I$3:$L$6,MATCH(MOD('Map 2 Do Touch'!V21,4),$H$3:$H$6,0),MATCH(MOD('Map 2 Do Touch'!W21,4),$I$2:$L$2,0)),$AF$4:$AF$6,0),MATCH(IF('Map 2 Do Touch'!V21&gt;4,"Water","Land"),'Map 3'!$AG$3:$AH$3,0)),INDEX($AK$4:$AL$6,MATCH(INDEX($I$3:$L$6,MATCH(MOD('Map 2 Do Touch'!V21,4),$H$3:$H$6,0),MATCH(MOD('Map 2 Do Touch'!W21,4),$I$2:$L$2,0)),'Map 3'!$AJ$4:$AJ$6,0),MATCH(IF('Map 2 Do Touch'!V21&gt;4,"Water","Land"),'Map 3'!$AK$3:$AL$3,0))),IF('Map 2 Do Touch'!W21&gt;4,INDEX($AG$4:$AH$6,MATCH(INDEX($P$3:$S$6,MATCH(MOD('Map 2 Do Touch'!W20,4),$O$3:$O$6,0),MATCH(MOD('Map 2 Do Touch'!W21,4),$P$2:$S$2,0)),$AF$4:$AF$6,0),MATCH(IF('Map 2 Do Touch'!W20&gt;4,"Water","Land"),'Map 3'!$AG$3:$AH$3,0)),INDEX($AK$4:$AL$6,MATCH(INDEX($P$3:$S$6,MATCH(MOD('Map 2 Do Touch'!W20,4),$O$3:$O$6,0),MATCH(MOD('Map 2 Do Touch'!W21,4),$P$2:$S$2,0)),'Map 3'!$AJ$4:$AJ$6,0),MATCH(IF('Map 2 Do Touch'!W20&gt;4,"Water","Land"),'Map 3'!$AK$3:$AL$3,0))))</f>
        <v>Flatland</v>
      </c>
      <c r="X25" s="3" t="str">
        <f ca="1">IF('Map 2 Do Touch'!W20&lt;&gt;'Map 2 Do Touch'!W21,IF('Map 2 Do Touch'!X21&gt;4,INDEX($AG$4:$AH$6,MATCH(INDEX($I$3:$L$6,MATCH(MOD('Map 2 Do Touch'!W21,4),$H$3:$H$6,0),MATCH(MOD('Map 2 Do Touch'!X21,4),$I$2:$L$2,0)),$AF$4:$AF$6,0),MATCH(IF('Map 2 Do Touch'!W21&gt;4,"Water","Land"),'Map 3'!$AG$3:$AH$3,0)),INDEX($AK$4:$AL$6,MATCH(INDEX($I$3:$L$6,MATCH(MOD('Map 2 Do Touch'!W21,4),$H$3:$H$6,0),MATCH(MOD('Map 2 Do Touch'!X21,4),$I$2:$L$2,0)),'Map 3'!$AJ$4:$AJ$6,0),MATCH(IF('Map 2 Do Touch'!W21&gt;4,"Water","Land"),'Map 3'!$AK$3:$AL$3,0))),IF('Map 2 Do Touch'!X21&gt;4,INDEX($AG$4:$AH$6,MATCH(INDEX($P$3:$S$6,MATCH(MOD('Map 2 Do Touch'!X20,4),$O$3:$O$6,0),MATCH(MOD('Map 2 Do Touch'!X21,4),$P$2:$S$2,0)),$AF$4:$AF$6,0),MATCH(IF('Map 2 Do Touch'!X20&gt;4,"Water","Land"),'Map 3'!$AG$3:$AH$3,0)),INDEX($AK$4:$AL$6,MATCH(INDEX($P$3:$S$6,MATCH(MOD('Map 2 Do Touch'!X20,4),$O$3:$O$6,0),MATCH(MOD('Map 2 Do Touch'!X21,4),$P$2:$S$2,0)),'Map 3'!$AJ$4:$AJ$6,0),MATCH(IF('Map 2 Do Touch'!X20&gt;4,"Water","Land"),'Map 3'!$AK$3:$AL$3,0))))</f>
        <v>Coast</v>
      </c>
      <c r="Y25" s="3" t="str">
        <f ca="1">IF('Map 2 Do Touch'!X20&lt;&gt;'Map 2 Do Touch'!X21,IF('Map 2 Do Touch'!Y21&gt;4,INDEX($AG$4:$AH$6,MATCH(INDEX($I$3:$L$6,MATCH(MOD('Map 2 Do Touch'!X21,4),$H$3:$H$6,0),MATCH(MOD('Map 2 Do Touch'!Y21,4),$I$2:$L$2,0)),$AF$4:$AF$6,0),MATCH(IF('Map 2 Do Touch'!X21&gt;4,"Water","Land"),'Map 3'!$AG$3:$AH$3,0)),INDEX($AK$4:$AL$6,MATCH(INDEX($I$3:$L$6,MATCH(MOD('Map 2 Do Touch'!X21,4),$H$3:$H$6,0),MATCH(MOD('Map 2 Do Touch'!Y21,4),$I$2:$L$2,0)),'Map 3'!$AJ$4:$AJ$6,0),MATCH(IF('Map 2 Do Touch'!X21&gt;4,"Water","Land"),'Map 3'!$AK$3:$AL$3,0))),IF('Map 2 Do Touch'!Y21&gt;4,INDEX($AG$4:$AH$6,MATCH(INDEX($P$3:$S$6,MATCH(MOD('Map 2 Do Touch'!Y20,4),$O$3:$O$6,0),MATCH(MOD('Map 2 Do Touch'!Y21,4),$P$2:$S$2,0)),$AF$4:$AF$6,0),MATCH(IF('Map 2 Do Touch'!Y20&gt;4,"Water","Land"),'Map 3'!$AG$3:$AH$3,0)),INDEX($AK$4:$AL$6,MATCH(INDEX($P$3:$S$6,MATCH(MOD('Map 2 Do Touch'!Y20,4),$O$3:$O$6,0),MATCH(MOD('Map 2 Do Touch'!Y21,4),$P$2:$S$2,0)),'Map 3'!$AJ$4:$AJ$6,0),MATCH(IF('Map 2 Do Touch'!Y20&gt;4,"Water","Land"),'Map 3'!$AK$3:$AL$3,0))))</f>
        <v>Coast</v>
      </c>
      <c r="Z25" s="3" t="str">
        <f ca="1">IF('Map 2 Do Touch'!Y20&lt;&gt;'Map 2 Do Touch'!Y21,IF('Map 2 Do Touch'!Z21&gt;4,INDEX($AG$4:$AH$6,MATCH(INDEX($I$3:$L$6,MATCH(MOD('Map 2 Do Touch'!Y21,4),$H$3:$H$6,0),MATCH(MOD('Map 2 Do Touch'!Z21,4),$I$2:$L$2,0)),$AF$4:$AF$6,0),MATCH(IF('Map 2 Do Touch'!Y21&gt;4,"Water","Land"),'Map 3'!$AG$3:$AH$3,0)),INDEX($AK$4:$AL$6,MATCH(INDEX($I$3:$L$6,MATCH(MOD('Map 2 Do Touch'!Y21,4),$H$3:$H$6,0),MATCH(MOD('Map 2 Do Touch'!Z21,4),$I$2:$L$2,0)),'Map 3'!$AJ$4:$AJ$6,0),MATCH(IF('Map 2 Do Touch'!Y21&gt;4,"Water","Land"),'Map 3'!$AK$3:$AL$3,0))),IF('Map 2 Do Touch'!Z21&gt;4,INDEX($AG$4:$AH$6,MATCH(INDEX($P$3:$S$6,MATCH(MOD('Map 2 Do Touch'!Z20,4),$O$3:$O$6,0),MATCH(MOD('Map 2 Do Touch'!Z21,4),$P$2:$S$2,0)),$AF$4:$AF$6,0),MATCH(IF('Map 2 Do Touch'!Z20&gt;4,"Water","Land"),'Map 3'!$AG$3:$AH$3,0)),INDEX($AK$4:$AL$6,MATCH(INDEX($P$3:$S$6,MATCH(MOD('Map 2 Do Touch'!Z20,4),$O$3:$O$6,0),MATCH(MOD('Map 2 Do Touch'!Z21,4),$P$2:$S$2,0)),'Map 3'!$AJ$4:$AJ$6,0),MATCH(IF('Map 2 Do Touch'!Z20&gt;4,"Water","Land"),'Map 3'!$AK$3:$AL$3,0))))</f>
        <v>Coast</v>
      </c>
      <c r="AA25" s="3" t="str">
        <f ca="1">IF('Map 2 Do Touch'!Z20&lt;&gt;'Map 2 Do Touch'!Z21,IF('Map 2 Do Touch'!AA21&gt;4,INDEX($AG$4:$AH$6,MATCH(INDEX($I$3:$L$6,MATCH(MOD('Map 2 Do Touch'!Z21,4),$H$3:$H$6,0),MATCH(MOD('Map 2 Do Touch'!AA21,4),$I$2:$L$2,0)),$AF$4:$AF$6,0),MATCH(IF('Map 2 Do Touch'!Z21&gt;4,"Water","Land"),'Map 3'!$AG$3:$AH$3,0)),INDEX($AK$4:$AL$6,MATCH(INDEX($I$3:$L$6,MATCH(MOD('Map 2 Do Touch'!Z21,4),$H$3:$H$6,0),MATCH(MOD('Map 2 Do Touch'!AA21,4),$I$2:$L$2,0)),'Map 3'!$AJ$4:$AJ$6,0),MATCH(IF('Map 2 Do Touch'!Z21&gt;4,"Water","Land"),'Map 3'!$AK$3:$AL$3,0))),IF('Map 2 Do Touch'!AA21&gt;4,INDEX($AG$4:$AH$6,MATCH(INDEX($P$3:$S$6,MATCH(MOD('Map 2 Do Touch'!AA20,4),$O$3:$O$6,0),MATCH(MOD('Map 2 Do Touch'!AA21,4),$P$2:$S$2,0)),$AF$4:$AF$6,0),MATCH(IF('Map 2 Do Touch'!AA20&gt;4,"Water","Land"),'Map 3'!$AG$3:$AH$3,0)),INDEX($AK$4:$AL$6,MATCH(INDEX($P$3:$S$6,MATCH(MOD('Map 2 Do Touch'!AA20,4),$O$3:$O$6,0),MATCH(MOD('Map 2 Do Touch'!AA21,4),$P$2:$S$2,0)),'Map 3'!$AJ$4:$AJ$6,0),MATCH(IF('Map 2 Do Touch'!AA20&gt;4,"Water","Land"),'Map 3'!$AK$3:$AL$3,0))))</f>
        <v>Ocean</v>
      </c>
      <c r="AB25" s="3" t="str">
        <f ca="1">IF('Map 2 Do Touch'!AA20&lt;&gt;'Map 2 Do Touch'!AA21,IF('Map 2 Do Touch'!AB21&gt;4,INDEX($AG$4:$AH$6,MATCH(INDEX($I$3:$L$6,MATCH(MOD('Map 2 Do Touch'!AA21,4),$H$3:$H$6,0),MATCH(MOD('Map 2 Do Touch'!AB21,4),$I$2:$L$2,0)),$AF$4:$AF$6,0),MATCH(IF('Map 2 Do Touch'!AA21&gt;4,"Water","Land"),'Map 3'!$AG$3:$AH$3,0)),INDEX($AK$4:$AL$6,MATCH(INDEX($I$3:$L$6,MATCH(MOD('Map 2 Do Touch'!AA21,4),$H$3:$H$6,0),MATCH(MOD('Map 2 Do Touch'!AB21,4),$I$2:$L$2,0)),'Map 3'!$AJ$4:$AJ$6,0),MATCH(IF('Map 2 Do Touch'!AA21&gt;4,"Water","Land"),'Map 3'!$AK$3:$AL$3,0))),IF('Map 2 Do Touch'!AB21&gt;4,INDEX($AG$4:$AH$6,MATCH(INDEX($P$3:$S$6,MATCH(MOD('Map 2 Do Touch'!AB20,4),$O$3:$O$6,0),MATCH(MOD('Map 2 Do Touch'!AB21,4),$P$2:$S$2,0)),$AF$4:$AF$6,0),MATCH(IF('Map 2 Do Touch'!AB20&gt;4,"Water","Land"),'Map 3'!$AG$3:$AH$3,0)),INDEX($AK$4:$AL$6,MATCH(INDEX($P$3:$S$6,MATCH(MOD('Map 2 Do Touch'!AB20,4),$O$3:$O$6,0),MATCH(MOD('Map 2 Do Touch'!AB21,4),$P$2:$S$2,0)),'Map 3'!$AJ$4:$AJ$6,0),MATCH(IF('Map 2 Do Touch'!AB20&gt;4,"Water","Land"),'Map 3'!$AK$3:$AL$3,0))))</f>
        <v>Ocean</v>
      </c>
      <c r="AC25" s="3" t="str">
        <f ca="1">IF('Map 2 Do Touch'!AB20&lt;&gt;'Map 2 Do Touch'!AB21,IF('Map 2 Do Touch'!AC21&gt;4,INDEX($AG$4:$AH$6,MATCH(INDEX($I$3:$L$6,MATCH(MOD('Map 2 Do Touch'!AB21,4),$H$3:$H$6,0),MATCH(MOD('Map 2 Do Touch'!AC21,4),$I$2:$L$2,0)),$AF$4:$AF$6,0),MATCH(IF('Map 2 Do Touch'!AB21&gt;4,"Water","Land"),'Map 3'!$AG$3:$AH$3,0)),INDEX($AK$4:$AL$6,MATCH(INDEX($I$3:$L$6,MATCH(MOD('Map 2 Do Touch'!AB21,4),$H$3:$H$6,0),MATCH(MOD('Map 2 Do Touch'!AC21,4),$I$2:$L$2,0)),'Map 3'!$AJ$4:$AJ$6,0),MATCH(IF('Map 2 Do Touch'!AB21&gt;4,"Water","Land"),'Map 3'!$AK$3:$AL$3,0))),IF('Map 2 Do Touch'!AC21&gt;4,INDEX($AG$4:$AH$6,MATCH(INDEX($P$3:$S$6,MATCH(MOD('Map 2 Do Touch'!AC20,4),$O$3:$O$6,0),MATCH(MOD('Map 2 Do Touch'!AC21,4),$P$2:$S$2,0)),$AF$4:$AF$6,0),MATCH(IF('Map 2 Do Touch'!AC20&gt;4,"Water","Land"),'Map 3'!$AG$3:$AH$3,0)),INDEX($AK$4:$AL$6,MATCH(INDEX($P$3:$S$6,MATCH(MOD('Map 2 Do Touch'!AC20,4),$O$3:$O$6,0),MATCH(MOD('Map 2 Do Touch'!AC21,4),$P$2:$S$2,0)),'Map 3'!$AJ$4:$AJ$6,0),MATCH(IF('Map 2 Do Touch'!AC20&gt;4,"Water","Land"),'Map 3'!$AK$3:$AL$3,0))))</f>
        <v>Ocean</v>
      </c>
      <c r="AD25" s="3" t="str">
        <f ca="1">IF('Map 2 Do Touch'!AC20&lt;&gt;'Map 2 Do Touch'!AC21,IF('Map 2 Do Touch'!AD21&gt;4,INDEX($AG$4:$AH$6,MATCH(INDEX($I$3:$L$6,MATCH(MOD('Map 2 Do Touch'!AC21,4),$H$3:$H$6,0),MATCH(MOD('Map 2 Do Touch'!AD21,4),$I$2:$L$2,0)),$AF$4:$AF$6,0),MATCH(IF('Map 2 Do Touch'!AC21&gt;4,"Water","Land"),'Map 3'!$AG$3:$AH$3,0)),INDEX($AK$4:$AL$6,MATCH(INDEX($I$3:$L$6,MATCH(MOD('Map 2 Do Touch'!AC21,4),$H$3:$H$6,0),MATCH(MOD('Map 2 Do Touch'!AD21,4),$I$2:$L$2,0)),'Map 3'!$AJ$4:$AJ$6,0),MATCH(IF('Map 2 Do Touch'!AC21&gt;4,"Water","Land"),'Map 3'!$AK$3:$AL$3,0))),IF('Map 2 Do Touch'!AD21&gt;4,INDEX($AG$4:$AH$6,MATCH(INDEX($P$3:$S$6,MATCH(MOD('Map 2 Do Touch'!AD20,4),$O$3:$O$6,0),MATCH(MOD('Map 2 Do Touch'!AD21,4),$P$2:$S$2,0)),$AF$4:$AF$6,0),MATCH(IF('Map 2 Do Touch'!AD20&gt;4,"Water","Land"),'Map 3'!$AG$3:$AH$3,0)),INDEX($AK$4:$AL$6,MATCH(INDEX($P$3:$S$6,MATCH(MOD('Map 2 Do Touch'!AD20,4),$O$3:$O$6,0),MATCH(MOD('Map 2 Do Touch'!AD21,4),$P$2:$S$2,0)),'Map 3'!$AJ$4:$AJ$6,0),MATCH(IF('Map 2 Do Touch'!AD20&gt;4,"Water","Land"),'Map 3'!$AK$3:$AL$3,0))))</f>
        <v>Ocean</v>
      </c>
      <c r="AE25" s="3" t="str">
        <f ca="1">IF('Map 2 Do Touch'!AD20&lt;&gt;'Map 2 Do Touch'!AD21,IF('Map 2 Do Touch'!AE21&gt;4,INDEX($AG$4:$AH$6,MATCH(INDEX($I$3:$L$6,MATCH(MOD('Map 2 Do Touch'!AD21,4),$H$3:$H$6,0),MATCH(MOD('Map 2 Do Touch'!AE21,4),$I$2:$L$2,0)),$AF$4:$AF$6,0),MATCH(IF('Map 2 Do Touch'!AD21&gt;4,"Water","Land"),'Map 3'!$AG$3:$AH$3,0)),INDEX($AK$4:$AL$6,MATCH(INDEX($I$3:$L$6,MATCH(MOD('Map 2 Do Touch'!AD21,4),$H$3:$H$6,0),MATCH(MOD('Map 2 Do Touch'!AE21,4),$I$2:$L$2,0)),'Map 3'!$AJ$4:$AJ$6,0),MATCH(IF('Map 2 Do Touch'!AD21&gt;4,"Water","Land"),'Map 3'!$AK$3:$AL$3,0))),IF('Map 2 Do Touch'!AE21&gt;4,INDEX($AG$4:$AH$6,MATCH(INDEX($P$3:$S$6,MATCH(MOD('Map 2 Do Touch'!AE20,4),$O$3:$O$6,0),MATCH(MOD('Map 2 Do Touch'!AE21,4),$P$2:$S$2,0)),$AF$4:$AF$6,0),MATCH(IF('Map 2 Do Touch'!AE20&gt;4,"Water","Land"),'Map 3'!$AG$3:$AH$3,0)),INDEX($AK$4:$AL$6,MATCH(INDEX($P$3:$S$6,MATCH(MOD('Map 2 Do Touch'!AE20,4),$O$3:$O$6,0),MATCH(MOD('Map 2 Do Touch'!AE21,4),$P$2:$S$2,0)),'Map 3'!$AJ$4:$AJ$6,0),MATCH(IF('Map 2 Do Touch'!AE20&gt;4,"Water","Land"),'Map 3'!$AK$3:$AL$3,0))))</f>
        <v>Ocean</v>
      </c>
      <c r="AF25" s="3" t="str">
        <f ca="1">IF('Map 2 Do Touch'!AE20&lt;&gt;'Map 2 Do Touch'!AE21,IF('Map 2 Do Touch'!AF21&gt;4,INDEX($AG$4:$AH$6,MATCH(INDEX($I$3:$L$6,MATCH(MOD('Map 2 Do Touch'!AE21,4),$H$3:$H$6,0),MATCH(MOD('Map 2 Do Touch'!AF21,4),$I$2:$L$2,0)),$AF$4:$AF$6,0),MATCH(IF('Map 2 Do Touch'!AE21&gt;4,"Water","Land"),'Map 3'!$AG$3:$AH$3,0)),INDEX($AK$4:$AL$6,MATCH(INDEX($I$3:$L$6,MATCH(MOD('Map 2 Do Touch'!AE21,4),$H$3:$H$6,0),MATCH(MOD('Map 2 Do Touch'!AF21,4),$I$2:$L$2,0)),'Map 3'!$AJ$4:$AJ$6,0),MATCH(IF('Map 2 Do Touch'!AE21&gt;4,"Water","Land"),'Map 3'!$AK$3:$AL$3,0))),IF('Map 2 Do Touch'!AF21&gt;4,INDEX($AG$4:$AH$6,MATCH(INDEX($P$3:$S$6,MATCH(MOD('Map 2 Do Touch'!AF20,4),$O$3:$O$6,0),MATCH(MOD('Map 2 Do Touch'!AF21,4),$P$2:$S$2,0)),$AF$4:$AF$6,0),MATCH(IF('Map 2 Do Touch'!AF20&gt;4,"Water","Land"),'Map 3'!$AG$3:$AH$3,0)),INDEX($AK$4:$AL$6,MATCH(INDEX($P$3:$S$6,MATCH(MOD('Map 2 Do Touch'!AF20,4),$O$3:$O$6,0),MATCH(MOD('Map 2 Do Touch'!AF21,4),$P$2:$S$2,0)),'Map 3'!$AJ$4:$AJ$6,0),MATCH(IF('Map 2 Do Touch'!AF20&gt;4,"Water","Land"),'Map 3'!$AK$3:$AL$3,0))))</f>
        <v>Ocean</v>
      </c>
      <c r="AG25" s="3" t="str">
        <f ca="1">IF('Map 2 Do Touch'!AF20&lt;&gt;'Map 2 Do Touch'!AF21,IF('Map 2 Do Touch'!AG21&gt;4,INDEX($AG$4:$AH$6,MATCH(INDEX($I$3:$L$6,MATCH(MOD('Map 2 Do Touch'!AF21,4),$H$3:$H$6,0),MATCH(MOD('Map 2 Do Touch'!AG21,4),$I$2:$L$2,0)),$AF$4:$AF$6,0),MATCH(IF('Map 2 Do Touch'!AF21&gt;4,"Water","Land"),'Map 3'!$AG$3:$AH$3,0)),INDEX($AK$4:$AL$6,MATCH(INDEX($I$3:$L$6,MATCH(MOD('Map 2 Do Touch'!AF21,4),$H$3:$H$6,0),MATCH(MOD('Map 2 Do Touch'!AG21,4),$I$2:$L$2,0)),'Map 3'!$AJ$4:$AJ$6,0),MATCH(IF('Map 2 Do Touch'!AF21&gt;4,"Water","Land"),'Map 3'!$AK$3:$AL$3,0))),IF('Map 2 Do Touch'!AG21&gt;4,INDEX($AG$4:$AH$6,MATCH(INDEX($P$3:$S$6,MATCH(MOD('Map 2 Do Touch'!AG20,4),$O$3:$O$6,0),MATCH(MOD('Map 2 Do Touch'!AG21,4),$P$2:$S$2,0)),$AF$4:$AF$6,0),MATCH(IF('Map 2 Do Touch'!AG20&gt;4,"Water","Land"),'Map 3'!$AG$3:$AH$3,0)),INDEX($AK$4:$AL$6,MATCH(INDEX($P$3:$S$6,MATCH(MOD('Map 2 Do Touch'!AG20,4),$O$3:$O$6,0),MATCH(MOD('Map 2 Do Touch'!AG21,4),$P$2:$S$2,0)),'Map 3'!$AJ$4:$AJ$6,0),MATCH(IF('Map 2 Do Touch'!AG20&gt;4,"Water","Land"),'Map 3'!$AK$3:$AL$3,0))))</f>
        <v>Ocean</v>
      </c>
      <c r="AH25" s="3" t="str">
        <f ca="1">IF('Map 2 Do Touch'!AG20&lt;&gt;'Map 2 Do Touch'!AG21,IF('Map 2 Do Touch'!AH21&gt;4,INDEX($AG$4:$AH$6,MATCH(INDEX($I$3:$L$6,MATCH(MOD('Map 2 Do Touch'!AG21,4),$H$3:$H$6,0),MATCH(MOD('Map 2 Do Touch'!AH21,4),$I$2:$L$2,0)),$AF$4:$AF$6,0),MATCH(IF('Map 2 Do Touch'!AG21&gt;4,"Water","Land"),'Map 3'!$AG$3:$AH$3,0)),INDEX($AK$4:$AL$6,MATCH(INDEX($I$3:$L$6,MATCH(MOD('Map 2 Do Touch'!AG21,4),$H$3:$H$6,0),MATCH(MOD('Map 2 Do Touch'!AH21,4),$I$2:$L$2,0)),'Map 3'!$AJ$4:$AJ$6,0),MATCH(IF('Map 2 Do Touch'!AG21&gt;4,"Water","Land"),'Map 3'!$AK$3:$AL$3,0))),IF('Map 2 Do Touch'!AH21&gt;4,INDEX($AG$4:$AH$6,MATCH(INDEX($P$3:$S$6,MATCH(MOD('Map 2 Do Touch'!AH20,4),$O$3:$O$6,0),MATCH(MOD('Map 2 Do Touch'!AH21,4),$P$2:$S$2,0)),$AF$4:$AF$6,0),MATCH(IF('Map 2 Do Touch'!AH20&gt;4,"Water","Land"),'Map 3'!$AG$3:$AH$3,0)),INDEX($AK$4:$AL$6,MATCH(INDEX($P$3:$S$6,MATCH(MOD('Map 2 Do Touch'!AH20,4),$O$3:$O$6,0),MATCH(MOD('Map 2 Do Touch'!AH21,4),$P$2:$S$2,0)),'Map 3'!$AJ$4:$AJ$6,0),MATCH(IF('Map 2 Do Touch'!AH20&gt;4,"Water","Land"),'Map 3'!$AK$3:$AL$3,0))))</f>
        <v>Ocean</v>
      </c>
      <c r="AI25" s="3" t="str">
        <f ca="1">IF('Map 2 Do Touch'!AH20&lt;&gt;'Map 2 Do Touch'!AH21,IF('Map 2 Do Touch'!AI21&gt;4,INDEX($AG$4:$AH$6,MATCH(INDEX($I$3:$L$6,MATCH(MOD('Map 2 Do Touch'!AH21,4),$H$3:$H$6,0),MATCH(MOD('Map 2 Do Touch'!AI21,4),$I$2:$L$2,0)),$AF$4:$AF$6,0),MATCH(IF('Map 2 Do Touch'!AH21&gt;4,"Water","Land"),'Map 3'!$AG$3:$AH$3,0)),INDEX($AK$4:$AL$6,MATCH(INDEX($I$3:$L$6,MATCH(MOD('Map 2 Do Touch'!AH21,4),$H$3:$H$6,0),MATCH(MOD('Map 2 Do Touch'!AI21,4),$I$2:$L$2,0)),'Map 3'!$AJ$4:$AJ$6,0),MATCH(IF('Map 2 Do Touch'!AH21&gt;4,"Water","Land"),'Map 3'!$AK$3:$AL$3,0))),IF('Map 2 Do Touch'!AI21&gt;4,INDEX($AG$4:$AH$6,MATCH(INDEX($P$3:$S$6,MATCH(MOD('Map 2 Do Touch'!AI20,4),$O$3:$O$6,0),MATCH(MOD('Map 2 Do Touch'!AI21,4),$P$2:$S$2,0)),$AF$4:$AF$6,0),MATCH(IF('Map 2 Do Touch'!AI20&gt;4,"Water","Land"),'Map 3'!$AG$3:$AH$3,0)),INDEX($AK$4:$AL$6,MATCH(INDEX($P$3:$S$6,MATCH(MOD('Map 2 Do Touch'!AI20,4),$O$3:$O$6,0),MATCH(MOD('Map 2 Do Touch'!AI21,4),$P$2:$S$2,0)),'Map 3'!$AJ$4:$AJ$6,0),MATCH(IF('Map 2 Do Touch'!AI20&gt;4,"Water","Land"),'Map 3'!$AK$3:$AL$3,0))))</f>
        <v>Ocean</v>
      </c>
      <c r="AJ25" s="3" t="str">
        <f ca="1">IF('Map 2 Do Touch'!AI20&lt;&gt;'Map 2 Do Touch'!AI21,IF('Map 2 Do Touch'!AJ21&gt;4,INDEX($AG$4:$AH$6,MATCH(INDEX($I$3:$L$6,MATCH(MOD('Map 2 Do Touch'!AI21,4),$H$3:$H$6,0),MATCH(MOD('Map 2 Do Touch'!AJ21,4),$I$2:$L$2,0)),$AF$4:$AF$6,0),MATCH(IF('Map 2 Do Touch'!AI21&gt;4,"Water","Land"),'Map 3'!$AG$3:$AH$3,0)),INDEX($AK$4:$AL$6,MATCH(INDEX($I$3:$L$6,MATCH(MOD('Map 2 Do Touch'!AI21,4),$H$3:$H$6,0),MATCH(MOD('Map 2 Do Touch'!AJ21,4),$I$2:$L$2,0)),'Map 3'!$AJ$4:$AJ$6,0),MATCH(IF('Map 2 Do Touch'!AI21&gt;4,"Water","Land"),'Map 3'!$AK$3:$AL$3,0))),IF('Map 2 Do Touch'!AJ21&gt;4,INDEX($AG$4:$AH$6,MATCH(INDEX($P$3:$S$6,MATCH(MOD('Map 2 Do Touch'!AJ20,4),$O$3:$O$6,0),MATCH(MOD('Map 2 Do Touch'!AJ21,4),$P$2:$S$2,0)),$AF$4:$AF$6,0),MATCH(IF('Map 2 Do Touch'!AJ20&gt;4,"Water","Land"),'Map 3'!$AG$3:$AH$3,0)),INDEX($AK$4:$AL$6,MATCH(INDEX($P$3:$S$6,MATCH(MOD('Map 2 Do Touch'!AJ20,4),$O$3:$O$6,0),MATCH(MOD('Map 2 Do Touch'!AJ21,4),$P$2:$S$2,0)),'Map 3'!$AJ$4:$AJ$6,0),MATCH(IF('Map 2 Do Touch'!AJ20&gt;4,"Water","Land"),'Map 3'!$AK$3:$AL$3,0))))</f>
        <v>Ocean</v>
      </c>
      <c r="AK25" s="3" t="str">
        <f ca="1">IF('Map 2 Do Touch'!AJ20&lt;&gt;'Map 2 Do Touch'!AJ21,IF('Map 2 Do Touch'!AK21&gt;4,INDEX($AG$4:$AH$6,MATCH(INDEX($I$3:$L$6,MATCH(MOD('Map 2 Do Touch'!AJ21,4),$H$3:$H$6,0),MATCH(MOD('Map 2 Do Touch'!AK21,4),$I$2:$L$2,0)),$AF$4:$AF$6,0),MATCH(IF('Map 2 Do Touch'!AJ21&gt;4,"Water","Land"),'Map 3'!$AG$3:$AH$3,0)),INDEX($AK$4:$AL$6,MATCH(INDEX($I$3:$L$6,MATCH(MOD('Map 2 Do Touch'!AJ21,4),$H$3:$H$6,0),MATCH(MOD('Map 2 Do Touch'!AK21,4),$I$2:$L$2,0)),'Map 3'!$AJ$4:$AJ$6,0),MATCH(IF('Map 2 Do Touch'!AJ21&gt;4,"Water","Land"),'Map 3'!$AK$3:$AL$3,0))),IF('Map 2 Do Touch'!AK21&gt;4,INDEX($AG$4:$AH$6,MATCH(INDEX($P$3:$S$6,MATCH(MOD('Map 2 Do Touch'!AK20,4),$O$3:$O$6,0),MATCH(MOD('Map 2 Do Touch'!AK21,4),$P$2:$S$2,0)),$AF$4:$AF$6,0),MATCH(IF('Map 2 Do Touch'!AK20&gt;4,"Water","Land"),'Map 3'!$AG$3:$AH$3,0)),INDEX($AK$4:$AL$6,MATCH(INDEX($P$3:$S$6,MATCH(MOD('Map 2 Do Touch'!AK20,4),$O$3:$O$6,0),MATCH(MOD('Map 2 Do Touch'!AK21,4),$P$2:$S$2,0)),'Map 3'!$AJ$4:$AJ$6,0),MATCH(IF('Map 2 Do Touch'!AK20&gt;4,"Water","Land"),'Map 3'!$AK$3:$AL$3,0))))</f>
        <v>Ocean</v>
      </c>
      <c r="AL25" s="3" t="str">
        <f ca="1">IF('Map 2 Do Touch'!AK20&lt;&gt;'Map 2 Do Touch'!AK21,IF('Map 2 Do Touch'!AL21&gt;4,INDEX($AG$4:$AH$6,MATCH(INDEX($I$3:$L$6,MATCH(MOD('Map 2 Do Touch'!AK21,4),$H$3:$H$6,0),MATCH(MOD('Map 2 Do Touch'!AL21,4),$I$2:$L$2,0)),$AF$4:$AF$6,0),MATCH(IF('Map 2 Do Touch'!AK21&gt;4,"Water","Land"),'Map 3'!$AG$3:$AH$3,0)),INDEX($AK$4:$AL$6,MATCH(INDEX($I$3:$L$6,MATCH(MOD('Map 2 Do Touch'!AK21,4),$H$3:$H$6,0),MATCH(MOD('Map 2 Do Touch'!AL21,4),$I$2:$L$2,0)),'Map 3'!$AJ$4:$AJ$6,0),MATCH(IF('Map 2 Do Touch'!AK21&gt;4,"Water","Land"),'Map 3'!$AK$3:$AL$3,0))),IF('Map 2 Do Touch'!AL21&gt;4,INDEX($AG$4:$AH$6,MATCH(INDEX($P$3:$S$6,MATCH(MOD('Map 2 Do Touch'!AL20,4),$O$3:$O$6,0),MATCH(MOD('Map 2 Do Touch'!AL21,4),$P$2:$S$2,0)),$AF$4:$AF$6,0),MATCH(IF('Map 2 Do Touch'!AL20&gt;4,"Water","Land"),'Map 3'!$AG$3:$AH$3,0)),INDEX($AK$4:$AL$6,MATCH(INDEX($P$3:$S$6,MATCH(MOD('Map 2 Do Touch'!AL20,4),$O$3:$O$6,0),MATCH(MOD('Map 2 Do Touch'!AL21,4),$P$2:$S$2,0)),'Map 3'!$AJ$4:$AJ$6,0),MATCH(IF('Map 2 Do Touch'!AL20&gt;4,"Water","Land"),'Map 3'!$AK$3:$AL$3,0))))</f>
        <v>Ocean</v>
      </c>
      <c r="AM25" s="3" t="str">
        <f ca="1">IF('Map 2 Do Touch'!AL20&lt;&gt;'Map 2 Do Touch'!AL21,IF('Map 2 Do Touch'!AM21&gt;4,INDEX($AG$4:$AH$6,MATCH(INDEX($I$3:$L$6,MATCH(MOD('Map 2 Do Touch'!AL21,4),$H$3:$H$6,0),MATCH(MOD('Map 2 Do Touch'!AM21,4),$I$2:$L$2,0)),$AF$4:$AF$6,0),MATCH(IF('Map 2 Do Touch'!AL21&gt;4,"Water","Land"),'Map 3'!$AG$3:$AH$3,0)),INDEX($AK$4:$AL$6,MATCH(INDEX($I$3:$L$6,MATCH(MOD('Map 2 Do Touch'!AL21,4),$H$3:$H$6,0),MATCH(MOD('Map 2 Do Touch'!AM21,4),$I$2:$L$2,0)),'Map 3'!$AJ$4:$AJ$6,0),MATCH(IF('Map 2 Do Touch'!AL21&gt;4,"Water","Land"),'Map 3'!$AK$3:$AL$3,0))),IF('Map 2 Do Touch'!AM21&gt;4,INDEX($AG$4:$AH$6,MATCH(INDEX($P$3:$S$6,MATCH(MOD('Map 2 Do Touch'!AM20,4),$O$3:$O$6,0),MATCH(MOD('Map 2 Do Touch'!AM21,4),$P$2:$S$2,0)),$AF$4:$AF$6,0),MATCH(IF('Map 2 Do Touch'!AM20&gt;4,"Water","Land"),'Map 3'!$AG$3:$AH$3,0)),INDEX($AK$4:$AL$6,MATCH(INDEX($P$3:$S$6,MATCH(MOD('Map 2 Do Touch'!AM20,4),$O$3:$O$6,0),MATCH(MOD('Map 2 Do Touch'!AM21,4),$P$2:$S$2,0)),'Map 3'!$AJ$4:$AJ$6,0),MATCH(IF('Map 2 Do Touch'!AM20&gt;4,"Water","Land"),'Map 3'!$AK$3:$AL$3,0))))</f>
        <v>Ocean</v>
      </c>
      <c r="AN25" s="3" t="str">
        <f ca="1">IF('Map 2 Do Touch'!AM20&lt;&gt;'Map 2 Do Touch'!AM21,IF('Map 2 Do Touch'!AN21&gt;4,INDEX($AG$4:$AH$6,MATCH(INDEX($I$3:$L$6,MATCH(MOD('Map 2 Do Touch'!AM21,4),$H$3:$H$6,0),MATCH(MOD('Map 2 Do Touch'!AN21,4),$I$2:$L$2,0)),$AF$4:$AF$6,0),MATCH(IF('Map 2 Do Touch'!AM21&gt;4,"Water","Land"),'Map 3'!$AG$3:$AH$3,0)),INDEX($AK$4:$AL$6,MATCH(INDEX($I$3:$L$6,MATCH(MOD('Map 2 Do Touch'!AM21,4),$H$3:$H$6,0),MATCH(MOD('Map 2 Do Touch'!AN21,4),$I$2:$L$2,0)),'Map 3'!$AJ$4:$AJ$6,0),MATCH(IF('Map 2 Do Touch'!AM21&gt;4,"Water","Land"),'Map 3'!$AK$3:$AL$3,0))),IF('Map 2 Do Touch'!AN21&gt;4,INDEX($AG$4:$AH$6,MATCH(INDEX($P$3:$S$6,MATCH(MOD('Map 2 Do Touch'!AN20,4),$O$3:$O$6,0),MATCH(MOD('Map 2 Do Touch'!AN21,4),$P$2:$S$2,0)),$AF$4:$AF$6,0),MATCH(IF('Map 2 Do Touch'!AN20&gt;4,"Water","Land"),'Map 3'!$AG$3:$AH$3,0)),INDEX($AK$4:$AL$6,MATCH(INDEX($P$3:$S$6,MATCH(MOD('Map 2 Do Touch'!AN20,4),$O$3:$O$6,0),MATCH(MOD('Map 2 Do Touch'!AN21,4),$P$2:$S$2,0)),'Map 3'!$AJ$4:$AJ$6,0),MATCH(IF('Map 2 Do Touch'!AN20&gt;4,"Water","Land"),'Map 3'!$AK$3:$AL$3,0))))</f>
        <v>Ocean</v>
      </c>
      <c r="AO25" s="87" t="str">
        <f ca="1">IF('Map 2 Do Touch'!AN20&lt;&gt;'Map 2 Do Touch'!AN21,IF('Map 2 Do Touch'!AO21&gt;4,INDEX($AG$4:$AH$6,MATCH(INDEX($I$3:$L$6,MATCH(MOD('Map 2 Do Touch'!AN21,4),$H$3:$H$6,0),MATCH(MOD('Map 2 Do Touch'!AO21,4),$I$2:$L$2,0)),$AF$4:$AF$6,0),MATCH(IF('Map 2 Do Touch'!AN21&gt;4,"Water","Land"),'Map 3'!$AG$3:$AH$3,0)),INDEX($AK$4:$AL$6,MATCH(INDEX($I$3:$L$6,MATCH(MOD('Map 2 Do Touch'!AN21,4),$H$3:$H$6,0),MATCH(MOD('Map 2 Do Touch'!AO21,4),$I$2:$L$2,0)),'Map 3'!$AJ$4:$AJ$6,0),MATCH(IF('Map 2 Do Touch'!AN21&gt;4,"Water","Land"),'Map 3'!$AK$3:$AL$3,0))),IF('Map 2 Do Touch'!AO21&gt;4,INDEX($AG$4:$AH$6,MATCH(INDEX($P$3:$S$6,MATCH(MOD('Map 2 Do Touch'!AO20,4),$O$3:$O$6,0),MATCH(MOD('Map 2 Do Touch'!AO21,4),$P$2:$S$2,0)),$AF$4:$AF$6,0),MATCH(IF('Map 2 Do Touch'!AO20&gt;4,"Water","Land"),'Map 3'!$AG$3:$AH$3,0)),INDEX($AK$4:$AL$6,MATCH(INDEX($P$3:$S$6,MATCH(MOD('Map 2 Do Touch'!AO20,4),$O$3:$O$6,0),MATCH(MOD('Map 2 Do Touch'!AO21,4),$P$2:$S$2,0)),'Map 3'!$AJ$4:$AJ$6,0),MATCH(IF('Map 2 Do Touch'!AO20&gt;4,"Water","Land"),'Map 3'!$AK$3:$AL$3,0))))</f>
        <v>Trench</v>
      </c>
      <c r="AP25" s="3"/>
    </row>
    <row r="26" spans="1:42" ht="37.5" customHeight="1">
      <c r="A26" s="3">
        <v>15</v>
      </c>
      <c r="B26" s="86" t="str">
        <f ca="1">IF('Map 2 Do Touch'!B21&lt;&gt;'Map 2 Do Touch'!B22,IF('Map 2 Do Touch'!B22&gt;4,INDEX($AG$4:$AH$6,MATCH(INDEX($I$3:$L$6,MATCH(MOD('Map 2 Do Touch'!AO22,4),$H$3:$H$6,0),MATCH(MOD('Map 2 Do Touch'!B22,4),$I$2:$L$2,0)),$AF$4:$AF$6,0),MATCH(IF('Map 2 Do Touch'!AO22&gt;4,"Water","Land"),'Map 3'!$AG$3:$AH$3,0)),INDEX($AK$4:$AL$6,MATCH(INDEX($I$3:$L$6,MATCH(MOD('Map 2 Do Touch'!A22,4),$H$3:$H$6,0),MATCH(MOD('Map 2 Do Touch'!B22,4),$I$2:$L$2,0)),'Map 3'!$AJ$4:$AJ$6,0),MATCH(IF('Map 2 Do Touch'!AO22&gt;4,"Water","Land"),'Map 3'!$AK$3:$AL$3,0))),IF('Map 2 Do Touch'!B22&gt;4,INDEX($AG$4:$AH$6,MATCH(INDEX($P$3:$S$6,MATCH(MOD('Map 2 Do Touch'!B21,4),$O$3:$O$6,0),MATCH(MOD('Map 2 Do Touch'!B22,4),$P$2:$S$2,0)),$AF$4:$AF$6,0),MATCH(IF('Map 2 Do Touch'!B21&gt;4,"Water","Land"),'Map 3'!$AG$3:$AH$3,0)),INDEX($AK$4:$AL$6,MATCH(INDEX($P$3:$S$6,MATCH(MOD('Map 2 Do Touch'!B21,4),$O$3:$O$6,0),MATCH(MOD('Map 2 Do Touch'!B22,4),$P$2:$S$2,0)),'Map 3'!$AJ$4:$AJ$6,0),MATCH(IF('Map 2 Do Touch'!B21&gt;4,"Water","Land"),'Map 3'!$AK$3:$AL$3,0))))</f>
        <v>Ocean</v>
      </c>
      <c r="C26" s="3" t="str">
        <f ca="1">IF('Map 2 Do Touch'!B21&lt;&gt;'Map 2 Do Touch'!B22,IF('Map 2 Do Touch'!C22&gt;4,INDEX($AG$4:$AH$6,MATCH(INDEX($I$3:$L$6,MATCH(MOD('Map 2 Do Touch'!B22,4),$H$3:$H$6,0),MATCH(MOD('Map 2 Do Touch'!C22,4),$I$2:$L$2,0)),$AF$4:$AF$6,0),MATCH(IF('Map 2 Do Touch'!B22&gt;4,"Water","Land"),'Map 3'!$AG$3:$AH$3,0)),INDEX($AK$4:$AL$6,MATCH(INDEX($I$3:$L$6,MATCH(MOD('Map 2 Do Touch'!B22,4),$H$3:$H$6,0),MATCH(MOD('Map 2 Do Touch'!C22,4),$I$2:$L$2,0)),'Map 3'!$AJ$4:$AJ$6,0),MATCH(IF('Map 2 Do Touch'!B22&gt;4,"Water","Land"),'Map 3'!$AK$3:$AL$3,0))),IF('Map 2 Do Touch'!C22&gt;4,INDEX($AG$4:$AH$6,MATCH(INDEX($P$3:$S$6,MATCH(MOD('Map 2 Do Touch'!C21,4),$O$3:$O$6,0),MATCH(MOD('Map 2 Do Touch'!C22,4),$P$2:$S$2,0)),$AF$4:$AF$6,0),MATCH(IF('Map 2 Do Touch'!C21&gt;4,"Water","Land"),'Map 3'!$AG$3:$AH$3,0)),INDEX($AK$4:$AL$6,MATCH(INDEX($P$3:$S$6,MATCH(MOD('Map 2 Do Touch'!C21,4),$O$3:$O$6,0),MATCH(MOD('Map 2 Do Touch'!C22,4),$P$2:$S$2,0)),'Map 3'!$AJ$4:$AJ$6,0),MATCH(IF('Map 2 Do Touch'!C21&gt;4,"Water","Land"),'Map 3'!$AK$3:$AL$3,0))))</f>
        <v>Ocean</v>
      </c>
      <c r="D26" s="3" t="str">
        <f ca="1">IF('Map 2 Do Touch'!C21&lt;&gt;'Map 2 Do Touch'!C22,IF('Map 2 Do Touch'!D22&gt;4,INDEX($AG$4:$AH$6,MATCH(INDEX($I$3:$L$6,MATCH(MOD('Map 2 Do Touch'!C22,4),$H$3:$H$6,0),MATCH(MOD('Map 2 Do Touch'!D22,4),$I$2:$L$2,0)),$AF$4:$AF$6,0),MATCH(IF('Map 2 Do Touch'!C22&gt;4,"Water","Land"),'Map 3'!$AG$3:$AH$3,0)),INDEX($AK$4:$AL$6,MATCH(INDEX($I$3:$L$6,MATCH(MOD('Map 2 Do Touch'!C22,4),$H$3:$H$6,0),MATCH(MOD('Map 2 Do Touch'!D22,4),$I$2:$L$2,0)),'Map 3'!$AJ$4:$AJ$6,0),MATCH(IF('Map 2 Do Touch'!C22&gt;4,"Water","Land"),'Map 3'!$AK$3:$AL$3,0))),IF('Map 2 Do Touch'!D22&gt;4,INDEX($AG$4:$AH$6,MATCH(INDEX($P$3:$S$6,MATCH(MOD('Map 2 Do Touch'!D21,4),$O$3:$O$6,0),MATCH(MOD('Map 2 Do Touch'!D22,4),$P$2:$S$2,0)),$AF$4:$AF$6,0),MATCH(IF('Map 2 Do Touch'!D21&gt;4,"Water","Land"),'Map 3'!$AG$3:$AH$3,0)),INDEX($AK$4:$AL$6,MATCH(INDEX($P$3:$S$6,MATCH(MOD('Map 2 Do Touch'!D21,4),$O$3:$O$6,0),MATCH(MOD('Map 2 Do Touch'!D22,4),$P$2:$S$2,0)),'Map 3'!$AJ$4:$AJ$6,0),MATCH(IF('Map 2 Do Touch'!D21&gt;4,"Water","Land"),'Map 3'!$AK$3:$AL$3,0))))</f>
        <v>Ocean</v>
      </c>
      <c r="E26" s="3" t="str">
        <f ca="1">IF('Map 2 Do Touch'!D21&lt;&gt;'Map 2 Do Touch'!D22,IF('Map 2 Do Touch'!E22&gt;4,INDEX($AG$4:$AH$6,MATCH(INDEX($I$3:$L$6,MATCH(MOD('Map 2 Do Touch'!D22,4),$H$3:$H$6,0),MATCH(MOD('Map 2 Do Touch'!E22,4),$I$2:$L$2,0)),$AF$4:$AF$6,0),MATCH(IF('Map 2 Do Touch'!D22&gt;4,"Water","Land"),'Map 3'!$AG$3:$AH$3,0)),INDEX($AK$4:$AL$6,MATCH(INDEX($I$3:$L$6,MATCH(MOD('Map 2 Do Touch'!D22,4),$H$3:$H$6,0),MATCH(MOD('Map 2 Do Touch'!E22,4),$I$2:$L$2,0)),'Map 3'!$AJ$4:$AJ$6,0),MATCH(IF('Map 2 Do Touch'!D22&gt;4,"Water","Land"),'Map 3'!$AK$3:$AL$3,0))),IF('Map 2 Do Touch'!E22&gt;4,INDEX($AG$4:$AH$6,MATCH(INDEX($P$3:$S$6,MATCH(MOD('Map 2 Do Touch'!E21,4),$O$3:$O$6,0),MATCH(MOD('Map 2 Do Touch'!E22,4),$P$2:$S$2,0)),$AF$4:$AF$6,0),MATCH(IF('Map 2 Do Touch'!E21&gt;4,"Water","Land"),'Map 3'!$AG$3:$AH$3,0)),INDEX($AK$4:$AL$6,MATCH(INDEX($P$3:$S$6,MATCH(MOD('Map 2 Do Touch'!E21,4),$O$3:$O$6,0),MATCH(MOD('Map 2 Do Touch'!E22,4),$P$2:$S$2,0)),'Map 3'!$AJ$4:$AJ$6,0),MATCH(IF('Map 2 Do Touch'!E21&gt;4,"Water","Land"),'Map 3'!$AK$3:$AL$3,0))))</f>
        <v>Ocean</v>
      </c>
      <c r="F26" s="3" t="str">
        <f ca="1">IF('Map 2 Do Touch'!E21&lt;&gt;'Map 2 Do Touch'!E22,IF('Map 2 Do Touch'!F22&gt;4,INDEX($AG$4:$AH$6,MATCH(INDEX($I$3:$L$6,MATCH(MOD('Map 2 Do Touch'!E22,4),$H$3:$H$6,0),MATCH(MOD('Map 2 Do Touch'!F22,4),$I$2:$L$2,0)),$AF$4:$AF$6,0),MATCH(IF('Map 2 Do Touch'!E22&gt;4,"Water","Land"),'Map 3'!$AG$3:$AH$3,0)),INDEX($AK$4:$AL$6,MATCH(INDEX($I$3:$L$6,MATCH(MOD('Map 2 Do Touch'!E22,4),$H$3:$H$6,0),MATCH(MOD('Map 2 Do Touch'!F22,4),$I$2:$L$2,0)),'Map 3'!$AJ$4:$AJ$6,0),MATCH(IF('Map 2 Do Touch'!E22&gt;4,"Water","Land"),'Map 3'!$AK$3:$AL$3,0))),IF('Map 2 Do Touch'!F22&gt;4,INDEX($AG$4:$AH$6,MATCH(INDEX($P$3:$S$6,MATCH(MOD('Map 2 Do Touch'!F21,4),$O$3:$O$6,0),MATCH(MOD('Map 2 Do Touch'!F22,4),$P$2:$S$2,0)),$AF$4:$AF$6,0),MATCH(IF('Map 2 Do Touch'!F21&gt;4,"Water","Land"),'Map 3'!$AG$3:$AH$3,0)),INDEX($AK$4:$AL$6,MATCH(INDEX($P$3:$S$6,MATCH(MOD('Map 2 Do Touch'!F21,4),$O$3:$O$6,0),MATCH(MOD('Map 2 Do Touch'!F22,4),$P$2:$S$2,0)),'Map 3'!$AJ$4:$AJ$6,0),MATCH(IF('Map 2 Do Touch'!F21&gt;4,"Water","Land"),'Map 3'!$AK$3:$AL$3,0))))</f>
        <v>Island</v>
      </c>
      <c r="G26" s="3" t="str">
        <f ca="1">IF('Map 2 Do Touch'!F21&lt;&gt;'Map 2 Do Touch'!F22,IF('Map 2 Do Touch'!G22&gt;4,INDEX($AG$4:$AH$6,MATCH(INDEX($I$3:$L$6,MATCH(MOD('Map 2 Do Touch'!F22,4),$H$3:$H$6,0),MATCH(MOD('Map 2 Do Touch'!G22,4),$I$2:$L$2,0)),$AF$4:$AF$6,0),MATCH(IF('Map 2 Do Touch'!F22&gt;4,"Water","Land"),'Map 3'!$AG$3:$AH$3,0)),INDEX($AK$4:$AL$6,MATCH(INDEX($I$3:$L$6,MATCH(MOD('Map 2 Do Touch'!F22,4),$H$3:$H$6,0),MATCH(MOD('Map 2 Do Touch'!G22,4),$I$2:$L$2,0)),'Map 3'!$AJ$4:$AJ$6,0),MATCH(IF('Map 2 Do Touch'!F22&gt;4,"Water","Land"),'Map 3'!$AK$3:$AL$3,0))),IF('Map 2 Do Touch'!G22&gt;4,INDEX($AG$4:$AH$6,MATCH(INDEX($P$3:$S$6,MATCH(MOD('Map 2 Do Touch'!G21,4),$O$3:$O$6,0),MATCH(MOD('Map 2 Do Touch'!G22,4),$P$2:$S$2,0)),$AF$4:$AF$6,0),MATCH(IF('Map 2 Do Touch'!G21&gt;4,"Water","Land"),'Map 3'!$AG$3:$AH$3,0)),INDEX($AK$4:$AL$6,MATCH(INDEX($P$3:$S$6,MATCH(MOD('Map 2 Do Touch'!G21,4),$O$3:$O$6,0),MATCH(MOD('Map 2 Do Touch'!G22,4),$P$2:$S$2,0)),'Map 3'!$AJ$4:$AJ$6,0),MATCH(IF('Map 2 Do Touch'!G21&gt;4,"Water","Land"),'Map 3'!$AK$3:$AL$3,0))))</f>
        <v>Island</v>
      </c>
      <c r="H26" s="3" t="str">
        <f ca="1">IF('Map 2 Do Touch'!G21&lt;&gt;'Map 2 Do Touch'!G22,IF('Map 2 Do Touch'!H22&gt;4,INDEX($AG$4:$AH$6,MATCH(INDEX($I$3:$L$6,MATCH(MOD('Map 2 Do Touch'!G22,4),$H$3:$H$6,0),MATCH(MOD('Map 2 Do Touch'!H22,4),$I$2:$L$2,0)),$AF$4:$AF$6,0),MATCH(IF('Map 2 Do Touch'!G22&gt;4,"Water","Land"),'Map 3'!$AG$3:$AH$3,0)),INDEX($AK$4:$AL$6,MATCH(INDEX($I$3:$L$6,MATCH(MOD('Map 2 Do Touch'!G22,4),$H$3:$H$6,0),MATCH(MOD('Map 2 Do Touch'!H22,4),$I$2:$L$2,0)),'Map 3'!$AJ$4:$AJ$6,0),MATCH(IF('Map 2 Do Touch'!G22&gt;4,"Water","Land"),'Map 3'!$AK$3:$AL$3,0))),IF('Map 2 Do Touch'!H22&gt;4,INDEX($AG$4:$AH$6,MATCH(INDEX($P$3:$S$6,MATCH(MOD('Map 2 Do Touch'!H21,4),$O$3:$O$6,0),MATCH(MOD('Map 2 Do Touch'!H22,4),$P$2:$S$2,0)),$AF$4:$AF$6,0),MATCH(IF('Map 2 Do Touch'!H21&gt;4,"Water","Land"),'Map 3'!$AG$3:$AH$3,0)),INDEX($AK$4:$AL$6,MATCH(INDEX($P$3:$S$6,MATCH(MOD('Map 2 Do Touch'!H21,4),$O$3:$O$6,0),MATCH(MOD('Map 2 Do Touch'!H22,4),$P$2:$S$2,0)),'Map 3'!$AJ$4:$AJ$6,0),MATCH(IF('Map 2 Do Touch'!H21&gt;4,"Water","Land"),'Map 3'!$AK$3:$AL$3,0))))</f>
        <v>Trench</v>
      </c>
      <c r="I26" s="3" t="str">
        <f ca="1">IF('Map 2 Do Touch'!H21&lt;&gt;'Map 2 Do Touch'!H22,IF('Map 2 Do Touch'!I22&gt;4,INDEX($AG$4:$AH$6,MATCH(INDEX($I$3:$L$6,MATCH(MOD('Map 2 Do Touch'!H22,4),$H$3:$H$6,0),MATCH(MOD('Map 2 Do Touch'!I22,4),$I$2:$L$2,0)),$AF$4:$AF$6,0),MATCH(IF('Map 2 Do Touch'!H22&gt;4,"Water","Land"),'Map 3'!$AG$3:$AH$3,0)),INDEX($AK$4:$AL$6,MATCH(INDEX($I$3:$L$6,MATCH(MOD('Map 2 Do Touch'!H22,4),$H$3:$H$6,0),MATCH(MOD('Map 2 Do Touch'!I22,4),$I$2:$L$2,0)),'Map 3'!$AJ$4:$AJ$6,0),MATCH(IF('Map 2 Do Touch'!H22&gt;4,"Water","Land"),'Map 3'!$AK$3:$AL$3,0))),IF('Map 2 Do Touch'!I22&gt;4,INDEX($AG$4:$AH$6,MATCH(INDEX($P$3:$S$6,MATCH(MOD('Map 2 Do Touch'!I21,4),$O$3:$O$6,0),MATCH(MOD('Map 2 Do Touch'!I22,4),$P$2:$S$2,0)),$AF$4:$AF$6,0),MATCH(IF('Map 2 Do Touch'!I21&gt;4,"Water","Land"),'Map 3'!$AG$3:$AH$3,0)),INDEX($AK$4:$AL$6,MATCH(INDEX($P$3:$S$6,MATCH(MOD('Map 2 Do Touch'!I21,4),$O$3:$O$6,0),MATCH(MOD('Map 2 Do Touch'!I22,4),$P$2:$S$2,0)),'Map 3'!$AJ$4:$AJ$6,0),MATCH(IF('Map 2 Do Touch'!I21&gt;4,"Water","Land"),'Map 3'!$AK$3:$AL$3,0))))</f>
        <v>Island</v>
      </c>
      <c r="J26" s="3" t="str">
        <f ca="1">IF('Map 2 Do Touch'!I21&lt;&gt;'Map 2 Do Touch'!I22,IF('Map 2 Do Touch'!J22&gt;4,INDEX($AG$4:$AH$6,MATCH(INDEX($I$3:$L$6,MATCH(MOD('Map 2 Do Touch'!I22,4),$H$3:$H$6,0),MATCH(MOD('Map 2 Do Touch'!J22,4),$I$2:$L$2,0)),$AF$4:$AF$6,0),MATCH(IF('Map 2 Do Touch'!I22&gt;4,"Water","Land"),'Map 3'!$AG$3:$AH$3,0)),INDEX($AK$4:$AL$6,MATCH(INDEX($I$3:$L$6,MATCH(MOD('Map 2 Do Touch'!I22,4),$H$3:$H$6,0),MATCH(MOD('Map 2 Do Touch'!J22,4),$I$2:$L$2,0)),'Map 3'!$AJ$4:$AJ$6,0),MATCH(IF('Map 2 Do Touch'!I22&gt;4,"Water","Land"),'Map 3'!$AK$3:$AL$3,0))),IF('Map 2 Do Touch'!J22&gt;4,INDEX($AG$4:$AH$6,MATCH(INDEX($P$3:$S$6,MATCH(MOD('Map 2 Do Touch'!J21,4),$O$3:$O$6,0),MATCH(MOD('Map 2 Do Touch'!J22,4),$P$2:$S$2,0)),$AF$4:$AF$6,0),MATCH(IF('Map 2 Do Touch'!J21&gt;4,"Water","Land"),'Map 3'!$AG$3:$AH$3,0)),INDEX($AK$4:$AL$6,MATCH(INDEX($P$3:$S$6,MATCH(MOD('Map 2 Do Touch'!J21,4),$O$3:$O$6,0),MATCH(MOD('Map 2 Do Touch'!J22,4),$P$2:$S$2,0)),'Map 3'!$AJ$4:$AJ$6,0),MATCH(IF('Map 2 Do Touch'!J21&gt;4,"Water","Land"),'Map 3'!$AK$3:$AL$3,0))))</f>
        <v>Ocean</v>
      </c>
      <c r="K26" s="3" t="str">
        <f ca="1">IF('Map 2 Do Touch'!J21&lt;&gt;'Map 2 Do Touch'!J22,IF('Map 2 Do Touch'!K22&gt;4,INDEX($AG$4:$AH$6,MATCH(INDEX($I$3:$L$6,MATCH(MOD('Map 2 Do Touch'!J22,4),$H$3:$H$6,0),MATCH(MOD('Map 2 Do Touch'!K22,4),$I$2:$L$2,0)),$AF$4:$AF$6,0),MATCH(IF('Map 2 Do Touch'!J22&gt;4,"Water","Land"),'Map 3'!$AG$3:$AH$3,0)),INDEX($AK$4:$AL$6,MATCH(INDEX($I$3:$L$6,MATCH(MOD('Map 2 Do Touch'!J22,4),$H$3:$H$6,0),MATCH(MOD('Map 2 Do Touch'!K22,4),$I$2:$L$2,0)),'Map 3'!$AJ$4:$AJ$6,0),MATCH(IF('Map 2 Do Touch'!J22&gt;4,"Water","Land"),'Map 3'!$AK$3:$AL$3,0))),IF('Map 2 Do Touch'!K22&gt;4,INDEX($AG$4:$AH$6,MATCH(INDEX($P$3:$S$6,MATCH(MOD('Map 2 Do Touch'!K21,4),$O$3:$O$6,0),MATCH(MOD('Map 2 Do Touch'!K22,4),$P$2:$S$2,0)),$AF$4:$AF$6,0),MATCH(IF('Map 2 Do Touch'!K21&gt;4,"Water","Land"),'Map 3'!$AG$3:$AH$3,0)),INDEX($AK$4:$AL$6,MATCH(INDEX($P$3:$S$6,MATCH(MOD('Map 2 Do Touch'!K21,4),$O$3:$O$6,0),MATCH(MOD('Map 2 Do Touch'!K22,4),$P$2:$S$2,0)),'Map 3'!$AJ$4:$AJ$6,0),MATCH(IF('Map 2 Do Touch'!K21&gt;4,"Water","Land"),'Map 3'!$AK$3:$AL$3,0))))</f>
        <v>Ocean</v>
      </c>
      <c r="L26" s="3" t="str">
        <f ca="1">IF('Map 2 Do Touch'!K21&lt;&gt;'Map 2 Do Touch'!K22,IF('Map 2 Do Touch'!L22&gt;4,INDEX($AG$4:$AH$6,MATCH(INDEX($I$3:$L$6,MATCH(MOD('Map 2 Do Touch'!K22,4),$H$3:$H$6,0),MATCH(MOD('Map 2 Do Touch'!L22,4),$I$2:$L$2,0)),$AF$4:$AF$6,0),MATCH(IF('Map 2 Do Touch'!K22&gt;4,"Water","Land"),'Map 3'!$AG$3:$AH$3,0)),INDEX($AK$4:$AL$6,MATCH(INDEX($I$3:$L$6,MATCH(MOD('Map 2 Do Touch'!K22,4),$H$3:$H$6,0),MATCH(MOD('Map 2 Do Touch'!L22,4),$I$2:$L$2,0)),'Map 3'!$AJ$4:$AJ$6,0),MATCH(IF('Map 2 Do Touch'!K22&gt;4,"Water","Land"),'Map 3'!$AK$3:$AL$3,0))),IF('Map 2 Do Touch'!L22&gt;4,INDEX($AG$4:$AH$6,MATCH(INDEX($P$3:$S$6,MATCH(MOD('Map 2 Do Touch'!L21,4),$O$3:$O$6,0),MATCH(MOD('Map 2 Do Touch'!L22,4),$P$2:$S$2,0)),$AF$4:$AF$6,0),MATCH(IF('Map 2 Do Touch'!L21&gt;4,"Water","Land"),'Map 3'!$AG$3:$AH$3,0)),INDEX($AK$4:$AL$6,MATCH(INDEX($P$3:$S$6,MATCH(MOD('Map 2 Do Touch'!L21,4),$O$3:$O$6,0),MATCH(MOD('Map 2 Do Touch'!L22,4),$P$2:$S$2,0)),'Map 3'!$AJ$4:$AJ$6,0),MATCH(IF('Map 2 Do Touch'!L21&gt;4,"Water","Land"),'Map 3'!$AK$3:$AL$3,0))))</f>
        <v>Ocean</v>
      </c>
      <c r="M26" s="3" t="str">
        <f ca="1">IF('Map 2 Do Touch'!L21&lt;&gt;'Map 2 Do Touch'!L22,IF('Map 2 Do Touch'!M22&gt;4,INDEX($AG$4:$AH$6,MATCH(INDEX($I$3:$L$6,MATCH(MOD('Map 2 Do Touch'!L22,4),$H$3:$H$6,0),MATCH(MOD('Map 2 Do Touch'!M22,4),$I$2:$L$2,0)),$AF$4:$AF$6,0),MATCH(IF('Map 2 Do Touch'!L22&gt;4,"Water","Land"),'Map 3'!$AG$3:$AH$3,0)),INDEX($AK$4:$AL$6,MATCH(INDEX($I$3:$L$6,MATCH(MOD('Map 2 Do Touch'!L22,4),$H$3:$H$6,0),MATCH(MOD('Map 2 Do Touch'!M22,4),$I$2:$L$2,0)),'Map 3'!$AJ$4:$AJ$6,0),MATCH(IF('Map 2 Do Touch'!L22&gt;4,"Water","Land"),'Map 3'!$AK$3:$AL$3,0))),IF('Map 2 Do Touch'!M22&gt;4,INDEX($AG$4:$AH$6,MATCH(INDEX($P$3:$S$6,MATCH(MOD('Map 2 Do Touch'!M21,4),$O$3:$O$6,0),MATCH(MOD('Map 2 Do Touch'!M22,4),$P$2:$S$2,0)),$AF$4:$AF$6,0),MATCH(IF('Map 2 Do Touch'!M21&gt;4,"Water","Land"),'Map 3'!$AG$3:$AH$3,0)),INDEX($AK$4:$AL$6,MATCH(INDEX($P$3:$S$6,MATCH(MOD('Map 2 Do Touch'!M21,4),$O$3:$O$6,0),MATCH(MOD('Map 2 Do Touch'!M22,4),$P$2:$S$2,0)),'Map 3'!$AJ$4:$AJ$6,0),MATCH(IF('Map 2 Do Touch'!M21&gt;4,"Water","Land"),'Map 3'!$AK$3:$AL$3,0))))</f>
        <v>Ocean</v>
      </c>
      <c r="N26" s="3" t="str">
        <f ca="1">IF('Map 2 Do Touch'!M21&lt;&gt;'Map 2 Do Touch'!M22,IF('Map 2 Do Touch'!N22&gt;4,INDEX($AG$4:$AH$6,MATCH(INDEX($I$3:$L$6,MATCH(MOD('Map 2 Do Touch'!M22,4),$H$3:$H$6,0),MATCH(MOD('Map 2 Do Touch'!N22,4),$I$2:$L$2,0)),$AF$4:$AF$6,0),MATCH(IF('Map 2 Do Touch'!M22&gt;4,"Water","Land"),'Map 3'!$AG$3:$AH$3,0)),INDEX($AK$4:$AL$6,MATCH(INDEX($I$3:$L$6,MATCH(MOD('Map 2 Do Touch'!M22,4),$H$3:$H$6,0),MATCH(MOD('Map 2 Do Touch'!N22,4),$I$2:$L$2,0)),'Map 3'!$AJ$4:$AJ$6,0),MATCH(IF('Map 2 Do Touch'!M22&gt;4,"Water","Land"),'Map 3'!$AK$3:$AL$3,0))),IF('Map 2 Do Touch'!N22&gt;4,INDEX($AG$4:$AH$6,MATCH(INDEX($P$3:$S$6,MATCH(MOD('Map 2 Do Touch'!N21,4),$O$3:$O$6,0),MATCH(MOD('Map 2 Do Touch'!N22,4),$P$2:$S$2,0)),$AF$4:$AF$6,0),MATCH(IF('Map 2 Do Touch'!N21&gt;4,"Water","Land"),'Map 3'!$AG$3:$AH$3,0)),INDEX($AK$4:$AL$6,MATCH(INDEX($P$3:$S$6,MATCH(MOD('Map 2 Do Touch'!N21,4),$O$3:$O$6,0),MATCH(MOD('Map 2 Do Touch'!N22,4),$P$2:$S$2,0)),'Map 3'!$AJ$4:$AJ$6,0),MATCH(IF('Map 2 Do Touch'!N21&gt;4,"Water","Land"),'Map 3'!$AK$3:$AL$3,0))))</f>
        <v>Ocean</v>
      </c>
      <c r="O26" s="3" t="str">
        <f ca="1">IF('Map 2 Do Touch'!N21&lt;&gt;'Map 2 Do Touch'!N22,IF('Map 2 Do Touch'!O22&gt;4,INDEX($AG$4:$AH$6,MATCH(INDEX($I$3:$L$6,MATCH(MOD('Map 2 Do Touch'!N22,4),$H$3:$H$6,0),MATCH(MOD('Map 2 Do Touch'!O22,4),$I$2:$L$2,0)),$AF$4:$AF$6,0),MATCH(IF('Map 2 Do Touch'!N22&gt;4,"Water","Land"),'Map 3'!$AG$3:$AH$3,0)),INDEX($AK$4:$AL$6,MATCH(INDEX($I$3:$L$6,MATCH(MOD('Map 2 Do Touch'!N22,4),$H$3:$H$6,0),MATCH(MOD('Map 2 Do Touch'!O22,4),$I$2:$L$2,0)),'Map 3'!$AJ$4:$AJ$6,0),MATCH(IF('Map 2 Do Touch'!N22&gt;4,"Water","Land"),'Map 3'!$AK$3:$AL$3,0))),IF('Map 2 Do Touch'!O22&gt;4,INDEX($AG$4:$AH$6,MATCH(INDEX($P$3:$S$6,MATCH(MOD('Map 2 Do Touch'!O21,4),$O$3:$O$6,0),MATCH(MOD('Map 2 Do Touch'!O22,4),$P$2:$S$2,0)),$AF$4:$AF$6,0),MATCH(IF('Map 2 Do Touch'!O21&gt;4,"Water","Land"),'Map 3'!$AG$3:$AH$3,0)),INDEX($AK$4:$AL$6,MATCH(INDEX($P$3:$S$6,MATCH(MOD('Map 2 Do Touch'!O21,4),$O$3:$O$6,0),MATCH(MOD('Map 2 Do Touch'!O22,4),$P$2:$S$2,0)),'Map 3'!$AJ$4:$AJ$6,0),MATCH(IF('Map 2 Do Touch'!O21&gt;4,"Water","Land"),'Map 3'!$AK$3:$AL$3,0))))</f>
        <v>Ocean</v>
      </c>
      <c r="P26" s="3" t="str">
        <f ca="1">IF('Map 2 Do Touch'!O21&lt;&gt;'Map 2 Do Touch'!O22,IF('Map 2 Do Touch'!P22&gt;4,INDEX($AG$4:$AH$6,MATCH(INDEX($I$3:$L$6,MATCH(MOD('Map 2 Do Touch'!O22,4),$H$3:$H$6,0),MATCH(MOD('Map 2 Do Touch'!P22,4),$I$2:$L$2,0)),$AF$4:$AF$6,0),MATCH(IF('Map 2 Do Touch'!O22&gt;4,"Water","Land"),'Map 3'!$AG$3:$AH$3,0)),INDEX($AK$4:$AL$6,MATCH(INDEX($I$3:$L$6,MATCH(MOD('Map 2 Do Touch'!O22,4),$H$3:$H$6,0),MATCH(MOD('Map 2 Do Touch'!P22,4),$I$2:$L$2,0)),'Map 3'!$AJ$4:$AJ$6,0),MATCH(IF('Map 2 Do Touch'!O22&gt;4,"Water","Land"),'Map 3'!$AK$3:$AL$3,0))),IF('Map 2 Do Touch'!P22&gt;4,INDEX($AG$4:$AH$6,MATCH(INDEX($P$3:$S$6,MATCH(MOD('Map 2 Do Touch'!P21,4),$O$3:$O$6,0),MATCH(MOD('Map 2 Do Touch'!P22,4),$P$2:$S$2,0)),$AF$4:$AF$6,0),MATCH(IF('Map 2 Do Touch'!P21&gt;4,"Water","Land"),'Map 3'!$AG$3:$AH$3,0)),INDEX($AK$4:$AL$6,MATCH(INDEX($P$3:$S$6,MATCH(MOD('Map 2 Do Touch'!P21,4),$O$3:$O$6,0),MATCH(MOD('Map 2 Do Touch'!P22,4),$P$2:$S$2,0)),'Map 3'!$AJ$4:$AJ$6,0),MATCH(IF('Map 2 Do Touch'!P21&gt;4,"Water","Land"),'Map 3'!$AK$3:$AL$3,0))))</f>
        <v>Ocean</v>
      </c>
      <c r="Q26" s="3" t="str">
        <f ca="1">IF('Map 2 Do Touch'!P21&lt;&gt;'Map 2 Do Touch'!P22,IF('Map 2 Do Touch'!Q22&gt;4,INDEX($AG$4:$AH$6,MATCH(INDEX($I$3:$L$6,MATCH(MOD('Map 2 Do Touch'!P22,4),$H$3:$H$6,0),MATCH(MOD('Map 2 Do Touch'!Q22,4),$I$2:$L$2,0)),$AF$4:$AF$6,0),MATCH(IF('Map 2 Do Touch'!P22&gt;4,"Water","Land"),'Map 3'!$AG$3:$AH$3,0)),INDEX($AK$4:$AL$6,MATCH(INDEX($I$3:$L$6,MATCH(MOD('Map 2 Do Touch'!P22,4),$H$3:$H$6,0),MATCH(MOD('Map 2 Do Touch'!Q22,4),$I$2:$L$2,0)),'Map 3'!$AJ$4:$AJ$6,0),MATCH(IF('Map 2 Do Touch'!P22&gt;4,"Water","Land"),'Map 3'!$AK$3:$AL$3,0))),IF('Map 2 Do Touch'!Q22&gt;4,INDEX($AG$4:$AH$6,MATCH(INDEX($P$3:$S$6,MATCH(MOD('Map 2 Do Touch'!Q21,4),$O$3:$O$6,0),MATCH(MOD('Map 2 Do Touch'!Q22,4),$P$2:$S$2,0)),$AF$4:$AF$6,0),MATCH(IF('Map 2 Do Touch'!Q21&gt;4,"Water","Land"),'Map 3'!$AG$3:$AH$3,0)),INDEX($AK$4:$AL$6,MATCH(INDEX($P$3:$S$6,MATCH(MOD('Map 2 Do Touch'!Q21,4),$O$3:$O$6,0),MATCH(MOD('Map 2 Do Touch'!Q22,4),$P$2:$S$2,0)),'Map 3'!$AJ$4:$AJ$6,0),MATCH(IF('Map 2 Do Touch'!Q21&gt;4,"Water","Land"),'Map 3'!$AK$3:$AL$3,0))))</f>
        <v>Ocean</v>
      </c>
      <c r="R26" s="3" t="str">
        <f ca="1">IF('Map 2 Do Touch'!Q21&lt;&gt;'Map 2 Do Touch'!Q22,IF('Map 2 Do Touch'!R22&gt;4,INDEX($AG$4:$AH$6,MATCH(INDEX($I$3:$L$6,MATCH(MOD('Map 2 Do Touch'!Q22,4),$H$3:$H$6,0),MATCH(MOD('Map 2 Do Touch'!R22,4),$I$2:$L$2,0)),$AF$4:$AF$6,0),MATCH(IF('Map 2 Do Touch'!Q22&gt;4,"Water","Land"),'Map 3'!$AG$3:$AH$3,0)),INDEX($AK$4:$AL$6,MATCH(INDEX($I$3:$L$6,MATCH(MOD('Map 2 Do Touch'!Q22,4),$H$3:$H$6,0),MATCH(MOD('Map 2 Do Touch'!R22,4),$I$2:$L$2,0)),'Map 3'!$AJ$4:$AJ$6,0),MATCH(IF('Map 2 Do Touch'!Q22&gt;4,"Water","Land"),'Map 3'!$AK$3:$AL$3,0))),IF('Map 2 Do Touch'!R22&gt;4,INDEX($AG$4:$AH$6,MATCH(INDEX($P$3:$S$6,MATCH(MOD('Map 2 Do Touch'!R21,4),$O$3:$O$6,0),MATCH(MOD('Map 2 Do Touch'!R22,4),$P$2:$S$2,0)),$AF$4:$AF$6,0),MATCH(IF('Map 2 Do Touch'!R21&gt;4,"Water","Land"),'Map 3'!$AG$3:$AH$3,0)),INDEX($AK$4:$AL$6,MATCH(INDEX($P$3:$S$6,MATCH(MOD('Map 2 Do Touch'!R21,4),$O$3:$O$6,0),MATCH(MOD('Map 2 Do Touch'!R22,4),$P$2:$S$2,0)),'Map 3'!$AJ$4:$AJ$6,0),MATCH(IF('Map 2 Do Touch'!R21&gt;4,"Water","Land"),'Map 3'!$AK$3:$AL$3,0))))</f>
        <v>Trench</v>
      </c>
      <c r="S26" s="3" t="str">
        <f ca="1">IF('Map 2 Do Touch'!R21&lt;&gt;'Map 2 Do Touch'!R22,IF('Map 2 Do Touch'!S22&gt;4,INDEX($AG$4:$AH$6,MATCH(INDEX($I$3:$L$6,MATCH(MOD('Map 2 Do Touch'!R22,4),$H$3:$H$6,0),MATCH(MOD('Map 2 Do Touch'!S22,4),$I$2:$L$2,0)),$AF$4:$AF$6,0),MATCH(IF('Map 2 Do Touch'!R22&gt;4,"Water","Land"),'Map 3'!$AG$3:$AH$3,0)),INDEX($AK$4:$AL$6,MATCH(INDEX($I$3:$L$6,MATCH(MOD('Map 2 Do Touch'!R22,4),$H$3:$H$6,0),MATCH(MOD('Map 2 Do Touch'!S22,4),$I$2:$L$2,0)),'Map 3'!$AJ$4:$AJ$6,0),MATCH(IF('Map 2 Do Touch'!R22&gt;4,"Water","Land"),'Map 3'!$AK$3:$AL$3,0))),IF('Map 2 Do Touch'!S22&gt;4,INDEX($AG$4:$AH$6,MATCH(INDEX($P$3:$S$6,MATCH(MOD('Map 2 Do Touch'!S21,4),$O$3:$O$6,0),MATCH(MOD('Map 2 Do Touch'!S22,4),$P$2:$S$2,0)),$AF$4:$AF$6,0),MATCH(IF('Map 2 Do Touch'!S21&gt;4,"Water","Land"),'Map 3'!$AG$3:$AH$3,0)),INDEX($AK$4:$AL$6,MATCH(INDEX($P$3:$S$6,MATCH(MOD('Map 2 Do Touch'!S21,4),$O$3:$O$6,0),MATCH(MOD('Map 2 Do Touch'!S22,4),$P$2:$S$2,0)),'Map 3'!$AJ$4:$AJ$6,0),MATCH(IF('Map 2 Do Touch'!S21&gt;4,"Water","Land"),'Map 3'!$AK$3:$AL$3,0))))</f>
        <v>Ocean</v>
      </c>
      <c r="T26" s="3" t="str">
        <f ca="1">IF('Map 2 Do Touch'!S21&lt;&gt;'Map 2 Do Touch'!S22,IF('Map 2 Do Touch'!T22&gt;4,INDEX($AG$4:$AH$6,MATCH(INDEX($I$3:$L$6,MATCH(MOD('Map 2 Do Touch'!S22,4),$H$3:$H$6,0),MATCH(MOD('Map 2 Do Touch'!T22,4),$I$2:$L$2,0)),$AF$4:$AF$6,0),MATCH(IF('Map 2 Do Touch'!S22&gt;4,"Water","Land"),'Map 3'!$AG$3:$AH$3,0)),INDEX($AK$4:$AL$6,MATCH(INDEX($I$3:$L$6,MATCH(MOD('Map 2 Do Touch'!S22,4),$H$3:$H$6,0),MATCH(MOD('Map 2 Do Touch'!T22,4),$I$2:$L$2,0)),'Map 3'!$AJ$4:$AJ$6,0),MATCH(IF('Map 2 Do Touch'!S22&gt;4,"Water","Land"),'Map 3'!$AK$3:$AL$3,0))),IF('Map 2 Do Touch'!T22&gt;4,INDEX($AG$4:$AH$6,MATCH(INDEX($P$3:$S$6,MATCH(MOD('Map 2 Do Touch'!T21,4),$O$3:$O$6,0),MATCH(MOD('Map 2 Do Touch'!T22,4),$P$2:$S$2,0)),$AF$4:$AF$6,0),MATCH(IF('Map 2 Do Touch'!T21&gt;4,"Water","Land"),'Map 3'!$AG$3:$AH$3,0)),INDEX($AK$4:$AL$6,MATCH(INDEX($P$3:$S$6,MATCH(MOD('Map 2 Do Touch'!T21,4),$O$3:$O$6,0),MATCH(MOD('Map 2 Do Touch'!T22,4),$P$2:$S$2,0)),'Map 3'!$AJ$4:$AJ$6,0),MATCH(IF('Map 2 Do Touch'!T21&gt;4,"Water","Land"),'Map 3'!$AK$3:$AL$3,0))))</f>
        <v>Ocean</v>
      </c>
      <c r="U26" s="3" t="str">
        <f ca="1">IF('Map 2 Do Touch'!T21&lt;&gt;'Map 2 Do Touch'!T22,IF('Map 2 Do Touch'!U22&gt;4,INDEX($AG$4:$AH$6,MATCH(INDEX($I$3:$L$6,MATCH(MOD('Map 2 Do Touch'!T22,4),$H$3:$H$6,0),MATCH(MOD('Map 2 Do Touch'!U22,4),$I$2:$L$2,0)),$AF$4:$AF$6,0),MATCH(IF('Map 2 Do Touch'!T22&gt;4,"Water","Land"),'Map 3'!$AG$3:$AH$3,0)),INDEX($AK$4:$AL$6,MATCH(INDEX($I$3:$L$6,MATCH(MOD('Map 2 Do Touch'!T22,4),$H$3:$H$6,0),MATCH(MOD('Map 2 Do Touch'!U22,4),$I$2:$L$2,0)),'Map 3'!$AJ$4:$AJ$6,0),MATCH(IF('Map 2 Do Touch'!T22&gt;4,"Water","Land"),'Map 3'!$AK$3:$AL$3,0))),IF('Map 2 Do Touch'!U22&gt;4,INDEX($AG$4:$AH$6,MATCH(INDEX($P$3:$S$6,MATCH(MOD('Map 2 Do Touch'!U21,4),$O$3:$O$6,0),MATCH(MOD('Map 2 Do Touch'!U22,4),$P$2:$S$2,0)),$AF$4:$AF$6,0),MATCH(IF('Map 2 Do Touch'!U21&gt;4,"Water","Land"),'Map 3'!$AG$3:$AH$3,0)),INDEX($AK$4:$AL$6,MATCH(INDEX($P$3:$S$6,MATCH(MOD('Map 2 Do Touch'!U21,4),$O$3:$O$6,0),MATCH(MOD('Map 2 Do Touch'!U22,4),$P$2:$S$2,0)),'Map 3'!$AJ$4:$AJ$6,0),MATCH(IF('Map 2 Do Touch'!U21&gt;4,"Water","Land"),'Map 3'!$AK$3:$AL$3,0))))</f>
        <v>Flatland</v>
      </c>
      <c r="V26" s="3" t="str">
        <f ca="1">IF('Map 2 Do Touch'!U21&lt;&gt;'Map 2 Do Touch'!U22,IF('Map 2 Do Touch'!V22&gt;4,INDEX($AG$4:$AH$6,MATCH(INDEX($I$3:$L$6,MATCH(MOD('Map 2 Do Touch'!U22,4),$H$3:$H$6,0),MATCH(MOD('Map 2 Do Touch'!V22,4),$I$2:$L$2,0)),$AF$4:$AF$6,0),MATCH(IF('Map 2 Do Touch'!U22&gt;4,"Water","Land"),'Map 3'!$AG$3:$AH$3,0)),INDEX($AK$4:$AL$6,MATCH(INDEX($I$3:$L$6,MATCH(MOD('Map 2 Do Touch'!U22,4),$H$3:$H$6,0),MATCH(MOD('Map 2 Do Touch'!V22,4),$I$2:$L$2,0)),'Map 3'!$AJ$4:$AJ$6,0),MATCH(IF('Map 2 Do Touch'!U22&gt;4,"Water","Land"),'Map 3'!$AK$3:$AL$3,0))),IF('Map 2 Do Touch'!V22&gt;4,INDEX($AG$4:$AH$6,MATCH(INDEX($P$3:$S$6,MATCH(MOD('Map 2 Do Touch'!V21,4),$O$3:$O$6,0),MATCH(MOD('Map 2 Do Touch'!V22,4),$P$2:$S$2,0)),$AF$4:$AF$6,0),MATCH(IF('Map 2 Do Touch'!V21&gt;4,"Water","Land"),'Map 3'!$AG$3:$AH$3,0)),INDEX($AK$4:$AL$6,MATCH(INDEX($P$3:$S$6,MATCH(MOD('Map 2 Do Touch'!V21,4),$O$3:$O$6,0),MATCH(MOD('Map 2 Do Touch'!V22,4),$P$2:$S$2,0)),'Map 3'!$AJ$4:$AJ$6,0),MATCH(IF('Map 2 Do Touch'!V21&gt;4,"Water","Land"),'Map 3'!$AK$3:$AL$3,0))))</f>
        <v>Coast</v>
      </c>
      <c r="W26" s="3" t="str">
        <f ca="1">IF('Map 2 Do Touch'!V21&lt;&gt;'Map 2 Do Touch'!V22,IF('Map 2 Do Touch'!W22&gt;4,INDEX($AG$4:$AH$6,MATCH(INDEX($I$3:$L$6,MATCH(MOD('Map 2 Do Touch'!V22,4),$H$3:$H$6,0),MATCH(MOD('Map 2 Do Touch'!W22,4),$I$2:$L$2,0)),$AF$4:$AF$6,0),MATCH(IF('Map 2 Do Touch'!V22&gt;4,"Water","Land"),'Map 3'!$AG$3:$AH$3,0)),INDEX($AK$4:$AL$6,MATCH(INDEX($I$3:$L$6,MATCH(MOD('Map 2 Do Touch'!V22,4),$H$3:$H$6,0),MATCH(MOD('Map 2 Do Touch'!W22,4),$I$2:$L$2,0)),'Map 3'!$AJ$4:$AJ$6,0),MATCH(IF('Map 2 Do Touch'!V22&gt;4,"Water","Land"),'Map 3'!$AK$3:$AL$3,0))),IF('Map 2 Do Touch'!W22&gt;4,INDEX($AG$4:$AH$6,MATCH(INDEX($P$3:$S$6,MATCH(MOD('Map 2 Do Touch'!W21,4),$O$3:$O$6,0),MATCH(MOD('Map 2 Do Touch'!W22,4),$P$2:$S$2,0)),$AF$4:$AF$6,0),MATCH(IF('Map 2 Do Touch'!W21&gt;4,"Water","Land"),'Map 3'!$AG$3:$AH$3,0)),INDEX($AK$4:$AL$6,MATCH(INDEX($P$3:$S$6,MATCH(MOD('Map 2 Do Touch'!W21,4),$O$3:$O$6,0),MATCH(MOD('Map 2 Do Touch'!W22,4),$P$2:$S$2,0)),'Map 3'!$AJ$4:$AJ$6,0),MATCH(IF('Map 2 Do Touch'!W21&gt;4,"Water","Land"),'Map 3'!$AK$3:$AL$3,0))))</f>
        <v>Coast</v>
      </c>
      <c r="X26" s="3" t="str">
        <f ca="1">IF('Map 2 Do Touch'!W21&lt;&gt;'Map 2 Do Touch'!W22,IF('Map 2 Do Touch'!X22&gt;4,INDEX($AG$4:$AH$6,MATCH(INDEX($I$3:$L$6,MATCH(MOD('Map 2 Do Touch'!W22,4),$H$3:$H$6,0),MATCH(MOD('Map 2 Do Touch'!X22,4),$I$2:$L$2,0)),$AF$4:$AF$6,0),MATCH(IF('Map 2 Do Touch'!W22&gt;4,"Water","Land"),'Map 3'!$AG$3:$AH$3,0)),INDEX($AK$4:$AL$6,MATCH(INDEX($I$3:$L$6,MATCH(MOD('Map 2 Do Touch'!W22,4),$H$3:$H$6,0),MATCH(MOD('Map 2 Do Touch'!X22,4),$I$2:$L$2,0)),'Map 3'!$AJ$4:$AJ$6,0),MATCH(IF('Map 2 Do Touch'!W22&gt;4,"Water","Land"),'Map 3'!$AK$3:$AL$3,0))),IF('Map 2 Do Touch'!X22&gt;4,INDEX($AG$4:$AH$6,MATCH(INDEX($P$3:$S$6,MATCH(MOD('Map 2 Do Touch'!X21,4),$O$3:$O$6,0),MATCH(MOD('Map 2 Do Touch'!X22,4),$P$2:$S$2,0)),$AF$4:$AF$6,0),MATCH(IF('Map 2 Do Touch'!X21&gt;4,"Water","Land"),'Map 3'!$AG$3:$AH$3,0)),INDEX($AK$4:$AL$6,MATCH(INDEX($P$3:$S$6,MATCH(MOD('Map 2 Do Touch'!X21,4),$O$3:$O$6,0),MATCH(MOD('Map 2 Do Touch'!X22,4),$P$2:$S$2,0)),'Map 3'!$AJ$4:$AJ$6,0),MATCH(IF('Map 2 Do Touch'!X21&gt;4,"Water","Land"),'Map 3'!$AK$3:$AL$3,0))))</f>
        <v>Flatland</v>
      </c>
      <c r="Y26" s="3" t="str">
        <f ca="1">IF('Map 2 Do Touch'!X21&lt;&gt;'Map 2 Do Touch'!X22,IF('Map 2 Do Touch'!Y22&gt;4,INDEX($AG$4:$AH$6,MATCH(INDEX($I$3:$L$6,MATCH(MOD('Map 2 Do Touch'!X22,4),$H$3:$H$6,0),MATCH(MOD('Map 2 Do Touch'!Y22,4),$I$2:$L$2,0)),$AF$4:$AF$6,0),MATCH(IF('Map 2 Do Touch'!X22&gt;4,"Water","Land"),'Map 3'!$AG$3:$AH$3,0)),INDEX($AK$4:$AL$6,MATCH(INDEX($I$3:$L$6,MATCH(MOD('Map 2 Do Touch'!X22,4),$H$3:$H$6,0),MATCH(MOD('Map 2 Do Touch'!Y22,4),$I$2:$L$2,0)),'Map 3'!$AJ$4:$AJ$6,0),MATCH(IF('Map 2 Do Touch'!X22&gt;4,"Water","Land"),'Map 3'!$AK$3:$AL$3,0))),IF('Map 2 Do Touch'!Y22&gt;4,INDEX($AG$4:$AH$6,MATCH(INDEX($P$3:$S$6,MATCH(MOD('Map 2 Do Touch'!Y21,4),$O$3:$O$6,0),MATCH(MOD('Map 2 Do Touch'!Y22,4),$P$2:$S$2,0)),$AF$4:$AF$6,0),MATCH(IF('Map 2 Do Touch'!Y21&gt;4,"Water","Land"),'Map 3'!$AG$3:$AH$3,0)),INDEX($AK$4:$AL$6,MATCH(INDEX($P$3:$S$6,MATCH(MOD('Map 2 Do Touch'!Y21,4),$O$3:$O$6,0),MATCH(MOD('Map 2 Do Touch'!Y22,4),$P$2:$S$2,0)),'Map 3'!$AJ$4:$AJ$6,0),MATCH(IF('Map 2 Do Touch'!Y21&gt;4,"Water","Land"),'Map 3'!$AK$3:$AL$3,0))))</f>
        <v>Coast</v>
      </c>
      <c r="Z26" s="3" t="str">
        <f ca="1">IF('Map 2 Do Touch'!Y21&lt;&gt;'Map 2 Do Touch'!Y22,IF('Map 2 Do Touch'!Z22&gt;4,INDEX($AG$4:$AH$6,MATCH(INDEX($I$3:$L$6,MATCH(MOD('Map 2 Do Touch'!Y22,4),$H$3:$H$6,0),MATCH(MOD('Map 2 Do Touch'!Z22,4),$I$2:$L$2,0)),$AF$4:$AF$6,0),MATCH(IF('Map 2 Do Touch'!Y22&gt;4,"Water","Land"),'Map 3'!$AG$3:$AH$3,0)),INDEX($AK$4:$AL$6,MATCH(INDEX($I$3:$L$6,MATCH(MOD('Map 2 Do Touch'!Y22,4),$H$3:$H$6,0),MATCH(MOD('Map 2 Do Touch'!Z22,4),$I$2:$L$2,0)),'Map 3'!$AJ$4:$AJ$6,0),MATCH(IF('Map 2 Do Touch'!Y22&gt;4,"Water","Land"),'Map 3'!$AK$3:$AL$3,0))),IF('Map 2 Do Touch'!Z22&gt;4,INDEX($AG$4:$AH$6,MATCH(INDEX($P$3:$S$6,MATCH(MOD('Map 2 Do Touch'!Z21,4),$O$3:$O$6,0),MATCH(MOD('Map 2 Do Touch'!Z22,4),$P$2:$S$2,0)),$AF$4:$AF$6,0),MATCH(IF('Map 2 Do Touch'!Z21&gt;4,"Water","Land"),'Map 3'!$AG$3:$AH$3,0)),INDEX($AK$4:$AL$6,MATCH(INDEX($P$3:$S$6,MATCH(MOD('Map 2 Do Touch'!Z21,4),$O$3:$O$6,0),MATCH(MOD('Map 2 Do Touch'!Z22,4),$P$2:$S$2,0)),'Map 3'!$AJ$4:$AJ$6,0),MATCH(IF('Map 2 Do Touch'!Z21&gt;4,"Water","Land"),'Map 3'!$AK$3:$AL$3,0))))</f>
        <v>Coast</v>
      </c>
      <c r="AA26" s="3" t="str">
        <f ca="1">IF('Map 2 Do Touch'!Z21&lt;&gt;'Map 2 Do Touch'!Z22,IF('Map 2 Do Touch'!AA22&gt;4,INDEX($AG$4:$AH$6,MATCH(INDEX($I$3:$L$6,MATCH(MOD('Map 2 Do Touch'!Z22,4),$H$3:$H$6,0),MATCH(MOD('Map 2 Do Touch'!AA22,4),$I$2:$L$2,0)),$AF$4:$AF$6,0),MATCH(IF('Map 2 Do Touch'!Z22&gt;4,"Water","Land"),'Map 3'!$AG$3:$AH$3,0)),INDEX($AK$4:$AL$6,MATCH(INDEX($I$3:$L$6,MATCH(MOD('Map 2 Do Touch'!Z22,4),$H$3:$H$6,0),MATCH(MOD('Map 2 Do Touch'!AA22,4),$I$2:$L$2,0)),'Map 3'!$AJ$4:$AJ$6,0),MATCH(IF('Map 2 Do Touch'!Z22&gt;4,"Water","Land"),'Map 3'!$AK$3:$AL$3,0))),IF('Map 2 Do Touch'!AA22&gt;4,INDEX($AG$4:$AH$6,MATCH(INDEX($P$3:$S$6,MATCH(MOD('Map 2 Do Touch'!AA21,4),$O$3:$O$6,0),MATCH(MOD('Map 2 Do Touch'!AA22,4),$P$2:$S$2,0)),$AF$4:$AF$6,0),MATCH(IF('Map 2 Do Touch'!AA21&gt;4,"Water","Land"),'Map 3'!$AG$3:$AH$3,0)),INDEX($AK$4:$AL$6,MATCH(INDEX($P$3:$S$6,MATCH(MOD('Map 2 Do Touch'!AA21,4),$O$3:$O$6,0),MATCH(MOD('Map 2 Do Touch'!AA22,4),$P$2:$S$2,0)),'Map 3'!$AJ$4:$AJ$6,0),MATCH(IF('Map 2 Do Touch'!AA21&gt;4,"Water","Land"),'Map 3'!$AK$3:$AL$3,0))))</f>
        <v>Island</v>
      </c>
      <c r="AB26" s="3" t="str">
        <f ca="1">IF('Map 2 Do Touch'!AA21&lt;&gt;'Map 2 Do Touch'!AA22,IF('Map 2 Do Touch'!AB22&gt;4,INDEX($AG$4:$AH$6,MATCH(INDEX($I$3:$L$6,MATCH(MOD('Map 2 Do Touch'!AA22,4),$H$3:$H$6,0),MATCH(MOD('Map 2 Do Touch'!AB22,4),$I$2:$L$2,0)),$AF$4:$AF$6,0),MATCH(IF('Map 2 Do Touch'!AA22&gt;4,"Water","Land"),'Map 3'!$AG$3:$AH$3,0)),INDEX($AK$4:$AL$6,MATCH(INDEX($I$3:$L$6,MATCH(MOD('Map 2 Do Touch'!AA22,4),$H$3:$H$6,0),MATCH(MOD('Map 2 Do Touch'!AB22,4),$I$2:$L$2,0)),'Map 3'!$AJ$4:$AJ$6,0),MATCH(IF('Map 2 Do Touch'!AA22&gt;4,"Water","Land"),'Map 3'!$AK$3:$AL$3,0))),IF('Map 2 Do Touch'!AB22&gt;4,INDEX($AG$4:$AH$6,MATCH(INDEX($P$3:$S$6,MATCH(MOD('Map 2 Do Touch'!AB21,4),$O$3:$O$6,0),MATCH(MOD('Map 2 Do Touch'!AB22,4),$P$2:$S$2,0)),$AF$4:$AF$6,0),MATCH(IF('Map 2 Do Touch'!AB21&gt;4,"Water","Land"),'Map 3'!$AG$3:$AH$3,0)),INDEX($AK$4:$AL$6,MATCH(INDEX($P$3:$S$6,MATCH(MOD('Map 2 Do Touch'!AB21,4),$O$3:$O$6,0),MATCH(MOD('Map 2 Do Touch'!AB22,4),$P$2:$S$2,0)),'Map 3'!$AJ$4:$AJ$6,0),MATCH(IF('Map 2 Do Touch'!AB21&gt;4,"Water","Land"),'Map 3'!$AK$3:$AL$3,0))))</f>
        <v>Trench</v>
      </c>
      <c r="AC26" s="3" t="str">
        <f ca="1">IF('Map 2 Do Touch'!AB21&lt;&gt;'Map 2 Do Touch'!AB22,IF('Map 2 Do Touch'!AC22&gt;4,INDEX($AG$4:$AH$6,MATCH(INDEX($I$3:$L$6,MATCH(MOD('Map 2 Do Touch'!AB22,4),$H$3:$H$6,0),MATCH(MOD('Map 2 Do Touch'!AC22,4),$I$2:$L$2,0)),$AF$4:$AF$6,0),MATCH(IF('Map 2 Do Touch'!AB22&gt;4,"Water","Land"),'Map 3'!$AG$3:$AH$3,0)),INDEX($AK$4:$AL$6,MATCH(INDEX($I$3:$L$6,MATCH(MOD('Map 2 Do Touch'!AB22,4),$H$3:$H$6,0),MATCH(MOD('Map 2 Do Touch'!AC22,4),$I$2:$L$2,0)),'Map 3'!$AJ$4:$AJ$6,0),MATCH(IF('Map 2 Do Touch'!AB22&gt;4,"Water","Land"),'Map 3'!$AK$3:$AL$3,0))),IF('Map 2 Do Touch'!AC22&gt;4,INDEX($AG$4:$AH$6,MATCH(INDEX($P$3:$S$6,MATCH(MOD('Map 2 Do Touch'!AC21,4),$O$3:$O$6,0),MATCH(MOD('Map 2 Do Touch'!AC22,4),$P$2:$S$2,0)),$AF$4:$AF$6,0),MATCH(IF('Map 2 Do Touch'!AC21&gt;4,"Water","Land"),'Map 3'!$AG$3:$AH$3,0)),INDEX($AK$4:$AL$6,MATCH(INDEX($P$3:$S$6,MATCH(MOD('Map 2 Do Touch'!AC21,4),$O$3:$O$6,0),MATCH(MOD('Map 2 Do Touch'!AC22,4),$P$2:$S$2,0)),'Map 3'!$AJ$4:$AJ$6,0),MATCH(IF('Map 2 Do Touch'!AC21&gt;4,"Water","Land"),'Map 3'!$AK$3:$AL$3,0))))</f>
        <v>Ocean</v>
      </c>
      <c r="AD26" s="3" t="str">
        <f ca="1">IF('Map 2 Do Touch'!AC21&lt;&gt;'Map 2 Do Touch'!AC22,IF('Map 2 Do Touch'!AD22&gt;4,INDEX($AG$4:$AH$6,MATCH(INDEX($I$3:$L$6,MATCH(MOD('Map 2 Do Touch'!AC22,4),$H$3:$H$6,0),MATCH(MOD('Map 2 Do Touch'!AD22,4),$I$2:$L$2,0)),$AF$4:$AF$6,0),MATCH(IF('Map 2 Do Touch'!AC22&gt;4,"Water","Land"),'Map 3'!$AG$3:$AH$3,0)),INDEX($AK$4:$AL$6,MATCH(INDEX($I$3:$L$6,MATCH(MOD('Map 2 Do Touch'!AC22,4),$H$3:$H$6,0),MATCH(MOD('Map 2 Do Touch'!AD22,4),$I$2:$L$2,0)),'Map 3'!$AJ$4:$AJ$6,0),MATCH(IF('Map 2 Do Touch'!AC22&gt;4,"Water","Land"),'Map 3'!$AK$3:$AL$3,0))),IF('Map 2 Do Touch'!AD22&gt;4,INDEX($AG$4:$AH$6,MATCH(INDEX($P$3:$S$6,MATCH(MOD('Map 2 Do Touch'!AD21,4),$O$3:$O$6,0),MATCH(MOD('Map 2 Do Touch'!AD22,4),$P$2:$S$2,0)),$AF$4:$AF$6,0),MATCH(IF('Map 2 Do Touch'!AD21&gt;4,"Water","Land"),'Map 3'!$AG$3:$AH$3,0)),INDEX($AK$4:$AL$6,MATCH(INDEX($P$3:$S$6,MATCH(MOD('Map 2 Do Touch'!AD21,4),$O$3:$O$6,0),MATCH(MOD('Map 2 Do Touch'!AD22,4),$P$2:$S$2,0)),'Map 3'!$AJ$4:$AJ$6,0),MATCH(IF('Map 2 Do Touch'!AD21&gt;4,"Water","Land"),'Map 3'!$AK$3:$AL$3,0))))</f>
        <v>Trench</v>
      </c>
      <c r="AE26" s="3" t="str">
        <f ca="1">IF('Map 2 Do Touch'!AD21&lt;&gt;'Map 2 Do Touch'!AD22,IF('Map 2 Do Touch'!AE22&gt;4,INDEX($AG$4:$AH$6,MATCH(INDEX($I$3:$L$6,MATCH(MOD('Map 2 Do Touch'!AD22,4),$H$3:$H$6,0),MATCH(MOD('Map 2 Do Touch'!AE22,4),$I$2:$L$2,0)),$AF$4:$AF$6,0),MATCH(IF('Map 2 Do Touch'!AD22&gt;4,"Water","Land"),'Map 3'!$AG$3:$AH$3,0)),INDEX($AK$4:$AL$6,MATCH(INDEX($I$3:$L$6,MATCH(MOD('Map 2 Do Touch'!AD22,4),$H$3:$H$6,0),MATCH(MOD('Map 2 Do Touch'!AE22,4),$I$2:$L$2,0)),'Map 3'!$AJ$4:$AJ$6,0),MATCH(IF('Map 2 Do Touch'!AD22&gt;4,"Water","Land"),'Map 3'!$AK$3:$AL$3,0))),IF('Map 2 Do Touch'!AE22&gt;4,INDEX($AG$4:$AH$6,MATCH(INDEX($P$3:$S$6,MATCH(MOD('Map 2 Do Touch'!AE21,4),$O$3:$O$6,0),MATCH(MOD('Map 2 Do Touch'!AE22,4),$P$2:$S$2,0)),$AF$4:$AF$6,0),MATCH(IF('Map 2 Do Touch'!AE21&gt;4,"Water","Land"),'Map 3'!$AG$3:$AH$3,0)),INDEX($AK$4:$AL$6,MATCH(INDEX($P$3:$S$6,MATCH(MOD('Map 2 Do Touch'!AE21,4),$O$3:$O$6,0),MATCH(MOD('Map 2 Do Touch'!AE22,4),$P$2:$S$2,0)),'Map 3'!$AJ$4:$AJ$6,0),MATCH(IF('Map 2 Do Touch'!AE21&gt;4,"Water","Land"),'Map 3'!$AK$3:$AL$3,0))))</f>
        <v>Trench</v>
      </c>
      <c r="AF26" s="3" t="str">
        <f ca="1">IF('Map 2 Do Touch'!AE21&lt;&gt;'Map 2 Do Touch'!AE22,IF('Map 2 Do Touch'!AF22&gt;4,INDEX($AG$4:$AH$6,MATCH(INDEX($I$3:$L$6,MATCH(MOD('Map 2 Do Touch'!AE22,4),$H$3:$H$6,0),MATCH(MOD('Map 2 Do Touch'!AF22,4),$I$2:$L$2,0)),$AF$4:$AF$6,0),MATCH(IF('Map 2 Do Touch'!AE22&gt;4,"Water","Land"),'Map 3'!$AG$3:$AH$3,0)),INDEX($AK$4:$AL$6,MATCH(INDEX($I$3:$L$6,MATCH(MOD('Map 2 Do Touch'!AE22,4),$H$3:$H$6,0),MATCH(MOD('Map 2 Do Touch'!AF22,4),$I$2:$L$2,0)),'Map 3'!$AJ$4:$AJ$6,0),MATCH(IF('Map 2 Do Touch'!AE22&gt;4,"Water","Land"),'Map 3'!$AK$3:$AL$3,0))),IF('Map 2 Do Touch'!AF22&gt;4,INDEX($AG$4:$AH$6,MATCH(INDEX($P$3:$S$6,MATCH(MOD('Map 2 Do Touch'!AF21,4),$O$3:$O$6,0),MATCH(MOD('Map 2 Do Touch'!AF22,4),$P$2:$S$2,0)),$AF$4:$AF$6,0),MATCH(IF('Map 2 Do Touch'!AF21&gt;4,"Water","Land"),'Map 3'!$AG$3:$AH$3,0)),INDEX($AK$4:$AL$6,MATCH(INDEX($P$3:$S$6,MATCH(MOD('Map 2 Do Touch'!AF21,4),$O$3:$O$6,0),MATCH(MOD('Map 2 Do Touch'!AF22,4),$P$2:$S$2,0)),'Map 3'!$AJ$4:$AJ$6,0),MATCH(IF('Map 2 Do Touch'!AF21&gt;4,"Water","Land"),'Map 3'!$AK$3:$AL$3,0))))</f>
        <v>Ocean</v>
      </c>
      <c r="AG26" s="3" t="str">
        <f ca="1">IF('Map 2 Do Touch'!AF21&lt;&gt;'Map 2 Do Touch'!AF22,IF('Map 2 Do Touch'!AG22&gt;4,INDEX($AG$4:$AH$6,MATCH(INDEX($I$3:$L$6,MATCH(MOD('Map 2 Do Touch'!AF22,4),$H$3:$H$6,0),MATCH(MOD('Map 2 Do Touch'!AG22,4),$I$2:$L$2,0)),$AF$4:$AF$6,0),MATCH(IF('Map 2 Do Touch'!AF22&gt;4,"Water","Land"),'Map 3'!$AG$3:$AH$3,0)),INDEX($AK$4:$AL$6,MATCH(INDEX($I$3:$L$6,MATCH(MOD('Map 2 Do Touch'!AF22,4),$H$3:$H$6,0),MATCH(MOD('Map 2 Do Touch'!AG22,4),$I$2:$L$2,0)),'Map 3'!$AJ$4:$AJ$6,0),MATCH(IF('Map 2 Do Touch'!AF22&gt;4,"Water","Land"),'Map 3'!$AK$3:$AL$3,0))),IF('Map 2 Do Touch'!AG22&gt;4,INDEX($AG$4:$AH$6,MATCH(INDEX($P$3:$S$6,MATCH(MOD('Map 2 Do Touch'!AG21,4),$O$3:$O$6,0),MATCH(MOD('Map 2 Do Touch'!AG22,4),$P$2:$S$2,0)),$AF$4:$AF$6,0),MATCH(IF('Map 2 Do Touch'!AG21&gt;4,"Water","Land"),'Map 3'!$AG$3:$AH$3,0)),INDEX($AK$4:$AL$6,MATCH(INDEX($P$3:$S$6,MATCH(MOD('Map 2 Do Touch'!AG21,4),$O$3:$O$6,0),MATCH(MOD('Map 2 Do Touch'!AG22,4),$P$2:$S$2,0)),'Map 3'!$AJ$4:$AJ$6,0),MATCH(IF('Map 2 Do Touch'!AG21&gt;4,"Water","Land"),'Map 3'!$AK$3:$AL$3,0))))</f>
        <v>Ocean</v>
      </c>
      <c r="AH26" s="3" t="str">
        <f ca="1">IF('Map 2 Do Touch'!AG21&lt;&gt;'Map 2 Do Touch'!AG22,IF('Map 2 Do Touch'!AH22&gt;4,INDEX($AG$4:$AH$6,MATCH(INDEX($I$3:$L$6,MATCH(MOD('Map 2 Do Touch'!AG22,4),$H$3:$H$6,0),MATCH(MOD('Map 2 Do Touch'!AH22,4),$I$2:$L$2,0)),$AF$4:$AF$6,0),MATCH(IF('Map 2 Do Touch'!AG22&gt;4,"Water","Land"),'Map 3'!$AG$3:$AH$3,0)),INDEX($AK$4:$AL$6,MATCH(INDEX($I$3:$L$6,MATCH(MOD('Map 2 Do Touch'!AG22,4),$H$3:$H$6,0),MATCH(MOD('Map 2 Do Touch'!AH22,4),$I$2:$L$2,0)),'Map 3'!$AJ$4:$AJ$6,0),MATCH(IF('Map 2 Do Touch'!AG22&gt;4,"Water","Land"),'Map 3'!$AK$3:$AL$3,0))),IF('Map 2 Do Touch'!AH22&gt;4,INDEX($AG$4:$AH$6,MATCH(INDEX($P$3:$S$6,MATCH(MOD('Map 2 Do Touch'!AH21,4),$O$3:$O$6,0),MATCH(MOD('Map 2 Do Touch'!AH22,4),$P$2:$S$2,0)),$AF$4:$AF$6,0),MATCH(IF('Map 2 Do Touch'!AH21&gt;4,"Water","Land"),'Map 3'!$AG$3:$AH$3,0)),INDEX($AK$4:$AL$6,MATCH(INDEX($P$3:$S$6,MATCH(MOD('Map 2 Do Touch'!AH21,4),$O$3:$O$6,0),MATCH(MOD('Map 2 Do Touch'!AH22,4),$P$2:$S$2,0)),'Map 3'!$AJ$4:$AJ$6,0),MATCH(IF('Map 2 Do Touch'!AH21&gt;4,"Water","Land"),'Map 3'!$AK$3:$AL$3,0))))</f>
        <v>Trench</v>
      </c>
      <c r="AI26" s="3" t="str">
        <f ca="1">IF('Map 2 Do Touch'!AH21&lt;&gt;'Map 2 Do Touch'!AH22,IF('Map 2 Do Touch'!AI22&gt;4,INDEX($AG$4:$AH$6,MATCH(INDEX($I$3:$L$6,MATCH(MOD('Map 2 Do Touch'!AH22,4),$H$3:$H$6,0),MATCH(MOD('Map 2 Do Touch'!AI22,4),$I$2:$L$2,0)),$AF$4:$AF$6,0),MATCH(IF('Map 2 Do Touch'!AH22&gt;4,"Water","Land"),'Map 3'!$AG$3:$AH$3,0)),INDEX($AK$4:$AL$6,MATCH(INDEX($I$3:$L$6,MATCH(MOD('Map 2 Do Touch'!AH22,4),$H$3:$H$6,0),MATCH(MOD('Map 2 Do Touch'!AI22,4),$I$2:$L$2,0)),'Map 3'!$AJ$4:$AJ$6,0),MATCH(IF('Map 2 Do Touch'!AH22&gt;4,"Water","Land"),'Map 3'!$AK$3:$AL$3,0))),IF('Map 2 Do Touch'!AI22&gt;4,INDEX($AG$4:$AH$6,MATCH(INDEX($P$3:$S$6,MATCH(MOD('Map 2 Do Touch'!AI21,4),$O$3:$O$6,0),MATCH(MOD('Map 2 Do Touch'!AI22,4),$P$2:$S$2,0)),$AF$4:$AF$6,0),MATCH(IF('Map 2 Do Touch'!AI21&gt;4,"Water","Land"),'Map 3'!$AG$3:$AH$3,0)),INDEX($AK$4:$AL$6,MATCH(INDEX($P$3:$S$6,MATCH(MOD('Map 2 Do Touch'!AI21,4),$O$3:$O$6,0),MATCH(MOD('Map 2 Do Touch'!AI22,4),$P$2:$S$2,0)),'Map 3'!$AJ$4:$AJ$6,0),MATCH(IF('Map 2 Do Touch'!AI21&gt;4,"Water","Land"),'Map 3'!$AK$3:$AL$3,0))))</f>
        <v>Ocean</v>
      </c>
      <c r="AJ26" s="3" t="str">
        <f ca="1">IF('Map 2 Do Touch'!AI21&lt;&gt;'Map 2 Do Touch'!AI22,IF('Map 2 Do Touch'!AJ22&gt;4,INDEX($AG$4:$AH$6,MATCH(INDEX($I$3:$L$6,MATCH(MOD('Map 2 Do Touch'!AI22,4),$H$3:$H$6,0),MATCH(MOD('Map 2 Do Touch'!AJ22,4),$I$2:$L$2,0)),$AF$4:$AF$6,0),MATCH(IF('Map 2 Do Touch'!AI22&gt;4,"Water","Land"),'Map 3'!$AG$3:$AH$3,0)),INDEX($AK$4:$AL$6,MATCH(INDEX($I$3:$L$6,MATCH(MOD('Map 2 Do Touch'!AI22,4),$H$3:$H$6,0),MATCH(MOD('Map 2 Do Touch'!AJ22,4),$I$2:$L$2,0)),'Map 3'!$AJ$4:$AJ$6,0),MATCH(IF('Map 2 Do Touch'!AI22&gt;4,"Water","Land"),'Map 3'!$AK$3:$AL$3,0))),IF('Map 2 Do Touch'!AJ22&gt;4,INDEX($AG$4:$AH$6,MATCH(INDEX($P$3:$S$6,MATCH(MOD('Map 2 Do Touch'!AJ21,4),$O$3:$O$6,0),MATCH(MOD('Map 2 Do Touch'!AJ22,4),$P$2:$S$2,0)),$AF$4:$AF$6,0),MATCH(IF('Map 2 Do Touch'!AJ21&gt;4,"Water","Land"),'Map 3'!$AG$3:$AH$3,0)),INDEX($AK$4:$AL$6,MATCH(INDEX($P$3:$S$6,MATCH(MOD('Map 2 Do Touch'!AJ21,4),$O$3:$O$6,0),MATCH(MOD('Map 2 Do Touch'!AJ22,4),$P$2:$S$2,0)),'Map 3'!$AJ$4:$AJ$6,0),MATCH(IF('Map 2 Do Touch'!AJ21&gt;4,"Water","Land"),'Map 3'!$AK$3:$AL$3,0))))</f>
        <v>Ocean</v>
      </c>
      <c r="AK26" s="3" t="str">
        <f ca="1">IF('Map 2 Do Touch'!AJ21&lt;&gt;'Map 2 Do Touch'!AJ22,IF('Map 2 Do Touch'!AK22&gt;4,INDEX($AG$4:$AH$6,MATCH(INDEX($I$3:$L$6,MATCH(MOD('Map 2 Do Touch'!AJ22,4),$H$3:$H$6,0),MATCH(MOD('Map 2 Do Touch'!AK22,4),$I$2:$L$2,0)),$AF$4:$AF$6,0),MATCH(IF('Map 2 Do Touch'!AJ22&gt;4,"Water","Land"),'Map 3'!$AG$3:$AH$3,0)),INDEX($AK$4:$AL$6,MATCH(INDEX($I$3:$L$6,MATCH(MOD('Map 2 Do Touch'!AJ22,4),$H$3:$H$6,0),MATCH(MOD('Map 2 Do Touch'!AK22,4),$I$2:$L$2,0)),'Map 3'!$AJ$4:$AJ$6,0),MATCH(IF('Map 2 Do Touch'!AJ22&gt;4,"Water","Land"),'Map 3'!$AK$3:$AL$3,0))),IF('Map 2 Do Touch'!AK22&gt;4,INDEX($AG$4:$AH$6,MATCH(INDEX($P$3:$S$6,MATCH(MOD('Map 2 Do Touch'!AK21,4),$O$3:$O$6,0),MATCH(MOD('Map 2 Do Touch'!AK22,4),$P$2:$S$2,0)),$AF$4:$AF$6,0),MATCH(IF('Map 2 Do Touch'!AK21&gt;4,"Water","Land"),'Map 3'!$AG$3:$AH$3,0)),INDEX($AK$4:$AL$6,MATCH(INDEX($P$3:$S$6,MATCH(MOD('Map 2 Do Touch'!AK21,4),$O$3:$O$6,0),MATCH(MOD('Map 2 Do Touch'!AK22,4),$P$2:$S$2,0)),'Map 3'!$AJ$4:$AJ$6,0),MATCH(IF('Map 2 Do Touch'!AK21&gt;4,"Water","Land"),'Map 3'!$AK$3:$AL$3,0))))</f>
        <v>Ocean</v>
      </c>
      <c r="AL26" s="3" t="str">
        <f ca="1">IF('Map 2 Do Touch'!AK21&lt;&gt;'Map 2 Do Touch'!AK22,IF('Map 2 Do Touch'!AL22&gt;4,INDEX($AG$4:$AH$6,MATCH(INDEX($I$3:$L$6,MATCH(MOD('Map 2 Do Touch'!AK22,4),$H$3:$H$6,0),MATCH(MOD('Map 2 Do Touch'!AL22,4),$I$2:$L$2,0)),$AF$4:$AF$6,0),MATCH(IF('Map 2 Do Touch'!AK22&gt;4,"Water","Land"),'Map 3'!$AG$3:$AH$3,0)),INDEX($AK$4:$AL$6,MATCH(INDEX($I$3:$L$6,MATCH(MOD('Map 2 Do Touch'!AK22,4),$H$3:$H$6,0),MATCH(MOD('Map 2 Do Touch'!AL22,4),$I$2:$L$2,0)),'Map 3'!$AJ$4:$AJ$6,0),MATCH(IF('Map 2 Do Touch'!AK22&gt;4,"Water","Land"),'Map 3'!$AK$3:$AL$3,0))),IF('Map 2 Do Touch'!AL22&gt;4,INDEX($AG$4:$AH$6,MATCH(INDEX($P$3:$S$6,MATCH(MOD('Map 2 Do Touch'!AL21,4),$O$3:$O$6,0),MATCH(MOD('Map 2 Do Touch'!AL22,4),$P$2:$S$2,0)),$AF$4:$AF$6,0),MATCH(IF('Map 2 Do Touch'!AL21&gt;4,"Water","Land"),'Map 3'!$AG$3:$AH$3,0)),INDEX($AK$4:$AL$6,MATCH(INDEX($P$3:$S$6,MATCH(MOD('Map 2 Do Touch'!AL21,4),$O$3:$O$6,0),MATCH(MOD('Map 2 Do Touch'!AL22,4),$P$2:$S$2,0)),'Map 3'!$AJ$4:$AJ$6,0),MATCH(IF('Map 2 Do Touch'!AL21&gt;4,"Water","Land"),'Map 3'!$AK$3:$AL$3,0))))</f>
        <v>Ocean</v>
      </c>
      <c r="AM26" s="3" t="str">
        <f ca="1">IF('Map 2 Do Touch'!AL21&lt;&gt;'Map 2 Do Touch'!AL22,IF('Map 2 Do Touch'!AM22&gt;4,INDEX($AG$4:$AH$6,MATCH(INDEX($I$3:$L$6,MATCH(MOD('Map 2 Do Touch'!AL22,4),$H$3:$H$6,0),MATCH(MOD('Map 2 Do Touch'!AM22,4),$I$2:$L$2,0)),$AF$4:$AF$6,0),MATCH(IF('Map 2 Do Touch'!AL22&gt;4,"Water","Land"),'Map 3'!$AG$3:$AH$3,0)),INDEX($AK$4:$AL$6,MATCH(INDEX($I$3:$L$6,MATCH(MOD('Map 2 Do Touch'!AL22,4),$H$3:$H$6,0),MATCH(MOD('Map 2 Do Touch'!AM22,4),$I$2:$L$2,0)),'Map 3'!$AJ$4:$AJ$6,0),MATCH(IF('Map 2 Do Touch'!AL22&gt;4,"Water","Land"),'Map 3'!$AK$3:$AL$3,0))),IF('Map 2 Do Touch'!AM22&gt;4,INDEX($AG$4:$AH$6,MATCH(INDEX($P$3:$S$6,MATCH(MOD('Map 2 Do Touch'!AM21,4),$O$3:$O$6,0),MATCH(MOD('Map 2 Do Touch'!AM22,4),$P$2:$S$2,0)),$AF$4:$AF$6,0),MATCH(IF('Map 2 Do Touch'!AM21&gt;4,"Water","Land"),'Map 3'!$AG$3:$AH$3,0)),INDEX($AK$4:$AL$6,MATCH(INDEX($P$3:$S$6,MATCH(MOD('Map 2 Do Touch'!AM21,4),$O$3:$O$6,0),MATCH(MOD('Map 2 Do Touch'!AM22,4),$P$2:$S$2,0)),'Map 3'!$AJ$4:$AJ$6,0),MATCH(IF('Map 2 Do Touch'!AM21&gt;4,"Water","Land"),'Map 3'!$AK$3:$AL$3,0))))</f>
        <v>Ocean</v>
      </c>
      <c r="AN26" s="3" t="str">
        <f ca="1">IF('Map 2 Do Touch'!AM21&lt;&gt;'Map 2 Do Touch'!AM22,IF('Map 2 Do Touch'!AN22&gt;4,INDEX($AG$4:$AH$6,MATCH(INDEX($I$3:$L$6,MATCH(MOD('Map 2 Do Touch'!AM22,4),$H$3:$H$6,0),MATCH(MOD('Map 2 Do Touch'!AN22,4),$I$2:$L$2,0)),$AF$4:$AF$6,0),MATCH(IF('Map 2 Do Touch'!AM22&gt;4,"Water","Land"),'Map 3'!$AG$3:$AH$3,0)),INDEX($AK$4:$AL$6,MATCH(INDEX($I$3:$L$6,MATCH(MOD('Map 2 Do Touch'!AM22,4),$H$3:$H$6,0),MATCH(MOD('Map 2 Do Touch'!AN22,4),$I$2:$L$2,0)),'Map 3'!$AJ$4:$AJ$6,0),MATCH(IF('Map 2 Do Touch'!AM22&gt;4,"Water","Land"),'Map 3'!$AK$3:$AL$3,0))),IF('Map 2 Do Touch'!AN22&gt;4,INDEX($AG$4:$AH$6,MATCH(INDEX($P$3:$S$6,MATCH(MOD('Map 2 Do Touch'!AN21,4),$O$3:$O$6,0),MATCH(MOD('Map 2 Do Touch'!AN22,4),$P$2:$S$2,0)),$AF$4:$AF$6,0),MATCH(IF('Map 2 Do Touch'!AN21&gt;4,"Water","Land"),'Map 3'!$AG$3:$AH$3,0)),INDEX($AK$4:$AL$6,MATCH(INDEX($P$3:$S$6,MATCH(MOD('Map 2 Do Touch'!AN21,4),$O$3:$O$6,0),MATCH(MOD('Map 2 Do Touch'!AN22,4),$P$2:$S$2,0)),'Map 3'!$AJ$4:$AJ$6,0),MATCH(IF('Map 2 Do Touch'!AN21&gt;4,"Water","Land"),'Map 3'!$AK$3:$AL$3,0))))</f>
        <v>Ocean</v>
      </c>
      <c r="AO26" s="87" t="str">
        <f ca="1">IF('Map 2 Do Touch'!AN21&lt;&gt;'Map 2 Do Touch'!AN22,IF('Map 2 Do Touch'!AO22&gt;4,INDEX($AG$4:$AH$6,MATCH(INDEX($I$3:$L$6,MATCH(MOD('Map 2 Do Touch'!AN22,4),$H$3:$H$6,0),MATCH(MOD('Map 2 Do Touch'!AO22,4),$I$2:$L$2,0)),$AF$4:$AF$6,0),MATCH(IF('Map 2 Do Touch'!AN22&gt;4,"Water","Land"),'Map 3'!$AG$3:$AH$3,0)),INDEX($AK$4:$AL$6,MATCH(INDEX($I$3:$L$6,MATCH(MOD('Map 2 Do Touch'!AN22,4),$H$3:$H$6,0),MATCH(MOD('Map 2 Do Touch'!AO22,4),$I$2:$L$2,0)),'Map 3'!$AJ$4:$AJ$6,0),MATCH(IF('Map 2 Do Touch'!AN22&gt;4,"Water","Land"),'Map 3'!$AK$3:$AL$3,0))),IF('Map 2 Do Touch'!AO22&gt;4,INDEX($AG$4:$AH$6,MATCH(INDEX($P$3:$S$6,MATCH(MOD('Map 2 Do Touch'!AO21,4),$O$3:$O$6,0),MATCH(MOD('Map 2 Do Touch'!AO22,4),$P$2:$S$2,0)),$AF$4:$AF$6,0),MATCH(IF('Map 2 Do Touch'!AO21&gt;4,"Water","Land"),'Map 3'!$AG$3:$AH$3,0)),INDEX($AK$4:$AL$6,MATCH(INDEX($P$3:$S$6,MATCH(MOD('Map 2 Do Touch'!AO21,4),$O$3:$O$6,0),MATCH(MOD('Map 2 Do Touch'!AO22,4),$P$2:$S$2,0)),'Map 3'!$AJ$4:$AJ$6,0),MATCH(IF('Map 2 Do Touch'!AO21&gt;4,"Water","Land"),'Map 3'!$AK$3:$AL$3,0))))</f>
        <v>Island</v>
      </c>
      <c r="AP26" s="3"/>
    </row>
    <row r="27" spans="1:42" ht="37.5" customHeight="1">
      <c r="A27" s="3">
        <v>16</v>
      </c>
      <c r="B27" s="86" t="str">
        <f ca="1">IF('Map 2 Do Touch'!B22&lt;&gt;'Map 2 Do Touch'!B23,IF('Map 2 Do Touch'!B23&gt;4,INDEX($AG$4:$AH$6,MATCH(INDEX($I$3:$L$6,MATCH(MOD('Map 2 Do Touch'!AO23,4),$H$3:$H$6,0),MATCH(MOD('Map 2 Do Touch'!B23,4),$I$2:$L$2,0)),$AF$4:$AF$6,0),MATCH(IF('Map 2 Do Touch'!AO23&gt;4,"Water","Land"),'Map 3'!$AG$3:$AH$3,0)),INDEX($AK$4:$AL$6,MATCH(INDEX($I$3:$L$6,MATCH(MOD('Map 2 Do Touch'!A23,4),$H$3:$H$6,0),MATCH(MOD('Map 2 Do Touch'!B23,4),$I$2:$L$2,0)),'Map 3'!$AJ$4:$AJ$6,0),MATCH(IF('Map 2 Do Touch'!AO23&gt;4,"Water","Land"),'Map 3'!$AK$3:$AL$3,0))),IF('Map 2 Do Touch'!B23&gt;4,INDEX($AG$4:$AH$6,MATCH(INDEX($P$3:$S$6,MATCH(MOD('Map 2 Do Touch'!B22,4),$O$3:$O$6,0),MATCH(MOD('Map 2 Do Touch'!B23,4),$P$2:$S$2,0)),$AF$4:$AF$6,0),MATCH(IF('Map 2 Do Touch'!B22&gt;4,"Water","Land"),'Map 3'!$AG$3:$AH$3,0)),INDEX($AK$4:$AL$6,MATCH(INDEX($P$3:$S$6,MATCH(MOD('Map 2 Do Touch'!B22,4),$O$3:$O$6,0),MATCH(MOD('Map 2 Do Touch'!B23,4),$P$2:$S$2,0)),'Map 3'!$AJ$4:$AJ$6,0),MATCH(IF('Map 2 Do Touch'!B22&gt;4,"Water","Land"),'Map 3'!$AK$3:$AL$3,0))))</f>
        <v>Ocean</v>
      </c>
      <c r="C27" s="3" t="str">
        <f ca="1">IF('Map 2 Do Touch'!B22&lt;&gt;'Map 2 Do Touch'!B23,IF('Map 2 Do Touch'!C23&gt;4,INDEX($AG$4:$AH$6,MATCH(INDEX($I$3:$L$6,MATCH(MOD('Map 2 Do Touch'!B23,4),$H$3:$H$6,0),MATCH(MOD('Map 2 Do Touch'!C23,4),$I$2:$L$2,0)),$AF$4:$AF$6,0),MATCH(IF('Map 2 Do Touch'!B23&gt;4,"Water","Land"),'Map 3'!$AG$3:$AH$3,0)),INDEX($AK$4:$AL$6,MATCH(INDEX($I$3:$L$6,MATCH(MOD('Map 2 Do Touch'!B23,4),$H$3:$H$6,0),MATCH(MOD('Map 2 Do Touch'!C23,4),$I$2:$L$2,0)),'Map 3'!$AJ$4:$AJ$6,0),MATCH(IF('Map 2 Do Touch'!B23&gt;4,"Water","Land"),'Map 3'!$AK$3:$AL$3,0))),IF('Map 2 Do Touch'!C23&gt;4,INDEX($AG$4:$AH$6,MATCH(INDEX($P$3:$S$6,MATCH(MOD('Map 2 Do Touch'!C22,4),$O$3:$O$6,0),MATCH(MOD('Map 2 Do Touch'!C23,4),$P$2:$S$2,0)),$AF$4:$AF$6,0),MATCH(IF('Map 2 Do Touch'!C22&gt;4,"Water","Land"),'Map 3'!$AG$3:$AH$3,0)),INDEX($AK$4:$AL$6,MATCH(INDEX($P$3:$S$6,MATCH(MOD('Map 2 Do Touch'!C22,4),$O$3:$O$6,0),MATCH(MOD('Map 2 Do Touch'!C23,4),$P$2:$S$2,0)),'Map 3'!$AJ$4:$AJ$6,0),MATCH(IF('Map 2 Do Touch'!C22&gt;4,"Water","Land"),'Map 3'!$AK$3:$AL$3,0))))</f>
        <v>Ocean</v>
      </c>
      <c r="D27" s="3" t="str">
        <f ca="1">IF('Map 2 Do Touch'!C22&lt;&gt;'Map 2 Do Touch'!C23,IF('Map 2 Do Touch'!D23&gt;4,INDEX($AG$4:$AH$6,MATCH(INDEX($I$3:$L$6,MATCH(MOD('Map 2 Do Touch'!C23,4),$H$3:$H$6,0),MATCH(MOD('Map 2 Do Touch'!D23,4),$I$2:$L$2,0)),$AF$4:$AF$6,0),MATCH(IF('Map 2 Do Touch'!C23&gt;4,"Water","Land"),'Map 3'!$AG$3:$AH$3,0)),INDEX($AK$4:$AL$6,MATCH(INDEX($I$3:$L$6,MATCH(MOD('Map 2 Do Touch'!C23,4),$H$3:$H$6,0),MATCH(MOD('Map 2 Do Touch'!D23,4),$I$2:$L$2,0)),'Map 3'!$AJ$4:$AJ$6,0),MATCH(IF('Map 2 Do Touch'!C23&gt;4,"Water","Land"),'Map 3'!$AK$3:$AL$3,0))),IF('Map 2 Do Touch'!D23&gt;4,INDEX($AG$4:$AH$6,MATCH(INDEX($P$3:$S$6,MATCH(MOD('Map 2 Do Touch'!D22,4),$O$3:$O$6,0),MATCH(MOD('Map 2 Do Touch'!D23,4),$P$2:$S$2,0)),$AF$4:$AF$6,0),MATCH(IF('Map 2 Do Touch'!D22&gt;4,"Water","Land"),'Map 3'!$AG$3:$AH$3,0)),INDEX($AK$4:$AL$6,MATCH(INDEX($P$3:$S$6,MATCH(MOD('Map 2 Do Touch'!D22,4),$O$3:$O$6,0),MATCH(MOD('Map 2 Do Touch'!D23,4),$P$2:$S$2,0)),'Map 3'!$AJ$4:$AJ$6,0),MATCH(IF('Map 2 Do Touch'!D22&gt;4,"Water","Land"),'Map 3'!$AK$3:$AL$3,0))))</f>
        <v>Ocean</v>
      </c>
      <c r="E27" s="3" t="str">
        <f ca="1">IF('Map 2 Do Touch'!D22&lt;&gt;'Map 2 Do Touch'!D23,IF('Map 2 Do Touch'!E23&gt;4,INDEX($AG$4:$AH$6,MATCH(INDEX($I$3:$L$6,MATCH(MOD('Map 2 Do Touch'!D23,4),$H$3:$H$6,0),MATCH(MOD('Map 2 Do Touch'!E23,4),$I$2:$L$2,0)),$AF$4:$AF$6,0),MATCH(IF('Map 2 Do Touch'!D23&gt;4,"Water","Land"),'Map 3'!$AG$3:$AH$3,0)),INDEX($AK$4:$AL$6,MATCH(INDEX($I$3:$L$6,MATCH(MOD('Map 2 Do Touch'!D23,4),$H$3:$H$6,0),MATCH(MOD('Map 2 Do Touch'!E23,4),$I$2:$L$2,0)),'Map 3'!$AJ$4:$AJ$6,0),MATCH(IF('Map 2 Do Touch'!D23&gt;4,"Water","Land"),'Map 3'!$AK$3:$AL$3,0))),IF('Map 2 Do Touch'!E23&gt;4,INDEX($AG$4:$AH$6,MATCH(INDEX($P$3:$S$6,MATCH(MOD('Map 2 Do Touch'!E22,4),$O$3:$O$6,0),MATCH(MOD('Map 2 Do Touch'!E23,4),$P$2:$S$2,0)),$AF$4:$AF$6,0),MATCH(IF('Map 2 Do Touch'!E22&gt;4,"Water","Land"),'Map 3'!$AG$3:$AH$3,0)),INDEX($AK$4:$AL$6,MATCH(INDEX($P$3:$S$6,MATCH(MOD('Map 2 Do Touch'!E22,4),$O$3:$O$6,0),MATCH(MOD('Map 2 Do Touch'!E23,4),$P$2:$S$2,0)),'Map 3'!$AJ$4:$AJ$6,0),MATCH(IF('Map 2 Do Touch'!E22&gt;4,"Water","Land"),'Map 3'!$AK$3:$AL$3,0))))</f>
        <v>Ocean</v>
      </c>
      <c r="F27" s="3" t="str">
        <f ca="1">IF('Map 2 Do Touch'!E22&lt;&gt;'Map 2 Do Touch'!E23,IF('Map 2 Do Touch'!F23&gt;4,INDEX($AG$4:$AH$6,MATCH(INDEX($I$3:$L$6,MATCH(MOD('Map 2 Do Touch'!E23,4),$H$3:$H$6,0),MATCH(MOD('Map 2 Do Touch'!F23,4),$I$2:$L$2,0)),$AF$4:$AF$6,0),MATCH(IF('Map 2 Do Touch'!E23&gt;4,"Water","Land"),'Map 3'!$AG$3:$AH$3,0)),INDEX($AK$4:$AL$6,MATCH(INDEX($I$3:$L$6,MATCH(MOD('Map 2 Do Touch'!E23,4),$H$3:$H$6,0),MATCH(MOD('Map 2 Do Touch'!F23,4),$I$2:$L$2,0)),'Map 3'!$AJ$4:$AJ$6,0),MATCH(IF('Map 2 Do Touch'!E23&gt;4,"Water","Land"),'Map 3'!$AK$3:$AL$3,0))),IF('Map 2 Do Touch'!F23&gt;4,INDEX($AG$4:$AH$6,MATCH(INDEX($P$3:$S$6,MATCH(MOD('Map 2 Do Touch'!F22,4),$O$3:$O$6,0),MATCH(MOD('Map 2 Do Touch'!F23,4),$P$2:$S$2,0)),$AF$4:$AF$6,0),MATCH(IF('Map 2 Do Touch'!F22&gt;4,"Water","Land"),'Map 3'!$AG$3:$AH$3,0)),INDEX($AK$4:$AL$6,MATCH(INDEX($P$3:$S$6,MATCH(MOD('Map 2 Do Touch'!F22,4),$O$3:$O$6,0),MATCH(MOD('Map 2 Do Touch'!F23,4),$P$2:$S$2,0)),'Map 3'!$AJ$4:$AJ$6,0),MATCH(IF('Map 2 Do Touch'!F22&gt;4,"Water","Land"),'Map 3'!$AK$3:$AL$3,0))))</f>
        <v>Ocean</v>
      </c>
      <c r="G27" s="3" t="str">
        <f ca="1">IF('Map 2 Do Touch'!F22&lt;&gt;'Map 2 Do Touch'!F23,IF('Map 2 Do Touch'!G23&gt;4,INDEX($AG$4:$AH$6,MATCH(INDEX($I$3:$L$6,MATCH(MOD('Map 2 Do Touch'!F23,4),$H$3:$H$6,0),MATCH(MOD('Map 2 Do Touch'!G23,4),$I$2:$L$2,0)),$AF$4:$AF$6,0),MATCH(IF('Map 2 Do Touch'!F23&gt;4,"Water","Land"),'Map 3'!$AG$3:$AH$3,0)),INDEX($AK$4:$AL$6,MATCH(INDEX($I$3:$L$6,MATCH(MOD('Map 2 Do Touch'!F23,4),$H$3:$H$6,0),MATCH(MOD('Map 2 Do Touch'!G23,4),$I$2:$L$2,0)),'Map 3'!$AJ$4:$AJ$6,0),MATCH(IF('Map 2 Do Touch'!F23&gt;4,"Water","Land"),'Map 3'!$AK$3:$AL$3,0))),IF('Map 2 Do Touch'!G23&gt;4,INDEX($AG$4:$AH$6,MATCH(INDEX($P$3:$S$6,MATCH(MOD('Map 2 Do Touch'!G22,4),$O$3:$O$6,0),MATCH(MOD('Map 2 Do Touch'!G23,4),$P$2:$S$2,0)),$AF$4:$AF$6,0),MATCH(IF('Map 2 Do Touch'!G22&gt;4,"Water","Land"),'Map 3'!$AG$3:$AH$3,0)),INDEX($AK$4:$AL$6,MATCH(INDEX($P$3:$S$6,MATCH(MOD('Map 2 Do Touch'!G22,4),$O$3:$O$6,0),MATCH(MOD('Map 2 Do Touch'!G23,4),$P$2:$S$2,0)),'Map 3'!$AJ$4:$AJ$6,0),MATCH(IF('Map 2 Do Touch'!G22&gt;4,"Water","Land"),'Map 3'!$AK$3:$AL$3,0))))</f>
        <v>Coast</v>
      </c>
      <c r="H27" s="3" t="str">
        <f ca="1">IF('Map 2 Do Touch'!G22&lt;&gt;'Map 2 Do Touch'!G23,IF('Map 2 Do Touch'!H23&gt;4,INDEX($AG$4:$AH$6,MATCH(INDEX($I$3:$L$6,MATCH(MOD('Map 2 Do Touch'!G23,4),$H$3:$H$6,0),MATCH(MOD('Map 2 Do Touch'!H23,4),$I$2:$L$2,0)),$AF$4:$AF$6,0),MATCH(IF('Map 2 Do Touch'!G23&gt;4,"Water","Land"),'Map 3'!$AG$3:$AH$3,0)),INDEX($AK$4:$AL$6,MATCH(INDEX($I$3:$L$6,MATCH(MOD('Map 2 Do Touch'!G23,4),$H$3:$H$6,0),MATCH(MOD('Map 2 Do Touch'!H23,4),$I$2:$L$2,0)),'Map 3'!$AJ$4:$AJ$6,0),MATCH(IF('Map 2 Do Touch'!G23&gt;4,"Water","Land"),'Map 3'!$AK$3:$AL$3,0))),IF('Map 2 Do Touch'!H23&gt;4,INDEX($AG$4:$AH$6,MATCH(INDEX($P$3:$S$6,MATCH(MOD('Map 2 Do Touch'!H22,4),$O$3:$O$6,0),MATCH(MOD('Map 2 Do Touch'!H23,4),$P$2:$S$2,0)),$AF$4:$AF$6,0),MATCH(IF('Map 2 Do Touch'!H22&gt;4,"Water","Land"),'Map 3'!$AG$3:$AH$3,0)),INDEX($AK$4:$AL$6,MATCH(INDEX($P$3:$S$6,MATCH(MOD('Map 2 Do Touch'!H22,4),$O$3:$O$6,0),MATCH(MOD('Map 2 Do Touch'!H23,4),$P$2:$S$2,0)),'Map 3'!$AJ$4:$AJ$6,0),MATCH(IF('Map 2 Do Touch'!H22&gt;4,"Water","Land"),'Map 3'!$AK$3:$AL$3,0))))</f>
        <v>Valley</v>
      </c>
      <c r="I27" s="3" t="str">
        <f ca="1">IF('Map 2 Do Touch'!H22&lt;&gt;'Map 2 Do Touch'!H23,IF('Map 2 Do Touch'!I23&gt;4,INDEX($AG$4:$AH$6,MATCH(INDEX($I$3:$L$6,MATCH(MOD('Map 2 Do Touch'!H23,4),$H$3:$H$6,0),MATCH(MOD('Map 2 Do Touch'!I23,4),$I$2:$L$2,0)),$AF$4:$AF$6,0),MATCH(IF('Map 2 Do Touch'!H23&gt;4,"Water","Land"),'Map 3'!$AG$3:$AH$3,0)),INDEX($AK$4:$AL$6,MATCH(INDEX($I$3:$L$6,MATCH(MOD('Map 2 Do Touch'!H23,4),$H$3:$H$6,0),MATCH(MOD('Map 2 Do Touch'!I23,4),$I$2:$L$2,0)),'Map 3'!$AJ$4:$AJ$6,0),MATCH(IF('Map 2 Do Touch'!H23&gt;4,"Water","Land"),'Map 3'!$AK$3:$AL$3,0))),IF('Map 2 Do Touch'!I23&gt;4,INDEX($AG$4:$AH$6,MATCH(INDEX($P$3:$S$6,MATCH(MOD('Map 2 Do Touch'!I22,4),$O$3:$O$6,0),MATCH(MOD('Map 2 Do Touch'!I23,4),$P$2:$S$2,0)),$AF$4:$AF$6,0),MATCH(IF('Map 2 Do Touch'!I22&gt;4,"Water","Land"),'Map 3'!$AG$3:$AH$3,0)),INDEX($AK$4:$AL$6,MATCH(INDEX($P$3:$S$6,MATCH(MOD('Map 2 Do Touch'!I22,4),$O$3:$O$6,0),MATCH(MOD('Map 2 Do Touch'!I23,4),$P$2:$S$2,0)),'Map 3'!$AJ$4:$AJ$6,0),MATCH(IF('Map 2 Do Touch'!I22&gt;4,"Water","Land"),'Map 3'!$AK$3:$AL$3,0))))</f>
        <v>Cliff</v>
      </c>
      <c r="J27" s="3" t="str">
        <f ca="1">IF('Map 2 Do Touch'!I22&lt;&gt;'Map 2 Do Touch'!I23,IF('Map 2 Do Touch'!J23&gt;4,INDEX($AG$4:$AH$6,MATCH(INDEX($I$3:$L$6,MATCH(MOD('Map 2 Do Touch'!I23,4),$H$3:$H$6,0),MATCH(MOD('Map 2 Do Touch'!J23,4),$I$2:$L$2,0)),$AF$4:$AF$6,0),MATCH(IF('Map 2 Do Touch'!I23&gt;4,"Water","Land"),'Map 3'!$AG$3:$AH$3,0)),INDEX($AK$4:$AL$6,MATCH(INDEX($I$3:$L$6,MATCH(MOD('Map 2 Do Touch'!I23,4),$H$3:$H$6,0),MATCH(MOD('Map 2 Do Touch'!J23,4),$I$2:$L$2,0)),'Map 3'!$AJ$4:$AJ$6,0),MATCH(IF('Map 2 Do Touch'!I23&gt;4,"Water","Land"),'Map 3'!$AK$3:$AL$3,0))),IF('Map 2 Do Touch'!J23&gt;4,INDEX($AG$4:$AH$6,MATCH(INDEX($P$3:$S$6,MATCH(MOD('Map 2 Do Touch'!J22,4),$O$3:$O$6,0),MATCH(MOD('Map 2 Do Touch'!J23,4),$P$2:$S$2,0)),$AF$4:$AF$6,0),MATCH(IF('Map 2 Do Touch'!J22&gt;4,"Water","Land"),'Map 3'!$AG$3:$AH$3,0)),INDEX($AK$4:$AL$6,MATCH(INDEX($P$3:$S$6,MATCH(MOD('Map 2 Do Touch'!J22,4),$O$3:$O$6,0),MATCH(MOD('Map 2 Do Touch'!J23,4),$P$2:$S$2,0)),'Map 3'!$AJ$4:$AJ$6,0),MATCH(IF('Map 2 Do Touch'!J22&gt;4,"Water","Land"),'Map 3'!$AK$3:$AL$3,0))))</f>
        <v>Island</v>
      </c>
      <c r="K27" s="3" t="str">
        <f ca="1">IF('Map 2 Do Touch'!J22&lt;&gt;'Map 2 Do Touch'!J23,IF('Map 2 Do Touch'!K23&gt;4,INDEX($AG$4:$AH$6,MATCH(INDEX($I$3:$L$6,MATCH(MOD('Map 2 Do Touch'!J23,4),$H$3:$H$6,0),MATCH(MOD('Map 2 Do Touch'!K23,4),$I$2:$L$2,0)),$AF$4:$AF$6,0),MATCH(IF('Map 2 Do Touch'!J23&gt;4,"Water","Land"),'Map 3'!$AG$3:$AH$3,0)),INDEX($AK$4:$AL$6,MATCH(INDEX($I$3:$L$6,MATCH(MOD('Map 2 Do Touch'!J23,4),$H$3:$H$6,0),MATCH(MOD('Map 2 Do Touch'!K23,4),$I$2:$L$2,0)),'Map 3'!$AJ$4:$AJ$6,0),MATCH(IF('Map 2 Do Touch'!J23&gt;4,"Water","Land"),'Map 3'!$AK$3:$AL$3,0))),IF('Map 2 Do Touch'!K23&gt;4,INDEX($AG$4:$AH$6,MATCH(INDEX($P$3:$S$6,MATCH(MOD('Map 2 Do Touch'!K22,4),$O$3:$O$6,0),MATCH(MOD('Map 2 Do Touch'!K23,4),$P$2:$S$2,0)),$AF$4:$AF$6,0),MATCH(IF('Map 2 Do Touch'!K22&gt;4,"Water","Land"),'Map 3'!$AG$3:$AH$3,0)),INDEX($AK$4:$AL$6,MATCH(INDEX($P$3:$S$6,MATCH(MOD('Map 2 Do Touch'!K22,4),$O$3:$O$6,0),MATCH(MOD('Map 2 Do Touch'!K23,4),$P$2:$S$2,0)),'Map 3'!$AJ$4:$AJ$6,0),MATCH(IF('Map 2 Do Touch'!K22&gt;4,"Water","Land"),'Map 3'!$AK$3:$AL$3,0))))</f>
        <v>Island</v>
      </c>
      <c r="L27" s="3" t="str">
        <f ca="1">IF('Map 2 Do Touch'!K22&lt;&gt;'Map 2 Do Touch'!K23,IF('Map 2 Do Touch'!L23&gt;4,INDEX($AG$4:$AH$6,MATCH(INDEX($I$3:$L$6,MATCH(MOD('Map 2 Do Touch'!K23,4),$H$3:$H$6,0),MATCH(MOD('Map 2 Do Touch'!L23,4),$I$2:$L$2,0)),$AF$4:$AF$6,0),MATCH(IF('Map 2 Do Touch'!K23&gt;4,"Water","Land"),'Map 3'!$AG$3:$AH$3,0)),INDEX($AK$4:$AL$6,MATCH(INDEX($I$3:$L$6,MATCH(MOD('Map 2 Do Touch'!K23,4),$H$3:$H$6,0),MATCH(MOD('Map 2 Do Touch'!L23,4),$I$2:$L$2,0)),'Map 3'!$AJ$4:$AJ$6,0),MATCH(IF('Map 2 Do Touch'!K23&gt;4,"Water","Land"),'Map 3'!$AK$3:$AL$3,0))),IF('Map 2 Do Touch'!L23&gt;4,INDEX($AG$4:$AH$6,MATCH(INDEX($P$3:$S$6,MATCH(MOD('Map 2 Do Touch'!L22,4),$O$3:$O$6,0),MATCH(MOD('Map 2 Do Touch'!L23,4),$P$2:$S$2,0)),$AF$4:$AF$6,0),MATCH(IF('Map 2 Do Touch'!L22&gt;4,"Water","Land"),'Map 3'!$AG$3:$AH$3,0)),INDEX($AK$4:$AL$6,MATCH(INDEX($P$3:$S$6,MATCH(MOD('Map 2 Do Touch'!L22,4),$O$3:$O$6,0),MATCH(MOD('Map 2 Do Touch'!L23,4),$P$2:$S$2,0)),'Map 3'!$AJ$4:$AJ$6,0),MATCH(IF('Map 2 Do Touch'!L22&gt;4,"Water","Land"),'Map 3'!$AK$3:$AL$3,0))))</f>
        <v>Ocean</v>
      </c>
      <c r="M27" s="3" t="str">
        <f ca="1">IF('Map 2 Do Touch'!L22&lt;&gt;'Map 2 Do Touch'!L23,IF('Map 2 Do Touch'!M23&gt;4,INDEX($AG$4:$AH$6,MATCH(INDEX($I$3:$L$6,MATCH(MOD('Map 2 Do Touch'!L23,4),$H$3:$H$6,0),MATCH(MOD('Map 2 Do Touch'!M23,4),$I$2:$L$2,0)),$AF$4:$AF$6,0),MATCH(IF('Map 2 Do Touch'!L23&gt;4,"Water","Land"),'Map 3'!$AG$3:$AH$3,0)),INDEX($AK$4:$AL$6,MATCH(INDEX($I$3:$L$6,MATCH(MOD('Map 2 Do Touch'!L23,4),$H$3:$H$6,0),MATCH(MOD('Map 2 Do Touch'!M23,4),$I$2:$L$2,0)),'Map 3'!$AJ$4:$AJ$6,0),MATCH(IF('Map 2 Do Touch'!L23&gt;4,"Water","Land"),'Map 3'!$AK$3:$AL$3,0))),IF('Map 2 Do Touch'!M23&gt;4,INDEX($AG$4:$AH$6,MATCH(INDEX($P$3:$S$6,MATCH(MOD('Map 2 Do Touch'!M22,4),$O$3:$O$6,0),MATCH(MOD('Map 2 Do Touch'!M23,4),$P$2:$S$2,0)),$AF$4:$AF$6,0),MATCH(IF('Map 2 Do Touch'!M22&gt;4,"Water","Land"),'Map 3'!$AG$3:$AH$3,0)),INDEX($AK$4:$AL$6,MATCH(INDEX($P$3:$S$6,MATCH(MOD('Map 2 Do Touch'!M22,4),$O$3:$O$6,0),MATCH(MOD('Map 2 Do Touch'!M23,4),$P$2:$S$2,0)),'Map 3'!$AJ$4:$AJ$6,0),MATCH(IF('Map 2 Do Touch'!M22&gt;4,"Water","Land"),'Map 3'!$AK$3:$AL$3,0))))</f>
        <v>Ocean</v>
      </c>
      <c r="N27" s="3" t="str">
        <f ca="1">IF('Map 2 Do Touch'!M22&lt;&gt;'Map 2 Do Touch'!M23,IF('Map 2 Do Touch'!N23&gt;4,INDEX($AG$4:$AH$6,MATCH(INDEX($I$3:$L$6,MATCH(MOD('Map 2 Do Touch'!M23,4),$H$3:$H$6,0),MATCH(MOD('Map 2 Do Touch'!N23,4),$I$2:$L$2,0)),$AF$4:$AF$6,0),MATCH(IF('Map 2 Do Touch'!M23&gt;4,"Water","Land"),'Map 3'!$AG$3:$AH$3,0)),INDEX($AK$4:$AL$6,MATCH(INDEX($I$3:$L$6,MATCH(MOD('Map 2 Do Touch'!M23,4),$H$3:$H$6,0),MATCH(MOD('Map 2 Do Touch'!N23,4),$I$2:$L$2,0)),'Map 3'!$AJ$4:$AJ$6,0),MATCH(IF('Map 2 Do Touch'!M23&gt;4,"Water","Land"),'Map 3'!$AK$3:$AL$3,0))),IF('Map 2 Do Touch'!N23&gt;4,INDEX($AG$4:$AH$6,MATCH(INDEX($P$3:$S$6,MATCH(MOD('Map 2 Do Touch'!N22,4),$O$3:$O$6,0),MATCH(MOD('Map 2 Do Touch'!N23,4),$P$2:$S$2,0)),$AF$4:$AF$6,0),MATCH(IF('Map 2 Do Touch'!N22&gt;4,"Water","Land"),'Map 3'!$AG$3:$AH$3,0)),INDEX($AK$4:$AL$6,MATCH(INDEX($P$3:$S$6,MATCH(MOD('Map 2 Do Touch'!N22,4),$O$3:$O$6,0),MATCH(MOD('Map 2 Do Touch'!N23,4),$P$2:$S$2,0)),'Map 3'!$AJ$4:$AJ$6,0),MATCH(IF('Map 2 Do Touch'!N22&gt;4,"Water","Land"),'Map 3'!$AK$3:$AL$3,0))))</f>
        <v>Ocean</v>
      </c>
      <c r="O27" s="3" t="str">
        <f ca="1">IF('Map 2 Do Touch'!N22&lt;&gt;'Map 2 Do Touch'!N23,IF('Map 2 Do Touch'!O23&gt;4,INDEX($AG$4:$AH$6,MATCH(INDEX($I$3:$L$6,MATCH(MOD('Map 2 Do Touch'!N23,4),$H$3:$H$6,0),MATCH(MOD('Map 2 Do Touch'!O23,4),$I$2:$L$2,0)),$AF$4:$AF$6,0),MATCH(IF('Map 2 Do Touch'!N23&gt;4,"Water","Land"),'Map 3'!$AG$3:$AH$3,0)),INDEX($AK$4:$AL$6,MATCH(INDEX($I$3:$L$6,MATCH(MOD('Map 2 Do Touch'!N23,4),$H$3:$H$6,0),MATCH(MOD('Map 2 Do Touch'!O23,4),$I$2:$L$2,0)),'Map 3'!$AJ$4:$AJ$6,0),MATCH(IF('Map 2 Do Touch'!N23&gt;4,"Water","Land"),'Map 3'!$AK$3:$AL$3,0))),IF('Map 2 Do Touch'!O23&gt;4,INDEX($AG$4:$AH$6,MATCH(INDEX($P$3:$S$6,MATCH(MOD('Map 2 Do Touch'!O22,4),$O$3:$O$6,0),MATCH(MOD('Map 2 Do Touch'!O23,4),$P$2:$S$2,0)),$AF$4:$AF$6,0),MATCH(IF('Map 2 Do Touch'!O22&gt;4,"Water","Land"),'Map 3'!$AG$3:$AH$3,0)),INDEX($AK$4:$AL$6,MATCH(INDEX($P$3:$S$6,MATCH(MOD('Map 2 Do Touch'!O22,4),$O$3:$O$6,0),MATCH(MOD('Map 2 Do Touch'!O23,4),$P$2:$S$2,0)),'Map 3'!$AJ$4:$AJ$6,0),MATCH(IF('Map 2 Do Touch'!O22&gt;4,"Water","Land"),'Map 3'!$AK$3:$AL$3,0))))</f>
        <v>Ocean</v>
      </c>
      <c r="P27" s="3" t="str">
        <f ca="1">IF('Map 2 Do Touch'!O22&lt;&gt;'Map 2 Do Touch'!O23,IF('Map 2 Do Touch'!P23&gt;4,INDEX($AG$4:$AH$6,MATCH(INDEX($I$3:$L$6,MATCH(MOD('Map 2 Do Touch'!O23,4),$H$3:$H$6,0),MATCH(MOD('Map 2 Do Touch'!P23,4),$I$2:$L$2,0)),$AF$4:$AF$6,0),MATCH(IF('Map 2 Do Touch'!O23&gt;4,"Water","Land"),'Map 3'!$AG$3:$AH$3,0)),INDEX($AK$4:$AL$6,MATCH(INDEX($I$3:$L$6,MATCH(MOD('Map 2 Do Touch'!O23,4),$H$3:$H$6,0),MATCH(MOD('Map 2 Do Touch'!P23,4),$I$2:$L$2,0)),'Map 3'!$AJ$4:$AJ$6,0),MATCH(IF('Map 2 Do Touch'!O23&gt;4,"Water","Land"),'Map 3'!$AK$3:$AL$3,0))),IF('Map 2 Do Touch'!P23&gt;4,INDEX($AG$4:$AH$6,MATCH(INDEX($P$3:$S$6,MATCH(MOD('Map 2 Do Touch'!P22,4),$O$3:$O$6,0),MATCH(MOD('Map 2 Do Touch'!P23,4),$P$2:$S$2,0)),$AF$4:$AF$6,0),MATCH(IF('Map 2 Do Touch'!P22&gt;4,"Water","Land"),'Map 3'!$AG$3:$AH$3,0)),INDEX($AK$4:$AL$6,MATCH(INDEX($P$3:$S$6,MATCH(MOD('Map 2 Do Touch'!P22,4),$O$3:$O$6,0),MATCH(MOD('Map 2 Do Touch'!P23,4),$P$2:$S$2,0)),'Map 3'!$AJ$4:$AJ$6,0),MATCH(IF('Map 2 Do Touch'!P22&gt;4,"Water","Land"),'Map 3'!$AK$3:$AL$3,0))))</f>
        <v>Ocean</v>
      </c>
      <c r="Q27" s="3" t="str">
        <f ca="1">IF('Map 2 Do Touch'!P22&lt;&gt;'Map 2 Do Touch'!P23,IF('Map 2 Do Touch'!Q23&gt;4,INDEX($AG$4:$AH$6,MATCH(INDEX($I$3:$L$6,MATCH(MOD('Map 2 Do Touch'!P23,4),$H$3:$H$6,0),MATCH(MOD('Map 2 Do Touch'!Q23,4),$I$2:$L$2,0)),$AF$4:$AF$6,0),MATCH(IF('Map 2 Do Touch'!P23&gt;4,"Water","Land"),'Map 3'!$AG$3:$AH$3,0)),INDEX($AK$4:$AL$6,MATCH(INDEX($I$3:$L$6,MATCH(MOD('Map 2 Do Touch'!P23,4),$H$3:$H$6,0),MATCH(MOD('Map 2 Do Touch'!Q23,4),$I$2:$L$2,0)),'Map 3'!$AJ$4:$AJ$6,0),MATCH(IF('Map 2 Do Touch'!P23&gt;4,"Water","Land"),'Map 3'!$AK$3:$AL$3,0))),IF('Map 2 Do Touch'!Q23&gt;4,INDEX($AG$4:$AH$6,MATCH(INDEX($P$3:$S$6,MATCH(MOD('Map 2 Do Touch'!Q22,4),$O$3:$O$6,0),MATCH(MOD('Map 2 Do Touch'!Q23,4),$P$2:$S$2,0)),$AF$4:$AF$6,0),MATCH(IF('Map 2 Do Touch'!Q22&gt;4,"Water","Land"),'Map 3'!$AG$3:$AH$3,0)),INDEX($AK$4:$AL$6,MATCH(INDEX($P$3:$S$6,MATCH(MOD('Map 2 Do Touch'!Q22,4),$O$3:$O$6,0),MATCH(MOD('Map 2 Do Touch'!Q23,4),$P$2:$S$2,0)),'Map 3'!$AJ$4:$AJ$6,0),MATCH(IF('Map 2 Do Touch'!Q22&gt;4,"Water","Land"),'Map 3'!$AK$3:$AL$3,0))))</f>
        <v>Trench</v>
      </c>
      <c r="R27" s="3" t="str">
        <f ca="1">IF('Map 2 Do Touch'!Q22&lt;&gt;'Map 2 Do Touch'!Q23,IF('Map 2 Do Touch'!R23&gt;4,INDEX($AG$4:$AH$6,MATCH(INDEX($I$3:$L$6,MATCH(MOD('Map 2 Do Touch'!Q23,4),$H$3:$H$6,0),MATCH(MOD('Map 2 Do Touch'!R23,4),$I$2:$L$2,0)),$AF$4:$AF$6,0),MATCH(IF('Map 2 Do Touch'!Q23&gt;4,"Water","Land"),'Map 3'!$AG$3:$AH$3,0)),INDEX($AK$4:$AL$6,MATCH(INDEX($I$3:$L$6,MATCH(MOD('Map 2 Do Touch'!Q23,4),$H$3:$H$6,0),MATCH(MOD('Map 2 Do Touch'!R23,4),$I$2:$L$2,0)),'Map 3'!$AJ$4:$AJ$6,0),MATCH(IF('Map 2 Do Touch'!Q23&gt;4,"Water","Land"),'Map 3'!$AK$3:$AL$3,0))),IF('Map 2 Do Touch'!R23&gt;4,INDEX($AG$4:$AH$6,MATCH(INDEX($P$3:$S$6,MATCH(MOD('Map 2 Do Touch'!R22,4),$O$3:$O$6,0),MATCH(MOD('Map 2 Do Touch'!R23,4),$P$2:$S$2,0)),$AF$4:$AF$6,0),MATCH(IF('Map 2 Do Touch'!R22&gt;4,"Water","Land"),'Map 3'!$AG$3:$AH$3,0)),INDEX($AK$4:$AL$6,MATCH(INDEX($P$3:$S$6,MATCH(MOD('Map 2 Do Touch'!R22,4),$O$3:$O$6,0),MATCH(MOD('Map 2 Do Touch'!R23,4),$P$2:$S$2,0)),'Map 3'!$AJ$4:$AJ$6,0),MATCH(IF('Map 2 Do Touch'!R22&gt;4,"Water","Land"),'Map 3'!$AK$3:$AL$3,0))))</f>
        <v>Ocean</v>
      </c>
      <c r="S27" s="3" t="str">
        <f ca="1">IF('Map 2 Do Touch'!R22&lt;&gt;'Map 2 Do Touch'!R23,IF('Map 2 Do Touch'!S23&gt;4,INDEX($AG$4:$AH$6,MATCH(INDEX($I$3:$L$6,MATCH(MOD('Map 2 Do Touch'!R23,4),$H$3:$H$6,0),MATCH(MOD('Map 2 Do Touch'!S23,4),$I$2:$L$2,0)),$AF$4:$AF$6,0),MATCH(IF('Map 2 Do Touch'!R23&gt;4,"Water","Land"),'Map 3'!$AG$3:$AH$3,0)),INDEX($AK$4:$AL$6,MATCH(INDEX($I$3:$L$6,MATCH(MOD('Map 2 Do Touch'!R23,4),$H$3:$H$6,0),MATCH(MOD('Map 2 Do Touch'!S23,4),$I$2:$L$2,0)),'Map 3'!$AJ$4:$AJ$6,0),MATCH(IF('Map 2 Do Touch'!R23&gt;4,"Water","Land"),'Map 3'!$AK$3:$AL$3,0))),IF('Map 2 Do Touch'!S23&gt;4,INDEX($AG$4:$AH$6,MATCH(INDEX($P$3:$S$6,MATCH(MOD('Map 2 Do Touch'!S22,4),$O$3:$O$6,0),MATCH(MOD('Map 2 Do Touch'!S23,4),$P$2:$S$2,0)),$AF$4:$AF$6,0),MATCH(IF('Map 2 Do Touch'!S22&gt;4,"Water","Land"),'Map 3'!$AG$3:$AH$3,0)),INDEX($AK$4:$AL$6,MATCH(INDEX($P$3:$S$6,MATCH(MOD('Map 2 Do Touch'!S22,4),$O$3:$O$6,0),MATCH(MOD('Map 2 Do Touch'!S23,4),$P$2:$S$2,0)),'Map 3'!$AJ$4:$AJ$6,0),MATCH(IF('Map 2 Do Touch'!S22&gt;4,"Water","Land"),'Map 3'!$AK$3:$AL$3,0))))</f>
        <v>Ocean</v>
      </c>
      <c r="T27" s="3" t="str">
        <f ca="1">IF('Map 2 Do Touch'!S22&lt;&gt;'Map 2 Do Touch'!S23,IF('Map 2 Do Touch'!T23&gt;4,INDEX($AG$4:$AH$6,MATCH(INDEX($I$3:$L$6,MATCH(MOD('Map 2 Do Touch'!S23,4),$H$3:$H$6,0),MATCH(MOD('Map 2 Do Touch'!T23,4),$I$2:$L$2,0)),$AF$4:$AF$6,0),MATCH(IF('Map 2 Do Touch'!S23&gt;4,"Water","Land"),'Map 3'!$AG$3:$AH$3,0)),INDEX($AK$4:$AL$6,MATCH(INDEX($I$3:$L$6,MATCH(MOD('Map 2 Do Touch'!S23,4),$H$3:$H$6,0),MATCH(MOD('Map 2 Do Touch'!T23,4),$I$2:$L$2,0)),'Map 3'!$AJ$4:$AJ$6,0),MATCH(IF('Map 2 Do Touch'!S23&gt;4,"Water","Land"),'Map 3'!$AK$3:$AL$3,0))),IF('Map 2 Do Touch'!T23&gt;4,INDEX($AG$4:$AH$6,MATCH(INDEX($P$3:$S$6,MATCH(MOD('Map 2 Do Touch'!T22,4),$O$3:$O$6,0),MATCH(MOD('Map 2 Do Touch'!T23,4),$P$2:$S$2,0)),$AF$4:$AF$6,0),MATCH(IF('Map 2 Do Touch'!T22&gt;4,"Water","Land"),'Map 3'!$AG$3:$AH$3,0)),INDEX($AK$4:$AL$6,MATCH(INDEX($P$3:$S$6,MATCH(MOD('Map 2 Do Touch'!T22,4),$O$3:$O$6,0),MATCH(MOD('Map 2 Do Touch'!T23,4),$P$2:$S$2,0)),'Map 3'!$AJ$4:$AJ$6,0),MATCH(IF('Map 2 Do Touch'!T22&gt;4,"Water","Land"),'Map 3'!$AK$3:$AL$3,0))))</f>
        <v>Ocean</v>
      </c>
      <c r="U27" s="3" t="str">
        <f ca="1">IF('Map 2 Do Touch'!T22&lt;&gt;'Map 2 Do Touch'!T23,IF('Map 2 Do Touch'!U23&gt;4,INDEX($AG$4:$AH$6,MATCH(INDEX($I$3:$L$6,MATCH(MOD('Map 2 Do Touch'!T23,4),$H$3:$H$6,0),MATCH(MOD('Map 2 Do Touch'!U23,4),$I$2:$L$2,0)),$AF$4:$AF$6,0),MATCH(IF('Map 2 Do Touch'!T23&gt;4,"Water","Land"),'Map 3'!$AG$3:$AH$3,0)),INDEX($AK$4:$AL$6,MATCH(INDEX($I$3:$L$6,MATCH(MOD('Map 2 Do Touch'!T23,4),$H$3:$H$6,0),MATCH(MOD('Map 2 Do Touch'!U23,4),$I$2:$L$2,0)),'Map 3'!$AJ$4:$AJ$6,0),MATCH(IF('Map 2 Do Touch'!T23&gt;4,"Water","Land"),'Map 3'!$AK$3:$AL$3,0))),IF('Map 2 Do Touch'!U23&gt;4,INDEX($AG$4:$AH$6,MATCH(INDEX($P$3:$S$6,MATCH(MOD('Map 2 Do Touch'!U22,4),$O$3:$O$6,0),MATCH(MOD('Map 2 Do Touch'!U23,4),$P$2:$S$2,0)),$AF$4:$AF$6,0),MATCH(IF('Map 2 Do Touch'!U22&gt;4,"Water","Land"),'Map 3'!$AG$3:$AH$3,0)),INDEX($AK$4:$AL$6,MATCH(INDEX($P$3:$S$6,MATCH(MOD('Map 2 Do Touch'!U22,4),$O$3:$O$6,0),MATCH(MOD('Map 2 Do Touch'!U23,4),$P$2:$S$2,0)),'Map 3'!$AJ$4:$AJ$6,0),MATCH(IF('Map 2 Do Touch'!U22&gt;4,"Water","Land"),'Map 3'!$AK$3:$AL$3,0))))</f>
        <v>Flatland</v>
      </c>
      <c r="V27" s="3" t="str">
        <f ca="1">IF('Map 2 Do Touch'!U22&lt;&gt;'Map 2 Do Touch'!U23,IF('Map 2 Do Touch'!V23&gt;4,INDEX($AG$4:$AH$6,MATCH(INDEX($I$3:$L$6,MATCH(MOD('Map 2 Do Touch'!U23,4),$H$3:$H$6,0),MATCH(MOD('Map 2 Do Touch'!V23,4),$I$2:$L$2,0)),$AF$4:$AF$6,0),MATCH(IF('Map 2 Do Touch'!U23&gt;4,"Water","Land"),'Map 3'!$AG$3:$AH$3,0)),INDEX($AK$4:$AL$6,MATCH(INDEX($I$3:$L$6,MATCH(MOD('Map 2 Do Touch'!U23,4),$H$3:$H$6,0),MATCH(MOD('Map 2 Do Touch'!V23,4),$I$2:$L$2,0)),'Map 3'!$AJ$4:$AJ$6,0),MATCH(IF('Map 2 Do Touch'!U23&gt;4,"Water","Land"),'Map 3'!$AK$3:$AL$3,0))),IF('Map 2 Do Touch'!V23&gt;4,INDEX($AG$4:$AH$6,MATCH(INDEX($P$3:$S$6,MATCH(MOD('Map 2 Do Touch'!V22,4),$O$3:$O$6,0),MATCH(MOD('Map 2 Do Touch'!V23,4),$P$2:$S$2,0)),$AF$4:$AF$6,0),MATCH(IF('Map 2 Do Touch'!V22&gt;4,"Water","Land"),'Map 3'!$AG$3:$AH$3,0)),INDEX($AK$4:$AL$6,MATCH(INDEX($P$3:$S$6,MATCH(MOD('Map 2 Do Touch'!V22,4),$O$3:$O$6,0),MATCH(MOD('Map 2 Do Touch'!V23,4),$P$2:$S$2,0)),'Map 3'!$AJ$4:$AJ$6,0),MATCH(IF('Map 2 Do Touch'!V22&gt;4,"Water","Land"),'Map 3'!$AK$3:$AL$3,0))))</f>
        <v>Ocean</v>
      </c>
      <c r="W27" s="3" t="str">
        <f ca="1">IF('Map 2 Do Touch'!V22&lt;&gt;'Map 2 Do Touch'!V23,IF('Map 2 Do Touch'!W23&gt;4,INDEX($AG$4:$AH$6,MATCH(INDEX($I$3:$L$6,MATCH(MOD('Map 2 Do Touch'!V23,4),$H$3:$H$6,0),MATCH(MOD('Map 2 Do Touch'!W23,4),$I$2:$L$2,0)),$AF$4:$AF$6,0),MATCH(IF('Map 2 Do Touch'!V23&gt;4,"Water","Land"),'Map 3'!$AG$3:$AH$3,0)),INDEX($AK$4:$AL$6,MATCH(INDEX($I$3:$L$6,MATCH(MOD('Map 2 Do Touch'!V23,4),$H$3:$H$6,0),MATCH(MOD('Map 2 Do Touch'!W23,4),$I$2:$L$2,0)),'Map 3'!$AJ$4:$AJ$6,0),MATCH(IF('Map 2 Do Touch'!V23&gt;4,"Water","Land"),'Map 3'!$AK$3:$AL$3,0))),IF('Map 2 Do Touch'!W23&gt;4,INDEX($AG$4:$AH$6,MATCH(INDEX($P$3:$S$6,MATCH(MOD('Map 2 Do Touch'!W22,4),$O$3:$O$6,0),MATCH(MOD('Map 2 Do Touch'!W23,4),$P$2:$S$2,0)),$AF$4:$AF$6,0),MATCH(IF('Map 2 Do Touch'!W22&gt;4,"Water","Land"),'Map 3'!$AG$3:$AH$3,0)),INDEX($AK$4:$AL$6,MATCH(INDEX($P$3:$S$6,MATCH(MOD('Map 2 Do Touch'!W22,4),$O$3:$O$6,0),MATCH(MOD('Map 2 Do Touch'!W23,4),$P$2:$S$2,0)),'Map 3'!$AJ$4:$AJ$6,0),MATCH(IF('Map 2 Do Touch'!W22&gt;4,"Water","Land"),'Map 3'!$AK$3:$AL$3,0))))</f>
        <v>Coast</v>
      </c>
      <c r="X27" s="3" t="str">
        <f ca="1">IF('Map 2 Do Touch'!W22&lt;&gt;'Map 2 Do Touch'!W23,IF('Map 2 Do Touch'!X23&gt;4,INDEX($AG$4:$AH$6,MATCH(INDEX($I$3:$L$6,MATCH(MOD('Map 2 Do Touch'!W23,4),$H$3:$H$6,0),MATCH(MOD('Map 2 Do Touch'!X23,4),$I$2:$L$2,0)),$AF$4:$AF$6,0),MATCH(IF('Map 2 Do Touch'!W23&gt;4,"Water","Land"),'Map 3'!$AG$3:$AH$3,0)),INDEX($AK$4:$AL$6,MATCH(INDEX($I$3:$L$6,MATCH(MOD('Map 2 Do Touch'!W23,4),$H$3:$H$6,0),MATCH(MOD('Map 2 Do Touch'!X23,4),$I$2:$L$2,0)),'Map 3'!$AJ$4:$AJ$6,0),MATCH(IF('Map 2 Do Touch'!W23&gt;4,"Water","Land"),'Map 3'!$AK$3:$AL$3,0))),IF('Map 2 Do Touch'!X23&gt;4,INDEX($AG$4:$AH$6,MATCH(INDEX($P$3:$S$6,MATCH(MOD('Map 2 Do Touch'!X22,4),$O$3:$O$6,0),MATCH(MOD('Map 2 Do Touch'!X23,4),$P$2:$S$2,0)),$AF$4:$AF$6,0),MATCH(IF('Map 2 Do Touch'!X22&gt;4,"Water","Land"),'Map 3'!$AG$3:$AH$3,0)),INDEX($AK$4:$AL$6,MATCH(INDEX($P$3:$S$6,MATCH(MOD('Map 2 Do Touch'!X22,4),$O$3:$O$6,0),MATCH(MOD('Map 2 Do Touch'!X23,4),$P$2:$S$2,0)),'Map 3'!$AJ$4:$AJ$6,0),MATCH(IF('Map 2 Do Touch'!X22&gt;4,"Water","Land"),'Map 3'!$AK$3:$AL$3,0))))</f>
        <v>Coast</v>
      </c>
      <c r="Y27" s="3" t="str">
        <f ca="1">IF('Map 2 Do Touch'!X22&lt;&gt;'Map 2 Do Touch'!X23,IF('Map 2 Do Touch'!Y23&gt;4,INDEX($AG$4:$AH$6,MATCH(INDEX($I$3:$L$6,MATCH(MOD('Map 2 Do Touch'!X23,4),$H$3:$H$6,0),MATCH(MOD('Map 2 Do Touch'!Y23,4),$I$2:$L$2,0)),$AF$4:$AF$6,0),MATCH(IF('Map 2 Do Touch'!X23&gt;4,"Water","Land"),'Map 3'!$AG$3:$AH$3,0)),INDEX($AK$4:$AL$6,MATCH(INDEX($I$3:$L$6,MATCH(MOD('Map 2 Do Touch'!X23,4),$H$3:$H$6,0),MATCH(MOD('Map 2 Do Touch'!Y23,4),$I$2:$L$2,0)),'Map 3'!$AJ$4:$AJ$6,0),MATCH(IF('Map 2 Do Touch'!X23&gt;4,"Water","Land"),'Map 3'!$AK$3:$AL$3,0))),IF('Map 2 Do Touch'!Y23&gt;4,INDEX($AG$4:$AH$6,MATCH(INDEX($P$3:$S$6,MATCH(MOD('Map 2 Do Touch'!Y22,4),$O$3:$O$6,0),MATCH(MOD('Map 2 Do Touch'!Y23,4),$P$2:$S$2,0)),$AF$4:$AF$6,0),MATCH(IF('Map 2 Do Touch'!Y22&gt;4,"Water","Land"),'Map 3'!$AG$3:$AH$3,0)),INDEX($AK$4:$AL$6,MATCH(INDEX($P$3:$S$6,MATCH(MOD('Map 2 Do Touch'!Y22,4),$O$3:$O$6,0),MATCH(MOD('Map 2 Do Touch'!Y23,4),$P$2:$S$2,0)),'Map 3'!$AJ$4:$AJ$6,0),MATCH(IF('Map 2 Do Touch'!Y22&gt;4,"Water","Land"),'Map 3'!$AK$3:$AL$3,0))))</f>
        <v>Coast</v>
      </c>
      <c r="Z27" s="3" t="str">
        <f ca="1">IF('Map 2 Do Touch'!Y22&lt;&gt;'Map 2 Do Touch'!Y23,IF('Map 2 Do Touch'!Z23&gt;4,INDEX($AG$4:$AH$6,MATCH(INDEX($I$3:$L$6,MATCH(MOD('Map 2 Do Touch'!Y23,4),$H$3:$H$6,0),MATCH(MOD('Map 2 Do Touch'!Z23,4),$I$2:$L$2,0)),$AF$4:$AF$6,0),MATCH(IF('Map 2 Do Touch'!Y23&gt;4,"Water","Land"),'Map 3'!$AG$3:$AH$3,0)),INDEX($AK$4:$AL$6,MATCH(INDEX($I$3:$L$6,MATCH(MOD('Map 2 Do Touch'!Y23,4),$H$3:$H$6,0),MATCH(MOD('Map 2 Do Touch'!Z23,4),$I$2:$L$2,0)),'Map 3'!$AJ$4:$AJ$6,0),MATCH(IF('Map 2 Do Touch'!Y23&gt;4,"Water","Land"),'Map 3'!$AK$3:$AL$3,0))),IF('Map 2 Do Touch'!Z23&gt;4,INDEX($AG$4:$AH$6,MATCH(INDEX($P$3:$S$6,MATCH(MOD('Map 2 Do Touch'!Z22,4),$O$3:$O$6,0),MATCH(MOD('Map 2 Do Touch'!Z23,4),$P$2:$S$2,0)),$AF$4:$AF$6,0),MATCH(IF('Map 2 Do Touch'!Z22&gt;4,"Water","Land"),'Map 3'!$AG$3:$AH$3,0)),INDEX($AK$4:$AL$6,MATCH(INDEX($P$3:$S$6,MATCH(MOD('Map 2 Do Touch'!Z22,4),$O$3:$O$6,0),MATCH(MOD('Map 2 Do Touch'!Z23,4),$P$2:$S$2,0)),'Map 3'!$AJ$4:$AJ$6,0),MATCH(IF('Map 2 Do Touch'!Z22&gt;4,"Water","Land"),'Map 3'!$AK$3:$AL$3,0))))</f>
        <v>Ocean</v>
      </c>
      <c r="AA27" s="3" t="str">
        <f ca="1">IF('Map 2 Do Touch'!Z22&lt;&gt;'Map 2 Do Touch'!Z23,IF('Map 2 Do Touch'!AA23&gt;4,INDEX($AG$4:$AH$6,MATCH(INDEX($I$3:$L$6,MATCH(MOD('Map 2 Do Touch'!Z23,4),$H$3:$H$6,0),MATCH(MOD('Map 2 Do Touch'!AA23,4),$I$2:$L$2,0)),$AF$4:$AF$6,0),MATCH(IF('Map 2 Do Touch'!Z23&gt;4,"Water","Land"),'Map 3'!$AG$3:$AH$3,0)),INDEX($AK$4:$AL$6,MATCH(INDEX($I$3:$L$6,MATCH(MOD('Map 2 Do Touch'!Z23,4),$H$3:$H$6,0),MATCH(MOD('Map 2 Do Touch'!AA23,4),$I$2:$L$2,0)),'Map 3'!$AJ$4:$AJ$6,0),MATCH(IF('Map 2 Do Touch'!Z23&gt;4,"Water","Land"),'Map 3'!$AK$3:$AL$3,0))),IF('Map 2 Do Touch'!AA23&gt;4,INDEX($AG$4:$AH$6,MATCH(INDEX($P$3:$S$6,MATCH(MOD('Map 2 Do Touch'!AA22,4),$O$3:$O$6,0),MATCH(MOD('Map 2 Do Touch'!AA23,4),$P$2:$S$2,0)),$AF$4:$AF$6,0),MATCH(IF('Map 2 Do Touch'!AA22&gt;4,"Water","Land"),'Map 3'!$AG$3:$AH$3,0)),INDEX($AK$4:$AL$6,MATCH(INDEX($P$3:$S$6,MATCH(MOD('Map 2 Do Touch'!AA22,4),$O$3:$O$6,0),MATCH(MOD('Map 2 Do Touch'!AA23,4),$P$2:$S$2,0)),'Map 3'!$AJ$4:$AJ$6,0),MATCH(IF('Map 2 Do Touch'!AA22&gt;4,"Water","Land"),'Map 3'!$AK$3:$AL$3,0))))</f>
        <v>Ocean</v>
      </c>
      <c r="AB27" s="3" t="str">
        <f ca="1">IF('Map 2 Do Touch'!AA22&lt;&gt;'Map 2 Do Touch'!AA23,IF('Map 2 Do Touch'!AB23&gt;4,INDEX($AG$4:$AH$6,MATCH(INDEX($I$3:$L$6,MATCH(MOD('Map 2 Do Touch'!AA23,4),$H$3:$H$6,0),MATCH(MOD('Map 2 Do Touch'!AB23,4),$I$2:$L$2,0)),$AF$4:$AF$6,0),MATCH(IF('Map 2 Do Touch'!AA23&gt;4,"Water","Land"),'Map 3'!$AG$3:$AH$3,0)),INDEX($AK$4:$AL$6,MATCH(INDEX($I$3:$L$6,MATCH(MOD('Map 2 Do Touch'!AA23,4),$H$3:$H$6,0),MATCH(MOD('Map 2 Do Touch'!AB23,4),$I$2:$L$2,0)),'Map 3'!$AJ$4:$AJ$6,0),MATCH(IF('Map 2 Do Touch'!AA23&gt;4,"Water","Land"),'Map 3'!$AK$3:$AL$3,0))),IF('Map 2 Do Touch'!AB23&gt;4,INDEX($AG$4:$AH$6,MATCH(INDEX($P$3:$S$6,MATCH(MOD('Map 2 Do Touch'!AB22,4),$O$3:$O$6,0),MATCH(MOD('Map 2 Do Touch'!AB23,4),$P$2:$S$2,0)),$AF$4:$AF$6,0),MATCH(IF('Map 2 Do Touch'!AB22&gt;4,"Water","Land"),'Map 3'!$AG$3:$AH$3,0)),INDEX($AK$4:$AL$6,MATCH(INDEX($P$3:$S$6,MATCH(MOD('Map 2 Do Touch'!AB22,4),$O$3:$O$6,0),MATCH(MOD('Map 2 Do Touch'!AB23,4),$P$2:$S$2,0)),'Map 3'!$AJ$4:$AJ$6,0),MATCH(IF('Map 2 Do Touch'!AB22&gt;4,"Water","Land"),'Map 3'!$AK$3:$AL$3,0))))</f>
        <v>Ocean</v>
      </c>
      <c r="AC27" s="3" t="str">
        <f ca="1">IF('Map 2 Do Touch'!AB22&lt;&gt;'Map 2 Do Touch'!AB23,IF('Map 2 Do Touch'!AC23&gt;4,INDEX($AG$4:$AH$6,MATCH(INDEX($I$3:$L$6,MATCH(MOD('Map 2 Do Touch'!AB23,4),$H$3:$H$6,0),MATCH(MOD('Map 2 Do Touch'!AC23,4),$I$2:$L$2,0)),$AF$4:$AF$6,0),MATCH(IF('Map 2 Do Touch'!AB23&gt;4,"Water","Land"),'Map 3'!$AG$3:$AH$3,0)),INDEX($AK$4:$AL$6,MATCH(INDEX($I$3:$L$6,MATCH(MOD('Map 2 Do Touch'!AB23,4),$H$3:$H$6,0),MATCH(MOD('Map 2 Do Touch'!AC23,4),$I$2:$L$2,0)),'Map 3'!$AJ$4:$AJ$6,0),MATCH(IF('Map 2 Do Touch'!AB23&gt;4,"Water","Land"),'Map 3'!$AK$3:$AL$3,0))),IF('Map 2 Do Touch'!AC23&gt;4,INDEX($AG$4:$AH$6,MATCH(INDEX($P$3:$S$6,MATCH(MOD('Map 2 Do Touch'!AC22,4),$O$3:$O$6,0),MATCH(MOD('Map 2 Do Touch'!AC23,4),$P$2:$S$2,0)),$AF$4:$AF$6,0),MATCH(IF('Map 2 Do Touch'!AC22&gt;4,"Water","Land"),'Map 3'!$AG$3:$AH$3,0)),INDEX($AK$4:$AL$6,MATCH(INDEX($P$3:$S$6,MATCH(MOD('Map 2 Do Touch'!AC22,4),$O$3:$O$6,0),MATCH(MOD('Map 2 Do Touch'!AC23,4),$P$2:$S$2,0)),'Map 3'!$AJ$4:$AJ$6,0),MATCH(IF('Map 2 Do Touch'!AC22&gt;4,"Water","Land"),'Map 3'!$AK$3:$AL$3,0))))</f>
        <v>Trench</v>
      </c>
      <c r="AD27" s="3" t="str">
        <f ca="1">IF('Map 2 Do Touch'!AC22&lt;&gt;'Map 2 Do Touch'!AC23,IF('Map 2 Do Touch'!AD23&gt;4,INDEX($AG$4:$AH$6,MATCH(INDEX($I$3:$L$6,MATCH(MOD('Map 2 Do Touch'!AC23,4),$H$3:$H$6,0),MATCH(MOD('Map 2 Do Touch'!AD23,4),$I$2:$L$2,0)),$AF$4:$AF$6,0),MATCH(IF('Map 2 Do Touch'!AC23&gt;4,"Water","Land"),'Map 3'!$AG$3:$AH$3,0)),INDEX($AK$4:$AL$6,MATCH(INDEX($I$3:$L$6,MATCH(MOD('Map 2 Do Touch'!AC23,4),$H$3:$H$6,0),MATCH(MOD('Map 2 Do Touch'!AD23,4),$I$2:$L$2,0)),'Map 3'!$AJ$4:$AJ$6,0),MATCH(IF('Map 2 Do Touch'!AC23&gt;4,"Water","Land"),'Map 3'!$AK$3:$AL$3,0))),IF('Map 2 Do Touch'!AD23&gt;4,INDEX($AG$4:$AH$6,MATCH(INDEX($P$3:$S$6,MATCH(MOD('Map 2 Do Touch'!AD22,4),$O$3:$O$6,0),MATCH(MOD('Map 2 Do Touch'!AD23,4),$P$2:$S$2,0)),$AF$4:$AF$6,0),MATCH(IF('Map 2 Do Touch'!AD22&gt;4,"Water","Land"),'Map 3'!$AG$3:$AH$3,0)),INDEX($AK$4:$AL$6,MATCH(INDEX($P$3:$S$6,MATCH(MOD('Map 2 Do Touch'!AD22,4),$O$3:$O$6,0),MATCH(MOD('Map 2 Do Touch'!AD23,4),$P$2:$S$2,0)),'Map 3'!$AJ$4:$AJ$6,0),MATCH(IF('Map 2 Do Touch'!AD22&gt;4,"Water","Land"),'Map 3'!$AK$3:$AL$3,0))))</f>
        <v>Ocean</v>
      </c>
      <c r="AE27" s="3" t="str">
        <f ca="1">IF('Map 2 Do Touch'!AD22&lt;&gt;'Map 2 Do Touch'!AD23,IF('Map 2 Do Touch'!AE23&gt;4,INDEX($AG$4:$AH$6,MATCH(INDEX($I$3:$L$6,MATCH(MOD('Map 2 Do Touch'!AD23,4),$H$3:$H$6,0),MATCH(MOD('Map 2 Do Touch'!AE23,4),$I$2:$L$2,0)),$AF$4:$AF$6,0),MATCH(IF('Map 2 Do Touch'!AD23&gt;4,"Water","Land"),'Map 3'!$AG$3:$AH$3,0)),INDEX($AK$4:$AL$6,MATCH(INDEX($I$3:$L$6,MATCH(MOD('Map 2 Do Touch'!AD23,4),$H$3:$H$6,0),MATCH(MOD('Map 2 Do Touch'!AE23,4),$I$2:$L$2,0)),'Map 3'!$AJ$4:$AJ$6,0),MATCH(IF('Map 2 Do Touch'!AD23&gt;4,"Water","Land"),'Map 3'!$AK$3:$AL$3,0))),IF('Map 2 Do Touch'!AE23&gt;4,INDEX($AG$4:$AH$6,MATCH(INDEX($P$3:$S$6,MATCH(MOD('Map 2 Do Touch'!AE22,4),$O$3:$O$6,0),MATCH(MOD('Map 2 Do Touch'!AE23,4),$P$2:$S$2,0)),$AF$4:$AF$6,0),MATCH(IF('Map 2 Do Touch'!AE22&gt;4,"Water","Land"),'Map 3'!$AG$3:$AH$3,0)),INDEX($AK$4:$AL$6,MATCH(INDEX($P$3:$S$6,MATCH(MOD('Map 2 Do Touch'!AE22,4),$O$3:$O$6,0),MATCH(MOD('Map 2 Do Touch'!AE23,4),$P$2:$S$2,0)),'Map 3'!$AJ$4:$AJ$6,0),MATCH(IF('Map 2 Do Touch'!AE22&gt;4,"Water","Land"),'Map 3'!$AK$3:$AL$3,0))))</f>
        <v>Trench</v>
      </c>
      <c r="AF27" s="3" t="str">
        <f ca="1">IF('Map 2 Do Touch'!AE22&lt;&gt;'Map 2 Do Touch'!AE23,IF('Map 2 Do Touch'!AF23&gt;4,INDEX($AG$4:$AH$6,MATCH(INDEX($I$3:$L$6,MATCH(MOD('Map 2 Do Touch'!AE23,4),$H$3:$H$6,0),MATCH(MOD('Map 2 Do Touch'!AF23,4),$I$2:$L$2,0)),$AF$4:$AF$6,0),MATCH(IF('Map 2 Do Touch'!AE23&gt;4,"Water","Land"),'Map 3'!$AG$3:$AH$3,0)),INDEX($AK$4:$AL$6,MATCH(INDEX($I$3:$L$6,MATCH(MOD('Map 2 Do Touch'!AE23,4),$H$3:$H$6,0),MATCH(MOD('Map 2 Do Touch'!AF23,4),$I$2:$L$2,0)),'Map 3'!$AJ$4:$AJ$6,0),MATCH(IF('Map 2 Do Touch'!AE23&gt;4,"Water","Land"),'Map 3'!$AK$3:$AL$3,0))),IF('Map 2 Do Touch'!AF23&gt;4,INDEX($AG$4:$AH$6,MATCH(INDEX($P$3:$S$6,MATCH(MOD('Map 2 Do Touch'!AF22,4),$O$3:$O$6,0),MATCH(MOD('Map 2 Do Touch'!AF23,4),$P$2:$S$2,0)),$AF$4:$AF$6,0),MATCH(IF('Map 2 Do Touch'!AF22&gt;4,"Water","Land"),'Map 3'!$AG$3:$AH$3,0)),INDEX($AK$4:$AL$6,MATCH(INDEX($P$3:$S$6,MATCH(MOD('Map 2 Do Touch'!AF22,4),$O$3:$O$6,0),MATCH(MOD('Map 2 Do Touch'!AF23,4),$P$2:$S$2,0)),'Map 3'!$AJ$4:$AJ$6,0),MATCH(IF('Map 2 Do Touch'!AF22&gt;4,"Water","Land"),'Map 3'!$AK$3:$AL$3,0))))</f>
        <v>Ocean</v>
      </c>
      <c r="AG27" s="3" t="str">
        <f ca="1">IF('Map 2 Do Touch'!AF22&lt;&gt;'Map 2 Do Touch'!AF23,IF('Map 2 Do Touch'!AG23&gt;4,INDEX($AG$4:$AH$6,MATCH(INDEX($I$3:$L$6,MATCH(MOD('Map 2 Do Touch'!AF23,4),$H$3:$H$6,0),MATCH(MOD('Map 2 Do Touch'!AG23,4),$I$2:$L$2,0)),$AF$4:$AF$6,0),MATCH(IF('Map 2 Do Touch'!AF23&gt;4,"Water","Land"),'Map 3'!$AG$3:$AH$3,0)),INDEX($AK$4:$AL$6,MATCH(INDEX($I$3:$L$6,MATCH(MOD('Map 2 Do Touch'!AF23,4),$H$3:$H$6,0),MATCH(MOD('Map 2 Do Touch'!AG23,4),$I$2:$L$2,0)),'Map 3'!$AJ$4:$AJ$6,0),MATCH(IF('Map 2 Do Touch'!AF23&gt;4,"Water","Land"),'Map 3'!$AK$3:$AL$3,0))),IF('Map 2 Do Touch'!AG23&gt;4,INDEX($AG$4:$AH$6,MATCH(INDEX($P$3:$S$6,MATCH(MOD('Map 2 Do Touch'!AG22,4),$O$3:$O$6,0),MATCH(MOD('Map 2 Do Touch'!AG23,4),$P$2:$S$2,0)),$AF$4:$AF$6,0),MATCH(IF('Map 2 Do Touch'!AG22&gt;4,"Water","Land"),'Map 3'!$AG$3:$AH$3,0)),INDEX($AK$4:$AL$6,MATCH(INDEX($P$3:$S$6,MATCH(MOD('Map 2 Do Touch'!AG22,4),$O$3:$O$6,0),MATCH(MOD('Map 2 Do Touch'!AG23,4),$P$2:$S$2,0)),'Map 3'!$AJ$4:$AJ$6,0),MATCH(IF('Map 2 Do Touch'!AG22&gt;4,"Water","Land"),'Map 3'!$AK$3:$AL$3,0))))</f>
        <v>Ocean</v>
      </c>
      <c r="AH27" s="3" t="str">
        <f ca="1">IF('Map 2 Do Touch'!AG22&lt;&gt;'Map 2 Do Touch'!AG23,IF('Map 2 Do Touch'!AH23&gt;4,INDEX($AG$4:$AH$6,MATCH(INDEX($I$3:$L$6,MATCH(MOD('Map 2 Do Touch'!AG23,4),$H$3:$H$6,0),MATCH(MOD('Map 2 Do Touch'!AH23,4),$I$2:$L$2,0)),$AF$4:$AF$6,0),MATCH(IF('Map 2 Do Touch'!AG23&gt;4,"Water","Land"),'Map 3'!$AG$3:$AH$3,0)),INDEX($AK$4:$AL$6,MATCH(INDEX($I$3:$L$6,MATCH(MOD('Map 2 Do Touch'!AG23,4),$H$3:$H$6,0),MATCH(MOD('Map 2 Do Touch'!AH23,4),$I$2:$L$2,0)),'Map 3'!$AJ$4:$AJ$6,0),MATCH(IF('Map 2 Do Touch'!AG23&gt;4,"Water","Land"),'Map 3'!$AK$3:$AL$3,0))),IF('Map 2 Do Touch'!AH23&gt;4,INDEX($AG$4:$AH$6,MATCH(INDEX($P$3:$S$6,MATCH(MOD('Map 2 Do Touch'!AH22,4),$O$3:$O$6,0),MATCH(MOD('Map 2 Do Touch'!AH23,4),$P$2:$S$2,0)),$AF$4:$AF$6,0),MATCH(IF('Map 2 Do Touch'!AH22&gt;4,"Water","Land"),'Map 3'!$AG$3:$AH$3,0)),INDEX($AK$4:$AL$6,MATCH(INDEX($P$3:$S$6,MATCH(MOD('Map 2 Do Touch'!AH22,4),$O$3:$O$6,0),MATCH(MOD('Map 2 Do Touch'!AH23,4),$P$2:$S$2,0)),'Map 3'!$AJ$4:$AJ$6,0),MATCH(IF('Map 2 Do Touch'!AH22&gt;4,"Water","Land"),'Map 3'!$AK$3:$AL$3,0))))</f>
        <v>Ocean</v>
      </c>
      <c r="AI27" s="3" t="str">
        <f ca="1">IF('Map 2 Do Touch'!AH22&lt;&gt;'Map 2 Do Touch'!AH23,IF('Map 2 Do Touch'!AI23&gt;4,INDEX($AG$4:$AH$6,MATCH(INDEX($I$3:$L$6,MATCH(MOD('Map 2 Do Touch'!AH23,4),$H$3:$H$6,0),MATCH(MOD('Map 2 Do Touch'!AI23,4),$I$2:$L$2,0)),$AF$4:$AF$6,0),MATCH(IF('Map 2 Do Touch'!AH23&gt;4,"Water","Land"),'Map 3'!$AG$3:$AH$3,0)),INDEX($AK$4:$AL$6,MATCH(INDEX($I$3:$L$6,MATCH(MOD('Map 2 Do Touch'!AH23,4),$H$3:$H$6,0),MATCH(MOD('Map 2 Do Touch'!AI23,4),$I$2:$L$2,0)),'Map 3'!$AJ$4:$AJ$6,0),MATCH(IF('Map 2 Do Touch'!AH23&gt;4,"Water","Land"),'Map 3'!$AK$3:$AL$3,0))),IF('Map 2 Do Touch'!AI23&gt;4,INDEX($AG$4:$AH$6,MATCH(INDEX($P$3:$S$6,MATCH(MOD('Map 2 Do Touch'!AI22,4),$O$3:$O$6,0),MATCH(MOD('Map 2 Do Touch'!AI23,4),$P$2:$S$2,0)),$AF$4:$AF$6,0),MATCH(IF('Map 2 Do Touch'!AI22&gt;4,"Water","Land"),'Map 3'!$AG$3:$AH$3,0)),INDEX($AK$4:$AL$6,MATCH(INDEX($P$3:$S$6,MATCH(MOD('Map 2 Do Touch'!AI22,4),$O$3:$O$6,0),MATCH(MOD('Map 2 Do Touch'!AI23,4),$P$2:$S$2,0)),'Map 3'!$AJ$4:$AJ$6,0),MATCH(IF('Map 2 Do Touch'!AI22&gt;4,"Water","Land"),'Map 3'!$AK$3:$AL$3,0))))</f>
        <v>Ocean</v>
      </c>
      <c r="AJ27" s="3" t="str">
        <f ca="1">IF('Map 2 Do Touch'!AI22&lt;&gt;'Map 2 Do Touch'!AI23,IF('Map 2 Do Touch'!AJ23&gt;4,INDEX($AG$4:$AH$6,MATCH(INDEX($I$3:$L$6,MATCH(MOD('Map 2 Do Touch'!AI23,4),$H$3:$H$6,0),MATCH(MOD('Map 2 Do Touch'!AJ23,4),$I$2:$L$2,0)),$AF$4:$AF$6,0),MATCH(IF('Map 2 Do Touch'!AI23&gt;4,"Water","Land"),'Map 3'!$AG$3:$AH$3,0)),INDEX($AK$4:$AL$6,MATCH(INDEX($I$3:$L$6,MATCH(MOD('Map 2 Do Touch'!AI23,4),$H$3:$H$6,0),MATCH(MOD('Map 2 Do Touch'!AJ23,4),$I$2:$L$2,0)),'Map 3'!$AJ$4:$AJ$6,0),MATCH(IF('Map 2 Do Touch'!AI23&gt;4,"Water","Land"),'Map 3'!$AK$3:$AL$3,0))),IF('Map 2 Do Touch'!AJ23&gt;4,INDEX($AG$4:$AH$6,MATCH(INDEX($P$3:$S$6,MATCH(MOD('Map 2 Do Touch'!AJ22,4),$O$3:$O$6,0),MATCH(MOD('Map 2 Do Touch'!AJ23,4),$P$2:$S$2,0)),$AF$4:$AF$6,0),MATCH(IF('Map 2 Do Touch'!AJ22&gt;4,"Water","Land"),'Map 3'!$AG$3:$AH$3,0)),INDEX($AK$4:$AL$6,MATCH(INDEX($P$3:$S$6,MATCH(MOD('Map 2 Do Touch'!AJ22,4),$O$3:$O$6,0),MATCH(MOD('Map 2 Do Touch'!AJ23,4),$P$2:$S$2,0)),'Map 3'!$AJ$4:$AJ$6,0),MATCH(IF('Map 2 Do Touch'!AJ22&gt;4,"Water","Land"),'Map 3'!$AK$3:$AL$3,0))))</f>
        <v>Trench</v>
      </c>
      <c r="AK27" s="3" t="str">
        <f ca="1">IF('Map 2 Do Touch'!AJ22&lt;&gt;'Map 2 Do Touch'!AJ23,IF('Map 2 Do Touch'!AK23&gt;4,INDEX($AG$4:$AH$6,MATCH(INDEX($I$3:$L$6,MATCH(MOD('Map 2 Do Touch'!AJ23,4),$H$3:$H$6,0),MATCH(MOD('Map 2 Do Touch'!AK23,4),$I$2:$L$2,0)),$AF$4:$AF$6,0),MATCH(IF('Map 2 Do Touch'!AJ23&gt;4,"Water","Land"),'Map 3'!$AG$3:$AH$3,0)),INDEX($AK$4:$AL$6,MATCH(INDEX($I$3:$L$6,MATCH(MOD('Map 2 Do Touch'!AJ23,4),$H$3:$H$6,0),MATCH(MOD('Map 2 Do Touch'!AK23,4),$I$2:$L$2,0)),'Map 3'!$AJ$4:$AJ$6,0),MATCH(IF('Map 2 Do Touch'!AJ23&gt;4,"Water","Land"),'Map 3'!$AK$3:$AL$3,0))),IF('Map 2 Do Touch'!AK23&gt;4,INDEX($AG$4:$AH$6,MATCH(INDEX($P$3:$S$6,MATCH(MOD('Map 2 Do Touch'!AK22,4),$O$3:$O$6,0),MATCH(MOD('Map 2 Do Touch'!AK23,4),$P$2:$S$2,0)),$AF$4:$AF$6,0),MATCH(IF('Map 2 Do Touch'!AK22&gt;4,"Water","Land"),'Map 3'!$AG$3:$AH$3,0)),INDEX($AK$4:$AL$6,MATCH(INDEX($P$3:$S$6,MATCH(MOD('Map 2 Do Touch'!AK22,4),$O$3:$O$6,0),MATCH(MOD('Map 2 Do Touch'!AK23,4),$P$2:$S$2,0)),'Map 3'!$AJ$4:$AJ$6,0),MATCH(IF('Map 2 Do Touch'!AK22&gt;4,"Water","Land"),'Map 3'!$AK$3:$AL$3,0))))</f>
        <v>Ocean</v>
      </c>
      <c r="AL27" s="3" t="str">
        <f ca="1">IF('Map 2 Do Touch'!AK22&lt;&gt;'Map 2 Do Touch'!AK23,IF('Map 2 Do Touch'!AL23&gt;4,INDEX($AG$4:$AH$6,MATCH(INDEX($I$3:$L$6,MATCH(MOD('Map 2 Do Touch'!AK23,4),$H$3:$H$6,0),MATCH(MOD('Map 2 Do Touch'!AL23,4),$I$2:$L$2,0)),$AF$4:$AF$6,0),MATCH(IF('Map 2 Do Touch'!AK23&gt;4,"Water","Land"),'Map 3'!$AG$3:$AH$3,0)),INDEX($AK$4:$AL$6,MATCH(INDEX($I$3:$L$6,MATCH(MOD('Map 2 Do Touch'!AK23,4),$H$3:$H$6,0),MATCH(MOD('Map 2 Do Touch'!AL23,4),$I$2:$L$2,0)),'Map 3'!$AJ$4:$AJ$6,0),MATCH(IF('Map 2 Do Touch'!AK23&gt;4,"Water","Land"),'Map 3'!$AK$3:$AL$3,0))),IF('Map 2 Do Touch'!AL23&gt;4,INDEX($AG$4:$AH$6,MATCH(INDEX($P$3:$S$6,MATCH(MOD('Map 2 Do Touch'!AL22,4),$O$3:$O$6,0),MATCH(MOD('Map 2 Do Touch'!AL23,4),$P$2:$S$2,0)),$AF$4:$AF$6,0),MATCH(IF('Map 2 Do Touch'!AL22&gt;4,"Water","Land"),'Map 3'!$AG$3:$AH$3,0)),INDEX($AK$4:$AL$6,MATCH(INDEX($P$3:$S$6,MATCH(MOD('Map 2 Do Touch'!AL22,4),$O$3:$O$6,0),MATCH(MOD('Map 2 Do Touch'!AL23,4),$P$2:$S$2,0)),'Map 3'!$AJ$4:$AJ$6,0),MATCH(IF('Map 2 Do Touch'!AL22&gt;4,"Water","Land"),'Map 3'!$AK$3:$AL$3,0))))</f>
        <v>Ocean</v>
      </c>
      <c r="AM27" s="3" t="str">
        <f ca="1">IF('Map 2 Do Touch'!AL22&lt;&gt;'Map 2 Do Touch'!AL23,IF('Map 2 Do Touch'!AM23&gt;4,INDEX($AG$4:$AH$6,MATCH(INDEX($I$3:$L$6,MATCH(MOD('Map 2 Do Touch'!AL23,4),$H$3:$H$6,0),MATCH(MOD('Map 2 Do Touch'!AM23,4),$I$2:$L$2,0)),$AF$4:$AF$6,0),MATCH(IF('Map 2 Do Touch'!AL23&gt;4,"Water","Land"),'Map 3'!$AG$3:$AH$3,0)),INDEX($AK$4:$AL$6,MATCH(INDEX($I$3:$L$6,MATCH(MOD('Map 2 Do Touch'!AL23,4),$H$3:$H$6,0),MATCH(MOD('Map 2 Do Touch'!AM23,4),$I$2:$L$2,0)),'Map 3'!$AJ$4:$AJ$6,0),MATCH(IF('Map 2 Do Touch'!AL23&gt;4,"Water","Land"),'Map 3'!$AK$3:$AL$3,0))),IF('Map 2 Do Touch'!AM23&gt;4,INDEX($AG$4:$AH$6,MATCH(INDEX($P$3:$S$6,MATCH(MOD('Map 2 Do Touch'!AM22,4),$O$3:$O$6,0),MATCH(MOD('Map 2 Do Touch'!AM23,4),$P$2:$S$2,0)),$AF$4:$AF$6,0),MATCH(IF('Map 2 Do Touch'!AM22&gt;4,"Water","Land"),'Map 3'!$AG$3:$AH$3,0)),INDEX($AK$4:$AL$6,MATCH(INDEX($P$3:$S$6,MATCH(MOD('Map 2 Do Touch'!AM22,4),$O$3:$O$6,0),MATCH(MOD('Map 2 Do Touch'!AM23,4),$P$2:$S$2,0)),'Map 3'!$AJ$4:$AJ$6,0),MATCH(IF('Map 2 Do Touch'!AM22&gt;4,"Water","Land"),'Map 3'!$AK$3:$AL$3,0))))</f>
        <v>Ocean</v>
      </c>
      <c r="AN27" s="3" t="str">
        <f ca="1">IF('Map 2 Do Touch'!AM22&lt;&gt;'Map 2 Do Touch'!AM23,IF('Map 2 Do Touch'!AN23&gt;4,INDEX($AG$4:$AH$6,MATCH(INDEX($I$3:$L$6,MATCH(MOD('Map 2 Do Touch'!AM23,4),$H$3:$H$6,0),MATCH(MOD('Map 2 Do Touch'!AN23,4),$I$2:$L$2,0)),$AF$4:$AF$6,0),MATCH(IF('Map 2 Do Touch'!AM23&gt;4,"Water","Land"),'Map 3'!$AG$3:$AH$3,0)),INDEX($AK$4:$AL$6,MATCH(INDEX($I$3:$L$6,MATCH(MOD('Map 2 Do Touch'!AM23,4),$H$3:$H$6,0),MATCH(MOD('Map 2 Do Touch'!AN23,4),$I$2:$L$2,0)),'Map 3'!$AJ$4:$AJ$6,0),MATCH(IF('Map 2 Do Touch'!AM23&gt;4,"Water","Land"),'Map 3'!$AK$3:$AL$3,0))),IF('Map 2 Do Touch'!AN23&gt;4,INDEX($AG$4:$AH$6,MATCH(INDEX($P$3:$S$6,MATCH(MOD('Map 2 Do Touch'!AN22,4),$O$3:$O$6,0),MATCH(MOD('Map 2 Do Touch'!AN23,4),$P$2:$S$2,0)),$AF$4:$AF$6,0),MATCH(IF('Map 2 Do Touch'!AN22&gt;4,"Water","Land"),'Map 3'!$AG$3:$AH$3,0)),INDEX($AK$4:$AL$6,MATCH(INDEX($P$3:$S$6,MATCH(MOD('Map 2 Do Touch'!AN22,4),$O$3:$O$6,0),MATCH(MOD('Map 2 Do Touch'!AN23,4),$P$2:$S$2,0)),'Map 3'!$AJ$4:$AJ$6,0),MATCH(IF('Map 2 Do Touch'!AN22&gt;4,"Water","Land"),'Map 3'!$AK$3:$AL$3,0))))</f>
        <v>Ocean</v>
      </c>
      <c r="AO27" s="87" t="str">
        <f ca="1">IF('Map 2 Do Touch'!AN22&lt;&gt;'Map 2 Do Touch'!AN23,IF('Map 2 Do Touch'!AO23&gt;4,INDEX($AG$4:$AH$6,MATCH(INDEX($I$3:$L$6,MATCH(MOD('Map 2 Do Touch'!AN23,4),$H$3:$H$6,0),MATCH(MOD('Map 2 Do Touch'!AO23,4),$I$2:$L$2,0)),$AF$4:$AF$6,0),MATCH(IF('Map 2 Do Touch'!AN23&gt;4,"Water","Land"),'Map 3'!$AG$3:$AH$3,0)),INDEX($AK$4:$AL$6,MATCH(INDEX($I$3:$L$6,MATCH(MOD('Map 2 Do Touch'!AN23,4),$H$3:$H$6,0),MATCH(MOD('Map 2 Do Touch'!AO23,4),$I$2:$L$2,0)),'Map 3'!$AJ$4:$AJ$6,0),MATCH(IF('Map 2 Do Touch'!AN23&gt;4,"Water","Land"),'Map 3'!$AK$3:$AL$3,0))),IF('Map 2 Do Touch'!AO23&gt;4,INDEX($AG$4:$AH$6,MATCH(INDEX($P$3:$S$6,MATCH(MOD('Map 2 Do Touch'!AO22,4),$O$3:$O$6,0),MATCH(MOD('Map 2 Do Touch'!AO23,4),$P$2:$S$2,0)),$AF$4:$AF$6,0),MATCH(IF('Map 2 Do Touch'!AO22&gt;4,"Water","Land"),'Map 3'!$AG$3:$AH$3,0)),INDEX($AK$4:$AL$6,MATCH(INDEX($P$3:$S$6,MATCH(MOD('Map 2 Do Touch'!AO22,4),$O$3:$O$6,0),MATCH(MOD('Map 2 Do Touch'!AO23,4),$P$2:$S$2,0)),'Map 3'!$AJ$4:$AJ$6,0),MATCH(IF('Map 2 Do Touch'!AO22&gt;4,"Water","Land"),'Map 3'!$AK$3:$AL$3,0))))</f>
        <v>Drop Off</v>
      </c>
      <c r="AP27" s="3"/>
    </row>
    <row r="28" spans="1:42" ht="37.5" customHeight="1">
      <c r="A28" s="3">
        <v>17</v>
      </c>
      <c r="B28" s="86" t="str">
        <f ca="1">IF('Map 2 Do Touch'!B23&lt;&gt;'Map 2 Do Touch'!B24,IF('Map 2 Do Touch'!B24&gt;4,INDEX($AG$4:$AH$6,MATCH(INDEX($I$3:$L$6,MATCH(MOD('Map 2 Do Touch'!AO24,4),$H$3:$H$6,0),MATCH(MOD('Map 2 Do Touch'!B24,4),$I$2:$L$2,0)),$AF$4:$AF$6,0),MATCH(IF('Map 2 Do Touch'!AO24&gt;4,"Water","Land"),'Map 3'!$AG$3:$AH$3,0)),INDEX($AK$4:$AL$6,MATCH(INDEX($I$3:$L$6,MATCH(MOD('Map 2 Do Touch'!A24,4),$H$3:$H$6,0),MATCH(MOD('Map 2 Do Touch'!B24,4),$I$2:$L$2,0)),'Map 3'!$AJ$4:$AJ$6,0),MATCH(IF('Map 2 Do Touch'!AO24&gt;4,"Water","Land"),'Map 3'!$AK$3:$AL$3,0))),IF('Map 2 Do Touch'!B24&gt;4,INDEX($AG$4:$AH$6,MATCH(INDEX($P$3:$S$6,MATCH(MOD('Map 2 Do Touch'!B23,4),$O$3:$O$6,0),MATCH(MOD('Map 2 Do Touch'!B24,4),$P$2:$S$2,0)),$AF$4:$AF$6,0),MATCH(IF('Map 2 Do Touch'!B23&gt;4,"Water","Land"),'Map 3'!$AG$3:$AH$3,0)),INDEX($AK$4:$AL$6,MATCH(INDEX($P$3:$S$6,MATCH(MOD('Map 2 Do Touch'!B23,4),$O$3:$O$6,0),MATCH(MOD('Map 2 Do Touch'!B24,4),$P$2:$S$2,0)),'Map 3'!$AJ$4:$AJ$6,0),MATCH(IF('Map 2 Do Touch'!B23&gt;4,"Water","Land"),'Map 3'!$AK$3:$AL$3,0))))</f>
        <v>Ocean</v>
      </c>
      <c r="C28" s="3" t="str">
        <f ca="1">IF('Map 2 Do Touch'!B23&lt;&gt;'Map 2 Do Touch'!B24,IF('Map 2 Do Touch'!C24&gt;4,INDEX($AG$4:$AH$6,MATCH(INDEX($I$3:$L$6,MATCH(MOD('Map 2 Do Touch'!B24,4),$H$3:$H$6,0),MATCH(MOD('Map 2 Do Touch'!C24,4),$I$2:$L$2,0)),$AF$4:$AF$6,0),MATCH(IF('Map 2 Do Touch'!B24&gt;4,"Water","Land"),'Map 3'!$AG$3:$AH$3,0)),INDEX($AK$4:$AL$6,MATCH(INDEX($I$3:$L$6,MATCH(MOD('Map 2 Do Touch'!B24,4),$H$3:$H$6,0),MATCH(MOD('Map 2 Do Touch'!C24,4),$I$2:$L$2,0)),'Map 3'!$AJ$4:$AJ$6,0),MATCH(IF('Map 2 Do Touch'!B24&gt;4,"Water","Land"),'Map 3'!$AK$3:$AL$3,0))),IF('Map 2 Do Touch'!C24&gt;4,INDEX($AG$4:$AH$6,MATCH(INDEX($P$3:$S$6,MATCH(MOD('Map 2 Do Touch'!C23,4),$O$3:$O$6,0),MATCH(MOD('Map 2 Do Touch'!C24,4),$P$2:$S$2,0)),$AF$4:$AF$6,0),MATCH(IF('Map 2 Do Touch'!C23&gt;4,"Water","Land"),'Map 3'!$AG$3:$AH$3,0)),INDEX($AK$4:$AL$6,MATCH(INDEX($P$3:$S$6,MATCH(MOD('Map 2 Do Touch'!C23,4),$O$3:$O$6,0),MATCH(MOD('Map 2 Do Touch'!C24,4),$P$2:$S$2,0)),'Map 3'!$AJ$4:$AJ$6,0),MATCH(IF('Map 2 Do Touch'!C23&gt;4,"Water","Land"),'Map 3'!$AK$3:$AL$3,0))))</f>
        <v>Ocean</v>
      </c>
      <c r="D28" s="3" t="str">
        <f ca="1">IF('Map 2 Do Touch'!C23&lt;&gt;'Map 2 Do Touch'!C24,IF('Map 2 Do Touch'!D24&gt;4,INDEX($AG$4:$AH$6,MATCH(INDEX($I$3:$L$6,MATCH(MOD('Map 2 Do Touch'!C24,4),$H$3:$H$6,0),MATCH(MOD('Map 2 Do Touch'!D24,4),$I$2:$L$2,0)),$AF$4:$AF$6,0),MATCH(IF('Map 2 Do Touch'!C24&gt;4,"Water","Land"),'Map 3'!$AG$3:$AH$3,0)),INDEX($AK$4:$AL$6,MATCH(INDEX($I$3:$L$6,MATCH(MOD('Map 2 Do Touch'!C24,4),$H$3:$H$6,0),MATCH(MOD('Map 2 Do Touch'!D24,4),$I$2:$L$2,0)),'Map 3'!$AJ$4:$AJ$6,0),MATCH(IF('Map 2 Do Touch'!C24&gt;4,"Water","Land"),'Map 3'!$AK$3:$AL$3,0))),IF('Map 2 Do Touch'!D24&gt;4,INDEX($AG$4:$AH$6,MATCH(INDEX($P$3:$S$6,MATCH(MOD('Map 2 Do Touch'!D23,4),$O$3:$O$6,0),MATCH(MOD('Map 2 Do Touch'!D24,4),$P$2:$S$2,0)),$AF$4:$AF$6,0),MATCH(IF('Map 2 Do Touch'!D23&gt;4,"Water","Land"),'Map 3'!$AG$3:$AH$3,0)),INDEX($AK$4:$AL$6,MATCH(INDEX($P$3:$S$6,MATCH(MOD('Map 2 Do Touch'!D23,4),$O$3:$O$6,0),MATCH(MOD('Map 2 Do Touch'!D24,4),$P$2:$S$2,0)),'Map 3'!$AJ$4:$AJ$6,0),MATCH(IF('Map 2 Do Touch'!D23&gt;4,"Water","Land"),'Map 3'!$AK$3:$AL$3,0))))</f>
        <v>Coast</v>
      </c>
      <c r="E28" s="3" t="str">
        <f ca="1">IF('Map 2 Do Touch'!D23&lt;&gt;'Map 2 Do Touch'!D24,IF('Map 2 Do Touch'!E24&gt;4,INDEX($AG$4:$AH$6,MATCH(INDEX($I$3:$L$6,MATCH(MOD('Map 2 Do Touch'!D24,4),$H$3:$H$6,0),MATCH(MOD('Map 2 Do Touch'!E24,4),$I$2:$L$2,0)),$AF$4:$AF$6,0),MATCH(IF('Map 2 Do Touch'!D24&gt;4,"Water","Land"),'Map 3'!$AG$3:$AH$3,0)),INDEX($AK$4:$AL$6,MATCH(INDEX($I$3:$L$6,MATCH(MOD('Map 2 Do Touch'!D24,4),$H$3:$H$6,0),MATCH(MOD('Map 2 Do Touch'!E24,4),$I$2:$L$2,0)),'Map 3'!$AJ$4:$AJ$6,0),MATCH(IF('Map 2 Do Touch'!D24&gt;4,"Water","Land"),'Map 3'!$AK$3:$AL$3,0))),IF('Map 2 Do Touch'!E24&gt;4,INDEX($AG$4:$AH$6,MATCH(INDEX($P$3:$S$6,MATCH(MOD('Map 2 Do Touch'!E23,4),$O$3:$O$6,0),MATCH(MOD('Map 2 Do Touch'!E24,4),$P$2:$S$2,0)),$AF$4:$AF$6,0),MATCH(IF('Map 2 Do Touch'!E23&gt;4,"Water","Land"),'Map 3'!$AG$3:$AH$3,0)),INDEX($AK$4:$AL$6,MATCH(INDEX($P$3:$S$6,MATCH(MOD('Map 2 Do Touch'!E23,4),$O$3:$O$6,0),MATCH(MOD('Map 2 Do Touch'!E24,4),$P$2:$S$2,0)),'Map 3'!$AJ$4:$AJ$6,0),MATCH(IF('Map 2 Do Touch'!E23&gt;4,"Water","Land"),'Map 3'!$AK$3:$AL$3,0))))</f>
        <v>Coast</v>
      </c>
      <c r="F28" s="3" t="str">
        <f ca="1">IF('Map 2 Do Touch'!E23&lt;&gt;'Map 2 Do Touch'!E24,IF('Map 2 Do Touch'!F24&gt;4,INDEX($AG$4:$AH$6,MATCH(INDEX($I$3:$L$6,MATCH(MOD('Map 2 Do Touch'!E24,4),$H$3:$H$6,0),MATCH(MOD('Map 2 Do Touch'!F24,4),$I$2:$L$2,0)),$AF$4:$AF$6,0),MATCH(IF('Map 2 Do Touch'!E24&gt;4,"Water","Land"),'Map 3'!$AG$3:$AH$3,0)),INDEX($AK$4:$AL$6,MATCH(INDEX($I$3:$L$6,MATCH(MOD('Map 2 Do Touch'!E24,4),$H$3:$H$6,0),MATCH(MOD('Map 2 Do Touch'!F24,4),$I$2:$L$2,0)),'Map 3'!$AJ$4:$AJ$6,0),MATCH(IF('Map 2 Do Touch'!E24&gt;4,"Water","Land"),'Map 3'!$AK$3:$AL$3,0))),IF('Map 2 Do Touch'!F24&gt;4,INDEX($AG$4:$AH$6,MATCH(INDEX($P$3:$S$6,MATCH(MOD('Map 2 Do Touch'!F23,4),$O$3:$O$6,0),MATCH(MOD('Map 2 Do Touch'!F24,4),$P$2:$S$2,0)),$AF$4:$AF$6,0),MATCH(IF('Map 2 Do Touch'!F23&gt;4,"Water","Land"),'Map 3'!$AG$3:$AH$3,0)),INDEX($AK$4:$AL$6,MATCH(INDEX($P$3:$S$6,MATCH(MOD('Map 2 Do Touch'!F23,4),$O$3:$O$6,0),MATCH(MOD('Map 2 Do Touch'!F24,4),$P$2:$S$2,0)),'Map 3'!$AJ$4:$AJ$6,0),MATCH(IF('Map 2 Do Touch'!F23&gt;4,"Water","Land"),'Map 3'!$AK$3:$AL$3,0))))</f>
        <v>Ocean</v>
      </c>
      <c r="G28" s="3" t="str">
        <f ca="1">IF('Map 2 Do Touch'!F23&lt;&gt;'Map 2 Do Touch'!F24,IF('Map 2 Do Touch'!G24&gt;4,INDEX($AG$4:$AH$6,MATCH(INDEX($I$3:$L$6,MATCH(MOD('Map 2 Do Touch'!F24,4),$H$3:$H$6,0),MATCH(MOD('Map 2 Do Touch'!G24,4),$I$2:$L$2,0)),$AF$4:$AF$6,0),MATCH(IF('Map 2 Do Touch'!F24&gt;4,"Water","Land"),'Map 3'!$AG$3:$AH$3,0)),INDEX($AK$4:$AL$6,MATCH(INDEX($I$3:$L$6,MATCH(MOD('Map 2 Do Touch'!F24,4),$H$3:$H$6,0),MATCH(MOD('Map 2 Do Touch'!G24,4),$I$2:$L$2,0)),'Map 3'!$AJ$4:$AJ$6,0),MATCH(IF('Map 2 Do Touch'!F24&gt;4,"Water","Land"),'Map 3'!$AK$3:$AL$3,0))),IF('Map 2 Do Touch'!G24&gt;4,INDEX($AG$4:$AH$6,MATCH(INDEX($P$3:$S$6,MATCH(MOD('Map 2 Do Touch'!G23,4),$O$3:$O$6,0),MATCH(MOD('Map 2 Do Touch'!G24,4),$P$2:$S$2,0)),$AF$4:$AF$6,0),MATCH(IF('Map 2 Do Touch'!G23&gt;4,"Water","Land"),'Map 3'!$AG$3:$AH$3,0)),INDEX($AK$4:$AL$6,MATCH(INDEX($P$3:$S$6,MATCH(MOD('Map 2 Do Touch'!G23,4),$O$3:$O$6,0),MATCH(MOD('Map 2 Do Touch'!G24,4),$P$2:$S$2,0)),'Map 3'!$AJ$4:$AJ$6,0),MATCH(IF('Map 2 Do Touch'!G23&gt;4,"Water","Land"),'Map 3'!$AK$3:$AL$3,0))))</f>
        <v>Mountain</v>
      </c>
      <c r="H28" s="3" t="str">
        <f ca="1">IF('Map 2 Do Touch'!G23&lt;&gt;'Map 2 Do Touch'!G24,IF('Map 2 Do Touch'!H24&gt;4,INDEX($AG$4:$AH$6,MATCH(INDEX($I$3:$L$6,MATCH(MOD('Map 2 Do Touch'!G24,4),$H$3:$H$6,0),MATCH(MOD('Map 2 Do Touch'!H24,4),$I$2:$L$2,0)),$AF$4:$AF$6,0),MATCH(IF('Map 2 Do Touch'!G24&gt;4,"Water","Land"),'Map 3'!$AG$3:$AH$3,0)),INDEX($AK$4:$AL$6,MATCH(INDEX($I$3:$L$6,MATCH(MOD('Map 2 Do Touch'!G24,4),$H$3:$H$6,0),MATCH(MOD('Map 2 Do Touch'!H24,4),$I$2:$L$2,0)),'Map 3'!$AJ$4:$AJ$6,0),MATCH(IF('Map 2 Do Touch'!G24&gt;4,"Water","Land"),'Map 3'!$AK$3:$AL$3,0))),IF('Map 2 Do Touch'!H24&gt;4,INDEX($AG$4:$AH$6,MATCH(INDEX($P$3:$S$6,MATCH(MOD('Map 2 Do Touch'!H23,4),$O$3:$O$6,0),MATCH(MOD('Map 2 Do Touch'!H24,4),$P$2:$S$2,0)),$AF$4:$AF$6,0),MATCH(IF('Map 2 Do Touch'!H23&gt;4,"Water","Land"),'Map 3'!$AG$3:$AH$3,0)),INDEX($AK$4:$AL$6,MATCH(INDEX($P$3:$S$6,MATCH(MOD('Map 2 Do Touch'!H23,4),$O$3:$O$6,0),MATCH(MOD('Map 2 Do Touch'!H24,4),$P$2:$S$2,0)),'Map 3'!$AJ$4:$AJ$6,0),MATCH(IF('Map 2 Do Touch'!H23&gt;4,"Water","Land"),'Map 3'!$AK$3:$AL$3,0))))</f>
        <v>Flatland</v>
      </c>
      <c r="I28" s="3" t="str">
        <f ca="1">IF('Map 2 Do Touch'!H23&lt;&gt;'Map 2 Do Touch'!H24,IF('Map 2 Do Touch'!I24&gt;4,INDEX($AG$4:$AH$6,MATCH(INDEX($I$3:$L$6,MATCH(MOD('Map 2 Do Touch'!H24,4),$H$3:$H$6,0),MATCH(MOD('Map 2 Do Touch'!I24,4),$I$2:$L$2,0)),$AF$4:$AF$6,0),MATCH(IF('Map 2 Do Touch'!H24&gt;4,"Water","Land"),'Map 3'!$AG$3:$AH$3,0)),INDEX($AK$4:$AL$6,MATCH(INDEX($I$3:$L$6,MATCH(MOD('Map 2 Do Touch'!H24,4),$H$3:$H$6,0),MATCH(MOD('Map 2 Do Touch'!I24,4),$I$2:$L$2,0)),'Map 3'!$AJ$4:$AJ$6,0),MATCH(IF('Map 2 Do Touch'!H24&gt;4,"Water","Land"),'Map 3'!$AK$3:$AL$3,0))),IF('Map 2 Do Touch'!I24&gt;4,INDEX($AG$4:$AH$6,MATCH(INDEX($P$3:$S$6,MATCH(MOD('Map 2 Do Touch'!I23,4),$O$3:$O$6,0),MATCH(MOD('Map 2 Do Touch'!I24,4),$P$2:$S$2,0)),$AF$4:$AF$6,0),MATCH(IF('Map 2 Do Touch'!I23&gt;4,"Water","Land"),'Map 3'!$AG$3:$AH$3,0)),INDEX($AK$4:$AL$6,MATCH(INDEX($P$3:$S$6,MATCH(MOD('Map 2 Do Touch'!I23,4),$O$3:$O$6,0),MATCH(MOD('Map 2 Do Touch'!I24,4),$P$2:$S$2,0)),'Map 3'!$AJ$4:$AJ$6,0),MATCH(IF('Map 2 Do Touch'!I23&gt;4,"Water","Land"),'Map 3'!$AK$3:$AL$3,0))))</f>
        <v>Island</v>
      </c>
      <c r="J28" s="3" t="str">
        <f ca="1">IF('Map 2 Do Touch'!I23&lt;&gt;'Map 2 Do Touch'!I24,IF('Map 2 Do Touch'!J24&gt;4,INDEX($AG$4:$AH$6,MATCH(INDEX($I$3:$L$6,MATCH(MOD('Map 2 Do Touch'!I24,4),$H$3:$H$6,0),MATCH(MOD('Map 2 Do Touch'!J24,4),$I$2:$L$2,0)),$AF$4:$AF$6,0),MATCH(IF('Map 2 Do Touch'!I24&gt;4,"Water","Land"),'Map 3'!$AG$3:$AH$3,0)),INDEX($AK$4:$AL$6,MATCH(INDEX($I$3:$L$6,MATCH(MOD('Map 2 Do Touch'!I24,4),$H$3:$H$6,0),MATCH(MOD('Map 2 Do Touch'!J24,4),$I$2:$L$2,0)),'Map 3'!$AJ$4:$AJ$6,0),MATCH(IF('Map 2 Do Touch'!I24&gt;4,"Water","Land"),'Map 3'!$AK$3:$AL$3,0))),IF('Map 2 Do Touch'!J24&gt;4,INDEX($AG$4:$AH$6,MATCH(INDEX($P$3:$S$6,MATCH(MOD('Map 2 Do Touch'!J23,4),$O$3:$O$6,0),MATCH(MOD('Map 2 Do Touch'!J24,4),$P$2:$S$2,0)),$AF$4:$AF$6,0),MATCH(IF('Map 2 Do Touch'!J23&gt;4,"Water","Land"),'Map 3'!$AG$3:$AH$3,0)),INDEX($AK$4:$AL$6,MATCH(INDEX($P$3:$S$6,MATCH(MOD('Map 2 Do Touch'!J23,4),$O$3:$O$6,0),MATCH(MOD('Map 2 Do Touch'!J24,4),$P$2:$S$2,0)),'Map 3'!$AJ$4:$AJ$6,0),MATCH(IF('Map 2 Do Touch'!J23&gt;4,"Water","Land"),'Map 3'!$AK$3:$AL$3,0))))</f>
        <v>Ocean</v>
      </c>
      <c r="K28" s="3" t="str">
        <f ca="1">IF('Map 2 Do Touch'!J23&lt;&gt;'Map 2 Do Touch'!J24,IF('Map 2 Do Touch'!K24&gt;4,INDEX($AG$4:$AH$6,MATCH(INDEX($I$3:$L$6,MATCH(MOD('Map 2 Do Touch'!J24,4),$H$3:$H$6,0),MATCH(MOD('Map 2 Do Touch'!K24,4),$I$2:$L$2,0)),$AF$4:$AF$6,0),MATCH(IF('Map 2 Do Touch'!J24&gt;4,"Water","Land"),'Map 3'!$AG$3:$AH$3,0)),INDEX($AK$4:$AL$6,MATCH(INDEX($I$3:$L$6,MATCH(MOD('Map 2 Do Touch'!J24,4),$H$3:$H$6,0),MATCH(MOD('Map 2 Do Touch'!K24,4),$I$2:$L$2,0)),'Map 3'!$AJ$4:$AJ$6,0),MATCH(IF('Map 2 Do Touch'!J24&gt;4,"Water","Land"),'Map 3'!$AK$3:$AL$3,0))),IF('Map 2 Do Touch'!K24&gt;4,INDEX($AG$4:$AH$6,MATCH(INDEX($P$3:$S$6,MATCH(MOD('Map 2 Do Touch'!K23,4),$O$3:$O$6,0),MATCH(MOD('Map 2 Do Touch'!K24,4),$P$2:$S$2,0)),$AF$4:$AF$6,0),MATCH(IF('Map 2 Do Touch'!K23&gt;4,"Water","Land"),'Map 3'!$AG$3:$AH$3,0)),INDEX($AK$4:$AL$6,MATCH(INDEX($P$3:$S$6,MATCH(MOD('Map 2 Do Touch'!K23,4),$O$3:$O$6,0),MATCH(MOD('Map 2 Do Touch'!K24,4),$P$2:$S$2,0)),'Map 3'!$AJ$4:$AJ$6,0),MATCH(IF('Map 2 Do Touch'!K23&gt;4,"Water","Land"),'Map 3'!$AK$3:$AL$3,0))))</f>
        <v>Island</v>
      </c>
      <c r="L28" s="3" t="str">
        <f ca="1">IF('Map 2 Do Touch'!K23&lt;&gt;'Map 2 Do Touch'!K24,IF('Map 2 Do Touch'!L24&gt;4,INDEX($AG$4:$AH$6,MATCH(INDEX($I$3:$L$6,MATCH(MOD('Map 2 Do Touch'!K24,4),$H$3:$H$6,0),MATCH(MOD('Map 2 Do Touch'!L24,4),$I$2:$L$2,0)),$AF$4:$AF$6,0),MATCH(IF('Map 2 Do Touch'!K24&gt;4,"Water","Land"),'Map 3'!$AG$3:$AH$3,0)),INDEX($AK$4:$AL$6,MATCH(INDEX($I$3:$L$6,MATCH(MOD('Map 2 Do Touch'!K24,4),$H$3:$H$6,0),MATCH(MOD('Map 2 Do Touch'!L24,4),$I$2:$L$2,0)),'Map 3'!$AJ$4:$AJ$6,0),MATCH(IF('Map 2 Do Touch'!K24&gt;4,"Water","Land"),'Map 3'!$AK$3:$AL$3,0))),IF('Map 2 Do Touch'!L24&gt;4,INDEX($AG$4:$AH$6,MATCH(INDEX($P$3:$S$6,MATCH(MOD('Map 2 Do Touch'!L23,4),$O$3:$O$6,0),MATCH(MOD('Map 2 Do Touch'!L24,4),$P$2:$S$2,0)),$AF$4:$AF$6,0),MATCH(IF('Map 2 Do Touch'!L23&gt;4,"Water","Land"),'Map 3'!$AG$3:$AH$3,0)),INDEX($AK$4:$AL$6,MATCH(INDEX($P$3:$S$6,MATCH(MOD('Map 2 Do Touch'!L23,4),$O$3:$O$6,0),MATCH(MOD('Map 2 Do Touch'!L24,4),$P$2:$S$2,0)),'Map 3'!$AJ$4:$AJ$6,0),MATCH(IF('Map 2 Do Touch'!L23&gt;4,"Water","Land"),'Map 3'!$AK$3:$AL$3,0))))</f>
        <v>Island</v>
      </c>
      <c r="M28" s="3" t="str">
        <f ca="1">IF('Map 2 Do Touch'!L23&lt;&gt;'Map 2 Do Touch'!L24,IF('Map 2 Do Touch'!M24&gt;4,INDEX($AG$4:$AH$6,MATCH(INDEX($I$3:$L$6,MATCH(MOD('Map 2 Do Touch'!L24,4),$H$3:$H$6,0),MATCH(MOD('Map 2 Do Touch'!M24,4),$I$2:$L$2,0)),$AF$4:$AF$6,0),MATCH(IF('Map 2 Do Touch'!L24&gt;4,"Water","Land"),'Map 3'!$AG$3:$AH$3,0)),INDEX($AK$4:$AL$6,MATCH(INDEX($I$3:$L$6,MATCH(MOD('Map 2 Do Touch'!L24,4),$H$3:$H$6,0),MATCH(MOD('Map 2 Do Touch'!M24,4),$I$2:$L$2,0)),'Map 3'!$AJ$4:$AJ$6,0),MATCH(IF('Map 2 Do Touch'!L24&gt;4,"Water","Land"),'Map 3'!$AK$3:$AL$3,0))),IF('Map 2 Do Touch'!M24&gt;4,INDEX($AG$4:$AH$6,MATCH(INDEX($P$3:$S$6,MATCH(MOD('Map 2 Do Touch'!M23,4),$O$3:$O$6,0),MATCH(MOD('Map 2 Do Touch'!M24,4),$P$2:$S$2,0)),$AF$4:$AF$6,0),MATCH(IF('Map 2 Do Touch'!M23&gt;4,"Water","Land"),'Map 3'!$AG$3:$AH$3,0)),INDEX($AK$4:$AL$6,MATCH(INDEX($P$3:$S$6,MATCH(MOD('Map 2 Do Touch'!M23,4),$O$3:$O$6,0),MATCH(MOD('Map 2 Do Touch'!M24,4),$P$2:$S$2,0)),'Map 3'!$AJ$4:$AJ$6,0),MATCH(IF('Map 2 Do Touch'!M23&gt;4,"Water","Land"),'Map 3'!$AK$3:$AL$3,0))))</f>
        <v>Ocean</v>
      </c>
      <c r="N28" s="3" t="str">
        <f ca="1">IF('Map 2 Do Touch'!M23&lt;&gt;'Map 2 Do Touch'!M24,IF('Map 2 Do Touch'!N24&gt;4,INDEX($AG$4:$AH$6,MATCH(INDEX($I$3:$L$6,MATCH(MOD('Map 2 Do Touch'!M24,4),$H$3:$H$6,0),MATCH(MOD('Map 2 Do Touch'!N24,4),$I$2:$L$2,0)),$AF$4:$AF$6,0),MATCH(IF('Map 2 Do Touch'!M24&gt;4,"Water","Land"),'Map 3'!$AG$3:$AH$3,0)),INDEX($AK$4:$AL$6,MATCH(INDEX($I$3:$L$6,MATCH(MOD('Map 2 Do Touch'!M24,4),$H$3:$H$6,0),MATCH(MOD('Map 2 Do Touch'!N24,4),$I$2:$L$2,0)),'Map 3'!$AJ$4:$AJ$6,0),MATCH(IF('Map 2 Do Touch'!M24&gt;4,"Water","Land"),'Map 3'!$AK$3:$AL$3,0))),IF('Map 2 Do Touch'!N24&gt;4,INDEX($AG$4:$AH$6,MATCH(INDEX($P$3:$S$6,MATCH(MOD('Map 2 Do Touch'!N23,4),$O$3:$O$6,0),MATCH(MOD('Map 2 Do Touch'!N24,4),$P$2:$S$2,0)),$AF$4:$AF$6,0),MATCH(IF('Map 2 Do Touch'!N23&gt;4,"Water","Land"),'Map 3'!$AG$3:$AH$3,0)),INDEX($AK$4:$AL$6,MATCH(INDEX($P$3:$S$6,MATCH(MOD('Map 2 Do Touch'!N23,4),$O$3:$O$6,0),MATCH(MOD('Map 2 Do Touch'!N24,4),$P$2:$S$2,0)),'Map 3'!$AJ$4:$AJ$6,0),MATCH(IF('Map 2 Do Touch'!N23&gt;4,"Water","Land"),'Map 3'!$AK$3:$AL$3,0))))</f>
        <v>Ocean</v>
      </c>
      <c r="O28" s="3" t="str">
        <f ca="1">IF('Map 2 Do Touch'!N23&lt;&gt;'Map 2 Do Touch'!N24,IF('Map 2 Do Touch'!O24&gt;4,INDEX($AG$4:$AH$6,MATCH(INDEX($I$3:$L$6,MATCH(MOD('Map 2 Do Touch'!N24,4),$H$3:$H$6,0),MATCH(MOD('Map 2 Do Touch'!O24,4),$I$2:$L$2,0)),$AF$4:$AF$6,0),MATCH(IF('Map 2 Do Touch'!N24&gt;4,"Water","Land"),'Map 3'!$AG$3:$AH$3,0)),INDEX($AK$4:$AL$6,MATCH(INDEX($I$3:$L$6,MATCH(MOD('Map 2 Do Touch'!N24,4),$H$3:$H$6,0),MATCH(MOD('Map 2 Do Touch'!O24,4),$I$2:$L$2,0)),'Map 3'!$AJ$4:$AJ$6,0),MATCH(IF('Map 2 Do Touch'!N24&gt;4,"Water","Land"),'Map 3'!$AK$3:$AL$3,0))),IF('Map 2 Do Touch'!O24&gt;4,INDEX($AG$4:$AH$6,MATCH(INDEX($P$3:$S$6,MATCH(MOD('Map 2 Do Touch'!O23,4),$O$3:$O$6,0),MATCH(MOD('Map 2 Do Touch'!O24,4),$P$2:$S$2,0)),$AF$4:$AF$6,0),MATCH(IF('Map 2 Do Touch'!O23&gt;4,"Water","Land"),'Map 3'!$AG$3:$AH$3,0)),INDEX($AK$4:$AL$6,MATCH(INDEX($P$3:$S$6,MATCH(MOD('Map 2 Do Touch'!O23,4),$O$3:$O$6,0),MATCH(MOD('Map 2 Do Touch'!O24,4),$P$2:$S$2,0)),'Map 3'!$AJ$4:$AJ$6,0),MATCH(IF('Map 2 Do Touch'!O23&gt;4,"Water","Land"),'Map 3'!$AK$3:$AL$3,0))))</f>
        <v>Ocean</v>
      </c>
      <c r="P28" s="3" t="str">
        <f ca="1">IF('Map 2 Do Touch'!O23&lt;&gt;'Map 2 Do Touch'!O24,IF('Map 2 Do Touch'!P24&gt;4,INDEX($AG$4:$AH$6,MATCH(INDEX($I$3:$L$6,MATCH(MOD('Map 2 Do Touch'!O24,4),$H$3:$H$6,0),MATCH(MOD('Map 2 Do Touch'!P24,4),$I$2:$L$2,0)),$AF$4:$AF$6,0),MATCH(IF('Map 2 Do Touch'!O24&gt;4,"Water","Land"),'Map 3'!$AG$3:$AH$3,0)),INDEX($AK$4:$AL$6,MATCH(INDEX($I$3:$L$6,MATCH(MOD('Map 2 Do Touch'!O24,4),$H$3:$H$6,0),MATCH(MOD('Map 2 Do Touch'!P24,4),$I$2:$L$2,0)),'Map 3'!$AJ$4:$AJ$6,0),MATCH(IF('Map 2 Do Touch'!O24&gt;4,"Water","Land"),'Map 3'!$AK$3:$AL$3,0))),IF('Map 2 Do Touch'!P24&gt;4,INDEX($AG$4:$AH$6,MATCH(INDEX($P$3:$S$6,MATCH(MOD('Map 2 Do Touch'!P23,4),$O$3:$O$6,0),MATCH(MOD('Map 2 Do Touch'!P24,4),$P$2:$S$2,0)),$AF$4:$AF$6,0),MATCH(IF('Map 2 Do Touch'!P23&gt;4,"Water","Land"),'Map 3'!$AG$3:$AH$3,0)),INDEX($AK$4:$AL$6,MATCH(INDEX($P$3:$S$6,MATCH(MOD('Map 2 Do Touch'!P23,4),$O$3:$O$6,0),MATCH(MOD('Map 2 Do Touch'!P24,4),$P$2:$S$2,0)),'Map 3'!$AJ$4:$AJ$6,0),MATCH(IF('Map 2 Do Touch'!P23&gt;4,"Water","Land"),'Map 3'!$AK$3:$AL$3,0))))</f>
        <v>Trench</v>
      </c>
      <c r="Q28" s="3" t="str">
        <f ca="1">IF('Map 2 Do Touch'!P23&lt;&gt;'Map 2 Do Touch'!P24,IF('Map 2 Do Touch'!Q24&gt;4,INDEX($AG$4:$AH$6,MATCH(INDEX($I$3:$L$6,MATCH(MOD('Map 2 Do Touch'!P24,4),$H$3:$H$6,0),MATCH(MOD('Map 2 Do Touch'!Q24,4),$I$2:$L$2,0)),$AF$4:$AF$6,0),MATCH(IF('Map 2 Do Touch'!P24&gt;4,"Water","Land"),'Map 3'!$AG$3:$AH$3,0)),INDEX($AK$4:$AL$6,MATCH(INDEX($I$3:$L$6,MATCH(MOD('Map 2 Do Touch'!P24,4),$H$3:$H$6,0),MATCH(MOD('Map 2 Do Touch'!Q24,4),$I$2:$L$2,0)),'Map 3'!$AJ$4:$AJ$6,0),MATCH(IF('Map 2 Do Touch'!P24&gt;4,"Water","Land"),'Map 3'!$AK$3:$AL$3,0))),IF('Map 2 Do Touch'!Q24&gt;4,INDEX($AG$4:$AH$6,MATCH(INDEX($P$3:$S$6,MATCH(MOD('Map 2 Do Touch'!Q23,4),$O$3:$O$6,0),MATCH(MOD('Map 2 Do Touch'!Q24,4),$P$2:$S$2,0)),$AF$4:$AF$6,0),MATCH(IF('Map 2 Do Touch'!Q23&gt;4,"Water","Land"),'Map 3'!$AG$3:$AH$3,0)),INDEX($AK$4:$AL$6,MATCH(INDEX($P$3:$S$6,MATCH(MOD('Map 2 Do Touch'!Q23,4),$O$3:$O$6,0),MATCH(MOD('Map 2 Do Touch'!Q24,4),$P$2:$S$2,0)),'Map 3'!$AJ$4:$AJ$6,0),MATCH(IF('Map 2 Do Touch'!Q23&gt;4,"Water","Land"),'Map 3'!$AK$3:$AL$3,0))))</f>
        <v>Coast</v>
      </c>
      <c r="R28" s="3" t="str">
        <f ca="1">IF('Map 2 Do Touch'!Q23&lt;&gt;'Map 2 Do Touch'!Q24,IF('Map 2 Do Touch'!R24&gt;4,INDEX($AG$4:$AH$6,MATCH(INDEX($I$3:$L$6,MATCH(MOD('Map 2 Do Touch'!Q24,4),$H$3:$H$6,0),MATCH(MOD('Map 2 Do Touch'!R24,4),$I$2:$L$2,0)),$AF$4:$AF$6,0),MATCH(IF('Map 2 Do Touch'!Q24&gt;4,"Water","Land"),'Map 3'!$AG$3:$AH$3,0)),INDEX($AK$4:$AL$6,MATCH(INDEX($I$3:$L$6,MATCH(MOD('Map 2 Do Touch'!Q24,4),$H$3:$H$6,0),MATCH(MOD('Map 2 Do Touch'!R24,4),$I$2:$L$2,0)),'Map 3'!$AJ$4:$AJ$6,0),MATCH(IF('Map 2 Do Touch'!Q24&gt;4,"Water","Land"),'Map 3'!$AK$3:$AL$3,0))),IF('Map 2 Do Touch'!R24&gt;4,INDEX($AG$4:$AH$6,MATCH(INDEX($P$3:$S$6,MATCH(MOD('Map 2 Do Touch'!R23,4),$O$3:$O$6,0),MATCH(MOD('Map 2 Do Touch'!R24,4),$P$2:$S$2,0)),$AF$4:$AF$6,0),MATCH(IF('Map 2 Do Touch'!R23&gt;4,"Water","Land"),'Map 3'!$AG$3:$AH$3,0)),INDEX($AK$4:$AL$6,MATCH(INDEX($P$3:$S$6,MATCH(MOD('Map 2 Do Touch'!R23,4),$O$3:$O$6,0),MATCH(MOD('Map 2 Do Touch'!R24,4),$P$2:$S$2,0)),'Map 3'!$AJ$4:$AJ$6,0),MATCH(IF('Map 2 Do Touch'!R23&gt;4,"Water","Land"),'Map 3'!$AK$3:$AL$3,0))))</f>
        <v>Coast</v>
      </c>
      <c r="S28" s="3" t="str">
        <f ca="1">IF('Map 2 Do Touch'!R23&lt;&gt;'Map 2 Do Touch'!R24,IF('Map 2 Do Touch'!S24&gt;4,INDEX($AG$4:$AH$6,MATCH(INDEX($I$3:$L$6,MATCH(MOD('Map 2 Do Touch'!R24,4),$H$3:$H$6,0),MATCH(MOD('Map 2 Do Touch'!S24,4),$I$2:$L$2,0)),$AF$4:$AF$6,0),MATCH(IF('Map 2 Do Touch'!R24&gt;4,"Water","Land"),'Map 3'!$AG$3:$AH$3,0)),INDEX($AK$4:$AL$6,MATCH(INDEX($I$3:$L$6,MATCH(MOD('Map 2 Do Touch'!R24,4),$H$3:$H$6,0),MATCH(MOD('Map 2 Do Touch'!S24,4),$I$2:$L$2,0)),'Map 3'!$AJ$4:$AJ$6,0),MATCH(IF('Map 2 Do Touch'!R24&gt;4,"Water","Land"),'Map 3'!$AK$3:$AL$3,0))),IF('Map 2 Do Touch'!S24&gt;4,INDEX($AG$4:$AH$6,MATCH(INDEX($P$3:$S$6,MATCH(MOD('Map 2 Do Touch'!S23,4),$O$3:$O$6,0),MATCH(MOD('Map 2 Do Touch'!S24,4),$P$2:$S$2,0)),$AF$4:$AF$6,0),MATCH(IF('Map 2 Do Touch'!S23&gt;4,"Water","Land"),'Map 3'!$AG$3:$AH$3,0)),INDEX($AK$4:$AL$6,MATCH(INDEX($P$3:$S$6,MATCH(MOD('Map 2 Do Touch'!S23,4),$O$3:$O$6,0),MATCH(MOD('Map 2 Do Touch'!S24,4),$P$2:$S$2,0)),'Map 3'!$AJ$4:$AJ$6,0),MATCH(IF('Map 2 Do Touch'!S23&gt;4,"Water","Land"),'Map 3'!$AK$3:$AL$3,0))))</f>
        <v>Coast</v>
      </c>
      <c r="T28" s="3" t="str">
        <f ca="1">IF('Map 2 Do Touch'!S23&lt;&gt;'Map 2 Do Touch'!S24,IF('Map 2 Do Touch'!T24&gt;4,INDEX($AG$4:$AH$6,MATCH(INDEX($I$3:$L$6,MATCH(MOD('Map 2 Do Touch'!S24,4),$H$3:$H$6,0),MATCH(MOD('Map 2 Do Touch'!T24,4),$I$2:$L$2,0)),$AF$4:$AF$6,0),MATCH(IF('Map 2 Do Touch'!S24&gt;4,"Water","Land"),'Map 3'!$AG$3:$AH$3,0)),INDEX($AK$4:$AL$6,MATCH(INDEX($I$3:$L$6,MATCH(MOD('Map 2 Do Touch'!S24,4),$H$3:$H$6,0),MATCH(MOD('Map 2 Do Touch'!T24,4),$I$2:$L$2,0)),'Map 3'!$AJ$4:$AJ$6,0),MATCH(IF('Map 2 Do Touch'!S24&gt;4,"Water","Land"),'Map 3'!$AK$3:$AL$3,0))),IF('Map 2 Do Touch'!T24&gt;4,INDEX($AG$4:$AH$6,MATCH(INDEX($P$3:$S$6,MATCH(MOD('Map 2 Do Touch'!T23,4),$O$3:$O$6,0),MATCH(MOD('Map 2 Do Touch'!T24,4),$P$2:$S$2,0)),$AF$4:$AF$6,0),MATCH(IF('Map 2 Do Touch'!T23&gt;4,"Water","Land"),'Map 3'!$AG$3:$AH$3,0)),INDEX($AK$4:$AL$6,MATCH(INDEX($P$3:$S$6,MATCH(MOD('Map 2 Do Touch'!T23,4),$O$3:$O$6,0),MATCH(MOD('Map 2 Do Touch'!T24,4),$P$2:$S$2,0)),'Map 3'!$AJ$4:$AJ$6,0),MATCH(IF('Map 2 Do Touch'!T23&gt;4,"Water","Land"),'Map 3'!$AK$3:$AL$3,0))))</f>
        <v>Flatland</v>
      </c>
      <c r="U28" s="3" t="str">
        <f ca="1">IF('Map 2 Do Touch'!T23&lt;&gt;'Map 2 Do Touch'!T24,IF('Map 2 Do Touch'!U24&gt;4,INDEX($AG$4:$AH$6,MATCH(INDEX($I$3:$L$6,MATCH(MOD('Map 2 Do Touch'!T24,4),$H$3:$H$6,0),MATCH(MOD('Map 2 Do Touch'!U24,4),$I$2:$L$2,0)),$AF$4:$AF$6,0),MATCH(IF('Map 2 Do Touch'!T24&gt;4,"Water","Land"),'Map 3'!$AG$3:$AH$3,0)),INDEX($AK$4:$AL$6,MATCH(INDEX($I$3:$L$6,MATCH(MOD('Map 2 Do Touch'!T24,4),$H$3:$H$6,0),MATCH(MOD('Map 2 Do Touch'!U24,4),$I$2:$L$2,0)),'Map 3'!$AJ$4:$AJ$6,0),MATCH(IF('Map 2 Do Touch'!T24&gt;4,"Water","Land"),'Map 3'!$AK$3:$AL$3,0))),IF('Map 2 Do Touch'!U24&gt;4,INDEX($AG$4:$AH$6,MATCH(INDEX($P$3:$S$6,MATCH(MOD('Map 2 Do Touch'!U23,4),$O$3:$O$6,0),MATCH(MOD('Map 2 Do Touch'!U24,4),$P$2:$S$2,0)),$AF$4:$AF$6,0),MATCH(IF('Map 2 Do Touch'!U23&gt;4,"Water","Land"),'Map 3'!$AG$3:$AH$3,0)),INDEX($AK$4:$AL$6,MATCH(INDEX($P$3:$S$6,MATCH(MOD('Map 2 Do Touch'!U23,4),$O$3:$O$6,0),MATCH(MOD('Map 2 Do Touch'!U24,4),$P$2:$S$2,0)),'Map 3'!$AJ$4:$AJ$6,0),MATCH(IF('Map 2 Do Touch'!U23&gt;4,"Water","Land"),'Map 3'!$AK$3:$AL$3,0))))</f>
        <v>Flatland</v>
      </c>
      <c r="V28" s="3" t="str">
        <f ca="1">IF('Map 2 Do Touch'!U23&lt;&gt;'Map 2 Do Touch'!U24,IF('Map 2 Do Touch'!V24&gt;4,INDEX($AG$4:$AH$6,MATCH(INDEX($I$3:$L$6,MATCH(MOD('Map 2 Do Touch'!U24,4),$H$3:$H$6,0),MATCH(MOD('Map 2 Do Touch'!V24,4),$I$2:$L$2,0)),$AF$4:$AF$6,0),MATCH(IF('Map 2 Do Touch'!U24&gt;4,"Water","Land"),'Map 3'!$AG$3:$AH$3,0)),INDEX($AK$4:$AL$6,MATCH(INDEX($I$3:$L$6,MATCH(MOD('Map 2 Do Touch'!U24,4),$H$3:$H$6,0),MATCH(MOD('Map 2 Do Touch'!V24,4),$I$2:$L$2,0)),'Map 3'!$AJ$4:$AJ$6,0),MATCH(IF('Map 2 Do Touch'!U24&gt;4,"Water","Land"),'Map 3'!$AK$3:$AL$3,0))),IF('Map 2 Do Touch'!V24&gt;4,INDEX($AG$4:$AH$6,MATCH(INDEX($P$3:$S$6,MATCH(MOD('Map 2 Do Touch'!V23,4),$O$3:$O$6,0),MATCH(MOD('Map 2 Do Touch'!V24,4),$P$2:$S$2,0)),$AF$4:$AF$6,0),MATCH(IF('Map 2 Do Touch'!V23&gt;4,"Water","Land"),'Map 3'!$AG$3:$AH$3,0)),INDEX($AK$4:$AL$6,MATCH(INDEX($P$3:$S$6,MATCH(MOD('Map 2 Do Touch'!V23,4),$O$3:$O$6,0),MATCH(MOD('Map 2 Do Touch'!V24,4),$P$2:$S$2,0)),'Map 3'!$AJ$4:$AJ$6,0),MATCH(IF('Map 2 Do Touch'!V23&gt;4,"Water","Land"),'Map 3'!$AK$3:$AL$3,0))))</f>
        <v>Flatland</v>
      </c>
      <c r="W28" s="3" t="str">
        <f ca="1">IF('Map 2 Do Touch'!V23&lt;&gt;'Map 2 Do Touch'!V24,IF('Map 2 Do Touch'!W24&gt;4,INDEX($AG$4:$AH$6,MATCH(INDEX($I$3:$L$6,MATCH(MOD('Map 2 Do Touch'!V24,4),$H$3:$H$6,0),MATCH(MOD('Map 2 Do Touch'!W24,4),$I$2:$L$2,0)),$AF$4:$AF$6,0),MATCH(IF('Map 2 Do Touch'!V24&gt;4,"Water","Land"),'Map 3'!$AG$3:$AH$3,0)),INDEX($AK$4:$AL$6,MATCH(INDEX($I$3:$L$6,MATCH(MOD('Map 2 Do Touch'!V24,4),$H$3:$H$6,0),MATCH(MOD('Map 2 Do Touch'!W24,4),$I$2:$L$2,0)),'Map 3'!$AJ$4:$AJ$6,0),MATCH(IF('Map 2 Do Touch'!V24&gt;4,"Water","Land"),'Map 3'!$AK$3:$AL$3,0))),IF('Map 2 Do Touch'!W24&gt;4,INDEX($AG$4:$AH$6,MATCH(INDEX($P$3:$S$6,MATCH(MOD('Map 2 Do Touch'!W23,4),$O$3:$O$6,0),MATCH(MOD('Map 2 Do Touch'!W24,4),$P$2:$S$2,0)),$AF$4:$AF$6,0),MATCH(IF('Map 2 Do Touch'!W23&gt;4,"Water","Land"),'Map 3'!$AG$3:$AH$3,0)),INDEX($AK$4:$AL$6,MATCH(INDEX($P$3:$S$6,MATCH(MOD('Map 2 Do Touch'!W23,4),$O$3:$O$6,0),MATCH(MOD('Map 2 Do Touch'!W24,4),$P$2:$S$2,0)),'Map 3'!$AJ$4:$AJ$6,0),MATCH(IF('Map 2 Do Touch'!W23&gt;4,"Water","Land"),'Map 3'!$AK$3:$AL$3,0))))</f>
        <v>Coast</v>
      </c>
      <c r="X28" s="3" t="str">
        <f ca="1">IF('Map 2 Do Touch'!W23&lt;&gt;'Map 2 Do Touch'!W24,IF('Map 2 Do Touch'!X24&gt;4,INDEX($AG$4:$AH$6,MATCH(INDEX($I$3:$L$6,MATCH(MOD('Map 2 Do Touch'!W24,4),$H$3:$H$6,0),MATCH(MOD('Map 2 Do Touch'!X24,4),$I$2:$L$2,0)),$AF$4:$AF$6,0),MATCH(IF('Map 2 Do Touch'!W24&gt;4,"Water","Land"),'Map 3'!$AG$3:$AH$3,0)),INDEX($AK$4:$AL$6,MATCH(INDEX($I$3:$L$6,MATCH(MOD('Map 2 Do Touch'!W24,4),$H$3:$H$6,0),MATCH(MOD('Map 2 Do Touch'!X24,4),$I$2:$L$2,0)),'Map 3'!$AJ$4:$AJ$6,0),MATCH(IF('Map 2 Do Touch'!W24&gt;4,"Water","Land"),'Map 3'!$AK$3:$AL$3,0))),IF('Map 2 Do Touch'!X24&gt;4,INDEX($AG$4:$AH$6,MATCH(INDEX($P$3:$S$6,MATCH(MOD('Map 2 Do Touch'!X23,4),$O$3:$O$6,0),MATCH(MOD('Map 2 Do Touch'!X24,4),$P$2:$S$2,0)),$AF$4:$AF$6,0),MATCH(IF('Map 2 Do Touch'!X23&gt;4,"Water","Land"),'Map 3'!$AG$3:$AH$3,0)),INDEX($AK$4:$AL$6,MATCH(INDEX($P$3:$S$6,MATCH(MOD('Map 2 Do Touch'!X23,4),$O$3:$O$6,0),MATCH(MOD('Map 2 Do Touch'!X24,4),$P$2:$S$2,0)),'Map 3'!$AJ$4:$AJ$6,0),MATCH(IF('Map 2 Do Touch'!X23&gt;4,"Water","Land"),'Map 3'!$AK$3:$AL$3,0))))</f>
        <v>Flatland</v>
      </c>
      <c r="Y28" s="3" t="str">
        <f ca="1">IF('Map 2 Do Touch'!X23&lt;&gt;'Map 2 Do Touch'!X24,IF('Map 2 Do Touch'!Y24&gt;4,INDEX($AG$4:$AH$6,MATCH(INDEX($I$3:$L$6,MATCH(MOD('Map 2 Do Touch'!X24,4),$H$3:$H$6,0),MATCH(MOD('Map 2 Do Touch'!Y24,4),$I$2:$L$2,0)),$AF$4:$AF$6,0),MATCH(IF('Map 2 Do Touch'!X24&gt;4,"Water","Land"),'Map 3'!$AG$3:$AH$3,0)),INDEX($AK$4:$AL$6,MATCH(INDEX($I$3:$L$6,MATCH(MOD('Map 2 Do Touch'!X24,4),$H$3:$H$6,0),MATCH(MOD('Map 2 Do Touch'!Y24,4),$I$2:$L$2,0)),'Map 3'!$AJ$4:$AJ$6,0),MATCH(IF('Map 2 Do Touch'!X24&gt;4,"Water","Land"),'Map 3'!$AK$3:$AL$3,0))),IF('Map 2 Do Touch'!Y24&gt;4,INDEX($AG$4:$AH$6,MATCH(INDEX($P$3:$S$6,MATCH(MOD('Map 2 Do Touch'!Y23,4),$O$3:$O$6,0),MATCH(MOD('Map 2 Do Touch'!Y24,4),$P$2:$S$2,0)),$AF$4:$AF$6,0),MATCH(IF('Map 2 Do Touch'!Y23&gt;4,"Water","Land"),'Map 3'!$AG$3:$AH$3,0)),INDEX($AK$4:$AL$6,MATCH(INDEX($P$3:$S$6,MATCH(MOD('Map 2 Do Touch'!Y23,4),$O$3:$O$6,0),MATCH(MOD('Map 2 Do Touch'!Y24,4),$P$2:$S$2,0)),'Map 3'!$AJ$4:$AJ$6,0),MATCH(IF('Map 2 Do Touch'!Y23&gt;4,"Water","Land"),'Map 3'!$AK$3:$AL$3,0))))</f>
        <v>Ocean</v>
      </c>
      <c r="Z28" s="3" t="str">
        <f ca="1">IF('Map 2 Do Touch'!Y23&lt;&gt;'Map 2 Do Touch'!Y24,IF('Map 2 Do Touch'!Z24&gt;4,INDEX($AG$4:$AH$6,MATCH(INDEX($I$3:$L$6,MATCH(MOD('Map 2 Do Touch'!Y24,4),$H$3:$H$6,0),MATCH(MOD('Map 2 Do Touch'!Z24,4),$I$2:$L$2,0)),$AF$4:$AF$6,0),MATCH(IF('Map 2 Do Touch'!Y24&gt;4,"Water","Land"),'Map 3'!$AG$3:$AH$3,0)),INDEX($AK$4:$AL$6,MATCH(INDEX($I$3:$L$6,MATCH(MOD('Map 2 Do Touch'!Y24,4),$H$3:$H$6,0),MATCH(MOD('Map 2 Do Touch'!Z24,4),$I$2:$L$2,0)),'Map 3'!$AJ$4:$AJ$6,0),MATCH(IF('Map 2 Do Touch'!Y24&gt;4,"Water","Land"),'Map 3'!$AK$3:$AL$3,0))),IF('Map 2 Do Touch'!Z24&gt;4,INDEX($AG$4:$AH$6,MATCH(INDEX($P$3:$S$6,MATCH(MOD('Map 2 Do Touch'!Z23,4),$O$3:$O$6,0),MATCH(MOD('Map 2 Do Touch'!Z24,4),$P$2:$S$2,0)),$AF$4:$AF$6,0),MATCH(IF('Map 2 Do Touch'!Z23&gt;4,"Water","Land"),'Map 3'!$AG$3:$AH$3,0)),INDEX($AK$4:$AL$6,MATCH(INDEX($P$3:$S$6,MATCH(MOD('Map 2 Do Touch'!Z23,4),$O$3:$O$6,0),MATCH(MOD('Map 2 Do Touch'!Z24,4),$P$2:$S$2,0)),'Map 3'!$AJ$4:$AJ$6,0),MATCH(IF('Map 2 Do Touch'!Z23&gt;4,"Water","Land"),'Map 3'!$AK$3:$AL$3,0))))</f>
        <v>Trench</v>
      </c>
      <c r="AA28" s="3" t="str">
        <f ca="1">IF('Map 2 Do Touch'!Z23&lt;&gt;'Map 2 Do Touch'!Z24,IF('Map 2 Do Touch'!AA24&gt;4,INDEX($AG$4:$AH$6,MATCH(INDEX($I$3:$L$6,MATCH(MOD('Map 2 Do Touch'!Z24,4),$H$3:$H$6,0),MATCH(MOD('Map 2 Do Touch'!AA24,4),$I$2:$L$2,0)),$AF$4:$AF$6,0),MATCH(IF('Map 2 Do Touch'!Z24&gt;4,"Water","Land"),'Map 3'!$AG$3:$AH$3,0)),INDEX($AK$4:$AL$6,MATCH(INDEX($I$3:$L$6,MATCH(MOD('Map 2 Do Touch'!Z24,4),$H$3:$H$6,0),MATCH(MOD('Map 2 Do Touch'!AA24,4),$I$2:$L$2,0)),'Map 3'!$AJ$4:$AJ$6,0),MATCH(IF('Map 2 Do Touch'!Z24&gt;4,"Water","Land"),'Map 3'!$AK$3:$AL$3,0))),IF('Map 2 Do Touch'!AA24&gt;4,INDEX($AG$4:$AH$6,MATCH(INDEX($P$3:$S$6,MATCH(MOD('Map 2 Do Touch'!AA23,4),$O$3:$O$6,0),MATCH(MOD('Map 2 Do Touch'!AA24,4),$P$2:$S$2,0)),$AF$4:$AF$6,0),MATCH(IF('Map 2 Do Touch'!AA23&gt;4,"Water","Land"),'Map 3'!$AG$3:$AH$3,0)),INDEX($AK$4:$AL$6,MATCH(INDEX($P$3:$S$6,MATCH(MOD('Map 2 Do Touch'!AA23,4),$O$3:$O$6,0),MATCH(MOD('Map 2 Do Touch'!AA24,4),$P$2:$S$2,0)),'Map 3'!$AJ$4:$AJ$6,0),MATCH(IF('Map 2 Do Touch'!AA23&gt;4,"Water","Land"),'Map 3'!$AK$3:$AL$3,0))))</f>
        <v>Island</v>
      </c>
      <c r="AB28" s="3" t="str">
        <f ca="1">IF('Map 2 Do Touch'!AA23&lt;&gt;'Map 2 Do Touch'!AA24,IF('Map 2 Do Touch'!AB24&gt;4,INDEX($AG$4:$AH$6,MATCH(INDEX($I$3:$L$6,MATCH(MOD('Map 2 Do Touch'!AA24,4),$H$3:$H$6,0),MATCH(MOD('Map 2 Do Touch'!AB24,4),$I$2:$L$2,0)),$AF$4:$AF$6,0),MATCH(IF('Map 2 Do Touch'!AA24&gt;4,"Water","Land"),'Map 3'!$AG$3:$AH$3,0)),INDEX($AK$4:$AL$6,MATCH(INDEX($I$3:$L$6,MATCH(MOD('Map 2 Do Touch'!AA24,4),$H$3:$H$6,0),MATCH(MOD('Map 2 Do Touch'!AB24,4),$I$2:$L$2,0)),'Map 3'!$AJ$4:$AJ$6,0),MATCH(IF('Map 2 Do Touch'!AA24&gt;4,"Water","Land"),'Map 3'!$AK$3:$AL$3,0))),IF('Map 2 Do Touch'!AB24&gt;4,INDEX($AG$4:$AH$6,MATCH(INDEX($P$3:$S$6,MATCH(MOD('Map 2 Do Touch'!AB23,4),$O$3:$O$6,0),MATCH(MOD('Map 2 Do Touch'!AB24,4),$P$2:$S$2,0)),$AF$4:$AF$6,0),MATCH(IF('Map 2 Do Touch'!AB23&gt;4,"Water","Land"),'Map 3'!$AG$3:$AH$3,0)),INDEX($AK$4:$AL$6,MATCH(INDEX($P$3:$S$6,MATCH(MOD('Map 2 Do Touch'!AB23,4),$O$3:$O$6,0),MATCH(MOD('Map 2 Do Touch'!AB24,4),$P$2:$S$2,0)),'Map 3'!$AJ$4:$AJ$6,0),MATCH(IF('Map 2 Do Touch'!AB23&gt;4,"Water","Land"),'Map 3'!$AK$3:$AL$3,0))))</f>
        <v>Ocean</v>
      </c>
      <c r="AC28" s="3" t="str">
        <f ca="1">IF('Map 2 Do Touch'!AB23&lt;&gt;'Map 2 Do Touch'!AB24,IF('Map 2 Do Touch'!AC24&gt;4,INDEX($AG$4:$AH$6,MATCH(INDEX($I$3:$L$6,MATCH(MOD('Map 2 Do Touch'!AB24,4),$H$3:$H$6,0),MATCH(MOD('Map 2 Do Touch'!AC24,4),$I$2:$L$2,0)),$AF$4:$AF$6,0),MATCH(IF('Map 2 Do Touch'!AB24&gt;4,"Water","Land"),'Map 3'!$AG$3:$AH$3,0)),INDEX($AK$4:$AL$6,MATCH(INDEX($I$3:$L$6,MATCH(MOD('Map 2 Do Touch'!AB24,4),$H$3:$H$6,0),MATCH(MOD('Map 2 Do Touch'!AC24,4),$I$2:$L$2,0)),'Map 3'!$AJ$4:$AJ$6,0),MATCH(IF('Map 2 Do Touch'!AB24&gt;4,"Water","Land"),'Map 3'!$AK$3:$AL$3,0))),IF('Map 2 Do Touch'!AC24&gt;4,INDEX($AG$4:$AH$6,MATCH(INDEX($P$3:$S$6,MATCH(MOD('Map 2 Do Touch'!AC23,4),$O$3:$O$6,0),MATCH(MOD('Map 2 Do Touch'!AC24,4),$P$2:$S$2,0)),$AF$4:$AF$6,0),MATCH(IF('Map 2 Do Touch'!AC23&gt;4,"Water","Land"),'Map 3'!$AG$3:$AH$3,0)),INDEX($AK$4:$AL$6,MATCH(INDEX($P$3:$S$6,MATCH(MOD('Map 2 Do Touch'!AC23,4),$O$3:$O$6,0),MATCH(MOD('Map 2 Do Touch'!AC24,4),$P$2:$S$2,0)),'Map 3'!$AJ$4:$AJ$6,0),MATCH(IF('Map 2 Do Touch'!AC23&gt;4,"Water","Land"),'Map 3'!$AK$3:$AL$3,0))))</f>
        <v>Ocean</v>
      </c>
      <c r="AD28" s="3" t="str">
        <f ca="1">IF('Map 2 Do Touch'!AC23&lt;&gt;'Map 2 Do Touch'!AC24,IF('Map 2 Do Touch'!AD24&gt;4,INDEX($AG$4:$AH$6,MATCH(INDEX($I$3:$L$6,MATCH(MOD('Map 2 Do Touch'!AC24,4),$H$3:$H$6,0),MATCH(MOD('Map 2 Do Touch'!AD24,4),$I$2:$L$2,0)),$AF$4:$AF$6,0),MATCH(IF('Map 2 Do Touch'!AC24&gt;4,"Water","Land"),'Map 3'!$AG$3:$AH$3,0)),INDEX($AK$4:$AL$6,MATCH(INDEX($I$3:$L$6,MATCH(MOD('Map 2 Do Touch'!AC24,4),$H$3:$H$6,0),MATCH(MOD('Map 2 Do Touch'!AD24,4),$I$2:$L$2,0)),'Map 3'!$AJ$4:$AJ$6,0),MATCH(IF('Map 2 Do Touch'!AC24&gt;4,"Water","Land"),'Map 3'!$AK$3:$AL$3,0))),IF('Map 2 Do Touch'!AD24&gt;4,INDEX($AG$4:$AH$6,MATCH(INDEX($P$3:$S$6,MATCH(MOD('Map 2 Do Touch'!AD23,4),$O$3:$O$6,0),MATCH(MOD('Map 2 Do Touch'!AD24,4),$P$2:$S$2,0)),$AF$4:$AF$6,0),MATCH(IF('Map 2 Do Touch'!AD23&gt;4,"Water","Land"),'Map 3'!$AG$3:$AH$3,0)),INDEX($AK$4:$AL$6,MATCH(INDEX($P$3:$S$6,MATCH(MOD('Map 2 Do Touch'!AD23,4),$O$3:$O$6,0),MATCH(MOD('Map 2 Do Touch'!AD24,4),$P$2:$S$2,0)),'Map 3'!$AJ$4:$AJ$6,0),MATCH(IF('Map 2 Do Touch'!AD23&gt;4,"Water","Land"),'Map 3'!$AK$3:$AL$3,0))))</f>
        <v>Ocean</v>
      </c>
      <c r="AE28" s="3" t="str">
        <f ca="1">IF('Map 2 Do Touch'!AD23&lt;&gt;'Map 2 Do Touch'!AD24,IF('Map 2 Do Touch'!AE24&gt;4,INDEX($AG$4:$AH$6,MATCH(INDEX($I$3:$L$6,MATCH(MOD('Map 2 Do Touch'!AD24,4),$H$3:$H$6,0),MATCH(MOD('Map 2 Do Touch'!AE24,4),$I$2:$L$2,0)),$AF$4:$AF$6,0),MATCH(IF('Map 2 Do Touch'!AD24&gt;4,"Water","Land"),'Map 3'!$AG$3:$AH$3,0)),INDEX($AK$4:$AL$6,MATCH(INDEX($I$3:$L$6,MATCH(MOD('Map 2 Do Touch'!AD24,4),$H$3:$H$6,0),MATCH(MOD('Map 2 Do Touch'!AE24,4),$I$2:$L$2,0)),'Map 3'!$AJ$4:$AJ$6,0),MATCH(IF('Map 2 Do Touch'!AD24&gt;4,"Water","Land"),'Map 3'!$AK$3:$AL$3,0))),IF('Map 2 Do Touch'!AE24&gt;4,INDEX($AG$4:$AH$6,MATCH(INDEX($P$3:$S$6,MATCH(MOD('Map 2 Do Touch'!AE23,4),$O$3:$O$6,0),MATCH(MOD('Map 2 Do Touch'!AE24,4),$P$2:$S$2,0)),$AF$4:$AF$6,0),MATCH(IF('Map 2 Do Touch'!AE23&gt;4,"Water","Land"),'Map 3'!$AG$3:$AH$3,0)),INDEX($AK$4:$AL$6,MATCH(INDEX($P$3:$S$6,MATCH(MOD('Map 2 Do Touch'!AE23,4),$O$3:$O$6,0),MATCH(MOD('Map 2 Do Touch'!AE24,4),$P$2:$S$2,0)),'Map 3'!$AJ$4:$AJ$6,0),MATCH(IF('Map 2 Do Touch'!AE23&gt;4,"Water","Land"),'Map 3'!$AK$3:$AL$3,0))))</f>
        <v>Island</v>
      </c>
      <c r="AF28" s="3" t="str">
        <f ca="1">IF('Map 2 Do Touch'!AE23&lt;&gt;'Map 2 Do Touch'!AE24,IF('Map 2 Do Touch'!AF24&gt;4,INDEX($AG$4:$AH$6,MATCH(INDEX($I$3:$L$6,MATCH(MOD('Map 2 Do Touch'!AE24,4),$H$3:$H$6,0),MATCH(MOD('Map 2 Do Touch'!AF24,4),$I$2:$L$2,0)),$AF$4:$AF$6,0),MATCH(IF('Map 2 Do Touch'!AE24&gt;4,"Water","Land"),'Map 3'!$AG$3:$AH$3,0)),INDEX($AK$4:$AL$6,MATCH(INDEX($I$3:$L$6,MATCH(MOD('Map 2 Do Touch'!AE24,4),$H$3:$H$6,0),MATCH(MOD('Map 2 Do Touch'!AF24,4),$I$2:$L$2,0)),'Map 3'!$AJ$4:$AJ$6,0),MATCH(IF('Map 2 Do Touch'!AE24&gt;4,"Water","Land"),'Map 3'!$AK$3:$AL$3,0))),IF('Map 2 Do Touch'!AF24&gt;4,INDEX($AG$4:$AH$6,MATCH(INDEX($P$3:$S$6,MATCH(MOD('Map 2 Do Touch'!AF23,4),$O$3:$O$6,0),MATCH(MOD('Map 2 Do Touch'!AF24,4),$P$2:$S$2,0)),$AF$4:$AF$6,0),MATCH(IF('Map 2 Do Touch'!AF23&gt;4,"Water","Land"),'Map 3'!$AG$3:$AH$3,0)),INDEX($AK$4:$AL$6,MATCH(INDEX($P$3:$S$6,MATCH(MOD('Map 2 Do Touch'!AF23,4),$O$3:$O$6,0),MATCH(MOD('Map 2 Do Touch'!AF24,4),$P$2:$S$2,0)),'Map 3'!$AJ$4:$AJ$6,0),MATCH(IF('Map 2 Do Touch'!AF23&gt;4,"Water","Land"),'Map 3'!$AK$3:$AL$3,0))))</f>
        <v>Ocean</v>
      </c>
      <c r="AG28" s="3" t="str">
        <f ca="1">IF('Map 2 Do Touch'!AF23&lt;&gt;'Map 2 Do Touch'!AF24,IF('Map 2 Do Touch'!AG24&gt;4,INDEX($AG$4:$AH$6,MATCH(INDEX($I$3:$L$6,MATCH(MOD('Map 2 Do Touch'!AF24,4),$H$3:$H$6,0),MATCH(MOD('Map 2 Do Touch'!AG24,4),$I$2:$L$2,0)),$AF$4:$AF$6,0),MATCH(IF('Map 2 Do Touch'!AF24&gt;4,"Water","Land"),'Map 3'!$AG$3:$AH$3,0)),INDEX($AK$4:$AL$6,MATCH(INDEX($I$3:$L$6,MATCH(MOD('Map 2 Do Touch'!AF24,4),$H$3:$H$6,0),MATCH(MOD('Map 2 Do Touch'!AG24,4),$I$2:$L$2,0)),'Map 3'!$AJ$4:$AJ$6,0),MATCH(IF('Map 2 Do Touch'!AF24&gt;4,"Water","Land"),'Map 3'!$AK$3:$AL$3,0))),IF('Map 2 Do Touch'!AG24&gt;4,INDEX($AG$4:$AH$6,MATCH(INDEX($P$3:$S$6,MATCH(MOD('Map 2 Do Touch'!AG23,4),$O$3:$O$6,0),MATCH(MOD('Map 2 Do Touch'!AG24,4),$P$2:$S$2,0)),$AF$4:$AF$6,0),MATCH(IF('Map 2 Do Touch'!AG23&gt;4,"Water","Land"),'Map 3'!$AG$3:$AH$3,0)),INDEX($AK$4:$AL$6,MATCH(INDEX($P$3:$S$6,MATCH(MOD('Map 2 Do Touch'!AG23,4),$O$3:$O$6,0),MATCH(MOD('Map 2 Do Touch'!AG24,4),$P$2:$S$2,0)),'Map 3'!$AJ$4:$AJ$6,0),MATCH(IF('Map 2 Do Touch'!AG23&gt;4,"Water","Land"),'Map 3'!$AK$3:$AL$3,0))))</f>
        <v>Trench</v>
      </c>
      <c r="AH28" s="3" t="str">
        <f ca="1">IF('Map 2 Do Touch'!AG23&lt;&gt;'Map 2 Do Touch'!AG24,IF('Map 2 Do Touch'!AH24&gt;4,INDEX($AG$4:$AH$6,MATCH(INDEX($I$3:$L$6,MATCH(MOD('Map 2 Do Touch'!AG24,4),$H$3:$H$6,0),MATCH(MOD('Map 2 Do Touch'!AH24,4),$I$2:$L$2,0)),$AF$4:$AF$6,0),MATCH(IF('Map 2 Do Touch'!AG24&gt;4,"Water","Land"),'Map 3'!$AG$3:$AH$3,0)),INDEX($AK$4:$AL$6,MATCH(INDEX($I$3:$L$6,MATCH(MOD('Map 2 Do Touch'!AG24,4),$H$3:$H$6,0),MATCH(MOD('Map 2 Do Touch'!AH24,4),$I$2:$L$2,0)),'Map 3'!$AJ$4:$AJ$6,0),MATCH(IF('Map 2 Do Touch'!AG24&gt;4,"Water","Land"),'Map 3'!$AK$3:$AL$3,0))),IF('Map 2 Do Touch'!AH24&gt;4,INDEX($AG$4:$AH$6,MATCH(INDEX($P$3:$S$6,MATCH(MOD('Map 2 Do Touch'!AH23,4),$O$3:$O$6,0),MATCH(MOD('Map 2 Do Touch'!AH24,4),$P$2:$S$2,0)),$AF$4:$AF$6,0),MATCH(IF('Map 2 Do Touch'!AH23&gt;4,"Water","Land"),'Map 3'!$AG$3:$AH$3,0)),INDEX($AK$4:$AL$6,MATCH(INDEX($P$3:$S$6,MATCH(MOD('Map 2 Do Touch'!AH23,4),$O$3:$O$6,0),MATCH(MOD('Map 2 Do Touch'!AH24,4),$P$2:$S$2,0)),'Map 3'!$AJ$4:$AJ$6,0),MATCH(IF('Map 2 Do Touch'!AH23&gt;4,"Water","Land"),'Map 3'!$AK$3:$AL$3,0))))</f>
        <v>Trench</v>
      </c>
      <c r="AI28" s="3" t="str">
        <f ca="1">IF('Map 2 Do Touch'!AH23&lt;&gt;'Map 2 Do Touch'!AH24,IF('Map 2 Do Touch'!AI24&gt;4,INDEX($AG$4:$AH$6,MATCH(INDEX($I$3:$L$6,MATCH(MOD('Map 2 Do Touch'!AH24,4),$H$3:$H$6,0),MATCH(MOD('Map 2 Do Touch'!AI24,4),$I$2:$L$2,0)),$AF$4:$AF$6,0),MATCH(IF('Map 2 Do Touch'!AH24&gt;4,"Water","Land"),'Map 3'!$AG$3:$AH$3,0)),INDEX($AK$4:$AL$6,MATCH(INDEX($I$3:$L$6,MATCH(MOD('Map 2 Do Touch'!AH24,4),$H$3:$H$6,0),MATCH(MOD('Map 2 Do Touch'!AI24,4),$I$2:$L$2,0)),'Map 3'!$AJ$4:$AJ$6,0),MATCH(IF('Map 2 Do Touch'!AH24&gt;4,"Water","Land"),'Map 3'!$AK$3:$AL$3,0))),IF('Map 2 Do Touch'!AI24&gt;4,INDEX($AG$4:$AH$6,MATCH(INDEX($P$3:$S$6,MATCH(MOD('Map 2 Do Touch'!AI23,4),$O$3:$O$6,0),MATCH(MOD('Map 2 Do Touch'!AI24,4),$P$2:$S$2,0)),$AF$4:$AF$6,0),MATCH(IF('Map 2 Do Touch'!AI23&gt;4,"Water","Land"),'Map 3'!$AG$3:$AH$3,0)),INDEX($AK$4:$AL$6,MATCH(INDEX($P$3:$S$6,MATCH(MOD('Map 2 Do Touch'!AI23,4),$O$3:$O$6,0),MATCH(MOD('Map 2 Do Touch'!AI24,4),$P$2:$S$2,0)),'Map 3'!$AJ$4:$AJ$6,0),MATCH(IF('Map 2 Do Touch'!AI23&gt;4,"Water","Land"),'Map 3'!$AK$3:$AL$3,0))))</f>
        <v>Ocean</v>
      </c>
      <c r="AJ28" s="3" t="str">
        <f ca="1">IF('Map 2 Do Touch'!AI23&lt;&gt;'Map 2 Do Touch'!AI24,IF('Map 2 Do Touch'!AJ24&gt;4,INDEX($AG$4:$AH$6,MATCH(INDEX($I$3:$L$6,MATCH(MOD('Map 2 Do Touch'!AI24,4),$H$3:$H$6,0),MATCH(MOD('Map 2 Do Touch'!AJ24,4),$I$2:$L$2,0)),$AF$4:$AF$6,0),MATCH(IF('Map 2 Do Touch'!AI24&gt;4,"Water","Land"),'Map 3'!$AG$3:$AH$3,0)),INDEX($AK$4:$AL$6,MATCH(INDEX($I$3:$L$6,MATCH(MOD('Map 2 Do Touch'!AI24,4),$H$3:$H$6,0),MATCH(MOD('Map 2 Do Touch'!AJ24,4),$I$2:$L$2,0)),'Map 3'!$AJ$4:$AJ$6,0),MATCH(IF('Map 2 Do Touch'!AI24&gt;4,"Water","Land"),'Map 3'!$AK$3:$AL$3,0))),IF('Map 2 Do Touch'!AJ24&gt;4,INDEX($AG$4:$AH$6,MATCH(INDEX($P$3:$S$6,MATCH(MOD('Map 2 Do Touch'!AJ23,4),$O$3:$O$6,0),MATCH(MOD('Map 2 Do Touch'!AJ24,4),$P$2:$S$2,0)),$AF$4:$AF$6,0),MATCH(IF('Map 2 Do Touch'!AJ23&gt;4,"Water","Land"),'Map 3'!$AG$3:$AH$3,0)),INDEX($AK$4:$AL$6,MATCH(INDEX($P$3:$S$6,MATCH(MOD('Map 2 Do Touch'!AJ23,4),$O$3:$O$6,0),MATCH(MOD('Map 2 Do Touch'!AJ24,4),$P$2:$S$2,0)),'Map 3'!$AJ$4:$AJ$6,0),MATCH(IF('Map 2 Do Touch'!AJ23&gt;4,"Water","Land"),'Map 3'!$AK$3:$AL$3,0))))</f>
        <v>Ocean</v>
      </c>
      <c r="AK28" s="3" t="str">
        <f ca="1">IF('Map 2 Do Touch'!AJ23&lt;&gt;'Map 2 Do Touch'!AJ24,IF('Map 2 Do Touch'!AK24&gt;4,INDEX($AG$4:$AH$6,MATCH(INDEX($I$3:$L$6,MATCH(MOD('Map 2 Do Touch'!AJ24,4),$H$3:$H$6,0),MATCH(MOD('Map 2 Do Touch'!AK24,4),$I$2:$L$2,0)),$AF$4:$AF$6,0),MATCH(IF('Map 2 Do Touch'!AJ24&gt;4,"Water","Land"),'Map 3'!$AG$3:$AH$3,0)),INDEX($AK$4:$AL$6,MATCH(INDEX($I$3:$L$6,MATCH(MOD('Map 2 Do Touch'!AJ24,4),$H$3:$H$6,0),MATCH(MOD('Map 2 Do Touch'!AK24,4),$I$2:$L$2,0)),'Map 3'!$AJ$4:$AJ$6,0),MATCH(IF('Map 2 Do Touch'!AJ24&gt;4,"Water","Land"),'Map 3'!$AK$3:$AL$3,0))),IF('Map 2 Do Touch'!AK24&gt;4,INDEX($AG$4:$AH$6,MATCH(INDEX($P$3:$S$6,MATCH(MOD('Map 2 Do Touch'!AK23,4),$O$3:$O$6,0),MATCH(MOD('Map 2 Do Touch'!AK24,4),$P$2:$S$2,0)),$AF$4:$AF$6,0),MATCH(IF('Map 2 Do Touch'!AK23&gt;4,"Water","Land"),'Map 3'!$AG$3:$AH$3,0)),INDEX($AK$4:$AL$6,MATCH(INDEX($P$3:$S$6,MATCH(MOD('Map 2 Do Touch'!AK23,4),$O$3:$O$6,0),MATCH(MOD('Map 2 Do Touch'!AK24,4),$P$2:$S$2,0)),'Map 3'!$AJ$4:$AJ$6,0),MATCH(IF('Map 2 Do Touch'!AK23&gt;4,"Water","Land"),'Map 3'!$AK$3:$AL$3,0))))</f>
        <v>Island</v>
      </c>
      <c r="AL28" s="3" t="str">
        <f ca="1">IF('Map 2 Do Touch'!AK23&lt;&gt;'Map 2 Do Touch'!AK24,IF('Map 2 Do Touch'!AL24&gt;4,INDEX($AG$4:$AH$6,MATCH(INDEX($I$3:$L$6,MATCH(MOD('Map 2 Do Touch'!AK24,4),$H$3:$H$6,0),MATCH(MOD('Map 2 Do Touch'!AL24,4),$I$2:$L$2,0)),$AF$4:$AF$6,0),MATCH(IF('Map 2 Do Touch'!AK24&gt;4,"Water","Land"),'Map 3'!$AG$3:$AH$3,0)),INDEX($AK$4:$AL$6,MATCH(INDEX($I$3:$L$6,MATCH(MOD('Map 2 Do Touch'!AK24,4),$H$3:$H$6,0),MATCH(MOD('Map 2 Do Touch'!AL24,4),$I$2:$L$2,0)),'Map 3'!$AJ$4:$AJ$6,0),MATCH(IF('Map 2 Do Touch'!AK24&gt;4,"Water","Land"),'Map 3'!$AK$3:$AL$3,0))),IF('Map 2 Do Touch'!AL24&gt;4,INDEX($AG$4:$AH$6,MATCH(INDEX($P$3:$S$6,MATCH(MOD('Map 2 Do Touch'!AL23,4),$O$3:$O$6,0),MATCH(MOD('Map 2 Do Touch'!AL24,4),$P$2:$S$2,0)),$AF$4:$AF$6,0),MATCH(IF('Map 2 Do Touch'!AL23&gt;4,"Water","Land"),'Map 3'!$AG$3:$AH$3,0)),INDEX($AK$4:$AL$6,MATCH(INDEX($P$3:$S$6,MATCH(MOD('Map 2 Do Touch'!AL23,4),$O$3:$O$6,0),MATCH(MOD('Map 2 Do Touch'!AL24,4),$P$2:$S$2,0)),'Map 3'!$AJ$4:$AJ$6,0),MATCH(IF('Map 2 Do Touch'!AL23&gt;4,"Water","Land"),'Map 3'!$AK$3:$AL$3,0))))</f>
        <v>Ocean</v>
      </c>
      <c r="AM28" s="3" t="str">
        <f ca="1">IF('Map 2 Do Touch'!AL23&lt;&gt;'Map 2 Do Touch'!AL24,IF('Map 2 Do Touch'!AM24&gt;4,INDEX($AG$4:$AH$6,MATCH(INDEX($I$3:$L$6,MATCH(MOD('Map 2 Do Touch'!AL24,4),$H$3:$H$6,0),MATCH(MOD('Map 2 Do Touch'!AM24,4),$I$2:$L$2,0)),$AF$4:$AF$6,0),MATCH(IF('Map 2 Do Touch'!AL24&gt;4,"Water","Land"),'Map 3'!$AG$3:$AH$3,0)),INDEX($AK$4:$AL$6,MATCH(INDEX($I$3:$L$6,MATCH(MOD('Map 2 Do Touch'!AL24,4),$H$3:$H$6,0),MATCH(MOD('Map 2 Do Touch'!AM24,4),$I$2:$L$2,0)),'Map 3'!$AJ$4:$AJ$6,0),MATCH(IF('Map 2 Do Touch'!AL24&gt;4,"Water","Land"),'Map 3'!$AK$3:$AL$3,0))),IF('Map 2 Do Touch'!AM24&gt;4,INDEX($AG$4:$AH$6,MATCH(INDEX($P$3:$S$6,MATCH(MOD('Map 2 Do Touch'!AM23,4),$O$3:$O$6,0),MATCH(MOD('Map 2 Do Touch'!AM24,4),$P$2:$S$2,0)),$AF$4:$AF$6,0),MATCH(IF('Map 2 Do Touch'!AM23&gt;4,"Water","Land"),'Map 3'!$AG$3:$AH$3,0)),INDEX($AK$4:$AL$6,MATCH(INDEX($P$3:$S$6,MATCH(MOD('Map 2 Do Touch'!AM23,4),$O$3:$O$6,0),MATCH(MOD('Map 2 Do Touch'!AM24,4),$P$2:$S$2,0)),'Map 3'!$AJ$4:$AJ$6,0),MATCH(IF('Map 2 Do Touch'!AM23&gt;4,"Water","Land"),'Map 3'!$AK$3:$AL$3,0))))</f>
        <v>Ocean</v>
      </c>
      <c r="AN28" s="3" t="str">
        <f ca="1">IF('Map 2 Do Touch'!AM23&lt;&gt;'Map 2 Do Touch'!AM24,IF('Map 2 Do Touch'!AN24&gt;4,INDEX($AG$4:$AH$6,MATCH(INDEX($I$3:$L$6,MATCH(MOD('Map 2 Do Touch'!AM24,4),$H$3:$H$6,0),MATCH(MOD('Map 2 Do Touch'!AN24,4),$I$2:$L$2,0)),$AF$4:$AF$6,0),MATCH(IF('Map 2 Do Touch'!AM24&gt;4,"Water","Land"),'Map 3'!$AG$3:$AH$3,0)),INDEX($AK$4:$AL$6,MATCH(INDEX($I$3:$L$6,MATCH(MOD('Map 2 Do Touch'!AM24,4),$H$3:$H$6,0),MATCH(MOD('Map 2 Do Touch'!AN24,4),$I$2:$L$2,0)),'Map 3'!$AJ$4:$AJ$6,0),MATCH(IF('Map 2 Do Touch'!AM24&gt;4,"Water","Land"),'Map 3'!$AK$3:$AL$3,0))),IF('Map 2 Do Touch'!AN24&gt;4,INDEX($AG$4:$AH$6,MATCH(INDEX($P$3:$S$6,MATCH(MOD('Map 2 Do Touch'!AN23,4),$O$3:$O$6,0),MATCH(MOD('Map 2 Do Touch'!AN24,4),$P$2:$S$2,0)),$AF$4:$AF$6,0),MATCH(IF('Map 2 Do Touch'!AN23&gt;4,"Water","Land"),'Map 3'!$AG$3:$AH$3,0)),INDEX($AK$4:$AL$6,MATCH(INDEX($P$3:$S$6,MATCH(MOD('Map 2 Do Touch'!AN23,4),$O$3:$O$6,0),MATCH(MOD('Map 2 Do Touch'!AN24,4),$P$2:$S$2,0)),'Map 3'!$AJ$4:$AJ$6,0),MATCH(IF('Map 2 Do Touch'!AN23&gt;4,"Water","Land"),'Map 3'!$AK$3:$AL$3,0))))</f>
        <v>Ocean</v>
      </c>
      <c r="AO28" s="87" t="str">
        <f ca="1">IF('Map 2 Do Touch'!AN23&lt;&gt;'Map 2 Do Touch'!AN24,IF('Map 2 Do Touch'!AO24&gt;4,INDEX($AG$4:$AH$6,MATCH(INDEX($I$3:$L$6,MATCH(MOD('Map 2 Do Touch'!AN24,4),$H$3:$H$6,0),MATCH(MOD('Map 2 Do Touch'!AO24,4),$I$2:$L$2,0)),$AF$4:$AF$6,0),MATCH(IF('Map 2 Do Touch'!AN24&gt;4,"Water","Land"),'Map 3'!$AG$3:$AH$3,0)),INDEX($AK$4:$AL$6,MATCH(INDEX($I$3:$L$6,MATCH(MOD('Map 2 Do Touch'!AN24,4),$H$3:$H$6,0),MATCH(MOD('Map 2 Do Touch'!AO24,4),$I$2:$L$2,0)),'Map 3'!$AJ$4:$AJ$6,0),MATCH(IF('Map 2 Do Touch'!AN24&gt;4,"Water","Land"),'Map 3'!$AK$3:$AL$3,0))),IF('Map 2 Do Touch'!AO24&gt;4,INDEX($AG$4:$AH$6,MATCH(INDEX($P$3:$S$6,MATCH(MOD('Map 2 Do Touch'!AO23,4),$O$3:$O$6,0),MATCH(MOD('Map 2 Do Touch'!AO24,4),$P$2:$S$2,0)),$AF$4:$AF$6,0),MATCH(IF('Map 2 Do Touch'!AO23&gt;4,"Water","Land"),'Map 3'!$AG$3:$AH$3,0)),INDEX($AK$4:$AL$6,MATCH(INDEX($P$3:$S$6,MATCH(MOD('Map 2 Do Touch'!AO23,4),$O$3:$O$6,0),MATCH(MOD('Map 2 Do Touch'!AO24,4),$P$2:$S$2,0)),'Map 3'!$AJ$4:$AJ$6,0),MATCH(IF('Map 2 Do Touch'!AO23&gt;4,"Water","Land"),'Map 3'!$AK$3:$AL$3,0))))</f>
        <v>Flatland</v>
      </c>
      <c r="AP28" s="3"/>
    </row>
    <row r="29" spans="1:42" ht="37.5" customHeight="1">
      <c r="A29" s="3">
        <v>18</v>
      </c>
      <c r="B29" s="86" t="str">
        <f ca="1">IF('Map 2 Do Touch'!B24&lt;&gt;'Map 2 Do Touch'!B25,IF('Map 2 Do Touch'!B25&gt;4,INDEX($AG$4:$AH$6,MATCH(INDEX($I$3:$L$6,MATCH(MOD('Map 2 Do Touch'!AO25,4),$H$3:$H$6,0),MATCH(MOD('Map 2 Do Touch'!B25,4),$I$2:$L$2,0)),$AF$4:$AF$6,0),MATCH(IF('Map 2 Do Touch'!AO25&gt;4,"Water","Land"),'Map 3'!$AG$3:$AH$3,0)),INDEX($AK$4:$AL$6,MATCH(INDEX($I$3:$L$6,MATCH(MOD('Map 2 Do Touch'!A25,4),$H$3:$H$6,0),MATCH(MOD('Map 2 Do Touch'!B25,4),$I$2:$L$2,0)),'Map 3'!$AJ$4:$AJ$6,0),MATCH(IF('Map 2 Do Touch'!AO25&gt;4,"Water","Land"),'Map 3'!$AK$3:$AL$3,0))),IF('Map 2 Do Touch'!B25&gt;4,INDEX($AG$4:$AH$6,MATCH(INDEX($P$3:$S$6,MATCH(MOD('Map 2 Do Touch'!B24,4),$O$3:$O$6,0),MATCH(MOD('Map 2 Do Touch'!B25,4),$P$2:$S$2,0)),$AF$4:$AF$6,0),MATCH(IF('Map 2 Do Touch'!B24&gt;4,"Water","Land"),'Map 3'!$AG$3:$AH$3,0)),INDEX($AK$4:$AL$6,MATCH(INDEX($P$3:$S$6,MATCH(MOD('Map 2 Do Touch'!B24,4),$O$3:$O$6,0),MATCH(MOD('Map 2 Do Touch'!B25,4),$P$2:$S$2,0)),'Map 3'!$AJ$4:$AJ$6,0),MATCH(IF('Map 2 Do Touch'!B24&gt;4,"Water","Land"),'Map 3'!$AK$3:$AL$3,0))))</f>
        <v>Ocean</v>
      </c>
      <c r="C29" s="3" t="str">
        <f ca="1">IF('Map 2 Do Touch'!B24&lt;&gt;'Map 2 Do Touch'!B25,IF('Map 2 Do Touch'!C25&gt;4,INDEX($AG$4:$AH$6,MATCH(INDEX($I$3:$L$6,MATCH(MOD('Map 2 Do Touch'!B25,4),$H$3:$H$6,0),MATCH(MOD('Map 2 Do Touch'!C25,4),$I$2:$L$2,0)),$AF$4:$AF$6,0),MATCH(IF('Map 2 Do Touch'!B25&gt;4,"Water","Land"),'Map 3'!$AG$3:$AH$3,0)),INDEX($AK$4:$AL$6,MATCH(INDEX($I$3:$L$6,MATCH(MOD('Map 2 Do Touch'!B25,4),$H$3:$H$6,0),MATCH(MOD('Map 2 Do Touch'!C25,4),$I$2:$L$2,0)),'Map 3'!$AJ$4:$AJ$6,0),MATCH(IF('Map 2 Do Touch'!B25&gt;4,"Water","Land"),'Map 3'!$AK$3:$AL$3,0))),IF('Map 2 Do Touch'!C25&gt;4,INDEX($AG$4:$AH$6,MATCH(INDEX($P$3:$S$6,MATCH(MOD('Map 2 Do Touch'!C24,4),$O$3:$O$6,0),MATCH(MOD('Map 2 Do Touch'!C25,4),$P$2:$S$2,0)),$AF$4:$AF$6,0),MATCH(IF('Map 2 Do Touch'!C24&gt;4,"Water","Land"),'Map 3'!$AG$3:$AH$3,0)),INDEX($AK$4:$AL$6,MATCH(INDEX($P$3:$S$6,MATCH(MOD('Map 2 Do Touch'!C24,4),$O$3:$O$6,0),MATCH(MOD('Map 2 Do Touch'!C25,4),$P$2:$S$2,0)),'Map 3'!$AJ$4:$AJ$6,0),MATCH(IF('Map 2 Do Touch'!C24&gt;4,"Water","Land"),'Map 3'!$AK$3:$AL$3,0))))</f>
        <v>Coast</v>
      </c>
      <c r="D29" s="3" t="str">
        <f ca="1">IF('Map 2 Do Touch'!C24&lt;&gt;'Map 2 Do Touch'!C25,IF('Map 2 Do Touch'!D25&gt;4,INDEX($AG$4:$AH$6,MATCH(INDEX($I$3:$L$6,MATCH(MOD('Map 2 Do Touch'!C25,4),$H$3:$H$6,0),MATCH(MOD('Map 2 Do Touch'!D25,4),$I$2:$L$2,0)),$AF$4:$AF$6,0),MATCH(IF('Map 2 Do Touch'!C25&gt;4,"Water","Land"),'Map 3'!$AG$3:$AH$3,0)),INDEX($AK$4:$AL$6,MATCH(INDEX($I$3:$L$6,MATCH(MOD('Map 2 Do Touch'!C25,4),$H$3:$H$6,0),MATCH(MOD('Map 2 Do Touch'!D25,4),$I$2:$L$2,0)),'Map 3'!$AJ$4:$AJ$6,0),MATCH(IF('Map 2 Do Touch'!C25&gt;4,"Water","Land"),'Map 3'!$AK$3:$AL$3,0))),IF('Map 2 Do Touch'!D25&gt;4,INDEX($AG$4:$AH$6,MATCH(INDEX($P$3:$S$6,MATCH(MOD('Map 2 Do Touch'!D24,4),$O$3:$O$6,0),MATCH(MOD('Map 2 Do Touch'!D25,4),$P$2:$S$2,0)),$AF$4:$AF$6,0),MATCH(IF('Map 2 Do Touch'!D24&gt;4,"Water","Land"),'Map 3'!$AG$3:$AH$3,0)),INDEX($AK$4:$AL$6,MATCH(INDEX($P$3:$S$6,MATCH(MOD('Map 2 Do Touch'!D24,4),$O$3:$O$6,0),MATCH(MOD('Map 2 Do Touch'!D25,4),$P$2:$S$2,0)),'Map 3'!$AJ$4:$AJ$6,0),MATCH(IF('Map 2 Do Touch'!D24&gt;4,"Water","Land"),'Map 3'!$AK$3:$AL$3,0))))</f>
        <v>Flatland</v>
      </c>
      <c r="E29" s="3" t="str">
        <f ca="1">IF('Map 2 Do Touch'!D24&lt;&gt;'Map 2 Do Touch'!D25,IF('Map 2 Do Touch'!E25&gt;4,INDEX($AG$4:$AH$6,MATCH(INDEX($I$3:$L$6,MATCH(MOD('Map 2 Do Touch'!D25,4),$H$3:$H$6,0),MATCH(MOD('Map 2 Do Touch'!E25,4),$I$2:$L$2,0)),$AF$4:$AF$6,0),MATCH(IF('Map 2 Do Touch'!D25&gt;4,"Water","Land"),'Map 3'!$AG$3:$AH$3,0)),INDEX($AK$4:$AL$6,MATCH(INDEX($I$3:$L$6,MATCH(MOD('Map 2 Do Touch'!D25,4),$H$3:$H$6,0),MATCH(MOD('Map 2 Do Touch'!E25,4),$I$2:$L$2,0)),'Map 3'!$AJ$4:$AJ$6,0),MATCH(IF('Map 2 Do Touch'!D25&gt;4,"Water","Land"),'Map 3'!$AK$3:$AL$3,0))),IF('Map 2 Do Touch'!E25&gt;4,INDEX($AG$4:$AH$6,MATCH(INDEX($P$3:$S$6,MATCH(MOD('Map 2 Do Touch'!E24,4),$O$3:$O$6,0),MATCH(MOD('Map 2 Do Touch'!E25,4),$P$2:$S$2,0)),$AF$4:$AF$6,0),MATCH(IF('Map 2 Do Touch'!E24&gt;4,"Water","Land"),'Map 3'!$AG$3:$AH$3,0)),INDEX($AK$4:$AL$6,MATCH(INDEX($P$3:$S$6,MATCH(MOD('Map 2 Do Touch'!E24,4),$O$3:$O$6,0),MATCH(MOD('Map 2 Do Touch'!E25,4),$P$2:$S$2,0)),'Map 3'!$AJ$4:$AJ$6,0),MATCH(IF('Map 2 Do Touch'!E24&gt;4,"Water","Land"),'Map 3'!$AK$3:$AL$3,0))))</f>
        <v>Coast</v>
      </c>
      <c r="F29" s="3" t="str">
        <f ca="1">IF('Map 2 Do Touch'!E24&lt;&gt;'Map 2 Do Touch'!E25,IF('Map 2 Do Touch'!F25&gt;4,INDEX($AG$4:$AH$6,MATCH(INDEX($I$3:$L$6,MATCH(MOD('Map 2 Do Touch'!E25,4),$H$3:$H$6,0),MATCH(MOD('Map 2 Do Touch'!F25,4),$I$2:$L$2,0)),$AF$4:$AF$6,0),MATCH(IF('Map 2 Do Touch'!E25&gt;4,"Water","Land"),'Map 3'!$AG$3:$AH$3,0)),INDEX($AK$4:$AL$6,MATCH(INDEX($I$3:$L$6,MATCH(MOD('Map 2 Do Touch'!E25,4),$H$3:$H$6,0),MATCH(MOD('Map 2 Do Touch'!F25,4),$I$2:$L$2,0)),'Map 3'!$AJ$4:$AJ$6,0),MATCH(IF('Map 2 Do Touch'!E25&gt;4,"Water","Land"),'Map 3'!$AK$3:$AL$3,0))),IF('Map 2 Do Touch'!F25&gt;4,INDEX($AG$4:$AH$6,MATCH(INDEX($P$3:$S$6,MATCH(MOD('Map 2 Do Touch'!F24,4),$O$3:$O$6,0),MATCH(MOD('Map 2 Do Touch'!F25,4),$P$2:$S$2,0)),$AF$4:$AF$6,0),MATCH(IF('Map 2 Do Touch'!F24&gt;4,"Water","Land"),'Map 3'!$AG$3:$AH$3,0)),INDEX($AK$4:$AL$6,MATCH(INDEX($P$3:$S$6,MATCH(MOD('Map 2 Do Touch'!F24,4),$O$3:$O$6,0),MATCH(MOD('Map 2 Do Touch'!F25,4),$P$2:$S$2,0)),'Map 3'!$AJ$4:$AJ$6,0),MATCH(IF('Map 2 Do Touch'!F24&gt;4,"Water","Land"),'Map 3'!$AK$3:$AL$3,0))))</f>
        <v>Flatland</v>
      </c>
      <c r="G29" s="3" t="str">
        <f ca="1">IF('Map 2 Do Touch'!F24&lt;&gt;'Map 2 Do Touch'!F25,IF('Map 2 Do Touch'!G25&gt;4,INDEX($AG$4:$AH$6,MATCH(INDEX($I$3:$L$6,MATCH(MOD('Map 2 Do Touch'!F25,4),$H$3:$H$6,0),MATCH(MOD('Map 2 Do Touch'!G25,4),$I$2:$L$2,0)),$AF$4:$AF$6,0),MATCH(IF('Map 2 Do Touch'!F25&gt;4,"Water","Land"),'Map 3'!$AG$3:$AH$3,0)),INDEX($AK$4:$AL$6,MATCH(INDEX($I$3:$L$6,MATCH(MOD('Map 2 Do Touch'!F25,4),$H$3:$H$6,0),MATCH(MOD('Map 2 Do Touch'!G25,4),$I$2:$L$2,0)),'Map 3'!$AJ$4:$AJ$6,0),MATCH(IF('Map 2 Do Touch'!F25&gt;4,"Water","Land"),'Map 3'!$AK$3:$AL$3,0))),IF('Map 2 Do Touch'!G25&gt;4,INDEX($AG$4:$AH$6,MATCH(INDEX($P$3:$S$6,MATCH(MOD('Map 2 Do Touch'!G24,4),$O$3:$O$6,0),MATCH(MOD('Map 2 Do Touch'!G25,4),$P$2:$S$2,0)),$AF$4:$AF$6,0),MATCH(IF('Map 2 Do Touch'!G24&gt;4,"Water","Land"),'Map 3'!$AG$3:$AH$3,0)),INDEX($AK$4:$AL$6,MATCH(INDEX($P$3:$S$6,MATCH(MOD('Map 2 Do Touch'!G24,4),$O$3:$O$6,0),MATCH(MOD('Map 2 Do Touch'!G25,4),$P$2:$S$2,0)),'Map 3'!$AJ$4:$AJ$6,0),MATCH(IF('Map 2 Do Touch'!G24&gt;4,"Water","Land"),'Map 3'!$AK$3:$AL$3,0))))</f>
        <v>Flatland</v>
      </c>
      <c r="H29" s="3" t="str">
        <f ca="1">IF('Map 2 Do Touch'!G24&lt;&gt;'Map 2 Do Touch'!G25,IF('Map 2 Do Touch'!H25&gt;4,INDEX($AG$4:$AH$6,MATCH(INDEX($I$3:$L$6,MATCH(MOD('Map 2 Do Touch'!G25,4),$H$3:$H$6,0),MATCH(MOD('Map 2 Do Touch'!H25,4),$I$2:$L$2,0)),$AF$4:$AF$6,0),MATCH(IF('Map 2 Do Touch'!G25&gt;4,"Water","Land"),'Map 3'!$AG$3:$AH$3,0)),INDEX($AK$4:$AL$6,MATCH(INDEX($I$3:$L$6,MATCH(MOD('Map 2 Do Touch'!G25,4),$H$3:$H$6,0),MATCH(MOD('Map 2 Do Touch'!H25,4),$I$2:$L$2,0)),'Map 3'!$AJ$4:$AJ$6,0),MATCH(IF('Map 2 Do Touch'!G25&gt;4,"Water","Land"),'Map 3'!$AK$3:$AL$3,0))),IF('Map 2 Do Touch'!H25&gt;4,INDEX($AG$4:$AH$6,MATCH(INDEX($P$3:$S$6,MATCH(MOD('Map 2 Do Touch'!H24,4),$O$3:$O$6,0),MATCH(MOD('Map 2 Do Touch'!H25,4),$P$2:$S$2,0)),$AF$4:$AF$6,0),MATCH(IF('Map 2 Do Touch'!H24&gt;4,"Water","Land"),'Map 3'!$AG$3:$AH$3,0)),INDEX($AK$4:$AL$6,MATCH(INDEX($P$3:$S$6,MATCH(MOD('Map 2 Do Touch'!H24,4),$O$3:$O$6,0),MATCH(MOD('Map 2 Do Touch'!H25,4),$P$2:$S$2,0)),'Map 3'!$AJ$4:$AJ$6,0),MATCH(IF('Map 2 Do Touch'!H24&gt;4,"Water","Land"),'Map 3'!$AK$3:$AL$3,0))))</f>
        <v>Flatland</v>
      </c>
      <c r="I29" s="3" t="str">
        <f ca="1">IF('Map 2 Do Touch'!H24&lt;&gt;'Map 2 Do Touch'!H25,IF('Map 2 Do Touch'!I25&gt;4,INDEX($AG$4:$AH$6,MATCH(INDEX($I$3:$L$6,MATCH(MOD('Map 2 Do Touch'!H25,4),$H$3:$H$6,0),MATCH(MOD('Map 2 Do Touch'!I25,4),$I$2:$L$2,0)),$AF$4:$AF$6,0),MATCH(IF('Map 2 Do Touch'!H25&gt;4,"Water","Land"),'Map 3'!$AG$3:$AH$3,0)),INDEX($AK$4:$AL$6,MATCH(INDEX($I$3:$L$6,MATCH(MOD('Map 2 Do Touch'!H25,4),$H$3:$H$6,0),MATCH(MOD('Map 2 Do Touch'!I25,4),$I$2:$L$2,0)),'Map 3'!$AJ$4:$AJ$6,0),MATCH(IF('Map 2 Do Touch'!H25&gt;4,"Water","Land"),'Map 3'!$AK$3:$AL$3,0))),IF('Map 2 Do Touch'!I25&gt;4,INDEX($AG$4:$AH$6,MATCH(INDEX($P$3:$S$6,MATCH(MOD('Map 2 Do Touch'!I24,4),$O$3:$O$6,0),MATCH(MOD('Map 2 Do Touch'!I25,4),$P$2:$S$2,0)),$AF$4:$AF$6,0),MATCH(IF('Map 2 Do Touch'!I24&gt;4,"Water","Land"),'Map 3'!$AG$3:$AH$3,0)),INDEX($AK$4:$AL$6,MATCH(INDEX($P$3:$S$6,MATCH(MOD('Map 2 Do Touch'!I24,4),$O$3:$O$6,0),MATCH(MOD('Map 2 Do Touch'!I25,4),$P$2:$S$2,0)),'Map 3'!$AJ$4:$AJ$6,0),MATCH(IF('Map 2 Do Touch'!I24&gt;4,"Water","Land"),'Map 3'!$AK$3:$AL$3,0))))</f>
        <v>Coast</v>
      </c>
      <c r="J29" s="3" t="str">
        <f ca="1">IF('Map 2 Do Touch'!I24&lt;&gt;'Map 2 Do Touch'!I25,IF('Map 2 Do Touch'!J25&gt;4,INDEX($AG$4:$AH$6,MATCH(INDEX($I$3:$L$6,MATCH(MOD('Map 2 Do Touch'!I25,4),$H$3:$H$6,0),MATCH(MOD('Map 2 Do Touch'!J25,4),$I$2:$L$2,0)),$AF$4:$AF$6,0),MATCH(IF('Map 2 Do Touch'!I25&gt;4,"Water","Land"),'Map 3'!$AG$3:$AH$3,0)),INDEX($AK$4:$AL$6,MATCH(INDEX($I$3:$L$6,MATCH(MOD('Map 2 Do Touch'!I25,4),$H$3:$H$6,0),MATCH(MOD('Map 2 Do Touch'!J25,4),$I$2:$L$2,0)),'Map 3'!$AJ$4:$AJ$6,0),MATCH(IF('Map 2 Do Touch'!I25&gt;4,"Water","Land"),'Map 3'!$AK$3:$AL$3,0))),IF('Map 2 Do Touch'!J25&gt;4,INDEX($AG$4:$AH$6,MATCH(INDEX($P$3:$S$6,MATCH(MOD('Map 2 Do Touch'!J24,4),$O$3:$O$6,0),MATCH(MOD('Map 2 Do Touch'!J25,4),$P$2:$S$2,0)),$AF$4:$AF$6,0),MATCH(IF('Map 2 Do Touch'!J24&gt;4,"Water","Land"),'Map 3'!$AG$3:$AH$3,0)),INDEX($AK$4:$AL$6,MATCH(INDEX($P$3:$S$6,MATCH(MOD('Map 2 Do Touch'!J24,4),$O$3:$O$6,0),MATCH(MOD('Map 2 Do Touch'!J25,4),$P$2:$S$2,0)),'Map 3'!$AJ$4:$AJ$6,0),MATCH(IF('Map 2 Do Touch'!J24&gt;4,"Water","Land"),'Map 3'!$AK$3:$AL$3,0))))</f>
        <v>Coast</v>
      </c>
      <c r="K29" s="3" t="str">
        <f ca="1">IF('Map 2 Do Touch'!J24&lt;&gt;'Map 2 Do Touch'!J25,IF('Map 2 Do Touch'!K25&gt;4,INDEX($AG$4:$AH$6,MATCH(INDEX($I$3:$L$6,MATCH(MOD('Map 2 Do Touch'!J25,4),$H$3:$H$6,0),MATCH(MOD('Map 2 Do Touch'!K25,4),$I$2:$L$2,0)),$AF$4:$AF$6,0),MATCH(IF('Map 2 Do Touch'!J25&gt;4,"Water","Land"),'Map 3'!$AG$3:$AH$3,0)),INDEX($AK$4:$AL$6,MATCH(INDEX($I$3:$L$6,MATCH(MOD('Map 2 Do Touch'!J25,4),$H$3:$H$6,0),MATCH(MOD('Map 2 Do Touch'!K25,4),$I$2:$L$2,0)),'Map 3'!$AJ$4:$AJ$6,0),MATCH(IF('Map 2 Do Touch'!J25&gt;4,"Water","Land"),'Map 3'!$AK$3:$AL$3,0))),IF('Map 2 Do Touch'!K25&gt;4,INDEX($AG$4:$AH$6,MATCH(INDEX($P$3:$S$6,MATCH(MOD('Map 2 Do Touch'!K24,4),$O$3:$O$6,0),MATCH(MOD('Map 2 Do Touch'!K25,4),$P$2:$S$2,0)),$AF$4:$AF$6,0),MATCH(IF('Map 2 Do Touch'!K24&gt;4,"Water","Land"),'Map 3'!$AG$3:$AH$3,0)),INDEX($AK$4:$AL$6,MATCH(INDEX($P$3:$S$6,MATCH(MOD('Map 2 Do Touch'!K24,4),$O$3:$O$6,0),MATCH(MOD('Map 2 Do Touch'!K25,4),$P$2:$S$2,0)),'Map 3'!$AJ$4:$AJ$6,0),MATCH(IF('Map 2 Do Touch'!K24&gt;4,"Water","Land"),'Map 3'!$AK$3:$AL$3,0))))</f>
        <v>Ocean</v>
      </c>
      <c r="L29" s="3" t="str">
        <f ca="1">IF('Map 2 Do Touch'!K24&lt;&gt;'Map 2 Do Touch'!K25,IF('Map 2 Do Touch'!L25&gt;4,INDEX($AG$4:$AH$6,MATCH(INDEX($I$3:$L$6,MATCH(MOD('Map 2 Do Touch'!K25,4),$H$3:$H$6,0),MATCH(MOD('Map 2 Do Touch'!L25,4),$I$2:$L$2,0)),$AF$4:$AF$6,0),MATCH(IF('Map 2 Do Touch'!K25&gt;4,"Water","Land"),'Map 3'!$AG$3:$AH$3,0)),INDEX($AK$4:$AL$6,MATCH(INDEX($I$3:$L$6,MATCH(MOD('Map 2 Do Touch'!K25,4),$H$3:$H$6,0),MATCH(MOD('Map 2 Do Touch'!L25,4),$I$2:$L$2,0)),'Map 3'!$AJ$4:$AJ$6,0),MATCH(IF('Map 2 Do Touch'!K25&gt;4,"Water","Land"),'Map 3'!$AK$3:$AL$3,0))),IF('Map 2 Do Touch'!L25&gt;4,INDEX($AG$4:$AH$6,MATCH(INDEX($P$3:$S$6,MATCH(MOD('Map 2 Do Touch'!L24,4),$O$3:$O$6,0),MATCH(MOD('Map 2 Do Touch'!L25,4),$P$2:$S$2,0)),$AF$4:$AF$6,0),MATCH(IF('Map 2 Do Touch'!L24&gt;4,"Water","Land"),'Map 3'!$AG$3:$AH$3,0)),INDEX($AK$4:$AL$6,MATCH(INDEX($P$3:$S$6,MATCH(MOD('Map 2 Do Touch'!L24,4),$O$3:$O$6,0),MATCH(MOD('Map 2 Do Touch'!L25,4),$P$2:$S$2,0)),'Map 3'!$AJ$4:$AJ$6,0),MATCH(IF('Map 2 Do Touch'!L24&gt;4,"Water","Land"),'Map 3'!$AK$3:$AL$3,0))))</f>
        <v>Ocean</v>
      </c>
      <c r="M29" s="3" t="str">
        <f ca="1">IF('Map 2 Do Touch'!L24&lt;&gt;'Map 2 Do Touch'!L25,IF('Map 2 Do Touch'!M25&gt;4,INDEX($AG$4:$AH$6,MATCH(INDEX($I$3:$L$6,MATCH(MOD('Map 2 Do Touch'!L25,4),$H$3:$H$6,0),MATCH(MOD('Map 2 Do Touch'!M25,4),$I$2:$L$2,0)),$AF$4:$AF$6,0),MATCH(IF('Map 2 Do Touch'!L25&gt;4,"Water","Land"),'Map 3'!$AG$3:$AH$3,0)),INDEX($AK$4:$AL$6,MATCH(INDEX($I$3:$L$6,MATCH(MOD('Map 2 Do Touch'!L25,4),$H$3:$H$6,0),MATCH(MOD('Map 2 Do Touch'!M25,4),$I$2:$L$2,0)),'Map 3'!$AJ$4:$AJ$6,0),MATCH(IF('Map 2 Do Touch'!L25&gt;4,"Water","Land"),'Map 3'!$AK$3:$AL$3,0))),IF('Map 2 Do Touch'!M25&gt;4,INDEX($AG$4:$AH$6,MATCH(INDEX($P$3:$S$6,MATCH(MOD('Map 2 Do Touch'!M24,4),$O$3:$O$6,0),MATCH(MOD('Map 2 Do Touch'!M25,4),$P$2:$S$2,0)),$AF$4:$AF$6,0),MATCH(IF('Map 2 Do Touch'!M24&gt;4,"Water","Land"),'Map 3'!$AG$3:$AH$3,0)),INDEX($AK$4:$AL$6,MATCH(INDEX($P$3:$S$6,MATCH(MOD('Map 2 Do Touch'!M24,4),$O$3:$O$6,0),MATCH(MOD('Map 2 Do Touch'!M25,4),$P$2:$S$2,0)),'Map 3'!$AJ$4:$AJ$6,0),MATCH(IF('Map 2 Do Touch'!M24&gt;4,"Water","Land"),'Map 3'!$AK$3:$AL$3,0))))</f>
        <v>Ocean</v>
      </c>
      <c r="N29" s="3" t="str">
        <f ca="1">IF('Map 2 Do Touch'!M24&lt;&gt;'Map 2 Do Touch'!M25,IF('Map 2 Do Touch'!N25&gt;4,INDEX($AG$4:$AH$6,MATCH(INDEX($I$3:$L$6,MATCH(MOD('Map 2 Do Touch'!M25,4),$H$3:$H$6,0),MATCH(MOD('Map 2 Do Touch'!N25,4),$I$2:$L$2,0)),$AF$4:$AF$6,0),MATCH(IF('Map 2 Do Touch'!M25&gt;4,"Water","Land"),'Map 3'!$AG$3:$AH$3,0)),INDEX($AK$4:$AL$6,MATCH(INDEX($I$3:$L$6,MATCH(MOD('Map 2 Do Touch'!M25,4),$H$3:$H$6,0),MATCH(MOD('Map 2 Do Touch'!N25,4),$I$2:$L$2,0)),'Map 3'!$AJ$4:$AJ$6,0),MATCH(IF('Map 2 Do Touch'!M25&gt;4,"Water","Land"),'Map 3'!$AK$3:$AL$3,0))),IF('Map 2 Do Touch'!N25&gt;4,INDEX($AG$4:$AH$6,MATCH(INDEX($P$3:$S$6,MATCH(MOD('Map 2 Do Touch'!N24,4),$O$3:$O$6,0),MATCH(MOD('Map 2 Do Touch'!N25,4),$P$2:$S$2,0)),$AF$4:$AF$6,0),MATCH(IF('Map 2 Do Touch'!N24&gt;4,"Water","Land"),'Map 3'!$AG$3:$AH$3,0)),INDEX($AK$4:$AL$6,MATCH(INDEX($P$3:$S$6,MATCH(MOD('Map 2 Do Touch'!N24,4),$O$3:$O$6,0),MATCH(MOD('Map 2 Do Touch'!N25,4),$P$2:$S$2,0)),'Map 3'!$AJ$4:$AJ$6,0),MATCH(IF('Map 2 Do Touch'!N24&gt;4,"Water","Land"),'Map 3'!$AK$3:$AL$3,0))))</f>
        <v>Ocean</v>
      </c>
      <c r="O29" s="3" t="str">
        <f ca="1">IF('Map 2 Do Touch'!N24&lt;&gt;'Map 2 Do Touch'!N25,IF('Map 2 Do Touch'!O25&gt;4,INDEX($AG$4:$AH$6,MATCH(INDEX($I$3:$L$6,MATCH(MOD('Map 2 Do Touch'!N25,4),$H$3:$H$6,0),MATCH(MOD('Map 2 Do Touch'!O25,4),$I$2:$L$2,0)),$AF$4:$AF$6,0),MATCH(IF('Map 2 Do Touch'!N25&gt;4,"Water","Land"),'Map 3'!$AG$3:$AH$3,0)),INDEX($AK$4:$AL$6,MATCH(INDEX($I$3:$L$6,MATCH(MOD('Map 2 Do Touch'!N25,4),$H$3:$H$6,0),MATCH(MOD('Map 2 Do Touch'!O25,4),$I$2:$L$2,0)),'Map 3'!$AJ$4:$AJ$6,0),MATCH(IF('Map 2 Do Touch'!N25&gt;4,"Water","Land"),'Map 3'!$AK$3:$AL$3,0))),IF('Map 2 Do Touch'!O25&gt;4,INDEX($AG$4:$AH$6,MATCH(INDEX($P$3:$S$6,MATCH(MOD('Map 2 Do Touch'!O24,4),$O$3:$O$6,0),MATCH(MOD('Map 2 Do Touch'!O25,4),$P$2:$S$2,0)),$AF$4:$AF$6,0),MATCH(IF('Map 2 Do Touch'!O24&gt;4,"Water","Land"),'Map 3'!$AG$3:$AH$3,0)),INDEX($AK$4:$AL$6,MATCH(INDEX($P$3:$S$6,MATCH(MOD('Map 2 Do Touch'!O24,4),$O$3:$O$6,0),MATCH(MOD('Map 2 Do Touch'!O25,4),$P$2:$S$2,0)),'Map 3'!$AJ$4:$AJ$6,0),MATCH(IF('Map 2 Do Touch'!O24&gt;4,"Water","Land"),'Map 3'!$AK$3:$AL$3,0))))</f>
        <v>Ocean</v>
      </c>
      <c r="P29" s="3" t="str">
        <f ca="1">IF('Map 2 Do Touch'!O24&lt;&gt;'Map 2 Do Touch'!O25,IF('Map 2 Do Touch'!P25&gt;4,INDEX($AG$4:$AH$6,MATCH(INDEX($I$3:$L$6,MATCH(MOD('Map 2 Do Touch'!O25,4),$H$3:$H$6,0),MATCH(MOD('Map 2 Do Touch'!P25,4),$I$2:$L$2,0)),$AF$4:$AF$6,0),MATCH(IF('Map 2 Do Touch'!O25&gt;4,"Water","Land"),'Map 3'!$AG$3:$AH$3,0)),INDEX($AK$4:$AL$6,MATCH(INDEX($I$3:$L$6,MATCH(MOD('Map 2 Do Touch'!O25,4),$H$3:$H$6,0),MATCH(MOD('Map 2 Do Touch'!P25,4),$I$2:$L$2,0)),'Map 3'!$AJ$4:$AJ$6,0),MATCH(IF('Map 2 Do Touch'!O25&gt;4,"Water","Land"),'Map 3'!$AK$3:$AL$3,0))),IF('Map 2 Do Touch'!P25&gt;4,INDEX($AG$4:$AH$6,MATCH(INDEX($P$3:$S$6,MATCH(MOD('Map 2 Do Touch'!P24,4),$O$3:$O$6,0),MATCH(MOD('Map 2 Do Touch'!P25,4),$P$2:$S$2,0)),$AF$4:$AF$6,0),MATCH(IF('Map 2 Do Touch'!P24&gt;4,"Water","Land"),'Map 3'!$AG$3:$AH$3,0)),INDEX($AK$4:$AL$6,MATCH(INDEX($P$3:$S$6,MATCH(MOD('Map 2 Do Touch'!P24,4),$O$3:$O$6,0),MATCH(MOD('Map 2 Do Touch'!P25,4),$P$2:$S$2,0)),'Map 3'!$AJ$4:$AJ$6,0),MATCH(IF('Map 2 Do Touch'!P24&gt;4,"Water","Land"),'Map 3'!$AK$3:$AL$3,0))))</f>
        <v>Ocean</v>
      </c>
      <c r="Q29" s="3" t="str">
        <f ca="1">IF('Map 2 Do Touch'!P24&lt;&gt;'Map 2 Do Touch'!P25,IF('Map 2 Do Touch'!Q25&gt;4,INDEX($AG$4:$AH$6,MATCH(INDEX($I$3:$L$6,MATCH(MOD('Map 2 Do Touch'!P25,4),$H$3:$H$6,0),MATCH(MOD('Map 2 Do Touch'!Q25,4),$I$2:$L$2,0)),$AF$4:$AF$6,0),MATCH(IF('Map 2 Do Touch'!P25&gt;4,"Water","Land"),'Map 3'!$AG$3:$AH$3,0)),INDEX($AK$4:$AL$6,MATCH(INDEX($I$3:$L$6,MATCH(MOD('Map 2 Do Touch'!P25,4),$H$3:$H$6,0),MATCH(MOD('Map 2 Do Touch'!Q25,4),$I$2:$L$2,0)),'Map 3'!$AJ$4:$AJ$6,0),MATCH(IF('Map 2 Do Touch'!P25&gt;4,"Water","Land"),'Map 3'!$AK$3:$AL$3,0))),IF('Map 2 Do Touch'!Q25&gt;4,INDEX($AG$4:$AH$6,MATCH(INDEX($P$3:$S$6,MATCH(MOD('Map 2 Do Touch'!Q24,4),$O$3:$O$6,0),MATCH(MOD('Map 2 Do Touch'!Q25,4),$P$2:$S$2,0)),$AF$4:$AF$6,0),MATCH(IF('Map 2 Do Touch'!Q24&gt;4,"Water","Land"),'Map 3'!$AG$3:$AH$3,0)),INDEX($AK$4:$AL$6,MATCH(INDEX($P$3:$S$6,MATCH(MOD('Map 2 Do Touch'!Q24,4),$O$3:$O$6,0),MATCH(MOD('Map 2 Do Touch'!Q25,4),$P$2:$S$2,0)),'Map 3'!$AJ$4:$AJ$6,0),MATCH(IF('Map 2 Do Touch'!Q24&gt;4,"Water","Land"),'Map 3'!$AK$3:$AL$3,0))))</f>
        <v>Coast</v>
      </c>
      <c r="R29" s="3" t="str">
        <f ca="1">IF('Map 2 Do Touch'!Q24&lt;&gt;'Map 2 Do Touch'!Q25,IF('Map 2 Do Touch'!R25&gt;4,INDEX($AG$4:$AH$6,MATCH(INDEX($I$3:$L$6,MATCH(MOD('Map 2 Do Touch'!Q25,4),$H$3:$H$6,0),MATCH(MOD('Map 2 Do Touch'!R25,4),$I$2:$L$2,0)),$AF$4:$AF$6,0),MATCH(IF('Map 2 Do Touch'!Q25&gt;4,"Water","Land"),'Map 3'!$AG$3:$AH$3,0)),INDEX($AK$4:$AL$6,MATCH(INDEX($I$3:$L$6,MATCH(MOD('Map 2 Do Touch'!Q25,4),$H$3:$H$6,0),MATCH(MOD('Map 2 Do Touch'!R25,4),$I$2:$L$2,0)),'Map 3'!$AJ$4:$AJ$6,0),MATCH(IF('Map 2 Do Touch'!Q25&gt;4,"Water","Land"),'Map 3'!$AK$3:$AL$3,0))),IF('Map 2 Do Touch'!R25&gt;4,INDEX($AG$4:$AH$6,MATCH(INDEX($P$3:$S$6,MATCH(MOD('Map 2 Do Touch'!R24,4),$O$3:$O$6,0),MATCH(MOD('Map 2 Do Touch'!R25,4),$P$2:$S$2,0)),$AF$4:$AF$6,0),MATCH(IF('Map 2 Do Touch'!R24&gt;4,"Water","Land"),'Map 3'!$AG$3:$AH$3,0)),INDEX($AK$4:$AL$6,MATCH(INDEX($P$3:$S$6,MATCH(MOD('Map 2 Do Touch'!R24,4),$O$3:$O$6,0),MATCH(MOD('Map 2 Do Touch'!R25,4),$P$2:$S$2,0)),'Map 3'!$AJ$4:$AJ$6,0),MATCH(IF('Map 2 Do Touch'!R24&gt;4,"Water","Land"),'Map 3'!$AK$3:$AL$3,0))))</f>
        <v>Ocean</v>
      </c>
      <c r="S29" s="3" t="str">
        <f ca="1">IF('Map 2 Do Touch'!R24&lt;&gt;'Map 2 Do Touch'!R25,IF('Map 2 Do Touch'!S25&gt;4,INDEX($AG$4:$AH$6,MATCH(INDEX($I$3:$L$6,MATCH(MOD('Map 2 Do Touch'!R25,4),$H$3:$H$6,0),MATCH(MOD('Map 2 Do Touch'!S25,4),$I$2:$L$2,0)),$AF$4:$AF$6,0),MATCH(IF('Map 2 Do Touch'!R25&gt;4,"Water","Land"),'Map 3'!$AG$3:$AH$3,0)),INDEX($AK$4:$AL$6,MATCH(INDEX($I$3:$L$6,MATCH(MOD('Map 2 Do Touch'!R25,4),$H$3:$H$6,0),MATCH(MOD('Map 2 Do Touch'!S25,4),$I$2:$L$2,0)),'Map 3'!$AJ$4:$AJ$6,0),MATCH(IF('Map 2 Do Touch'!R25&gt;4,"Water","Land"),'Map 3'!$AK$3:$AL$3,0))),IF('Map 2 Do Touch'!S25&gt;4,INDEX($AG$4:$AH$6,MATCH(INDEX($P$3:$S$6,MATCH(MOD('Map 2 Do Touch'!S24,4),$O$3:$O$6,0),MATCH(MOD('Map 2 Do Touch'!S25,4),$P$2:$S$2,0)),$AF$4:$AF$6,0),MATCH(IF('Map 2 Do Touch'!S24&gt;4,"Water","Land"),'Map 3'!$AG$3:$AH$3,0)),INDEX($AK$4:$AL$6,MATCH(INDEX($P$3:$S$6,MATCH(MOD('Map 2 Do Touch'!S24,4),$O$3:$O$6,0),MATCH(MOD('Map 2 Do Touch'!S25,4),$P$2:$S$2,0)),'Map 3'!$AJ$4:$AJ$6,0),MATCH(IF('Map 2 Do Touch'!S24&gt;4,"Water","Land"),'Map 3'!$AK$3:$AL$3,0))))</f>
        <v>Flatland</v>
      </c>
      <c r="T29" s="3" t="str">
        <f ca="1">IF('Map 2 Do Touch'!S24&lt;&gt;'Map 2 Do Touch'!S25,IF('Map 2 Do Touch'!T25&gt;4,INDEX($AG$4:$AH$6,MATCH(INDEX($I$3:$L$6,MATCH(MOD('Map 2 Do Touch'!S25,4),$H$3:$H$6,0),MATCH(MOD('Map 2 Do Touch'!T25,4),$I$2:$L$2,0)),$AF$4:$AF$6,0),MATCH(IF('Map 2 Do Touch'!S25&gt;4,"Water","Land"),'Map 3'!$AG$3:$AH$3,0)),INDEX($AK$4:$AL$6,MATCH(INDEX($I$3:$L$6,MATCH(MOD('Map 2 Do Touch'!S25,4),$H$3:$H$6,0),MATCH(MOD('Map 2 Do Touch'!T25,4),$I$2:$L$2,0)),'Map 3'!$AJ$4:$AJ$6,0),MATCH(IF('Map 2 Do Touch'!S25&gt;4,"Water","Land"),'Map 3'!$AK$3:$AL$3,0))),IF('Map 2 Do Touch'!T25&gt;4,INDEX($AG$4:$AH$6,MATCH(INDEX($P$3:$S$6,MATCH(MOD('Map 2 Do Touch'!T24,4),$O$3:$O$6,0),MATCH(MOD('Map 2 Do Touch'!T25,4),$P$2:$S$2,0)),$AF$4:$AF$6,0),MATCH(IF('Map 2 Do Touch'!T24&gt;4,"Water","Land"),'Map 3'!$AG$3:$AH$3,0)),INDEX($AK$4:$AL$6,MATCH(INDEX($P$3:$S$6,MATCH(MOD('Map 2 Do Touch'!T24,4),$O$3:$O$6,0),MATCH(MOD('Map 2 Do Touch'!T25,4),$P$2:$S$2,0)),'Map 3'!$AJ$4:$AJ$6,0),MATCH(IF('Map 2 Do Touch'!T24&gt;4,"Water","Land"),'Map 3'!$AK$3:$AL$3,0))))</f>
        <v>Flatland</v>
      </c>
      <c r="U29" s="3" t="str">
        <f ca="1">IF('Map 2 Do Touch'!T24&lt;&gt;'Map 2 Do Touch'!T25,IF('Map 2 Do Touch'!U25&gt;4,INDEX($AG$4:$AH$6,MATCH(INDEX($I$3:$L$6,MATCH(MOD('Map 2 Do Touch'!T25,4),$H$3:$H$6,0),MATCH(MOD('Map 2 Do Touch'!U25,4),$I$2:$L$2,0)),$AF$4:$AF$6,0),MATCH(IF('Map 2 Do Touch'!T25&gt;4,"Water","Land"),'Map 3'!$AG$3:$AH$3,0)),INDEX($AK$4:$AL$6,MATCH(INDEX($I$3:$L$6,MATCH(MOD('Map 2 Do Touch'!T25,4),$H$3:$H$6,0),MATCH(MOD('Map 2 Do Touch'!U25,4),$I$2:$L$2,0)),'Map 3'!$AJ$4:$AJ$6,0),MATCH(IF('Map 2 Do Touch'!T25&gt;4,"Water","Land"),'Map 3'!$AK$3:$AL$3,0))),IF('Map 2 Do Touch'!U25&gt;4,INDEX($AG$4:$AH$6,MATCH(INDEX($P$3:$S$6,MATCH(MOD('Map 2 Do Touch'!U24,4),$O$3:$O$6,0),MATCH(MOD('Map 2 Do Touch'!U25,4),$P$2:$S$2,0)),$AF$4:$AF$6,0),MATCH(IF('Map 2 Do Touch'!U24&gt;4,"Water","Land"),'Map 3'!$AG$3:$AH$3,0)),INDEX($AK$4:$AL$6,MATCH(INDEX($P$3:$S$6,MATCH(MOD('Map 2 Do Touch'!U24,4),$O$3:$O$6,0),MATCH(MOD('Map 2 Do Touch'!U25,4),$P$2:$S$2,0)),'Map 3'!$AJ$4:$AJ$6,0),MATCH(IF('Map 2 Do Touch'!U24&gt;4,"Water","Land"),'Map 3'!$AK$3:$AL$3,0))))</f>
        <v>Flatland</v>
      </c>
      <c r="V29" s="3" t="str">
        <f ca="1">IF('Map 2 Do Touch'!U24&lt;&gt;'Map 2 Do Touch'!U25,IF('Map 2 Do Touch'!V25&gt;4,INDEX($AG$4:$AH$6,MATCH(INDEX($I$3:$L$6,MATCH(MOD('Map 2 Do Touch'!U25,4),$H$3:$H$6,0),MATCH(MOD('Map 2 Do Touch'!V25,4),$I$2:$L$2,0)),$AF$4:$AF$6,0),MATCH(IF('Map 2 Do Touch'!U25&gt;4,"Water","Land"),'Map 3'!$AG$3:$AH$3,0)),INDEX($AK$4:$AL$6,MATCH(INDEX($I$3:$L$6,MATCH(MOD('Map 2 Do Touch'!U25,4),$H$3:$H$6,0),MATCH(MOD('Map 2 Do Touch'!V25,4),$I$2:$L$2,0)),'Map 3'!$AJ$4:$AJ$6,0),MATCH(IF('Map 2 Do Touch'!U25&gt;4,"Water","Land"),'Map 3'!$AK$3:$AL$3,0))),IF('Map 2 Do Touch'!V25&gt;4,INDEX($AG$4:$AH$6,MATCH(INDEX($P$3:$S$6,MATCH(MOD('Map 2 Do Touch'!V24,4),$O$3:$O$6,0),MATCH(MOD('Map 2 Do Touch'!V25,4),$P$2:$S$2,0)),$AF$4:$AF$6,0),MATCH(IF('Map 2 Do Touch'!V24&gt;4,"Water","Land"),'Map 3'!$AG$3:$AH$3,0)),INDEX($AK$4:$AL$6,MATCH(INDEX($P$3:$S$6,MATCH(MOD('Map 2 Do Touch'!V24,4),$O$3:$O$6,0),MATCH(MOD('Map 2 Do Touch'!V25,4),$P$2:$S$2,0)),'Map 3'!$AJ$4:$AJ$6,0),MATCH(IF('Map 2 Do Touch'!V24&gt;4,"Water","Land"),'Map 3'!$AK$3:$AL$3,0))))</f>
        <v>Flatland</v>
      </c>
      <c r="W29" s="3" t="str">
        <f ca="1">IF('Map 2 Do Touch'!V24&lt;&gt;'Map 2 Do Touch'!V25,IF('Map 2 Do Touch'!W25&gt;4,INDEX($AG$4:$AH$6,MATCH(INDEX($I$3:$L$6,MATCH(MOD('Map 2 Do Touch'!V25,4),$H$3:$H$6,0),MATCH(MOD('Map 2 Do Touch'!W25,4),$I$2:$L$2,0)),$AF$4:$AF$6,0),MATCH(IF('Map 2 Do Touch'!V25&gt;4,"Water","Land"),'Map 3'!$AG$3:$AH$3,0)),INDEX($AK$4:$AL$6,MATCH(INDEX($I$3:$L$6,MATCH(MOD('Map 2 Do Touch'!V25,4),$H$3:$H$6,0),MATCH(MOD('Map 2 Do Touch'!W25,4),$I$2:$L$2,0)),'Map 3'!$AJ$4:$AJ$6,0),MATCH(IF('Map 2 Do Touch'!V25&gt;4,"Water","Land"),'Map 3'!$AK$3:$AL$3,0))),IF('Map 2 Do Touch'!W25&gt;4,INDEX($AG$4:$AH$6,MATCH(INDEX($P$3:$S$6,MATCH(MOD('Map 2 Do Touch'!W24,4),$O$3:$O$6,0),MATCH(MOD('Map 2 Do Touch'!W25,4),$P$2:$S$2,0)),$AF$4:$AF$6,0),MATCH(IF('Map 2 Do Touch'!W24&gt;4,"Water","Land"),'Map 3'!$AG$3:$AH$3,0)),INDEX($AK$4:$AL$6,MATCH(INDEX($P$3:$S$6,MATCH(MOD('Map 2 Do Touch'!W24,4),$O$3:$O$6,0),MATCH(MOD('Map 2 Do Touch'!W25,4),$P$2:$S$2,0)),'Map 3'!$AJ$4:$AJ$6,0),MATCH(IF('Map 2 Do Touch'!W24&gt;4,"Water","Land"),'Map 3'!$AK$3:$AL$3,0))))</f>
        <v>Ocean</v>
      </c>
      <c r="X29" s="3" t="str">
        <f ca="1">IF('Map 2 Do Touch'!W24&lt;&gt;'Map 2 Do Touch'!W25,IF('Map 2 Do Touch'!X25&gt;4,INDEX($AG$4:$AH$6,MATCH(INDEX($I$3:$L$6,MATCH(MOD('Map 2 Do Touch'!W25,4),$H$3:$H$6,0),MATCH(MOD('Map 2 Do Touch'!X25,4),$I$2:$L$2,0)),$AF$4:$AF$6,0),MATCH(IF('Map 2 Do Touch'!W25&gt;4,"Water","Land"),'Map 3'!$AG$3:$AH$3,0)),INDEX($AK$4:$AL$6,MATCH(INDEX($I$3:$L$6,MATCH(MOD('Map 2 Do Touch'!W25,4),$H$3:$H$6,0),MATCH(MOD('Map 2 Do Touch'!X25,4),$I$2:$L$2,0)),'Map 3'!$AJ$4:$AJ$6,0),MATCH(IF('Map 2 Do Touch'!W25&gt;4,"Water","Land"),'Map 3'!$AK$3:$AL$3,0))),IF('Map 2 Do Touch'!X25&gt;4,INDEX($AG$4:$AH$6,MATCH(INDEX($P$3:$S$6,MATCH(MOD('Map 2 Do Touch'!X24,4),$O$3:$O$6,0),MATCH(MOD('Map 2 Do Touch'!X25,4),$P$2:$S$2,0)),$AF$4:$AF$6,0),MATCH(IF('Map 2 Do Touch'!X24&gt;4,"Water","Land"),'Map 3'!$AG$3:$AH$3,0)),INDEX($AK$4:$AL$6,MATCH(INDEX($P$3:$S$6,MATCH(MOD('Map 2 Do Touch'!X24,4),$O$3:$O$6,0),MATCH(MOD('Map 2 Do Touch'!X25,4),$P$2:$S$2,0)),'Map 3'!$AJ$4:$AJ$6,0),MATCH(IF('Map 2 Do Touch'!X24&gt;4,"Water","Land"),'Map 3'!$AK$3:$AL$3,0))))</f>
        <v>Coast</v>
      </c>
      <c r="Y29" s="3" t="str">
        <f ca="1">IF('Map 2 Do Touch'!X24&lt;&gt;'Map 2 Do Touch'!X25,IF('Map 2 Do Touch'!Y25&gt;4,INDEX($AG$4:$AH$6,MATCH(INDEX($I$3:$L$6,MATCH(MOD('Map 2 Do Touch'!X25,4),$H$3:$H$6,0),MATCH(MOD('Map 2 Do Touch'!Y25,4),$I$2:$L$2,0)),$AF$4:$AF$6,0),MATCH(IF('Map 2 Do Touch'!X25&gt;4,"Water","Land"),'Map 3'!$AG$3:$AH$3,0)),INDEX($AK$4:$AL$6,MATCH(INDEX($I$3:$L$6,MATCH(MOD('Map 2 Do Touch'!X25,4),$H$3:$H$6,0),MATCH(MOD('Map 2 Do Touch'!Y25,4),$I$2:$L$2,0)),'Map 3'!$AJ$4:$AJ$6,0),MATCH(IF('Map 2 Do Touch'!X25&gt;4,"Water","Land"),'Map 3'!$AK$3:$AL$3,0))),IF('Map 2 Do Touch'!Y25&gt;4,INDEX($AG$4:$AH$6,MATCH(INDEX($P$3:$S$6,MATCH(MOD('Map 2 Do Touch'!Y24,4),$O$3:$O$6,0),MATCH(MOD('Map 2 Do Touch'!Y25,4),$P$2:$S$2,0)),$AF$4:$AF$6,0),MATCH(IF('Map 2 Do Touch'!Y24&gt;4,"Water","Land"),'Map 3'!$AG$3:$AH$3,0)),INDEX($AK$4:$AL$6,MATCH(INDEX($P$3:$S$6,MATCH(MOD('Map 2 Do Touch'!Y24,4),$O$3:$O$6,0),MATCH(MOD('Map 2 Do Touch'!Y25,4),$P$2:$S$2,0)),'Map 3'!$AJ$4:$AJ$6,0),MATCH(IF('Map 2 Do Touch'!Y24&gt;4,"Water","Land"),'Map 3'!$AK$3:$AL$3,0))))</f>
        <v>Ocean</v>
      </c>
      <c r="Z29" s="3" t="str">
        <f ca="1">IF('Map 2 Do Touch'!Y24&lt;&gt;'Map 2 Do Touch'!Y25,IF('Map 2 Do Touch'!Z25&gt;4,INDEX($AG$4:$AH$6,MATCH(INDEX($I$3:$L$6,MATCH(MOD('Map 2 Do Touch'!Y25,4),$H$3:$H$6,0),MATCH(MOD('Map 2 Do Touch'!Z25,4),$I$2:$L$2,0)),$AF$4:$AF$6,0),MATCH(IF('Map 2 Do Touch'!Y25&gt;4,"Water","Land"),'Map 3'!$AG$3:$AH$3,0)),INDEX($AK$4:$AL$6,MATCH(INDEX($I$3:$L$6,MATCH(MOD('Map 2 Do Touch'!Y25,4),$H$3:$H$6,0),MATCH(MOD('Map 2 Do Touch'!Z25,4),$I$2:$L$2,0)),'Map 3'!$AJ$4:$AJ$6,0),MATCH(IF('Map 2 Do Touch'!Y25&gt;4,"Water","Land"),'Map 3'!$AK$3:$AL$3,0))),IF('Map 2 Do Touch'!Z25&gt;4,INDEX($AG$4:$AH$6,MATCH(INDEX($P$3:$S$6,MATCH(MOD('Map 2 Do Touch'!Z24,4),$O$3:$O$6,0),MATCH(MOD('Map 2 Do Touch'!Z25,4),$P$2:$S$2,0)),$AF$4:$AF$6,0),MATCH(IF('Map 2 Do Touch'!Z24&gt;4,"Water","Land"),'Map 3'!$AG$3:$AH$3,0)),INDEX($AK$4:$AL$6,MATCH(INDEX($P$3:$S$6,MATCH(MOD('Map 2 Do Touch'!Z24,4),$O$3:$O$6,0),MATCH(MOD('Map 2 Do Touch'!Z25,4),$P$2:$S$2,0)),'Map 3'!$AJ$4:$AJ$6,0),MATCH(IF('Map 2 Do Touch'!Z24&gt;4,"Water","Land"),'Map 3'!$AK$3:$AL$3,0))))</f>
        <v>Island</v>
      </c>
      <c r="AA29" s="3" t="str">
        <f ca="1">IF('Map 2 Do Touch'!Z24&lt;&gt;'Map 2 Do Touch'!Z25,IF('Map 2 Do Touch'!AA25&gt;4,INDEX($AG$4:$AH$6,MATCH(INDEX($I$3:$L$6,MATCH(MOD('Map 2 Do Touch'!Z25,4),$H$3:$H$6,0),MATCH(MOD('Map 2 Do Touch'!AA25,4),$I$2:$L$2,0)),$AF$4:$AF$6,0),MATCH(IF('Map 2 Do Touch'!Z25&gt;4,"Water","Land"),'Map 3'!$AG$3:$AH$3,0)),INDEX($AK$4:$AL$6,MATCH(INDEX($I$3:$L$6,MATCH(MOD('Map 2 Do Touch'!Z25,4),$H$3:$H$6,0),MATCH(MOD('Map 2 Do Touch'!AA25,4),$I$2:$L$2,0)),'Map 3'!$AJ$4:$AJ$6,0),MATCH(IF('Map 2 Do Touch'!Z25&gt;4,"Water","Land"),'Map 3'!$AK$3:$AL$3,0))),IF('Map 2 Do Touch'!AA25&gt;4,INDEX($AG$4:$AH$6,MATCH(INDEX($P$3:$S$6,MATCH(MOD('Map 2 Do Touch'!AA24,4),$O$3:$O$6,0),MATCH(MOD('Map 2 Do Touch'!AA25,4),$P$2:$S$2,0)),$AF$4:$AF$6,0),MATCH(IF('Map 2 Do Touch'!AA24&gt;4,"Water","Land"),'Map 3'!$AG$3:$AH$3,0)),INDEX($AK$4:$AL$6,MATCH(INDEX($P$3:$S$6,MATCH(MOD('Map 2 Do Touch'!AA24,4),$O$3:$O$6,0),MATCH(MOD('Map 2 Do Touch'!AA25,4),$P$2:$S$2,0)),'Map 3'!$AJ$4:$AJ$6,0),MATCH(IF('Map 2 Do Touch'!AA24&gt;4,"Water","Land"),'Map 3'!$AK$3:$AL$3,0))))</f>
        <v>Ocean</v>
      </c>
      <c r="AB29" s="3" t="str">
        <f ca="1">IF('Map 2 Do Touch'!AA24&lt;&gt;'Map 2 Do Touch'!AA25,IF('Map 2 Do Touch'!AB25&gt;4,INDEX($AG$4:$AH$6,MATCH(INDEX($I$3:$L$6,MATCH(MOD('Map 2 Do Touch'!AA25,4),$H$3:$H$6,0),MATCH(MOD('Map 2 Do Touch'!AB25,4),$I$2:$L$2,0)),$AF$4:$AF$6,0),MATCH(IF('Map 2 Do Touch'!AA25&gt;4,"Water","Land"),'Map 3'!$AG$3:$AH$3,0)),INDEX($AK$4:$AL$6,MATCH(INDEX($I$3:$L$6,MATCH(MOD('Map 2 Do Touch'!AA25,4),$H$3:$H$6,0),MATCH(MOD('Map 2 Do Touch'!AB25,4),$I$2:$L$2,0)),'Map 3'!$AJ$4:$AJ$6,0),MATCH(IF('Map 2 Do Touch'!AA25&gt;4,"Water","Land"),'Map 3'!$AK$3:$AL$3,0))),IF('Map 2 Do Touch'!AB25&gt;4,INDEX($AG$4:$AH$6,MATCH(INDEX($P$3:$S$6,MATCH(MOD('Map 2 Do Touch'!AB24,4),$O$3:$O$6,0),MATCH(MOD('Map 2 Do Touch'!AB25,4),$P$2:$S$2,0)),$AF$4:$AF$6,0),MATCH(IF('Map 2 Do Touch'!AB24&gt;4,"Water","Land"),'Map 3'!$AG$3:$AH$3,0)),INDEX($AK$4:$AL$6,MATCH(INDEX($P$3:$S$6,MATCH(MOD('Map 2 Do Touch'!AB24,4),$O$3:$O$6,0),MATCH(MOD('Map 2 Do Touch'!AB25,4),$P$2:$S$2,0)),'Map 3'!$AJ$4:$AJ$6,0),MATCH(IF('Map 2 Do Touch'!AB24&gt;4,"Water","Land"),'Map 3'!$AK$3:$AL$3,0))))</f>
        <v>Ocean</v>
      </c>
      <c r="AC29" s="3" t="str">
        <f ca="1">IF('Map 2 Do Touch'!AB24&lt;&gt;'Map 2 Do Touch'!AB25,IF('Map 2 Do Touch'!AC25&gt;4,INDEX($AG$4:$AH$6,MATCH(INDEX($I$3:$L$6,MATCH(MOD('Map 2 Do Touch'!AB25,4),$H$3:$H$6,0),MATCH(MOD('Map 2 Do Touch'!AC25,4),$I$2:$L$2,0)),$AF$4:$AF$6,0),MATCH(IF('Map 2 Do Touch'!AB25&gt;4,"Water","Land"),'Map 3'!$AG$3:$AH$3,0)),INDEX($AK$4:$AL$6,MATCH(INDEX($I$3:$L$6,MATCH(MOD('Map 2 Do Touch'!AB25,4),$H$3:$H$6,0),MATCH(MOD('Map 2 Do Touch'!AC25,4),$I$2:$L$2,0)),'Map 3'!$AJ$4:$AJ$6,0),MATCH(IF('Map 2 Do Touch'!AB25&gt;4,"Water","Land"),'Map 3'!$AK$3:$AL$3,0))),IF('Map 2 Do Touch'!AC25&gt;4,INDEX($AG$4:$AH$6,MATCH(INDEX($P$3:$S$6,MATCH(MOD('Map 2 Do Touch'!AC24,4),$O$3:$O$6,0),MATCH(MOD('Map 2 Do Touch'!AC25,4),$P$2:$S$2,0)),$AF$4:$AF$6,0),MATCH(IF('Map 2 Do Touch'!AC24&gt;4,"Water","Land"),'Map 3'!$AG$3:$AH$3,0)),INDEX($AK$4:$AL$6,MATCH(INDEX($P$3:$S$6,MATCH(MOD('Map 2 Do Touch'!AC24,4),$O$3:$O$6,0),MATCH(MOD('Map 2 Do Touch'!AC25,4),$P$2:$S$2,0)),'Map 3'!$AJ$4:$AJ$6,0),MATCH(IF('Map 2 Do Touch'!AC24&gt;4,"Water","Land"),'Map 3'!$AK$3:$AL$3,0))))</f>
        <v>Ocean</v>
      </c>
      <c r="AD29" s="3" t="str">
        <f ca="1">IF('Map 2 Do Touch'!AC24&lt;&gt;'Map 2 Do Touch'!AC25,IF('Map 2 Do Touch'!AD25&gt;4,INDEX($AG$4:$AH$6,MATCH(INDEX($I$3:$L$6,MATCH(MOD('Map 2 Do Touch'!AC25,4),$H$3:$H$6,0),MATCH(MOD('Map 2 Do Touch'!AD25,4),$I$2:$L$2,0)),$AF$4:$AF$6,0),MATCH(IF('Map 2 Do Touch'!AC25&gt;4,"Water","Land"),'Map 3'!$AG$3:$AH$3,0)),INDEX($AK$4:$AL$6,MATCH(INDEX($I$3:$L$6,MATCH(MOD('Map 2 Do Touch'!AC25,4),$H$3:$H$6,0),MATCH(MOD('Map 2 Do Touch'!AD25,4),$I$2:$L$2,0)),'Map 3'!$AJ$4:$AJ$6,0),MATCH(IF('Map 2 Do Touch'!AC25&gt;4,"Water","Land"),'Map 3'!$AK$3:$AL$3,0))),IF('Map 2 Do Touch'!AD25&gt;4,INDEX($AG$4:$AH$6,MATCH(INDEX($P$3:$S$6,MATCH(MOD('Map 2 Do Touch'!AD24,4),$O$3:$O$6,0),MATCH(MOD('Map 2 Do Touch'!AD25,4),$P$2:$S$2,0)),$AF$4:$AF$6,0),MATCH(IF('Map 2 Do Touch'!AD24&gt;4,"Water","Land"),'Map 3'!$AG$3:$AH$3,0)),INDEX($AK$4:$AL$6,MATCH(INDEX($P$3:$S$6,MATCH(MOD('Map 2 Do Touch'!AD24,4),$O$3:$O$6,0),MATCH(MOD('Map 2 Do Touch'!AD25,4),$P$2:$S$2,0)),'Map 3'!$AJ$4:$AJ$6,0),MATCH(IF('Map 2 Do Touch'!AD24&gt;4,"Water","Land"),'Map 3'!$AK$3:$AL$3,0))))</f>
        <v>Ocean</v>
      </c>
      <c r="AE29" s="3" t="str">
        <f ca="1">IF('Map 2 Do Touch'!AD24&lt;&gt;'Map 2 Do Touch'!AD25,IF('Map 2 Do Touch'!AE25&gt;4,INDEX($AG$4:$AH$6,MATCH(INDEX($I$3:$L$6,MATCH(MOD('Map 2 Do Touch'!AD25,4),$H$3:$H$6,0),MATCH(MOD('Map 2 Do Touch'!AE25,4),$I$2:$L$2,0)),$AF$4:$AF$6,0),MATCH(IF('Map 2 Do Touch'!AD25&gt;4,"Water","Land"),'Map 3'!$AG$3:$AH$3,0)),INDEX($AK$4:$AL$6,MATCH(INDEX($I$3:$L$6,MATCH(MOD('Map 2 Do Touch'!AD25,4),$H$3:$H$6,0),MATCH(MOD('Map 2 Do Touch'!AE25,4),$I$2:$L$2,0)),'Map 3'!$AJ$4:$AJ$6,0),MATCH(IF('Map 2 Do Touch'!AD25&gt;4,"Water","Land"),'Map 3'!$AK$3:$AL$3,0))),IF('Map 2 Do Touch'!AE25&gt;4,INDEX($AG$4:$AH$6,MATCH(INDEX($P$3:$S$6,MATCH(MOD('Map 2 Do Touch'!AE24,4),$O$3:$O$6,0),MATCH(MOD('Map 2 Do Touch'!AE25,4),$P$2:$S$2,0)),$AF$4:$AF$6,0),MATCH(IF('Map 2 Do Touch'!AE24&gt;4,"Water","Land"),'Map 3'!$AG$3:$AH$3,0)),INDEX($AK$4:$AL$6,MATCH(INDEX($P$3:$S$6,MATCH(MOD('Map 2 Do Touch'!AE24,4),$O$3:$O$6,0),MATCH(MOD('Map 2 Do Touch'!AE25,4),$P$2:$S$2,0)),'Map 3'!$AJ$4:$AJ$6,0),MATCH(IF('Map 2 Do Touch'!AE24&gt;4,"Water","Land"),'Map 3'!$AK$3:$AL$3,0))))</f>
        <v>Ocean</v>
      </c>
      <c r="AF29" s="3" t="str">
        <f ca="1">IF('Map 2 Do Touch'!AE24&lt;&gt;'Map 2 Do Touch'!AE25,IF('Map 2 Do Touch'!AF25&gt;4,INDEX($AG$4:$AH$6,MATCH(INDEX($I$3:$L$6,MATCH(MOD('Map 2 Do Touch'!AE25,4),$H$3:$H$6,0),MATCH(MOD('Map 2 Do Touch'!AF25,4),$I$2:$L$2,0)),$AF$4:$AF$6,0),MATCH(IF('Map 2 Do Touch'!AE25&gt;4,"Water","Land"),'Map 3'!$AG$3:$AH$3,0)),INDEX($AK$4:$AL$6,MATCH(INDEX($I$3:$L$6,MATCH(MOD('Map 2 Do Touch'!AE25,4),$H$3:$H$6,0),MATCH(MOD('Map 2 Do Touch'!AF25,4),$I$2:$L$2,0)),'Map 3'!$AJ$4:$AJ$6,0),MATCH(IF('Map 2 Do Touch'!AE25&gt;4,"Water","Land"),'Map 3'!$AK$3:$AL$3,0))),IF('Map 2 Do Touch'!AF25&gt;4,INDEX($AG$4:$AH$6,MATCH(INDEX($P$3:$S$6,MATCH(MOD('Map 2 Do Touch'!AF24,4),$O$3:$O$6,0),MATCH(MOD('Map 2 Do Touch'!AF25,4),$P$2:$S$2,0)),$AF$4:$AF$6,0),MATCH(IF('Map 2 Do Touch'!AF24&gt;4,"Water","Land"),'Map 3'!$AG$3:$AH$3,0)),INDEX($AK$4:$AL$6,MATCH(INDEX($P$3:$S$6,MATCH(MOD('Map 2 Do Touch'!AF24,4),$O$3:$O$6,0),MATCH(MOD('Map 2 Do Touch'!AF25,4),$P$2:$S$2,0)),'Map 3'!$AJ$4:$AJ$6,0),MATCH(IF('Map 2 Do Touch'!AF24&gt;4,"Water","Land"),'Map 3'!$AK$3:$AL$3,0))))</f>
        <v>Ocean</v>
      </c>
      <c r="AG29" s="3" t="str">
        <f ca="1">IF('Map 2 Do Touch'!AF24&lt;&gt;'Map 2 Do Touch'!AF25,IF('Map 2 Do Touch'!AG25&gt;4,INDEX($AG$4:$AH$6,MATCH(INDEX($I$3:$L$6,MATCH(MOD('Map 2 Do Touch'!AF25,4),$H$3:$H$6,0),MATCH(MOD('Map 2 Do Touch'!AG25,4),$I$2:$L$2,0)),$AF$4:$AF$6,0),MATCH(IF('Map 2 Do Touch'!AF25&gt;4,"Water","Land"),'Map 3'!$AG$3:$AH$3,0)),INDEX($AK$4:$AL$6,MATCH(INDEX($I$3:$L$6,MATCH(MOD('Map 2 Do Touch'!AF25,4),$H$3:$H$6,0),MATCH(MOD('Map 2 Do Touch'!AG25,4),$I$2:$L$2,0)),'Map 3'!$AJ$4:$AJ$6,0),MATCH(IF('Map 2 Do Touch'!AF25&gt;4,"Water","Land"),'Map 3'!$AK$3:$AL$3,0))),IF('Map 2 Do Touch'!AG25&gt;4,INDEX($AG$4:$AH$6,MATCH(INDEX($P$3:$S$6,MATCH(MOD('Map 2 Do Touch'!AG24,4),$O$3:$O$6,0),MATCH(MOD('Map 2 Do Touch'!AG25,4),$P$2:$S$2,0)),$AF$4:$AF$6,0),MATCH(IF('Map 2 Do Touch'!AG24&gt;4,"Water","Land"),'Map 3'!$AG$3:$AH$3,0)),INDEX($AK$4:$AL$6,MATCH(INDEX($P$3:$S$6,MATCH(MOD('Map 2 Do Touch'!AG24,4),$O$3:$O$6,0),MATCH(MOD('Map 2 Do Touch'!AG25,4),$P$2:$S$2,0)),'Map 3'!$AJ$4:$AJ$6,0),MATCH(IF('Map 2 Do Touch'!AG24&gt;4,"Water","Land"),'Map 3'!$AK$3:$AL$3,0))))</f>
        <v>Ocean</v>
      </c>
      <c r="AH29" s="3" t="str">
        <f ca="1">IF('Map 2 Do Touch'!AG24&lt;&gt;'Map 2 Do Touch'!AG25,IF('Map 2 Do Touch'!AH25&gt;4,INDEX($AG$4:$AH$6,MATCH(INDEX($I$3:$L$6,MATCH(MOD('Map 2 Do Touch'!AG25,4),$H$3:$H$6,0),MATCH(MOD('Map 2 Do Touch'!AH25,4),$I$2:$L$2,0)),$AF$4:$AF$6,0),MATCH(IF('Map 2 Do Touch'!AG25&gt;4,"Water","Land"),'Map 3'!$AG$3:$AH$3,0)),INDEX($AK$4:$AL$6,MATCH(INDEX($I$3:$L$6,MATCH(MOD('Map 2 Do Touch'!AG25,4),$H$3:$H$6,0),MATCH(MOD('Map 2 Do Touch'!AH25,4),$I$2:$L$2,0)),'Map 3'!$AJ$4:$AJ$6,0),MATCH(IF('Map 2 Do Touch'!AG25&gt;4,"Water","Land"),'Map 3'!$AK$3:$AL$3,0))),IF('Map 2 Do Touch'!AH25&gt;4,INDEX($AG$4:$AH$6,MATCH(INDEX($P$3:$S$6,MATCH(MOD('Map 2 Do Touch'!AH24,4),$O$3:$O$6,0),MATCH(MOD('Map 2 Do Touch'!AH25,4),$P$2:$S$2,0)),$AF$4:$AF$6,0),MATCH(IF('Map 2 Do Touch'!AH24&gt;4,"Water","Land"),'Map 3'!$AG$3:$AH$3,0)),INDEX($AK$4:$AL$6,MATCH(INDEX($P$3:$S$6,MATCH(MOD('Map 2 Do Touch'!AH24,4),$O$3:$O$6,0),MATCH(MOD('Map 2 Do Touch'!AH25,4),$P$2:$S$2,0)),'Map 3'!$AJ$4:$AJ$6,0),MATCH(IF('Map 2 Do Touch'!AH24&gt;4,"Water","Land"),'Map 3'!$AK$3:$AL$3,0))))</f>
        <v>Ocean</v>
      </c>
      <c r="AI29" s="3" t="str">
        <f ca="1">IF('Map 2 Do Touch'!AH24&lt;&gt;'Map 2 Do Touch'!AH25,IF('Map 2 Do Touch'!AI25&gt;4,INDEX($AG$4:$AH$6,MATCH(INDEX($I$3:$L$6,MATCH(MOD('Map 2 Do Touch'!AH25,4),$H$3:$H$6,0),MATCH(MOD('Map 2 Do Touch'!AI25,4),$I$2:$L$2,0)),$AF$4:$AF$6,0),MATCH(IF('Map 2 Do Touch'!AH25&gt;4,"Water","Land"),'Map 3'!$AG$3:$AH$3,0)),INDEX($AK$4:$AL$6,MATCH(INDEX($I$3:$L$6,MATCH(MOD('Map 2 Do Touch'!AH25,4),$H$3:$H$6,0),MATCH(MOD('Map 2 Do Touch'!AI25,4),$I$2:$L$2,0)),'Map 3'!$AJ$4:$AJ$6,0),MATCH(IF('Map 2 Do Touch'!AH25&gt;4,"Water","Land"),'Map 3'!$AK$3:$AL$3,0))),IF('Map 2 Do Touch'!AI25&gt;4,INDEX($AG$4:$AH$6,MATCH(INDEX($P$3:$S$6,MATCH(MOD('Map 2 Do Touch'!AI24,4),$O$3:$O$6,0),MATCH(MOD('Map 2 Do Touch'!AI25,4),$P$2:$S$2,0)),$AF$4:$AF$6,0),MATCH(IF('Map 2 Do Touch'!AI24&gt;4,"Water","Land"),'Map 3'!$AG$3:$AH$3,0)),INDEX($AK$4:$AL$6,MATCH(INDEX($P$3:$S$6,MATCH(MOD('Map 2 Do Touch'!AI24,4),$O$3:$O$6,0),MATCH(MOD('Map 2 Do Touch'!AI25,4),$P$2:$S$2,0)),'Map 3'!$AJ$4:$AJ$6,0),MATCH(IF('Map 2 Do Touch'!AI24&gt;4,"Water","Land"),'Map 3'!$AK$3:$AL$3,0))))</f>
        <v>Ocean</v>
      </c>
      <c r="AJ29" s="3" t="str">
        <f ca="1">IF('Map 2 Do Touch'!AI24&lt;&gt;'Map 2 Do Touch'!AI25,IF('Map 2 Do Touch'!AJ25&gt;4,INDEX($AG$4:$AH$6,MATCH(INDEX($I$3:$L$6,MATCH(MOD('Map 2 Do Touch'!AI25,4),$H$3:$H$6,0),MATCH(MOD('Map 2 Do Touch'!AJ25,4),$I$2:$L$2,0)),$AF$4:$AF$6,0),MATCH(IF('Map 2 Do Touch'!AI25&gt;4,"Water","Land"),'Map 3'!$AG$3:$AH$3,0)),INDEX($AK$4:$AL$6,MATCH(INDEX($I$3:$L$6,MATCH(MOD('Map 2 Do Touch'!AI25,4),$H$3:$H$6,0),MATCH(MOD('Map 2 Do Touch'!AJ25,4),$I$2:$L$2,0)),'Map 3'!$AJ$4:$AJ$6,0),MATCH(IF('Map 2 Do Touch'!AI25&gt;4,"Water","Land"),'Map 3'!$AK$3:$AL$3,0))),IF('Map 2 Do Touch'!AJ25&gt;4,INDEX($AG$4:$AH$6,MATCH(INDEX($P$3:$S$6,MATCH(MOD('Map 2 Do Touch'!AJ24,4),$O$3:$O$6,0),MATCH(MOD('Map 2 Do Touch'!AJ25,4),$P$2:$S$2,0)),$AF$4:$AF$6,0),MATCH(IF('Map 2 Do Touch'!AJ24&gt;4,"Water","Land"),'Map 3'!$AG$3:$AH$3,0)),INDEX($AK$4:$AL$6,MATCH(INDEX($P$3:$S$6,MATCH(MOD('Map 2 Do Touch'!AJ24,4),$O$3:$O$6,0),MATCH(MOD('Map 2 Do Touch'!AJ25,4),$P$2:$S$2,0)),'Map 3'!$AJ$4:$AJ$6,0),MATCH(IF('Map 2 Do Touch'!AJ24&gt;4,"Water","Land"),'Map 3'!$AK$3:$AL$3,0))))</f>
        <v>Ocean</v>
      </c>
      <c r="AK29" s="3" t="str">
        <f ca="1">IF('Map 2 Do Touch'!AJ24&lt;&gt;'Map 2 Do Touch'!AJ25,IF('Map 2 Do Touch'!AK25&gt;4,INDEX($AG$4:$AH$6,MATCH(INDEX($I$3:$L$6,MATCH(MOD('Map 2 Do Touch'!AJ25,4),$H$3:$H$6,0),MATCH(MOD('Map 2 Do Touch'!AK25,4),$I$2:$L$2,0)),$AF$4:$AF$6,0),MATCH(IF('Map 2 Do Touch'!AJ25&gt;4,"Water","Land"),'Map 3'!$AG$3:$AH$3,0)),INDEX($AK$4:$AL$6,MATCH(INDEX($I$3:$L$6,MATCH(MOD('Map 2 Do Touch'!AJ25,4),$H$3:$H$6,0),MATCH(MOD('Map 2 Do Touch'!AK25,4),$I$2:$L$2,0)),'Map 3'!$AJ$4:$AJ$6,0),MATCH(IF('Map 2 Do Touch'!AJ25&gt;4,"Water","Land"),'Map 3'!$AK$3:$AL$3,0))),IF('Map 2 Do Touch'!AK25&gt;4,INDEX($AG$4:$AH$6,MATCH(INDEX($P$3:$S$6,MATCH(MOD('Map 2 Do Touch'!AK24,4),$O$3:$O$6,0),MATCH(MOD('Map 2 Do Touch'!AK25,4),$P$2:$S$2,0)),$AF$4:$AF$6,0),MATCH(IF('Map 2 Do Touch'!AK24&gt;4,"Water","Land"),'Map 3'!$AG$3:$AH$3,0)),INDEX($AK$4:$AL$6,MATCH(INDEX($P$3:$S$6,MATCH(MOD('Map 2 Do Touch'!AK24,4),$O$3:$O$6,0),MATCH(MOD('Map 2 Do Touch'!AK25,4),$P$2:$S$2,0)),'Map 3'!$AJ$4:$AJ$6,0),MATCH(IF('Map 2 Do Touch'!AK24&gt;4,"Water","Land"),'Map 3'!$AK$3:$AL$3,0))))</f>
        <v>Ocean</v>
      </c>
      <c r="AL29" s="3" t="str">
        <f ca="1">IF('Map 2 Do Touch'!AK24&lt;&gt;'Map 2 Do Touch'!AK25,IF('Map 2 Do Touch'!AL25&gt;4,INDEX($AG$4:$AH$6,MATCH(INDEX($I$3:$L$6,MATCH(MOD('Map 2 Do Touch'!AK25,4),$H$3:$H$6,0),MATCH(MOD('Map 2 Do Touch'!AL25,4),$I$2:$L$2,0)),$AF$4:$AF$6,0),MATCH(IF('Map 2 Do Touch'!AK25&gt;4,"Water","Land"),'Map 3'!$AG$3:$AH$3,0)),INDEX($AK$4:$AL$6,MATCH(INDEX($I$3:$L$6,MATCH(MOD('Map 2 Do Touch'!AK25,4),$H$3:$H$6,0),MATCH(MOD('Map 2 Do Touch'!AL25,4),$I$2:$L$2,0)),'Map 3'!$AJ$4:$AJ$6,0),MATCH(IF('Map 2 Do Touch'!AK25&gt;4,"Water","Land"),'Map 3'!$AK$3:$AL$3,0))),IF('Map 2 Do Touch'!AL25&gt;4,INDEX($AG$4:$AH$6,MATCH(INDEX($P$3:$S$6,MATCH(MOD('Map 2 Do Touch'!AL24,4),$O$3:$O$6,0),MATCH(MOD('Map 2 Do Touch'!AL25,4),$P$2:$S$2,0)),$AF$4:$AF$6,0),MATCH(IF('Map 2 Do Touch'!AL24&gt;4,"Water","Land"),'Map 3'!$AG$3:$AH$3,0)),INDEX($AK$4:$AL$6,MATCH(INDEX($P$3:$S$6,MATCH(MOD('Map 2 Do Touch'!AL24,4),$O$3:$O$6,0),MATCH(MOD('Map 2 Do Touch'!AL25,4),$P$2:$S$2,0)),'Map 3'!$AJ$4:$AJ$6,0),MATCH(IF('Map 2 Do Touch'!AL24&gt;4,"Water","Land"),'Map 3'!$AK$3:$AL$3,0))))</f>
        <v>Ocean</v>
      </c>
      <c r="AM29" s="3" t="str">
        <f ca="1">IF('Map 2 Do Touch'!AL24&lt;&gt;'Map 2 Do Touch'!AL25,IF('Map 2 Do Touch'!AM25&gt;4,INDEX($AG$4:$AH$6,MATCH(INDEX($I$3:$L$6,MATCH(MOD('Map 2 Do Touch'!AL25,4),$H$3:$H$6,0),MATCH(MOD('Map 2 Do Touch'!AM25,4),$I$2:$L$2,0)),$AF$4:$AF$6,0),MATCH(IF('Map 2 Do Touch'!AL25&gt;4,"Water","Land"),'Map 3'!$AG$3:$AH$3,0)),INDEX($AK$4:$AL$6,MATCH(INDEX($I$3:$L$6,MATCH(MOD('Map 2 Do Touch'!AL25,4),$H$3:$H$6,0),MATCH(MOD('Map 2 Do Touch'!AM25,4),$I$2:$L$2,0)),'Map 3'!$AJ$4:$AJ$6,0),MATCH(IF('Map 2 Do Touch'!AL25&gt;4,"Water","Land"),'Map 3'!$AK$3:$AL$3,0))),IF('Map 2 Do Touch'!AM25&gt;4,INDEX($AG$4:$AH$6,MATCH(INDEX($P$3:$S$6,MATCH(MOD('Map 2 Do Touch'!AM24,4),$O$3:$O$6,0),MATCH(MOD('Map 2 Do Touch'!AM25,4),$P$2:$S$2,0)),$AF$4:$AF$6,0),MATCH(IF('Map 2 Do Touch'!AM24&gt;4,"Water","Land"),'Map 3'!$AG$3:$AH$3,0)),INDEX($AK$4:$AL$6,MATCH(INDEX($P$3:$S$6,MATCH(MOD('Map 2 Do Touch'!AM24,4),$O$3:$O$6,0),MATCH(MOD('Map 2 Do Touch'!AM25,4),$P$2:$S$2,0)),'Map 3'!$AJ$4:$AJ$6,0),MATCH(IF('Map 2 Do Touch'!AM24&gt;4,"Water","Land"),'Map 3'!$AK$3:$AL$3,0))))</f>
        <v>Ocean</v>
      </c>
      <c r="AN29" s="3" t="str">
        <f ca="1">IF('Map 2 Do Touch'!AM24&lt;&gt;'Map 2 Do Touch'!AM25,IF('Map 2 Do Touch'!AN25&gt;4,INDEX($AG$4:$AH$6,MATCH(INDEX($I$3:$L$6,MATCH(MOD('Map 2 Do Touch'!AM25,4),$H$3:$H$6,0),MATCH(MOD('Map 2 Do Touch'!AN25,4),$I$2:$L$2,0)),$AF$4:$AF$6,0),MATCH(IF('Map 2 Do Touch'!AM25&gt;4,"Water","Land"),'Map 3'!$AG$3:$AH$3,0)),INDEX($AK$4:$AL$6,MATCH(INDEX($I$3:$L$6,MATCH(MOD('Map 2 Do Touch'!AM25,4),$H$3:$H$6,0),MATCH(MOD('Map 2 Do Touch'!AN25,4),$I$2:$L$2,0)),'Map 3'!$AJ$4:$AJ$6,0),MATCH(IF('Map 2 Do Touch'!AM25&gt;4,"Water","Land"),'Map 3'!$AK$3:$AL$3,0))),IF('Map 2 Do Touch'!AN25&gt;4,INDEX($AG$4:$AH$6,MATCH(INDEX($P$3:$S$6,MATCH(MOD('Map 2 Do Touch'!AN24,4),$O$3:$O$6,0),MATCH(MOD('Map 2 Do Touch'!AN25,4),$P$2:$S$2,0)),$AF$4:$AF$6,0),MATCH(IF('Map 2 Do Touch'!AN24&gt;4,"Water","Land"),'Map 3'!$AG$3:$AH$3,0)),INDEX($AK$4:$AL$6,MATCH(INDEX($P$3:$S$6,MATCH(MOD('Map 2 Do Touch'!AN24,4),$O$3:$O$6,0),MATCH(MOD('Map 2 Do Touch'!AN25,4),$P$2:$S$2,0)),'Map 3'!$AJ$4:$AJ$6,0),MATCH(IF('Map 2 Do Touch'!AN24&gt;4,"Water","Land"),'Map 3'!$AK$3:$AL$3,0))))</f>
        <v>Ocean</v>
      </c>
      <c r="AO29" s="87" t="str">
        <f ca="1">IF('Map 2 Do Touch'!AN24&lt;&gt;'Map 2 Do Touch'!AN25,IF('Map 2 Do Touch'!AO25&gt;4,INDEX($AG$4:$AH$6,MATCH(INDEX($I$3:$L$6,MATCH(MOD('Map 2 Do Touch'!AN25,4),$H$3:$H$6,0),MATCH(MOD('Map 2 Do Touch'!AO25,4),$I$2:$L$2,0)),$AF$4:$AF$6,0),MATCH(IF('Map 2 Do Touch'!AN25&gt;4,"Water","Land"),'Map 3'!$AG$3:$AH$3,0)),INDEX($AK$4:$AL$6,MATCH(INDEX($I$3:$L$6,MATCH(MOD('Map 2 Do Touch'!AN25,4),$H$3:$H$6,0),MATCH(MOD('Map 2 Do Touch'!AO25,4),$I$2:$L$2,0)),'Map 3'!$AJ$4:$AJ$6,0),MATCH(IF('Map 2 Do Touch'!AN25&gt;4,"Water","Land"),'Map 3'!$AK$3:$AL$3,0))),IF('Map 2 Do Touch'!AO25&gt;4,INDEX($AG$4:$AH$6,MATCH(INDEX($P$3:$S$6,MATCH(MOD('Map 2 Do Touch'!AO24,4),$O$3:$O$6,0),MATCH(MOD('Map 2 Do Touch'!AO25,4),$P$2:$S$2,0)),$AF$4:$AF$6,0),MATCH(IF('Map 2 Do Touch'!AO24&gt;4,"Water","Land"),'Map 3'!$AG$3:$AH$3,0)),INDEX($AK$4:$AL$6,MATCH(INDEX($P$3:$S$6,MATCH(MOD('Map 2 Do Touch'!AO24,4),$O$3:$O$6,0),MATCH(MOD('Map 2 Do Touch'!AO25,4),$P$2:$S$2,0)),'Map 3'!$AJ$4:$AJ$6,0),MATCH(IF('Map 2 Do Touch'!AO24&gt;4,"Water","Land"),'Map 3'!$AK$3:$AL$3,0))))</f>
        <v>Flatland</v>
      </c>
      <c r="AP29" s="3"/>
    </row>
    <row r="30" spans="1:42" ht="37.5" customHeight="1">
      <c r="A30" s="3">
        <v>19</v>
      </c>
      <c r="B30" s="86" t="str">
        <f ca="1">IF('Map 2 Do Touch'!B25&lt;&gt;'Map 2 Do Touch'!B26,IF('Map 2 Do Touch'!B26&gt;4,INDEX($AG$4:$AH$6,MATCH(INDEX($I$3:$L$6,MATCH(MOD('Map 2 Do Touch'!AO26,4),$H$3:$H$6,0),MATCH(MOD('Map 2 Do Touch'!B26,4),$I$2:$L$2,0)),$AF$4:$AF$6,0),MATCH(IF('Map 2 Do Touch'!AO26&gt;4,"Water","Land"),'Map 3'!$AG$3:$AH$3,0)),INDEX($AK$4:$AL$6,MATCH(INDEX($I$3:$L$6,MATCH(MOD('Map 2 Do Touch'!A26,4),$H$3:$H$6,0),MATCH(MOD('Map 2 Do Touch'!B26,4),$I$2:$L$2,0)),'Map 3'!$AJ$4:$AJ$6,0),MATCH(IF('Map 2 Do Touch'!AO26&gt;4,"Water","Land"),'Map 3'!$AK$3:$AL$3,0))),IF('Map 2 Do Touch'!B26&gt;4,INDEX($AG$4:$AH$6,MATCH(INDEX($P$3:$S$6,MATCH(MOD('Map 2 Do Touch'!B25,4),$O$3:$O$6,0),MATCH(MOD('Map 2 Do Touch'!B26,4),$P$2:$S$2,0)),$AF$4:$AF$6,0),MATCH(IF('Map 2 Do Touch'!B25&gt;4,"Water","Land"),'Map 3'!$AG$3:$AH$3,0)),INDEX($AK$4:$AL$6,MATCH(INDEX($P$3:$S$6,MATCH(MOD('Map 2 Do Touch'!B25,4),$O$3:$O$6,0),MATCH(MOD('Map 2 Do Touch'!B26,4),$P$2:$S$2,0)),'Map 3'!$AJ$4:$AJ$6,0),MATCH(IF('Map 2 Do Touch'!B25&gt;4,"Water","Land"),'Map 3'!$AK$3:$AL$3,0))))</f>
        <v>Valley</v>
      </c>
      <c r="C30" s="3" t="str">
        <f ca="1">IF('Map 2 Do Touch'!B25&lt;&gt;'Map 2 Do Touch'!B26,IF('Map 2 Do Touch'!C26&gt;4,INDEX($AG$4:$AH$6,MATCH(INDEX($I$3:$L$6,MATCH(MOD('Map 2 Do Touch'!B26,4),$H$3:$H$6,0),MATCH(MOD('Map 2 Do Touch'!C26,4),$I$2:$L$2,0)),$AF$4:$AF$6,0),MATCH(IF('Map 2 Do Touch'!B26&gt;4,"Water","Land"),'Map 3'!$AG$3:$AH$3,0)),INDEX($AK$4:$AL$6,MATCH(INDEX($I$3:$L$6,MATCH(MOD('Map 2 Do Touch'!B26,4),$H$3:$H$6,0),MATCH(MOD('Map 2 Do Touch'!C26,4),$I$2:$L$2,0)),'Map 3'!$AJ$4:$AJ$6,0),MATCH(IF('Map 2 Do Touch'!B26&gt;4,"Water","Land"),'Map 3'!$AK$3:$AL$3,0))),IF('Map 2 Do Touch'!C26&gt;4,INDEX($AG$4:$AH$6,MATCH(INDEX($P$3:$S$6,MATCH(MOD('Map 2 Do Touch'!C25,4),$O$3:$O$6,0),MATCH(MOD('Map 2 Do Touch'!C26,4),$P$2:$S$2,0)),$AF$4:$AF$6,0),MATCH(IF('Map 2 Do Touch'!C25&gt;4,"Water","Land"),'Map 3'!$AG$3:$AH$3,0)),INDEX($AK$4:$AL$6,MATCH(INDEX($P$3:$S$6,MATCH(MOD('Map 2 Do Touch'!C25,4),$O$3:$O$6,0),MATCH(MOD('Map 2 Do Touch'!C26,4),$P$2:$S$2,0)),'Map 3'!$AJ$4:$AJ$6,0),MATCH(IF('Map 2 Do Touch'!C25&gt;4,"Water","Land"),'Map 3'!$AK$3:$AL$3,0))))</f>
        <v>Flatland</v>
      </c>
      <c r="D30" s="3" t="str">
        <f ca="1">IF('Map 2 Do Touch'!C25&lt;&gt;'Map 2 Do Touch'!C26,IF('Map 2 Do Touch'!D26&gt;4,INDEX($AG$4:$AH$6,MATCH(INDEX($I$3:$L$6,MATCH(MOD('Map 2 Do Touch'!C26,4),$H$3:$H$6,0),MATCH(MOD('Map 2 Do Touch'!D26,4),$I$2:$L$2,0)),$AF$4:$AF$6,0),MATCH(IF('Map 2 Do Touch'!C26&gt;4,"Water","Land"),'Map 3'!$AG$3:$AH$3,0)),INDEX($AK$4:$AL$6,MATCH(INDEX($I$3:$L$6,MATCH(MOD('Map 2 Do Touch'!C26,4),$H$3:$H$6,0),MATCH(MOD('Map 2 Do Touch'!D26,4),$I$2:$L$2,0)),'Map 3'!$AJ$4:$AJ$6,0),MATCH(IF('Map 2 Do Touch'!C26&gt;4,"Water","Land"),'Map 3'!$AK$3:$AL$3,0))),IF('Map 2 Do Touch'!D26&gt;4,INDEX($AG$4:$AH$6,MATCH(INDEX($P$3:$S$6,MATCH(MOD('Map 2 Do Touch'!D25,4),$O$3:$O$6,0),MATCH(MOD('Map 2 Do Touch'!D26,4),$P$2:$S$2,0)),$AF$4:$AF$6,0),MATCH(IF('Map 2 Do Touch'!D25&gt;4,"Water","Land"),'Map 3'!$AG$3:$AH$3,0)),INDEX($AK$4:$AL$6,MATCH(INDEX($P$3:$S$6,MATCH(MOD('Map 2 Do Touch'!D25,4),$O$3:$O$6,0),MATCH(MOD('Map 2 Do Touch'!D26,4),$P$2:$S$2,0)),'Map 3'!$AJ$4:$AJ$6,0),MATCH(IF('Map 2 Do Touch'!D25&gt;4,"Water","Land"),'Map 3'!$AK$3:$AL$3,0))))</f>
        <v>Flatland</v>
      </c>
      <c r="E30" s="3" t="str">
        <f ca="1">IF('Map 2 Do Touch'!D25&lt;&gt;'Map 2 Do Touch'!D26,IF('Map 2 Do Touch'!E26&gt;4,INDEX($AG$4:$AH$6,MATCH(INDEX($I$3:$L$6,MATCH(MOD('Map 2 Do Touch'!D26,4),$H$3:$H$6,0),MATCH(MOD('Map 2 Do Touch'!E26,4),$I$2:$L$2,0)),$AF$4:$AF$6,0),MATCH(IF('Map 2 Do Touch'!D26&gt;4,"Water","Land"),'Map 3'!$AG$3:$AH$3,0)),INDEX($AK$4:$AL$6,MATCH(INDEX($I$3:$L$6,MATCH(MOD('Map 2 Do Touch'!D26,4),$H$3:$H$6,0),MATCH(MOD('Map 2 Do Touch'!E26,4),$I$2:$L$2,0)),'Map 3'!$AJ$4:$AJ$6,0),MATCH(IF('Map 2 Do Touch'!D26&gt;4,"Water","Land"),'Map 3'!$AK$3:$AL$3,0))),IF('Map 2 Do Touch'!E26&gt;4,INDEX($AG$4:$AH$6,MATCH(INDEX($P$3:$S$6,MATCH(MOD('Map 2 Do Touch'!E25,4),$O$3:$O$6,0),MATCH(MOD('Map 2 Do Touch'!E26,4),$P$2:$S$2,0)),$AF$4:$AF$6,0),MATCH(IF('Map 2 Do Touch'!E25&gt;4,"Water","Land"),'Map 3'!$AG$3:$AH$3,0)),INDEX($AK$4:$AL$6,MATCH(INDEX($P$3:$S$6,MATCH(MOD('Map 2 Do Touch'!E25,4),$O$3:$O$6,0),MATCH(MOD('Map 2 Do Touch'!E26,4),$P$2:$S$2,0)),'Map 3'!$AJ$4:$AJ$6,0),MATCH(IF('Map 2 Do Touch'!E25&gt;4,"Water","Land"),'Map 3'!$AK$3:$AL$3,0))))</f>
        <v>Flatland</v>
      </c>
      <c r="F30" s="3" t="str">
        <f ca="1">IF('Map 2 Do Touch'!E25&lt;&gt;'Map 2 Do Touch'!E26,IF('Map 2 Do Touch'!F26&gt;4,INDEX($AG$4:$AH$6,MATCH(INDEX($I$3:$L$6,MATCH(MOD('Map 2 Do Touch'!E26,4),$H$3:$H$6,0),MATCH(MOD('Map 2 Do Touch'!F26,4),$I$2:$L$2,0)),$AF$4:$AF$6,0),MATCH(IF('Map 2 Do Touch'!E26&gt;4,"Water","Land"),'Map 3'!$AG$3:$AH$3,0)),INDEX($AK$4:$AL$6,MATCH(INDEX($I$3:$L$6,MATCH(MOD('Map 2 Do Touch'!E26,4),$H$3:$H$6,0),MATCH(MOD('Map 2 Do Touch'!F26,4),$I$2:$L$2,0)),'Map 3'!$AJ$4:$AJ$6,0),MATCH(IF('Map 2 Do Touch'!E26&gt;4,"Water","Land"),'Map 3'!$AK$3:$AL$3,0))),IF('Map 2 Do Touch'!F26&gt;4,INDEX($AG$4:$AH$6,MATCH(INDEX($P$3:$S$6,MATCH(MOD('Map 2 Do Touch'!F25,4),$O$3:$O$6,0),MATCH(MOD('Map 2 Do Touch'!F26,4),$P$2:$S$2,0)),$AF$4:$AF$6,0),MATCH(IF('Map 2 Do Touch'!F25&gt;4,"Water","Land"),'Map 3'!$AG$3:$AH$3,0)),INDEX($AK$4:$AL$6,MATCH(INDEX($P$3:$S$6,MATCH(MOD('Map 2 Do Touch'!F25,4),$O$3:$O$6,0),MATCH(MOD('Map 2 Do Touch'!F26,4),$P$2:$S$2,0)),'Map 3'!$AJ$4:$AJ$6,0),MATCH(IF('Map 2 Do Touch'!F25&gt;4,"Water","Land"),'Map 3'!$AK$3:$AL$3,0))))</f>
        <v>Flatland</v>
      </c>
      <c r="G30" s="3" t="str">
        <f ca="1">IF('Map 2 Do Touch'!F25&lt;&gt;'Map 2 Do Touch'!F26,IF('Map 2 Do Touch'!G26&gt;4,INDEX($AG$4:$AH$6,MATCH(INDEX($I$3:$L$6,MATCH(MOD('Map 2 Do Touch'!F26,4),$H$3:$H$6,0),MATCH(MOD('Map 2 Do Touch'!G26,4),$I$2:$L$2,0)),$AF$4:$AF$6,0),MATCH(IF('Map 2 Do Touch'!F26&gt;4,"Water","Land"),'Map 3'!$AG$3:$AH$3,0)),INDEX($AK$4:$AL$6,MATCH(INDEX($I$3:$L$6,MATCH(MOD('Map 2 Do Touch'!F26,4),$H$3:$H$6,0),MATCH(MOD('Map 2 Do Touch'!G26,4),$I$2:$L$2,0)),'Map 3'!$AJ$4:$AJ$6,0),MATCH(IF('Map 2 Do Touch'!F26&gt;4,"Water","Land"),'Map 3'!$AK$3:$AL$3,0))),IF('Map 2 Do Touch'!G26&gt;4,INDEX($AG$4:$AH$6,MATCH(INDEX($P$3:$S$6,MATCH(MOD('Map 2 Do Touch'!G25,4),$O$3:$O$6,0),MATCH(MOD('Map 2 Do Touch'!G26,4),$P$2:$S$2,0)),$AF$4:$AF$6,0),MATCH(IF('Map 2 Do Touch'!G25&gt;4,"Water","Land"),'Map 3'!$AG$3:$AH$3,0)),INDEX($AK$4:$AL$6,MATCH(INDEX($P$3:$S$6,MATCH(MOD('Map 2 Do Touch'!G25,4),$O$3:$O$6,0),MATCH(MOD('Map 2 Do Touch'!G26,4),$P$2:$S$2,0)),'Map 3'!$AJ$4:$AJ$6,0),MATCH(IF('Map 2 Do Touch'!G25&gt;4,"Water","Land"),'Map 3'!$AK$3:$AL$3,0))))</f>
        <v>Flatland</v>
      </c>
      <c r="H30" s="3" t="str">
        <f ca="1">IF('Map 2 Do Touch'!G25&lt;&gt;'Map 2 Do Touch'!G26,IF('Map 2 Do Touch'!H26&gt;4,INDEX($AG$4:$AH$6,MATCH(INDEX($I$3:$L$6,MATCH(MOD('Map 2 Do Touch'!G26,4),$H$3:$H$6,0),MATCH(MOD('Map 2 Do Touch'!H26,4),$I$2:$L$2,0)),$AF$4:$AF$6,0),MATCH(IF('Map 2 Do Touch'!G26&gt;4,"Water","Land"),'Map 3'!$AG$3:$AH$3,0)),INDEX($AK$4:$AL$6,MATCH(INDEX($I$3:$L$6,MATCH(MOD('Map 2 Do Touch'!G26,4),$H$3:$H$6,0),MATCH(MOD('Map 2 Do Touch'!H26,4),$I$2:$L$2,0)),'Map 3'!$AJ$4:$AJ$6,0),MATCH(IF('Map 2 Do Touch'!G26&gt;4,"Water","Land"),'Map 3'!$AK$3:$AL$3,0))),IF('Map 2 Do Touch'!H26&gt;4,INDEX($AG$4:$AH$6,MATCH(INDEX($P$3:$S$6,MATCH(MOD('Map 2 Do Touch'!H25,4),$O$3:$O$6,0),MATCH(MOD('Map 2 Do Touch'!H26,4),$P$2:$S$2,0)),$AF$4:$AF$6,0),MATCH(IF('Map 2 Do Touch'!H25&gt;4,"Water","Land"),'Map 3'!$AG$3:$AH$3,0)),INDEX($AK$4:$AL$6,MATCH(INDEX($P$3:$S$6,MATCH(MOD('Map 2 Do Touch'!H25,4),$O$3:$O$6,0),MATCH(MOD('Map 2 Do Touch'!H26,4),$P$2:$S$2,0)),'Map 3'!$AJ$4:$AJ$6,0),MATCH(IF('Map 2 Do Touch'!H25&gt;4,"Water","Land"),'Map 3'!$AK$3:$AL$3,0))))</f>
        <v>Flatland</v>
      </c>
      <c r="I30" s="3" t="str">
        <f ca="1">IF('Map 2 Do Touch'!H25&lt;&gt;'Map 2 Do Touch'!H26,IF('Map 2 Do Touch'!I26&gt;4,INDEX($AG$4:$AH$6,MATCH(INDEX($I$3:$L$6,MATCH(MOD('Map 2 Do Touch'!H26,4),$H$3:$H$6,0),MATCH(MOD('Map 2 Do Touch'!I26,4),$I$2:$L$2,0)),$AF$4:$AF$6,0),MATCH(IF('Map 2 Do Touch'!H26&gt;4,"Water","Land"),'Map 3'!$AG$3:$AH$3,0)),INDEX($AK$4:$AL$6,MATCH(INDEX($I$3:$L$6,MATCH(MOD('Map 2 Do Touch'!H26,4),$H$3:$H$6,0),MATCH(MOD('Map 2 Do Touch'!I26,4),$I$2:$L$2,0)),'Map 3'!$AJ$4:$AJ$6,0),MATCH(IF('Map 2 Do Touch'!H26&gt;4,"Water","Land"),'Map 3'!$AK$3:$AL$3,0))),IF('Map 2 Do Touch'!I26&gt;4,INDEX($AG$4:$AH$6,MATCH(INDEX($P$3:$S$6,MATCH(MOD('Map 2 Do Touch'!I25,4),$O$3:$O$6,0),MATCH(MOD('Map 2 Do Touch'!I26,4),$P$2:$S$2,0)),$AF$4:$AF$6,0),MATCH(IF('Map 2 Do Touch'!I25&gt;4,"Water","Land"),'Map 3'!$AG$3:$AH$3,0)),INDEX($AK$4:$AL$6,MATCH(INDEX($P$3:$S$6,MATCH(MOD('Map 2 Do Touch'!I25,4),$O$3:$O$6,0),MATCH(MOD('Map 2 Do Touch'!I26,4),$P$2:$S$2,0)),'Map 3'!$AJ$4:$AJ$6,0),MATCH(IF('Map 2 Do Touch'!I25&gt;4,"Water","Land"),'Map 3'!$AK$3:$AL$3,0))))</f>
        <v>Flatland</v>
      </c>
      <c r="J30" s="3" t="str">
        <f ca="1">IF('Map 2 Do Touch'!I25&lt;&gt;'Map 2 Do Touch'!I26,IF('Map 2 Do Touch'!J26&gt;4,INDEX($AG$4:$AH$6,MATCH(INDEX($I$3:$L$6,MATCH(MOD('Map 2 Do Touch'!I26,4),$H$3:$H$6,0),MATCH(MOD('Map 2 Do Touch'!J26,4),$I$2:$L$2,0)),$AF$4:$AF$6,0),MATCH(IF('Map 2 Do Touch'!I26&gt;4,"Water","Land"),'Map 3'!$AG$3:$AH$3,0)),INDEX($AK$4:$AL$6,MATCH(INDEX($I$3:$L$6,MATCH(MOD('Map 2 Do Touch'!I26,4),$H$3:$H$6,0),MATCH(MOD('Map 2 Do Touch'!J26,4),$I$2:$L$2,0)),'Map 3'!$AJ$4:$AJ$6,0),MATCH(IF('Map 2 Do Touch'!I26&gt;4,"Water","Land"),'Map 3'!$AK$3:$AL$3,0))),IF('Map 2 Do Touch'!J26&gt;4,INDEX($AG$4:$AH$6,MATCH(INDEX($P$3:$S$6,MATCH(MOD('Map 2 Do Touch'!J25,4),$O$3:$O$6,0),MATCH(MOD('Map 2 Do Touch'!J26,4),$P$2:$S$2,0)),$AF$4:$AF$6,0),MATCH(IF('Map 2 Do Touch'!J25&gt;4,"Water","Land"),'Map 3'!$AG$3:$AH$3,0)),INDEX($AK$4:$AL$6,MATCH(INDEX($P$3:$S$6,MATCH(MOD('Map 2 Do Touch'!J25,4),$O$3:$O$6,0),MATCH(MOD('Map 2 Do Touch'!J26,4),$P$2:$S$2,0)),'Map 3'!$AJ$4:$AJ$6,0),MATCH(IF('Map 2 Do Touch'!J25&gt;4,"Water","Land"),'Map 3'!$AK$3:$AL$3,0))))</f>
        <v>Ocean</v>
      </c>
      <c r="K30" s="3" t="str">
        <f ca="1">IF('Map 2 Do Touch'!J25&lt;&gt;'Map 2 Do Touch'!J26,IF('Map 2 Do Touch'!K26&gt;4,INDEX($AG$4:$AH$6,MATCH(INDEX($I$3:$L$6,MATCH(MOD('Map 2 Do Touch'!J26,4),$H$3:$H$6,0),MATCH(MOD('Map 2 Do Touch'!K26,4),$I$2:$L$2,0)),$AF$4:$AF$6,0),MATCH(IF('Map 2 Do Touch'!J26&gt;4,"Water","Land"),'Map 3'!$AG$3:$AH$3,0)),INDEX($AK$4:$AL$6,MATCH(INDEX($I$3:$L$6,MATCH(MOD('Map 2 Do Touch'!J26,4),$H$3:$H$6,0),MATCH(MOD('Map 2 Do Touch'!K26,4),$I$2:$L$2,0)),'Map 3'!$AJ$4:$AJ$6,0),MATCH(IF('Map 2 Do Touch'!J26&gt;4,"Water","Land"),'Map 3'!$AK$3:$AL$3,0))),IF('Map 2 Do Touch'!K26&gt;4,INDEX($AG$4:$AH$6,MATCH(INDEX($P$3:$S$6,MATCH(MOD('Map 2 Do Touch'!K25,4),$O$3:$O$6,0),MATCH(MOD('Map 2 Do Touch'!K26,4),$P$2:$S$2,0)),$AF$4:$AF$6,0),MATCH(IF('Map 2 Do Touch'!K25&gt;4,"Water","Land"),'Map 3'!$AG$3:$AH$3,0)),INDEX($AK$4:$AL$6,MATCH(INDEX($P$3:$S$6,MATCH(MOD('Map 2 Do Touch'!K25,4),$O$3:$O$6,0),MATCH(MOD('Map 2 Do Touch'!K26,4),$P$2:$S$2,0)),'Map 3'!$AJ$4:$AJ$6,0),MATCH(IF('Map 2 Do Touch'!K25&gt;4,"Water","Land"),'Map 3'!$AK$3:$AL$3,0))))</f>
        <v>Ocean</v>
      </c>
      <c r="L30" s="3" t="str">
        <f ca="1">IF('Map 2 Do Touch'!K25&lt;&gt;'Map 2 Do Touch'!K26,IF('Map 2 Do Touch'!L26&gt;4,INDEX($AG$4:$AH$6,MATCH(INDEX($I$3:$L$6,MATCH(MOD('Map 2 Do Touch'!K26,4),$H$3:$H$6,0),MATCH(MOD('Map 2 Do Touch'!L26,4),$I$2:$L$2,0)),$AF$4:$AF$6,0),MATCH(IF('Map 2 Do Touch'!K26&gt;4,"Water","Land"),'Map 3'!$AG$3:$AH$3,0)),INDEX($AK$4:$AL$6,MATCH(INDEX($I$3:$L$6,MATCH(MOD('Map 2 Do Touch'!K26,4),$H$3:$H$6,0),MATCH(MOD('Map 2 Do Touch'!L26,4),$I$2:$L$2,0)),'Map 3'!$AJ$4:$AJ$6,0),MATCH(IF('Map 2 Do Touch'!K26&gt;4,"Water","Land"),'Map 3'!$AK$3:$AL$3,0))),IF('Map 2 Do Touch'!L26&gt;4,INDEX($AG$4:$AH$6,MATCH(INDEX($P$3:$S$6,MATCH(MOD('Map 2 Do Touch'!L25,4),$O$3:$O$6,0),MATCH(MOD('Map 2 Do Touch'!L26,4),$P$2:$S$2,0)),$AF$4:$AF$6,0),MATCH(IF('Map 2 Do Touch'!L25&gt;4,"Water","Land"),'Map 3'!$AG$3:$AH$3,0)),INDEX($AK$4:$AL$6,MATCH(INDEX($P$3:$S$6,MATCH(MOD('Map 2 Do Touch'!L25,4),$O$3:$O$6,0),MATCH(MOD('Map 2 Do Touch'!L26,4),$P$2:$S$2,0)),'Map 3'!$AJ$4:$AJ$6,0),MATCH(IF('Map 2 Do Touch'!L25&gt;4,"Water","Land"),'Map 3'!$AK$3:$AL$3,0))))</f>
        <v>Island</v>
      </c>
      <c r="M30" s="3" t="str">
        <f ca="1">IF('Map 2 Do Touch'!L25&lt;&gt;'Map 2 Do Touch'!L26,IF('Map 2 Do Touch'!M26&gt;4,INDEX($AG$4:$AH$6,MATCH(INDEX($I$3:$L$6,MATCH(MOD('Map 2 Do Touch'!L26,4),$H$3:$H$6,0),MATCH(MOD('Map 2 Do Touch'!M26,4),$I$2:$L$2,0)),$AF$4:$AF$6,0),MATCH(IF('Map 2 Do Touch'!L26&gt;4,"Water","Land"),'Map 3'!$AG$3:$AH$3,0)),INDEX($AK$4:$AL$6,MATCH(INDEX($I$3:$L$6,MATCH(MOD('Map 2 Do Touch'!L26,4),$H$3:$H$6,0),MATCH(MOD('Map 2 Do Touch'!M26,4),$I$2:$L$2,0)),'Map 3'!$AJ$4:$AJ$6,0),MATCH(IF('Map 2 Do Touch'!L26&gt;4,"Water","Land"),'Map 3'!$AK$3:$AL$3,0))),IF('Map 2 Do Touch'!M26&gt;4,INDEX($AG$4:$AH$6,MATCH(INDEX($P$3:$S$6,MATCH(MOD('Map 2 Do Touch'!M25,4),$O$3:$O$6,0),MATCH(MOD('Map 2 Do Touch'!M26,4),$P$2:$S$2,0)),$AF$4:$AF$6,0),MATCH(IF('Map 2 Do Touch'!M25&gt;4,"Water","Land"),'Map 3'!$AG$3:$AH$3,0)),INDEX($AK$4:$AL$6,MATCH(INDEX($P$3:$S$6,MATCH(MOD('Map 2 Do Touch'!M25,4),$O$3:$O$6,0),MATCH(MOD('Map 2 Do Touch'!M26,4),$P$2:$S$2,0)),'Map 3'!$AJ$4:$AJ$6,0),MATCH(IF('Map 2 Do Touch'!M25&gt;4,"Water","Land"),'Map 3'!$AK$3:$AL$3,0))))</f>
        <v>Island</v>
      </c>
      <c r="N30" s="3" t="str">
        <f ca="1">IF('Map 2 Do Touch'!M25&lt;&gt;'Map 2 Do Touch'!M26,IF('Map 2 Do Touch'!N26&gt;4,INDEX($AG$4:$AH$6,MATCH(INDEX($I$3:$L$6,MATCH(MOD('Map 2 Do Touch'!M26,4),$H$3:$H$6,0),MATCH(MOD('Map 2 Do Touch'!N26,4),$I$2:$L$2,0)),$AF$4:$AF$6,0),MATCH(IF('Map 2 Do Touch'!M26&gt;4,"Water","Land"),'Map 3'!$AG$3:$AH$3,0)),INDEX($AK$4:$AL$6,MATCH(INDEX($I$3:$L$6,MATCH(MOD('Map 2 Do Touch'!M26,4),$H$3:$H$6,0),MATCH(MOD('Map 2 Do Touch'!N26,4),$I$2:$L$2,0)),'Map 3'!$AJ$4:$AJ$6,0),MATCH(IF('Map 2 Do Touch'!M26&gt;4,"Water","Land"),'Map 3'!$AK$3:$AL$3,0))),IF('Map 2 Do Touch'!N26&gt;4,INDEX($AG$4:$AH$6,MATCH(INDEX($P$3:$S$6,MATCH(MOD('Map 2 Do Touch'!N25,4),$O$3:$O$6,0),MATCH(MOD('Map 2 Do Touch'!N26,4),$P$2:$S$2,0)),$AF$4:$AF$6,0),MATCH(IF('Map 2 Do Touch'!N25&gt;4,"Water","Land"),'Map 3'!$AG$3:$AH$3,0)),INDEX($AK$4:$AL$6,MATCH(INDEX($P$3:$S$6,MATCH(MOD('Map 2 Do Touch'!N25,4),$O$3:$O$6,0),MATCH(MOD('Map 2 Do Touch'!N26,4),$P$2:$S$2,0)),'Map 3'!$AJ$4:$AJ$6,0),MATCH(IF('Map 2 Do Touch'!N25&gt;4,"Water","Land"),'Map 3'!$AK$3:$AL$3,0))))</f>
        <v>Ocean</v>
      </c>
      <c r="O30" s="3" t="str">
        <f ca="1">IF('Map 2 Do Touch'!N25&lt;&gt;'Map 2 Do Touch'!N26,IF('Map 2 Do Touch'!O26&gt;4,INDEX($AG$4:$AH$6,MATCH(INDEX($I$3:$L$6,MATCH(MOD('Map 2 Do Touch'!N26,4),$H$3:$H$6,0),MATCH(MOD('Map 2 Do Touch'!O26,4),$I$2:$L$2,0)),$AF$4:$AF$6,0),MATCH(IF('Map 2 Do Touch'!N26&gt;4,"Water","Land"),'Map 3'!$AG$3:$AH$3,0)),INDEX($AK$4:$AL$6,MATCH(INDEX($I$3:$L$6,MATCH(MOD('Map 2 Do Touch'!N26,4),$H$3:$H$6,0),MATCH(MOD('Map 2 Do Touch'!O26,4),$I$2:$L$2,0)),'Map 3'!$AJ$4:$AJ$6,0),MATCH(IF('Map 2 Do Touch'!N26&gt;4,"Water","Land"),'Map 3'!$AK$3:$AL$3,0))),IF('Map 2 Do Touch'!O26&gt;4,INDEX($AG$4:$AH$6,MATCH(INDEX($P$3:$S$6,MATCH(MOD('Map 2 Do Touch'!O25,4),$O$3:$O$6,0),MATCH(MOD('Map 2 Do Touch'!O26,4),$P$2:$S$2,0)),$AF$4:$AF$6,0),MATCH(IF('Map 2 Do Touch'!O25&gt;4,"Water","Land"),'Map 3'!$AG$3:$AH$3,0)),INDEX($AK$4:$AL$6,MATCH(INDEX($P$3:$S$6,MATCH(MOD('Map 2 Do Touch'!O25,4),$O$3:$O$6,0),MATCH(MOD('Map 2 Do Touch'!O26,4),$P$2:$S$2,0)),'Map 3'!$AJ$4:$AJ$6,0),MATCH(IF('Map 2 Do Touch'!O25&gt;4,"Water","Land"),'Map 3'!$AK$3:$AL$3,0))))</f>
        <v>Ocean</v>
      </c>
      <c r="P30" s="3" t="str">
        <f ca="1">IF('Map 2 Do Touch'!O25&lt;&gt;'Map 2 Do Touch'!O26,IF('Map 2 Do Touch'!P26&gt;4,INDEX($AG$4:$AH$6,MATCH(INDEX($I$3:$L$6,MATCH(MOD('Map 2 Do Touch'!O26,4),$H$3:$H$6,0),MATCH(MOD('Map 2 Do Touch'!P26,4),$I$2:$L$2,0)),$AF$4:$AF$6,0),MATCH(IF('Map 2 Do Touch'!O26&gt;4,"Water","Land"),'Map 3'!$AG$3:$AH$3,0)),INDEX($AK$4:$AL$6,MATCH(INDEX($I$3:$L$6,MATCH(MOD('Map 2 Do Touch'!O26,4),$H$3:$H$6,0),MATCH(MOD('Map 2 Do Touch'!P26,4),$I$2:$L$2,0)),'Map 3'!$AJ$4:$AJ$6,0),MATCH(IF('Map 2 Do Touch'!O26&gt;4,"Water","Land"),'Map 3'!$AK$3:$AL$3,0))),IF('Map 2 Do Touch'!P26&gt;4,INDEX($AG$4:$AH$6,MATCH(INDEX($P$3:$S$6,MATCH(MOD('Map 2 Do Touch'!P25,4),$O$3:$O$6,0),MATCH(MOD('Map 2 Do Touch'!P26,4),$P$2:$S$2,0)),$AF$4:$AF$6,0),MATCH(IF('Map 2 Do Touch'!P25&gt;4,"Water","Land"),'Map 3'!$AG$3:$AH$3,0)),INDEX($AK$4:$AL$6,MATCH(INDEX($P$3:$S$6,MATCH(MOD('Map 2 Do Touch'!P25,4),$O$3:$O$6,0),MATCH(MOD('Map 2 Do Touch'!P26,4),$P$2:$S$2,0)),'Map 3'!$AJ$4:$AJ$6,0),MATCH(IF('Map 2 Do Touch'!P25&gt;4,"Water","Land"),'Map 3'!$AK$3:$AL$3,0))))</f>
        <v>Ocean</v>
      </c>
      <c r="Q30" s="3" t="str">
        <f ca="1">IF('Map 2 Do Touch'!P25&lt;&gt;'Map 2 Do Touch'!P26,IF('Map 2 Do Touch'!Q26&gt;4,INDEX($AG$4:$AH$6,MATCH(INDEX($I$3:$L$6,MATCH(MOD('Map 2 Do Touch'!P26,4),$H$3:$H$6,0),MATCH(MOD('Map 2 Do Touch'!Q26,4),$I$2:$L$2,0)),$AF$4:$AF$6,0),MATCH(IF('Map 2 Do Touch'!P26&gt;4,"Water","Land"),'Map 3'!$AG$3:$AH$3,0)),INDEX($AK$4:$AL$6,MATCH(INDEX($I$3:$L$6,MATCH(MOD('Map 2 Do Touch'!P26,4),$H$3:$H$6,0),MATCH(MOD('Map 2 Do Touch'!Q26,4),$I$2:$L$2,0)),'Map 3'!$AJ$4:$AJ$6,0),MATCH(IF('Map 2 Do Touch'!P26&gt;4,"Water","Land"),'Map 3'!$AK$3:$AL$3,0))),IF('Map 2 Do Touch'!Q26&gt;4,INDEX($AG$4:$AH$6,MATCH(INDEX($P$3:$S$6,MATCH(MOD('Map 2 Do Touch'!Q25,4),$O$3:$O$6,0),MATCH(MOD('Map 2 Do Touch'!Q26,4),$P$2:$S$2,0)),$AF$4:$AF$6,0),MATCH(IF('Map 2 Do Touch'!Q25&gt;4,"Water","Land"),'Map 3'!$AG$3:$AH$3,0)),INDEX($AK$4:$AL$6,MATCH(INDEX($P$3:$S$6,MATCH(MOD('Map 2 Do Touch'!Q25,4),$O$3:$O$6,0),MATCH(MOD('Map 2 Do Touch'!Q26,4),$P$2:$S$2,0)),'Map 3'!$AJ$4:$AJ$6,0),MATCH(IF('Map 2 Do Touch'!Q25&gt;4,"Water","Land"),'Map 3'!$AK$3:$AL$3,0))))</f>
        <v>Ocean</v>
      </c>
      <c r="R30" s="3" t="str">
        <f ca="1">IF('Map 2 Do Touch'!Q25&lt;&gt;'Map 2 Do Touch'!Q26,IF('Map 2 Do Touch'!R26&gt;4,INDEX($AG$4:$AH$6,MATCH(INDEX($I$3:$L$6,MATCH(MOD('Map 2 Do Touch'!Q26,4),$H$3:$H$6,0),MATCH(MOD('Map 2 Do Touch'!R26,4),$I$2:$L$2,0)),$AF$4:$AF$6,0),MATCH(IF('Map 2 Do Touch'!Q26&gt;4,"Water","Land"),'Map 3'!$AG$3:$AH$3,0)),INDEX($AK$4:$AL$6,MATCH(INDEX($I$3:$L$6,MATCH(MOD('Map 2 Do Touch'!Q26,4),$H$3:$H$6,0),MATCH(MOD('Map 2 Do Touch'!R26,4),$I$2:$L$2,0)),'Map 3'!$AJ$4:$AJ$6,0),MATCH(IF('Map 2 Do Touch'!Q26&gt;4,"Water","Land"),'Map 3'!$AK$3:$AL$3,0))),IF('Map 2 Do Touch'!R26&gt;4,INDEX($AG$4:$AH$6,MATCH(INDEX($P$3:$S$6,MATCH(MOD('Map 2 Do Touch'!R25,4),$O$3:$O$6,0),MATCH(MOD('Map 2 Do Touch'!R26,4),$P$2:$S$2,0)),$AF$4:$AF$6,0),MATCH(IF('Map 2 Do Touch'!R25&gt;4,"Water","Land"),'Map 3'!$AG$3:$AH$3,0)),INDEX($AK$4:$AL$6,MATCH(INDEX($P$3:$S$6,MATCH(MOD('Map 2 Do Touch'!R25,4),$O$3:$O$6,0),MATCH(MOD('Map 2 Do Touch'!R26,4),$P$2:$S$2,0)),'Map 3'!$AJ$4:$AJ$6,0),MATCH(IF('Map 2 Do Touch'!R25&gt;4,"Water","Land"),'Map 3'!$AK$3:$AL$3,0))))</f>
        <v>Ocean</v>
      </c>
      <c r="S30" s="3" t="str">
        <f ca="1">IF('Map 2 Do Touch'!R25&lt;&gt;'Map 2 Do Touch'!R26,IF('Map 2 Do Touch'!S26&gt;4,INDEX($AG$4:$AH$6,MATCH(INDEX($I$3:$L$6,MATCH(MOD('Map 2 Do Touch'!R26,4),$H$3:$H$6,0),MATCH(MOD('Map 2 Do Touch'!S26,4),$I$2:$L$2,0)),$AF$4:$AF$6,0),MATCH(IF('Map 2 Do Touch'!R26&gt;4,"Water","Land"),'Map 3'!$AG$3:$AH$3,0)),INDEX($AK$4:$AL$6,MATCH(INDEX($I$3:$L$6,MATCH(MOD('Map 2 Do Touch'!R26,4),$H$3:$H$6,0),MATCH(MOD('Map 2 Do Touch'!S26,4),$I$2:$L$2,0)),'Map 3'!$AJ$4:$AJ$6,0),MATCH(IF('Map 2 Do Touch'!R26&gt;4,"Water","Land"),'Map 3'!$AK$3:$AL$3,0))),IF('Map 2 Do Touch'!S26&gt;4,INDEX($AG$4:$AH$6,MATCH(INDEX($P$3:$S$6,MATCH(MOD('Map 2 Do Touch'!S25,4),$O$3:$O$6,0),MATCH(MOD('Map 2 Do Touch'!S26,4),$P$2:$S$2,0)),$AF$4:$AF$6,0),MATCH(IF('Map 2 Do Touch'!S25&gt;4,"Water","Land"),'Map 3'!$AG$3:$AH$3,0)),INDEX($AK$4:$AL$6,MATCH(INDEX($P$3:$S$6,MATCH(MOD('Map 2 Do Touch'!S25,4),$O$3:$O$6,0),MATCH(MOD('Map 2 Do Touch'!S26,4),$P$2:$S$2,0)),'Map 3'!$AJ$4:$AJ$6,0),MATCH(IF('Map 2 Do Touch'!S25&gt;4,"Water","Land"),'Map 3'!$AK$3:$AL$3,0))))</f>
        <v>Flatland</v>
      </c>
      <c r="T30" s="3" t="str">
        <f ca="1">IF('Map 2 Do Touch'!S25&lt;&gt;'Map 2 Do Touch'!S26,IF('Map 2 Do Touch'!T26&gt;4,INDEX($AG$4:$AH$6,MATCH(INDEX($I$3:$L$6,MATCH(MOD('Map 2 Do Touch'!S26,4),$H$3:$H$6,0),MATCH(MOD('Map 2 Do Touch'!T26,4),$I$2:$L$2,0)),$AF$4:$AF$6,0),MATCH(IF('Map 2 Do Touch'!S26&gt;4,"Water","Land"),'Map 3'!$AG$3:$AH$3,0)),INDEX($AK$4:$AL$6,MATCH(INDEX($I$3:$L$6,MATCH(MOD('Map 2 Do Touch'!S26,4),$H$3:$H$6,0),MATCH(MOD('Map 2 Do Touch'!T26,4),$I$2:$L$2,0)),'Map 3'!$AJ$4:$AJ$6,0),MATCH(IF('Map 2 Do Touch'!S26&gt;4,"Water","Land"),'Map 3'!$AK$3:$AL$3,0))),IF('Map 2 Do Touch'!T26&gt;4,INDEX($AG$4:$AH$6,MATCH(INDEX($P$3:$S$6,MATCH(MOD('Map 2 Do Touch'!T25,4),$O$3:$O$6,0),MATCH(MOD('Map 2 Do Touch'!T26,4),$P$2:$S$2,0)),$AF$4:$AF$6,0),MATCH(IF('Map 2 Do Touch'!T25&gt;4,"Water","Land"),'Map 3'!$AG$3:$AH$3,0)),INDEX($AK$4:$AL$6,MATCH(INDEX($P$3:$S$6,MATCH(MOD('Map 2 Do Touch'!T25,4),$O$3:$O$6,0),MATCH(MOD('Map 2 Do Touch'!T26,4),$P$2:$S$2,0)),'Map 3'!$AJ$4:$AJ$6,0),MATCH(IF('Map 2 Do Touch'!T25&gt;4,"Water","Land"),'Map 3'!$AK$3:$AL$3,0))))</f>
        <v>Flatland</v>
      </c>
      <c r="U30" s="3" t="str">
        <f ca="1">IF('Map 2 Do Touch'!T25&lt;&gt;'Map 2 Do Touch'!T26,IF('Map 2 Do Touch'!U26&gt;4,INDEX($AG$4:$AH$6,MATCH(INDEX($I$3:$L$6,MATCH(MOD('Map 2 Do Touch'!T26,4),$H$3:$H$6,0),MATCH(MOD('Map 2 Do Touch'!U26,4),$I$2:$L$2,0)),$AF$4:$AF$6,0),MATCH(IF('Map 2 Do Touch'!T26&gt;4,"Water","Land"),'Map 3'!$AG$3:$AH$3,0)),INDEX($AK$4:$AL$6,MATCH(INDEX($I$3:$L$6,MATCH(MOD('Map 2 Do Touch'!T26,4),$H$3:$H$6,0),MATCH(MOD('Map 2 Do Touch'!U26,4),$I$2:$L$2,0)),'Map 3'!$AJ$4:$AJ$6,0),MATCH(IF('Map 2 Do Touch'!T26&gt;4,"Water","Land"),'Map 3'!$AK$3:$AL$3,0))),IF('Map 2 Do Touch'!U26&gt;4,INDEX($AG$4:$AH$6,MATCH(INDEX($P$3:$S$6,MATCH(MOD('Map 2 Do Touch'!U25,4),$O$3:$O$6,0),MATCH(MOD('Map 2 Do Touch'!U26,4),$P$2:$S$2,0)),$AF$4:$AF$6,0),MATCH(IF('Map 2 Do Touch'!U25&gt;4,"Water","Land"),'Map 3'!$AG$3:$AH$3,0)),INDEX($AK$4:$AL$6,MATCH(INDEX($P$3:$S$6,MATCH(MOD('Map 2 Do Touch'!U25,4),$O$3:$O$6,0),MATCH(MOD('Map 2 Do Touch'!U26,4),$P$2:$S$2,0)),'Map 3'!$AJ$4:$AJ$6,0),MATCH(IF('Map 2 Do Touch'!U25&gt;4,"Water","Land"),'Map 3'!$AK$3:$AL$3,0))))</f>
        <v>Coast</v>
      </c>
      <c r="V30" s="3" t="str">
        <f ca="1">IF('Map 2 Do Touch'!U25&lt;&gt;'Map 2 Do Touch'!U26,IF('Map 2 Do Touch'!V26&gt;4,INDEX($AG$4:$AH$6,MATCH(INDEX($I$3:$L$6,MATCH(MOD('Map 2 Do Touch'!U26,4),$H$3:$H$6,0),MATCH(MOD('Map 2 Do Touch'!V26,4),$I$2:$L$2,0)),$AF$4:$AF$6,0),MATCH(IF('Map 2 Do Touch'!U26&gt;4,"Water","Land"),'Map 3'!$AG$3:$AH$3,0)),INDEX($AK$4:$AL$6,MATCH(INDEX($I$3:$L$6,MATCH(MOD('Map 2 Do Touch'!U26,4),$H$3:$H$6,0),MATCH(MOD('Map 2 Do Touch'!V26,4),$I$2:$L$2,0)),'Map 3'!$AJ$4:$AJ$6,0),MATCH(IF('Map 2 Do Touch'!U26&gt;4,"Water","Land"),'Map 3'!$AK$3:$AL$3,0))),IF('Map 2 Do Touch'!V26&gt;4,INDEX($AG$4:$AH$6,MATCH(INDEX($P$3:$S$6,MATCH(MOD('Map 2 Do Touch'!V25,4),$O$3:$O$6,0),MATCH(MOD('Map 2 Do Touch'!V26,4),$P$2:$S$2,0)),$AF$4:$AF$6,0),MATCH(IF('Map 2 Do Touch'!V25&gt;4,"Water","Land"),'Map 3'!$AG$3:$AH$3,0)),INDEX($AK$4:$AL$6,MATCH(INDEX($P$3:$S$6,MATCH(MOD('Map 2 Do Touch'!V25,4),$O$3:$O$6,0),MATCH(MOD('Map 2 Do Touch'!V26,4),$P$2:$S$2,0)),'Map 3'!$AJ$4:$AJ$6,0),MATCH(IF('Map 2 Do Touch'!V25&gt;4,"Water","Land"),'Map 3'!$AK$3:$AL$3,0))))</f>
        <v>Coast</v>
      </c>
      <c r="W30" s="3" t="str">
        <f ca="1">IF('Map 2 Do Touch'!V25&lt;&gt;'Map 2 Do Touch'!V26,IF('Map 2 Do Touch'!W26&gt;4,INDEX($AG$4:$AH$6,MATCH(INDEX($I$3:$L$6,MATCH(MOD('Map 2 Do Touch'!V26,4),$H$3:$H$6,0),MATCH(MOD('Map 2 Do Touch'!W26,4),$I$2:$L$2,0)),$AF$4:$AF$6,0),MATCH(IF('Map 2 Do Touch'!V26&gt;4,"Water","Land"),'Map 3'!$AG$3:$AH$3,0)),INDEX($AK$4:$AL$6,MATCH(INDEX($I$3:$L$6,MATCH(MOD('Map 2 Do Touch'!V26,4),$H$3:$H$6,0),MATCH(MOD('Map 2 Do Touch'!W26,4),$I$2:$L$2,0)),'Map 3'!$AJ$4:$AJ$6,0),MATCH(IF('Map 2 Do Touch'!V26&gt;4,"Water","Land"),'Map 3'!$AK$3:$AL$3,0))),IF('Map 2 Do Touch'!W26&gt;4,INDEX($AG$4:$AH$6,MATCH(INDEX($P$3:$S$6,MATCH(MOD('Map 2 Do Touch'!W25,4),$O$3:$O$6,0),MATCH(MOD('Map 2 Do Touch'!W26,4),$P$2:$S$2,0)),$AF$4:$AF$6,0),MATCH(IF('Map 2 Do Touch'!W25&gt;4,"Water","Land"),'Map 3'!$AG$3:$AH$3,0)),INDEX($AK$4:$AL$6,MATCH(INDEX($P$3:$S$6,MATCH(MOD('Map 2 Do Touch'!W25,4),$O$3:$O$6,0),MATCH(MOD('Map 2 Do Touch'!W26,4),$P$2:$S$2,0)),'Map 3'!$AJ$4:$AJ$6,0),MATCH(IF('Map 2 Do Touch'!W25&gt;4,"Water","Land"),'Map 3'!$AK$3:$AL$3,0))))</f>
        <v>Ocean</v>
      </c>
      <c r="X30" s="3" t="str">
        <f ca="1">IF('Map 2 Do Touch'!W25&lt;&gt;'Map 2 Do Touch'!W26,IF('Map 2 Do Touch'!X26&gt;4,INDEX($AG$4:$AH$6,MATCH(INDEX($I$3:$L$6,MATCH(MOD('Map 2 Do Touch'!W26,4),$H$3:$H$6,0),MATCH(MOD('Map 2 Do Touch'!X26,4),$I$2:$L$2,0)),$AF$4:$AF$6,0),MATCH(IF('Map 2 Do Touch'!W26&gt;4,"Water","Land"),'Map 3'!$AG$3:$AH$3,0)),INDEX($AK$4:$AL$6,MATCH(INDEX($I$3:$L$6,MATCH(MOD('Map 2 Do Touch'!W26,4),$H$3:$H$6,0),MATCH(MOD('Map 2 Do Touch'!X26,4),$I$2:$L$2,0)),'Map 3'!$AJ$4:$AJ$6,0),MATCH(IF('Map 2 Do Touch'!W26&gt;4,"Water","Land"),'Map 3'!$AK$3:$AL$3,0))),IF('Map 2 Do Touch'!X26&gt;4,INDEX($AG$4:$AH$6,MATCH(INDEX($P$3:$S$6,MATCH(MOD('Map 2 Do Touch'!X25,4),$O$3:$O$6,0),MATCH(MOD('Map 2 Do Touch'!X26,4),$P$2:$S$2,0)),$AF$4:$AF$6,0),MATCH(IF('Map 2 Do Touch'!X25&gt;4,"Water","Land"),'Map 3'!$AG$3:$AH$3,0)),INDEX($AK$4:$AL$6,MATCH(INDEX($P$3:$S$6,MATCH(MOD('Map 2 Do Touch'!X25,4),$O$3:$O$6,0),MATCH(MOD('Map 2 Do Touch'!X26,4),$P$2:$S$2,0)),'Map 3'!$AJ$4:$AJ$6,0),MATCH(IF('Map 2 Do Touch'!X25&gt;4,"Water","Land"),'Map 3'!$AK$3:$AL$3,0))))</f>
        <v>Ocean</v>
      </c>
      <c r="Y30" s="3" t="str">
        <f ca="1">IF('Map 2 Do Touch'!X25&lt;&gt;'Map 2 Do Touch'!X26,IF('Map 2 Do Touch'!Y26&gt;4,INDEX($AG$4:$AH$6,MATCH(INDEX($I$3:$L$6,MATCH(MOD('Map 2 Do Touch'!X26,4),$H$3:$H$6,0),MATCH(MOD('Map 2 Do Touch'!Y26,4),$I$2:$L$2,0)),$AF$4:$AF$6,0),MATCH(IF('Map 2 Do Touch'!X26&gt;4,"Water","Land"),'Map 3'!$AG$3:$AH$3,0)),INDEX($AK$4:$AL$6,MATCH(INDEX($I$3:$L$6,MATCH(MOD('Map 2 Do Touch'!X26,4),$H$3:$H$6,0),MATCH(MOD('Map 2 Do Touch'!Y26,4),$I$2:$L$2,0)),'Map 3'!$AJ$4:$AJ$6,0),MATCH(IF('Map 2 Do Touch'!X26&gt;4,"Water","Land"),'Map 3'!$AK$3:$AL$3,0))),IF('Map 2 Do Touch'!Y26&gt;4,INDEX($AG$4:$AH$6,MATCH(INDEX($P$3:$S$6,MATCH(MOD('Map 2 Do Touch'!Y25,4),$O$3:$O$6,0),MATCH(MOD('Map 2 Do Touch'!Y26,4),$P$2:$S$2,0)),$AF$4:$AF$6,0),MATCH(IF('Map 2 Do Touch'!Y25&gt;4,"Water","Land"),'Map 3'!$AG$3:$AH$3,0)),INDEX($AK$4:$AL$6,MATCH(INDEX($P$3:$S$6,MATCH(MOD('Map 2 Do Touch'!Y25,4),$O$3:$O$6,0),MATCH(MOD('Map 2 Do Touch'!Y26,4),$P$2:$S$2,0)),'Map 3'!$AJ$4:$AJ$6,0),MATCH(IF('Map 2 Do Touch'!Y25&gt;4,"Water","Land"),'Map 3'!$AK$3:$AL$3,0))))</f>
        <v>Ocean</v>
      </c>
      <c r="Z30" s="3" t="str">
        <f ca="1">IF('Map 2 Do Touch'!Y25&lt;&gt;'Map 2 Do Touch'!Y26,IF('Map 2 Do Touch'!Z26&gt;4,INDEX($AG$4:$AH$6,MATCH(INDEX($I$3:$L$6,MATCH(MOD('Map 2 Do Touch'!Y26,4),$H$3:$H$6,0),MATCH(MOD('Map 2 Do Touch'!Z26,4),$I$2:$L$2,0)),$AF$4:$AF$6,0),MATCH(IF('Map 2 Do Touch'!Y26&gt;4,"Water","Land"),'Map 3'!$AG$3:$AH$3,0)),INDEX($AK$4:$AL$6,MATCH(INDEX($I$3:$L$6,MATCH(MOD('Map 2 Do Touch'!Y26,4),$H$3:$H$6,0),MATCH(MOD('Map 2 Do Touch'!Z26,4),$I$2:$L$2,0)),'Map 3'!$AJ$4:$AJ$6,0),MATCH(IF('Map 2 Do Touch'!Y26&gt;4,"Water","Land"),'Map 3'!$AK$3:$AL$3,0))),IF('Map 2 Do Touch'!Z26&gt;4,INDEX($AG$4:$AH$6,MATCH(INDEX($P$3:$S$6,MATCH(MOD('Map 2 Do Touch'!Z25,4),$O$3:$O$6,0),MATCH(MOD('Map 2 Do Touch'!Z26,4),$P$2:$S$2,0)),$AF$4:$AF$6,0),MATCH(IF('Map 2 Do Touch'!Z25&gt;4,"Water","Land"),'Map 3'!$AG$3:$AH$3,0)),INDEX($AK$4:$AL$6,MATCH(INDEX($P$3:$S$6,MATCH(MOD('Map 2 Do Touch'!Z25,4),$O$3:$O$6,0),MATCH(MOD('Map 2 Do Touch'!Z26,4),$P$2:$S$2,0)),'Map 3'!$AJ$4:$AJ$6,0),MATCH(IF('Map 2 Do Touch'!Z25&gt;4,"Water","Land"),'Map 3'!$AK$3:$AL$3,0))))</f>
        <v>Trench</v>
      </c>
      <c r="AA30" s="3" t="str">
        <f ca="1">IF('Map 2 Do Touch'!Z25&lt;&gt;'Map 2 Do Touch'!Z26,IF('Map 2 Do Touch'!AA26&gt;4,INDEX($AG$4:$AH$6,MATCH(INDEX($I$3:$L$6,MATCH(MOD('Map 2 Do Touch'!Z26,4),$H$3:$H$6,0),MATCH(MOD('Map 2 Do Touch'!AA26,4),$I$2:$L$2,0)),$AF$4:$AF$6,0),MATCH(IF('Map 2 Do Touch'!Z26&gt;4,"Water","Land"),'Map 3'!$AG$3:$AH$3,0)),INDEX($AK$4:$AL$6,MATCH(INDEX($I$3:$L$6,MATCH(MOD('Map 2 Do Touch'!Z26,4),$H$3:$H$6,0),MATCH(MOD('Map 2 Do Touch'!AA26,4),$I$2:$L$2,0)),'Map 3'!$AJ$4:$AJ$6,0),MATCH(IF('Map 2 Do Touch'!Z26&gt;4,"Water","Land"),'Map 3'!$AK$3:$AL$3,0))),IF('Map 2 Do Touch'!AA26&gt;4,INDEX($AG$4:$AH$6,MATCH(INDEX($P$3:$S$6,MATCH(MOD('Map 2 Do Touch'!AA25,4),$O$3:$O$6,0),MATCH(MOD('Map 2 Do Touch'!AA26,4),$P$2:$S$2,0)),$AF$4:$AF$6,0),MATCH(IF('Map 2 Do Touch'!AA25&gt;4,"Water","Land"),'Map 3'!$AG$3:$AH$3,0)),INDEX($AK$4:$AL$6,MATCH(INDEX($P$3:$S$6,MATCH(MOD('Map 2 Do Touch'!AA25,4),$O$3:$O$6,0),MATCH(MOD('Map 2 Do Touch'!AA26,4),$P$2:$S$2,0)),'Map 3'!$AJ$4:$AJ$6,0),MATCH(IF('Map 2 Do Touch'!AA25&gt;4,"Water","Land"),'Map 3'!$AK$3:$AL$3,0))))</f>
        <v>Island</v>
      </c>
      <c r="AB30" s="3" t="str">
        <f ca="1">IF('Map 2 Do Touch'!AA25&lt;&gt;'Map 2 Do Touch'!AA26,IF('Map 2 Do Touch'!AB26&gt;4,INDEX($AG$4:$AH$6,MATCH(INDEX($I$3:$L$6,MATCH(MOD('Map 2 Do Touch'!AA26,4),$H$3:$H$6,0),MATCH(MOD('Map 2 Do Touch'!AB26,4),$I$2:$L$2,0)),$AF$4:$AF$6,0),MATCH(IF('Map 2 Do Touch'!AA26&gt;4,"Water","Land"),'Map 3'!$AG$3:$AH$3,0)),INDEX($AK$4:$AL$6,MATCH(INDEX($I$3:$L$6,MATCH(MOD('Map 2 Do Touch'!AA26,4),$H$3:$H$6,0),MATCH(MOD('Map 2 Do Touch'!AB26,4),$I$2:$L$2,0)),'Map 3'!$AJ$4:$AJ$6,0),MATCH(IF('Map 2 Do Touch'!AA26&gt;4,"Water","Land"),'Map 3'!$AK$3:$AL$3,0))),IF('Map 2 Do Touch'!AB26&gt;4,INDEX($AG$4:$AH$6,MATCH(INDEX($P$3:$S$6,MATCH(MOD('Map 2 Do Touch'!AB25,4),$O$3:$O$6,0),MATCH(MOD('Map 2 Do Touch'!AB26,4),$P$2:$S$2,0)),$AF$4:$AF$6,0),MATCH(IF('Map 2 Do Touch'!AB25&gt;4,"Water","Land"),'Map 3'!$AG$3:$AH$3,0)),INDEX($AK$4:$AL$6,MATCH(INDEX($P$3:$S$6,MATCH(MOD('Map 2 Do Touch'!AB25,4),$O$3:$O$6,0),MATCH(MOD('Map 2 Do Touch'!AB26,4),$P$2:$S$2,0)),'Map 3'!$AJ$4:$AJ$6,0),MATCH(IF('Map 2 Do Touch'!AB25&gt;4,"Water","Land"),'Map 3'!$AK$3:$AL$3,0))))</f>
        <v>Ocean</v>
      </c>
      <c r="AC30" s="3" t="str">
        <f ca="1">IF('Map 2 Do Touch'!AB25&lt;&gt;'Map 2 Do Touch'!AB26,IF('Map 2 Do Touch'!AC26&gt;4,INDEX($AG$4:$AH$6,MATCH(INDEX($I$3:$L$6,MATCH(MOD('Map 2 Do Touch'!AB26,4),$H$3:$H$6,0),MATCH(MOD('Map 2 Do Touch'!AC26,4),$I$2:$L$2,0)),$AF$4:$AF$6,0),MATCH(IF('Map 2 Do Touch'!AB26&gt;4,"Water","Land"),'Map 3'!$AG$3:$AH$3,0)),INDEX($AK$4:$AL$6,MATCH(INDEX($I$3:$L$6,MATCH(MOD('Map 2 Do Touch'!AB26,4),$H$3:$H$6,0),MATCH(MOD('Map 2 Do Touch'!AC26,4),$I$2:$L$2,0)),'Map 3'!$AJ$4:$AJ$6,0),MATCH(IF('Map 2 Do Touch'!AB26&gt;4,"Water","Land"),'Map 3'!$AK$3:$AL$3,0))),IF('Map 2 Do Touch'!AC26&gt;4,INDEX($AG$4:$AH$6,MATCH(INDEX($P$3:$S$6,MATCH(MOD('Map 2 Do Touch'!AC25,4),$O$3:$O$6,0),MATCH(MOD('Map 2 Do Touch'!AC26,4),$P$2:$S$2,0)),$AF$4:$AF$6,0),MATCH(IF('Map 2 Do Touch'!AC25&gt;4,"Water","Land"),'Map 3'!$AG$3:$AH$3,0)),INDEX($AK$4:$AL$6,MATCH(INDEX($P$3:$S$6,MATCH(MOD('Map 2 Do Touch'!AC25,4),$O$3:$O$6,0),MATCH(MOD('Map 2 Do Touch'!AC26,4),$P$2:$S$2,0)),'Map 3'!$AJ$4:$AJ$6,0),MATCH(IF('Map 2 Do Touch'!AC25&gt;4,"Water","Land"),'Map 3'!$AK$3:$AL$3,0))))</f>
        <v>Ocean</v>
      </c>
      <c r="AD30" s="3" t="str">
        <f ca="1">IF('Map 2 Do Touch'!AC25&lt;&gt;'Map 2 Do Touch'!AC26,IF('Map 2 Do Touch'!AD26&gt;4,INDEX($AG$4:$AH$6,MATCH(INDEX($I$3:$L$6,MATCH(MOD('Map 2 Do Touch'!AC26,4),$H$3:$H$6,0),MATCH(MOD('Map 2 Do Touch'!AD26,4),$I$2:$L$2,0)),$AF$4:$AF$6,0),MATCH(IF('Map 2 Do Touch'!AC26&gt;4,"Water","Land"),'Map 3'!$AG$3:$AH$3,0)),INDEX($AK$4:$AL$6,MATCH(INDEX($I$3:$L$6,MATCH(MOD('Map 2 Do Touch'!AC26,4),$H$3:$H$6,0),MATCH(MOD('Map 2 Do Touch'!AD26,4),$I$2:$L$2,0)),'Map 3'!$AJ$4:$AJ$6,0),MATCH(IF('Map 2 Do Touch'!AC26&gt;4,"Water","Land"),'Map 3'!$AK$3:$AL$3,0))),IF('Map 2 Do Touch'!AD26&gt;4,INDEX($AG$4:$AH$6,MATCH(INDEX($P$3:$S$6,MATCH(MOD('Map 2 Do Touch'!AD25,4),$O$3:$O$6,0),MATCH(MOD('Map 2 Do Touch'!AD26,4),$P$2:$S$2,0)),$AF$4:$AF$6,0),MATCH(IF('Map 2 Do Touch'!AD25&gt;4,"Water","Land"),'Map 3'!$AG$3:$AH$3,0)),INDEX($AK$4:$AL$6,MATCH(INDEX($P$3:$S$6,MATCH(MOD('Map 2 Do Touch'!AD25,4),$O$3:$O$6,0),MATCH(MOD('Map 2 Do Touch'!AD26,4),$P$2:$S$2,0)),'Map 3'!$AJ$4:$AJ$6,0),MATCH(IF('Map 2 Do Touch'!AD25&gt;4,"Water","Land"),'Map 3'!$AK$3:$AL$3,0))))</f>
        <v>Ocean</v>
      </c>
      <c r="AE30" s="3" t="str">
        <f ca="1">IF('Map 2 Do Touch'!AD25&lt;&gt;'Map 2 Do Touch'!AD26,IF('Map 2 Do Touch'!AE26&gt;4,INDEX($AG$4:$AH$6,MATCH(INDEX($I$3:$L$6,MATCH(MOD('Map 2 Do Touch'!AD26,4),$H$3:$H$6,0),MATCH(MOD('Map 2 Do Touch'!AE26,4),$I$2:$L$2,0)),$AF$4:$AF$6,0),MATCH(IF('Map 2 Do Touch'!AD26&gt;4,"Water","Land"),'Map 3'!$AG$3:$AH$3,0)),INDEX($AK$4:$AL$6,MATCH(INDEX($I$3:$L$6,MATCH(MOD('Map 2 Do Touch'!AD26,4),$H$3:$H$6,0),MATCH(MOD('Map 2 Do Touch'!AE26,4),$I$2:$L$2,0)),'Map 3'!$AJ$4:$AJ$6,0),MATCH(IF('Map 2 Do Touch'!AD26&gt;4,"Water","Land"),'Map 3'!$AK$3:$AL$3,0))),IF('Map 2 Do Touch'!AE26&gt;4,INDEX($AG$4:$AH$6,MATCH(INDEX($P$3:$S$6,MATCH(MOD('Map 2 Do Touch'!AE25,4),$O$3:$O$6,0),MATCH(MOD('Map 2 Do Touch'!AE26,4),$P$2:$S$2,0)),$AF$4:$AF$6,0),MATCH(IF('Map 2 Do Touch'!AE25&gt;4,"Water","Land"),'Map 3'!$AG$3:$AH$3,0)),INDEX($AK$4:$AL$6,MATCH(INDEX($P$3:$S$6,MATCH(MOD('Map 2 Do Touch'!AE25,4),$O$3:$O$6,0),MATCH(MOD('Map 2 Do Touch'!AE26,4),$P$2:$S$2,0)),'Map 3'!$AJ$4:$AJ$6,0),MATCH(IF('Map 2 Do Touch'!AE25&gt;4,"Water","Land"),'Map 3'!$AK$3:$AL$3,0))))</f>
        <v>Ocean</v>
      </c>
      <c r="AF30" s="3" t="str">
        <f ca="1">IF('Map 2 Do Touch'!AE25&lt;&gt;'Map 2 Do Touch'!AE26,IF('Map 2 Do Touch'!AF26&gt;4,INDEX($AG$4:$AH$6,MATCH(INDEX($I$3:$L$6,MATCH(MOD('Map 2 Do Touch'!AE26,4),$H$3:$H$6,0),MATCH(MOD('Map 2 Do Touch'!AF26,4),$I$2:$L$2,0)),$AF$4:$AF$6,0),MATCH(IF('Map 2 Do Touch'!AE26&gt;4,"Water","Land"),'Map 3'!$AG$3:$AH$3,0)),INDEX($AK$4:$AL$6,MATCH(INDEX($I$3:$L$6,MATCH(MOD('Map 2 Do Touch'!AE26,4),$H$3:$H$6,0),MATCH(MOD('Map 2 Do Touch'!AF26,4),$I$2:$L$2,0)),'Map 3'!$AJ$4:$AJ$6,0),MATCH(IF('Map 2 Do Touch'!AE26&gt;4,"Water","Land"),'Map 3'!$AK$3:$AL$3,0))),IF('Map 2 Do Touch'!AF26&gt;4,INDEX($AG$4:$AH$6,MATCH(INDEX($P$3:$S$6,MATCH(MOD('Map 2 Do Touch'!AF25,4),$O$3:$O$6,0),MATCH(MOD('Map 2 Do Touch'!AF26,4),$P$2:$S$2,0)),$AF$4:$AF$6,0),MATCH(IF('Map 2 Do Touch'!AF25&gt;4,"Water","Land"),'Map 3'!$AG$3:$AH$3,0)),INDEX($AK$4:$AL$6,MATCH(INDEX($P$3:$S$6,MATCH(MOD('Map 2 Do Touch'!AF25,4),$O$3:$O$6,0),MATCH(MOD('Map 2 Do Touch'!AF26,4),$P$2:$S$2,0)),'Map 3'!$AJ$4:$AJ$6,0),MATCH(IF('Map 2 Do Touch'!AF25&gt;4,"Water","Land"),'Map 3'!$AK$3:$AL$3,0))))</f>
        <v>Ocean</v>
      </c>
      <c r="AG30" s="3" t="str">
        <f ca="1">IF('Map 2 Do Touch'!AF25&lt;&gt;'Map 2 Do Touch'!AF26,IF('Map 2 Do Touch'!AG26&gt;4,INDEX($AG$4:$AH$6,MATCH(INDEX($I$3:$L$6,MATCH(MOD('Map 2 Do Touch'!AF26,4),$H$3:$H$6,0),MATCH(MOD('Map 2 Do Touch'!AG26,4),$I$2:$L$2,0)),$AF$4:$AF$6,0),MATCH(IF('Map 2 Do Touch'!AF26&gt;4,"Water","Land"),'Map 3'!$AG$3:$AH$3,0)),INDEX($AK$4:$AL$6,MATCH(INDEX($I$3:$L$6,MATCH(MOD('Map 2 Do Touch'!AF26,4),$H$3:$H$6,0),MATCH(MOD('Map 2 Do Touch'!AG26,4),$I$2:$L$2,0)),'Map 3'!$AJ$4:$AJ$6,0),MATCH(IF('Map 2 Do Touch'!AF26&gt;4,"Water","Land"),'Map 3'!$AK$3:$AL$3,0))),IF('Map 2 Do Touch'!AG26&gt;4,INDEX($AG$4:$AH$6,MATCH(INDEX($P$3:$S$6,MATCH(MOD('Map 2 Do Touch'!AG25,4),$O$3:$O$6,0),MATCH(MOD('Map 2 Do Touch'!AG26,4),$P$2:$S$2,0)),$AF$4:$AF$6,0),MATCH(IF('Map 2 Do Touch'!AG25&gt;4,"Water","Land"),'Map 3'!$AG$3:$AH$3,0)),INDEX($AK$4:$AL$6,MATCH(INDEX($P$3:$S$6,MATCH(MOD('Map 2 Do Touch'!AG25,4),$O$3:$O$6,0),MATCH(MOD('Map 2 Do Touch'!AG26,4),$P$2:$S$2,0)),'Map 3'!$AJ$4:$AJ$6,0),MATCH(IF('Map 2 Do Touch'!AG25&gt;4,"Water","Land"),'Map 3'!$AK$3:$AL$3,0))))</f>
        <v>Ocean</v>
      </c>
      <c r="AH30" s="3" t="str">
        <f ca="1">IF('Map 2 Do Touch'!AG25&lt;&gt;'Map 2 Do Touch'!AG26,IF('Map 2 Do Touch'!AH26&gt;4,INDEX($AG$4:$AH$6,MATCH(INDEX($I$3:$L$6,MATCH(MOD('Map 2 Do Touch'!AG26,4),$H$3:$H$6,0),MATCH(MOD('Map 2 Do Touch'!AH26,4),$I$2:$L$2,0)),$AF$4:$AF$6,0),MATCH(IF('Map 2 Do Touch'!AG26&gt;4,"Water","Land"),'Map 3'!$AG$3:$AH$3,0)),INDEX($AK$4:$AL$6,MATCH(INDEX($I$3:$L$6,MATCH(MOD('Map 2 Do Touch'!AG26,4),$H$3:$H$6,0),MATCH(MOD('Map 2 Do Touch'!AH26,4),$I$2:$L$2,0)),'Map 3'!$AJ$4:$AJ$6,0),MATCH(IF('Map 2 Do Touch'!AG26&gt;4,"Water","Land"),'Map 3'!$AK$3:$AL$3,0))),IF('Map 2 Do Touch'!AH26&gt;4,INDEX($AG$4:$AH$6,MATCH(INDEX($P$3:$S$6,MATCH(MOD('Map 2 Do Touch'!AH25,4),$O$3:$O$6,0),MATCH(MOD('Map 2 Do Touch'!AH26,4),$P$2:$S$2,0)),$AF$4:$AF$6,0),MATCH(IF('Map 2 Do Touch'!AH25&gt;4,"Water","Land"),'Map 3'!$AG$3:$AH$3,0)),INDEX($AK$4:$AL$6,MATCH(INDEX($P$3:$S$6,MATCH(MOD('Map 2 Do Touch'!AH25,4),$O$3:$O$6,0),MATCH(MOD('Map 2 Do Touch'!AH26,4),$P$2:$S$2,0)),'Map 3'!$AJ$4:$AJ$6,0),MATCH(IF('Map 2 Do Touch'!AH25&gt;4,"Water","Land"),'Map 3'!$AK$3:$AL$3,0))))</f>
        <v>Ocean</v>
      </c>
      <c r="AI30" s="3" t="str">
        <f ca="1">IF('Map 2 Do Touch'!AH25&lt;&gt;'Map 2 Do Touch'!AH26,IF('Map 2 Do Touch'!AI26&gt;4,INDEX($AG$4:$AH$6,MATCH(INDEX($I$3:$L$6,MATCH(MOD('Map 2 Do Touch'!AH26,4),$H$3:$H$6,0),MATCH(MOD('Map 2 Do Touch'!AI26,4),$I$2:$L$2,0)),$AF$4:$AF$6,0),MATCH(IF('Map 2 Do Touch'!AH26&gt;4,"Water","Land"),'Map 3'!$AG$3:$AH$3,0)),INDEX($AK$4:$AL$6,MATCH(INDEX($I$3:$L$6,MATCH(MOD('Map 2 Do Touch'!AH26,4),$H$3:$H$6,0),MATCH(MOD('Map 2 Do Touch'!AI26,4),$I$2:$L$2,0)),'Map 3'!$AJ$4:$AJ$6,0),MATCH(IF('Map 2 Do Touch'!AH26&gt;4,"Water","Land"),'Map 3'!$AK$3:$AL$3,0))),IF('Map 2 Do Touch'!AI26&gt;4,INDEX($AG$4:$AH$6,MATCH(INDEX($P$3:$S$6,MATCH(MOD('Map 2 Do Touch'!AI25,4),$O$3:$O$6,0),MATCH(MOD('Map 2 Do Touch'!AI26,4),$P$2:$S$2,0)),$AF$4:$AF$6,0),MATCH(IF('Map 2 Do Touch'!AI25&gt;4,"Water","Land"),'Map 3'!$AG$3:$AH$3,0)),INDEX($AK$4:$AL$6,MATCH(INDEX($P$3:$S$6,MATCH(MOD('Map 2 Do Touch'!AI25,4),$O$3:$O$6,0),MATCH(MOD('Map 2 Do Touch'!AI26,4),$P$2:$S$2,0)),'Map 3'!$AJ$4:$AJ$6,0),MATCH(IF('Map 2 Do Touch'!AI25&gt;4,"Water","Land"),'Map 3'!$AK$3:$AL$3,0))))</f>
        <v>Ocean</v>
      </c>
      <c r="AJ30" s="3" t="str">
        <f ca="1">IF('Map 2 Do Touch'!AI25&lt;&gt;'Map 2 Do Touch'!AI26,IF('Map 2 Do Touch'!AJ26&gt;4,INDEX($AG$4:$AH$6,MATCH(INDEX($I$3:$L$6,MATCH(MOD('Map 2 Do Touch'!AI26,4),$H$3:$H$6,0),MATCH(MOD('Map 2 Do Touch'!AJ26,4),$I$2:$L$2,0)),$AF$4:$AF$6,0),MATCH(IF('Map 2 Do Touch'!AI26&gt;4,"Water","Land"),'Map 3'!$AG$3:$AH$3,0)),INDEX($AK$4:$AL$6,MATCH(INDEX($I$3:$L$6,MATCH(MOD('Map 2 Do Touch'!AI26,4),$H$3:$H$6,0),MATCH(MOD('Map 2 Do Touch'!AJ26,4),$I$2:$L$2,0)),'Map 3'!$AJ$4:$AJ$6,0),MATCH(IF('Map 2 Do Touch'!AI26&gt;4,"Water","Land"),'Map 3'!$AK$3:$AL$3,0))),IF('Map 2 Do Touch'!AJ26&gt;4,INDEX($AG$4:$AH$6,MATCH(INDEX($P$3:$S$6,MATCH(MOD('Map 2 Do Touch'!AJ25,4),$O$3:$O$6,0),MATCH(MOD('Map 2 Do Touch'!AJ26,4),$P$2:$S$2,0)),$AF$4:$AF$6,0),MATCH(IF('Map 2 Do Touch'!AJ25&gt;4,"Water","Land"),'Map 3'!$AG$3:$AH$3,0)),INDEX($AK$4:$AL$6,MATCH(INDEX($P$3:$S$6,MATCH(MOD('Map 2 Do Touch'!AJ25,4),$O$3:$O$6,0),MATCH(MOD('Map 2 Do Touch'!AJ26,4),$P$2:$S$2,0)),'Map 3'!$AJ$4:$AJ$6,0),MATCH(IF('Map 2 Do Touch'!AJ25&gt;4,"Water","Land"),'Map 3'!$AK$3:$AL$3,0))))</f>
        <v>Island</v>
      </c>
      <c r="AK30" s="3" t="str">
        <f ca="1">IF('Map 2 Do Touch'!AJ25&lt;&gt;'Map 2 Do Touch'!AJ26,IF('Map 2 Do Touch'!AK26&gt;4,INDEX($AG$4:$AH$6,MATCH(INDEX($I$3:$L$6,MATCH(MOD('Map 2 Do Touch'!AJ26,4),$H$3:$H$6,0),MATCH(MOD('Map 2 Do Touch'!AK26,4),$I$2:$L$2,0)),$AF$4:$AF$6,0),MATCH(IF('Map 2 Do Touch'!AJ26&gt;4,"Water","Land"),'Map 3'!$AG$3:$AH$3,0)),INDEX($AK$4:$AL$6,MATCH(INDEX($I$3:$L$6,MATCH(MOD('Map 2 Do Touch'!AJ26,4),$H$3:$H$6,0),MATCH(MOD('Map 2 Do Touch'!AK26,4),$I$2:$L$2,0)),'Map 3'!$AJ$4:$AJ$6,0),MATCH(IF('Map 2 Do Touch'!AJ26&gt;4,"Water","Land"),'Map 3'!$AK$3:$AL$3,0))),IF('Map 2 Do Touch'!AK26&gt;4,INDEX($AG$4:$AH$6,MATCH(INDEX($P$3:$S$6,MATCH(MOD('Map 2 Do Touch'!AK25,4),$O$3:$O$6,0),MATCH(MOD('Map 2 Do Touch'!AK26,4),$P$2:$S$2,0)),$AF$4:$AF$6,0),MATCH(IF('Map 2 Do Touch'!AK25&gt;4,"Water","Land"),'Map 3'!$AG$3:$AH$3,0)),INDEX($AK$4:$AL$6,MATCH(INDEX($P$3:$S$6,MATCH(MOD('Map 2 Do Touch'!AK25,4),$O$3:$O$6,0),MATCH(MOD('Map 2 Do Touch'!AK26,4),$P$2:$S$2,0)),'Map 3'!$AJ$4:$AJ$6,0),MATCH(IF('Map 2 Do Touch'!AK25&gt;4,"Water","Land"),'Map 3'!$AK$3:$AL$3,0))))</f>
        <v>Ocean</v>
      </c>
      <c r="AL30" s="3" t="str">
        <f ca="1">IF('Map 2 Do Touch'!AK25&lt;&gt;'Map 2 Do Touch'!AK26,IF('Map 2 Do Touch'!AL26&gt;4,INDEX($AG$4:$AH$6,MATCH(INDEX($I$3:$L$6,MATCH(MOD('Map 2 Do Touch'!AK26,4),$H$3:$H$6,0),MATCH(MOD('Map 2 Do Touch'!AL26,4),$I$2:$L$2,0)),$AF$4:$AF$6,0),MATCH(IF('Map 2 Do Touch'!AK26&gt;4,"Water","Land"),'Map 3'!$AG$3:$AH$3,0)),INDEX($AK$4:$AL$6,MATCH(INDEX($I$3:$L$6,MATCH(MOD('Map 2 Do Touch'!AK26,4),$H$3:$H$6,0),MATCH(MOD('Map 2 Do Touch'!AL26,4),$I$2:$L$2,0)),'Map 3'!$AJ$4:$AJ$6,0),MATCH(IF('Map 2 Do Touch'!AK26&gt;4,"Water","Land"),'Map 3'!$AK$3:$AL$3,0))),IF('Map 2 Do Touch'!AL26&gt;4,INDEX($AG$4:$AH$6,MATCH(INDEX($P$3:$S$6,MATCH(MOD('Map 2 Do Touch'!AL25,4),$O$3:$O$6,0),MATCH(MOD('Map 2 Do Touch'!AL26,4),$P$2:$S$2,0)),$AF$4:$AF$6,0),MATCH(IF('Map 2 Do Touch'!AL25&gt;4,"Water","Land"),'Map 3'!$AG$3:$AH$3,0)),INDEX($AK$4:$AL$6,MATCH(INDEX($P$3:$S$6,MATCH(MOD('Map 2 Do Touch'!AL25,4),$O$3:$O$6,0),MATCH(MOD('Map 2 Do Touch'!AL26,4),$P$2:$S$2,0)),'Map 3'!$AJ$4:$AJ$6,0),MATCH(IF('Map 2 Do Touch'!AL25&gt;4,"Water","Land"),'Map 3'!$AK$3:$AL$3,0))))</f>
        <v>Ocean</v>
      </c>
      <c r="AM30" s="3" t="str">
        <f ca="1">IF('Map 2 Do Touch'!AL25&lt;&gt;'Map 2 Do Touch'!AL26,IF('Map 2 Do Touch'!AM26&gt;4,INDEX($AG$4:$AH$6,MATCH(INDEX($I$3:$L$6,MATCH(MOD('Map 2 Do Touch'!AL26,4),$H$3:$H$6,0),MATCH(MOD('Map 2 Do Touch'!AM26,4),$I$2:$L$2,0)),$AF$4:$AF$6,0),MATCH(IF('Map 2 Do Touch'!AL26&gt;4,"Water","Land"),'Map 3'!$AG$3:$AH$3,0)),INDEX($AK$4:$AL$6,MATCH(INDEX($I$3:$L$6,MATCH(MOD('Map 2 Do Touch'!AL26,4),$H$3:$H$6,0),MATCH(MOD('Map 2 Do Touch'!AM26,4),$I$2:$L$2,0)),'Map 3'!$AJ$4:$AJ$6,0),MATCH(IF('Map 2 Do Touch'!AL26&gt;4,"Water","Land"),'Map 3'!$AK$3:$AL$3,0))),IF('Map 2 Do Touch'!AM26&gt;4,INDEX($AG$4:$AH$6,MATCH(INDEX($P$3:$S$6,MATCH(MOD('Map 2 Do Touch'!AM25,4),$O$3:$O$6,0),MATCH(MOD('Map 2 Do Touch'!AM26,4),$P$2:$S$2,0)),$AF$4:$AF$6,0),MATCH(IF('Map 2 Do Touch'!AM25&gt;4,"Water","Land"),'Map 3'!$AG$3:$AH$3,0)),INDEX($AK$4:$AL$6,MATCH(INDEX($P$3:$S$6,MATCH(MOD('Map 2 Do Touch'!AM25,4),$O$3:$O$6,0),MATCH(MOD('Map 2 Do Touch'!AM26,4),$P$2:$S$2,0)),'Map 3'!$AJ$4:$AJ$6,0),MATCH(IF('Map 2 Do Touch'!AM25&gt;4,"Water","Land"),'Map 3'!$AK$3:$AL$3,0))))</f>
        <v>Ocean</v>
      </c>
      <c r="AN30" s="3" t="str">
        <f ca="1">IF('Map 2 Do Touch'!AM25&lt;&gt;'Map 2 Do Touch'!AM26,IF('Map 2 Do Touch'!AN26&gt;4,INDEX($AG$4:$AH$6,MATCH(INDEX($I$3:$L$6,MATCH(MOD('Map 2 Do Touch'!AM26,4),$H$3:$H$6,0),MATCH(MOD('Map 2 Do Touch'!AN26,4),$I$2:$L$2,0)),$AF$4:$AF$6,0),MATCH(IF('Map 2 Do Touch'!AM26&gt;4,"Water","Land"),'Map 3'!$AG$3:$AH$3,0)),INDEX($AK$4:$AL$6,MATCH(INDEX($I$3:$L$6,MATCH(MOD('Map 2 Do Touch'!AM26,4),$H$3:$H$6,0),MATCH(MOD('Map 2 Do Touch'!AN26,4),$I$2:$L$2,0)),'Map 3'!$AJ$4:$AJ$6,0),MATCH(IF('Map 2 Do Touch'!AM26&gt;4,"Water","Land"),'Map 3'!$AK$3:$AL$3,0))),IF('Map 2 Do Touch'!AN26&gt;4,INDEX($AG$4:$AH$6,MATCH(INDEX($P$3:$S$6,MATCH(MOD('Map 2 Do Touch'!AN25,4),$O$3:$O$6,0),MATCH(MOD('Map 2 Do Touch'!AN26,4),$P$2:$S$2,0)),$AF$4:$AF$6,0),MATCH(IF('Map 2 Do Touch'!AN25&gt;4,"Water","Land"),'Map 3'!$AG$3:$AH$3,0)),INDEX($AK$4:$AL$6,MATCH(INDEX($P$3:$S$6,MATCH(MOD('Map 2 Do Touch'!AN25,4),$O$3:$O$6,0),MATCH(MOD('Map 2 Do Touch'!AN26,4),$P$2:$S$2,0)),'Map 3'!$AJ$4:$AJ$6,0),MATCH(IF('Map 2 Do Touch'!AN25&gt;4,"Water","Land"),'Map 3'!$AK$3:$AL$3,0))))</f>
        <v>Ocean</v>
      </c>
      <c r="AO30" s="87" t="str">
        <f ca="1">IF('Map 2 Do Touch'!AN25&lt;&gt;'Map 2 Do Touch'!AN26,IF('Map 2 Do Touch'!AO26&gt;4,INDEX($AG$4:$AH$6,MATCH(INDEX($I$3:$L$6,MATCH(MOD('Map 2 Do Touch'!AN26,4),$H$3:$H$6,0),MATCH(MOD('Map 2 Do Touch'!AO26,4),$I$2:$L$2,0)),$AF$4:$AF$6,0),MATCH(IF('Map 2 Do Touch'!AN26&gt;4,"Water","Land"),'Map 3'!$AG$3:$AH$3,0)),INDEX($AK$4:$AL$6,MATCH(INDEX($I$3:$L$6,MATCH(MOD('Map 2 Do Touch'!AN26,4),$H$3:$H$6,0),MATCH(MOD('Map 2 Do Touch'!AO26,4),$I$2:$L$2,0)),'Map 3'!$AJ$4:$AJ$6,0),MATCH(IF('Map 2 Do Touch'!AN26&gt;4,"Water","Land"),'Map 3'!$AK$3:$AL$3,0))),IF('Map 2 Do Touch'!AO26&gt;4,INDEX($AG$4:$AH$6,MATCH(INDEX($P$3:$S$6,MATCH(MOD('Map 2 Do Touch'!AO25,4),$O$3:$O$6,0),MATCH(MOD('Map 2 Do Touch'!AO26,4),$P$2:$S$2,0)),$AF$4:$AF$6,0),MATCH(IF('Map 2 Do Touch'!AO25&gt;4,"Water","Land"),'Map 3'!$AG$3:$AH$3,0)),INDEX($AK$4:$AL$6,MATCH(INDEX($P$3:$S$6,MATCH(MOD('Map 2 Do Touch'!AO25,4),$O$3:$O$6,0),MATCH(MOD('Map 2 Do Touch'!AO26,4),$P$2:$S$2,0)),'Map 3'!$AJ$4:$AJ$6,0),MATCH(IF('Map 2 Do Touch'!AO25&gt;4,"Water","Land"),'Map 3'!$AK$3:$AL$3,0))))</f>
        <v>Mountain</v>
      </c>
      <c r="AP30" s="3"/>
    </row>
    <row r="31" spans="1:42" ht="37.5" customHeight="1">
      <c r="A31" s="3">
        <v>20</v>
      </c>
      <c r="B31" s="86" t="str">
        <f ca="1">IF('Map 2 Do Touch'!B26&lt;&gt;'Map 2 Do Touch'!B27,IF('Map 2 Do Touch'!B27&gt;4,INDEX($AG$4:$AH$6,MATCH(INDEX($I$3:$L$6,MATCH(MOD('Map 2 Do Touch'!AO27,4),$H$3:$H$6,0),MATCH(MOD('Map 2 Do Touch'!B27,4),$I$2:$L$2,0)),$AF$4:$AF$6,0),MATCH(IF('Map 2 Do Touch'!AO27&gt;4,"Water","Land"),'Map 3'!$AG$3:$AH$3,0)),INDEX($AK$4:$AL$6,MATCH(INDEX($I$3:$L$6,MATCH(MOD('Map 2 Do Touch'!A27,4),$H$3:$H$6,0),MATCH(MOD('Map 2 Do Touch'!B27,4),$I$2:$L$2,0)),'Map 3'!$AJ$4:$AJ$6,0),MATCH(IF('Map 2 Do Touch'!AO27&gt;4,"Water","Land"),'Map 3'!$AK$3:$AL$3,0))),IF('Map 2 Do Touch'!B27&gt;4,INDEX($AG$4:$AH$6,MATCH(INDEX($P$3:$S$6,MATCH(MOD('Map 2 Do Touch'!B26,4),$O$3:$O$6,0),MATCH(MOD('Map 2 Do Touch'!B27,4),$P$2:$S$2,0)),$AF$4:$AF$6,0),MATCH(IF('Map 2 Do Touch'!B26&gt;4,"Water","Land"),'Map 3'!$AG$3:$AH$3,0)),INDEX($AK$4:$AL$6,MATCH(INDEX($P$3:$S$6,MATCH(MOD('Map 2 Do Touch'!B26,4),$O$3:$O$6,0),MATCH(MOD('Map 2 Do Touch'!B27,4),$P$2:$S$2,0)),'Map 3'!$AJ$4:$AJ$6,0),MATCH(IF('Map 2 Do Touch'!B26&gt;4,"Water","Land"),'Map 3'!$AK$3:$AL$3,0))))</f>
        <v>Ocean</v>
      </c>
      <c r="C31" s="3" t="str">
        <f ca="1">IF('Map 2 Do Touch'!B26&lt;&gt;'Map 2 Do Touch'!B27,IF('Map 2 Do Touch'!C27&gt;4,INDEX($AG$4:$AH$6,MATCH(INDEX($I$3:$L$6,MATCH(MOD('Map 2 Do Touch'!B27,4),$H$3:$H$6,0),MATCH(MOD('Map 2 Do Touch'!C27,4),$I$2:$L$2,0)),$AF$4:$AF$6,0),MATCH(IF('Map 2 Do Touch'!B27&gt;4,"Water","Land"),'Map 3'!$AG$3:$AH$3,0)),INDEX($AK$4:$AL$6,MATCH(INDEX($I$3:$L$6,MATCH(MOD('Map 2 Do Touch'!B27,4),$H$3:$H$6,0),MATCH(MOD('Map 2 Do Touch'!C27,4),$I$2:$L$2,0)),'Map 3'!$AJ$4:$AJ$6,0),MATCH(IF('Map 2 Do Touch'!B27&gt;4,"Water","Land"),'Map 3'!$AK$3:$AL$3,0))),IF('Map 2 Do Touch'!C27&gt;4,INDEX($AG$4:$AH$6,MATCH(INDEX($P$3:$S$6,MATCH(MOD('Map 2 Do Touch'!C26,4),$O$3:$O$6,0),MATCH(MOD('Map 2 Do Touch'!C27,4),$P$2:$S$2,0)),$AF$4:$AF$6,0),MATCH(IF('Map 2 Do Touch'!C26&gt;4,"Water","Land"),'Map 3'!$AG$3:$AH$3,0)),INDEX($AK$4:$AL$6,MATCH(INDEX($P$3:$S$6,MATCH(MOD('Map 2 Do Touch'!C26,4),$O$3:$O$6,0),MATCH(MOD('Map 2 Do Touch'!C27,4),$P$2:$S$2,0)),'Map 3'!$AJ$4:$AJ$6,0),MATCH(IF('Map 2 Do Touch'!C26&gt;4,"Water","Land"),'Map 3'!$AK$3:$AL$3,0))))</f>
        <v>Drop Off</v>
      </c>
      <c r="D31" s="3" t="str">
        <f ca="1">IF('Map 2 Do Touch'!C26&lt;&gt;'Map 2 Do Touch'!C27,IF('Map 2 Do Touch'!D27&gt;4,INDEX($AG$4:$AH$6,MATCH(INDEX($I$3:$L$6,MATCH(MOD('Map 2 Do Touch'!C27,4),$H$3:$H$6,0),MATCH(MOD('Map 2 Do Touch'!D27,4),$I$2:$L$2,0)),$AF$4:$AF$6,0),MATCH(IF('Map 2 Do Touch'!C27&gt;4,"Water","Land"),'Map 3'!$AG$3:$AH$3,0)),INDEX($AK$4:$AL$6,MATCH(INDEX($I$3:$L$6,MATCH(MOD('Map 2 Do Touch'!C27,4),$H$3:$H$6,0),MATCH(MOD('Map 2 Do Touch'!D27,4),$I$2:$L$2,0)),'Map 3'!$AJ$4:$AJ$6,0),MATCH(IF('Map 2 Do Touch'!C27&gt;4,"Water","Land"),'Map 3'!$AK$3:$AL$3,0))),IF('Map 2 Do Touch'!D27&gt;4,INDEX($AG$4:$AH$6,MATCH(INDEX($P$3:$S$6,MATCH(MOD('Map 2 Do Touch'!D26,4),$O$3:$O$6,0),MATCH(MOD('Map 2 Do Touch'!D27,4),$P$2:$S$2,0)),$AF$4:$AF$6,0),MATCH(IF('Map 2 Do Touch'!D26&gt;4,"Water","Land"),'Map 3'!$AG$3:$AH$3,0)),INDEX($AK$4:$AL$6,MATCH(INDEX($P$3:$S$6,MATCH(MOD('Map 2 Do Touch'!D26,4),$O$3:$O$6,0),MATCH(MOD('Map 2 Do Touch'!D27,4),$P$2:$S$2,0)),'Map 3'!$AJ$4:$AJ$6,0),MATCH(IF('Map 2 Do Touch'!D26&gt;4,"Water","Land"),'Map 3'!$AK$3:$AL$3,0))))</f>
        <v>Valley</v>
      </c>
      <c r="E31" s="3" t="str">
        <f ca="1">IF('Map 2 Do Touch'!D26&lt;&gt;'Map 2 Do Touch'!D27,IF('Map 2 Do Touch'!E27&gt;4,INDEX($AG$4:$AH$6,MATCH(INDEX($I$3:$L$6,MATCH(MOD('Map 2 Do Touch'!D27,4),$H$3:$H$6,0),MATCH(MOD('Map 2 Do Touch'!E27,4),$I$2:$L$2,0)),$AF$4:$AF$6,0),MATCH(IF('Map 2 Do Touch'!D27&gt;4,"Water","Land"),'Map 3'!$AG$3:$AH$3,0)),INDEX($AK$4:$AL$6,MATCH(INDEX($I$3:$L$6,MATCH(MOD('Map 2 Do Touch'!D27,4),$H$3:$H$6,0),MATCH(MOD('Map 2 Do Touch'!E27,4),$I$2:$L$2,0)),'Map 3'!$AJ$4:$AJ$6,0),MATCH(IF('Map 2 Do Touch'!D27&gt;4,"Water","Land"),'Map 3'!$AK$3:$AL$3,0))),IF('Map 2 Do Touch'!E27&gt;4,INDEX($AG$4:$AH$6,MATCH(INDEX($P$3:$S$6,MATCH(MOD('Map 2 Do Touch'!E26,4),$O$3:$O$6,0),MATCH(MOD('Map 2 Do Touch'!E27,4),$P$2:$S$2,0)),$AF$4:$AF$6,0),MATCH(IF('Map 2 Do Touch'!E26&gt;4,"Water","Land"),'Map 3'!$AG$3:$AH$3,0)),INDEX($AK$4:$AL$6,MATCH(INDEX($P$3:$S$6,MATCH(MOD('Map 2 Do Touch'!E26,4),$O$3:$O$6,0),MATCH(MOD('Map 2 Do Touch'!E27,4),$P$2:$S$2,0)),'Map 3'!$AJ$4:$AJ$6,0),MATCH(IF('Map 2 Do Touch'!E26&gt;4,"Water","Land"),'Map 3'!$AK$3:$AL$3,0))))</f>
        <v>Flatland</v>
      </c>
      <c r="F31" s="3" t="str">
        <f ca="1">IF('Map 2 Do Touch'!E26&lt;&gt;'Map 2 Do Touch'!E27,IF('Map 2 Do Touch'!F27&gt;4,INDEX($AG$4:$AH$6,MATCH(INDEX($I$3:$L$6,MATCH(MOD('Map 2 Do Touch'!E27,4),$H$3:$H$6,0),MATCH(MOD('Map 2 Do Touch'!F27,4),$I$2:$L$2,0)),$AF$4:$AF$6,0),MATCH(IF('Map 2 Do Touch'!E27&gt;4,"Water","Land"),'Map 3'!$AG$3:$AH$3,0)),INDEX($AK$4:$AL$6,MATCH(INDEX($I$3:$L$6,MATCH(MOD('Map 2 Do Touch'!E27,4),$H$3:$H$6,0),MATCH(MOD('Map 2 Do Touch'!F27,4),$I$2:$L$2,0)),'Map 3'!$AJ$4:$AJ$6,0),MATCH(IF('Map 2 Do Touch'!E27&gt;4,"Water","Land"),'Map 3'!$AK$3:$AL$3,0))),IF('Map 2 Do Touch'!F27&gt;4,INDEX($AG$4:$AH$6,MATCH(INDEX($P$3:$S$6,MATCH(MOD('Map 2 Do Touch'!F26,4),$O$3:$O$6,0),MATCH(MOD('Map 2 Do Touch'!F27,4),$P$2:$S$2,0)),$AF$4:$AF$6,0),MATCH(IF('Map 2 Do Touch'!F26&gt;4,"Water","Land"),'Map 3'!$AG$3:$AH$3,0)),INDEX($AK$4:$AL$6,MATCH(INDEX($P$3:$S$6,MATCH(MOD('Map 2 Do Touch'!F26,4),$O$3:$O$6,0),MATCH(MOD('Map 2 Do Touch'!F27,4),$P$2:$S$2,0)),'Map 3'!$AJ$4:$AJ$6,0),MATCH(IF('Map 2 Do Touch'!F26&gt;4,"Water","Land"),'Map 3'!$AK$3:$AL$3,0))))</f>
        <v>Valley</v>
      </c>
      <c r="G31" s="3" t="str">
        <f ca="1">IF('Map 2 Do Touch'!F26&lt;&gt;'Map 2 Do Touch'!F27,IF('Map 2 Do Touch'!G27&gt;4,INDEX($AG$4:$AH$6,MATCH(INDEX($I$3:$L$6,MATCH(MOD('Map 2 Do Touch'!F27,4),$H$3:$H$6,0),MATCH(MOD('Map 2 Do Touch'!G27,4),$I$2:$L$2,0)),$AF$4:$AF$6,0),MATCH(IF('Map 2 Do Touch'!F27&gt;4,"Water","Land"),'Map 3'!$AG$3:$AH$3,0)),INDEX($AK$4:$AL$6,MATCH(INDEX($I$3:$L$6,MATCH(MOD('Map 2 Do Touch'!F27,4),$H$3:$H$6,0),MATCH(MOD('Map 2 Do Touch'!G27,4),$I$2:$L$2,0)),'Map 3'!$AJ$4:$AJ$6,0),MATCH(IF('Map 2 Do Touch'!F27&gt;4,"Water","Land"),'Map 3'!$AK$3:$AL$3,0))),IF('Map 2 Do Touch'!G27&gt;4,INDEX($AG$4:$AH$6,MATCH(INDEX($P$3:$S$6,MATCH(MOD('Map 2 Do Touch'!G26,4),$O$3:$O$6,0),MATCH(MOD('Map 2 Do Touch'!G27,4),$P$2:$S$2,0)),$AF$4:$AF$6,0),MATCH(IF('Map 2 Do Touch'!G26&gt;4,"Water","Land"),'Map 3'!$AG$3:$AH$3,0)),INDEX($AK$4:$AL$6,MATCH(INDEX($P$3:$S$6,MATCH(MOD('Map 2 Do Touch'!G26,4),$O$3:$O$6,0),MATCH(MOD('Map 2 Do Touch'!G27,4),$P$2:$S$2,0)),'Map 3'!$AJ$4:$AJ$6,0),MATCH(IF('Map 2 Do Touch'!G26&gt;4,"Water","Land"),'Map 3'!$AK$3:$AL$3,0))))</f>
        <v>Valley</v>
      </c>
      <c r="H31" s="3" t="str">
        <f ca="1">IF('Map 2 Do Touch'!G26&lt;&gt;'Map 2 Do Touch'!G27,IF('Map 2 Do Touch'!H27&gt;4,INDEX($AG$4:$AH$6,MATCH(INDEX($I$3:$L$6,MATCH(MOD('Map 2 Do Touch'!G27,4),$H$3:$H$6,0),MATCH(MOD('Map 2 Do Touch'!H27,4),$I$2:$L$2,0)),$AF$4:$AF$6,0),MATCH(IF('Map 2 Do Touch'!G27&gt;4,"Water","Land"),'Map 3'!$AG$3:$AH$3,0)),INDEX($AK$4:$AL$6,MATCH(INDEX($I$3:$L$6,MATCH(MOD('Map 2 Do Touch'!G27,4),$H$3:$H$6,0),MATCH(MOD('Map 2 Do Touch'!H27,4),$I$2:$L$2,0)),'Map 3'!$AJ$4:$AJ$6,0),MATCH(IF('Map 2 Do Touch'!G27&gt;4,"Water","Land"),'Map 3'!$AK$3:$AL$3,0))),IF('Map 2 Do Touch'!H27&gt;4,INDEX($AG$4:$AH$6,MATCH(INDEX($P$3:$S$6,MATCH(MOD('Map 2 Do Touch'!H26,4),$O$3:$O$6,0),MATCH(MOD('Map 2 Do Touch'!H27,4),$P$2:$S$2,0)),$AF$4:$AF$6,0),MATCH(IF('Map 2 Do Touch'!H26&gt;4,"Water","Land"),'Map 3'!$AG$3:$AH$3,0)),INDEX($AK$4:$AL$6,MATCH(INDEX($P$3:$S$6,MATCH(MOD('Map 2 Do Touch'!H26,4),$O$3:$O$6,0),MATCH(MOD('Map 2 Do Touch'!H27,4),$P$2:$S$2,0)),'Map 3'!$AJ$4:$AJ$6,0),MATCH(IF('Map 2 Do Touch'!H26&gt;4,"Water","Land"),'Map 3'!$AK$3:$AL$3,0))))</f>
        <v>Valley</v>
      </c>
      <c r="I31" s="3" t="str">
        <f ca="1">IF('Map 2 Do Touch'!H26&lt;&gt;'Map 2 Do Touch'!H27,IF('Map 2 Do Touch'!I27&gt;4,INDEX($AG$4:$AH$6,MATCH(INDEX($I$3:$L$6,MATCH(MOD('Map 2 Do Touch'!H27,4),$H$3:$H$6,0),MATCH(MOD('Map 2 Do Touch'!I27,4),$I$2:$L$2,0)),$AF$4:$AF$6,0),MATCH(IF('Map 2 Do Touch'!H27&gt;4,"Water","Land"),'Map 3'!$AG$3:$AH$3,0)),INDEX($AK$4:$AL$6,MATCH(INDEX($I$3:$L$6,MATCH(MOD('Map 2 Do Touch'!H27,4),$H$3:$H$6,0),MATCH(MOD('Map 2 Do Touch'!I27,4),$I$2:$L$2,0)),'Map 3'!$AJ$4:$AJ$6,0),MATCH(IF('Map 2 Do Touch'!H27&gt;4,"Water","Land"),'Map 3'!$AK$3:$AL$3,0))),IF('Map 2 Do Touch'!I27&gt;4,INDEX($AG$4:$AH$6,MATCH(INDEX($P$3:$S$6,MATCH(MOD('Map 2 Do Touch'!I26,4),$O$3:$O$6,0),MATCH(MOD('Map 2 Do Touch'!I27,4),$P$2:$S$2,0)),$AF$4:$AF$6,0),MATCH(IF('Map 2 Do Touch'!I26&gt;4,"Water","Land"),'Map 3'!$AG$3:$AH$3,0)),INDEX($AK$4:$AL$6,MATCH(INDEX($P$3:$S$6,MATCH(MOD('Map 2 Do Touch'!I26,4),$O$3:$O$6,0),MATCH(MOD('Map 2 Do Touch'!I27,4),$P$2:$S$2,0)),'Map 3'!$AJ$4:$AJ$6,0),MATCH(IF('Map 2 Do Touch'!I26&gt;4,"Water","Land"),'Map 3'!$AK$3:$AL$3,0))))</f>
        <v>Coast</v>
      </c>
      <c r="J31" s="3" t="str">
        <f ca="1">IF('Map 2 Do Touch'!I26&lt;&gt;'Map 2 Do Touch'!I27,IF('Map 2 Do Touch'!J27&gt;4,INDEX($AG$4:$AH$6,MATCH(INDEX($I$3:$L$6,MATCH(MOD('Map 2 Do Touch'!I27,4),$H$3:$H$6,0),MATCH(MOD('Map 2 Do Touch'!J27,4),$I$2:$L$2,0)),$AF$4:$AF$6,0),MATCH(IF('Map 2 Do Touch'!I27&gt;4,"Water","Land"),'Map 3'!$AG$3:$AH$3,0)),INDEX($AK$4:$AL$6,MATCH(INDEX($I$3:$L$6,MATCH(MOD('Map 2 Do Touch'!I27,4),$H$3:$H$6,0),MATCH(MOD('Map 2 Do Touch'!J27,4),$I$2:$L$2,0)),'Map 3'!$AJ$4:$AJ$6,0),MATCH(IF('Map 2 Do Touch'!I27&gt;4,"Water","Land"),'Map 3'!$AK$3:$AL$3,0))),IF('Map 2 Do Touch'!J27&gt;4,INDEX($AG$4:$AH$6,MATCH(INDEX($P$3:$S$6,MATCH(MOD('Map 2 Do Touch'!J26,4),$O$3:$O$6,0),MATCH(MOD('Map 2 Do Touch'!J27,4),$P$2:$S$2,0)),$AF$4:$AF$6,0),MATCH(IF('Map 2 Do Touch'!J26&gt;4,"Water","Land"),'Map 3'!$AG$3:$AH$3,0)),INDEX($AK$4:$AL$6,MATCH(INDEX($P$3:$S$6,MATCH(MOD('Map 2 Do Touch'!J26,4),$O$3:$O$6,0),MATCH(MOD('Map 2 Do Touch'!J27,4),$P$2:$S$2,0)),'Map 3'!$AJ$4:$AJ$6,0),MATCH(IF('Map 2 Do Touch'!J26&gt;4,"Water","Land"),'Map 3'!$AK$3:$AL$3,0))))</f>
        <v>Coast</v>
      </c>
      <c r="K31" s="3" t="str">
        <f ca="1">IF('Map 2 Do Touch'!J26&lt;&gt;'Map 2 Do Touch'!J27,IF('Map 2 Do Touch'!K27&gt;4,INDEX($AG$4:$AH$6,MATCH(INDEX($I$3:$L$6,MATCH(MOD('Map 2 Do Touch'!J27,4),$H$3:$H$6,0),MATCH(MOD('Map 2 Do Touch'!K27,4),$I$2:$L$2,0)),$AF$4:$AF$6,0),MATCH(IF('Map 2 Do Touch'!J27&gt;4,"Water","Land"),'Map 3'!$AG$3:$AH$3,0)),INDEX($AK$4:$AL$6,MATCH(INDEX($I$3:$L$6,MATCH(MOD('Map 2 Do Touch'!J27,4),$H$3:$H$6,0),MATCH(MOD('Map 2 Do Touch'!K27,4),$I$2:$L$2,0)),'Map 3'!$AJ$4:$AJ$6,0),MATCH(IF('Map 2 Do Touch'!J27&gt;4,"Water","Land"),'Map 3'!$AK$3:$AL$3,0))),IF('Map 2 Do Touch'!K27&gt;4,INDEX($AG$4:$AH$6,MATCH(INDEX($P$3:$S$6,MATCH(MOD('Map 2 Do Touch'!K26,4),$O$3:$O$6,0),MATCH(MOD('Map 2 Do Touch'!K27,4),$P$2:$S$2,0)),$AF$4:$AF$6,0),MATCH(IF('Map 2 Do Touch'!K26&gt;4,"Water","Land"),'Map 3'!$AG$3:$AH$3,0)),INDEX($AK$4:$AL$6,MATCH(INDEX($P$3:$S$6,MATCH(MOD('Map 2 Do Touch'!K26,4),$O$3:$O$6,0),MATCH(MOD('Map 2 Do Touch'!K27,4),$P$2:$S$2,0)),'Map 3'!$AJ$4:$AJ$6,0),MATCH(IF('Map 2 Do Touch'!K26&gt;4,"Water","Land"),'Map 3'!$AK$3:$AL$3,0))))</f>
        <v>Drop Off</v>
      </c>
      <c r="L31" s="3" t="str">
        <f ca="1">IF('Map 2 Do Touch'!K26&lt;&gt;'Map 2 Do Touch'!K27,IF('Map 2 Do Touch'!L27&gt;4,INDEX($AG$4:$AH$6,MATCH(INDEX($I$3:$L$6,MATCH(MOD('Map 2 Do Touch'!K27,4),$H$3:$H$6,0),MATCH(MOD('Map 2 Do Touch'!L27,4),$I$2:$L$2,0)),$AF$4:$AF$6,0),MATCH(IF('Map 2 Do Touch'!K27&gt;4,"Water","Land"),'Map 3'!$AG$3:$AH$3,0)),INDEX($AK$4:$AL$6,MATCH(INDEX($I$3:$L$6,MATCH(MOD('Map 2 Do Touch'!K27,4),$H$3:$H$6,0),MATCH(MOD('Map 2 Do Touch'!L27,4),$I$2:$L$2,0)),'Map 3'!$AJ$4:$AJ$6,0),MATCH(IF('Map 2 Do Touch'!K27&gt;4,"Water","Land"),'Map 3'!$AK$3:$AL$3,0))),IF('Map 2 Do Touch'!L27&gt;4,INDEX($AG$4:$AH$6,MATCH(INDEX($P$3:$S$6,MATCH(MOD('Map 2 Do Touch'!L26,4),$O$3:$O$6,0),MATCH(MOD('Map 2 Do Touch'!L27,4),$P$2:$S$2,0)),$AF$4:$AF$6,0),MATCH(IF('Map 2 Do Touch'!L26&gt;4,"Water","Land"),'Map 3'!$AG$3:$AH$3,0)),INDEX($AK$4:$AL$6,MATCH(INDEX($P$3:$S$6,MATCH(MOD('Map 2 Do Touch'!L26,4),$O$3:$O$6,0),MATCH(MOD('Map 2 Do Touch'!L27,4),$P$2:$S$2,0)),'Map 3'!$AJ$4:$AJ$6,0),MATCH(IF('Map 2 Do Touch'!L26&gt;4,"Water","Land"),'Map 3'!$AK$3:$AL$3,0))))</f>
        <v>Trench</v>
      </c>
      <c r="M31" s="3" t="str">
        <f ca="1">IF('Map 2 Do Touch'!L26&lt;&gt;'Map 2 Do Touch'!L27,IF('Map 2 Do Touch'!M27&gt;4,INDEX($AG$4:$AH$6,MATCH(INDEX($I$3:$L$6,MATCH(MOD('Map 2 Do Touch'!L27,4),$H$3:$H$6,0),MATCH(MOD('Map 2 Do Touch'!M27,4),$I$2:$L$2,0)),$AF$4:$AF$6,0),MATCH(IF('Map 2 Do Touch'!L27&gt;4,"Water","Land"),'Map 3'!$AG$3:$AH$3,0)),INDEX($AK$4:$AL$6,MATCH(INDEX($I$3:$L$6,MATCH(MOD('Map 2 Do Touch'!L27,4),$H$3:$H$6,0),MATCH(MOD('Map 2 Do Touch'!M27,4),$I$2:$L$2,0)),'Map 3'!$AJ$4:$AJ$6,0),MATCH(IF('Map 2 Do Touch'!L27&gt;4,"Water","Land"),'Map 3'!$AK$3:$AL$3,0))),IF('Map 2 Do Touch'!M27&gt;4,INDEX($AG$4:$AH$6,MATCH(INDEX($P$3:$S$6,MATCH(MOD('Map 2 Do Touch'!M26,4),$O$3:$O$6,0),MATCH(MOD('Map 2 Do Touch'!M27,4),$P$2:$S$2,0)),$AF$4:$AF$6,0),MATCH(IF('Map 2 Do Touch'!M26&gt;4,"Water","Land"),'Map 3'!$AG$3:$AH$3,0)),INDEX($AK$4:$AL$6,MATCH(INDEX($P$3:$S$6,MATCH(MOD('Map 2 Do Touch'!M26,4),$O$3:$O$6,0),MATCH(MOD('Map 2 Do Touch'!M27,4),$P$2:$S$2,0)),'Map 3'!$AJ$4:$AJ$6,0),MATCH(IF('Map 2 Do Touch'!M26&gt;4,"Water","Land"),'Map 3'!$AK$3:$AL$3,0))))</f>
        <v>Ocean</v>
      </c>
      <c r="N31" s="3" t="str">
        <f ca="1">IF('Map 2 Do Touch'!M26&lt;&gt;'Map 2 Do Touch'!M27,IF('Map 2 Do Touch'!N27&gt;4,INDEX($AG$4:$AH$6,MATCH(INDEX($I$3:$L$6,MATCH(MOD('Map 2 Do Touch'!M27,4),$H$3:$H$6,0),MATCH(MOD('Map 2 Do Touch'!N27,4),$I$2:$L$2,0)),$AF$4:$AF$6,0),MATCH(IF('Map 2 Do Touch'!M27&gt;4,"Water","Land"),'Map 3'!$AG$3:$AH$3,0)),INDEX($AK$4:$AL$6,MATCH(INDEX($I$3:$L$6,MATCH(MOD('Map 2 Do Touch'!M27,4),$H$3:$H$6,0),MATCH(MOD('Map 2 Do Touch'!N27,4),$I$2:$L$2,0)),'Map 3'!$AJ$4:$AJ$6,0),MATCH(IF('Map 2 Do Touch'!M27&gt;4,"Water","Land"),'Map 3'!$AK$3:$AL$3,0))),IF('Map 2 Do Touch'!N27&gt;4,INDEX($AG$4:$AH$6,MATCH(INDEX($P$3:$S$6,MATCH(MOD('Map 2 Do Touch'!N26,4),$O$3:$O$6,0),MATCH(MOD('Map 2 Do Touch'!N27,4),$P$2:$S$2,0)),$AF$4:$AF$6,0),MATCH(IF('Map 2 Do Touch'!N26&gt;4,"Water","Land"),'Map 3'!$AG$3:$AH$3,0)),INDEX($AK$4:$AL$6,MATCH(INDEX($P$3:$S$6,MATCH(MOD('Map 2 Do Touch'!N26,4),$O$3:$O$6,0),MATCH(MOD('Map 2 Do Touch'!N27,4),$P$2:$S$2,0)),'Map 3'!$AJ$4:$AJ$6,0),MATCH(IF('Map 2 Do Touch'!N26&gt;4,"Water","Land"),'Map 3'!$AK$3:$AL$3,0))))</f>
        <v>Ocean</v>
      </c>
      <c r="O31" s="3" t="str">
        <f ca="1">IF('Map 2 Do Touch'!N26&lt;&gt;'Map 2 Do Touch'!N27,IF('Map 2 Do Touch'!O27&gt;4,INDEX($AG$4:$AH$6,MATCH(INDEX($I$3:$L$6,MATCH(MOD('Map 2 Do Touch'!N27,4),$H$3:$H$6,0),MATCH(MOD('Map 2 Do Touch'!O27,4),$I$2:$L$2,0)),$AF$4:$AF$6,0),MATCH(IF('Map 2 Do Touch'!N27&gt;4,"Water","Land"),'Map 3'!$AG$3:$AH$3,0)),INDEX($AK$4:$AL$6,MATCH(INDEX($I$3:$L$6,MATCH(MOD('Map 2 Do Touch'!N27,4),$H$3:$H$6,0),MATCH(MOD('Map 2 Do Touch'!O27,4),$I$2:$L$2,0)),'Map 3'!$AJ$4:$AJ$6,0),MATCH(IF('Map 2 Do Touch'!N27&gt;4,"Water","Land"),'Map 3'!$AK$3:$AL$3,0))),IF('Map 2 Do Touch'!O27&gt;4,INDEX($AG$4:$AH$6,MATCH(INDEX($P$3:$S$6,MATCH(MOD('Map 2 Do Touch'!O26,4),$O$3:$O$6,0),MATCH(MOD('Map 2 Do Touch'!O27,4),$P$2:$S$2,0)),$AF$4:$AF$6,0),MATCH(IF('Map 2 Do Touch'!O26&gt;4,"Water","Land"),'Map 3'!$AG$3:$AH$3,0)),INDEX($AK$4:$AL$6,MATCH(INDEX($P$3:$S$6,MATCH(MOD('Map 2 Do Touch'!O26,4),$O$3:$O$6,0),MATCH(MOD('Map 2 Do Touch'!O27,4),$P$2:$S$2,0)),'Map 3'!$AJ$4:$AJ$6,0),MATCH(IF('Map 2 Do Touch'!O26&gt;4,"Water","Land"),'Map 3'!$AK$3:$AL$3,0))))</f>
        <v>Ocean</v>
      </c>
      <c r="P31" s="3" t="str">
        <f ca="1">IF('Map 2 Do Touch'!O26&lt;&gt;'Map 2 Do Touch'!O27,IF('Map 2 Do Touch'!P27&gt;4,INDEX($AG$4:$AH$6,MATCH(INDEX($I$3:$L$6,MATCH(MOD('Map 2 Do Touch'!O27,4),$H$3:$H$6,0),MATCH(MOD('Map 2 Do Touch'!P27,4),$I$2:$L$2,0)),$AF$4:$AF$6,0),MATCH(IF('Map 2 Do Touch'!O27&gt;4,"Water","Land"),'Map 3'!$AG$3:$AH$3,0)),INDEX($AK$4:$AL$6,MATCH(INDEX($I$3:$L$6,MATCH(MOD('Map 2 Do Touch'!O27,4),$H$3:$H$6,0),MATCH(MOD('Map 2 Do Touch'!P27,4),$I$2:$L$2,0)),'Map 3'!$AJ$4:$AJ$6,0),MATCH(IF('Map 2 Do Touch'!O27&gt;4,"Water","Land"),'Map 3'!$AK$3:$AL$3,0))),IF('Map 2 Do Touch'!P27&gt;4,INDEX($AG$4:$AH$6,MATCH(INDEX($P$3:$S$6,MATCH(MOD('Map 2 Do Touch'!P26,4),$O$3:$O$6,0),MATCH(MOD('Map 2 Do Touch'!P27,4),$P$2:$S$2,0)),$AF$4:$AF$6,0),MATCH(IF('Map 2 Do Touch'!P26&gt;4,"Water","Land"),'Map 3'!$AG$3:$AH$3,0)),INDEX($AK$4:$AL$6,MATCH(INDEX($P$3:$S$6,MATCH(MOD('Map 2 Do Touch'!P26,4),$O$3:$O$6,0),MATCH(MOD('Map 2 Do Touch'!P27,4),$P$2:$S$2,0)),'Map 3'!$AJ$4:$AJ$6,0),MATCH(IF('Map 2 Do Touch'!P26&gt;4,"Water","Land"),'Map 3'!$AK$3:$AL$3,0))))</f>
        <v>Ocean</v>
      </c>
      <c r="Q31" s="3" t="str">
        <f ca="1">IF('Map 2 Do Touch'!P26&lt;&gt;'Map 2 Do Touch'!P27,IF('Map 2 Do Touch'!Q27&gt;4,INDEX($AG$4:$AH$6,MATCH(INDEX($I$3:$L$6,MATCH(MOD('Map 2 Do Touch'!P27,4),$H$3:$H$6,0),MATCH(MOD('Map 2 Do Touch'!Q27,4),$I$2:$L$2,0)),$AF$4:$AF$6,0),MATCH(IF('Map 2 Do Touch'!P27&gt;4,"Water","Land"),'Map 3'!$AG$3:$AH$3,0)),INDEX($AK$4:$AL$6,MATCH(INDEX($I$3:$L$6,MATCH(MOD('Map 2 Do Touch'!P27,4),$H$3:$H$6,0),MATCH(MOD('Map 2 Do Touch'!Q27,4),$I$2:$L$2,0)),'Map 3'!$AJ$4:$AJ$6,0),MATCH(IF('Map 2 Do Touch'!P27&gt;4,"Water","Land"),'Map 3'!$AK$3:$AL$3,0))),IF('Map 2 Do Touch'!Q27&gt;4,INDEX($AG$4:$AH$6,MATCH(INDEX($P$3:$S$6,MATCH(MOD('Map 2 Do Touch'!Q26,4),$O$3:$O$6,0),MATCH(MOD('Map 2 Do Touch'!Q27,4),$P$2:$S$2,0)),$AF$4:$AF$6,0),MATCH(IF('Map 2 Do Touch'!Q26&gt;4,"Water","Land"),'Map 3'!$AG$3:$AH$3,0)),INDEX($AK$4:$AL$6,MATCH(INDEX($P$3:$S$6,MATCH(MOD('Map 2 Do Touch'!Q26,4),$O$3:$O$6,0),MATCH(MOD('Map 2 Do Touch'!Q27,4),$P$2:$S$2,0)),'Map 3'!$AJ$4:$AJ$6,0),MATCH(IF('Map 2 Do Touch'!Q26&gt;4,"Water","Land"),'Map 3'!$AK$3:$AL$3,0))))</f>
        <v>Ocean</v>
      </c>
      <c r="R31" s="3" t="str">
        <f ca="1">IF('Map 2 Do Touch'!Q26&lt;&gt;'Map 2 Do Touch'!Q27,IF('Map 2 Do Touch'!R27&gt;4,INDEX($AG$4:$AH$6,MATCH(INDEX($I$3:$L$6,MATCH(MOD('Map 2 Do Touch'!Q27,4),$H$3:$H$6,0),MATCH(MOD('Map 2 Do Touch'!R27,4),$I$2:$L$2,0)),$AF$4:$AF$6,0),MATCH(IF('Map 2 Do Touch'!Q27&gt;4,"Water","Land"),'Map 3'!$AG$3:$AH$3,0)),INDEX($AK$4:$AL$6,MATCH(INDEX($I$3:$L$6,MATCH(MOD('Map 2 Do Touch'!Q27,4),$H$3:$H$6,0),MATCH(MOD('Map 2 Do Touch'!R27,4),$I$2:$L$2,0)),'Map 3'!$AJ$4:$AJ$6,0),MATCH(IF('Map 2 Do Touch'!Q27&gt;4,"Water","Land"),'Map 3'!$AK$3:$AL$3,0))),IF('Map 2 Do Touch'!R27&gt;4,INDEX($AG$4:$AH$6,MATCH(INDEX($P$3:$S$6,MATCH(MOD('Map 2 Do Touch'!R26,4),$O$3:$O$6,0),MATCH(MOD('Map 2 Do Touch'!R27,4),$P$2:$S$2,0)),$AF$4:$AF$6,0),MATCH(IF('Map 2 Do Touch'!R26&gt;4,"Water","Land"),'Map 3'!$AG$3:$AH$3,0)),INDEX($AK$4:$AL$6,MATCH(INDEX($P$3:$S$6,MATCH(MOD('Map 2 Do Touch'!R26,4),$O$3:$O$6,0),MATCH(MOD('Map 2 Do Touch'!R27,4),$P$2:$S$2,0)),'Map 3'!$AJ$4:$AJ$6,0),MATCH(IF('Map 2 Do Touch'!R26&gt;4,"Water","Land"),'Map 3'!$AK$3:$AL$3,0))))</f>
        <v>Ocean</v>
      </c>
      <c r="S31" s="3" t="str">
        <f ca="1">IF('Map 2 Do Touch'!R26&lt;&gt;'Map 2 Do Touch'!R27,IF('Map 2 Do Touch'!S27&gt;4,INDEX($AG$4:$AH$6,MATCH(INDEX($I$3:$L$6,MATCH(MOD('Map 2 Do Touch'!R27,4),$H$3:$H$6,0),MATCH(MOD('Map 2 Do Touch'!S27,4),$I$2:$L$2,0)),$AF$4:$AF$6,0),MATCH(IF('Map 2 Do Touch'!R27&gt;4,"Water","Land"),'Map 3'!$AG$3:$AH$3,0)),INDEX($AK$4:$AL$6,MATCH(INDEX($I$3:$L$6,MATCH(MOD('Map 2 Do Touch'!R27,4),$H$3:$H$6,0),MATCH(MOD('Map 2 Do Touch'!S27,4),$I$2:$L$2,0)),'Map 3'!$AJ$4:$AJ$6,0),MATCH(IF('Map 2 Do Touch'!R27&gt;4,"Water","Land"),'Map 3'!$AK$3:$AL$3,0))),IF('Map 2 Do Touch'!S27&gt;4,INDEX($AG$4:$AH$6,MATCH(INDEX($P$3:$S$6,MATCH(MOD('Map 2 Do Touch'!S26,4),$O$3:$O$6,0),MATCH(MOD('Map 2 Do Touch'!S27,4),$P$2:$S$2,0)),$AF$4:$AF$6,0),MATCH(IF('Map 2 Do Touch'!S26&gt;4,"Water","Land"),'Map 3'!$AG$3:$AH$3,0)),INDEX($AK$4:$AL$6,MATCH(INDEX($P$3:$S$6,MATCH(MOD('Map 2 Do Touch'!S26,4),$O$3:$O$6,0),MATCH(MOD('Map 2 Do Touch'!S27,4),$P$2:$S$2,0)),'Map 3'!$AJ$4:$AJ$6,0),MATCH(IF('Map 2 Do Touch'!S26&gt;4,"Water","Land"),'Map 3'!$AK$3:$AL$3,0))))</f>
        <v>Flatland</v>
      </c>
      <c r="T31" s="3" t="str">
        <f ca="1">IF('Map 2 Do Touch'!S26&lt;&gt;'Map 2 Do Touch'!S27,IF('Map 2 Do Touch'!T27&gt;4,INDEX($AG$4:$AH$6,MATCH(INDEX($I$3:$L$6,MATCH(MOD('Map 2 Do Touch'!S27,4),$H$3:$H$6,0),MATCH(MOD('Map 2 Do Touch'!T27,4),$I$2:$L$2,0)),$AF$4:$AF$6,0),MATCH(IF('Map 2 Do Touch'!S27&gt;4,"Water","Land"),'Map 3'!$AG$3:$AH$3,0)),INDEX($AK$4:$AL$6,MATCH(INDEX($I$3:$L$6,MATCH(MOD('Map 2 Do Touch'!S27,4),$H$3:$H$6,0),MATCH(MOD('Map 2 Do Touch'!T27,4),$I$2:$L$2,0)),'Map 3'!$AJ$4:$AJ$6,0),MATCH(IF('Map 2 Do Touch'!S27&gt;4,"Water","Land"),'Map 3'!$AK$3:$AL$3,0))),IF('Map 2 Do Touch'!T27&gt;4,INDEX($AG$4:$AH$6,MATCH(INDEX($P$3:$S$6,MATCH(MOD('Map 2 Do Touch'!T26,4),$O$3:$O$6,0),MATCH(MOD('Map 2 Do Touch'!T27,4),$P$2:$S$2,0)),$AF$4:$AF$6,0),MATCH(IF('Map 2 Do Touch'!T26&gt;4,"Water","Land"),'Map 3'!$AG$3:$AH$3,0)),INDEX($AK$4:$AL$6,MATCH(INDEX($P$3:$S$6,MATCH(MOD('Map 2 Do Touch'!T26,4),$O$3:$O$6,0),MATCH(MOD('Map 2 Do Touch'!T27,4),$P$2:$S$2,0)),'Map 3'!$AJ$4:$AJ$6,0),MATCH(IF('Map 2 Do Touch'!T26&gt;4,"Water","Land"),'Map 3'!$AK$3:$AL$3,0))))</f>
        <v>Coast</v>
      </c>
      <c r="U31" s="3" t="str">
        <f ca="1">IF('Map 2 Do Touch'!T26&lt;&gt;'Map 2 Do Touch'!T27,IF('Map 2 Do Touch'!U27&gt;4,INDEX($AG$4:$AH$6,MATCH(INDEX($I$3:$L$6,MATCH(MOD('Map 2 Do Touch'!T27,4),$H$3:$H$6,0),MATCH(MOD('Map 2 Do Touch'!U27,4),$I$2:$L$2,0)),$AF$4:$AF$6,0),MATCH(IF('Map 2 Do Touch'!T27&gt;4,"Water","Land"),'Map 3'!$AG$3:$AH$3,0)),INDEX($AK$4:$AL$6,MATCH(INDEX($I$3:$L$6,MATCH(MOD('Map 2 Do Touch'!T27,4),$H$3:$H$6,0),MATCH(MOD('Map 2 Do Touch'!U27,4),$I$2:$L$2,0)),'Map 3'!$AJ$4:$AJ$6,0),MATCH(IF('Map 2 Do Touch'!T27&gt;4,"Water","Land"),'Map 3'!$AK$3:$AL$3,0))),IF('Map 2 Do Touch'!U27&gt;4,INDEX($AG$4:$AH$6,MATCH(INDEX($P$3:$S$6,MATCH(MOD('Map 2 Do Touch'!U26,4),$O$3:$O$6,0),MATCH(MOD('Map 2 Do Touch'!U27,4),$P$2:$S$2,0)),$AF$4:$AF$6,0),MATCH(IF('Map 2 Do Touch'!U26&gt;4,"Water","Land"),'Map 3'!$AG$3:$AH$3,0)),INDEX($AK$4:$AL$6,MATCH(INDEX($P$3:$S$6,MATCH(MOD('Map 2 Do Touch'!U26,4),$O$3:$O$6,0),MATCH(MOD('Map 2 Do Touch'!U27,4),$P$2:$S$2,0)),'Map 3'!$AJ$4:$AJ$6,0),MATCH(IF('Map 2 Do Touch'!U26&gt;4,"Water","Land"),'Map 3'!$AK$3:$AL$3,0))))</f>
        <v>Ocean</v>
      </c>
      <c r="V31" s="3" t="str">
        <f ca="1">IF('Map 2 Do Touch'!U26&lt;&gt;'Map 2 Do Touch'!U27,IF('Map 2 Do Touch'!V27&gt;4,INDEX($AG$4:$AH$6,MATCH(INDEX($I$3:$L$6,MATCH(MOD('Map 2 Do Touch'!U27,4),$H$3:$H$6,0),MATCH(MOD('Map 2 Do Touch'!V27,4),$I$2:$L$2,0)),$AF$4:$AF$6,0),MATCH(IF('Map 2 Do Touch'!U27&gt;4,"Water","Land"),'Map 3'!$AG$3:$AH$3,0)),INDEX($AK$4:$AL$6,MATCH(INDEX($I$3:$L$6,MATCH(MOD('Map 2 Do Touch'!U27,4),$H$3:$H$6,0),MATCH(MOD('Map 2 Do Touch'!V27,4),$I$2:$L$2,0)),'Map 3'!$AJ$4:$AJ$6,0),MATCH(IF('Map 2 Do Touch'!U27&gt;4,"Water","Land"),'Map 3'!$AK$3:$AL$3,0))),IF('Map 2 Do Touch'!V27&gt;4,INDEX($AG$4:$AH$6,MATCH(INDEX($P$3:$S$6,MATCH(MOD('Map 2 Do Touch'!V26,4),$O$3:$O$6,0),MATCH(MOD('Map 2 Do Touch'!V27,4),$P$2:$S$2,0)),$AF$4:$AF$6,0),MATCH(IF('Map 2 Do Touch'!V26&gt;4,"Water","Land"),'Map 3'!$AG$3:$AH$3,0)),INDEX($AK$4:$AL$6,MATCH(INDEX($P$3:$S$6,MATCH(MOD('Map 2 Do Touch'!V26,4),$O$3:$O$6,0),MATCH(MOD('Map 2 Do Touch'!V27,4),$P$2:$S$2,0)),'Map 3'!$AJ$4:$AJ$6,0),MATCH(IF('Map 2 Do Touch'!V26&gt;4,"Water","Land"),'Map 3'!$AK$3:$AL$3,0))))</f>
        <v>Flatland</v>
      </c>
      <c r="W31" s="3" t="str">
        <f ca="1">IF('Map 2 Do Touch'!V26&lt;&gt;'Map 2 Do Touch'!V27,IF('Map 2 Do Touch'!W27&gt;4,INDEX($AG$4:$AH$6,MATCH(INDEX($I$3:$L$6,MATCH(MOD('Map 2 Do Touch'!V27,4),$H$3:$H$6,0),MATCH(MOD('Map 2 Do Touch'!W27,4),$I$2:$L$2,0)),$AF$4:$AF$6,0),MATCH(IF('Map 2 Do Touch'!V27&gt;4,"Water","Land"),'Map 3'!$AG$3:$AH$3,0)),INDEX($AK$4:$AL$6,MATCH(INDEX($I$3:$L$6,MATCH(MOD('Map 2 Do Touch'!V27,4),$H$3:$H$6,0),MATCH(MOD('Map 2 Do Touch'!W27,4),$I$2:$L$2,0)),'Map 3'!$AJ$4:$AJ$6,0),MATCH(IF('Map 2 Do Touch'!V27&gt;4,"Water","Land"),'Map 3'!$AK$3:$AL$3,0))),IF('Map 2 Do Touch'!W27&gt;4,INDEX($AG$4:$AH$6,MATCH(INDEX($P$3:$S$6,MATCH(MOD('Map 2 Do Touch'!W26,4),$O$3:$O$6,0),MATCH(MOD('Map 2 Do Touch'!W27,4),$P$2:$S$2,0)),$AF$4:$AF$6,0),MATCH(IF('Map 2 Do Touch'!W26&gt;4,"Water","Land"),'Map 3'!$AG$3:$AH$3,0)),INDEX($AK$4:$AL$6,MATCH(INDEX($P$3:$S$6,MATCH(MOD('Map 2 Do Touch'!W26,4),$O$3:$O$6,0),MATCH(MOD('Map 2 Do Touch'!W27,4),$P$2:$S$2,0)),'Map 3'!$AJ$4:$AJ$6,0),MATCH(IF('Map 2 Do Touch'!W26&gt;4,"Water","Land"),'Map 3'!$AK$3:$AL$3,0))))</f>
        <v>Ocean</v>
      </c>
      <c r="X31" s="3" t="str">
        <f ca="1">IF('Map 2 Do Touch'!W26&lt;&gt;'Map 2 Do Touch'!W27,IF('Map 2 Do Touch'!X27&gt;4,INDEX($AG$4:$AH$6,MATCH(INDEX($I$3:$L$6,MATCH(MOD('Map 2 Do Touch'!W27,4),$H$3:$H$6,0),MATCH(MOD('Map 2 Do Touch'!X27,4),$I$2:$L$2,0)),$AF$4:$AF$6,0),MATCH(IF('Map 2 Do Touch'!W27&gt;4,"Water","Land"),'Map 3'!$AG$3:$AH$3,0)),INDEX($AK$4:$AL$6,MATCH(INDEX($I$3:$L$6,MATCH(MOD('Map 2 Do Touch'!W27,4),$H$3:$H$6,0),MATCH(MOD('Map 2 Do Touch'!X27,4),$I$2:$L$2,0)),'Map 3'!$AJ$4:$AJ$6,0),MATCH(IF('Map 2 Do Touch'!W27&gt;4,"Water","Land"),'Map 3'!$AK$3:$AL$3,0))),IF('Map 2 Do Touch'!X27&gt;4,INDEX($AG$4:$AH$6,MATCH(INDEX($P$3:$S$6,MATCH(MOD('Map 2 Do Touch'!X26,4),$O$3:$O$6,0),MATCH(MOD('Map 2 Do Touch'!X27,4),$P$2:$S$2,0)),$AF$4:$AF$6,0),MATCH(IF('Map 2 Do Touch'!X26&gt;4,"Water","Land"),'Map 3'!$AG$3:$AH$3,0)),INDEX($AK$4:$AL$6,MATCH(INDEX($P$3:$S$6,MATCH(MOD('Map 2 Do Touch'!X26,4),$O$3:$O$6,0),MATCH(MOD('Map 2 Do Touch'!X27,4),$P$2:$S$2,0)),'Map 3'!$AJ$4:$AJ$6,0),MATCH(IF('Map 2 Do Touch'!X26&gt;4,"Water","Land"),'Map 3'!$AK$3:$AL$3,0))))</f>
        <v>Ocean</v>
      </c>
      <c r="Y31" s="3" t="str">
        <f ca="1">IF('Map 2 Do Touch'!X26&lt;&gt;'Map 2 Do Touch'!X27,IF('Map 2 Do Touch'!Y27&gt;4,INDEX($AG$4:$AH$6,MATCH(INDEX($I$3:$L$6,MATCH(MOD('Map 2 Do Touch'!X27,4),$H$3:$H$6,0),MATCH(MOD('Map 2 Do Touch'!Y27,4),$I$2:$L$2,0)),$AF$4:$AF$6,0),MATCH(IF('Map 2 Do Touch'!X27&gt;4,"Water","Land"),'Map 3'!$AG$3:$AH$3,0)),INDEX($AK$4:$AL$6,MATCH(INDEX($I$3:$L$6,MATCH(MOD('Map 2 Do Touch'!X27,4),$H$3:$H$6,0),MATCH(MOD('Map 2 Do Touch'!Y27,4),$I$2:$L$2,0)),'Map 3'!$AJ$4:$AJ$6,0),MATCH(IF('Map 2 Do Touch'!X27&gt;4,"Water","Land"),'Map 3'!$AK$3:$AL$3,0))),IF('Map 2 Do Touch'!Y27&gt;4,INDEX($AG$4:$AH$6,MATCH(INDEX($P$3:$S$6,MATCH(MOD('Map 2 Do Touch'!Y26,4),$O$3:$O$6,0),MATCH(MOD('Map 2 Do Touch'!Y27,4),$P$2:$S$2,0)),$AF$4:$AF$6,0),MATCH(IF('Map 2 Do Touch'!Y26&gt;4,"Water","Land"),'Map 3'!$AG$3:$AH$3,0)),INDEX($AK$4:$AL$6,MATCH(INDEX($P$3:$S$6,MATCH(MOD('Map 2 Do Touch'!Y26,4),$O$3:$O$6,0),MATCH(MOD('Map 2 Do Touch'!Y27,4),$P$2:$S$2,0)),'Map 3'!$AJ$4:$AJ$6,0),MATCH(IF('Map 2 Do Touch'!Y26&gt;4,"Water","Land"),'Map 3'!$AK$3:$AL$3,0))))</f>
        <v>Ocean</v>
      </c>
      <c r="Z31" s="3" t="str">
        <f ca="1">IF('Map 2 Do Touch'!Y26&lt;&gt;'Map 2 Do Touch'!Y27,IF('Map 2 Do Touch'!Z27&gt;4,INDEX($AG$4:$AH$6,MATCH(INDEX($I$3:$L$6,MATCH(MOD('Map 2 Do Touch'!Y27,4),$H$3:$H$6,0),MATCH(MOD('Map 2 Do Touch'!Z27,4),$I$2:$L$2,0)),$AF$4:$AF$6,0),MATCH(IF('Map 2 Do Touch'!Y27&gt;4,"Water","Land"),'Map 3'!$AG$3:$AH$3,0)),INDEX($AK$4:$AL$6,MATCH(INDEX($I$3:$L$6,MATCH(MOD('Map 2 Do Touch'!Y27,4),$H$3:$H$6,0),MATCH(MOD('Map 2 Do Touch'!Z27,4),$I$2:$L$2,0)),'Map 3'!$AJ$4:$AJ$6,0),MATCH(IF('Map 2 Do Touch'!Y27&gt;4,"Water","Land"),'Map 3'!$AK$3:$AL$3,0))),IF('Map 2 Do Touch'!Z27&gt;4,INDEX($AG$4:$AH$6,MATCH(INDEX($P$3:$S$6,MATCH(MOD('Map 2 Do Touch'!Z26,4),$O$3:$O$6,0),MATCH(MOD('Map 2 Do Touch'!Z27,4),$P$2:$S$2,0)),$AF$4:$AF$6,0),MATCH(IF('Map 2 Do Touch'!Z26&gt;4,"Water","Land"),'Map 3'!$AG$3:$AH$3,0)),INDEX($AK$4:$AL$6,MATCH(INDEX($P$3:$S$6,MATCH(MOD('Map 2 Do Touch'!Z26,4),$O$3:$O$6,0),MATCH(MOD('Map 2 Do Touch'!Z27,4),$P$2:$S$2,0)),'Map 3'!$AJ$4:$AJ$6,0),MATCH(IF('Map 2 Do Touch'!Z26&gt;4,"Water","Land"),'Map 3'!$AK$3:$AL$3,0))))</f>
        <v>Ocean</v>
      </c>
      <c r="AA31" s="3" t="str">
        <f ca="1">IF('Map 2 Do Touch'!Z26&lt;&gt;'Map 2 Do Touch'!Z27,IF('Map 2 Do Touch'!AA27&gt;4,INDEX($AG$4:$AH$6,MATCH(INDEX($I$3:$L$6,MATCH(MOD('Map 2 Do Touch'!Z27,4),$H$3:$H$6,0),MATCH(MOD('Map 2 Do Touch'!AA27,4),$I$2:$L$2,0)),$AF$4:$AF$6,0),MATCH(IF('Map 2 Do Touch'!Z27&gt;4,"Water","Land"),'Map 3'!$AG$3:$AH$3,0)),INDEX($AK$4:$AL$6,MATCH(INDEX($I$3:$L$6,MATCH(MOD('Map 2 Do Touch'!Z27,4),$H$3:$H$6,0),MATCH(MOD('Map 2 Do Touch'!AA27,4),$I$2:$L$2,0)),'Map 3'!$AJ$4:$AJ$6,0),MATCH(IF('Map 2 Do Touch'!Z27&gt;4,"Water","Land"),'Map 3'!$AK$3:$AL$3,0))),IF('Map 2 Do Touch'!AA27&gt;4,INDEX($AG$4:$AH$6,MATCH(INDEX($P$3:$S$6,MATCH(MOD('Map 2 Do Touch'!AA26,4),$O$3:$O$6,0),MATCH(MOD('Map 2 Do Touch'!AA27,4),$P$2:$S$2,0)),$AF$4:$AF$6,0),MATCH(IF('Map 2 Do Touch'!AA26&gt;4,"Water","Land"),'Map 3'!$AG$3:$AH$3,0)),INDEX($AK$4:$AL$6,MATCH(INDEX($P$3:$S$6,MATCH(MOD('Map 2 Do Touch'!AA26,4),$O$3:$O$6,0),MATCH(MOD('Map 2 Do Touch'!AA27,4),$P$2:$S$2,0)),'Map 3'!$AJ$4:$AJ$6,0),MATCH(IF('Map 2 Do Touch'!AA26&gt;4,"Water","Land"),'Map 3'!$AK$3:$AL$3,0))))</f>
        <v>Ocean</v>
      </c>
      <c r="AB31" s="3" t="str">
        <f ca="1">IF('Map 2 Do Touch'!AA26&lt;&gt;'Map 2 Do Touch'!AA27,IF('Map 2 Do Touch'!AB27&gt;4,INDEX($AG$4:$AH$6,MATCH(INDEX($I$3:$L$6,MATCH(MOD('Map 2 Do Touch'!AA27,4),$H$3:$H$6,0),MATCH(MOD('Map 2 Do Touch'!AB27,4),$I$2:$L$2,0)),$AF$4:$AF$6,0),MATCH(IF('Map 2 Do Touch'!AA27&gt;4,"Water","Land"),'Map 3'!$AG$3:$AH$3,0)),INDEX($AK$4:$AL$6,MATCH(INDEX($I$3:$L$6,MATCH(MOD('Map 2 Do Touch'!AA27,4),$H$3:$H$6,0),MATCH(MOD('Map 2 Do Touch'!AB27,4),$I$2:$L$2,0)),'Map 3'!$AJ$4:$AJ$6,0),MATCH(IF('Map 2 Do Touch'!AA27&gt;4,"Water","Land"),'Map 3'!$AK$3:$AL$3,0))),IF('Map 2 Do Touch'!AB27&gt;4,INDEX($AG$4:$AH$6,MATCH(INDEX($P$3:$S$6,MATCH(MOD('Map 2 Do Touch'!AB26,4),$O$3:$O$6,0),MATCH(MOD('Map 2 Do Touch'!AB27,4),$P$2:$S$2,0)),$AF$4:$AF$6,0),MATCH(IF('Map 2 Do Touch'!AB26&gt;4,"Water","Land"),'Map 3'!$AG$3:$AH$3,0)),INDEX($AK$4:$AL$6,MATCH(INDEX($P$3:$S$6,MATCH(MOD('Map 2 Do Touch'!AB26,4),$O$3:$O$6,0),MATCH(MOD('Map 2 Do Touch'!AB27,4),$P$2:$S$2,0)),'Map 3'!$AJ$4:$AJ$6,0),MATCH(IF('Map 2 Do Touch'!AB26&gt;4,"Water","Land"),'Map 3'!$AK$3:$AL$3,0))))</f>
        <v>Ocean</v>
      </c>
      <c r="AC31" s="3" t="str">
        <f ca="1">IF('Map 2 Do Touch'!AB26&lt;&gt;'Map 2 Do Touch'!AB27,IF('Map 2 Do Touch'!AC27&gt;4,INDEX($AG$4:$AH$6,MATCH(INDEX($I$3:$L$6,MATCH(MOD('Map 2 Do Touch'!AB27,4),$H$3:$H$6,0),MATCH(MOD('Map 2 Do Touch'!AC27,4),$I$2:$L$2,0)),$AF$4:$AF$6,0),MATCH(IF('Map 2 Do Touch'!AB27&gt;4,"Water","Land"),'Map 3'!$AG$3:$AH$3,0)),INDEX($AK$4:$AL$6,MATCH(INDEX($I$3:$L$6,MATCH(MOD('Map 2 Do Touch'!AB27,4),$H$3:$H$6,0),MATCH(MOD('Map 2 Do Touch'!AC27,4),$I$2:$L$2,0)),'Map 3'!$AJ$4:$AJ$6,0),MATCH(IF('Map 2 Do Touch'!AB27&gt;4,"Water","Land"),'Map 3'!$AK$3:$AL$3,0))),IF('Map 2 Do Touch'!AC27&gt;4,INDEX($AG$4:$AH$6,MATCH(INDEX($P$3:$S$6,MATCH(MOD('Map 2 Do Touch'!AC26,4),$O$3:$O$6,0),MATCH(MOD('Map 2 Do Touch'!AC27,4),$P$2:$S$2,0)),$AF$4:$AF$6,0),MATCH(IF('Map 2 Do Touch'!AC26&gt;4,"Water","Land"),'Map 3'!$AG$3:$AH$3,0)),INDEX($AK$4:$AL$6,MATCH(INDEX($P$3:$S$6,MATCH(MOD('Map 2 Do Touch'!AC26,4),$O$3:$O$6,0),MATCH(MOD('Map 2 Do Touch'!AC27,4),$P$2:$S$2,0)),'Map 3'!$AJ$4:$AJ$6,0),MATCH(IF('Map 2 Do Touch'!AC26&gt;4,"Water","Land"),'Map 3'!$AK$3:$AL$3,0))))</f>
        <v>Ocean</v>
      </c>
      <c r="AD31" s="3" t="str">
        <f ca="1">IF('Map 2 Do Touch'!AC26&lt;&gt;'Map 2 Do Touch'!AC27,IF('Map 2 Do Touch'!AD27&gt;4,INDEX($AG$4:$AH$6,MATCH(INDEX($I$3:$L$6,MATCH(MOD('Map 2 Do Touch'!AC27,4),$H$3:$H$6,0),MATCH(MOD('Map 2 Do Touch'!AD27,4),$I$2:$L$2,0)),$AF$4:$AF$6,0),MATCH(IF('Map 2 Do Touch'!AC27&gt;4,"Water","Land"),'Map 3'!$AG$3:$AH$3,0)),INDEX($AK$4:$AL$6,MATCH(INDEX($I$3:$L$6,MATCH(MOD('Map 2 Do Touch'!AC27,4),$H$3:$H$6,0),MATCH(MOD('Map 2 Do Touch'!AD27,4),$I$2:$L$2,0)),'Map 3'!$AJ$4:$AJ$6,0),MATCH(IF('Map 2 Do Touch'!AC27&gt;4,"Water","Land"),'Map 3'!$AK$3:$AL$3,0))),IF('Map 2 Do Touch'!AD27&gt;4,INDEX($AG$4:$AH$6,MATCH(INDEX($P$3:$S$6,MATCH(MOD('Map 2 Do Touch'!AD26,4),$O$3:$O$6,0),MATCH(MOD('Map 2 Do Touch'!AD27,4),$P$2:$S$2,0)),$AF$4:$AF$6,0),MATCH(IF('Map 2 Do Touch'!AD26&gt;4,"Water","Land"),'Map 3'!$AG$3:$AH$3,0)),INDEX($AK$4:$AL$6,MATCH(INDEX($P$3:$S$6,MATCH(MOD('Map 2 Do Touch'!AD26,4),$O$3:$O$6,0),MATCH(MOD('Map 2 Do Touch'!AD27,4),$P$2:$S$2,0)),'Map 3'!$AJ$4:$AJ$6,0),MATCH(IF('Map 2 Do Touch'!AD26&gt;4,"Water","Land"),'Map 3'!$AK$3:$AL$3,0))))</f>
        <v>Ocean</v>
      </c>
      <c r="AE31" s="3" t="str">
        <f ca="1">IF('Map 2 Do Touch'!AD26&lt;&gt;'Map 2 Do Touch'!AD27,IF('Map 2 Do Touch'!AE27&gt;4,INDEX($AG$4:$AH$6,MATCH(INDEX($I$3:$L$6,MATCH(MOD('Map 2 Do Touch'!AD27,4),$H$3:$H$6,0),MATCH(MOD('Map 2 Do Touch'!AE27,4),$I$2:$L$2,0)),$AF$4:$AF$6,0),MATCH(IF('Map 2 Do Touch'!AD27&gt;4,"Water","Land"),'Map 3'!$AG$3:$AH$3,0)),INDEX($AK$4:$AL$6,MATCH(INDEX($I$3:$L$6,MATCH(MOD('Map 2 Do Touch'!AD27,4),$H$3:$H$6,0),MATCH(MOD('Map 2 Do Touch'!AE27,4),$I$2:$L$2,0)),'Map 3'!$AJ$4:$AJ$6,0),MATCH(IF('Map 2 Do Touch'!AD27&gt;4,"Water","Land"),'Map 3'!$AK$3:$AL$3,0))),IF('Map 2 Do Touch'!AE27&gt;4,INDEX($AG$4:$AH$6,MATCH(INDEX($P$3:$S$6,MATCH(MOD('Map 2 Do Touch'!AE26,4),$O$3:$O$6,0),MATCH(MOD('Map 2 Do Touch'!AE27,4),$P$2:$S$2,0)),$AF$4:$AF$6,0),MATCH(IF('Map 2 Do Touch'!AE26&gt;4,"Water","Land"),'Map 3'!$AG$3:$AH$3,0)),INDEX($AK$4:$AL$6,MATCH(INDEX($P$3:$S$6,MATCH(MOD('Map 2 Do Touch'!AE26,4),$O$3:$O$6,0),MATCH(MOD('Map 2 Do Touch'!AE27,4),$P$2:$S$2,0)),'Map 3'!$AJ$4:$AJ$6,0),MATCH(IF('Map 2 Do Touch'!AE26&gt;4,"Water","Land"),'Map 3'!$AK$3:$AL$3,0))))</f>
        <v>Trench</v>
      </c>
      <c r="AF31" s="3" t="str">
        <f ca="1">IF('Map 2 Do Touch'!AE26&lt;&gt;'Map 2 Do Touch'!AE27,IF('Map 2 Do Touch'!AF27&gt;4,INDEX($AG$4:$AH$6,MATCH(INDEX($I$3:$L$6,MATCH(MOD('Map 2 Do Touch'!AE27,4),$H$3:$H$6,0),MATCH(MOD('Map 2 Do Touch'!AF27,4),$I$2:$L$2,0)),$AF$4:$AF$6,0),MATCH(IF('Map 2 Do Touch'!AE27&gt;4,"Water","Land"),'Map 3'!$AG$3:$AH$3,0)),INDEX($AK$4:$AL$6,MATCH(INDEX($I$3:$L$6,MATCH(MOD('Map 2 Do Touch'!AE27,4),$H$3:$H$6,0),MATCH(MOD('Map 2 Do Touch'!AF27,4),$I$2:$L$2,0)),'Map 3'!$AJ$4:$AJ$6,0),MATCH(IF('Map 2 Do Touch'!AE27&gt;4,"Water","Land"),'Map 3'!$AK$3:$AL$3,0))),IF('Map 2 Do Touch'!AF27&gt;4,INDEX($AG$4:$AH$6,MATCH(INDEX($P$3:$S$6,MATCH(MOD('Map 2 Do Touch'!AF26,4),$O$3:$O$6,0),MATCH(MOD('Map 2 Do Touch'!AF27,4),$P$2:$S$2,0)),$AF$4:$AF$6,0),MATCH(IF('Map 2 Do Touch'!AF26&gt;4,"Water","Land"),'Map 3'!$AG$3:$AH$3,0)),INDEX($AK$4:$AL$6,MATCH(INDEX($P$3:$S$6,MATCH(MOD('Map 2 Do Touch'!AF26,4),$O$3:$O$6,0),MATCH(MOD('Map 2 Do Touch'!AF27,4),$P$2:$S$2,0)),'Map 3'!$AJ$4:$AJ$6,0),MATCH(IF('Map 2 Do Touch'!AF26&gt;4,"Water","Land"),'Map 3'!$AK$3:$AL$3,0))))</f>
        <v>Island</v>
      </c>
      <c r="AG31" s="3" t="str">
        <f ca="1">IF('Map 2 Do Touch'!AF26&lt;&gt;'Map 2 Do Touch'!AF27,IF('Map 2 Do Touch'!AG27&gt;4,INDEX($AG$4:$AH$6,MATCH(INDEX($I$3:$L$6,MATCH(MOD('Map 2 Do Touch'!AF27,4),$H$3:$H$6,0),MATCH(MOD('Map 2 Do Touch'!AG27,4),$I$2:$L$2,0)),$AF$4:$AF$6,0),MATCH(IF('Map 2 Do Touch'!AF27&gt;4,"Water","Land"),'Map 3'!$AG$3:$AH$3,0)),INDEX($AK$4:$AL$6,MATCH(INDEX($I$3:$L$6,MATCH(MOD('Map 2 Do Touch'!AF27,4),$H$3:$H$6,0),MATCH(MOD('Map 2 Do Touch'!AG27,4),$I$2:$L$2,0)),'Map 3'!$AJ$4:$AJ$6,0),MATCH(IF('Map 2 Do Touch'!AF27&gt;4,"Water","Land"),'Map 3'!$AK$3:$AL$3,0))),IF('Map 2 Do Touch'!AG27&gt;4,INDEX($AG$4:$AH$6,MATCH(INDEX($P$3:$S$6,MATCH(MOD('Map 2 Do Touch'!AG26,4),$O$3:$O$6,0),MATCH(MOD('Map 2 Do Touch'!AG27,4),$P$2:$S$2,0)),$AF$4:$AF$6,0),MATCH(IF('Map 2 Do Touch'!AG26&gt;4,"Water","Land"),'Map 3'!$AG$3:$AH$3,0)),INDEX($AK$4:$AL$6,MATCH(INDEX($P$3:$S$6,MATCH(MOD('Map 2 Do Touch'!AG26,4),$O$3:$O$6,0),MATCH(MOD('Map 2 Do Touch'!AG27,4),$P$2:$S$2,0)),'Map 3'!$AJ$4:$AJ$6,0),MATCH(IF('Map 2 Do Touch'!AG26&gt;4,"Water","Land"),'Map 3'!$AK$3:$AL$3,0))))</f>
        <v>Ocean</v>
      </c>
      <c r="AH31" s="3" t="str">
        <f ca="1">IF('Map 2 Do Touch'!AG26&lt;&gt;'Map 2 Do Touch'!AG27,IF('Map 2 Do Touch'!AH27&gt;4,INDEX($AG$4:$AH$6,MATCH(INDEX($I$3:$L$6,MATCH(MOD('Map 2 Do Touch'!AG27,4),$H$3:$H$6,0),MATCH(MOD('Map 2 Do Touch'!AH27,4),$I$2:$L$2,0)),$AF$4:$AF$6,0),MATCH(IF('Map 2 Do Touch'!AG27&gt;4,"Water","Land"),'Map 3'!$AG$3:$AH$3,0)),INDEX($AK$4:$AL$6,MATCH(INDEX($I$3:$L$6,MATCH(MOD('Map 2 Do Touch'!AG27,4),$H$3:$H$6,0),MATCH(MOD('Map 2 Do Touch'!AH27,4),$I$2:$L$2,0)),'Map 3'!$AJ$4:$AJ$6,0),MATCH(IF('Map 2 Do Touch'!AG27&gt;4,"Water","Land"),'Map 3'!$AK$3:$AL$3,0))),IF('Map 2 Do Touch'!AH27&gt;4,INDEX($AG$4:$AH$6,MATCH(INDEX($P$3:$S$6,MATCH(MOD('Map 2 Do Touch'!AH26,4),$O$3:$O$6,0),MATCH(MOD('Map 2 Do Touch'!AH27,4),$P$2:$S$2,0)),$AF$4:$AF$6,0),MATCH(IF('Map 2 Do Touch'!AH26&gt;4,"Water","Land"),'Map 3'!$AG$3:$AH$3,0)),INDEX($AK$4:$AL$6,MATCH(INDEX($P$3:$S$6,MATCH(MOD('Map 2 Do Touch'!AH26,4),$O$3:$O$6,0),MATCH(MOD('Map 2 Do Touch'!AH27,4),$P$2:$S$2,0)),'Map 3'!$AJ$4:$AJ$6,0),MATCH(IF('Map 2 Do Touch'!AH26&gt;4,"Water","Land"),'Map 3'!$AK$3:$AL$3,0))))</f>
        <v>Ocean</v>
      </c>
      <c r="AI31" s="3" t="str">
        <f ca="1">IF('Map 2 Do Touch'!AH26&lt;&gt;'Map 2 Do Touch'!AH27,IF('Map 2 Do Touch'!AI27&gt;4,INDEX($AG$4:$AH$6,MATCH(INDEX($I$3:$L$6,MATCH(MOD('Map 2 Do Touch'!AH27,4),$H$3:$H$6,0),MATCH(MOD('Map 2 Do Touch'!AI27,4),$I$2:$L$2,0)),$AF$4:$AF$6,0),MATCH(IF('Map 2 Do Touch'!AH27&gt;4,"Water","Land"),'Map 3'!$AG$3:$AH$3,0)),INDEX($AK$4:$AL$6,MATCH(INDEX($I$3:$L$6,MATCH(MOD('Map 2 Do Touch'!AH27,4),$H$3:$H$6,0),MATCH(MOD('Map 2 Do Touch'!AI27,4),$I$2:$L$2,0)),'Map 3'!$AJ$4:$AJ$6,0),MATCH(IF('Map 2 Do Touch'!AH27&gt;4,"Water","Land"),'Map 3'!$AK$3:$AL$3,0))),IF('Map 2 Do Touch'!AI27&gt;4,INDEX($AG$4:$AH$6,MATCH(INDEX($P$3:$S$6,MATCH(MOD('Map 2 Do Touch'!AI26,4),$O$3:$O$6,0),MATCH(MOD('Map 2 Do Touch'!AI27,4),$P$2:$S$2,0)),$AF$4:$AF$6,0),MATCH(IF('Map 2 Do Touch'!AI26&gt;4,"Water","Land"),'Map 3'!$AG$3:$AH$3,0)),INDEX($AK$4:$AL$6,MATCH(INDEX($P$3:$S$6,MATCH(MOD('Map 2 Do Touch'!AI26,4),$O$3:$O$6,0),MATCH(MOD('Map 2 Do Touch'!AI27,4),$P$2:$S$2,0)),'Map 3'!$AJ$4:$AJ$6,0),MATCH(IF('Map 2 Do Touch'!AI26&gt;4,"Water","Land"),'Map 3'!$AK$3:$AL$3,0))))</f>
        <v>Ocean</v>
      </c>
      <c r="AJ31" s="3" t="str">
        <f ca="1">IF('Map 2 Do Touch'!AI26&lt;&gt;'Map 2 Do Touch'!AI27,IF('Map 2 Do Touch'!AJ27&gt;4,INDEX($AG$4:$AH$6,MATCH(INDEX($I$3:$L$6,MATCH(MOD('Map 2 Do Touch'!AI27,4),$H$3:$H$6,0),MATCH(MOD('Map 2 Do Touch'!AJ27,4),$I$2:$L$2,0)),$AF$4:$AF$6,0),MATCH(IF('Map 2 Do Touch'!AI27&gt;4,"Water","Land"),'Map 3'!$AG$3:$AH$3,0)),INDEX($AK$4:$AL$6,MATCH(INDEX($I$3:$L$6,MATCH(MOD('Map 2 Do Touch'!AI27,4),$H$3:$H$6,0),MATCH(MOD('Map 2 Do Touch'!AJ27,4),$I$2:$L$2,0)),'Map 3'!$AJ$4:$AJ$6,0),MATCH(IF('Map 2 Do Touch'!AI27&gt;4,"Water","Land"),'Map 3'!$AK$3:$AL$3,0))),IF('Map 2 Do Touch'!AJ27&gt;4,INDEX($AG$4:$AH$6,MATCH(INDEX($P$3:$S$6,MATCH(MOD('Map 2 Do Touch'!AJ26,4),$O$3:$O$6,0),MATCH(MOD('Map 2 Do Touch'!AJ27,4),$P$2:$S$2,0)),$AF$4:$AF$6,0),MATCH(IF('Map 2 Do Touch'!AJ26&gt;4,"Water","Land"),'Map 3'!$AG$3:$AH$3,0)),INDEX($AK$4:$AL$6,MATCH(INDEX($P$3:$S$6,MATCH(MOD('Map 2 Do Touch'!AJ26,4),$O$3:$O$6,0),MATCH(MOD('Map 2 Do Touch'!AJ27,4),$P$2:$S$2,0)),'Map 3'!$AJ$4:$AJ$6,0),MATCH(IF('Map 2 Do Touch'!AJ26&gt;4,"Water","Land"),'Map 3'!$AK$3:$AL$3,0))))</f>
        <v>Trench</v>
      </c>
      <c r="AK31" s="3" t="str">
        <f ca="1">IF('Map 2 Do Touch'!AJ26&lt;&gt;'Map 2 Do Touch'!AJ27,IF('Map 2 Do Touch'!AK27&gt;4,INDEX($AG$4:$AH$6,MATCH(INDEX($I$3:$L$6,MATCH(MOD('Map 2 Do Touch'!AJ27,4),$H$3:$H$6,0),MATCH(MOD('Map 2 Do Touch'!AK27,4),$I$2:$L$2,0)),$AF$4:$AF$6,0),MATCH(IF('Map 2 Do Touch'!AJ27&gt;4,"Water","Land"),'Map 3'!$AG$3:$AH$3,0)),INDEX($AK$4:$AL$6,MATCH(INDEX($I$3:$L$6,MATCH(MOD('Map 2 Do Touch'!AJ27,4),$H$3:$H$6,0),MATCH(MOD('Map 2 Do Touch'!AK27,4),$I$2:$L$2,0)),'Map 3'!$AJ$4:$AJ$6,0),MATCH(IF('Map 2 Do Touch'!AJ27&gt;4,"Water","Land"),'Map 3'!$AK$3:$AL$3,0))),IF('Map 2 Do Touch'!AK27&gt;4,INDEX($AG$4:$AH$6,MATCH(INDEX($P$3:$S$6,MATCH(MOD('Map 2 Do Touch'!AK26,4),$O$3:$O$6,0),MATCH(MOD('Map 2 Do Touch'!AK27,4),$P$2:$S$2,0)),$AF$4:$AF$6,0),MATCH(IF('Map 2 Do Touch'!AK26&gt;4,"Water","Land"),'Map 3'!$AG$3:$AH$3,0)),INDEX($AK$4:$AL$6,MATCH(INDEX($P$3:$S$6,MATCH(MOD('Map 2 Do Touch'!AK26,4),$O$3:$O$6,0),MATCH(MOD('Map 2 Do Touch'!AK27,4),$P$2:$S$2,0)),'Map 3'!$AJ$4:$AJ$6,0),MATCH(IF('Map 2 Do Touch'!AK26&gt;4,"Water","Land"),'Map 3'!$AK$3:$AL$3,0))))</f>
        <v>Ocean</v>
      </c>
      <c r="AL31" s="3" t="str">
        <f ca="1">IF('Map 2 Do Touch'!AK26&lt;&gt;'Map 2 Do Touch'!AK27,IF('Map 2 Do Touch'!AL27&gt;4,INDEX($AG$4:$AH$6,MATCH(INDEX($I$3:$L$6,MATCH(MOD('Map 2 Do Touch'!AK27,4),$H$3:$H$6,0),MATCH(MOD('Map 2 Do Touch'!AL27,4),$I$2:$L$2,0)),$AF$4:$AF$6,0),MATCH(IF('Map 2 Do Touch'!AK27&gt;4,"Water","Land"),'Map 3'!$AG$3:$AH$3,0)),INDEX($AK$4:$AL$6,MATCH(INDEX($I$3:$L$6,MATCH(MOD('Map 2 Do Touch'!AK27,4),$H$3:$H$6,0),MATCH(MOD('Map 2 Do Touch'!AL27,4),$I$2:$L$2,0)),'Map 3'!$AJ$4:$AJ$6,0),MATCH(IF('Map 2 Do Touch'!AK27&gt;4,"Water","Land"),'Map 3'!$AK$3:$AL$3,0))),IF('Map 2 Do Touch'!AL27&gt;4,INDEX($AG$4:$AH$6,MATCH(INDEX($P$3:$S$6,MATCH(MOD('Map 2 Do Touch'!AL26,4),$O$3:$O$6,0),MATCH(MOD('Map 2 Do Touch'!AL27,4),$P$2:$S$2,0)),$AF$4:$AF$6,0),MATCH(IF('Map 2 Do Touch'!AL26&gt;4,"Water","Land"),'Map 3'!$AG$3:$AH$3,0)),INDEX($AK$4:$AL$6,MATCH(INDEX($P$3:$S$6,MATCH(MOD('Map 2 Do Touch'!AL26,4),$O$3:$O$6,0),MATCH(MOD('Map 2 Do Touch'!AL27,4),$P$2:$S$2,0)),'Map 3'!$AJ$4:$AJ$6,0),MATCH(IF('Map 2 Do Touch'!AL26&gt;4,"Water","Land"),'Map 3'!$AK$3:$AL$3,0))))</f>
        <v>Ocean</v>
      </c>
      <c r="AM31" s="3" t="str">
        <f ca="1">IF('Map 2 Do Touch'!AL26&lt;&gt;'Map 2 Do Touch'!AL27,IF('Map 2 Do Touch'!AM27&gt;4,INDEX($AG$4:$AH$6,MATCH(INDEX($I$3:$L$6,MATCH(MOD('Map 2 Do Touch'!AL27,4),$H$3:$H$6,0),MATCH(MOD('Map 2 Do Touch'!AM27,4),$I$2:$L$2,0)),$AF$4:$AF$6,0),MATCH(IF('Map 2 Do Touch'!AL27&gt;4,"Water","Land"),'Map 3'!$AG$3:$AH$3,0)),INDEX($AK$4:$AL$6,MATCH(INDEX($I$3:$L$6,MATCH(MOD('Map 2 Do Touch'!AL27,4),$H$3:$H$6,0),MATCH(MOD('Map 2 Do Touch'!AM27,4),$I$2:$L$2,0)),'Map 3'!$AJ$4:$AJ$6,0),MATCH(IF('Map 2 Do Touch'!AL27&gt;4,"Water","Land"),'Map 3'!$AK$3:$AL$3,0))),IF('Map 2 Do Touch'!AM27&gt;4,INDEX($AG$4:$AH$6,MATCH(INDEX($P$3:$S$6,MATCH(MOD('Map 2 Do Touch'!AM26,4),$O$3:$O$6,0),MATCH(MOD('Map 2 Do Touch'!AM27,4),$P$2:$S$2,0)),$AF$4:$AF$6,0),MATCH(IF('Map 2 Do Touch'!AM26&gt;4,"Water","Land"),'Map 3'!$AG$3:$AH$3,0)),INDEX($AK$4:$AL$6,MATCH(INDEX($P$3:$S$6,MATCH(MOD('Map 2 Do Touch'!AM26,4),$O$3:$O$6,0),MATCH(MOD('Map 2 Do Touch'!AM27,4),$P$2:$S$2,0)),'Map 3'!$AJ$4:$AJ$6,0),MATCH(IF('Map 2 Do Touch'!AM26&gt;4,"Water","Land"),'Map 3'!$AK$3:$AL$3,0))))</f>
        <v>Trench</v>
      </c>
      <c r="AN31" s="3" t="str">
        <f ca="1">IF('Map 2 Do Touch'!AM26&lt;&gt;'Map 2 Do Touch'!AM27,IF('Map 2 Do Touch'!AN27&gt;4,INDEX($AG$4:$AH$6,MATCH(INDEX($I$3:$L$6,MATCH(MOD('Map 2 Do Touch'!AM27,4),$H$3:$H$6,0),MATCH(MOD('Map 2 Do Touch'!AN27,4),$I$2:$L$2,0)),$AF$4:$AF$6,0),MATCH(IF('Map 2 Do Touch'!AM27&gt;4,"Water","Land"),'Map 3'!$AG$3:$AH$3,0)),INDEX($AK$4:$AL$6,MATCH(INDEX($I$3:$L$6,MATCH(MOD('Map 2 Do Touch'!AM27,4),$H$3:$H$6,0),MATCH(MOD('Map 2 Do Touch'!AN27,4),$I$2:$L$2,0)),'Map 3'!$AJ$4:$AJ$6,0),MATCH(IF('Map 2 Do Touch'!AM27&gt;4,"Water","Land"),'Map 3'!$AK$3:$AL$3,0))),IF('Map 2 Do Touch'!AN27&gt;4,INDEX($AG$4:$AH$6,MATCH(INDEX($P$3:$S$6,MATCH(MOD('Map 2 Do Touch'!AN26,4),$O$3:$O$6,0),MATCH(MOD('Map 2 Do Touch'!AN27,4),$P$2:$S$2,0)),$AF$4:$AF$6,0),MATCH(IF('Map 2 Do Touch'!AN26&gt;4,"Water","Land"),'Map 3'!$AG$3:$AH$3,0)),INDEX($AK$4:$AL$6,MATCH(INDEX($P$3:$S$6,MATCH(MOD('Map 2 Do Touch'!AN26,4),$O$3:$O$6,0),MATCH(MOD('Map 2 Do Touch'!AN27,4),$P$2:$S$2,0)),'Map 3'!$AJ$4:$AJ$6,0),MATCH(IF('Map 2 Do Touch'!AN26&gt;4,"Water","Land"),'Map 3'!$AK$3:$AL$3,0))))</f>
        <v>Trench</v>
      </c>
      <c r="AO31" s="87" t="str">
        <f ca="1">IF('Map 2 Do Touch'!AN26&lt;&gt;'Map 2 Do Touch'!AN27,IF('Map 2 Do Touch'!AO27&gt;4,INDEX($AG$4:$AH$6,MATCH(INDEX($I$3:$L$6,MATCH(MOD('Map 2 Do Touch'!AN27,4),$H$3:$H$6,0),MATCH(MOD('Map 2 Do Touch'!AO27,4),$I$2:$L$2,0)),$AF$4:$AF$6,0),MATCH(IF('Map 2 Do Touch'!AN27&gt;4,"Water","Land"),'Map 3'!$AG$3:$AH$3,0)),INDEX($AK$4:$AL$6,MATCH(INDEX($I$3:$L$6,MATCH(MOD('Map 2 Do Touch'!AN27,4),$H$3:$H$6,0),MATCH(MOD('Map 2 Do Touch'!AO27,4),$I$2:$L$2,0)),'Map 3'!$AJ$4:$AJ$6,0),MATCH(IF('Map 2 Do Touch'!AN27&gt;4,"Water","Land"),'Map 3'!$AK$3:$AL$3,0))),IF('Map 2 Do Touch'!AO27&gt;4,INDEX($AG$4:$AH$6,MATCH(INDEX($P$3:$S$6,MATCH(MOD('Map 2 Do Touch'!AO26,4),$O$3:$O$6,0),MATCH(MOD('Map 2 Do Touch'!AO27,4),$P$2:$S$2,0)),$AF$4:$AF$6,0),MATCH(IF('Map 2 Do Touch'!AO26&gt;4,"Water","Land"),'Map 3'!$AG$3:$AH$3,0)),INDEX($AK$4:$AL$6,MATCH(INDEX($P$3:$S$6,MATCH(MOD('Map 2 Do Touch'!AO26,4),$O$3:$O$6,0),MATCH(MOD('Map 2 Do Touch'!AO27,4),$P$2:$S$2,0)),'Map 3'!$AJ$4:$AJ$6,0),MATCH(IF('Map 2 Do Touch'!AO26&gt;4,"Water","Land"),'Map 3'!$AK$3:$AL$3,0))))</f>
        <v>Drop Off</v>
      </c>
      <c r="AP31" s="3"/>
    </row>
    <row r="32" spans="1:42" ht="37.5" customHeight="1">
      <c r="A32" s="3">
        <v>21</v>
      </c>
      <c r="B32" s="86" t="str">
        <f ca="1">IF('Map 2 Do Touch'!B27&lt;&gt;'Map 2 Do Touch'!B28,IF('Map 2 Do Touch'!B28&gt;4,INDEX($AG$4:$AH$6,MATCH(INDEX($I$3:$L$6,MATCH(MOD('Map 2 Do Touch'!AO28,4),$H$3:$H$6,0),MATCH(MOD('Map 2 Do Touch'!B28,4),$I$2:$L$2,0)),$AF$4:$AF$6,0),MATCH(IF('Map 2 Do Touch'!AO28&gt;4,"Water","Land"),'Map 3'!$AG$3:$AH$3,0)),INDEX($AK$4:$AL$6,MATCH(INDEX($I$3:$L$6,MATCH(MOD('Map 2 Do Touch'!A28,4),$H$3:$H$6,0),MATCH(MOD('Map 2 Do Touch'!B28,4),$I$2:$L$2,0)),'Map 3'!$AJ$4:$AJ$6,0),MATCH(IF('Map 2 Do Touch'!AO28&gt;4,"Water","Land"),'Map 3'!$AK$3:$AL$3,0))),IF('Map 2 Do Touch'!B28&gt;4,INDEX($AG$4:$AH$6,MATCH(INDEX($P$3:$S$6,MATCH(MOD('Map 2 Do Touch'!B27,4),$O$3:$O$6,0),MATCH(MOD('Map 2 Do Touch'!B28,4),$P$2:$S$2,0)),$AF$4:$AF$6,0),MATCH(IF('Map 2 Do Touch'!B27&gt;4,"Water","Land"),'Map 3'!$AG$3:$AH$3,0)),INDEX($AK$4:$AL$6,MATCH(INDEX($P$3:$S$6,MATCH(MOD('Map 2 Do Touch'!B27,4),$O$3:$O$6,0),MATCH(MOD('Map 2 Do Touch'!B28,4),$P$2:$S$2,0)),'Map 3'!$AJ$4:$AJ$6,0),MATCH(IF('Map 2 Do Touch'!B27&gt;4,"Water","Land"),'Map 3'!$AK$3:$AL$3,0))))</f>
        <v>Coast</v>
      </c>
      <c r="C32" s="3" t="str">
        <f ca="1">IF('Map 2 Do Touch'!B27&lt;&gt;'Map 2 Do Touch'!B28,IF('Map 2 Do Touch'!C28&gt;4,INDEX($AG$4:$AH$6,MATCH(INDEX($I$3:$L$6,MATCH(MOD('Map 2 Do Touch'!B28,4),$H$3:$H$6,0),MATCH(MOD('Map 2 Do Touch'!C28,4),$I$2:$L$2,0)),$AF$4:$AF$6,0),MATCH(IF('Map 2 Do Touch'!B28&gt;4,"Water","Land"),'Map 3'!$AG$3:$AH$3,0)),INDEX($AK$4:$AL$6,MATCH(INDEX($I$3:$L$6,MATCH(MOD('Map 2 Do Touch'!B28,4),$H$3:$H$6,0),MATCH(MOD('Map 2 Do Touch'!C28,4),$I$2:$L$2,0)),'Map 3'!$AJ$4:$AJ$6,0),MATCH(IF('Map 2 Do Touch'!B28&gt;4,"Water","Land"),'Map 3'!$AK$3:$AL$3,0))),IF('Map 2 Do Touch'!C28&gt;4,INDEX($AG$4:$AH$6,MATCH(INDEX($P$3:$S$6,MATCH(MOD('Map 2 Do Touch'!C27,4),$O$3:$O$6,0),MATCH(MOD('Map 2 Do Touch'!C28,4),$P$2:$S$2,0)),$AF$4:$AF$6,0),MATCH(IF('Map 2 Do Touch'!C27&gt;4,"Water","Land"),'Map 3'!$AG$3:$AH$3,0)),INDEX($AK$4:$AL$6,MATCH(INDEX($P$3:$S$6,MATCH(MOD('Map 2 Do Touch'!C27,4),$O$3:$O$6,0),MATCH(MOD('Map 2 Do Touch'!C28,4),$P$2:$S$2,0)),'Map 3'!$AJ$4:$AJ$6,0),MATCH(IF('Map 2 Do Touch'!C27&gt;4,"Water","Land"),'Map 3'!$AK$3:$AL$3,0))))</f>
        <v>Flatland</v>
      </c>
      <c r="D32" s="3" t="str">
        <f ca="1">IF('Map 2 Do Touch'!C27&lt;&gt;'Map 2 Do Touch'!C28,IF('Map 2 Do Touch'!D28&gt;4,INDEX($AG$4:$AH$6,MATCH(INDEX($I$3:$L$6,MATCH(MOD('Map 2 Do Touch'!C28,4),$H$3:$H$6,0),MATCH(MOD('Map 2 Do Touch'!D28,4),$I$2:$L$2,0)),$AF$4:$AF$6,0),MATCH(IF('Map 2 Do Touch'!C28&gt;4,"Water","Land"),'Map 3'!$AG$3:$AH$3,0)),INDEX($AK$4:$AL$6,MATCH(INDEX($I$3:$L$6,MATCH(MOD('Map 2 Do Touch'!C28,4),$H$3:$H$6,0),MATCH(MOD('Map 2 Do Touch'!D28,4),$I$2:$L$2,0)),'Map 3'!$AJ$4:$AJ$6,0),MATCH(IF('Map 2 Do Touch'!C28&gt;4,"Water","Land"),'Map 3'!$AK$3:$AL$3,0))),IF('Map 2 Do Touch'!D28&gt;4,INDEX($AG$4:$AH$6,MATCH(INDEX($P$3:$S$6,MATCH(MOD('Map 2 Do Touch'!D27,4),$O$3:$O$6,0),MATCH(MOD('Map 2 Do Touch'!D28,4),$P$2:$S$2,0)),$AF$4:$AF$6,0),MATCH(IF('Map 2 Do Touch'!D27&gt;4,"Water","Land"),'Map 3'!$AG$3:$AH$3,0)),INDEX($AK$4:$AL$6,MATCH(INDEX($P$3:$S$6,MATCH(MOD('Map 2 Do Touch'!D27,4),$O$3:$O$6,0),MATCH(MOD('Map 2 Do Touch'!D28,4),$P$2:$S$2,0)),'Map 3'!$AJ$4:$AJ$6,0),MATCH(IF('Map 2 Do Touch'!D27&gt;4,"Water","Land"),'Map 3'!$AK$3:$AL$3,0))))</f>
        <v>Mountain</v>
      </c>
      <c r="E32" s="3" t="str">
        <f ca="1">IF('Map 2 Do Touch'!D27&lt;&gt;'Map 2 Do Touch'!D28,IF('Map 2 Do Touch'!E28&gt;4,INDEX($AG$4:$AH$6,MATCH(INDEX($I$3:$L$6,MATCH(MOD('Map 2 Do Touch'!D28,4),$H$3:$H$6,0),MATCH(MOD('Map 2 Do Touch'!E28,4),$I$2:$L$2,0)),$AF$4:$AF$6,0),MATCH(IF('Map 2 Do Touch'!D28&gt;4,"Water","Land"),'Map 3'!$AG$3:$AH$3,0)),INDEX($AK$4:$AL$6,MATCH(INDEX($I$3:$L$6,MATCH(MOD('Map 2 Do Touch'!D28,4),$H$3:$H$6,0),MATCH(MOD('Map 2 Do Touch'!E28,4),$I$2:$L$2,0)),'Map 3'!$AJ$4:$AJ$6,0),MATCH(IF('Map 2 Do Touch'!D28&gt;4,"Water","Land"),'Map 3'!$AK$3:$AL$3,0))),IF('Map 2 Do Touch'!E28&gt;4,INDEX($AG$4:$AH$6,MATCH(INDEX($P$3:$S$6,MATCH(MOD('Map 2 Do Touch'!E27,4),$O$3:$O$6,0),MATCH(MOD('Map 2 Do Touch'!E28,4),$P$2:$S$2,0)),$AF$4:$AF$6,0),MATCH(IF('Map 2 Do Touch'!E27&gt;4,"Water","Land"),'Map 3'!$AG$3:$AH$3,0)),INDEX($AK$4:$AL$6,MATCH(INDEX($P$3:$S$6,MATCH(MOD('Map 2 Do Touch'!E27,4),$O$3:$O$6,0),MATCH(MOD('Map 2 Do Touch'!E28,4),$P$2:$S$2,0)),'Map 3'!$AJ$4:$AJ$6,0),MATCH(IF('Map 2 Do Touch'!E27&gt;4,"Water","Land"),'Map 3'!$AK$3:$AL$3,0))))</f>
        <v>Flatland</v>
      </c>
      <c r="F32" s="3" t="str">
        <f ca="1">IF('Map 2 Do Touch'!E27&lt;&gt;'Map 2 Do Touch'!E28,IF('Map 2 Do Touch'!F28&gt;4,INDEX($AG$4:$AH$6,MATCH(INDEX($I$3:$L$6,MATCH(MOD('Map 2 Do Touch'!E28,4),$H$3:$H$6,0),MATCH(MOD('Map 2 Do Touch'!F28,4),$I$2:$L$2,0)),$AF$4:$AF$6,0),MATCH(IF('Map 2 Do Touch'!E28&gt;4,"Water","Land"),'Map 3'!$AG$3:$AH$3,0)),INDEX($AK$4:$AL$6,MATCH(INDEX($I$3:$L$6,MATCH(MOD('Map 2 Do Touch'!E28,4),$H$3:$H$6,0),MATCH(MOD('Map 2 Do Touch'!F28,4),$I$2:$L$2,0)),'Map 3'!$AJ$4:$AJ$6,0),MATCH(IF('Map 2 Do Touch'!E28&gt;4,"Water","Land"),'Map 3'!$AK$3:$AL$3,0))),IF('Map 2 Do Touch'!F28&gt;4,INDEX($AG$4:$AH$6,MATCH(INDEX($P$3:$S$6,MATCH(MOD('Map 2 Do Touch'!F27,4),$O$3:$O$6,0),MATCH(MOD('Map 2 Do Touch'!F28,4),$P$2:$S$2,0)),$AF$4:$AF$6,0),MATCH(IF('Map 2 Do Touch'!F27&gt;4,"Water","Land"),'Map 3'!$AG$3:$AH$3,0)),INDEX($AK$4:$AL$6,MATCH(INDEX($P$3:$S$6,MATCH(MOD('Map 2 Do Touch'!F27,4),$O$3:$O$6,0),MATCH(MOD('Map 2 Do Touch'!F28,4),$P$2:$S$2,0)),'Map 3'!$AJ$4:$AJ$6,0),MATCH(IF('Map 2 Do Touch'!F27&gt;4,"Water","Land"),'Map 3'!$AK$3:$AL$3,0))))</f>
        <v>Flatland</v>
      </c>
      <c r="G32" s="3" t="str">
        <f ca="1">IF('Map 2 Do Touch'!F27&lt;&gt;'Map 2 Do Touch'!F28,IF('Map 2 Do Touch'!G28&gt;4,INDEX($AG$4:$AH$6,MATCH(INDEX($I$3:$L$6,MATCH(MOD('Map 2 Do Touch'!F28,4),$H$3:$H$6,0),MATCH(MOD('Map 2 Do Touch'!G28,4),$I$2:$L$2,0)),$AF$4:$AF$6,0),MATCH(IF('Map 2 Do Touch'!F28&gt;4,"Water","Land"),'Map 3'!$AG$3:$AH$3,0)),INDEX($AK$4:$AL$6,MATCH(INDEX($I$3:$L$6,MATCH(MOD('Map 2 Do Touch'!F28,4),$H$3:$H$6,0),MATCH(MOD('Map 2 Do Touch'!G28,4),$I$2:$L$2,0)),'Map 3'!$AJ$4:$AJ$6,0),MATCH(IF('Map 2 Do Touch'!F28&gt;4,"Water","Land"),'Map 3'!$AK$3:$AL$3,0))),IF('Map 2 Do Touch'!G28&gt;4,INDEX($AG$4:$AH$6,MATCH(INDEX($P$3:$S$6,MATCH(MOD('Map 2 Do Touch'!G27,4),$O$3:$O$6,0),MATCH(MOD('Map 2 Do Touch'!G28,4),$P$2:$S$2,0)),$AF$4:$AF$6,0),MATCH(IF('Map 2 Do Touch'!G27&gt;4,"Water","Land"),'Map 3'!$AG$3:$AH$3,0)),INDEX($AK$4:$AL$6,MATCH(INDEX($P$3:$S$6,MATCH(MOD('Map 2 Do Touch'!G27,4),$O$3:$O$6,0),MATCH(MOD('Map 2 Do Touch'!G28,4),$P$2:$S$2,0)),'Map 3'!$AJ$4:$AJ$6,0),MATCH(IF('Map 2 Do Touch'!G27&gt;4,"Water","Land"),'Map 3'!$AK$3:$AL$3,0))))</f>
        <v>Flatland</v>
      </c>
      <c r="H32" s="3" t="str">
        <f ca="1">IF('Map 2 Do Touch'!G27&lt;&gt;'Map 2 Do Touch'!G28,IF('Map 2 Do Touch'!H28&gt;4,INDEX($AG$4:$AH$6,MATCH(INDEX($I$3:$L$6,MATCH(MOD('Map 2 Do Touch'!G28,4),$H$3:$H$6,0),MATCH(MOD('Map 2 Do Touch'!H28,4),$I$2:$L$2,0)),$AF$4:$AF$6,0),MATCH(IF('Map 2 Do Touch'!G28&gt;4,"Water","Land"),'Map 3'!$AG$3:$AH$3,0)),INDEX($AK$4:$AL$6,MATCH(INDEX($I$3:$L$6,MATCH(MOD('Map 2 Do Touch'!G28,4),$H$3:$H$6,0),MATCH(MOD('Map 2 Do Touch'!H28,4),$I$2:$L$2,0)),'Map 3'!$AJ$4:$AJ$6,0),MATCH(IF('Map 2 Do Touch'!G28&gt;4,"Water","Land"),'Map 3'!$AK$3:$AL$3,0))),IF('Map 2 Do Touch'!H28&gt;4,INDEX($AG$4:$AH$6,MATCH(INDEX($P$3:$S$6,MATCH(MOD('Map 2 Do Touch'!H27,4),$O$3:$O$6,0),MATCH(MOD('Map 2 Do Touch'!H28,4),$P$2:$S$2,0)),$AF$4:$AF$6,0),MATCH(IF('Map 2 Do Touch'!H27&gt;4,"Water","Land"),'Map 3'!$AG$3:$AH$3,0)),INDEX($AK$4:$AL$6,MATCH(INDEX($P$3:$S$6,MATCH(MOD('Map 2 Do Touch'!H27,4),$O$3:$O$6,0),MATCH(MOD('Map 2 Do Touch'!H28,4),$P$2:$S$2,0)),'Map 3'!$AJ$4:$AJ$6,0),MATCH(IF('Map 2 Do Touch'!H27&gt;4,"Water","Land"),'Map 3'!$AK$3:$AL$3,0))))</f>
        <v>Flatland</v>
      </c>
      <c r="I32" s="3" t="str">
        <f ca="1">IF('Map 2 Do Touch'!H27&lt;&gt;'Map 2 Do Touch'!H28,IF('Map 2 Do Touch'!I28&gt;4,INDEX($AG$4:$AH$6,MATCH(INDEX($I$3:$L$6,MATCH(MOD('Map 2 Do Touch'!H28,4),$H$3:$H$6,0),MATCH(MOD('Map 2 Do Touch'!I28,4),$I$2:$L$2,0)),$AF$4:$AF$6,0),MATCH(IF('Map 2 Do Touch'!H28&gt;4,"Water","Land"),'Map 3'!$AG$3:$AH$3,0)),INDEX($AK$4:$AL$6,MATCH(INDEX($I$3:$L$6,MATCH(MOD('Map 2 Do Touch'!H28,4),$H$3:$H$6,0),MATCH(MOD('Map 2 Do Touch'!I28,4),$I$2:$L$2,0)),'Map 3'!$AJ$4:$AJ$6,0),MATCH(IF('Map 2 Do Touch'!H28&gt;4,"Water","Land"),'Map 3'!$AK$3:$AL$3,0))),IF('Map 2 Do Touch'!I28&gt;4,INDEX($AG$4:$AH$6,MATCH(INDEX($P$3:$S$6,MATCH(MOD('Map 2 Do Touch'!I27,4),$O$3:$O$6,0),MATCH(MOD('Map 2 Do Touch'!I28,4),$P$2:$S$2,0)),$AF$4:$AF$6,0),MATCH(IF('Map 2 Do Touch'!I27&gt;4,"Water","Land"),'Map 3'!$AG$3:$AH$3,0)),INDEX($AK$4:$AL$6,MATCH(INDEX($P$3:$S$6,MATCH(MOD('Map 2 Do Touch'!I27,4),$O$3:$O$6,0),MATCH(MOD('Map 2 Do Touch'!I28,4),$P$2:$S$2,0)),'Map 3'!$AJ$4:$AJ$6,0),MATCH(IF('Map 2 Do Touch'!I27&gt;4,"Water","Land"),'Map 3'!$AK$3:$AL$3,0))))</f>
        <v>Coast</v>
      </c>
      <c r="J32" s="3" t="str">
        <f ca="1">IF('Map 2 Do Touch'!I27&lt;&gt;'Map 2 Do Touch'!I28,IF('Map 2 Do Touch'!J28&gt;4,INDEX($AG$4:$AH$6,MATCH(INDEX($I$3:$L$6,MATCH(MOD('Map 2 Do Touch'!I28,4),$H$3:$H$6,0),MATCH(MOD('Map 2 Do Touch'!J28,4),$I$2:$L$2,0)),$AF$4:$AF$6,0),MATCH(IF('Map 2 Do Touch'!I28&gt;4,"Water","Land"),'Map 3'!$AG$3:$AH$3,0)),INDEX($AK$4:$AL$6,MATCH(INDEX($I$3:$L$6,MATCH(MOD('Map 2 Do Touch'!I28,4),$H$3:$H$6,0),MATCH(MOD('Map 2 Do Touch'!J28,4),$I$2:$L$2,0)),'Map 3'!$AJ$4:$AJ$6,0),MATCH(IF('Map 2 Do Touch'!I28&gt;4,"Water","Land"),'Map 3'!$AK$3:$AL$3,0))),IF('Map 2 Do Touch'!J28&gt;4,INDEX($AG$4:$AH$6,MATCH(INDEX($P$3:$S$6,MATCH(MOD('Map 2 Do Touch'!J27,4),$O$3:$O$6,0),MATCH(MOD('Map 2 Do Touch'!J28,4),$P$2:$S$2,0)),$AF$4:$AF$6,0),MATCH(IF('Map 2 Do Touch'!J27&gt;4,"Water","Land"),'Map 3'!$AG$3:$AH$3,0)),INDEX($AK$4:$AL$6,MATCH(INDEX($P$3:$S$6,MATCH(MOD('Map 2 Do Touch'!J27,4),$O$3:$O$6,0),MATCH(MOD('Map 2 Do Touch'!J28,4),$P$2:$S$2,0)),'Map 3'!$AJ$4:$AJ$6,0),MATCH(IF('Map 2 Do Touch'!J27&gt;4,"Water","Land"),'Map 3'!$AK$3:$AL$3,0))))</f>
        <v>Flatland</v>
      </c>
      <c r="K32" s="3" t="str">
        <f ca="1">IF('Map 2 Do Touch'!J27&lt;&gt;'Map 2 Do Touch'!J28,IF('Map 2 Do Touch'!K28&gt;4,INDEX($AG$4:$AH$6,MATCH(INDEX($I$3:$L$6,MATCH(MOD('Map 2 Do Touch'!J28,4),$H$3:$H$6,0),MATCH(MOD('Map 2 Do Touch'!K28,4),$I$2:$L$2,0)),$AF$4:$AF$6,0),MATCH(IF('Map 2 Do Touch'!J28&gt;4,"Water","Land"),'Map 3'!$AG$3:$AH$3,0)),INDEX($AK$4:$AL$6,MATCH(INDEX($I$3:$L$6,MATCH(MOD('Map 2 Do Touch'!J28,4),$H$3:$H$6,0),MATCH(MOD('Map 2 Do Touch'!K28,4),$I$2:$L$2,0)),'Map 3'!$AJ$4:$AJ$6,0),MATCH(IF('Map 2 Do Touch'!J28&gt;4,"Water","Land"),'Map 3'!$AK$3:$AL$3,0))),IF('Map 2 Do Touch'!K28&gt;4,INDEX($AG$4:$AH$6,MATCH(INDEX($P$3:$S$6,MATCH(MOD('Map 2 Do Touch'!K27,4),$O$3:$O$6,0),MATCH(MOD('Map 2 Do Touch'!K28,4),$P$2:$S$2,0)),$AF$4:$AF$6,0),MATCH(IF('Map 2 Do Touch'!K27&gt;4,"Water","Land"),'Map 3'!$AG$3:$AH$3,0)),INDEX($AK$4:$AL$6,MATCH(INDEX($P$3:$S$6,MATCH(MOD('Map 2 Do Touch'!K27,4),$O$3:$O$6,0),MATCH(MOD('Map 2 Do Touch'!K28,4),$P$2:$S$2,0)),'Map 3'!$AJ$4:$AJ$6,0),MATCH(IF('Map 2 Do Touch'!K27&gt;4,"Water","Land"),'Map 3'!$AK$3:$AL$3,0))))</f>
        <v>Trench</v>
      </c>
      <c r="L32" s="3" t="str">
        <f ca="1">IF('Map 2 Do Touch'!K27&lt;&gt;'Map 2 Do Touch'!K28,IF('Map 2 Do Touch'!L28&gt;4,INDEX($AG$4:$AH$6,MATCH(INDEX($I$3:$L$6,MATCH(MOD('Map 2 Do Touch'!K28,4),$H$3:$H$6,0),MATCH(MOD('Map 2 Do Touch'!L28,4),$I$2:$L$2,0)),$AF$4:$AF$6,0),MATCH(IF('Map 2 Do Touch'!K28&gt;4,"Water","Land"),'Map 3'!$AG$3:$AH$3,0)),INDEX($AK$4:$AL$6,MATCH(INDEX($I$3:$L$6,MATCH(MOD('Map 2 Do Touch'!K28,4),$H$3:$H$6,0),MATCH(MOD('Map 2 Do Touch'!L28,4),$I$2:$L$2,0)),'Map 3'!$AJ$4:$AJ$6,0),MATCH(IF('Map 2 Do Touch'!K28&gt;4,"Water","Land"),'Map 3'!$AK$3:$AL$3,0))),IF('Map 2 Do Touch'!L28&gt;4,INDEX($AG$4:$AH$6,MATCH(INDEX($P$3:$S$6,MATCH(MOD('Map 2 Do Touch'!L27,4),$O$3:$O$6,0),MATCH(MOD('Map 2 Do Touch'!L28,4),$P$2:$S$2,0)),$AF$4:$AF$6,0),MATCH(IF('Map 2 Do Touch'!L27&gt;4,"Water","Land"),'Map 3'!$AG$3:$AH$3,0)),INDEX($AK$4:$AL$6,MATCH(INDEX($P$3:$S$6,MATCH(MOD('Map 2 Do Touch'!L27,4),$O$3:$O$6,0),MATCH(MOD('Map 2 Do Touch'!L28,4),$P$2:$S$2,0)),'Map 3'!$AJ$4:$AJ$6,0),MATCH(IF('Map 2 Do Touch'!L27&gt;4,"Water","Land"),'Map 3'!$AK$3:$AL$3,0))))</f>
        <v>Ocean</v>
      </c>
      <c r="M32" s="3" t="str">
        <f ca="1">IF('Map 2 Do Touch'!L27&lt;&gt;'Map 2 Do Touch'!L28,IF('Map 2 Do Touch'!M28&gt;4,INDEX($AG$4:$AH$6,MATCH(INDEX($I$3:$L$6,MATCH(MOD('Map 2 Do Touch'!L28,4),$H$3:$H$6,0),MATCH(MOD('Map 2 Do Touch'!M28,4),$I$2:$L$2,0)),$AF$4:$AF$6,0),MATCH(IF('Map 2 Do Touch'!L28&gt;4,"Water","Land"),'Map 3'!$AG$3:$AH$3,0)),INDEX($AK$4:$AL$6,MATCH(INDEX($I$3:$L$6,MATCH(MOD('Map 2 Do Touch'!L28,4),$H$3:$H$6,0),MATCH(MOD('Map 2 Do Touch'!M28,4),$I$2:$L$2,0)),'Map 3'!$AJ$4:$AJ$6,0),MATCH(IF('Map 2 Do Touch'!L28&gt;4,"Water","Land"),'Map 3'!$AK$3:$AL$3,0))),IF('Map 2 Do Touch'!M28&gt;4,INDEX($AG$4:$AH$6,MATCH(INDEX($P$3:$S$6,MATCH(MOD('Map 2 Do Touch'!M27,4),$O$3:$O$6,0),MATCH(MOD('Map 2 Do Touch'!M28,4),$P$2:$S$2,0)),$AF$4:$AF$6,0),MATCH(IF('Map 2 Do Touch'!M27&gt;4,"Water","Land"),'Map 3'!$AG$3:$AH$3,0)),INDEX($AK$4:$AL$6,MATCH(INDEX($P$3:$S$6,MATCH(MOD('Map 2 Do Touch'!M27,4),$O$3:$O$6,0),MATCH(MOD('Map 2 Do Touch'!M28,4),$P$2:$S$2,0)),'Map 3'!$AJ$4:$AJ$6,0),MATCH(IF('Map 2 Do Touch'!M27&gt;4,"Water","Land"),'Map 3'!$AK$3:$AL$3,0))))</f>
        <v>Ocean</v>
      </c>
      <c r="N32" s="3" t="str">
        <f ca="1">IF('Map 2 Do Touch'!M27&lt;&gt;'Map 2 Do Touch'!M28,IF('Map 2 Do Touch'!N28&gt;4,INDEX($AG$4:$AH$6,MATCH(INDEX($I$3:$L$6,MATCH(MOD('Map 2 Do Touch'!M28,4),$H$3:$H$6,0),MATCH(MOD('Map 2 Do Touch'!N28,4),$I$2:$L$2,0)),$AF$4:$AF$6,0),MATCH(IF('Map 2 Do Touch'!M28&gt;4,"Water","Land"),'Map 3'!$AG$3:$AH$3,0)),INDEX($AK$4:$AL$6,MATCH(INDEX($I$3:$L$6,MATCH(MOD('Map 2 Do Touch'!M28,4),$H$3:$H$6,0),MATCH(MOD('Map 2 Do Touch'!N28,4),$I$2:$L$2,0)),'Map 3'!$AJ$4:$AJ$6,0),MATCH(IF('Map 2 Do Touch'!M28&gt;4,"Water","Land"),'Map 3'!$AK$3:$AL$3,0))),IF('Map 2 Do Touch'!N28&gt;4,INDEX($AG$4:$AH$6,MATCH(INDEX($P$3:$S$6,MATCH(MOD('Map 2 Do Touch'!N27,4),$O$3:$O$6,0),MATCH(MOD('Map 2 Do Touch'!N28,4),$P$2:$S$2,0)),$AF$4:$AF$6,0),MATCH(IF('Map 2 Do Touch'!N27&gt;4,"Water","Land"),'Map 3'!$AG$3:$AH$3,0)),INDEX($AK$4:$AL$6,MATCH(INDEX($P$3:$S$6,MATCH(MOD('Map 2 Do Touch'!N27,4),$O$3:$O$6,0),MATCH(MOD('Map 2 Do Touch'!N28,4),$P$2:$S$2,0)),'Map 3'!$AJ$4:$AJ$6,0),MATCH(IF('Map 2 Do Touch'!N27&gt;4,"Water","Land"),'Map 3'!$AK$3:$AL$3,0))))</f>
        <v>Ocean</v>
      </c>
      <c r="O32" s="3" t="str">
        <f ca="1">IF('Map 2 Do Touch'!N27&lt;&gt;'Map 2 Do Touch'!N28,IF('Map 2 Do Touch'!O28&gt;4,INDEX($AG$4:$AH$6,MATCH(INDEX($I$3:$L$6,MATCH(MOD('Map 2 Do Touch'!N28,4),$H$3:$H$6,0),MATCH(MOD('Map 2 Do Touch'!O28,4),$I$2:$L$2,0)),$AF$4:$AF$6,0),MATCH(IF('Map 2 Do Touch'!N28&gt;4,"Water","Land"),'Map 3'!$AG$3:$AH$3,0)),INDEX($AK$4:$AL$6,MATCH(INDEX($I$3:$L$6,MATCH(MOD('Map 2 Do Touch'!N28,4),$H$3:$H$6,0),MATCH(MOD('Map 2 Do Touch'!O28,4),$I$2:$L$2,0)),'Map 3'!$AJ$4:$AJ$6,0),MATCH(IF('Map 2 Do Touch'!N28&gt;4,"Water","Land"),'Map 3'!$AK$3:$AL$3,0))),IF('Map 2 Do Touch'!O28&gt;4,INDEX($AG$4:$AH$6,MATCH(INDEX($P$3:$S$6,MATCH(MOD('Map 2 Do Touch'!O27,4),$O$3:$O$6,0),MATCH(MOD('Map 2 Do Touch'!O28,4),$P$2:$S$2,0)),$AF$4:$AF$6,0),MATCH(IF('Map 2 Do Touch'!O27&gt;4,"Water","Land"),'Map 3'!$AG$3:$AH$3,0)),INDEX($AK$4:$AL$6,MATCH(INDEX($P$3:$S$6,MATCH(MOD('Map 2 Do Touch'!O27,4),$O$3:$O$6,0),MATCH(MOD('Map 2 Do Touch'!O28,4),$P$2:$S$2,0)),'Map 3'!$AJ$4:$AJ$6,0),MATCH(IF('Map 2 Do Touch'!O27&gt;4,"Water","Land"),'Map 3'!$AK$3:$AL$3,0))))</f>
        <v>Ocean</v>
      </c>
      <c r="P32" s="3" t="str">
        <f ca="1">IF('Map 2 Do Touch'!O27&lt;&gt;'Map 2 Do Touch'!O28,IF('Map 2 Do Touch'!P28&gt;4,INDEX($AG$4:$AH$6,MATCH(INDEX($I$3:$L$6,MATCH(MOD('Map 2 Do Touch'!O28,4),$H$3:$H$6,0),MATCH(MOD('Map 2 Do Touch'!P28,4),$I$2:$L$2,0)),$AF$4:$AF$6,0),MATCH(IF('Map 2 Do Touch'!O28&gt;4,"Water","Land"),'Map 3'!$AG$3:$AH$3,0)),INDEX($AK$4:$AL$6,MATCH(INDEX($I$3:$L$6,MATCH(MOD('Map 2 Do Touch'!O28,4),$H$3:$H$6,0),MATCH(MOD('Map 2 Do Touch'!P28,4),$I$2:$L$2,0)),'Map 3'!$AJ$4:$AJ$6,0),MATCH(IF('Map 2 Do Touch'!O28&gt;4,"Water","Land"),'Map 3'!$AK$3:$AL$3,0))),IF('Map 2 Do Touch'!P28&gt;4,INDEX($AG$4:$AH$6,MATCH(INDEX($P$3:$S$6,MATCH(MOD('Map 2 Do Touch'!P27,4),$O$3:$O$6,0),MATCH(MOD('Map 2 Do Touch'!P28,4),$P$2:$S$2,0)),$AF$4:$AF$6,0),MATCH(IF('Map 2 Do Touch'!P27&gt;4,"Water","Land"),'Map 3'!$AG$3:$AH$3,0)),INDEX($AK$4:$AL$6,MATCH(INDEX($P$3:$S$6,MATCH(MOD('Map 2 Do Touch'!P27,4),$O$3:$O$6,0),MATCH(MOD('Map 2 Do Touch'!P28,4),$P$2:$S$2,0)),'Map 3'!$AJ$4:$AJ$6,0),MATCH(IF('Map 2 Do Touch'!P27&gt;4,"Water","Land"),'Map 3'!$AK$3:$AL$3,0))))</f>
        <v>Ocean</v>
      </c>
      <c r="Q32" s="3" t="str">
        <f ca="1">IF('Map 2 Do Touch'!P27&lt;&gt;'Map 2 Do Touch'!P28,IF('Map 2 Do Touch'!Q28&gt;4,INDEX($AG$4:$AH$6,MATCH(INDEX($I$3:$L$6,MATCH(MOD('Map 2 Do Touch'!P28,4),$H$3:$H$6,0),MATCH(MOD('Map 2 Do Touch'!Q28,4),$I$2:$L$2,0)),$AF$4:$AF$6,0),MATCH(IF('Map 2 Do Touch'!P28&gt;4,"Water","Land"),'Map 3'!$AG$3:$AH$3,0)),INDEX($AK$4:$AL$6,MATCH(INDEX($I$3:$L$6,MATCH(MOD('Map 2 Do Touch'!P28,4),$H$3:$H$6,0),MATCH(MOD('Map 2 Do Touch'!Q28,4),$I$2:$L$2,0)),'Map 3'!$AJ$4:$AJ$6,0),MATCH(IF('Map 2 Do Touch'!P28&gt;4,"Water","Land"),'Map 3'!$AK$3:$AL$3,0))),IF('Map 2 Do Touch'!Q28&gt;4,INDEX($AG$4:$AH$6,MATCH(INDEX($P$3:$S$6,MATCH(MOD('Map 2 Do Touch'!Q27,4),$O$3:$O$6,0),MATCH(MOD('Map 2 Do Touch'!Q28,4),$P$2:$S$2,0)),$AF$4:$AF$6,0),MATCH(IF('Map 2 Do Touch'!Q27&gt;4,"Water","Land"),'Map 3'!$AG$3:$AH$3,0)),INDEX($AK$4:$AL$6,MATCH(INDEX($P$3:$S$6,MATCH(MOD('Map 2 Do Touch'!Q27,4),$O$3:$O$6,0),MATCH(MOD('Map 2 Do Touch'!Q28,4),$P$2:$S$2,0)),'Map 3'!$AJ$4:$AJ$6,0),MATCH(IF('Map 2 Do Touch'!Q27&gt;4,"Water","Land"),'Map 3'!$AK$3:$AL$3,0))))</f>
        <v>Ocean</v>
      </c>
      <c r="R32" s="3" t="str">
        <f ca="1">IF('Map 2 Do Touch'!Q27&lt;&gt;'Map 2 Do Touch'!Q28,IF('Map 2 Do Touch'!R28&gt;4,INDEX($AG$4:$AH$6,MATCH(INDEX($I$3:$L$6,MATCH(MOD('Map 2 Do Touch'!Q28,4),$H$3:$H$6,0),MATCH(MOD('Map 2 Do Touch'!R28,4),$I$2:$L$2,0)),$AF$4:$AF$6,0),MATCH(IF('Map 2 Do Touch'!Q28&gt;4,"Water","Land"),'Map 3'!$AG$3:$AH$3,0)),INDEX($AK$4:$AL$6,MATCH(INDEX($I$3:$L$6,MATCH(MOD('Map 2 Do Touch'!Q28,4),$H$3:$H$6,0),MATCH(MOD('Map 2 Do Touch'!R28,4),$I$2:$L$2,0)),'Map 3'!$AJ$4:$AJ$6,0),MATCH(IF('Map 2 Do Touch'!Q28&gt;4,"Water","Land"),'Map 3'!$AK$3:$AL$3,0))),IF('Map 2 Do Touch'!R28&gt;4,INDEX($AG$4:$AH$6,MATCH(INDEX($P$3:$S$6,MATCH(MOD('Map 2 Do Touch'!R27,4),$O$3:$O$6,0),MATCH(MOD('Map 2 Do Touch'!R28,4),$P$2:$S$2,0)),$AF$4:$AF$6,0),MATCH(IF('Map 2 Do Touch'!R27&gt;4,"Water","Land"),'Map 3'!$AG$3:$AH$3,0)),INDEX($AK$4:$AL$6,MATCH(INDEX($P$3:$S$6,MATCH(MOD('Map 2 Do Touch'!R27,4),$O$3:$O$6,0),MATCH(MOD('Map 2 Do Touch'!R28,4),$P$2:$S$2,0)),'Map 3'!$AJ$4:$AJ$6,0),MATCH(IF('Map 2 Do Touch'!R27&gt;4,"Water","Land"),'Map 3'!$AK$3:$AL$3,0))))</f>
        <v>Ocean</v>
      </c>
      <c r="S32" s="3" t="str">
        <f ca="1">IF('Map 2 Do Touch'!R27&lt;&gt;'Map 2 Do Touch'!R28,IF('Map 2 Do Touch'!S28&gt;4,INDEX($AG$4:$AH$6,MATCH(INDEX($I$3:$L$6,MATCH(MOD('Map 2 Do Touch'!R28,4),$H$3:$H$6,0),MATCH(MOD('Map 2 Do Touch'!S28,4),$I$2:$L$2,0)),$AF$4:$AF$6,0),MATCH(IF('Map 2 Do Touch'!R28&gt;4,"Water","Land"),'Map 3'!$AG$3:$AH$3,0)),INDEX($AK$4:$AL$6,MATCH(INDEX($I$3:$L$6,MATCH(MOD('Map 2 Do Touch'!R28,4),$H$3:$H$6,0),MATCH(MOD('Map 2 Do Touch'!S28,4),$I$2:$L$2,0)),'Map 3'!$AJ$4:$AJ$6,0),MATCH(IF('Map 2 Do Touch'!R28&gt;4,"Water","Land"),'Map 3'!$AK$3:$AL$3,0))),IF('Map 2 Do Touch'!S28&gt;4,INDEX($AG$4:$AH$6,MATCH(INDEX($P$3:$S$6,MATCH(MOD('Map 2 Do Touch'!S27,4),$O$3:$O$6,0),MATCH(MOD('Map 2 Do Touch'!S28,4),$P$2:$S$2,0)),$AF$4:$AF$6,0),MATCH(IF('Map 2 Do Touch'!S27&gt;4,"Water","Land"),'Map 3'!$AG$3:$AH$3,0)),INDEX($AK$4:$AL$6,MATCH(INDEX($P$3:$S$6,MATCH(MOD('Map 2 Do Touch'!S27,4),$O$3:$O$6,0),MATCH(MOD('Map 2 Do Touch'!S28,4),$P$2:$S$2,0)),'Map 3'!$AJ$4:$AJ$6,0),MATCH(IF('Map 2 Do Touch'!S27&gt;4,"Water","Land"),'Map 3'!$AK$3:$AL$3,0))))</f>
        <v>Coast</v>
      </c>
      <c r="T32" s="3" t="str">
        <f ca="1">IF('Map 2 Do Touch'!S27&lt;&gt;'Map 2 Do Touch'!S28,IF('Map 2 Do Touch'!T28&gt;4,INDEX($AG$4:$AH$6,MATCH(INDEX($I$3:$L$6,MATCH(MOD('Map 2 Do Touch'!S28,4),$H$3:$H$6,0),MATCH(MOD('Map 2 Do Touch'!T28,4),$I$2:$L$2,0)),$AF$4:$AF$6,0),MATCH(IF('Map 2 Do Touch'!S28&gt;4,"Water","Land"),'Map 3'!$AG$3:$AH$3,0)),INDEX($AK$4:$AL$6,MATCH(INDEX($I$3:$L$6,MATCH(MOD('Map 2 Do Touch'!S28,4),$H$3:$H$6,0),MATCH(MOD('Map 2 Do Touch'!T28,4),$I$2:$L$2,0)),'Map 3'!$AJ$4:$AJ$6,0),MATCH(IF('Map 2 Do Touch'!S28&gt;4,"Water","Land"),'Map 3'!$AK$3:$AL$3,0))),IF('Map 2 Do Touch'!T28&gt;4,INDEX($AG$4:$AH$6,MATCH(INDEX($P$3:$S$6,MATCH(MOD('Map 2 Do Touch'!T27,4),$O$3:$O$6,0),MATCH(MOD('Map 2 Do Touch'!T28,4),$P$2:$S$2,0)),$AF$4:$AF$6,0),MATCH(IF('Map 2 Do Touch'!T27&gt;4,"Water","Land"),'Map 3'!$AG$3:$AH$3,0)),INDEX($AK$4:$AL$6,MATCH(INDEX($P$3:$S$6,MATCH(MOD('Map 2 Do Touch'!T27,4),$O$3:$O$6,0),MATCH(MOD('Map 2 Do Touch'!T28,4),$P$2:$S$2,0)),'Map 3'!$AJ$4:$AJ$6,0),MATCH(IF('Map 2 Do Touch'!T27&gt;4,"Water","Land"),'Map 3'!$AK$3:$AL$3,0))))</f>
        <v>Coast</v>
      </c>
      <c r="U32" s="3" t="str">
        <f ca="1">IF('Map 2 Do Touch'!T27&lt;&gt;'Map 2 Do Touch'!T28,IF('Map 2 Do Touch'!U28&gt;4,INDEX($AG$4:$AH$6,MATCH(INDEX($I$3:$L$6,MATCH(MOD('Map 2 Do Touch'!T28,4),$H$3:$H$6,0),MATCH(MOD('Map 2 Do Touch'!U28,4),$I$2:$L$2,0)),$AF$4:$AF$6,0),MATCH(IF('Map 2 Do Touch'!T28&gt;4,"Water","Land"),'Map 3'!$AG$3:$AH$3,0)),INDEX($AK$4:$AL$6,MATCH(INDEX($I$3:$L$6,MATCH(MOD('Map 2 Do Touch'!T28,4),$H$3:$H$6,0),MATCH(MOD('Map 2 Do Touch'!U28,4),$I$2:$L$2,0)),'Map 3'!$AJ$4:$AJ$6,0),MATCH(IF('Map 2 Do Touch'!T28&gt;4,"Water","Land"),'Map 3'!$AK$3:$AL$3,0))),IF('Map 2 Do Touch'!U28&gt;4,INDEX($AG$4:$AH$6,MATCH(INDEX($P$3:$S$6,MATCH(MOD('Map 2 Do Touch'!U27,4),$O$3:$O$6,0),MATCH(MOD('Map 2 Do Touch'!U28,4),$P$2:$S$2,0)),$AF$4:$AF$6,0),MATCH(IF('Map 2 Do Touch'!U27&gt;4,"Water","Land"),'Map 3'!$AG$3:$AH$3,0)),INDEX($AK$4:$AL$6,MATCH(INDEX($P$3:$S$6,MATCH(MOD('Map 2 Do Touch'!U27,4),$O$3:$O$6,0),MATCH(MOD('Map 2 Do Touch'!U28,4),$P$2:$S$2,0)),'Map 3'!$AJ$4:$AJ$6,0),MATCH(IF('Map 2 Do Touch'!U27&gt;4,"Water","Land"),'Map 3'!$AK$3:$AL$3,0))))</f>
        <v>Coast</v>
      </c>
      <c r="V32" s="3" t="str">
        <f ca="1">IF('Map 2 Do Touch'!U27&lt;&gt;'Map 2 Do Touch'!U28,IF('Map 2 Do Touch'!V28&gt;4,INDEX($AG$4:$AH$6,MATCH(INDEX($I$3:$L$6,MATCH(MOD('Map 2 Do Touch'!U28,4),$H$3:$H$6,0),MATCH(MOD('Map 2 Do Touch'!V28,4),$I$2:$L$2,0)),$AF$4:$AF$6,0),MATCH(IF('Map 2 Do Touch'!U28&gt;4,"Water","Land"),'Map 3'!$AG$3:$AH$3,0)),INDEX($AK$4:$AL$6,MATCH(INDEX($I$3:$L$6,MATCH(MOD('Map 2 Do Touch'!U28,4),$H$3:$H$6,0),MATCH(MOD('Map 2 Do Touch'!V28,4),$I$2:$L$2,0)),'Map 3'!$AJ$4:$AJ$6,0),MATCH(IF('Map 2 Do Touch'!U28&gt;4,"Water","Land"),'Map 3'!$AK$3:$AL$3,0))),IF('Map 2 Do Touch'!V28&gt;4,INDEX($AG$4:$AH$6,MATCH(INDEX($P$3:$S$6,MATCH(MOD('Map 2 Do Touch'!V27,4),$O$3:$O$6,0),MATCH(MOD('Map 2 Do Touch'!V28,4),$P$2:$S$2,0)),$AF$4:$AF$6,0),MATCH(IF('Map 2 Do Touch'!V27&gt;4,"Water","Land"),'Map 3'!$AG$3:$AH$3,0)),INDEX($AK$4:$AL$6,MATCH(INDEX($P$3:$S$6,MATCH(MOD('Map 2 Do Touch'!V27,4),$O$3:$O$6,0),MATCH(MOD('Map 2 Do Touch'!V28,4),$P$2:$S$2,0)),'Map 3'!$AJ$4:$AJ$6,0),MATCH(IF('Map 2 Do Touch'!V27&gt;4,"Water","Land"),'Map 3'!$AK$3:$AL$3,0))))</f>
        <v>Coast</v>
      </c>
      <c r="W32" s="3" t="str">
        <f ca="1">IF('Map 2 Do Touch'!V27&lt;&gt;'Map 2 Do Touch'!V28,IF('Map 2 Do Touch'!W28&gt;4,INDEX($AG$4:$AH$6,MATCH(INDEX($I$3:$L$6,MATCH(MOD('Map 2 Do Touch'!V28,4),$H$3:$H$6,0),MATCH(MOD('Map 2 Do Touch'!W28,4),$I$2:$L$2,0)),$AF$4:$AF$6,0),MATCH(IF('Map 2 Do Touch'!V28&gt;4,"Water","Land"),'Map 3'!$AG$3:$AH$3,0)),INDEX($AK$4:$AL$6,MATCH(INDEX($I$3:$L$6,MATCH(MOD('Map 2 Do Touch'!V28,4),$H$3:$H$6,0),MATCH(MOD('Map 2 Do Touch'!W28,4),$I$2:$L$2,0)),'Map 3'!$AJ$4:$AJ$6,0),MATCH(IF('Map 2 Do Touch'!V28&gt;4,"Water","Land"),'Map 3'!$AK$3:$AL$3,0))),IF('Map 2 Do Touch'!W28&gt;4,INDEX($AG$4:$AH$6,MATCH(INDEX($P$3:$S$6,MATCH(MOD('Map 2 Do Touch'!W27,4),$O$3:$O$6,0),MATCH(MOD('Map 2 Do Touch'!W28,4),$P$2:$S$2,0)),$AF$4:$AF$6,0),MATCH(IF('Map 2 Do Touch'!W27&gt;4,"Water","Land"),'Map 3'!$AG$3:$AH$3,0)),INDEX($AK$4:$AL$6,MATCH(INDEX($P$3:$S$6,MATCH(MOD('Map 2 Do Touch'!W27,4),$O$3:$O$6,0),MATCH(MOD('Map 2 Do Touch'!W28,4),$P$2:$S$2,0)),'Map 3'!$AJ$4:$AJ$6,0),MATCH(IF('Map 2 Do Touch'!W27&gt;4,"Water","Land"),'Map 3'!$AK$3:$AL$3,0))))</f>
        <v>Ocean</v>
      </c>
      <c r="X32" s="3" t="str">
        <f ca="1">IF('Map 2 Do Touch'!W27&lt;&gt;'Map 2 Do Touch'!W28,IF('Map 2 Do Touch'!X28&gt;4,INDEX($AG$4:$AH$6,MATCH(INDEX($I$3:$L$6,MATCH(MOD('Map 2 Do Touch'!W28,4),$H$3:$H$6,0),MATCH(MOD('Map 2 Do Touch'!X28,4),$I$2:$L$2,0)),$AF$4:$AF$6,0),MATCH(IF('Map 2 Do Touch'!W28&gt;4,"Water","Land"),'Map 3'!$AG$3:$AH$3,0)),INDEX($AK$4:$AL$6,MATCH(INDEX($I$3:$L$6,MATCH(MOD('Map 2 Do Touch'!W28,4),$H$3:$H$6,0),MATCH(MOD('Map 2 Do Touch'!X28,4),$I$2:$L$2,0)),'Map 3'!$AJ$4:$AJ$6,0),MATCH(IF('Map 2 Do Touch'!W28&gt;4,"Water","Land"),'Map 3'!$AK$3:$AL$3,0))),IF('Map 2 Do Touch'!X28&gt;4,INDEX($AG$4:$AH$6,MATCH(INDEX($P$3:$S$6,MATCH(MOD('Map 2 Do Touch'!X27,4),$O$3:$O$6,0),MATCH(MOD('Map 2 Do Touch'!X28,4),$P$2:$S$2,0)),$AF$4:$AF$6,0),MATCH(IF('Map 2 Do Touch'!X27&gt;4,"Water","Land"),'Map 3'!$AG$3:$AH$3,0)),INDEX($AK$4:$AL$6,MATCH(INDEX($P$3:$S$6,MATCH(MOD('Map 2 Do Touch'!X27,4),$O$3:$O$6,0),MATCH(MOD('Map 2 Do Touch'!X28,4),$P$2:$S$2,0)),'Map 3'!$AJ$4:$AJ$6,0),MATCH(IF('Map 2 Do Touch'!X27&gt;4,"Water","Land"),'Map 3'!$AK$3:$AL$3,0))))</f>
        <v>Ocean</v>
      </c>
      <c r="Y32" s="3" t="str">
        <f ca="1">IF('Map 2 Do Touch'!X27&lt;&gt;'Map 2 Do Touch'!X28,IF('Map 2 Do Touch'!Y28&gt;4,INDEX($AG$4:$AH$6,MATCH(INDEX($I$3:$L$6,MATCH(MOD('Map 2 Do Touch'!X28,4),$H$3:$H$6,0),MATCH(MOD('Map 2 Do Touch'!Y28,4),$I$2:$L$2,0)),$AF$4:$AF$6,0),MATCH(IF('Map 2 Do Touch'!X28&gt;4,"Water","Land"),'Map 3'!$AG$3:$AH$3,0)),INDEX($AK$4:$AL$6,MATCH(INDEX($I$3:$L$6,MATCH(MOD('Map 2 Do Touch'!X28,4),$H$3:$H$6,0),MATCH(MOD('Map 2 Do Touch'!Y28,4),$I$2:$L$2,0)),'Map 3'!$AJ$4:$AJ$6,0),MATCH(IF('Map 2 Do Touch'!X28&gt;4,"Water","Land"),'Map 3'!$AK$3:$AL$3,0))),IF('Map 2 Do Touch'!Y28&gt;4,INDEX($AG$4:$AH$6,MATCH(INDEX($P$3:$S$6,MATCH(MOD('Map 2 Do Touch'!Y27,4),$O$3:$O$6,0),MATCH(MOD('Map 2 Do Touch'!Y28,4),$P$2:$S$2,0)),$AF$4:$AF$6,0),MATCH(IF('Map 2 Do Touch'!Y27&gt;4,"Water","Land"),'Map 3'!$AG$3:$AH$3,0)),INDEX($AK$4:$AL$6,MATCH(INDEX($P$3:$S$6,MATCH(MOD('Map 2 Do Touch'!Y27,4),$O$3:$O$6,0),MATCH(MOD('Map 2 Do Touch'!Y28,4),$P$2:$S$2,0)),'Map 3'!$AJ$4:$AJ$6,0),MATCH(IF('Map 2 Do Touch'!Y27&gt;4,"Water","Land"),'Map 3'!$AK$3:$AL$3,0))))</f>
        <v>Ocean</v>
      </c>
      <c r="Z32" s="3" t="str">
        <f ca="1">IF('Map 2 Do Touch'!Y27&lt;&gt;'Map 2 Do Touch'!Y28,IF('Map 2 Do Touch'!Z28&gt;4,INDEX($AG$4:$AH$6,MATCH(INDEX($I$3:$L$6,MATCH(MOD('Map 2 Do Touch'!Y28,4),$H$3:$H$6,0),MATCH(MOD('Map 2 Do Touch'!Z28,4),$I$2:$L$2,0)),$AF$4:$AF$6,0),MATCH(IF('Map 2 Do Touch'!Y28&gt;4,"Water","Land"),'Map 3'!$AG$3:$AH$3,0)),INDEX($AK$4:$AL$6,MATCH(INDEX($I$3:$L$6,MATCH(MOD('Map 2 Do Touch'!Y28,4),$H$3:$H$6,0),MATCH(MOD('Map 2 Do Touch'!Z28,4),$I$2:$L$2,0)),'Map 3'!$AJ$4:$AJ$6,0),MATCH(IF('Map 2 Do Touch'!Y28&gt;4,"Water","Land"),'Map 3'!$AK$3:$AL$3,0))),IF('Map 2 Do Touch'!Z28&gt;4,INDEX($AG$4:$AH$6,MATCH(INDEX($P$3:$S$6,MATCH(MOD('Map 2 Do Touch'!Z27,4),$O$3:$O$6,0),MATCH(MOD('Map 2 Do Touch'!Z28,4),$P$2:$S$2,0)),$AF$4:$AF$6,0),MATCH(IF('Map 2 Do Touch'!Z27&gt;4,"Water","Land"),'Map 3'!$AG$3:$AH$3,0)),INDEX($AK$4:$AL$6,MATCH(INDEX($P$3:$S$6,MATCH(MOD('Map 2 Do Touch'!Z27,4),$O$3:$O$6,0),MATCH(MOD('Map 2 Do Touch'!Z28,4),$P$2:$S$2,0)),'Map 3'!$AJ$4:$AJ$6,0),MATCH(IF('Map 2 Do Touch'!Z27&gt;4,"Water","Land"),'Map 3'!$AK$3:$AL$3,0))))</f>
        <v>Ocean</v>
      </c>
      <c r="AA32" s="3" t="str">
        <f ca="1">IF('Map 2 Do Touch'!Z27&lt;&gt;'Map 2 Do Touch'!Z28,IF('Map 2 Do Touch'!AA28&gt;4,INDEX($AG$4:$AH$6,MATCH(INDEX($I$3:$L$6,MATCH(MOD('Map 2 Do Touch'!Z28,4),$H$3:$H$6,0),MATCH(MOD('Map 2 Do Touch'!AA28,4),$I$2:$L$2,0)),$AF$4:$AF$6,0),MATCH(IF('Map 2 Do Touch'!Z28&gt;4,"Water","Land"),'Map 3'!$AG$3:$AH$3,0)),INDEX($AK$4:$AL$6,MATCH(INDEX($I$3:$L$6,MATCH(MOD('Map 2 Do Touch'!Z28,4),$H$3:$H$6,0),MATCH(MOD('Map 2 Do Touch'!AA28,4),$I$2:$L$2,0)),'Map 3'!$AJ$4:$AJ$6,0),MATCH(IF('Map 2 Do Touch'!Z28&gt;4,"Water","Land"),'Map 3'!$AK$3:$AL$3,0))),IF('Map 2 Do Touch'!AA28&gt;4,INDEX($AG$4:$AH$6,MATCH(INDEX($P$3:$S$6,MATCH(MOD('Map 2 Do Touch'!AA27,4),$O$3:$O$6,0),MATCH(MOD('Map 2 Do Touch'!AA28,4),$P$2:$S$2,0)),$AF$4:$AF$6,0),MATCH(IF('Map 2 Do Touch'!AA27&gt;4,"Water","Land"),'Map 3'!$AG$3:$AH$3,0)),INDEX($AK$4:$AL$6,MATCH(INDEX($P$3:$S$6,MATCH(MOD('Map 2 Do Touch'!AA27,4),$O$3:$O$6,0),MATCH(MOD('Map 2 Do Touch'!AA28,4),$P$2:$S$2,0)),'Map 3'!$AJ$4:$AJ$6,0),MATCH(IF('Map 2 Do Touch'!AA27&gt;4,"Water","Land"),'Map 3'!$AK$3:$AL$3,0))))</f>
        <v>Ocean</v>
      </c>
      <c r="AB32" s="3" t="str">
        <f ca="1">IF('Map 2 Do Touch'!AA27&lt;&gt;'Map 2 Do Touch'!AA28,IF('Map 2 Do Touch'!AB28&gt;4,INDEX($AG$4:$AH$6,MATCH(INDEX($I$3:$L$6,MATCH(MOD('Map 2 Do Touch'!AA28,4),$H$3:$H$6,0),MATCH(MOD('Map 2 Do Touch'!AB28,4),$I$2:$L$2,0)),$AF$4:$AF$6,0),MATCH(IF('Map 2 Do Touch'!AA28&gt;4,"Water","Land"),'Map 3'!$AG$3:$AH$3,0)),INDEX($AK$4:$AL$6,MATCH(INDEX($I$3:$L$6,MATCH(MOD('Map 2 Do Touch'!AA28,4),$H$3:$H$6,0),MATCH(MOD('Map 2 Do Touch'!AB28,4),$I$2:$L$2,0)),'Map 3'!$AJ$4:$AJ$6,0),MATCH(IF('Map 2 Do Touch'!AA28&gt;4,"Water","Land"),'Map 3'!$AK$3:$AL$3,0))),IF('Map 2 Do Touch'!AB28&gt;4,INDEX($AG$4:$AH$6,MATCH(INDEX($P$3:$S$6,MATCH(MOD('Map 2 Do Touch'!AB27,4),$O$3:$O$6,0),MATCH(MOD('Map 2 Do Touch'!AB28,4),$P$2:$S$2,0)),$AF$4:$AF$6,0),MATCH(IF('Map 2 Do Touch'!AB27&gt;4,"Water","Land"),'Map 3'!$AG$3:$AH$3,0)),INDEX($AK$4:$AL$6,MATCH(INDEX($P$3:$S$6,MATCH(MOD('Map 2 Do Touch'!AB27,4),$O$3:$O$6,0),MATCH(MOD('Map 2 Do Touch'!AB28,4),$P$2:$S$2,0)),'Map 3'!$AJ$4:$AJ$6,0),MATCH(IF('Map 2 Do Touch'!AB27&gt;4,"Water","Land"),'Map 3'!$AK$3:$AL$3,0))))</f>
        <v>Ocean</v>
      </c>
      <c r="AC32" s="3" t="str">
        <f ca="1">IF('Map 2 Do Touch'!AB27&lt;&gt;'Map 2 Do Touch'!AB28,IF('Map 2 Do Touch'!AC28&gt;4,INDEX($AG$4:$AH$6,MATCH(INDEX($I$3:$L$6,MATCH(MOD('Map 2 Do Touch'!AB28,4),$H$3:$H$6,0),MATCH(MOD('Map 2 Do Touch'!AC28,4),$I$2:$L$2,0)),$AF$4:$AF$6,0),MATCH(IF('Map 2 Do Touch'!AB28&gt;4,"Water","Land"),'Map 3'!$AG$3:$AH$3,0)),INDEX($AK$4:$AL$6,MATCH(INDEX($I$3:$L$6,MATCH(MOD('Map 2 Do Touch'!AB28,4),$H$3:$H$6,0),MATCH(MOD('Map 2 Do Touch'!AC28,4),$I$2:$L$2,0)),'Map 3'!$AJ$4:$AJ$6,0),MATCH(IF('Map 2 Do Touch'!AB28&gt;4,"Water","Land"),'Map 3'!$AK$3:$AL$3,0))),IF('Map 2 Do Touch'!AC28&gt;4,INDEX($AG$4:$AH$6,MATCH(INDEX($P$3:$S$6,MATCH(MOD('Map 2 Do Touch'!AC27,4),$O$3:$O$6,0),MATCH(MOD('Map 2 Do Touch'!AC28,4),$P$2:$S$2,0)),$AF$4:$AF$6,0),MATCH(IF('Map 2 Do Touch'!AC27&gt;4,"Water","Land"),'Map 3'!$AG$3:$AH$3,0)),INDEX($AK$4:$AL$6,MATCH(INDEX($P$3:$S$6,MATCH(MOD('Map 2 Do Touch'!AC27,4),$O$3:$O$6,0),MATCH(MOD('Map 2 Do Touch'!AC28,4),$P$2:$S$2,0)),'Map 3'!$AJ$4:$AJ$6,0),MATCH(IF('Map 2 Do Touch'!AC27&gt;4,"Water","Land"),'Map 3'!$AK$3:$AL$3,0))))</f>
        <v>Ocean</v>
      </c>
      <c r="AD32" s="3" t="str">
        <f ca="1">IF('Map 2 Do Touch'!AC27&lt;&gt;'Map 2 Do Touch'!AC28,IF('Map 2 Do Touch'!AD28&gt;4,INDEX($AG$4:$AH$6,MATCH(INDEX($I$3:$L$6,MATCH(MOD('Map 2 Do Touch'!AC28,4),$H$3:$H$6,0),MATCH(MOD('Map 2 Do Touch'!AD28,4),$I$2:$L$2,0)),$AF$4:$AF$6,0),MATCH(IF('Map 2 Do Touch'!AC28&gt;4,"Water","Land"),'Map 3'!$AG$3:$AH$3,0)),INDEX($AK$4:$AL$6,MATCH(INDEX($I$3:$L$6,MATCH(MOD('Map 2 Do Touch'!AC28,4),$H$3:$H$6,0),MATCH(MOD('Map 2 Do Touch'!AD28,4),$I$2:$L$2,0)),'Map 3'!$AJ$4:$AJ$6,0),MATCH(IF('Map 2 Do Touch'!AC28&gt;4,"Water","Land"),'Map 3'!$AK$3:$AL$3,0))),IF('Map 2 Do Touch'!AD28&gt;4,INDEX($AG$4:$AH$6,MATCH(INDEX($P$3:$S$6,MATCH(MOD('Map 2 Do Touch'!AD27,4),$O$3:$O$6,0),MATCH(MOD('Map 2 Do Touch'!AD28,4),$P$2:$S$2,0)),$AF$4:$AF$6,0),MATCH(IF('Map 2 Do Touch'!AD27&gt;4,"Water","Land"),'Map 3'!$AG$3:$AH$3,0)),INDEX($AK$4:$AL$6,MATCH(INDEX($P$3:$S$6,MATCH(MOD('Map 2 Do Touch'!AD27,4),$O$3:$O$6,0),MATCH(MOD('Map 2 Do Touch'!AD28,4),$P$2:$S$2,0)),'Map 3'!$AJ$4:$AJ$6,0),MATCH(IF('Map 2 Do Touch'!AD27&gt;4,"Water","Land"),'Map 3'!$AK$3:$AL$3,0))))</f>
        <v>Ocean</v>
      </c>
      <c r="AE32" s="3" t="str">
        <f ca="1">IF('Map 2 Do Touch'!AD27&lt;&gt;'Map 2 Do Touch'!AD28,IF('Map 2 Do Touch'!AE28&gt;4,INDEX($AG$4:$AH$6,MATCH(INDEX($I$3:$L$6,MATCH(MOD('Map 2 Do Touch'!AD28,4),$H$3:$H$6,0),MATCH(MOD('Map 2 Do Touch'!AE28,4),$I$2:$L$2,0)),$AF$4:$AF$6,0),MATCH(IF('Map 2 Do Touch'!AD28&gt;4,"Water","Land"),'Map 3'!$AG$3:$AH$3,0)),INDEX($AK$4:$AL$6,MATCH(INDEX($I$3:$L$6,MATCH(MOD('Map 2 Do Touch'!AD28,4),$H$3:$H$6,0),MATCH(MOD('Map 2 Do Touch'!AE28,4),$I$2:$L$2,0)),'Map 3'!$AJ$4:$AJ$6,0),MATCH(IF('Map 2 Do Touch'!AD28&gt;4,"Water","Land"),'Map 3'!$AK$3:$AL$3,0))),IF('Map 2 Do Touch'!AE28&gt;4,INDEX($AG$4:$AH$6,MATCH(INDEX($P$3:$S$6,MATCH(MOD('Map 2 Do Touch'!AE27,4),$O$3:$O$6,0),MATCH(MOD('Map 2 Do Touch'!AE28,4),$P$2:$S$2,0)),$AF$4:$AF$6,0),MATCH(IF('Map 2 Do Touch'!AE27&gt;4,"Water","Land"),'Map 3'!$AG$3:$AH$3,0)),INDEX($AK$4:$AL$6,MATCH(INDEX($P$3:$S$6,MATCH(MOD('Map 2 Do Touch'!AE27,4),$O$3:$O$6,0),MATCH(MOD('Map 2 Do Touch'!AE28,4),$P$2:$S$2,0)),'Map 3'!$AJ$4:$AJ$6,0),MATCH(IF('Map 2 Do Touch'!AE27&gt;4,"Water","Land"),'Map 3'!$AK$3:$AL$3,0))))</f>
        <v>Island</v>
      </c>
      <c r="AF32" s="3" t="str">
        <f ca="1">IF('Map 2 Do Touch'!AE27&lt;&gt;'Map 2 Do Touch'!AE28,IF('Map 2 Do Touch'!AF28&gt;4,INDEX($AG$4:$AH$6,MATCH(INDEX($I$3:$L$6,MATCH(MOD('Map 2 Do Touch'!AE28,4),$H$3:$H$6,0),MATCH(MOD('Map 2 Do Touch'!AF28,4),$I$2:$L$2,0)),$AF$4:$AF$6,0),MATCH(IF('Map 2 Do Touch'!AE28&gt;4,"Water","Land"),'Map 3'!$AG$3:$AH$3,0)),INDEX($AK$4:$AL$6,MATCH(INDEX($I$3:$L$6,MATCH(MOD('Map 2 Do Touch'!AE28,4),$H$3:$H$6,0),MATCH(MOD('Map 2 Do Touch'!AF28,4),$I$2:$L$2,0)),'Map 3'!$AJ$4:$AJ$6,0),MATCH(IF('Map 2 Do Touch'!AE28&gt;4,"Water","Land"),'Map 3'!$AK$3:$AL$3,0))),IF('Map 2 Do Touch'!AF28&gt;4,INDEX($AG$4:$AH$6,MATCH(INDEX($P$3:$S$6,MATCH(MOD('Map 2 Do Touch'!AF27,4),$O$3:$O$6,0),MATCH(MOD('Map 2 Do Touch'!AF28,4),$P$2:$S$2,0)),$AF$4:$AF$6,0),MATCH(IF('Map 2 Do Touch'!AF27&gt;4,"Water","Land"),'Map 3'!$AG$3:$AH$3,0)),INDEX($AK$4:$AL$6,MATCH(INDEX($P$3:$S$6,MATCH(MOD('Map 2 Do Touch'!AF27,4),$O$3:$O$6,0),MATCH(MOD('Map 2 Do Touch'!AF28,4),$P$2:$S$2,0)),'Map 3'!$AJ$4:$AJ$6,0),MATCH(IF('Map 2 Do Touch'!AF27&gt;4,"Water","Land"),'Map 3'!$AK$3:$AL$3,0))))</f>
        <v>Trench</v>
      </c>
      <c r="AG32" s="3" t="str">
        <f ca="1">IF('Map 2 Do Touch'!AF27&lt;&gt;'Map 2 Do Touch'!AF28,IF('Map 2 Do Touch'!AG28&gt;4,INDEX($AG$4:$AH$6,MATCH(INDEX($I$3:$L$6,MATCH(MOD('Map 2 Do Touch'!AF28,4),$H$3:$H$6,0),MATCH(MOD('Map 2 Do Touch'!AG28,4),$I$2:$L$2,0)),$AF$4:$AF$6,0),MATCH(IF('Map 2 Do Touch'!AF28&gt;4,"Water","Land"),'Map 3'!$AG$3:$AH$3,0)),INDEX($AK$4:$AL$6,MATCH(INDEX($I$3:$L$6,MATCH(MOD('Map 2 Do Touch'!AF28,4),$H$3:$H$6,0),MATCH(MOD('Map 2 Do Touch'!AG28,4),$I$2:$L$2,0)),'Map 3'!$AJ$4:$AJ$6,0),MATCH(IF('Map 2 Do Touch'!AF28&gt;4,"Water","Land"),'Map 3'!$AK$3:$AL$3,0))),IF('Map 2 Do Touch'!AG28&gt;4,INDEX($AG$4:$AH$6,MATCH(INDEX($P$3:$S$6,MATCH(MOD('Map 2 Do Touch'!AG27,4),$O$3:$O$6,0),MATCH(MOD('Map 2 Do Touch'!AG28,4),$P$2:$S$2,0)),$AF$4:$AF$6,0),MATCH(IF('Map 2 Do Touch'!AG27&gt;4,"Water","Land"),'Map 3'!$AG$3:$AH$3,0)),INDEX($AK$4:$AL$6,MATCH(INDEX($P$3:$S$6,MATCH(MOD('Map 2 Do Touch'!AG27,4),$O$3:$O$6,0),MATCH(MOD('Map 2 Do Touch'!AG28,4),$P$2:$S$2,0)),'Map 3'!$AJ$4:$AJ$6,0),MATCH(IF('Map 2 Do Touch'!AG27&gt;4,"Water","Land"),'Map 3'!$AK$3:$AL$3,0))))</f>
        <v>Ocean</v>
      </c>
      <c r="AH32" s="3" t="str">
        <f ca="1">IF('Map 2 Do Touch'!AG27&lt;&gt;'Map 2 Do Touch'!AG28,IF('Map 2 Do Touch'!AH28&gt;4,INDEX($AG$4:$AH$6,MATCH(INDEX($I$3:$L$6,MATCH(MOD('Map 2 Do Touch'!AG28,4),$H$3:$H$6,0),MATCH(MOD('Map 2 Do Touch'!AH28,4),$I$2:$L$2,0)),$AF$4:$AF$6,0),MATCH(IF('Map 2 Do Touch'!AG28&gt;4,"Water","Land"),'Map 3'!$AG$3:$AH$3,0)),INDEX($AK$4:$AL$6,MATCH(INDEX($I$3:$L$6,MATCH(MOD('Map 2 Do Touch'!AG28,4),$H$3:$H$6,0),MATCH(MOD('Map 2 Do Touch'!AH28,4),$I$2:$L$2,0)),'Map 3'!$AJ$4:$AJ$6,0),MATCH(IF('Map 2 Do Touch'!AG28&gt;4,"Water","Land"),'Map 3'!$AK$3:$AL$3,0))),IF('Map 2 Do Touch'!AH28&gt;4,INDEX($AG$4:$AH$6,MATCH(INDEX($P$3:$S$6,MATCH(MOD('Map 2 Do Touch'!AH27,4),$O$3:$O$6,0),MATCH(MOD('Map 2 Do Touch'!AH28,4),$P$2:$S$2,0)),$AF$4:$AF$6,0),MATCH(IF('Map 2 Do Touch'!AH27&gt;4,"Water","Land"),'Map 3'!$AG$3:$AH$3,0)),INDEX($AK$4:$AL$6,MATCH(INDEX($P$3:$S$6,MATCH(MOD('Map 2 Do Touch'!AH27,4),$O$3:$O$6,0),MATCH(MOD('Map 2 Do Touch'!AH28,4),$P$2:$S$2,0)),'Map 3'!$AJ$4:$AJ$6,0),MATCH(IF('Map 2 Do Touch'!AH27&gt;4,"Water","Land"),'Map 3'!$AK$3:$AL$3,0))))</f>
        <v>Ocean</v>
      </c>
      <c r="AI32" s="3" t="str">
        <f ca="1">IF('Map 2 Do Touch'!AH27&lt;&gt;'Map 2 Do Touch'!AH28,IF('Map 2 Do Touch'!AI28&gt;4,INDEX($AG$4:$AH$6,MATCH(INDEX($I$3:$L$6,MATCH(MOD('Map 2 Do Touch'!AH28,4),$H$3:$H$6,0),MATCH(MOD('Map 2 Do Touch'!AI28,4),$I$2:$L$2,0)),$AF$4:$AF$6,0),MATCH(IF('Map 2 Do Touch'!AH28&gt;4,"Water","Land"),'Map 3'!$AG$3:$AH$3,0)),INDEX($AK$4:$AL$6,MATCH(INDEX($I$3:$L$6,MATCH(MOD('Map 2 Do Touch'!AH28,4),$H$3:$H$6,0),MATCH(MOD('Map 2 Do Touch'!AI28,4),$I$2:$L$2,0)),'Map 3'!$AJ$4:$AJ$6,0),MATCH(IF('Map 2 Do Touch'!AH28&gt;4,"Water","Land"),'Map 3'!$AK$3:$AL$3,0))),IF('Map 2 Do Touch'!AI28&gt;4,INDEX($AG$4:$AH$6,MATCH(INDEX($P$3:$S$6,MATCH(MOD('Map 2 Do Touch'!AI27,4),$O$3:$O$6,0),MATCH(MOD('Map 2 Do Touch'!AI28,4),$P$2:$S$2,0)),$AF$4:$AF$6,0),MATCH(IF('Map 2 Do Touch'!AI27&gt;4,"Water","Land"),'Map 3'!$AG$3:$AH$3,0)),INDEX($AK$4:$AL$6,MATCH(INDEX($P$3:$S$6,MATCH(MOD('Map 2 Do Touch'!AI27,4),$O$3:$O$6,0),MATCH(MOD('Map 2 Do Touch'!AI28,4),$P$2:$S$2,0)),'Map 3'!$AJ$4:$AJ$6,0),MATCH(IF('Map 2 Do Touch'!AI27&gt;4,"Water","Land"),'Map 3'!$AK$3:$AL$3,0))))</f>
        <v>Ocean</v>
      </c>
      <c r="AJ32" s="3" t="str">
        <f ca="1">IF('Map 2 Do Touch'!AI27&lt;&gt;'Map 2 Do Touch'!AI28,IF('Map 2 Do Touch'!AJ28&gt;4,INDEX($AG$4:$AH$6,MATCH(INDEX($I$3:$L$6,MATCH(MOD('Map 2 Do Touch'!AI28,4),$H$3:$H$6,0),MATCH(MOD('Map 2 Do Touch'!AJ28,4),$I$2:$L$2,0)),$AF$4:$AF$6,0),MATCH(IF('Map 2 Do Touch'!AI28&gt;4,"Water","Land"),'Map 3'!$AG$3:$AH$3,0)),INDEX($AK$4:$AL$6,MATCH(INDEX($I$3:$L$6,MATCH(MOD('Map 2 Do Touch'!AI28,4),$H$3:$H$6,0),MATCH(MOD('Map 2 Do Touch'!AJ28,4),$I$2:$L$2,0)),'Map 3'!$AJ$4:$AJ$6,0),MATCH(IF('Map 2 Do Touch'!AI28&gt;4,"Water","Land"),'Map 3'!$AK$3:$AL$3,0))),IF('Map 2 Do Touch'!AJ28&gt;4,INDEX($AG$4:$AH$6,MATCH(INDEX($P$3:$S$6,MATCH(MOD('Map 2 Do Touch'!AJ27,4),$O$3:$O$6,0),MATCH(MOD('Map 2 Do Touch'!AJ28,4),$P$2:$S$2,0)),$AF$4:$AF$6,0),MATCH(IF('Map 2 Do Touch'!AJ27&gt;4,"Water","Land"),'Map 3'!$AG$3:$AH$3,0)),INDEX($AK$4:$AL$6,MATCH(INDEX($P$3:$S$6,MATCH(MOD('Map 2 Do Touch'!AJ27,4),$O$3:$O$6,0),MATCH(MOD('Map 2 Do Touch'!AJ28,4),$P$2:$S$2,0)),'Map 3'!$AJ$4:$AJ$6,0),MATCH(IF('Map 2 Do Touch'!AJ27&gt;4,"Water","Land"),'Map 3'!$AK$3:$AL$3,0))))</f>
        <v>Ocean</v>
      </c>
      <c r="AK32" s="3" t="str">
        <f ca="1">IF('Map 2 Do Touch'!AJ27&lt;&gt;'Map 2 Do Touch'!AJ28,IF('Map 2 Do Touch'!AK28&gt;4,INDEX($AG$4:$AH$6,MATCH(INDEX($I$3:$L$6,MATCH(MOD('Map 2 Do Touch'!AJ28,4),$H$3:$H$6,0),MATCH(MOD('Map 2 Do Touch'!AK28,4),$I$2:$L$2,0)),$AF$4:$AF$6,0),MATCH(IF('Map 2 Do Touch'!AJ28&gt;4,"Water","Land"),'Map 3'!$AG$3:$AH$3,0)),INDEX($AK$4:$AL$6,MATCH(INDEX($I$3:$L$6,MATCH(MOD('Map 2 Do Touch'!AJ28,4),$H$3:$H$6,0),MATCH(MOD('Map 2 Do Touch'!AK28,4),$I$2:$L$2,0)),'Map 3'!$AJ$4:$AJ$6,0),MATCH(IF('Map 2 Do Touch'!AJ28&gt;4,"Water","Land"),'Map 3'!$AK$3:$AL$3,0))),IF('Map 2 Do Touch'!AK28&gt;4,INDEX($AG$4:$AH$6,MATCH(INDEX($P$3:$S$6,MATCH(MOD('Map 2 Do Touch'!AK27,4),$O$3:$O$6,0),MATCH(MOD('Map 2 Do Touch'!AK28,4),$P$2:$S$2,0)),$AF$4:$AF$6,0),MATCH(IF('Map 2 Do Touch'!AK27&gt;4,"Water","Land"),'Map 3'!$AG$3:$AH$3,0)),INDEX($AK$4:$AL$6,MATCH(INDEX($P$3:$S$6,MATCH(MOD('Map 2 Do Touch'!AK27,4),$O$3:$O$6,0),MATCH(MOD('Map 2 Do Touch'!AK28,4),$P$2:$S$2,0)),'Map 3'!$AJ$4:$AJ$6,0),MATCH(IF('Map 2 Do Touch'!AK27&gt;4,"Water","Land"),'Map 3'!$AK$3:$AL$3,0))))</f>
        <v>Trench</v>
      </c>
      <c r="AL32" s="3" t="str">
        <f ca="1">IF('Map 2 Do Touch'!AK27&lt;&gt;'Map 2 Do Touch'!AK28,IF('Map 2 Do Touch'!AL28&gt;4,INDEX($AG$4:$AH$6,MATCH(INDEX($I$3:$L$6,MATCH(MOD('Map 2 Do Touch'!AK28,4),$H$3:$H$6,0),MATCH(MOD('Map 2 Do Touch'!AL28,4),$I$2:$L$2,0)),$AF$4:$AF$6,0),MATCH(IF('Map 2 Do Touch'!AK28&gt;4,"Water","Land"),'Map 3'!$AG$3:$AH$3,0)),INDEX($AK$4:$AL$6,MATCH(INDEX($I$3:$L$6,MATCH(MOD('Map 2 Do Touch'!AK28,4),$H$3:$H$6,0),MATCH(MOD('Map 2 Do Touch'!AL28,4),$I$2:$L$2,0)),'Map 3'!$AJ$4:$AJ$6,0),MATCH(IF('Map 2 Do Touch'!AK28&gt;4,"Water","Land"),'Map 3'!$AK$3:$AL$3,0))),IF('Map 2 Do Touch'!AL28&gt;4,INDEX($AG$4:$AH$6,MATCH(INDEX($P$3:$S$6,MATCH(MOD('Map 2 Do Touch'!AL27,4),$O$3:$O$6,0),MATCH(MOD('Map 2 Do Touch'!AL28,4),$P$2:$S$2,0)),$AF$4:$AF$6,0),MATCH(IF('Map 2 Do Touch'!AL27&gt;4,"Water","Land"),'Map 3'!$AG$3:$AH$3,0)),INDEX($AK$4:$AL$6,MATCH(INDEX($P$3:$S$6,MATCH(MOD('Map 2 Do Touch'!AL27,4),$O$3:$O$6,0),MATCH(MOD('Map 2 Do Touch'!AL28,4),$P$2:$S$2,0)),'Map 3'!$AJ$4:$AJ$6,0),MATCH(IF('Map 2 Do Touch'!AL27&gt;4,"Water","Land"),'Map 3'!$AK$3:$AL$3,0))))</f>
        <v>Island</v>
      </c>
      <c r="AM32" s="3" t="str">
        <f ca="1">IF('Map 2 Do Touch'!AL27&lt;&gt;'Map 2 Do Touch'!AL28,IF('Map 2 Do Touch'!AM28&gt;4,INDEX($AG$4:$AH$6,MATCH(INDEX($I$3:$L$6,MATCH(MOD('Map 2 Do Touch'!AL28,4),$H$3:$H$6,0),MATCH(MOD('Map 2 Do Touch'!AM28,4),$I$2:$L$2,0)),$AF$4:$AF$6,0),MATCH(IF('Map 2 Do Touch'!AL28&gt;4,"Water","Land"),'Map 3'!$AG$3:$AH$3,0)),INDEX($AK$4:$AL$6,MATCH(INDEX($I$3:$L$6,MATCH(MOD('Map 2 Do Touch'!AL28,4),$H$3:$H$6,0),MATCH(MOD('Map 2 Do Touch'!AM28,4),$I$2:$L$2,0)),'Map 3'!$AJ$4:$AJ$6,0),MATCH(IF('Map 2 Do Touch'!AL28&gt;4,"Water","Land"),'Map 3'!$AK$3:$AL$3,0))),IF('Map 2 Do Touch'!AM28&gt;4,INDEX($AG$4:$AH$6,MATCH(INDEX($P$3:$S$6,MATCH(MOD('Map 2 Do Touch'!AM27,4),$O$3:$O$6,0),MATCH(MOD('Map 2 Do Touch'!AM28,4),$P$2:$S$2,0)),$AF$4:$AF$6,0),MATCH(IF('Map 2 Do Touch'!AM27&gt;4,"Water","Land"),'Map 3'!$AG$3:$AH$3,0)),INDEX($AK$4:$AL$6,MATCH(INDEX($P$3:$S$6,MATCH(MOD('Map 2 Do Touch'!AM27,4),$O$3:$O$6,0),MATCH(MOD('Map 2 Do Touch'!AM28,4),$P$2:$S$2,0)),'Map 3'!$AJ$4:$AJ$6,0),MATCH(IF('Map 2 Do Touch'!AM27&gt;4,"Water","Land"),'Map 3'!$AK$3:$AL$3,0))))</f>
        <v>Ocean</v>
      </c>
      <c r="AN32" s="3" t="str">
        <f ca="1">IF('Map 2 Do Touch'!AM27&lt;&gt;'Map 2 Do Touch'!AM28,IF('Map 2 Do Touch'!AN28&gt;4,INDEX($AG$4:$AH$6,MATCH(INDEX($I$3:$L$6,MATCH(MOD('Map 2 Do Touch'!AM28,4),$H$3:$H$6,0),MATCH(MOD('Map 2 Do Touch'!AN28,4),$I$2:$L$2,0)),$AF$4:$AF$6,0),MATCH(IF('Map 2 Do Touch'!AM28&gt;4,"Water","Land"),'Map 3'!$AG$3:$AH$3,0)),INDEX($AK$4:$AL$6,MATCH(INDEX($I$3:$L$6,MATCH(MOD('Map 2 Do Touch'!AM28,4),$H$3:$H$6,0),MATCH(MOD('Map 2 Do Touch'!AN28,4),$I$2:$L$2,0)),'Map 3'!$AJ$4:$AJ$6,0),MATCH(IF('Map 2 Do Touch'!AM28&gt;4,"Water","Land"),'Map 3'!$AK$3:$AL$3,0))),IF('Map 2 Do Touch'!AN28&gt;4,INDEX($AG$4:$AH$6,MATCH(INDEX($P$3:$S$6,MATCH(MOD('Map 2 Do Touch'!AN27,4),$O$3:$O$6,0),MATCH(MOD('Map 2 Do Touch'!AN28,4),$P$2:$S$2,0)),$AF$4:$AF$6,0),MATCH(IF('Map 2 Do Touch'!AN27&gt;4,"Water","Land"),'Map 3'!$AG$3:$AH$3,0)),INDEX($AK$4:$AL$6,MATCH(INDEX($P$3:$S$6,MATCH(MOD('Map 2 Do Touch'!AN27,4),$O$3:$O$6,0),MATCH(MOD('Map 2 Do Touch'!AN28,4),$P$2:$S$2,0)),'Map 3'!$AJ$4:$AJ$6,0),MATCH(IF('Map 2 Do Touch'!AN27&gt;4,"Water","Land"),'Map 3'!$AK$3:$AL$3,0))))</f>
        <v>Trench</v>
      </c>
      <c r="AO32" s="87" t="str">
        <f ca="1">IF('Map 2 Do Touch'!AN27&lt;&gt;'Map 2 Do Touch'!AN28,IF('Map 2 Do Touch'!AO28&gt;4,INDEX($AG$4:$AH$6,MATCH(INDEX($I$3:$L$6,MATCH(MOD('Map 2 Do Touch'!AN28,4),$H$3:$H$6,0),MATCH(MOD('Map 2 Do Touch'!AO28,4),$I$2:$L$2,0)),$AF$4:$AF$6,0),MATCH(IF('Map 2 Do Touch'!AN28&gt;4,"Water","Land"),'Map 3'!$AG$3:$AH$3,0)),INDEX($AK$4:$AL$6,MATCH(INDEX($I$3:$L$6,MATCH(MOD('Map 2 Do Touch'!AN28,4),$H$3:$H$6,0),MATCH(MOD('Map 2 Do Touch'!AO28,4),$I$2:$L$2,0)),'Map 3'!$AJ$4:$AJ$6,0),MATCH(IF('Map 2 Do Touch'!AN28&gt;4,"Water","Land"),'Map 3'!$AK$3:$AL$3,0))),IF('Map 2 Do Touch'!AO28&gt;4,INDEX($AG$4:$AH$6,MATCH(INDEX($P$3:$S$6,MATCH(MOD('Map 2 Do Touch'!AO27,4),$O$3:$O$6,0),MATCH(MOD('Map 2 Do Touch'!AO28,4),$P$2:$S$2,0)),$AF$4:$AF$6,0),MATCH(IF('Map 2 Do Touch'!AO27&gt;4,"Water","Land"),'Map 3'!$AG$3:$AH$3,0)),INDEX($AK$4:$AL$6,MATCH(INDEX($P$3:$S$6,MATCH(MOD('Map 2 Do Touch'!AO27,4),$O$3:$O$6,0),MATCH(MOD('Map 2 Do Touch'!AO28,4),$P$2:$S$2,0)),'Map 3'!$AJ$4:$AJ$6,0),MATCH(IF('Map 2 Do Touch'!AO27&gt;4,"Water","Land"),'Map 3'!$AK$3:$AL$3,0))))</f>
        <v>Ocean</v>
      </c>
      <c r="AP32" s="3"/>
    </row>
    <row r="33" spans="1:42" ht="37.5" customHeight="1">
      <c r="A33" s="3">
        <v>22</v>
      </c>
      <c r="B33" s="86" t="str">
        <f ca="1">IF('Map 2 Do Touch'!B28&lt;&gt;'Map 2 Do Touch'!B29,IF('Map 2 Do Touch'!B29&gt;4,INDEX($AG$4:$AH$6,MATCH(INDEX($I$3:$L$6,MATCH(MOD('Map 2 Do Touch'!AO29,4),$H$3:$H$6,0),MATCH(MOD('Map 2 Do Touch'!B29,4),$I$2:$L$2,0)),$AF$4:$AF$6,0),MATCH(IF('Map 2 Do Touch'!AO29&gt;4,"Water","Land"),'Map 3'!$AG$3:$AH$3,0)),INDEX($AK$4:$AL$6,MATCH(INDEX($I$3:$L$6,MATCH(MOD('Map 2 Do Touch'!A29,4),$H$3:$H$6,0),MATCH(MOD('Map 2 Do Touch'!B29,4),$I$2:$L$2,0)),'Map 3'!$AJ$4:$AJ$6,0),MATCH(IF('Map 2 Do Touch'!AO29&gt;4,"Water","Land"),'Map 3'!$AK$3:$AL$3,0))),IF('Map 2 Do Touch'!B29&gt;4,INDEX($AG$4:$AH$6,MATCH(INDEX($P$3:$S$6,MATCH(MOD('Map 2 Do Touch'!B28,4),$O$3:$O$6,0),MATCH(MOD('Map 2 Do Touch'!B29,4),$P$2:$S$2,0)),$AF$4:$AF$6,0),MATCH(IF('Map 2 Do Touch'!B28&gt;4,"Water","Land"),'Map 3'!$AG$3:$AH$3,0)),INDEX($AK$4:$AL$6,MATCH(INDEX($P$3:$S$6,MATCH(MOD('Map 2 Do Touch'!B28,4),$O$3:$O$6,0),MATCH(MOD('Map 2 Do Touch'!B29,4),$P$2:$S$2,0)),'Map 3'!$AJ$4:$AJ$6,0),MATCH(IF('Map 2 Do Touch'!B28&gt;4,"Water","Land"),'Map 3'!$AK$3:$AL$3,0))))</f>
        <v>Flatland</v>
      </c>
      <c r="C33" s="3" t="str">
        <f ca="1">IF('Map 2 Do Touch'!B28&lt;&gt;'Map 2 Do Touch'!B29,IF('Map 2 Do Touch'!C29&gt;4,INDEX($AG$4:$AH$6,MATCH(INDEX($I$3:$L$6,MATCH(MOD('Map 2 Do Touch'!B29,4),$H$3:$H$6,0),MATCH(MOD('Map 2 Do Touch'!C29,4),$I$2:$L$2,0)),$AF$4:$AF$6,0),MATCH(IF('Map 2 Do Touch'!B29&gt;4,"Water","Land"),'Map 3'!$AG$3:$AH$3,0)),INDEX($AK$4:$AL$6,MATCH(INDEX($I$3:$L$6,MATCH(MOD('Map 2 Do Touch'!B29,4),$H$3:$H$6,0),MATCH(MOD('Map 2 Do Touch'!C29,4),$I$2:$L$2,0)),'Map 3'!$AJ$4:$AJ$6,0),MATCH(IF('Map 2 Do Touch'!B29&gt;4,"Water","Land"),'Map 3'!$AK$3:$AL$3,0))),IF('Map 2 Do Touch'!C29&gt;4,INDEX($AG$4:$AH$6,MATCH(INDEX($P$3:$S$6,MATCH(MOD('Map 2 Do Touch'!C28,4),$O$3:$O$6,0),MATCH(MOD('Map 2 Do Touch'!C29,4),$P$2:$S$2,0)),$AF$4:$AF$6,0),MATCH(IF('Map 2 Do Touch'!C28&gt;4,"Water","Land"),'Map 3'!$AG$3:$AH$3,0)),INDEX($AK$4:$AL$6,MATCH(INDEX($P$3:$S$6,MATCH(MOD('Map 2 Do Touch'!C28,4),$O$3:$O$6,0),MATCH(MOD('Map 2 Do Touch'!C29,4),$P$2:$S$2,0)),'Map 3'!$AJ$4:$AJ$6,0),MATCH(IF('Map 2 Do Touch'!C28&gt;4,"Water","Land"),'Map 3'!$AK$3:$AL$3,0))))</f>
        <v>Flatland</v>
      </c>
      <c r="D33" s="3" t="str">
        <f ca="1">IF('Map 2 Do Touch'!C28&lt;&gt;'Map 2 Do Touch'!C29,IF('Map 2 Do Touch'!D29&gt;4,INDEX($AG$4:$AH$6,MATCH(INDEX($I$3:$L$6,MATCH(MOD('Map 2 Do Touch'!C29,4),$H$3:$H$6,0),MATCH(MOD('Map 2 Do Touch'!D29,4),$I$2:$L$2,0)),$AF$4:$AF$6,0),MATCH(IF('Map 2 Do Touch'!C29&gt;4,"Water","Land"),'Map 3'!$AG$3:$AH$3,0)),INDEX($AK$4:$AL$6,MATCH(INDEX($I$3:$L$6,MATCH(MOD('Map 2 Do Touch'!C29,4),$H$3:$H$6,0),MATCH(MOD('Map 2 Do Touch'!D29,4),$I$2:$L$2,0)),'Map 3'!$AJ$4:$AJ$6,0),MATCH(IF('Map 2 Do Touch'!C29&gt;4,"Water","Land"),'Map 3'!$AK$3:$AL$3,0))),IF('Map 2 Do Touch'!D29&gt;4,INDEX($AG$4:$AH$6,MATCH(INDEX($P$3:$S$6,MATCH(MOD('Map 2 Do Touch'!D28,4),$O$3:$O$6,0),MATCH(MOD('Map 2 Do Touch'!D29,4),$P$2:$S$2,0)),$AF$4:$AF$6,0),MATCH(IF('Map 2 Do Touch'!D28&gt;4,"Water","Land"),'Map 3'!$AG$3:$AH$3,0)),INDEX($AK$4:$AL$6,MATCH(INDEX($P$3:$S$6,MATCH(MOD('Map 2 Do Touch'!D28,4),$O$3:$O$6,0),MATCH(MOD('Map 2 Do Touch'!D29,4),$P$2:$S$2,0)),'Map 3'!$AJ$4:$AJ$6,0),MATCH(IF('Map 2 Do Touch'!D28&gt;4,"Water","Land"),'Map 3'!$AK$3:$AL$3,0))))</f>
        <v>Flatland</v>
      </c>
      <c r="E33" s="3" t="str">
        <f ca="1">IF('Map 2 Do Touch'!D28&lt;&gt;'Map 2 Do Touch'!D29,IF('Map 2 Do Touch'!E29&gt;4,INDEX($AG$4:$AH$6,MATCH(INDEX($I$3:$L$6,MATCH(MOD('Map 2 Do Touch'!D29,4),$H$3:$H$6,0),MATCH(MOD('Map 2 Do Touch'!E29,4),$I$2:$L$2,0)),$AF$4:$AF$6,0),MATCH(IF('Map 2 Do Touch'!D29&gt;4,"Water","Land"),'Map 3'!$AG$3:$AH$3,0)),INDEX($AK$4:$AL$6,MATCH(INDEX($I$3:$L$6,MATCH(MOD('Map 2 Do Touch'!D29,4),$H$3:$H$6,0),MATCH(MOD('Map 2 Do Touch'!E29,4),$I$2:$L$2,0)),'Map 3'!$AJ$4:$AJ$6,0),MATCH(IF('Map 2 Do Touch'!D29&gt;4,"Water","Land"),'Map 3'!$AK$3:$AL$3,0))),IF('Map 2 Do Touch'!E29&gt;4,INDEX($AG$4:$AH$6,MATCH(INDEX($P$3:$S$6,MATCH(MOD('Map 2 Do Touch'!E28,4),$O$3:$O$6,0),MATCH(MOD('Map 2 Do Touch'!E29,4),$P$2:$S$2,0)),$AF$4:$AF$6,0),MATCH(IF('Map 2 Do Touch'!E28&gt;4,"Water","Land"),'Map 3'!$AG$3:$AH$3,0)),INDEX($AK$4:$AL$6,MATCH(INDEX($P$3:$S$6,MATCH(MOD('Map 2 Do Touch'!E28,4),$O$3:$O$6,0),MATCH(MOD('Map 2 Do Touch'!E29,4),$P$2:$S$2,0)),'Map 3'!$AJ$4:$AJ$6,0),MATCH(IF('Map 2 Do Touch'!E28&gt;4,"Water","Land"),'Map 3'!$AK$3:$AL$3,0))))</f>
        <v>Flatland</v>
      </c>
      <c r="F33" s="3" t="str">
        <f ca="1">IF('Map 2 Do Touch'!E28&lt;&gt;'Map 2 Do Touch'!E29,IF('Map 2 Do Touch'!F29&gt;4,INDEX($AG$4:$AH$6,MATCH(INDEX($I$3:$L$6,MATCH(MOD('Map 2 Do Touch'!E29,4),$H$3:$H$6,0),MATCH(MOD('Map 2 Do Touch'!F29,4),$I$2:$L$2,0)),$AF$4:$AF$6,0),MATCH(IF('Map 2 Do Touch'!E29&gt;4,"Water","Land"),'Map 3'!$AG$3:$AH$3,0)),INDEX($AK$4:$AL$6,MATCH(INDEX($I$3:$L$6,MATCH(MOD('Map 2 Do Touch'!E29,4),$H$3:$H$6,0),MATCH(MOD('Map 2 Do Touch'!F29,4),$I$2:$L$2,0)),'Map 3'!$AJ$4:$AJ$6,0),MATCH(IF('Map 2 Do Touch'!E29&gt;4,"Water","Land"),'Map 3'!$AK$3:$AL$3,0))),IF('Map 2 Do Touch'!F29&gt;4,INDEX($AG$4:$AH$6,MATCH(INDEX($P$3:$S$6,MATCH(MOD('Map 2 Do Touch'!F28,4),$O$3:$O$6,0),MATCH(MOD('Map 2 Do Touch'!F29,4),$P$2:$S$2,0)),$AF$4:$AF$6,0),MATCH(IF('Map 2 Do Touch'!F28&gt;4,"Water","Land"),'Map 3'!$AG$3:$AH$3,0)),INDEX($AK$4:$AL$6,MATCH(INDEX($P$3:$S$6,MATCH(MOD('Map 2 Do Touch'!F28,4),$O$3:$O$6,0),MATCH(MOD('Map 2 Do Touch'!F29,4),$P$2:$S$2,0)),'Map 3'!$AJ$4:$AJ$6,0),MATCH(IF('Map 2 Do Touch'!F28&gt;4,"Water","Land"),'Map 3'!$AK$3:$AL$3,0))))</f>
        <v>Mountain</v>
      </c>
      <c r="G33" s="3" t="str">
        <f ca="1">IF('Map 2 Do Touch'!F28&lt;&gt;'Map 2 Do Touch'!F29,IF('Map 2 Do Touch'!G29&gt;4,INDEX($AG$4:$AH$6,MATCH(INDEX($I$3:$L$6,MATCH(MOD('Map 2 Do Touch'!F29,4),$H$3:$H$6,0),MATCH(MOD('Map 2 Do Touch'!G29,4),$I$2:$L$2,0)),$AF$4:$AF$6,0),MATCH(IF('Map 2 Do Touch'!F29&gt;4,"Water","Land"),'Map 3'!$AG$3:$AH$3,0)),INDEX($AK$4:$AL$6,MATCH(INDEX($I$3:$L$6,MATCH(MOD('Map 2 Do Touch'!F29,4),$H$3:$H$6,0),MATCH(MOD('Map 2 Do Touch'!G29,4),$I$2:$L$2,0)),'Map 3'!$AJ$4:$AJ$6,0),MATCH(IF('Map 2 Do Touch'!F29&gt;4,"Water","Land"),'Map 3'!$AK$3:$AL$3,0))),IF('Map 2 Do Touch'!G29&gt;4,INDEX($AG$4:$AH$6,MATCH(INDEX($P$3:$S$6,MATCH(MOD('Map 2 Do Touch'!G28,4),$O$3:$O$6,0),MATCH(MOD('Map 2 Do Touch'!G29,4),$P$2:$S$2,0)),$AF$4:$AF$6,0),MATCH(IF('Map 2 Do Touch'!G28&gt;4,"Water","Land"),'Map 3'!$AG$3:$AH$3,0)),INDEX($AK$4:$AL$6,MATCH(INDEX($P$3:$S$6,MATCH(MOD('Map 2 Do Touch'!G28,4),$O$3:$O$6,0),MATCH(MOD('Map 2 Do Touch'!G29,4),$P$2:$S$2,0)),'Map 3'!$AJ$4:$AJ$6,0),MATCH(IF('Map 2 Do Touch'!G28&gt;4,"Water","Land"),'Map 3'!$AK$3:$AL$3,0))))</f>
        <v>Flatland</v>
      </c>
      <c r="H33" s="3" t="str">
        <f ca="1">IF('Map 2 Do Touch'!G28&lt;&gt;'Map 2 Do Touch'!G29,IF('Map 2 Do Touch'!H29&gt;4,INDEX($AG$4:$AH$6,MATCH(INDEX($I$3:$L$6,MATCH(MOD('Map 2 Do Touch'!G29,4),$H$3:$H$6,0),MATCH(MOD('Map 2 Do Touch'!H29,4),$I$2:$L$2,0)),$AF$4:$AF$6,0),MATCH(IF('Map 2 Do Touch'!G29&gt;4,"Water","Land"),'Map 3'!$AG$3:$AH$3,0)),INDEX($AK$4:$AL$6,MATCH(INDEX($I$3:$L$6,MATCH(MOD('Map 2 Do Touch'!G29,4),$H$3:$H$6,0),MATCH(MOD('Map 2 Do Touch'!H29,4),$I$2:$L$2,0)),'Map 3'!$AJ$4:$AJ$6,0),MATCH(IF('Map 2 Do Touch'!G29&gt;4,"Water","Land"),'Map 3'!$AK$3:$AL$3,0))),IF('Map 2 Do Touch'!H29&gt;4,INDEX($AG$4:$AH$6,MATCH(INDEX($P$3:$S$6,MATCH(MOD('Map 2 Do Touch'!H28,4),$O$3:$O$6,0),MATCH(MOD('Map 2 Do Touch'!H29,4),$P$2:$S$2,0)),$AF$4:$AF$6,0),MATCH(IF('Map 2 Do Touch'!H28&gt;4,"Water","Land"),'Map 3'!$AG$3:$AH$3,0)),INDEX($AK$4:$AL$6,MATCH(INDEX($P$3:$S$6,MATCH(MOD('Map 2 Do Touch'!H28,4),$O$3:$O$6,0),MATCH(MOD('Map 2 Do Touch'!H29,4),$P$2:$S$2,0)),'Map 3'!$AJ$4:$AJ$6,0),MATCH(IF('Map 2 Do Touch'!H28&gt;4,"Water","Land"),'Map 3'!$AK$3:$AL$3,0))))</f>
        <v>Flatland</v>
      </c>
      <c r="I33" s="3" t="str">
        <f ca="1">IF('Map 2 Do Touch'!H28&lt;&gt;'Map 2 Do Touch'!H29,IF('Map 2 Do Touch'!I29&gt;4,INDEX($AG$4:$AH$6,MATCH(INDEX($I$3:$L$6,MATCH(MOD('Map 2 Do Touch'!H29,4),$H$3:$H$6,0),MATCH(MOD('Map 2 Do Touch'!I29,4),$I$2:$L$2,0)),$AF$4:$AF$6,0),MATCH(IF('Map 2 Do Touch'!H29&gt;4,"Water","Land"),'Map 3'!$AG$3:$AH$3,0)),INDEX($AK$4:$AL$6,MATCH(INDEX($I$3:$L$6,MATCH(MOD('Map 2 Do Touch'!H29,4),$H$3:$H$6,0),MATCH(MOD('Map 2 Do Touch'!I29,4),$I$2:$L$2,0)),'Map 3'!$AJ$4:$AJ$6,0),MATCH(IF('Map 2 Do Touch'!H29&gt;4,"Water","Land"),'Map 3'!$AK$3:$AL$3,0))),IF('Map 2 Do Touch'!I29&gt;4,INDEX($AG$4:$AH$6,MATCH(INDEX($P$3:$S$6,MATCH(MOD('Map 2 Do Touch'!I28,4),$O$3:$O$6,0),MATCH(MOD('Map 2 Do Touch'!I29,4),$P$2:$S$2,0)),$AF$4:$AF$6,0),MATCH(IF('Map 2 Do Touch'!I28&gt;4,"Water","Land"),'Map 3'!$AG$3:$AH$3,0)),INDEX($AK$4:$AL$6,MATCH(INDEX($P$3:$S$6,MATCH(MOD('Map 2 Do Touch'!I28,4),$O$3:$O$6,0),MATCH(MOD('Map 2 Do Touch'!I29,4),$P$2:$S$2,0)),'Map 3'!$AJ$4:$AJ$6,0),MATCH(IF('Map 2 Do Touch'!I28&gt;4,"Water","Land"),'Map 3'!$AK$3:$AL$3,0))))</f>
        <v>Flatland</v>
      </c>
      <c r="J33" s="3" t="str">
        <f ca="1">IF('Map 2 Do Touch'!I28&lt;&gt;'Map 2 Do Touch'!I29,IF('Map 2 Do Touch'!J29&gt;4,INDEX($AG$4:$AH$6,MATCH(INDEX($I$3:$L$6,MATCH(MOD('Map 2 Do Touch'!I29,4),$H$3:$H$6,0),MATCH(MOD('Map 2 Do Touch'!J29,4),$I$2:$L$2,0)),$AF$4:$AF$6,0),MATCH(IF('Map 2 Do Touch'!I29&gt;4,"Water","Land"),'Map 3'!$AG$3:$AH$3,0)),INDEX($AK$4:$AL$6,MATCH(INDEX($I$3:$L$6,MATCH(MOD('Map 2 Do Touch'!I29,4),$H$3:$H$6,0),MATCH(MOD('Map 2 Do Touch'!J29,4),$I$2:$L$2,0)),'Map 3'!$AJ$4:$AJ$6,0),MATCH(IF('Map 2 Do Touch'!I29&gt;4,"Water","Land"),'Map 3'!$AK$3:$AL$3,0))),IF('Map 2 Do Touch'!J29&gt;4,INDEX($AG$4:$AH$6,MATCH(INDEX($P$3:$S$6,MATCH(MOD('Map 2 Do Touch'!J28,4),$O$3:$O$6,0),MATCH(MOD('Map 2 Do Touch'!J29,4),$P$2:$S$2,0)),$AF$4:$AF$6,0),MATCH(IF('Map 2 Do Touch'!J28&gt;4,"Water","Land"),'Map 3'!$AG$3:$AH$3,0)),INDEX($AK$4:$AL$6,MATCH(INDEX($P$3:$S$6,MATCH(MOD('Map 2 Do Touch'!J28,4),$O$3:$O$6,0),MATCH(MOD('Map 2 Do Touch'!J29,4),$P$2:$S$2,0)),'Map 3'!$AJ$4:$AJ$6,0),MATCH(IF('Map 2 Do Touch'!J28&gt;4,"Water","Land"),'Map 3'!$AK$3:$AL$3,0))))</f>
        <v>Flatland</v>
      </c>
      <c r="K33" s="3" t="str">
        <f ca="1">IF('Map 2 Do Touch'!J28&lt;&gt;'Map 2 Do Touch'!J29,IF('Map 2 Do Touch'!K29&gt;4,INDEX($AG$4:$AH$6,MATCH(INDEX($I$3:$L$6,MATCH(MOD('Map 2 Do Touch'!J29,4),$H$3:$H$6,0),MATCH(MOD('Map 2 Do Touch'!K29,4),$I$2:$L$2,0)),$AF$4:$AF$6,0),MATCH(IF('Map 2 Do Touch'!J29&gt;4,"Water","Land"),'Map 3'!$AG$3:$AH$3,0)),INDEX($AK$4:$AL$6,MATCH(INDEX($I$3:$L$6,MATCH(MOD('Map 2 Do Touch'!J29,4),$H$3:$H$6,0),MATCH(MOD('Map 2 Do Touch'!K29,4),$I$2:$L$2,0)),'Map 3'!$AJ$4:$AJ$6,0),MATCH(IF('Map 2 Do Touch'!J29&gt;4,"Water","Land"),'Map 3'!$AK$3:$AL$3,0))),IF('Map 2 Do Touch'!K29&gt;4,INDEX($AG$4:$AH$6,MATCH(INDEX($P$3:$S$6,MATCH(MOD('Map 2 Do Touch'!K28,4),$O$3:$O$6,0),MATCH(MOD('Map 2 Do Touch'!K29,4),$P$2:$S$2,0)),$AF$4:$AF$6,0),MATCH(IF('Map 2 Do Touch'!K28&gt;4,"Water","Land"),'Map 3'!$AG$3:$AH$3,0)),INDEX($AK$4:$AL$6,MATCH(INDEX($P$3:$S$6,MATCH(MOD('Map 2 Do Touch'!K28,4),$O$3:$O$6,0),MATCH(MOD('Map 2 Do Touch'!K29,4),$P$2:$S$2,0)),'Map 3'!$AJ$4:$AJ$6,0),MATCH(IF('Map 2 Do Touch'!K28&gt;4,"Water","Land"),'Map 3'!$AK$3:$AL$3,0))))</f>
        <v>Ocean</v>
      </c>
      <c r="L33" s="3" t="str">
        <f ca="1">IF('Map 2 Do Touch'!K28&lt;&gt;'Map 2 Do Touch'!K29,IF('Map 2 Do Touch'!L29&gt;4,INDEX($AG$4:$AH$6,MATCH(INDEX($I$3:$L$6,MATCH(MOD('Map 2 Do Touch'!K29,4),$H$3:$H$6,0),MATCH(MOD('Map 2 Do Touch'!L29,4),$I$2:$L$2,0)),$AF$4:$AF$6,0),MATCH(IF('Map 2 Do Touch'!K29&gt;4,"Water","Land"),'Map 3'!$AG$3:$AH$3,0)),INDEX($AK$4:$AL$6,MATCH(INDEX($I$3:$L$6,MATCH(MOD('Map 2 Do Touch'!K29,4),$H$3:$H$6,0),MATCH(MOD('Map 2 Do Touch'!L29,4),$I$2:$L$2,0)),'Map 3'!$AJ$4:$AJ$6,0),MATCH(IF('Map 2 Do Touch'!K29&gt;4,"Water","Land"),'Map 3'!$AK$3:$AL$3,0))),IF('Map 2 Do Touch'!L29&gt;4,INDEX($AG$4:$AH$6,MATCH(INDEX($P$3:$S$6,MATCH(MOD('Map 2 Do Touch'!L28,4),$O$3:$O$6,0),MATCH(MOD('Map 2 Do Touch'!L29,4),$P$2:$S$2,0)),$AF$4:$AF$6,0),MATCH(IF('Map 2 Do Touch'!L28&gt;4,"Water","Land"),'Map 3'!$AG$3:$AH$3,0)),INDEX($AK$4:$AL$6,MATCH(INDEX($P$3:$S$6,MATCH(MOD('Map 2 Do Touch'!L28,4),$O$3:$O$6,0),MATCH(MOD('Map 2 Do Touch'!L29,4),$P$2:$S$2,0)),'Map 3'!$AJ$4:$AJ$6,0),MATCH(IF('Map 2 Do Touch'!L28&gt;4,"Water","Land"),'Map 3'!$AK$3:$AL$3,0))))</f>
        <v>Ocean</v>
      </c>
      <c r="M33" s="3" t="str">
        <f ca="1">IF('Map 2 Do Touch'!L28&lt;&gt;'Map 2 Do Touch'!L29,IF('Map 2 Do Touch'!M29&gt;4,INDEX($AG$4:$AH$6,MATCH(INDEX($I$3:$L$6,MATCH(MOD('Map 2 Do Touch'!L29,4),$H$3:$H$6,0),MATCH(MOD('Map 2 Do Touch'!M29,4),$I$2:$L$2,0)),$AF$4:$AF$6,0),MATCH(IF('Map 2 Do Touch'!L29&gt;4,"Water","Land"),'Map 3'!$AG$3:$AH$3,0)),INDEX($AK$4:$AL$6,MATCH(INDEX($I$3:$L$6,MATCH(MOD('Map 2 Do Touch'!L29,4),$H$3:$H$6,0),MATCH(MOD('Map 2 Do Touch'!M29,4),$I$2:$L$2,0)),'Map 3'!$AJ$4:$AJ$6,0),MATCH(IF('Map 2 Do Touch'!L29&gt;4,"Water","Land"),'Map 3'!$AK$3:$AL$3,0))),IF('Map 2 Do Touch'!M29&gt;4,INDEX($AG$4:$AH$6,MATCH(INDEX($P$3:$S$6,MATCH(MOD('Map 2 Do Touch'!M28,4),$O$3:$O$6,0),MATCH(MOD('Map 2 Do Touch'!M29,4),$P$2:$S$2,0)),$AF$4:$AF$6,0),MATCH(IF('Map 2 Do Touch'!M28&gt;4,"Water","Land"),'Map 3'!$AG$3:$AH$3,0)),INDEX($AK$4:$AL$6,MATCH(INDEX($P$3:$S$6,MATCH(MOD('Map 2 Do Touch'!M28,4),$O$3:$O$6,0),MATCH(MOD('Map 2 Do Touch'!M29,4),$P$2:$S$2,0)),'Map 3'!$AJ$4:$AJ$6,0),MATCH(IF('Map 2 Do Touch'!M28&gt;4,"Water","Land"),'Map 3'!$AK$3:$AL$3,0))))</f>
        <v>Ocean</v>
      </c>
      <c r="N33" s="3" t="str">
        <f ca="1">IF('Map 2 Do Touch'!M28&lt;&gt;'Map 2 Do Touch'!M29,IF('Map 2 Do Touch'!N29&gt;4,INDEX($AG$4:$AH$6,MATCH(INDEX($I$3:$L$6,MATCH(MOD('Map 2 Do Touch'!M29,4),$H$3:$H$6,0),MATCH(MOD('Map 2 Do Touch'!N29,4),$I$2:$L$2,0)),$AF$4:$AF$6,0),MATCH(IF('Map 2 Do Touch'!M29&gt;4,"Water","Land"),'Map 3'!$AG$3:$AH$3,0)),INDEX($AK$4:$AL$6,MATCH(INDEX($I$3:$L$6,MATCH(MOD('Map 2 Do Touch'!M29,4),$H$3:$H$6,0),MATCH(MOD('Map 2 Do Touch'!N29,4),$I$2:$L$2,0)),'Map 3'!$AJ$4:$AJ$6,0),MATCH(IF('Map 2 Do Touch'!M29&gt;4,"Water","Land"),'Map 3'!$AK$3:$AL$3,0))),IF('Map 2 Do Touch'!N29&gt;4,INDEX($AG$4:$AH$6,MATCH(INDEX($P$3:$S$6,MATCH(MOD('Map 2 Do Touch'!N28,4),$O$3:$O$6,0),MATCH(MOD('Map 2 Do Touch'!N29,4),$P$2:$S$2,0)),$AF$4:$AF$6,0),MATCH(IF('Map 2 Do Touch'!N28&gt;4,"Water","Land"),'Map 3'!$AG$3:$AH$3,0)),INDEX($AK$4:$AL$6,MATCH(INDEX($P$3:$S$6,MATCH(MOD('Map 2 Do Touch'!N28,4),$O$3:$O$6,0),MATCH(MOD('Map 2 Do Touch'!N29,4),$P$2:$S$2,0)),'Map 3'!$AJ$4:$AJ$6,0),MATCH(IF('Map 2 Do Touch'!N28&gt;4,"Water","Land"),'Map 3'!$AK$3:$AL$3,0))))</f>
        <v>Ocean</v>
      </c>
      <c r="O33" s="3" t="str">
        <f ca="1">IF('Map 2 Do Touch'!N28&lt;&gt;'Map 2 Do Touch'!N29,IF('Map 2 Do Touch'!O29&gt;4,INDEX($AG$4:$AH$6,MATCH(INDEX($I$3:$L$6,MATCH(MOD('Map 2 Do Touch'!N29,4),$H$3:$H$6,0),MATCH(MOD('Map 2 Do Touch'!O29,4),$I$2:$L$2,0)),$AF$4:$AF$6,0),MATCH(IF('Map 2 Do Touch'!N29&gt;4,"Water","Land"),'Map 3'!$AG$3:$AH$3,0)),INDEX($AK$4:$AL$6,MATCH(INDEX($I$3:$L$6,MATCH(MOD('Map 2 Do Touch'!N29,4),$H$3:$H$6,0),MATCH(MOD('Map 2 Do Touch'!O29,4),$I$2:$L$2,0)),'Map 3'!$AJ$4:$AJ$6,0),MATCH(IF('Map 2 Do Touch'!N29&gt;4,"Water","Land"),'Map 3'!$AK$3:$AL$3,0))),IF('Map 2 Do Touch'!O29&gt;4,INDEX($AG$4:$AH$6,MATCH(INDEX($P$3:$S$6,MATCH(MOD('Map 2 Do Touch'!O28,4),$O$3:$O$6,0),MATCH(MOD('Map 2 Do Touch'!O29,4),$P$2:$S$2,0)),$AF$4:$AF$6,0),MATCH(IF('Map 2 Do Touch'!O28&gt;4,"Water","Land"),'Map 3'!$AG$3:$AH$3,0)),INDEX($AK$4:$AL$6,MATCH(INDEX($P$3:$S$6,MATCH(MOD('Map 2 Do Touch'!O28,4),$O$3:$O$6,0),MATCH(MOD('Map 2 Do Touch'!O29,4),$P$2:$S$2,0)),'Map 3'!$AJ$4:$AJ$6,0),MATCH(IF('Map 2 Do Touch'!O28&gt;4,"Water","Land"),'Map 3'!$AK$3:$AL$3,0))))</f>
        <v>Ocean</v>
      </c>
      <c r="P33" s="3" t="str">
        <f ca="1">IF('Map 2 Do Touch'!O28&lt;&gt;'Map 2 Do Touch'!O29,IF('Map 2 Do Touch'!P29&gt;4,INDEX($AG$4:$AH$6,MATCH(INDEX($I$3:$L$6,MATCH(MOD('Map 2 Do Touch'!O29,4),$H$3:$H$6,0),MATCH(MOD('Map 2 Do Touch'!P29,4),$I$2:$L$2,0)),$AF$4:$AF$6,0),MATCH(IF('Map 2 Do Touch'!O29&gt;4,"Water","Land"),'Map 3'!$AG$3:$AH$3,0)),INDEX($AK$4:$AL$6,MATCH(INDEX($I$3:$L$6,MATCH(MOD('Map 2 Do Touch'!O29,4),$H$3:$H$6,0),MATCH(MOD('Map 2 Do Touch'!P29,4),$I$2:$L$2,0)),'Map 3'!$AJ$4:$AJ$6,0),MATCH(IF('Map 2 Do Touch'!O29&gt;4,"Water","Land"),'Map 3'!$AK$3:$AL$3,0))),IF('Map 2 Do Touch'!P29&gt;4,INDEX($AG$4:$AH$6,MATCH(INDEX($P$3:$S$6,MATCH(MOD('Map 2 Do Touch'!P28,4),$O$3:$O$6,0),MATCH(MOD('Map 2 Do Touch'!P29,4),$P$2:$S$2,0)),$AF$4:$AF$6,0),MATCH(IF('Map 2 Do Touch'!P28&gt;4,"Water","Land"),'Map 3'!$AG$3:$AH$3,0)),INDEX($AK$4:$AL$6,MATCH(INDEX($P$3:$S$6,MATCH(MOD('Map 2 Do Touch'!P28,4),$O$3:$O$6,0),MATCH(MOD('Map 2 Do Touch'!P29,4),$P$2:$S$2,0)),'Map 3'!$AJ$4:$AJ$6,0),MATCH(IF('Map 2 Do Touch'!P28&gt;4,"Water","Land"),'Map 3'!$AK$3:$AL$3,0))))</f>
        <v>Ocean</v>
      </c>
      <c r="Q33" s="3" t="str">
        <f ca="1">IF('Map 2 Do Touch'!P28&lt;&gt;'Map 2 Do Touch'!P29,IF('Map 2 Do Touch'!Q29&gt;4,INDEX($AG$4:$AH$6,MATCH(INDEX($I$3:$L$6,MATCH(MOD('Map 2 Do Touch'!P29,4),$H$3:$H$6,0),MATCH(MOD('Map 2 Do Touch'!Q29,4),$I$2:$L$2,0)),$AF$4:$AF$6,0),MATCH(IF('Map 2 Do Touch'!P29&gt;4,"Water","Land"),'Map 3'!$AG$3:$AH$3,0)),INDEX($AK$4:$AL$6,MATCH(INDEX($I$3:$L$6,MATCH(MOD('Map 2 Do Touch'!P29,4),$H$3:$H$6,0),MATCH(MOD('Map 2 Do Touch'!Q29,4),$I$2:$L$2,0)),'Map 3'!$AJ$4:$AJ$6,0),MATCH(IF('Map 2 Do Touch'!P29&gt;4,"Water","Land"),'Map 3'!$AK$3:$AL$3,0))),IF('Map 2 Do Touch'!Q29&gt;4,INDEX($AG$4:$AH$6,MATCH(INDEX($P$3:$S$6,MATCH(MOD('Map 2 Do Touch'!Q28,4),$O$3:$O$6,0),MATCH(MOD('Map 2 Do Touch'!Q29,4),$P$2:$S$2,0)),$AF$4:$AF$6,0),MATCH(IF('Map 2 Do Touch'!Q28&gt;4,"Water","Land"),'Map 3'!$AG$3:$AH$3,0)),INDEX($AK$4:$AL$6,MATCH(INDEX($P$3:$S$6,MATCH(MOD('Map 2 Do Touch'!Q28,4),$O$3:$O$6,0),MATCH(MOD('Map 2 Do Touch'!Q29,4),$P$2:$S$2,0)),'Map 3'!$AJ$4:$AJ$6,0),MATCH(IF('Map 2 Do Touch'!Q28&gt;4,"Water","Land"),'Map 3'!$AK$3:$AL$3,0))))</f>
        <v>Ocean</v>
      </c>
      <c r="R33" s="3" t="str">
        <f ca="1">IF('Map 2 Do Touch'!Q28&lt;&gt;'Map 2 Do Touch'!Q29,IF('Map 2 Do Touch'!R29&gt;4,INDEX($AG$4:$AH$6,MATCH(INDEX($I$3:$L$6,MATCH(MOD('Map 2 Do Touch'!Q29,4),$H$3:$H$6,0),MATCH(MOD('Map 2 Do Touch'!R29,4),$I$2:$L$2,0)),$AF$4:$AF$6,0),MATCH(IF('Map 2 Do Touch'!Q29&gt;4,"Water","Land"),'Map 3'!$AG$3:$AH$3,0)),INDEX($AK$4:$AL$6,MATCH(INDEX($I$3:$L$6,MATCH(MOD('Map 2 Do Touch'!Q29,4),$H$3:$H$6,0),MATCH(MOD('Map 2 Do Touch'!R29,4),$I$2:$L$2,0)),'Map 3'!$AJ$4:$AJ$6,0),MATCH(IF('Map 2 Do Touch'!Q29&gt;4,"Water","Land"),'Map 3'!$AK$3:$AL$3,0))),IF('Map 2 Do Touch'!R29&gt;4,INDEX($AG$4:$AH$6,MATCH(INDEX($P$3:$S$6,MATCH(MOD('Map 2 Do Touch'!R28,4),$O$3:$O$6,0),MATCH(MOD('Map 2 Do Touch'!R29,4),$P$2:$S$2,0)),$AF$4:$AF$6,0),MATCH(IF('Map 2 Do Touch'!R28&gt;4,"Water","Land"),'Map 3'!$AG$3:$AH$3,0)),INDEX($AK$4:$AL$6,MATCH(INDEX($P$3:$S$6,MATCH(MOD('Map 2 Do Touch'!R28,4),$O$3:$O$6,0),MATCH(MOD('Map 2 Do Touch'!R29,4),$P$2:$S$2,0)),'Map 3'!$AJ$4:$AJ$6,0),MATCH(IF('Map 2 Do Touch'!R28&gt;4,"Water","Land"),'Map 3'!$AK$3:$AL$3,0))))</f>
        <v>Ocean</v>
      </c>
      <c r="S33" s="3" t="str">
        <f ca="1">IF('Map 2 Do Touch'!R28&lt;&gt;'Map 2 Do Touch'!R29,IF('Map 2 Do Touch'!S29&gt;4,INDEX($AG$4:$AH$6,MATCH(INDEX($I$3:$L$6,MATCH(MOD('Map 2 Do Touch'!R29,4),$H$3:$H$6,0),MATCH(MOD('Map 2 Do Touch'!S29,4),$I$2:$L$2,0)),$AF$4:$AF$6,0),MATCH(IF('Map 2 Do Touch'!R29&gt;4,"Water","Land"),'Map 3'!$AG$3:$AH$3,0)),INDEX($AK$4:$AL$6,MATCH(INDEX($I$3:$L$6,MATCH(MOD('Map 2 Do Touch'!R29,4),$H$3:$H$6,0),MATCH(MOD('Map 2 Do Touch'!S29,4),$I$2:$L$2,0)),'Map 3'!$AJ$4:$AJ$6,0),MATCH(IF('Map 2 Do Touch'!R29&gt;4,"Water","Land"),'Map 3'!$AK$3:$AL$3,0))),IF('Map 2 Do Touch'!S29&gt;4,INDEX($AG$4:$AH$6,MATCH(INDEX($P$3:$S$6,MATCH(MOD('Map 2 Do Touch'!S28,4),$O$3:$O$6,0),MATCH(MOD('Map 2 Do Touch'!S29,4),$P$2:$S$2,0)),$AF$4:$AF$6,0),MATCH(IF('Map 2 Do Touch'!S28&gt;4,"Water","Land"),'Map 3'!$AG$3:$AH$3,0)),INDEX($AK$4:$AL$6,MATCH(INDEX($P$3:$S$6,MATCH(MOD('Map 2 Do Touch'!S28,4),$O$3:$O$6,0),MATCH(MOD('Map 2 Do Touch'!S29,4),$P$2:$S$2,0)),'Map 3'!$AJ$4:$AJ$6,0),MATCH(IF('Map 2 Do Touch'!S28&gt;4,"Water","Land"),'Map 3'!$AK$3:$AL$3,0))))</f>
        <v>Ocean</v>
      </c>
      <c r="T33" s="3" t="str">
        <f ca="1">IF('Map 2 Do Touch'!S28&lt;&gt;'Map 2 Do Touch'!S29,IF('Map 2 Do Touch'!T29&gt;4,INDEX($AG$4:$AH$6,MATCH(INDEX($I$3:$L$6,MATCH(MOD('Map 2 Do Touch'!S29,4),$H$3:$H$6,0),MATCH(MOD('Map 2 Do Touch'!T29,4),$I$2:$L$2,0)),$AF$4:$AF$6,0),MATCH(IF('Map 2 Do Touch'!S29&gt;4,"Water","Land"),'Map 3'!$AG$3:$AH$3,0)),INDEX($AK$4:$AL$6,MATCH(INDEX($I$3:$L$6,MATCH(MOD('Map 2 Do Touch'!S29,4),$H$3:$H$6,0),MATCH(MOD('Map 2 Do Touch'!T29,4),$I$2:$L$2,0)),'Map 3'!$AJ$4:$AJ$6,0),MATCH(IF('Map 2 Do Touch'!S29&gt;4,"Water","Land"),'Map 3'!$AK$3:$AL$3,0))),IF('Map 2 Do Touch'!T29&gt;4,INDEX($AG$4:$AH$6,MATCH(INDEX($P$3:$S$6,MATCH(MOD('Map 2 Do Touch'!T28,4),$O$3:$O$6,0),MATCH(MOD('Map 2 Do Touch'!T29,4),$P$2:$S$2,0)),$AF$4:$AF$6,0),MATCH(IF('Map 2 Do Touch'!T28&gt;4,"Water","Land"),'Map 3'!$AG$3:$AH$3,0)),INDEX($AK$4:$AL$6,MATCH(INDEX($P$3:$S$6,MATCH(MOD('Map 2 Do Touch'!T28,4),$O$3:$O$6,0),MATCH(MOD('Map 2 Do Touch'!T29,4),$P$2:$S$2,0)),'Map 3'!$AJ$4:$AJ$6,0),MATCH(IF('Map 2 Do Touch'!T28&gt;4,"Water","Land"),'Map 3'!$AK$3:$AL$3,0))))</f>
        <v>Coast</v>
      </c>
      <c r="U33" s="3" t="str">
        <f ca="1">IF('Map 2 Do Touch'!T28&lt;&gt;'Map 2 Do Touch'!T29,IF('Map 2 Do Touch'!U29&gt;4,INDEX($AG$4:$AH$6,MATCH(INDEX($I$3:$L$6,MATCH(MOD('Map 2 Do Touch'!T29,4),$H$3:$H$6,0),MATCH(MOD('Map 2 Do Touch'!U29,4),$I$2:$L$2,0)),$AF$4:$AF$6,0),MATCH(IF('Map 2 Do Touch'!T29&gt;4,"Water","Land"),'Map 3'!$AG$3:$AH$3,0)),INDEX($AK$4:$AL$6,MATCH(INDEX($I$3:$L$6,MATCH(MOD('Map 2 Do Touch'!T29,4),$H$3:$H$6,0),MATCH(MOD('Map 2 Do Touch'!U29,4),$I$2:$L$2,0)),'Map 3'!$AJ$4:$AJ$6,0),MATCH(IF('Map 2 Do Touch'!T29&gt;4,"Water","Land"),'Map 3'!$AK$3:$AL$3,0))),IF('Map 2 Do Touch'!U29&gt;4,INDEX($AG$4:$AH$6,MATCH(INDEX($P$3:$S$6,MATCH(MOD('Map 2 Do Touch'!U28,4),$O$3:$O$6,0),MATCH(MOD('Map 2 Do Touch'!U29,4),$P$2:$S$2,0)),$AF$4:$AF$6,0),MATCH(IF('Map 2 Do Touch'!U28&gt;4,"Water","Land"),'Map 3'!$AG$3:$AH$3,0)),INDEX($AK$4:$AL$6,MATCH(INDEX($P$3:$S$6,MATCH(MOD('Map 2 Do Touch'!U28,4),$O$3:$O$6,0),MATCH(MOD('Map 2 Do Touch'!U29,4),$P$2:$S$2,0)),'Map 3'!$AJ$4:$AJ$6,0),MATCH(IF('Map 2 Do Touch'!U28&gt;4,"Water","Land"),'Map 3'!$AK$3:$AL$3,0))))</f>
        <v>Ocean</v>
      </c>
      <c r="V33" s="3" t="str">
        <f ca="1">IF('Map 2 Do Touch'!U28&lt;&gt;'Map 2 Do Touch'!U29,IF('Map 2 Do Touch'!V29&gt;4,INDEX($AG$4:$AH$6,MATCH(INDEX($I$3:$L$6,MATCH(MOD('Map 2 Do Touch'!U29,4),$H$3:$H$6,0),MATCH(MOD('Map 2 Do Touch'!V29,4),$I$2:$L$2,0)),$AF$4:$AF$6,0),MATCH(IF('Map 2 Do Touch'!U29&gt;4,"Water","Land"),'Map 3'!$AG$3:$AH$3,0)),INDEX($AK$4:$AL$6,MATCH(INDEX($I$3:$L$6,MATCH(MOD('Map 2 Do Touch'!U29,4),$H$3:$H$6,0),MATCH(MOD('Map 2 Do Touch'!V29,4),$I$2:$L$2,0)),'Map 3'!$AJ$4:$AJ$6,0),MATCH(IF('Map 2 Do Touch'!U29&gt;4,"Water","Land"),'Map 3'!$AK$3:$AL$3,0))),IF('Map 2 Do Touch'!V29&gt;4,INDEX($AG$4:$AH$6,MATCH(INDEX($P$3:$S$6,MATCH(MOD('Map 2 Do Touch'!V28,4),$O$3:$O$6,0),MATCH(MOD('Map 2 Do Touch'!V29,4),$P$2:$S$2,0)),$AF$4:$AF$6,0),MATCH(IF('Map 2 Do Touch'!V28&gt;4,"Water","Land"),'Map 3'!$AG$3:$AH$3,0)),INDEX($AK$4:$AL$6,MATCH(INDEX($P$3:$S$6,MATCH(MOD('Map 2 Do Touch'!V28,4),$O$3:$O$6,0),MATCH(MOD('Map 2 Do Touch'!V29,4),$P$2:$S$2,0)),'Map 3'!$AJ$4:$AJ$6,0),MATCH(IF('Map 2 Do Touch'!V28&gt;4,"Water","Land"),'Map 3'!$AK$3:$AL$3,0))))</f>
        <v>Ocean</v>
      </c>
      <c r="W33" s="3" t="str">
        <f ca="1">IF('Map 2 Do Touch'!V28&lt;&gt;'Map 2 Do Touch'!V29,IF('Map 2 Do Touch'!W29&gt;4,INDEX($AG$4:$AH$6,MATCH(INDEX($I$3:$L$6,MATCH(MOD('Map 2 Do Touch'!V29,4),$H$3:$H$6,0),MATCH(MOD('Map 2 Do Touch'!W29,4),$I$2:$L$2,0)),$AF$4:$AF$6,0),MATCH(IF('Map 2 Do Touch'!V29&gt;4,"Water","Land"),'Map 3'!$AG$3:$AH$3,0)),INDEX($AK$4:$AL$6,MATCH(INDEX($I$3:$L$6,MATCH(MOD('Map 2 Do Touch'!V29,4),$H$3:$H$6,0),MATCH(MOD('Map 2 Do Touch'!W29,4),$I$2:$L$2,0)),'Map 3'!$AJ$4:$AJ$6,0),MATCH(IF('Map 2 Do Touch'!V29&gt;4,"Water","Land"),'Map 3'!$AK$3:$AL$3,0))),IF('Map 2 Do Touch'!W29&gt;4,INDEX($AG$4:$AH$6,MATCH(INDEX($P$3:$S$6,MATCH(MOD('Map 2 Do Touch'!W28,4),$O$3:$O$6,0),MATCH(MOD('Map 2 Do Touch'!W29,4),$P$2:$S$2,0)),$AF$4:$AF$6,0),MATCH(IF('Map 2 Do Touch'!W28&gt;4,"Water","Land"),'Map 3'!$AG$3:$AH$3,0)),INDEX($AK$4:$AL$6,MATCH(INDEX($P$3:$S$6,MATCH(MOD('Map 2 Do Touch'!W28,4),$O$3:$O$6,0),MATCH(MOD('Map 2 Do Touch'!W29,4),$P$2:$S$2,0)),'Map 3'!$AJ$4:$AJ$6,0),MATCH(IF('Map 2 Do Touch'!W28&gt;4,"Water","Land"),'Map 3'!$AK$3:$AL$3,0))))</f>
        <v>Ocean</v>
      </c>
      <c r="X33" s="3" t="str">
        <f ca="1">IF('Map 2 Do Touch'!W28&lt;&gt;'Map 2 Do Touch'!W29,IF('Map 2 Do Touch'!X29&gt;4,INDEX($AG$4:$AH$6,MATCH(INDEX($I$3:$L$6,MATCH(MOD('Map 2 Do Touch'!W29,4),$H$3:$H$6,0),MATCH(MOD('Map 2 Do Touch'!X29,4),$I$2:$L$2,0)),$AF$4:$AF$6,0),MATCH(IF('Map 2 Do Touch'!W29&gt;4,"Water","Land"),'Map 3'!$AG$3:$AH$3,0)),INDEX($AK$4:$AL$6,MATCH(INDEX($I$3:$L$6,MATCH(MOD('Map 2 Do Touch'!W29,4),$H$3:$H$6,0),MATCH(MOD('Map 2 Do Touch'!X29,4),$I$2:$L$2,0)),'Map 3'!$AJ$4:$AJ$6,0),MATCH(IF('Map 2 Do Touch'!W29&gt;4,"Water","Land"),'Map 3'!$AK$3:$AL$3,0))),IF('Map 2 Do Touch'!X29&gt;4,INDEX($AG$4:$AH$6,MATCH(INDEX($P$3:$S$6,MATCH(MOD('Map 2 Do Touch'!X28,4),$O$3:$O$6,0),MATCH(MOD('Map 2 Do Touch'!X29,4),$P$2:$S$2,0)),$AF$4:$AF$6,0),MATCH(IF('Map 2 Do Touch'!X28&gt;4,"Water","Land"),'Map 3'!$AG$3:$AH$3,0)),INDEX($AK$4:$AL$6,MATCH(INDEX($P$3:$S$6,MATCH(MOD('Map 2 Do Touch'!X28,4),$O$3:$O$6,0),MATCH(MOD('Map 2 Do Touch'!X29,4),$P$2:$S$2,0)),'Map 3'!$AJ$4:$AJ$6,0),MATCH(IF('Map 2 Do Touch'!X28&gt;4,"Water","Land"),'Map 3'!$AK$3:$AL$3,0))))</f>
        <v>Ocean</v>
      </c>
      <c r="Y33" s="3" t="str">
        <f ca="1">IF('Map 2 Do Touch'!X28&lt;&gt;'Map 2 Do Touch'!X29,IF('Map 2 Do Touch'!Y29&gt;4,INDEX($AG$4:$AH$6,MATCH(INDEX($I$3:$L$6,MATCH(MOD('Map 2 Do Touch'!X29,4),$H$3:$H$6,0),MATCH(MOD('Map 2 Do Touch'!Y29,4),$I$2:$L$2,0)),$AF$4:$AF$6,0),MATCH(IF('Map 2 Do Touch'!X29&gt;4,"Water","Land"),'Map 3'!$AG$3:$AH$3,0)),INDEX($AK$4:$AL$6,MATCH(INDEX($I$3:$L$6,MATCH(MOD('Map 2 Do Touch'!X29,4),$H$3:$H$6,0),MATCH(MOD('Map 2 Do Touch'!Y29,4),$I$2:$L$2,0)),'Map 3'!$AJ$4:$AJ$6,0),MATCH(IF('Map 2 Do Touch'!X29&gt;4,"Water","Land"),'Map 3'!$AK$3:$AL$3,0))),IF('Map 2 Do Touch'!Y29&gt;4,INDEX($AG$4:$AH$6,MATCH(INDEX($P$3:$S$6,MATCH(MOD('Map 2 Do Touch'!Y28,4),$O$3:$O$6,0),MATCH(MOD('Map 2 Do Touch'!Y29,4),$P$2:$S$2,0)),$AF$4:$AF$6,0),MATCH(IF('Map 2 Do Touch'!Y28&gt;4,"Water","Land"),'Map 3'!$AG$3:$AH$3,0)),INDEX($AK$4:$AL$6,MATCH(INDEX($P$3:$S$6,MATCH(MOD('Map 2 Do Touch'!Y28,4),$O$3:$O$6,0),MATCH(MOD('Map 2 Do Touch'!Y29,4),$P$2:$S$2,0)),'Map 3'!$AJ$4:$AJ$6,0),MATCH(IF('Map 2 Do Touch'!Y28&gt;4,"Water","Land"),'Map 3'!$AK$3:$AL$3,0))))</f>
        <v>Ocean</v>
      </c>
      <c r="Z33" s="3" t="str">
        <f ca="1">IF('Map 2 Do Touch'!Y28&lt;&gt;'Map 2 Do Touch'!Y29,IF('Map 2 Do Touch'!Z29&gt;4,INDEX($AG$4:$AH$6,MATCH(INDEX($I$3:$L$6,MATCH(MOD('Map 2 Do Touch'!Y29,4),$H$3:$H$6,0),MATCH(MOD('Map 2 Do Touch'!Z29,4),$I$2:$L$2,0)),$AF$4:$AF$6,0),MATCH(IF('Map 2 Do Touch'!Y29&gt;4,"Water","Land"),'Map 3'!$AG$3:$AH$3,0)),INDEX($AK$4:$AL$6,MATCH(INDEX($I$3:$L$6,MATCH(MOD('Map 2 Do Touch'!Y29,4),$H$3:$H$6,0),MATCH(MOD('Map 2 Do Touch'!Z29,4),$I$2:$L$2,0)),'Map 3'!$AJ$4:$AJ$6,0),MATCH(IF('Map 2 Do Touch'!Y29&gt;4,"Water","Land"),'Map 3'!$AK$3:$AL$3,0))),IF('Map 2 Do Touch'!Z29&gt;4,INDEX($AG$4:$AH$6,MATCH(INDEX($P$3:$S$6,MATCH(MOD('Map 2 Do Touch'!Z28,4),$O$3:$O$6,0),MATCH(MOD('Map 2 Do Touch'!Z29,4),$P$2:$S$2,0)),$AF$4:$AF$6,0),MATCH(IF('Map 2 Do Touch'!Z28&gt;4,"Water","Land"),'Map 3'!$AG$3:$AH$3,0)),INDEX($AK$4:$AL$6,MATCH(INDEX($P$3:$S$6,MATCH(MOD('Map 2 Do Touch'!Z28,4),$O$3:$O$6,0),MATCH(MOD('Map 2 Do Touch'!Z29,4),$P$2:$S$2,0)),'Map 3'!$AJ$4:$AJ$6,0),MATCH(IF('Map 2 Do Touch'!Z28&gt;4,"Water","Land"),'Map 3'!$AK$3:$AL$3,0))))</f>
        <v>Ocean</v>
      </c>
      <c r="AA33" s="3" t="str">
        <f ca="1">IF('Map 2 Do Touch'!Z28&lt;&gt;'Map 2 Do Touch'!Z29,IF('Map 2 Do Touch'!AA29&gt;4,INDEX($AG$4:$AH$6,MATCH(INDEX($I$3:$L$6,MATCH(MOD('Map 2 Do Touch'!Z29,4),$H$3:$H$6,0),MATCH(MOD('Map 2 Do Touch'!AA29,4),$I$2:$L$2,0)),$AF$4:$AF$6,0),MATCH(IF('Map 2 Do Touch'!Z29&gt;4,"Water","Land"),'Map 3'!$AG$3:$AH$3,0)),INDEX($AK$4:$AL$6,MATCH(INDEX($I$3:$L$6,MATCH(MOD('Map 2 Do Touch'!Z29,4),$H$3:$H$6,0),MATCH(MOD('Map 2 Do Touch'!AA29,4),$I$2:$L$2,0)),'Map 3'!$AJ$4:$AJ$6,0),MATCH(IF('Map 2 Do Touch'!Z29&gt;4,"Water","Land"),'Map 3'!$AK$3:$AL$3,0))),IF('Map 2 Do Touch'!AA29&gt;4,INDEX($AG$4:$AH$6,MATCH(INDEX($P$3:$S$6,MATCH(MOD('Map 2 Do Touch'!AA28,4),$O$3:$O$6,0),MATCH(MOD('Map 2 Do Touch'!AA29,4),$P$2:$S$2,0)),$AF$4:$AF$6,0),MATCH(IF('Map 2 Do Touch'!AA28&gt;4,"Water","Land"),'Map 3'!$AG$3:$AH$3,0)),INDEX($AK$4:$AL$6,MATCH(INDEX($P$3:$S$6,MATCH(MOD('Map 2 Do Touch'!AA28,4),$O$3:$O$6,0),MATCH(MOD('Map 2 Do Touch'!AA29,4),$P$2:$S$2,0)),'Map 3'!$AJ$4:$AJ$6,0),MATCH(IF('Map 2 Do Touch'!AA28&gt;4,"Water","Land"),'Map 3'!$AK$3:$AL$3,0))))</f>
        <v>Trench</v>
      </c>
      <c r="AB33" s="3" t="str">
        <f ca="1">IF('Map 2 Do Touch'!AA28&lt;&gt;'Map 2 Do Touch'!AA29,IF('Map 2 Do Touch'!AB29&gt;4,INDEX($AG$4:$AH$6,MATCH(INDEX($I$3:$L$6,MATCH(MOD('Map 2 Do Touch'!AA29,4),$H$3:$H$6,0),MATCH(MOD('Map 2 Do Touch'!AB29,4),$I$2:$L$2,0)),$AF$4:$AF$6,0),MATCH(IF('Map 2 Do Touch'!AA29&gt;4,"Water","Land"),'Map 3'!$AG$3:$AH$3,0)),INDEX($AK$4:$AL$6,MATCH(INDEX($I$3:$L$6,MATCH(MOD('Map 2 Do Touch'!AA29,4),$H$3:$H$6,0),MATCH(MOD('Map 2 Do Touch'!AB29,4),$I$2:$L$2,0)),'Map 3'!$AJ$4:$AJ$6,0),MATCH(IF('Map 2 Do Touch'!AA29&gt;4,"Water","Land"),'Map 3'!$AK$3:$AL$3,0))),IF('Map 2 Do Touch'!AB29&gt;4,INDEX($AG$4:$AH$6,MATCH(INDEX($P$3:$S$6,MATCH(MOD('Map 2 Do Touch'!AB28,4),$O$3:$O$6,0),MATCH(MOD('Map 2 Do Touch'!AB29,4),$P$2:$S$2,0)),$AF$4:$AF$6,0),MATCH(IF('Map 2 Do Touch'!AB28&gt;4,"Water","Land"),'Map 3'!$AG$3:$AH$3,0)),INDEX($AK$4:$AL$6,MATCH(INDEX($P$3:$S$6,MATCH(MOD('Map 2 Do Touch'!AB28,4),$O$3:$O$6,0),MATCH(MOD('Map 2 Do Touch'!AB29,4),$P$2:$S$2,0)),'Map 3'!$AJ$4:$AJ$6,0),MATCH(IF('Map 2 Do Touch'!AB28&gt;4,"Water","Land"),'Map 3'!$AK$3:$AL$3,0))))</f>
        <v>Island</v>
      </c>
      <c r="AC33" s="3" t="str">
        <f ca="1">IF('Map 2 Do Touch'!AB28&lt;&gt;'Map 2 Do Touch'!AB29,IF('Map 2 Do Touch'!AC29&gt;4,INDEX($AG$4:$AH$6,MATCH(INDEX($I$3:$L$6,MATCH(MOD('Map 2 Do Touch'!AB29,4),$H$3:$H$6,0),MATCH(MOD('Map 2 Do Touch'!AC29,4),$I$2:$L$2,0)),$AF$4:$AF$6,0),MATCH(IF('Map 2 Do Touch'!AB29&gt;4,"Water","Land"),'Map 3'!$AG$3:$AH$3,0)),INDEX($AK$4:$AL$6,MATCH(INDEX($I$3:$L$6,MATCH(MOD('Map 2 Do Touch'!AB29,4),$H$3:$H$6,0),MATCH(MOD('Map 2 Do Touch'!AC29,4),$I$2:$L$2,0)),'Map 3'!$AJ$4:$AJ$6,0),MATCH(IF('Map 2 Do Touch'!AB29&gt;4,"Water","Land"),'Map 3'!$AK$3:$AL$3,0))),IF('Map 2 Do Touch'!AC29&gt;4,INDEX($AG$4:$AH$6,MATCH(INDEX($P$3:$S$6,MATCH(MOD('Map 2 Do Touch'!AC28,4),$O$3:$O$6,0),MATCH(MOD('Map 2 Do Touch'!AC29,4),$P$2:$S$2,0)),$AF$4:$AF$6,0),MATCH(IF('Map 2 Do Touch'!AC28&gt;4,"Water","Land"),'Map 3'!$AG$3:$AH$3,0)),INDEX($AK$4:$AL$6,MATCH(INDEX($P$3:$S$6,MATCH(MOD('Map 2 Do Touch'!AC28,4),$O$3:$O$6,0),MATCH(MOD('Map 2 Do Touch'!AC29,4),$P$2:$S$2,0)),'Map 3'!$AJ$4:$AJ$6,0),MATCH(IF('Map 2 Do Touch'!AC28&gt;4,"Water","Land"),'Map 3'!$AK$3:$AL$3,0))))</f>
        <v>Ocean</v>
      </c>
      <c r="AD33" s="3" t="str">
        <f ca="1">IF('Map 2 Do Touch'!AC28&lt;&gt;'Map 2 Do Touch'!AC29,IF('Map 2 Do Touch'!AD29&gt;4,INDEX($AG$4:$AH$6,MATCH(INDEX($I$3:$L$6,MATCH(MOD('Map 2 Do Touch'!AC29,4),$H$3:$H$6,0),MATCH(MOD('Map 2 Do Touch'!AD29,4),$I$2:$L$2,0)),$AF$4:$AF$6,0),MATCH(IF('Map 2 Do Touch'!AC29&gt;4,"Water","Land"),'Map 3'!$AG$3:$AH$3,0)),INDEX($AK$4:$AL$6,MATCH(INDEX($I$3:$L$6,MATCH(MOD('Map 2 Do Touch'!AC29,4),$H$3:$H$6,0),MATCH(MOD('Map 2 Do Touch'!AD29,4),$I$2:$L$2,0)),'Map 3'!$AJ$4:$AJ$6,0),MATCH(IF('Map 2 Do Touch'!AC29&gt;4,"Water","Land"),'Map 3'!$AK$3:$AL$3,0))),IF('Map 2 Do Touch'!AD29&gt;4,INDEX($AG$4:$AH$6,MATCH(INDEX($P$3:$S$6,MATCH(MOD('Map 2 Do Touch'!AD28,4),$O$3:$O$6,0),MATCH(MOD('Map 2 Do Touch'!AD29,4),$P$2:$S$2,0)),$AF$4:$AF$6,0),MATCH(IF('Map 2 Do Touch'!AD28&gt;4,"Water","Land"),'Map 3'!$AG$3:$AH$3,0)),INDEX($AK$4:$AL$6,MATCH(INDEX($P$3:$S$6,MATCH(MOD('Map 2 Do Touch'!AD28,4),$O$3:$O$6,0),MATCH(MOD('Map 2 Do Touch'!AD29,4),$P$2:$S$2,0)),'Map 3'!$AJ$4:$AJ$6,0),MATCH(IF('Map 2 Do Touch'!AD28&gt;4,"Water","Land"),'Map 3'!$AK$3:$AL$3,0))))</f>
        <v>Ocean</v>
      </c>
      <c r="AE33" s="3" t="str">
        <f ca="1">IF('Map 2 Do Touch'!AD28&lt;&gt;'Map 2 Do Touch'!AD29,IF('Map 2 Do Touch'!AE29&gt;4,INDEX($AG$4:$AH$6,MATCH(INDEX($I$3:$L$6,MATCH(MOD('Map 2 Do Touch'!AD29,4),$H$3:$H$6,0),MATCH(MOD('Map 2 Do Touch'!AE29,4),$I$2:$L$2,0)),$AF$4:$AF$6,0),MATCH(IF('Map 2 Do Touch'!AD29&gt;4,"Water","Land"),'Map 3'!$AG$3:$AH$3,0)),INDEX($AK$4:$AL$6,MATCH(INDEX($I$3:$L$6,MATCH(MOD('Map 2 Do Touch'!AD29,4),$H$3:$H$6,0),MATCH(MOD('Map 2 Do Touch'!AE29,4),$I$2:$L$2,0)),'Map 3'!$AJ$4:$AJ$6,0),MATCH(IF('Map 2 Do Touch'!AD29&gt;4,"Water","Land"),'Map 3'!$AK$3:$AL$3,0))),IF('Map 2 Do Touch'!AE29&gt;4,INDEX($AG$4:$AH$6,MATCH(INDEX($P$3:$S$6,MATCH(MOD('Map 2 Do Touch'!AE28,4),$O$3:$O$6,0),MATCH(MOD('Map 2 Do Touch'!AE29,4),$P$2:$S$2,0)),$AF$4:$AF$6,0),MATCH(IF('Map 2 Do Touch'!AE28&gt;4,"Water","Land"),'Map 3'!$AG$3:$AH$3,0)),INDEX($AK$4:$AL$6,MATCH(INDEX($P$3:$S$6,MATCH(MOD('Map 2 Do Touch'!AE28,4),$O$3:$O$6,0),MATCH(MOD('Map 2 Do Touch'!AE29,4),$P$2:$S$2,0)),'Map 3'!$AJ$4:$AJ$6,0),MATCH(IF('Map 2 Do Touch'!AE28&gt;4,"Water","Land"),'Map 3'!$AK$3:$AL$3,0))))</f>
        <v>Ocean</v>
      </c>
      <c r="AF33" s="3" t="str">
        <f ca="1">IF('Map 2 Do Touch'!AE28&lt;&gt;'Map 2 Do Touch'!AE29,IF('Map 2 Do Touch'!AF29&gt;4,INDEX($AG$4:$AH$6,MATCH(INDEX($I$3:$L$6,MATCH(MOD('Map 2 Do Touch'!AE29,4),$H$3:$H$6,0),MATCH(MOD('Map 2 Do Touch'!AF29,4),$I$2:$L$2,0)),$AF$4:$AF$6,0),MATCH(IF('Map 2 Do Touch'!AE29&gt;4,"Water","Land"),'Map 3'!$AG$3:$AH$3,0)),INDEX($AK$4:$AL$6,MATCH(INDEX($I$3:$L$6,MATCH(MOD('Map 2 Do Touch'!AE29,4),$H$3:$H$6,0),MATCH(MOD('Map 2 Do Touch'!AF29,4),$I$2:$L$2,0)),'Map 3'!$AJ$4:$AJ$6,0),MATCH(IF('Map 2 Do Touch'!AE29&gt;4,"Water","Land"),'Map 3'!$AK$3:$AL$3,0))),IF('Map 2 Do Touch'!AF29&gt;4,INDEX($AG$4:$AH$6,MATCH(INDEX($P$3:$S$6,MATCH(MOD('Map 2 Do Touch'!AF28,4),$O$3:$O$6,0),MATCH(MOD('Map 2 Do Touch'!AF29,4),$P$2:$S$2,0)),$AF$4:$AF$6,0),MATCH(IF('Map 2 Do Touch'!AF28&gt;4,"Water","Land"),'Map 3'!$AG$3:$AH$3,0)),INDEX($AK$4:$AL$6,MATCH(INDEX($P$3:$S$6,MATCH(MOD('Map 2 Do Touch'!AF28,4),$O$3:$O$6,0),MATCH(MOD('Map 2 Do Touch'!AF29,4),$P$2:$S$2,0)),'Map 3'!$AJ$4:$AJ$6,0),MATCH(IF('Map 2 Do Touch'!AF28&gt;4,"Water","Land"),'Map 3'!$AK$3:$AL$3,0))))</f>
        <v>Island</v>
      </c>
      <c r="AG33" s="3" t="str">
        <f ca="1">IF('Map 2 Do Touch'!AF28&lt;&gt;'Map 2 Do Touch'!AF29,IF('Map 2 Do Touch'!AG29&gt;4,INDEX($AG$4:$AH$6,MATCH(INDEX($I$3:$L$6,MATCH(MOD('Map 2 Do Touch'!AF29,4),$H$3:$H$6,0),MATCH(MOD('Map 2 Do Touch'!AG29,4),$I$2:$L$2,0)),$AF$4:$AF$6,0),MATCH(IF('Map 2 Do Touch'!AF29&gt;4,"Water","Land"),'Map 3'!$AG$3:$AH$3,0)),INDEX($AK$4:$AL$6,MATCH(INDEX($I$3:$L$6,MATCH(MOD('Map 2 Do Touch'!AF29,4),$H$3:$H$6,0),MATCH(MOD('Map 2 Do Touch'!AG29,4),$I$2:$L$2,0)),'Map 3'!$AJ$4:$AJ$6,0),MATCH(IF('Map 2 Do Touch'!AF29&gt;4,"Water","Land"),'Map 3'!$AK$3:$AL$3,0))),IF('Map 2 Do Touch'!AG29&gt;4,INDEX($AG$4:$AH$6,MATCH(INDEX($P$3:$S$6,MATCH(MOD('Map 2 Do Touch'!AG28,4),$O$3:$O$6,0),MATCH(MOD('Map 2 Do Touch'!AG29,4),$P$2:$S$2,0)),$AF$4:$AF$6,0),MATCH(IF('Map 2 Do Touch'!AG28&gt;4,"Water","Land"),'Map 3'!$AG$3:$AH$3,0)),INDEX($AK$4:$AL$6,MATCH(INDEX($P$3:$S$6,MATCH(MOD('Map 2 Do Touch'!AG28,4),$O$3:$O$6,0),MATCH(MOD('Map 2 Do Touch'!AG29,4),$P$2:$S$2,0)),'Map 3'!$AJ$4:$AJ$6,0),MATCH(IF('Map 2 Do Touch'!AG28&gt;4,"Water","Land"),'Map 3'!$AK$3:$AL$3,0))))</f>
        <v>Trench</v>
      </c>
      <c r="AH33" s="3" t="str">
        <f ca="1">IF('Map 2 Do Touch'!AG28&lt;&gt;'Map 2 Do Touch'!AG29,IF('Map 2 Do Touch'!AH29&gt;4,INDEX($AG$4:$AH$6,MATCH(INDEX($I$3:$L$6,MATCH(MOD('Map 2 Do Touch'!AG29,4),$H$3:$H$6,0),MATCH(MOD('Map 2 Do Touch'!AH29,4),$I$2:$L$2,0)),$AF$4:$AF$6,0),MATCH(IF('Map 2 Do Touch'!AG29&gt;4,"Water","Land"),'Map 3'!$AG$3:$AH$3,0)),INDEX($AK$4:$AL$6,MATCH(INDEX($I$3:$L$6,MATCH(MOD('Map 2 Do Touch'!AG29,4),$H$3:$H$6,0),MATCH(MOD('Map 2 Do Touch'!AH29,4),$I$2:$L$2,0)),'Map 3'!$AJ$4:$AJ$6,0),MATCH(IF('Map 2 Do Touch'!AG29&gt;4,"Water","Land"),'Map 3'!$AK$3:$AL$3,0))),IF('Map 2 Do Touch'!AH29&gt;4,INDEX($AG$4:$AH$6,MATCH(INDEX($P$3:$S$6,MATCH(MOD('Map 2 Do Touch'!AH28,4),$O$3:$O$6,0),MATCH(MOD('Map 2 Do Touch'!AH29,4),$P$2:$S$2,0)),$AF$4:$AF$6,0),MATCH(IF('Map 2 Do Touch'!AH28&gt;4,"Water","Land"),'Map 3'!$AG$3:$AH$3,0)),INDEX($AK$4:$AL$6,MATCH(INDEX($P$3:$S$6,MATCH(MOD('Map 2 Do Touch'!AH28,4),$O$3:$O$6,0),MATCH(MOD('Map 2 Do Touch'!AH29,4),$P$2:$S$2,0)),'Map 3'!$AJ$4:$AJ$6,0),MATCH(IF('Map 2 Do Touch'!AH28&gt;4,"Water","Land"),'Map 3'!$AK$3:$AL$3,0))))</f>
        <v>Ocean</v>
      </c>
      <c r="AI33" s="3" t="str">
        <f ca="1">IF('Map 2 Do Touch'!AH28&lt;&gt;'Map 2 Do Touch'!AH29,IF('Map 2 Do Touch'!AI29&gt;4,INDEX($AG$4:$AH$6,MATCH(INDEX($I$3:$L$6,MATCH(MOD('Map 2 Do Touch'!AH29,4),$H$3:$H$6,0),MATCH(MOD('Map 2 Do Touch'!AI29,4),$I$2:$L$2,0)),$AF$4:$AF$6,0),MATCH(IF('Map 2 Do Touch'!AH29&gt;4,"Water","Land"),'Map 3'!$AG$3:$AH$3,0)),INDEX($AK$4:$AL$6,MATCH(INDEX($I$3:$L$6,MATCH(MOD('Map 2 Do Touch'!AH29,4),$H$3:$H$6,0),MATCH(MOD('Map 2 Do Touch'!AI29,4),$I$2:$L$2,0)),'Map 3'!$AJ$4:$AJ$6,0),MATCH(IF('Map 2 Do Touch'!AH29&gt;4,"Water","Land"),'Map 3'!$AK$3:$AL$3,0))),IF('Map 2 Do Touch'!AI29&gt;4,INDEX($AG$4:$AH$6,MATCH(INDEX($P$3:$S$6,MATCH(MOD('Map 2 Do Touch'!AI28,4),$O$3:$O$6,0),MATCH(MOD('Map 2 Do Touch'!AI29,4),$P$2:$S$2,0)),$AF$4:$AF$6,0),MATCH(IF('Map 2 Do Touch'!AI28&gt;4,"Water","Land"),'Map 3'!$AG$3:$AH$3,0)),INDEX($AK$4:$AL$6,MATCH(INDEX($P$3:$S$6,MATCH(MOD('Map 2 Do Touch'!AI28,4),$O$3:$O$6,0),MATCH(MOD('Map 2 Do Touch'!AI29,4),$P$2:$S$2,0)),'Map 3'!$AJ$4:$AJ$6,0),MATCH(IF('Map 2 Do Touch'!AI28&gt;4,"Water","Land"),'Map 3'!$AK$3:$AL$3,0))))</f>
        <v>Ocean</v>
      </c>
      <c r="AJ33" s="3" t="str">
        <f ca="1">IF('Map 2 Do Touch'!AI28&lt;&gt;'Map 2 Do Touch'!AI29,IF('Map 2 Do Touch'!AJ29&gt;4,INDEX($AG$4:$AH$6,MATCH(INDEX($I$3:$L$6,MATCH(MOD('Map 2 Do Touch'!AI29,4),$H$3:$H$6,0),MATCH(MOD('Map 2 Do Touch'!AJ29,4),$I$2:$L$2,0)),$AF$4:$AF$6,0),MATCH(IF('Map 2 Do Touch'!AI29&gt;4,"Water","Land"),'Map 3'!$AG$3:$AH$3,0)),INDEX($AK$4:$AL$6,MATCH(INDEX($I$3:$L$6,MATCH(MOD('Map 2 Do Touch'!AI29,4),$H$3:$H$6,0),MATCH(MOD('Map 2 Do Touch'!AJ29,4),$I$2:$L$2,0)),'Map 3'!$AJ$4:$AJ$6,0),MATCH(IF('Map 2 Do Touch'!AI29&gt;4,"Water","Land"),'Map 3'!$AK$3:$AL$3,0))),IF('Map 2 Do Touch'!AJ29&gt;4,INDEX($AG$4:$AH$6,MATCH(INDEX($P$3:$S$6,MATCH(MOD('Map 2 Do Touch'!AJ28,4),$O$3:$O$6,0),MATCH(MOD('Map 2 Do Touch'!AJ29,4),$P$2:$S$2,0)),$AF$4:$AF$6,0),MATCH(IF('Map 2 Do Touch'!AJ28&gt;4,"Water","Land"),'Map 3'!$AG$3:$AH$3,0)),INDEX($AK$4:$AL$6,MATCH(INDEX($P$3:$S$6,MATCH(MOD('Map 2 Do Touch'!AJ28,4),$O$3:$O$6,0),MATCH(MOD('Map 2 Do Touch'!AJ29,4),$P$2:$S$2,0)),'Map 3'!$AJ$4:$AJ$6,0),MATCH(IF('Map 2 Do Touch'!AJ28&gt;4,"Water","Land"),'Map 3'!$AK$3:$AL$3,0))))</f>
        <v>Island</v>
      </c>
      <c r="AK33" s="3" t="str">
        <f ca="1">IF('Map 2 Do Touch'!AJ28&lt;&gt;'Map 2 Do Touch'!AJ29,IF('Map 2 Do Touch'!AK29&gt;4,INDEX($AG$4:$AH$6,MATCH(INDEX($I$3:$L$6,MATCH(MOD('Map 2 Do Touch'!AJ29,4),$H$3:$H$6,0),MATCH(MOD('Map 2 Do Touch'!AK29,4),$I$2:$L$2,0)),$AF$4:$AF$6,0),MATCH(IF('Map 2 Do Touch'!AJ29&gt;4,"Water","Land"),'Map 3'!$AG$3:$AH$3,0)),INDEX($AK$4:$AL$6,MATCH(INDEX($I$3:$L$6,MATCH(MOD('Map 2 Do Touch'!AJ29,4),$H$3:$H$6,0),MATCH(MOD('Map 2 Do Touch'!AK29,4),$I$2:$L$2,0)),'Map 3'!$AJ$4:$AJ$6,0),MATCH(IF('Map 2 Do Touch'!AJ29&gt;4,"Water","Land"),'Map 3'!$AK$3:$AL$3,0))),IF('Map 2 Do Touch'!AK29&gt;4,INDEX($AG$4:$AH$6,MATCH(INDEX($P$3:$S$6,MATCH(MOD('Map 2 Do Touch'!AK28,4),$O$3:$O$6,0),MATCH(MOD('Map 2 Do Touch'!AK29,4),$P$2:$S$2,0)),$AF$4:$AF$6,0),MATCH(IF('Map 2 Do Touch'!AK28&gt;4,"Water","Land"),'Map 3'!$AG$3:$AH$3,0)),INDEX($AK$4:$AL$6,MATCH(INDEX($P$3:$S$6,MATCH(MOD('Map 2 Do Touch'!AK28,4),$O$3:$O$6,0),MATCH(MOD('Map 2 Do Touch'!AK29,4),$P$2:$S$2,0)),'Map 3'!$AJ$4:$AJ$6,0),MATCH(IF('Map 2 Do Touch'!AK28&gt;4,"Water","Land"),'Map 3'!$AK$3:$AL$3,0))))</f>
        <v>Ocean</v>
      </c>
      <c r="AL33" s="3" t="str">
        <f ca="1">IF('Map 2 Do Touch'!AK28&lt;&gt;'Map 2 Do Touch'!AK29,IF('Map 2 Do Touch'!AL29&gt;4,INDEX($AG$4:$AH$6,MATCH(INDEX($I$3:$L$6,MATCH(MOD('Map 2 Do Touch'!AK29,4),$H$3:$H$6,0),MATCH(MOD('Map 2 Do Touch'!AL29,4),$I$2:$L$2,0)),$AF$4:$AF$6,0),MATCH(IF('Map 2 Do Touch'!AK29&gt;4,"Water","Land"),'Map 3'!$AG$3:$AH$3,0)),INDEX($AK$4:$AL$6,MATCH(INDEX($I$3:$L$6,MATCH(MOD('Map 2 Do Touch'!AK29,4),$H$3:$H$6,0),MATCH(MOD('Map 2 Do Touch'!AL29,4),$I$2:$L$2,0)),'Map 3'!$AJ$4:$AJ$6,0),MATCH(IF('Map 2 Do Touch'!AK29&gt;4,"Water","Land"),'Map 3'!$AK$3:$AL$3,0))),IF('Map 2 Do Touch'!AL29&gt;4,INDEX($AG$4:$AH$6,MATCH(INDEX($P$3:$S$6,MATCH(MOD('Map 2 Do Touch'!AL28,4),$O$3:$O$6,0),MATCH(MOD('Map 2 Do Touch'!AL29,4),$P$2:$S$2,0)),$AF$4:$AF$6,0),MATCH(IF('Map 2 Do Touch'!AL28&gt;4,"Water","Land"),'Map 3'!$AG$3:$AH$3,0)),INDEX($AK$4:$AL$6,MATCH(INDEX($P$3:$S$6,MATCH(MOD('Map 2 Do Touch'!AL28,4),$O$3:$O$6,0),MATCH(MOD('Map 2 Do Touch'!AL29,4),$P$2:$S$2,0)),'Map 3'!$AJ$4:$AJ$6,0),MATCH(IF('Map 2 Do Touch'!AL28&gt;4,"Water","Land"),'Map 3'!$AK$3:$AL$3,0))))</f>
        <v>Ocean</v>
      </c>
      <c r="AM33" s="3" t="str">
        <f ca="1">IF('Map 2 Do Touch'!AL28&lt;&gt;'Map 2 Do Touch'!AL29,IF('Map 2 Do Touch'!AM29&gt;4,INDEX($AG$4:$AH$6,MATCH(INDEX($I$3:$L$6,MATCH(MOD('Map 2 Do Touch'!AL29,4),$H$3:$H$6,0),MATCH(MOD('Map 2 Do Touch'!AM29,4),$I$2:$L$2,0)),$AF$4:$AF$6,0),MATCH(IF('Map 2 Do Touch'!AL29&gt;4,"Water","Land"),'Map 3'!$AG$3:$AH$3,0)),INDEX($AK$4:$AL$6,MATCH(INDEX($I$3:$L$6,MATCH(MOD('Map 2 Do Touch'!AL29,4),$H$3:$H$6,0),MATCH(MOD('Map 2 Do Touch'!AM29,4),$I$2:$L$2,0)),'Map 3'!$AJ$4:$AJ$6,0),MATCH(IF('Map 2 Do Touch'!AL29&gt;4,"Water","Land"),'Map 3'!$AK$3:$AL$3,0))),IF('Map 2 Do Touch'!AM29&gt;4,INDEX($AG$4:$AH$6,MATCH(INDEX($P$3:$S$6,MATCH(MOD('Map 2 Do Touch'!AM28,4),$O$3:$O$6,0),MATCH(MOD('Map 2 Do Touch'!AM29,4),$P$2:$S$2,0)),$AF$4:$AF$6,0),MATCH(IF('Map 2 Do Touch'!AM28&gt;4,"Water","Land"),'Map 3'!$AG$3:$AH$3,0)),INDEX($AK$4:$AL$6,MATCH(INDEX($P$3:$S$6,MATCH(MOD('Map 2 Do Touch'!AM28,4),$O$3:$O$6,0),MATCH(MOD('Map 2 Do Touch'!AM29,4),$P$2:$S$2,0)),'Map 3'!$AJ$4:$AJ$6,0),MATCH(IF('Map 2 Do Touch'!AM28&gt;4,"Water","Land"),'Map 3'!$AK$3:$AL$3,0))))</f>
        <v>Ocean</v>
      </c>
      <c r="AN33" s="3" t="str">
        <f ca="1">IF('Map 2 Do Touch'!AM28&lt;&gt;'Map 2 Do Touch'!AM29,IF('Map 2 Do Touch'!AN29&gt;4,INDEX($AG$4:$AH$6,MATCH(INDEX($I$3:$L$6,MATCH(MOD('Map 2 Do Touch'!AM29,4),$H$3:$H$6,0),MATCH(MOD('Map 2 Do Touch'!AN29,4),$I$2:$L$2,0)),$AF$4:$AF$6,0),MATCH(IF('Map 2 Do Touch'!AM29&gt;4,"Water","Land"),'Map 3'!$AG$3:$AH$3,0)),INDEX($AK$4:$AL$6,MATCH(INDEX($I$3:$L$6,MATCH(MOD('Map 2 Do Touch'!AM29,4),$H$3:$H$6,0),MATCH(MOD('Map 2 Do Touch'!AN29,4),$I$2:$L$2,0)),'Map 3'!$AJ$4:$AJ$6,0),MATCH(IF('Map 2 Do Touch'!AM29&gt;4,"Water","Land"),'Map 3'!$AK$3:$AL$3,0))),IF('Map 2 Do Touch'!AN29&gt;4,INDEX($AG$4:$AH$6,MATCH(INDEX($P$3:$S$6,MATCH(MOD('Map 2 Do Touch'!AN28,4),$O$3:$O$6,0),MATCH(MOD('Map 2 Do Touch'!AN29,4),$P$2:$S$2,0)),$AF$4:$AF$6,0),MATCH(IF('Map 2 Do Touch'!AN28&gt;4,"Water","Land"),'Map 3'!$AG$3:$AH$3,0)),INDEX($AK$4:$AL$6,MATCH(INDEX($P$3:$S$6,MATCH(MOD('Map 2 Do Touch'!AN28,4),$O$3:$O$6,0),MATCH(MOD('Map 2 Do Touch'!AN29,4),$P$2:$S$2,0)),'Map 3'!$AJ$4:$AJ$6,0),MATCH(IF('Map 2 Do Touch'!AN28&gt;4,"Water","Land"),'Map 3'!$AK$3:$AL$3,0))))</f>
        <v>Ocean</v>
      </c>
      <c r="AO33" s="87" t="str">
        <f ca="1">IF('Map 2 Do Touch'!AN28&lt;&gt;'Map 2 Do Touch'!AN29,IF('Map 2 Do Touch'!AO29&gt;4,INDEX($AG$4:$AH$6,MATCH(INDEX($I$3:$L$6,MATCH(MOD('Map 2 Do Touch'!AN29,4),$H$3:$H$6,0),MATCH(MOD('Map 2 Do Touch'!AO29,4),$I$2:$L$2,0)),$AF$4:$AF$6,0),MATCH(IF('Map 2 Do Touch'!AN29&gt;4,"Water","Land"),'Map 3'!$AG$3:$AH$3,0)),INDEX($AK$4:$AL$6,MATCH(INDEX($I$3:$L$6,MATCH(MOD('Map 2 Do Touch'!AN29,4),$H$3:$H$6,0),MATCH(MOD('Map 2 Do Touch'!AO29,4),$I$2:$L$2,0)),'Map 3'!$AJ$4:$AJ$6,0),MATCH(IF('Map 2 Do Touch'!AN29&gt;4,"Water","Land"),'Map 3'!$AK$3:$AL$3,0))),IF('Map 2 Do Touch'!AO29&gt;4,INDEX($AG$4:$AH$6,MATCH(INDEX($P$3:$S$6,MATCH(MOD('Map 2 Do Touch'!AO28,4),$O$3:$O$6,0),MATCH(MOD('Map 2 Do Touch'!AO29,4),$P$2:$S$2,0)),$AF$4:$AF$6,0),MATCH(IF('Map 2 Do Touch'!AO28&gt;4,"Water","Land"),'Map 3'!$AG$3:$AH$3,0)),INDEX($AK$4:$AL$6,MATCH(INDEX($P$3:$S$6,MATCH(MOD('Map 2 Do Touch'!AO28,4),$O$3:$O$6,0),MATCH(MOD('Map 2 Do Touch'!AO29,4),$P$2:$S$2,0)),'Map 3'!$AJ$4:$AJ$6,0),MATCH(IF('Map 2 Do Touch'!AO28&gt;4,"Water","Land"),'Map 3'!$AK$3:$AL$3,0))))</f>
        <v>Ocean</v>
      </c>
      <c r="AP33" s="3"/>
    </row>
    <row r="34" spans="1:42" ht="37.5" customHeight="1">
      <c r="A34" s="3">
        <v>23</v>
      </c>
      <c r="B34" s="86" t="str">
        <f ca="1">IF('Map 2 Do Touch'!B29&lt;&gt;'Map 2 Do Touch'!B30,IF('Map 2 Do Touch'!B30&gt;4,INDEX($AG$4:$AH$6,MATCH(INDEX($I$3:$L$6,MATCH(MOD('Map 2 Do Touch'!AO30,4),$H$3:$H$6,0),MATCH(MOD('Map 2 Do Touch'!B30,4),$I$2:$L$2,0)),$AF$4:$AF$6,0),MATCH(IF('Map 2 Do Touch'!AO30&gt;4,"Water","Land"),'Map 3'!$AG$3:$AH$3,0)),INDEX($AK$4:$AL$6,MATCH(INDEX($I$3:$L$6,MATCH(MOD('Map 2 Do Touch'!A30,4),$H$3:$H$6,0),MATCH(MOD('Map 2 Do Touch'!B30,4),$I$2:$L$2,0)),'Map 3'!$AJ$4:$AJ$6,0),MATCH(IF('Map 2 Do Touch'!AO30&gt;4,"Water","Land"),'Map 3'!$AK$3:$AL$3,0))),IF('Map 2 Do Touch'!B30&gt;4,INDEX($AG$4:$AH$6,MATCH(INDEX($P$3:$S$6,MATCH(MOD('Map 2 Do Touch'!B29,4),$O$3:$O$6,0),MATCH(MOD('Map 2 Do Touch'!B30,4),$P$2:$S$2,0)),$AF$4:$AF$6,0),MATCH(IF('Map 2 Do Touch'!B29&gt;4,"Water","Land"),'Map 3'!$AG$3:$AH$3,0)),INDEX($AK$4:$AL$6,MATCH(INDEX($P$3:$S$6,MATCH(MOD('Map 2 Do Touch'!B29,4),$O$3:$O$6,0),MATCH(MOD('Map 2 Do Touch'!B30,4),$P$2:$S$2,0)),'Map 3'!$AJ$4:$AJ$6,0),MATCH(IF('Map 2 Do Touch'!B29&gt;4,"Water","Land"),'Map 3'!$AK$3:$AL$3,0))))</f>
        <v>Ocean</v>
      </c>
      <c r="C34" s="3" t="str">
        <f ca="1">IF('Map 2 Do Touch'!B29&lt;&gt;'Map 2 Do Touch'!B30,IF('Map 2 Do Touch'!C30&gt;4,INDEX($AG$4:$AH$6,MATCH(INDEX($I$3:$L$6,MATCH(MOD('Map 2 Do Touch'!B30,4),$H$3:$H$6,0),MATCH(MOD('Map 2 Do Touch'!C30,4),$I$2:$L$2,0)),$AF$4:$AF$6,0),MATCH(IF('Map 2 Do Touch'!B30&gt;4,"Water","Land"),'Map 3'!$AG$3:$AH$3,0)),INDEX($AK$4:$AL$6,MATCH(INDEX($I$3:$L$6,MATCH(MOD('Map 2 Do Touch'!B30,4),$H$3:$H$6,0),MATCH(MOD('Map 2 Do Touch'!C30,4),$I$2:$L$2,0)),'Map 3'!$AJ$4:$AJ$6,0),MATCH(IF('Map 2 Do Touch'!B30&gt;4,"Water","Land"),'Map 3'!$AK$3:$AL$3,0))),IF('Map 2 Do Touch'!C30&gt;4,INDEX($AG$4:$AH$6,MATCH(INDEX($P$3:$S$6,MATCH(MOD('Map 2 Do Touch'!C29,4),$O$3:$O$6,0),MATCH(MOD('Map 2 Do Touch'!C30,4),$P$2:$S$2,0)),$AF$4:$AF$6,0),MATCH(IF('Map 2 Do Touch'!C29&gt;4,"Water","Land"),'Map 3'!$AG$3:$AH$3,0)),INDEX($AK$4:$AL$6,MATCH(INDEX($P$3:$S$6,MATCH(MOD('Map 2 Do Touch'!C29,4),$O$3:$O$6,0),MATCH(MOD('Map 2 Do Touch'!C30,4),$P$2:$S$2,0)),'Map 3'!$AJ$4:$AJ$6,0),MATCH(IF('Map 2 Do Touch'!C29&gt;4,"Water","Land"),'Map 3'!$AK$3:$AL$3,0))))</f>
        <v>Drop Off</v>
      </c>
      <c r="D34" s="3" t="str">
        <f ca="1">IF('Map 2 Do Touch'!C29&lt;&gt;'Map 2 Do Touch'!C30,IF('Map 2 Do Touch'!D30&gt;4,INDEX($AG$4:$AH$6,MATCH(INDEX($I$3:$L$6,MATCH(MOD('Map 2 Do Touch'!C30,4),$H$3:$H$6,0),MATCH(MOD('Map 2 Do Touch'!D30,4),$I$2:$L$2,0)),$AF$4:$AF$6,0),MATCH(IF('Map 2 Do Touch'!C30&gt;4,"Water","Land"),'Map 3'!$AG$3:$AH$3,0)),INDEX($AK$4:$AL$6,MATCH(INDEX($I$3:$L$6,MATCH(MOD('Map 2 Do Touch'!C30,4),$H$3:$H$6,0),MATCH(MOD('Map 2 Do Touch'!D30,4),$I$2:$L$2,0)),'Map 3'!$AJ$4:$AJ$6,0),MATCH(IF('Map 2 Do Touch'!C30&gt;4,"Water","Land"),'Map 3'!$AK$3:$AL$3,0))),IF('Map 2 Do Touch'!D30&gt;4,INDEX($AG$4:$AH$6,MATCH(INDEX($P$3:$S$6,MATCH(MOD('Map 2 Do Touch'!D29,4),$O$3:$O$6,0),MATCH(MOD('Map 2 Do Touch'!D30,4),$P$2:$S$2,0)),$AF$4:$AF$6,0),MATCH(IF('Map 2 Do Touch'!D29&gt;4,"Water","Land"),'Map 3'!$AG$3:$AH$3,0)),INDEX($AK$4:$AL$6,MATCH(INDEX($P$3:$S$6,MATCH(MOD('Map 2 Do Touch'!D29,4),$O$3:$O$6,0),MATCH(MOD('Map 2 Do Touch'!D30,4),$P$2:$S$2,0)),'Map 3'!$AJ$4:$AJ$6,0),MATCH(IF('Map 2 Do Touch'!D29&gt;4,"Water","Land"),'Map 3'!$AK$3:$AL$3,0))))</f>
        <v>Flatland</v>
      </c>
      <c r="E34" s="3" t="str">
        <f ca="1">IF('Map 2 Do Touch'!D29&lt;&gt;'Map 2 Do Touch'!D30,IF('Map 2 Do Touch'!E30&gt;4,INDEX($AG$4:$AH$6,MATCH(INDEX($I$3:$L$6,MATCH(MOD('Map 2 Do Touch'!D30,4),$H$3:$H$6,0),MATCH(MOD('Map 2 Do Touch'!E30,4),$I$2:$L$2,0)),$AF$4:$AF$6,0),MATCH(IF('Map 2 Do Touch'!D30&gt;4,"Water","Land"),'Map 3'!$AG$3:$AH$3,0)),INDEX($AK$4:$AL$6,MATCH(INDEX($I$3:$L$6,MATCH(MOD('Map 2 Do Touch'!D30,4),$H$3:$H$6,0),MATCH(MOD('Map 2 Do Touch'!E30,4),$I$2:$L$2,0)),'Map 3'!$AJ$4:$AJ$6,0),MATCH(IF('Map 2 Do Touch'!D30&gt;4,"Water","Land"),'Map 3'!$AK$3:$AL$3,0))),IF('Map 2 Do Touch'!E30&gt;4,INDEX($AG$4:$AH$6,MATCH(INDEX($P$3:$S$6,MATCH(MOD('Map 2 Do Touch'!E29,4),$O$3:$O$6,0),MATCH(MOD('Map 2 Do Touch'!E30,4),$P$2:$S$2,0)),$AF$4:$AF$6,0),MATCH(IF('Map 2 Do Touch'!E29&gt;4,"Water","Land"),'Map 3'!$AG$3:$AH$3,0)),INDEX($AK$4:$AL$6,MATCH(INDEX($P$3:$S$6,MATCH(MOD('Map 2 Do Touch'!E29,4),$O$3:$O$6,0),MATCH(MOD('Map 2 Do Touch'!E30,4),$P$2:$S$2,0)),'Map 3'!$AJ$4:$AJ$6,0),MATCH(IF('Map 2 Do Touch'!E29&gt;4,"Water","Land"),'Map 3'!$AK$3:$AL$3,0))))</f>
        <v>Flatland</v>
      </c>
      <c r="F34" s="3" t="str">
        <f ca="1">IF('Map 2 Do Touch'!E29&lt;&gt;'Map 2 Do Touch'!E30,IF('Map 2 Do Touch'!F30&gt;4,INDEX($AG$4:$AH$6,MATCH(INDEX($I$3:$L$6,MATCH(MOD('Map 2 Do Touch'!E30,4),$H$3:$H$6,0),MATCH(MOD('Map 2 Do Touch'!F30,4),$I$2:$L$2,0)),$AF$4:$AF$6,0),MATCH(IF('Map 2 Do Touch'!E30&gt;4,"Water","Land"),'Map 3'!$AG$3:$AH$3,0)),INDEX($AK$4:$AL$6,MATCH(INDEX($I$3:$L$6,MATCH(MOD('Map 2 Do Touch'!E30,4),$H$3:$H$6,0),MATCH(MOD('Map 2 Do Touch'!F30,4),$I$2:$L$2,0)),'Map 3'!$AJ$4:$AJ$6,0),MATCH(IF('Map 2 Do Touch'!E30&gt;4,"Water","Land"),'Map 3'!$AK$3:$AL$3,0))),IF('Map 2 Do Touch'!F30&gt;4,INDEX($AG$4:$AH$6,MATCH(INDEX($P$3:$S$6,MATCH(MOD('Map 2 Do Touch'!F29,4),$O$3:$O$6,0),MATCH(MOD('Map 2 Do Touch'!F30,4),$P$2:$S$2,0)),$AF$4:$AF$6,0),MATCH(IF('Map 2 Do Touch'!F29&gt;4,"Water","Land"),'Map 3'!$AG$3:$AH$3,0)),INDEX($AK$4:$AL$6,MATCH(INDEX($P$3:$S$6,MATCH(MOD('Map 2 Do Touch'!F29,4),$O$3:$O$6,0),MATCH(MOD('Map 2 Do Touch'!F30,4),$P$2:$S$2,0)),'Map 3'!$AJ$4:$AJ$6,0),MATCH(IF('Map 2 Do Touch'!F29&gt;4,"Water","Land"),'Map 3'!$AK$3:$AL$3,0))))</f>
        <v>Flatland</v>
      </c>
      <c r="G34" s="3" t="str">
        <f ca="1">IF('Map 2 Do Touch'!F29&lt;&gt;'Map 2 Do Touch'!F30,IF('Map 2 Do Touch'!G30&gt;4,INDEX($AG$4:$AH$6,MATCH(INDEX($I$3:$L$6,MATCH(MOD('Map 2 Do Touch'!F30,4),$H$3:$H$6,0),MATCH(MOD('Map 2 Do Touch'!G30,4),$I$2:$L$2,0)),$AF$4:$AF$6,0),MATCH(IF('Map 2 Do Touch'!F30&gt;4,"Water","Land"),'Map 3'!$AG$3:$AH$3,0)),INDEX($AK$4:$AL$6,MATCH(INDEX($I$3:$L$6,MATCH(MOD('Map 2 Do Touch'!F30,4),$H$3:$H$6,0),MATCH(MOD('Map 2 Do Touch'!G30,4),$I$2:$L$2,0)),'Map 3'!$AJ$4:$AJ$6,0),MATCH(IF('Map 2 Do Touch'!F30&gt;4,"Water","Land"),'Map 3'!$AK$3:$AL$3,0))),IF('Map 2 Do Touch'!G30&gt;4,INDEX($AG$4:$AH$6,MATCH(INDEX($P$3:$S$6,MATCH(MOD('Map 2 Do Touch'!G29,4),$O$3:$O$6,0),MATCH(MOD('Map 2 Do Touch'!G30,4),$P$2:$S$2,0)),$AF$4:$AF$6,0),MATCH(IF('Map 2 Do Touch'!G29&gt;4,"Water","Land"),'Map 3'!$AG$3:$AH$3,0)),INDEX($AK$4:$AL$6,MATCH(INDEX($P$3:$S$6,MATCH(MOD('Map 2 Do Touch'!G29,4),$O$3:$O$6,0),MATCH(MOD('Map 2 Do Touch'!G30,4),$P$2:$S$2,0)),'Map 3'!$AJ$4:$AJ$6,0),MATCH(IF('Map 2 Do Touch'!G29&gt;4,"Water","Land"),'Map 3'!$AK$3:$AL$3,0))))</f>
        <v>Flatland</v>
      </c>
      <c r="H34" s="3" t="str">
        <f ca="1">IF('Map 2 Do Touch'!G29&lt;&gt;'Map 2 Do Touch'!G30,IF('Map 2 Do Touch'!H30&gt;4,INDEX($AG$4:$AH$6,MATCH(INDEX($I$3:$L$6,MATCH(MOD('Map 2 Do Touch'!G30,4),$H$3:$H$6,0),MATCH(MOD('Map 2 Do Touch'!H30,4),$I$2:$L$2,0)),$AF$4:$AF$6,0),MATCH(IF('Map 2 Do Touch'!G30&gt;4,"Water","Land"),'Map 3'!$AG$3:$AH$3,0)),INDEX($AK$4:$AL$6,MATCH(INDEX($I$3:$L$6,MATCH(MOD('Map 2 Do Touch'!G30,4),$H$3:$H$6,0),MATCH(MOD('Map 2 Do Touch'!H30,4),$I$2:$L$2,0)),'Map 3'!$AJ$4:$AJ$6,0),MATCH(IF('Map 2 Do Touch'!G30&gt;4,"Water","Land"),'Map 3'!$AK$3:$AL$3,0))),IF('Map 2 Do Touch'!H30&gt;4,INDEX($AG$4:$AH$6,MATCH(INDEX($P$3:$S$6,MATCH(MOD('Map 2 Do Touch'!H29,4),$O$3:$O$6,0),MATCH(MOD('Map 2 Do Touch'!H30,4),$P$2:$S$2,0)),$AF$4:$AF$6,0),MATCH(IF('Map 2 Do Touch'!H29&gt;4,"Water","Land"),'Map 3'!$AG$3:$AH$3,0)),INDEX($AK$4:$AL$6,MATCH(INDEX($P$3:$S$6,MATCH(MOD('Map 2 Do Touch'!H29,4),$O$3:$O$6,0),MATCH(MOD('Map 2 Do Touch'!H30,4),$P$2:$S$2,0)),'Map 3'!$AJ$4:$AJ$6,0),MATCH(IF('Map 2 Do Touch'!H29&gt;4,"Water","Land"),'Map 3'!$AK$3:$AL$3,0))))</f>
        <v>Flatland</v>
      </c>
      <c r="I34" s="3" t="str">
        <f ca="1">IF('Map 2 Do Touch'!H29&lt;&gt;'Map 2 Do Touch'!H30,IF('Map 2 Do Touch'!I30&gt;4,INDEX($AG$4:$AH$6,MATCH(INDEX($I$3:$L$6,MATCH(MOD('Map 2 Do Touch'!H30,4),$H$3:$H$6,0),MATCH(MOD('Map 2 Do Touch'!I30,4),$I$2:$L$2,0)),$AF$4:$AF$6,0),MATCH(IF('Map 2 Do Touch'!H30&gt;4,"Water","Land"),'Map 3'!$AG$3:$AH$3,0)),INDEX($AK$4:$AL$6,MATCH(INDEX($I$3:$L$6,MATCH(MOD('Map 2 Do Touch'!H30,4),$H$3:$H$6,0),MATCH(MOD('Map 2 Do Touch'!I30,4),$I$2:$L$2,0)),'Map 3'!$AJ$4:$AJ$6,0),MATCH(IF('Map 2 Do Touch'!H30&gt;4,"Water","Land"),'Map 3'!$AK$3:$AL$3,0))),IF('Map 2 Do Touch'!I30&gt;4,INDEX($AG$4:$AH$6,MATCH(INDEX($P$3:$S$6,MATCH(MOD('Map 2 Do Touch'!I29,4),$O$3:$O$6,0),MATCH(MOD('Map 2 Do Touch'!I30,4),$P$2:$S$2,0)),$AF$4:$AF$6,0),MATCH(IF('Map 2 Do Touch'!I29&gt;4,"Water","Land"),'Map 3'!$AG$3:$AH$3,0)),INDEX($AK$4:$AL$6,MATCH(INDEX($P$3:$S$6,MATCH(MOD('Map 2 Do Touch'!I29,4),$O$3:$O$6,0),MATCH(MOD('Map 2 Do Touch'!I30,4),$P$2:$S$2,0)),'Map 3'!$AJ$4:$AJ$6,0),MATCH(IF('Map 2 Do Touch'!I29&gt;4,"Water","Land"),'Map 3'!$AK$3:$AL$3,0))))</f>
        <v>Flatland</v>
      </c>
      <c r="J34" s="3" t="str">
        <f ca="1">IF('Map 2 Do Touch'!I29&lt;&gt;'Map 2 Do Touch'!I30,IF('Map 2 Do Touch'!J30&gt;4,INDEX($AG$4:$AH$6,MATCH(INDEX($I$3:$L$6,MATCH(MOD('Map 2 Do Touch'!I30,4),$H$3:$H$6,0),MATCH(MOD('Map 2 Do Touch'!J30,4),$I$2:$L$2,0)),$AF$4:$AF$6,0),MATCH(IF('Map 2 Do Touch'!I30&gt;4,"Water","Land"),'Map 3'!$AG$3:$AH$3,0)),INDEX($AK$4:$AL$6,MATCH(INDEX($I$3:$L$6,MATCH(MOD('Map 2 Do Touch'!I30,4),$H$3:$H$6,0),MATCH(MOD('Map 2 Do Touch'!J30,4),$I$2:$L$2,0)),'Map 3'!$AJ$4:$AJ$6,0),MATCH(IF('Map 2 Do Touch'!I30&gt;4,"Water","Land"),'Map 3'!$AK$3:$AL$3,0))),IF('Map 2 Do Touch'!J30&gt;4,INDEX($AG$4:$AH$6,MATCH(INDEX($P$3:$S$6,MATCH(MOD('Map 2 Do Touch'!J29,4),$O$3:$O$6,0),MATCH(MOD('Map 2 Do Touch'!J30,4),$P$2:$S$2,0)),$AF$4:$AF$6,0),MATCH(IF('Map 2 Do Touch'!J29&gt;4,"Water","Land"),'Map 3'!$AG$3:$AH$3,0)),INDEX($AK$4:$AL$6,MATCH(INDEX($P$3:$S$6,MATCH(MOD('Map 2 Do Touch'!J29,4),$O$3:$O$6,0),MATCH(MOD('Map 2 Do Touch'!J30,4),$P$2:$S$2,0)),'Map 3'!$AJ$4:$AJ$6,0),MATCH(IF('Map 2 Do Touch'!J29&gt;4,"Water","Land"),'Map 3'!$AK$3:$AL$3,0))))</f>
        <v>Coast</v>
      </c>
      <c r="K34" s="3" t="str">
        <f ca="1">IF('Map 2 Do Touch'!J29&lt;&gt;'Map 2 Do Touch'!J30,IF('Map 2 Do Touch'!K30&gt;4,INDEX($AG$4:$AH$6,MATCH(INDEX($I$3:$L$6,MATCH(MOD('Map 2 Do Touch'!J30,4),$H$3:$H$6,0),MATCH(MOD('Map 2 Do Touch'!K30,4),$I$2:$L$2,0)),$AF$4:$AF$6,0),MATCH(IF('Map 2 Do Touch'!J30&gt;4,"Water","Land"),'Map 3'!$AG$3:$AH$3,0)),INDEX($AK$4:$AL$6,MATCH(INDEX($I$3:$L$6,MATCH(MOD('Map 2 Do Touch'!J30,4),$H$3:$H$6,0),MATCH(MOD('Map 2 Do Touch'!K30,4),$I$2:$L$2,0)),'Map 3'!$AJ$4:$AJ$6,0),MATCH(IF('Map 2 Do Touch'!J30&gt;4,"Water","Land"),'Map 3'!$AK$3:$AL$3,0))),IF('Map 2 Do Touch'!K30&gt;4,INDEX($AG$4:$AH$6,MATCH(INDEX($P$3:$S$6,MATCH(MOD('Map 2 Do Touch'!K29,4),$O$3:$O$6,0),MATCH(MOD('Map 2 Do Touch'!K30,4),$P$2:$S$2,0)),$AF$4:$AF$6,0),MATCH(IF('Map 2 Do Touch'!K29&gt;4,"Water","Land"),'Map 3'!$AG$3:$AH$3,0)),INDEX($AK$4:$AL$6,MATCH(INDEX($P$3:$S$6,MATCH(MOD('Map 2 Do Touch'!K29,4),$O$3:$O$6,0),MATCH(MOD('Map 2 Do Touch'!K30,4),$P$2:$S$2,0)),'Map 3'!$AJ$4:$AJ$6,0),MATCH(IF('Map 2 Do Touch'!K29&gt;4,"Water","Land"),'Map 3'!$AK$3:$AL$3,0))))</f>
        <v>Ocean</v>
      </c>
      <c r="L34" s="3" t="str">
        <f ca="1">IF('Map 2 Do Touch'!K29&lt;&gt;'Map 2 Do Touch'!K30,IF('Map 2 Do Touch'!L30&gt;4,INDEX($AG$4:$AH$6,MATCH(INDEX($I$3:$L$6,MATCH(MOD('Map 2 Do Touch'!K30,4),$H$3:$H$6,0),MATCH(MOD('Map 2 Do Touch'!L30,4),$I$2:$L$2,0)),$AF$4:$AF$6,0),MATCH(IF('Map 2 Do Touch'!K30&gt;4,"Water","Land"),'Map 3'!$AG$3:$AH$3,0)),INDEX($AK$4:$AL$6,MATCH(INDEX($I$3:$L$6,MATCH(MOD('Map 2 Do Touch'!K30,4),$H$3:$H$6,0),MATCH(MOD('Map 2 Do Touch'!L30,4),$I$2:$L$2,0)),'Map 3'!$AJ$4:$AJ$6,0),MATCH(IF('Map 2 Do Touch'!K30&gt;4,"Water","Land"),'Map 3'!$AK$3:$AL$3,0))),IF('Map 2 Do Touch'!L30&gt;4,INDEX($AG$4:$AH$6,MATCH(INDEX($P$3:$S$6,MATCH(MOD('Map 2 Do Touch'!L29,4),$O$3:$O$6,0),MATCH(MOD('Map 2 Do Touch'!L30,4),$P$2:$S$2,0)),$AF$4:$AF$6,0),MATCH(IF('Map 2 Do Touch'!L29&gt;4,"Water","Land"),'Map 3'!$AG$3:$AH$3,0)),INDEX($AK$4:$AL$6,MATCH(INDEX($P$3:$S$6,MATCH(MOD('Map 2 Do Touch'!L29,4),$O$3:$O$6,0),MATCH(MOD('Map 2 Do Touch'!L30,4),$P$2:$S$2,0)),'Map 3'!$AJ$4:$AJ$6,0),MATCH(IF('Map 2 Do Touch'!L29&gt;4,"Water","Land"),'Map 3'!$AK$3:$AL$3,0))))</f>
        <v>Ocean</v>
      </c>
      <c r="M34" s="3" t="str">
        <f ca="1">IF('Map 2 Do Touch'!L29&lt;&gt;'Map 2 Do Touch'!L30,IF('Map 2 Do Touch'!M30&gt;4,INDEX($AG$4:$AH$6,MATCH(INDEX($I$3:$L$6,MATCH(MOD('Map 2 Do Touch'!L30,4),$H$3:$H$6,0),MATCH(MOD('Map 2 Do Touch'!M30,4),$I$2:$L$2,0)),$AF$4:$AF$6,0),MATCH(IF('Map 2 Do Touch'!L30&gt;4,"Water","Land"),'Map 3'!$AG$3:$AH$3,0)),INDEX($AK$4:$AL$6,MATCH(INDEX($I$3:$L$6,MATCH(MOD('Map 2 Do Touch'!L30,4),$H$3:$H$6,0),MATCH(MOD('Map 2 Do Touch'!M30,4),$I$2:$L$2,0)),'Map 3'!$AJ$4:$AJ$6,0),MATCH(IF('Map 2 Do Touch'!L30&gt;4,"Water","Land"),'Map 3'!$AK$3:$AL$3,0))),IF('Map 2 Do Touch'!M30&gt;4,INDEX($AG$4:$AH$6,MATCH(INDEX($P$3:$S$6,MATCH(MOD('Map 2 Do Touch'!M29,4),$O$3:$O$6,0),MATCH(MOD('Map 2 Do Touch'!M30,4),$P$2:$S$2,0)),$AF$4:$AF$6,0),MATCH(IF('Map 2 Do Touch'!M29&gt;4,"Water","Land"),'Map 3'!$AG$3:$AH$3,0)),INDEX($AK$4:$AL$6,MATCH(INDEX($P$3:$S$6,MATCH(MOD('Map 2 Do Touch'!M29,4),$O$3:$O$6,0),MATCH(MOD('Map 2 Do Touch'!M30,4),$P$2:$S$2,0)),'Map 3'!$AJ$4:$AJ$6,0),MATCH(IF('Map 2 Do Touch'!M29&gt;4,"Water","Land"),'Map 3'!$AK$3:$AL$3,0))))</f>
        <v>Ocean</v>
      </c>
      <c r="N34" s="3" t="str">
        <f ca="1">IF('Map 2 Do Touch'!M29&lt;&gt;'Map 2 Do Touch'!M30,IF('Map 2 Do Touch'!N30&gt;4,INDEX($AG$4:$AH$6,MATCH(INDEX($I$3:$L$6,MATCH(MOD('Map 2 Do Touch'!M30,4),$H$3:$H$6,0),MATCH(MOD('Map 2 Do Touch'!N30,4),$I$2:$L$2,0)),$AF$4:$AF$6,0),MATCH(IF('Map 2 Do Touch'!M30&gt;4,"Water","Land"),'Map 3'!$AG$3:$AH$3,0)),INDEX($AK$4:$AL$6,MATCH(INDEX($I$3:$L$6,MATCH(MOD('Map 2 Do Touch'!M30,4),$H$3:$H$6,0),MATCH(MOD('Map 2 Do Touch'!N30,4),$I$2:$L$2,0)),'Map 3'!$AJ$4:$AJ$6,0),MATCH(IF('Map 2 Do Touch'!M30&gt;4,"Water","Land"),'Map 3'!$AK$3:$AL$3,0))),IF('Map 2 Do Touch'!N30&gt;4,INDEX($AG$4:$AH$6,MATCH(INDEX($P$3:$S$6,MATCH(MOD('Map 2 Do Touch'!N29,4),$O$3:$O$6,0),MATCH(MOD('Map 2 Do Touch'!N30,4),$P$2:$S$2,0)),$AF$4:$AF$6,0),MATCH(IF('Map 2 Do Touch'!N29&gt;4,"Water","Land"),'Map 3'!$AG$3:$AH$3,0)),INDEX($AK$4:$AL$6,MATCH(INDEX($P$3:$S$6,MATCH(MOD('Map 2 Do Touch'!N29,4),$O$3:$O$6,0),MATCH(MOD('Map 2 Do Touch'!N30,4),$P$2:$S$2,0)),'Map 3'!$AJ$4:$AJ$6,0),MATCH(IF('Map 2 Do Touch'!N29&gt;4,"Water","Land"),'Map 3'!$AK$3:$AL$3,0))))</f>
        <v>Ocean</v>
      </c>
      <c r="O34" s="3" t="str">
        <f ca="1">IF('Map 2 Do Touch'!N29&lt;&gt;'Map 2 Do Touch'!N30,IF('Map 2 Do Touch'!O30&gt;4,INDEX($AG$4:$AH$6,MATCH(INDEX($I$3:$L$6,MATCH(MOD('Map 2 Do Touch'!N30,4),$H$3:$H$6,0),MATCH(MOD('Map 2 Do Touch'!O30,4),$I$2:$L$2,0)),$AF$4:$AF$6,0),MATCH(IF('Map 2 Do Touch'!N30&gt;4,"Water","Land"),'Map 3'!$AG$3:$AH$3,0)),INDEX($AK$4:$AL$6,MATCH(INDEX($I$3:$L$6,MATCH(MOD('Map 2 Do Touch'!N30,4),$H$3:$H$6,0),MATCH(MOD('Map 2 Do Touch'!O30,4),$I$2:$L$2,0)),'Map 3'!$AJ$4:$AJ$6,0),MATCH(IF('Map 2 Do Touch'!N30&gt;4,"Water","Land"),'Map 3'!$AK$3:$AL$3,0))),IF('Map 2 Do Touch'!O30&gt;4,INDEX($AG$4:$AH$6,MATCH(INDEX($P$3:$S$6,MATCH(MOD('Map 2 Do Touch'!O29,4),$O$3:$O$6,0),MATCH(MOD('Map 2 Do Touch'!O30,4),$P$2:$S$2,0)),$AF$4:$AF$6,0),MATCH(IF('Map 2 Do Touch'!O29&gt;4,"Water","Land"),'Map 3'!$AG$3:$AH$3,0)),INDEX($AK$4:$AL$6,MATCH(INDEX($P$3:$S$6,MATCH(MOD('Map 2 Do Touch'!O29,4),$O$3:$O$6,0),MATCH(MOD('Map 2 Do Touch'!O30,4),$P$2:$S$2,0)),'Map 3'!$AJ$4:$AJ$6,0),MATCH(IF('Map 2 Do Touch'!O29&gt;4,"Water","Land"),'Map 3'!$AK$3:$AL$3,0))))</f>
        <v>Ocean</v>
      </c>
      <c r="P34" s="3" t="str">
        <f ca="1">IF('Map 2 Do Touch'!O29&lt;&gt;'Map 2 Do Touch'!O30,IF('Map 2 Do Touch'!P30&gt;4,INDEX($AG$4:$AH$6,MATCH(INDEX($I$3:$L$6,MATCH(MOD('Map 2 Do Touch'!O30,4),$H$3:$H$6,0),MATCH(MOD('Map 2 Do Touch'!P30,4),$I$2:$L$2,0)),$AF$4:$AF$6,0),MATCH(IF('Map 2 Do Touch'!O30&gt;4,"Water","Land"),'Map 3'!$AG$3:$AH$3,0)),INDEX($AK$4:$AL$6,MATCH(INDEX($I$3:$L$6,MATCH(MOD('Map 2 Do Touch'!O30,4),$H$3:$H$6,0),MATCH(MOD('Map 2 Do Touch'!P30,4),$I$2:$L$2,0)),'Map 3'!$AJ$4:$AJ$6,0),MATCH(IF('Map 2 Do Touch'!O30&gt;4,"Water","Land"),'Map 3'!$AK$3:$AL$3,0))),IF('Map 2 Do Touch'!P30&gt;4,INDEX($AG$4:$AH$6,MATCH(INDEX($P$3:$S$6,MATCH(MOD('Map 2 Do Touch'!P29,4),$O$3:$O$6,0),MATCH(MOD('Map 2 Do Touch'!P30,4),$P$2:$S$2,0)),$AF$4:$AF$6,0),MATCH(IF('Map 2 Do Touch'!P29&gt;4,"Water","Land"),'Map 3'!$AG$3:$AH$3,0)),INDEX($AK$4:$AL$6,MATCH(INDEX($P$3:$S$6,MATCH(MOD('Map 2 Do Touch'!P29,4),$O$3:$O$6,0),MATCH(MOD('Map 2 Do Touch'!P30,4),$P$2:$S$2,0)),'Map 3'!$AJ$4:$AJ$6,0),MATCH(IF('Map 2 Do Touch'!P29&gt;4,"Water","Land"),'Map 3'!$AK$3:$AL$3,0))))</f>
        <v>Ocean</v>
      </c>
      <c r="Q34" s="3" t="str">
        <f ca="1">IF('Map 2 Do Touch'!P29&lt;&gt;'Map 2 Do Touch'!P30,IF('Map 2 Do Touch'!Q30&gt;4,INDEX($AG$4:$AH$6,MATCH(INDEX($I$3:$L$6,MATCH(MOD('Map 2 Do Touch'!P30,4),$H$3:$H$6,0),MATCH(MOD('Map 2 Do Touch'!Q30,4),$I$2:$L$2,0)),$AF$4:$AF$6,0),MATCH(IF('Map 2 Do Touch'!P30&gt;4,"Water","Land"),'Map 3'!$AG$3:$AH$3,0)),INDEX($AK$4:$AL$6,MATCH(INDEX($I$3:$L$6,MATCH(MOD('Map 2 Do Touch'!P30,4),$H$3:$H$6,0),MATCH(MOD('Map 2 Do Touch'!Q30,4),$I$2:$L$2,0)),'Map 3'!$AJ$4:$AJ$6,0),MATCH(IF('Map 2 Do Touch'!P30&gt;4,"Water","Land"),'Map 3'!$AK$3:$AL$3,0))),IF('Map 2 Do Touch'!Q30&gt;4,INDEX($AG$4:$AH$6,MATCH(INDEX($P$3:$S$6,MATCH(MOD('Map 2 Do Touch'!Q29,4),$O$3:$O$6,0),MATCH(MOD('Map 2 Do Touch'!Q30,4),$P$2:$S$2,0)),$AF$4:$AF$6,0),MATCH(IF('Map 2 Do Touch'!Q29&gt;4,"Water","Land"),'Map 3'!$AG$3:$AH$3,0)),INDEX($AK$4:$AL$6,MATCH(INDEX($P$3:$S$6,MATCH(MOD('Map 2 Do Touch'!Q29,4),$O$3:$O$6,0),MATCH(MOD('Map 2 Do Touch'!Q30,4),$P$2:$S$2,0)),'Map 3'!$AJ$4:$AJ$6,0),MATCH(IF('Map 2 Do Touch'!Q29&gt;4,"Water","Land"),'Map 3'!$AK$3:$AL$3,0))))</f>
        <v>Ocean</v>
      </c>
      <c r="R34" s="3" t="str">
        <f ca="1">IF('Map 2 Do Touch'!Q29&lt;&gt;'Map 2 Do Touch'!Q30,IF('Map 2 Do Touch'!R30&gt;4,INDEX($AG$4:$AH$6,MATCH(INDEX($I$3:$L$6,MATCH(MOD('Map 2 Do Touch'!Q30,4),$H$3:$H$6,0),MATCH(MOD('Map 2 Do Touch'!R30,4),$I$2:$L$2,0)),$AF$4:$AF$6,0),MATCH(IF('Map 2 Do Touch'!Q30&gt;4,"Water","Land"),'Map 3'!$AG$3:$AH$3,0)),INDEX($AK$4:$AL$6,MATCH(INDEX($I$3:$L$6,MATCH(MOD('Map 2 Do Touch'!Q30,4),$H$3:$H$6,0),MATCH(MOD('Map 2 Do Touch'!R30,4),$I$2:$L$2,0)),'Map 3'!$AJ$4:$AJ$6,0),MATCH(IF('Map 2 Do Touch'!Q30&gt;4,"Water","Land"),'Map 3'!$AK$3:$AL$3,0))),IF('Map 2 Do Touch'!R30&gt;4,INDEX($AG$4:$AH$6,MATCH(INDEX($P$3:$S$6,MATCH(MOD('Map 2 Do Touch'!R29,4),$O$3:$O$6,0),MATCH(MOD('Map 2 Do Touch'!R30,4),$P$2:$S$2,0)),$AF$4:$AF$6,0),MATCH(IF('Map 2 Do Touch'!R29&gt;4,"Water","Land"),'Map 3'!$AG$3:$AH$3,0)),INDEX($AK$4:$AL$6,MATCH(INDEX($P$3:$S$6,MATCH(MOD('Map 2 Do Touch'!R29,4),$O$3:$O$6,0),MATCH(MOD('Map 2 Do Touch'!R30,4),$P$2:$S$2,0)),'Map 3'!$AJ$4:$AJ$6,0),MATCH(IF('Map 2 Do Touch'!R29&gt;4,"Water","Land"),'Map 3'!$AK$3:$AL$3,0))))</f>
        <v>Ocean</v>
      </c>
      <c r="S34" s="3" t="str">
        <f ca="1">IF('Map 2 Do Touch'!R29&lt;&gt;'Map 2 Do Touch'!R30,IF('Map 2 Do Touch'!S30&gt;4,INDEX($AG$4:$AH$6,MATCH(INDEX($I$3:$L$6,MATCH(MOD('Map 2 Do Touch'!R30,4),$H$3:$H$6,0),MATCH(MOD('Map 2 Do Touch'!S30,4),$I$2:$L$2,0)),$AF$4:$AF$6,0),MATCH(IF('Map 2 Do Touch'!R30&gt;4,"Water","Land"),'Map 3'!$AG$3:$AH$3,0)),INDEX($AK$4:$AL$6,MATCH(INDEX($I$3:$L$6,MATCH(MOD('Map 2 Do Touch'!R30,4),$H$3:$H$6,0),MATCH(MOD('Map 2 Do Touch'!S30,4),$I$2:$L$2,0)),'Map 3'!$AJ$4:$AJ$6,0),MATCH(IF('Map 2 Do Touch'!R30&gt;4,"Water","Land"),'Map 3'!$AK$3:$AL$3,0))),IF('Map 2 Do Touch'!S30&gt;4,INDEX($AG$4:$AH$6,MATCH(INDEX($P$3:$S$6,MATCH(MOD('Map 2 Do Touch'!S29,4),$O$3:$O$6,0),MATCH(MOD('Map 2 Do Touch'!S30,4),$P$2:$S$2,0)),$AF$4:$AF$6,0),MATCH(IF('Map 2 Do Touch'!S29&gt;4,"Water","Land"),'Map 3'!$AG$3:$AH$3,0)),INDEX($AK$4:$AL$6,MATCH(INDEX($P$3:$S$6,MATCH(MOD('Map 2 Do Touch'!S29,4),$O$3:$O$6,0),MATCH(MOD('Map 2 Do Touch'!S30,4),$P$2:$S$2,0)),'Map 3'!$AJ$4:$AJ$6,0),MATCH(IF('Map 2 Do Touch'!S29&gt;4,"Water","Land"),'Map 3'!$AK$3:$AL$3,0))))</f>
        <v>Ocean</v>
      </c>
      <c r="T34" s="3" t="str">
        <f ca="1">IF('Map 2 Do Touch'!S29&lt;&gt;'Map 2 Do Touch'!S30,IF('Map 2 Do Touch'!T30&gt;4,INDEX($AG$4:$AH$6,MATCH(INDEX($I$3:$L$6,MATCH(MOD('Map 2 Do Touch'!S30,4),$H$3:$H$6,0),MATCH(MOD('Map 2 Do Touch'!T30,4),$I$2:$L$2,0)),$AF$4:$AF$6,0),MATCH(IF('Map 2 Do Touch'!S30&gt;4,"Water","Land"),'Map 3'!$AG$3:$AH$3,0)),INDEX($AK$4:$AL$6,MATCH(INDEX($I$3:$L$6,MATCH(MOD('Map 2 Do Touch'!S30,4),$H$3:$H$6,0),MATCH(MOD('Map 2 Do Touch'!T30,4),$I$2:$L$2,0)),'Map 3'!$AJ$4:$AJ$6,0),MATCH(IF('Map 2 Do Touch'!S30&gt;4,"Water","Land"),'Map 3'!$AK$3:$AL$3,0))),IF('Map 2 Do Touch'!T30&gt;4,INDEX($AG$4:$AH$6,MATCH(INDEX($P$3:$S$6,MATCH(MOD('Map 2 Do Touch'!T29,4),$O$3:$O$6,0),MATCH(MOD('Map 2 Do Touch'!T30,4),$P$2:$S$2,0)),$AF$4:$AF$6,0),MATCH(IF('Map 2 Do Touch'!T29&gt;4,"Water","Land"),'Map 3'!$AG$3:$AH$3,0)),INDEX($AK$4:$AL$6,MATCH(INDEX($P$3:$S$6,MATCH(MOD('Map 2 Do Touch'!T29,4),$O$3:$O$6,0),MATCH(MOD('Map 2 Do Touch'!T30,4),$P$2:$S$2,0)),'Map 3'!$AJ$4:$AJ$6,0),MATCH(IF('Map 2 Do Touch'!T29&gt;4,"Water","Land"),'Map 3'!$AK$3:$AL$3,0))))</f>
        <v>Ocean</v>
      </c>
      <c r="U34" s="3" t="str">
        <f ca="1">IF('Map 2 Do Touch'!T29&lt;&gt;'Map 2 Do Touch'!T30,IF('Map 2 Do Touch'!U30&gt;4,INDEX($AG$4:$AH$6,MATCH(INDEX($I$3:$L$6,MATCH(MOD('Map 2 Do Touch'!T30,4),$H$3:$H$6,0),MATCH(MOD('Map 2 Do Touch'!U30,4),$I$2:$L$2,0)),$AF$4:$AF$6,0),MATCH(IF('Map 2 Do Touch'!T30&gt;4,"Water","Land"),'Map 3'!$AG$3:$AH$3,0)),INDEX($AK$4:$AL$6,MATCH(INDEX($I$3:$L$6,MATCH(MOD('Map 2 Do Touch'!T30,4),$H$3:$H$6,0),MATCH(MOD('Map 2 Do Touch'!U30,4),$I$2:$L$2,0)),'Map 3'!$AJ$4:$AJ$6,0),MATCH(IF('Map 2 Do Touch'!T30&gt;4,"Water","Land"),'Map 3'!$AK$3:$AL$3,0))),IF('Map 2 Do Touch'!U30&gt;4,INDEX($AG$4:$AH$6,MATCH(INDEX($P$3:$S$6,MATCH(MOD('Map 2 Do Touch'!U29,4),$O$3:$O$6,0),MATCH(MOD('Map 2 Do Touch'!U30,4),$P$2:$S$2,0)),$AF$4:$AF$6,0),MATCH(IF('Map 2 Do Touch'!U29&gt;4,"Water","Land"),'Map 3'!$AG$3:$AH$3,0)),INDEX($AK$4:$AL$6,MATCH(INDEX($P$3:$S$6,MATCH(MOD('Map 2 Do Touch'!U29,4),$O$3:$O$6,0),MATCH(MOD('Map 2 Do Touch'!U30,4),$P$2:$S$2,0)),'Map 3'!$AJ$4:$AJ$6,0),MATCH(IF('Map 2 Do Touch'!U29&gt;4,"Water","Land"),'Map 3'!$AK$3:$AL$3,0))))</f>
        <v>Ocean</v>
      </c>
      <c r="V34" s="3" t="str">
        <f ca="1">IF('Map 2 Do Touch'!U29&lt;&gt;'Map 2 Do Touch'!U30,IF('Map 2 Do Touch'!V30&gt;4,INDEX($AG$4:$AH$6,MATCH(INDEX($I$3:$L$6,MATCH(MOD('Map 2 Do Touch'!U30,4),$H$3:$H$6,0),MATCH(MOD('Map 2 Do Touch'!V30,4),$I$2:$L$2,0)),$AF$4:$AF$6,0),MATCH(IF('Map 2 Do Touch'!U30&gt;4,"Water","Land"),'Map 3'!$AG$3:$AH$3,0)),INDEX($AK$4:$AL$6,MATCH(INDEX($I$3:$L$6,MATCH(MOD('Map 2 Do Touch'!U30,4),$H$3:$H$6,0),MATCH(MOD('Map 2 Do Touch'!V30,4),$I$2:$L$2,0)),'Map 3'!$AJ$4:$AJ$6,0),MATCH(IF('Map 2 Do Touch'!U30&gt;4,"Water","Land"),'Map 3'!$AK$3:$AL$3,0))),IF('Map 2 Do Touch'!V30&gt;4,INDEX($AG$4:$AH$6,MATCH(INDEX($P$3:$S$6,MATCH(MOD('Map 2 Do Touch'!V29,4),$O$3:$O$6,0),MATCH(MOD('Map 2 Do Touch'!V30,4),$P$2:$S$2,0)),$AF$4:$AF$6,0),MATCH(IF('Map 2 Do Touch'!V29&gt;4,"Water","Land"),'Map 3'!$AG$3:$AH$3,0)),INDEX($AK$4:$AL$6,MATCH(INDEX($P$3:$S$6,MATCH(MOD('Map 2 Do Touch'!V29,4),$O$3:$O$6,0),MATCH(MOD('Map 2 Do Touch'!V30,4),$P$2:$S$2,0)),'Map 3'!$AJ$4:$AJ$6,0),MATCH(IF('Map 2 Do Touch'!V29&gt;4,"Water","Land"),'Map 3'!$AK$3:$AL$3,0))))</f>
        <v>Ocean</v>
      </c>
      <c r="W34" s="3" t="str">
        <f ca="1">IF('Map 2 Do Touch'!V29&lt;&gt;'Map 2 Do Touch'!V30,IF('Map 2 Do Touch'!W30&gt;4,INDEX($AG$4:$AH$6,MATCH(INDEX($I$3:$L$6,MATCH(MOD('Map 2 Do Touch'!V30,4),$H$3:$H$6,0),MATCH(MOD('Map 2 Do Touch'!W30,4),$I$2:$L$2,0)),$AF$4:$AF$6,0),MATCH(IF('Map 2 Do Touch'!V30&gt;4,"Water","Land"),'Map 3'!$AG$3:$AH$3,0)),INDEX($AK$4:$AL$6,MATCH(INDEX($I$3:$L$6,MATCH(MOD('Map 2 Do Touch'!V30,4),$H$3:$H$6,0),MATCH(MOD('Map 2 Do Touch'!W30,4),$I$2:$L$2,0)),'Map 3'!$AJ$4:$AJ$6,0),MATCH(IF('Map 2 Do Touch'!V30&gt;4,"Water","Land"),'Map 3'!$AK$3:$AL$3,0))),IF('Map 2 Do Touch'!W30&gt;4,INDEX($AG$4:$AH$6,MATCH(INDEX($P$3:$S$6,MATCH(MOD('Map 2 Do Touch'!W29,4),$O$3:$O$6,0),MATCH(MOD('Map 2 Do Touch'!W30,4),$P$2:$S$2,0)),$AF$4:$AF$6,0),MATCH(IF('Map 2 Do Touch'!W29&gt;4,"Water","Land"),'Map 3'!$AG$3:$AH$3,0)),INDEX($AK$4:$AL$6,MATCH(INDEX($P$3:$S$6,MATCH(MOD('Map 2 Do Touch'!W29,4),$O$3:$O$6,0),MATCH(MOD('Map 2 Do Touch'!W30,4),$P$2:$S$2,0)),'Map 3'!$AJ$4:$AJ$6,0),MATCH(IF('Map 2 Do Touch'!W29&gt;4,"Water","Land"),'Map 3'!$AK$3:$AL$3,0))))</f>
        <v>Ocean</v>
      </c>
      <c r="X34" s="3" t="str">
        <f ca="1">IF('Map 2 Do Touch'!W29&lt;&gt;'Map 2 Do Touch'!W30,IF('Map 2 Do Touch'!X30&gt;4,INDEX($AG$4:$AH$6,MATCH(INDEX($I$3:$L$6,MATCH(MOD('Map 2 Do Touch'!W30,4),$H$3:$H$6,0),MATCH(MOD('Map 2 Do Touch'!X30,4),$I$2:$L$2,0)),$AF$4:$AF$6,0),MATCH(IF('Map 2 Do Touch'!W30&gt;4,"Water","Land"),'Map 3'!$AG$3:$AH$3,0)),INDEX($AK$4:$AL$6,MATCH(INDEX($I$3:$L$6,MATCH(MOD('Map 2 Do Touch'!W30,4),$H$3:$H$6,0),MATCH(MOD('Map 2 Do Touch'!X30,4),$I$2:$L$2,0)),'Map 3'!$AJ$4:$AJ$6,0),MATCH(IF('Map 2 Do Touch'!W30&gt;4,"Water","Land"),'Map 3'!$AK$3:$AL$3,0))),IF('Map 2 Do Touch'!X30&gt;4,INDEX($AG$4:$AH$6,MATCH(INDEX($P$3:$S$6,MATCH(MOD('Map 2 Do Touch'!X29,4),$O$3:$O$6,0),MATCH(MOD('Map 2 Do Touch'!X30,4),$P$2:$S$2,0)),$AF$4:$AF$6,0),MATCH(IF('Map 2 Do Touch'!X29&gt;4,"Water","Land"),'Map 3'!$AG$3:$AH$3,0)),INDEX($AK$4:$AL$6,MATCH(INDEX($P$3:$S$6,MATCH(MOD('Map 2 Do Touch'!X29,4),$O$3:$O$6,0),MATCH(MOD('Map 2 Do Touch'!X30,4),$P$2:$S$2,0)),'Map 3'!$AJ$4:$AJ$6,0),MATCH(IF('Map 2 Do Touch'!X29&gt;4,"Water","Land"),'Map 3'!$AK$3:$AL$3,0))))</f>
        <v>Ocean</v>
      </c>
      <c r="Y34" s="3" t="str">
        <f ca="1">IF('Map 2 Do Touch'!X29&lt;&gt;'Map 2 Do Touch'!X30,IF('Map 2 Do Touch'!Y30&gt;4,INDEX($AG$4:$AH$6,MATCH(INDEX($I$3:$L$6,MATCH(MOD('Map 2 Do Touch'!X30,4),$H$3:$H$6,0),MATCH(MOD('Map 2 Do Touch'!Y30,4),$I$2:$L$2,0)),$AF$4:$AF$6,0),MATCH(IF('Map 2 Do Touch'!X30&gt;4,"Water","Land"),'Map 3'!$AG$3:$AH$3,0)),INDEX($AK$4:$AL$6,MATCH(INDEX($I$3:$L$6,MATCH(MOD('Map 2 Do Touch'!X30,4),$H$3:$H$6,0),MATCH(MOD('Map 2 Do Touch'!Y30,4),$I$2:$L$2,0)),'Map 3'!$AJ$4:$AJ$6,0),MATCH(IF('Map 2 Do Touch'!X30&gt;4,"Water","Land"),'Map 3'!$AK$3:$AL$3,0))),IF('Map 2 Do Touch'!Y30&gt;4,INDEX($AG$4:$AH$6,MATCH(INDEX($P$3:$S$6,MATCH(MOD('Map 2 Do Touch'!Y29,4),$O$3:$O$6,0),MATCH(MOD('Map 2 Do Touch'!Y30,4),$P$2:$S$2,0)),$AF$4:$AF$6,0),MATCH(IF('Map 2 Do Touch'!Y29&gt;4,"Water","Land"),'Map 3'!$AG$3:$AH$3,0)),INDEX($AK$4:$AL$6,MATCH(INDEX($P$3:$S$6,MATCH(MOD('Map 2 Do Touch'!Y29,4),$O$3:$O$6,0),MATCH(MOD('Map 2 Do Touch'!Y30,4),$P$2:$S$2,0)),'Map 3'!$AJ$4:$AJ$6,0),MATCH(IF('Map 2 Do Touch'!Y29&gt;4,"Water","Land"),'Map 3'!$AK$3:$AL$3,0))))</f>
        <v>Ocean</v>
      </c>
      <c r="Z34" s="3" t="str">
        <f ca="1">IF('Map 2 Do Touch'!Y29&lt;&gt;'Map 2 Do Touch'!Y30,IF('Map 2 Do Touch'!Z30&gt;4,INDEX($AG$4:$AH$6,MATCH(INDEX($I$3:$L$6,MATCH(MOD('Map 2 Do Touch'!Y30,4),$H$3:$H$6,0),MATCH(MOD('Map 2 Do Touch'!Z30,4),$I$2:$L$2,0)),$AF$4:$AF$6,0),MATCH(IF('Map 2 Do Touch'!Y30&gt;4,"Water","Land"),'Map 3'!$AG$3:$AH$3,0)),INDEX($AK$4:$AL$6,MATCH(INDEX($I$3:$L$6,MATCH(MOD('Map 2 Do Touch'!Y30,4),$H$3:$H$6,0),MATCH(MOD('Map 2 Do Touch'!Z30,4),$I$2:$L$2,0)),'Map 3'!$AJ$4:$AJ$6,0),MATCH(IF('Map 2 Do Touch'!Y30&gt;4,"Water","Land"),'Map 3'!$AK$3:$AL$3,0))),IF('Map 2 Do Touch'!Z30&gt;4,INDEX($AG$4:$AH$6,MATCH(INDEX($P$3:$S$6,MATCH(MOD('Map 2 Do Touch'!Z29,4),$O$3:$O$6,0),MATCH(MOD('Map 2 Do Touch'!Z30,4),$P$2:$S$2,0)),$AF$4:$AF$6,0),MATCH(IF('Map 2 Do Touch'!Z29&gt;4,"Water","Land"),'Map 3'!$AG$3:$AH$3,0)),INDEX($AK$4:$AL$6,MATCH(INDEX($P$3:$S$6,MATCH(MOD('Map 2 Do Touch'!Z29,4),$O$3:$O$6,0),MATCH(MOD('Map 2 Do Touch'!Z30,4),$P$2:$S$2,0)),'Map 3'!$AJ$4:$AJ$6,0),MATCH(IF('Map 2 Do Touch'!Z29&gt;4,"Water","Land"),'Map 3'!$AK$3:$AL$3,0))))</f>
        <v>Island</v>
      </c>
      <c r="AA34" s="3" t="str">
        <f ca="1">IF('Map 2 Do Touch'!Z29&lt;&gt;'Map 2 Do Touch'!Z30,IF('Map 2 Do Touch'!AA30&gt;4,INDEX($AG$4:$AH$6,MATCH(INDEX($I$3:$L$6,MATCH(MOD('Map 2 Do Touch'!Z30,4),$H$3:$H$6,0),MATCH(MOD('Map 2 Do Touch'!AA30,4),$I$2:$L$2,0)),$AF$4:$AF$6,0),MATCH(IF('Map 2 Do Touch'!Z30&gt;4,"Water","Land"),'Map 3'!$AG$3:$AH$3,0)),INDEX($AK$4:$AL$6,MATCH(INDEX($I$3:$L$6,MATCH(MOD('Map 2 Do Touch'!Z30,4),$H$3:$H$6,0),MATCH(MOD('Map 2 Do Touch'!AA30,4),$I$2:$L$2,0)),'Map 3'!$AJ$4:$AJ$6,0),MATCH(IF('Map 2 Do Touch'!Z30&gt;4,"Water","Land"),'Map 3'!$AK$3:$AL$3,0))),IF('Map 2 Do Touch'!AA30&gt;4,INDEX($AG$4:$AH$6,MATCH(INDEX($P$3:$S$6,MATCH(MOD('Map 2 Do Touch'!AA29,4),$O$3:$O$6,0),MATCH(MOD('Map 2 Do Touch'!AA30,4),$P$2:$S$2,0)),$AF$4:$AF$6,0),MATCH(IF('Map 2 Do Touch'!AA29&gt;4,"Water","Land"),'Map 3'!$AG$3:$AH$3,0)),INDEX($AK$4:$AL$6,MATCH(INDEX($P$3:$S$6,MATCH(MOD('Map 2 Do Touch'!AA29,4),$O$3:$O$6,0),MATCH(MOD('Map 2 Do Touch'!AA30,4),$P$2:$S$2,0)),'Map 3'!$AJ$4:$AJ$6,0),MATCH(IF('Map 2 Do Touch'!AA29&gt;4,"Water","Land"),'Map 3'!$AK$3:$AL$3,0))))</f>
        <v>Ocean</v>
      </c>
      <c r="AB34" s="3" t="str">
        <f ca="1">IF('Map 2 Do Touch'!AA29&lt;&gt;'Map 2 Do Touch'!AA30,IF('Map 2 Do Touch'!AB30&gt;4,INDEX($AG$4:$AH$6,MATCH(INDEX($I$3:$L$6,MATCH(MOD('Map 2 Do Touch'!AA30,4),$H$3:$H$6,0),MATCH(MOD('Map 2 Do Touch'!AB30,4),$I$2:$L$2,0)),$AF$4:$AF$6,0),MATCH(IF('Map 2 Do Touch'!AA30&gt;4,"Water","Land"),'Map 3'!$AG$3:$AH$3,0)),INDEX($AK$4:$AL$6,MATCH(INDEX($I$3:$L$6,MATCH(MOD('Map 2 Do Touch'!AA30,4),$H$3:$H$6,0),MATCH(MOD('Map 2 Do Touch'!AB30,4),$I$2:$L$2,0)),'Map 3'!$AJ$4:$AJ$6,0),MATCH(IF('Map 2 Do Touch'!AA30&gt;4,"Water","Land"),'Map 3'!$AK$3:$AL$3,0))),IF('Map 2 Do Touch'!AB30&gt;4,INDEX($AG$4:$AH$6,MATCH(INDEX($P$3:$S$6,MATCH(MOD('Map 2 Do Touch'!AB29,4),$O$3:$O$6,0),MATCH(MOD('Map 2 Do Touch'!AB30,4),$P$2:$S$2,0)),$AF$4:$AF$6,0),MATCH(IF('Map 2 Do Touch'!AB29&gt;4,"Water","Land"),'Map 3'!$AG$3:$AH$3,0)),INDEX($AK$4:$AL$6,MATCH(INDEX($P$3:$S$6,MATCH(MOD('Map 2 Do Touch'!AB29,4),$O$3:$O$6,0),MATCH(MOD('Map 2 Do Touch'!AB30,4),$P$2:$S$2,0)),'Map 3'!$AJ$4:$AJ$6,0),MATCH(IF('Map 2 Do Touch'!AB29&gt;4,"Water","Land"),'Map 3'!$AK$3:$AL$3,0))))</f>
        <v>Ocean</v>
      </c>
      <c r="AC34" s="3" t="str">
        <f ca="1">IF('Map 2 Do Touch'!AB29&lt;&gt;'Map 2 Do Touch'!AB30,IF('Map 2 Do Touch'!AC30&gt;4,INDEX($AG$4:$AH$6,MATCH(INDEX($I$3:$L$6,MATCH(MOD('Map 2 Do Touch'!AB30,4),$H$3:$H$6,0),MATCH(MOD('Map 2 Do Touch'!AC30,4),$I$2:$L$2,0)),$AF$4:$AF$6,0),MATCH(IF('Map 2 Do Touch'!AB30&gt;4,"Water","Land"),'Map 3'!$AG$3:$AH$3,0)),INDEX($AK$4:$AL$6,MATCH(INDEX($I$3:$L$6,MATCH(MOD('Map 2 Do Touch'!AB30,4),$H$3:$H$6,0),MATCH(MOD('Map 2 Do Touch'!AC30,4),$I$2:$L$2,0)),'Map 3'!$AJ$4:$AJ$6,0),MATCH(IF('Map 2 Do Touch'!AB30&gt;4,"Water","Land"),'Map 3'!$AK$3:$AL$3,0))),IF('Map 2 Do Touch'!AC30&gt;4,INDEX($AG$4:$AH$6,MATCH(INDEX($P$3:$S$6,MATCH(MOD('Map 2 Do Touch'!AC29,4),$O$3:$O$6,0),MATCH(MOD('Map 2 Do Touch'!AC30,4),$P$2:$S$2,0)),$AF$4:$AF$6,0),MATCH(IF('Map 2 Do Touch'!AC29&gt;4,"Water","Land"),'Map 3'!$AG$3:$AH$3,0)),INDEX($AK$4:$AL$6,MATCH(INDEX($P$3:$S$6,MATCH(MOD('Map 2 Do Touch'!AC29,4),$O$3:$O$6,0),MATCH(MOD('Map 2 Do Touch'!AC30,4),$P$2:$S$2,0)),'Map 3'!$AJ$4:$AJ$6,0),MATCH(IF('Map 2 Do Touch'!AC29&gt;4,"Water","Land"),'Map 3'!$AK$3:$AL$3,0))))</f>
        <v>Ocean</v>
      </c>
      <c r="AD34" s="3" t="str">
        <f ca="1">IF('Map 2 Do Touch'!AC29&lt;&gt;'Map 2 Do Touch'!AC30,IF('Map 2 Do Touch'!AD30&gt;4,INDEX($AG$4:$AH$6,MATCH(INDEX($I$3:$L$6,MATCH(MOD('Map 2 Do Touch'!AC30,4),$H$3:$H$6,0),MATCH(MOD('Map 2 Do Touch'!AD30,4),$I$2:$L$2,0)),$AF$4:$AF$6,0),MATCH(IF('Map 2 Do Touch'!AC30&gt;4,"Water","Land"),'Map 3'!$AG$3:$AH$3,0)),INDEX($AK$4:$AL$6,MATCH(INDEX($I$3:$L$6,MATCH(MOD('Map 2 Do Touch'!AC30,4),$H$3:$H$6,0),MATCH(MOD('Map 2 Do Touch'!AD30,4),$I$2:$L$2,0)),'Map 3'!$AJ$4:$AJ$6,0),MATCH(IF('Map 2 Do Touch'!AC30&gt;4,"Water","Land"),'Map 3'!$AK$3:$AL$3,0))),IF('Map 2 Do Touch'!AD30&gt;4,INDEX($AG$4:$AH$6,MATCH(INDEX($P$3:$S$6,MATCH(MOD('Map 2 Do Touch'!AD29,4),$O$3:$O$6,0),MATCH(MOD('Map 2 Do Touch'!AD30,4),$P$2:$S$2,0)),$AF$4:$AF$6,0),MATCH(IF('Map 2 Do Touch'!AD29&gt;4,"Water","Land"),'Map 3'!$AG$3:$AH$3,0)),INDEX($AK$4:$AL$6,MATCH(INDEX($P$3:$S$6,MATCH(MOD('Map 2 Do Touch'!AD29,4),$O$3:$O$6,0),MATCH(MOD('Map 2 Do Touch'!AD30,4),$P$2:$S$2,0)),'Map 3'!$AJ$4:$AJ$6,0),MATCH(IF('Map 2 Do Touch'!AD29&gt;4,"Water","Land"),'Map 3'!$AK$3:$AL$3,0))))</f>
        <v>Ocean</v>
      </c>
      <c r="AE34" s="3" t="str">
        <f ca="1">IF('Map 2 Do Touch'!AD29&lt;&gt;'Map 2 Do Touch'!AD30,IF('Map 2 Do Touch'!AE30&gt;4,INDEX($AG$4:$AH$6,MATCH(INDEX($I$3:$L$6,MATCH(MOD('Map 2 Do Touch'!AD30,4),$H$3:$H$6,0),MATCH(MOD('Map 2 Do Touch'!AE30,4),$I$2:$L$2,0)),$AF$4:$AF$6,0),MATCH(IF('Map 2 Do Touch'!AD30&gt;4,"Water","Land"),'Map 3'!$AG$3:$AH$3,0)),INDEX($AK$4:$AL$6,MATCH(INDEX($I$3:$L$6,MATCH(MOD('Map 2 Do Touch'!AD30,4),$H$3:$H$6,0),MATCH(MOD('Map 2 Do Touch'!AE30,4),$I$2:$L$2,0)),'Map 3'!$AJ$4:$AJ$6,0),MATCH(IF('Map 2 Do Touch'!AD30&gt;4,"Water","Land"),'Map 3'!$AK$3:$AL$3,0))),IF('Map 2 Do Touch'!AE30&gt;4,INDEX($AG$4:$AH$6,MATCH(INDEX($P$3:$S$6,MATCH(MOD('Map 2 Do Touch'!AE29,4),$O$3:$O$6,0),MATCH(MOD('Map 2 Do Touch'!AE30,4),$P$2:$S$2,0)),$AF$4:$AF$6,0),MATCH(IF('Map 2 Do Touch'!AE29&gt;4,"Water","Land"),'Map 3'!$AG$3:$AH$3,0)),INDEX($AK$4:$AL$6,MATCH(INDEX($P$3:$S$6,MATCH(MOD('Map 2 Do Touch'!AE29,4),$O$3:$O$6,0),MATCH(MOD('Map 2 Do Touch'!AE30,4),$P$2:$S$2,0)),'Map 3'!$AJ$4:$AJ$6,0),MATCH(IF('Map 2 Do Touch'!AE29&gt;4,"Water","Land"),'Map 3'!$AK$3:$AL$3,0))))</f>
        <v>Trench</v>
      </c>
      <c r="AF34" s="3" t="str">
        <f ca="1">IF('Map 2 Do Touch'!AE29&lt;&gt;'Map 2 Do Touch'!AE30,IF('Map 2 Do Touch'!AF30&gt;4,INDEX($AG$4:$AH$6,MATCH(INDEX($I$3:$L$6,MATCH(MOD('Map 2 Do Touch'!AE30,4),$H$3:$H$6,0),MATCH(MOD('Map 2 Do Touch'!AF30,4),$I$2:$L$2,0)),$AF$4:$AF$6,0),MATCH(IF('Map 2 Do Touch'!AE30&gt;4,"Water","Land"),'Map 3'!$AG$3:$AH$3,0)),INDEX($AK$4:$AL$6,MATCH(INDEX($I$3:$L$6,MATCH(MOD('Map 2 Do Touch'!AE30,4),$H$3:$H$6,0),MATCH(MOD('Map 2 Do Touch'!AF30,4),$I$2:$L$2,0)),'Map 3'!$AJ$4:$AJ$6,0),MATCH(IF('Map 2 Do Touch'!AE30&gt;4,"Water","Land"),'Map 3'!$AK$3:$AL$3,0))),IF('Map 2 Do Touch'!AF30&gt;4,INDEX($AG$4:$AH$6,MATCH(INDEX($P$3:$S$6,MATCH(MOD('Map 2 Do Touch'!AF29,4),$O$3:$O$6,0),MATCH(MOD('Map 2 Do Touch'!AF30,4),$P$2:$S$2,0)),$AF$4:$AF$6,0),MATCH(IF('Map 2 Do Touch'!AF29&gt;4,"Water","Land"),'Map 3'!$AG$3:$AH$3,0)),INDEX($AK$4:$AL$6,MATCH(INDEX($P$3:$S$6,MATCH(MOD('Map 2 Do Touch'!AF29,4),$O$3:$O$6,0),MATCH(MOD('Map 2 Do Touch'!AF30,4),$P$2:$S$2,0)),'Map 3'!$AJ$4:$AJ$6,0),MATCH(IF('Map 2 Do Touch'!AF29&gt;4,"Water","Land"),'Map 3'!$AK$3:$AL$3,0))))</f>
        <v>Island</v>
      </c>
      <c r="AG34" s="3" t="str">
        <f ca="1">IF('Map 2 Do Touch'!AF29&lt;&gt;'Map 2 Do Touch'!AF30,IF('Map 2 Do Touch'!AG30&gt;4,INDEX($AG$4:$AH$6,MATCH(INDEX($I$3:$L$6,MATCH(MOD('Map 2 Do Touch'!AF30,4),$H$3:$H$6,0),MATCH(MOD('Map 2 Do Touch'!AG30,4),$I$2:$L$2,0)),$AF$4:$AF$6,0),MATCH(IF('Map 2 Do Touch'!AF30&gt;4,"Water","Land"),'Map 3'!$AG$3:$AH$3,0)),INDEX($AK$4:$AL$6,MATCH(INDEX($I$3:$L$6,MATCH(MOD('Map 2 Do Touch'!AF30,4),$H$3:$H$6,0),MATCH(MOD('Map 2 Do Touch'!AG30,4),$I$2:$L$2,0)),'Map 3'!$AJ$4:$AJ$6,0),MATCH(IF('Map 2 Do Touch'!AF30&gt;4,"Water","Land"),'Map 3'!$AK$3:$AL$3,0))),IF('Map 2 Do Touch'!AG30&gt;4,INDEX($AG$4:$AH$6,MATCH(INDEX($P$3:$S$6,MATCH(MOD('Map 2 Do Touch'!AG29,4),$O$3:$O$6,0),MATCH(MOD('Map 2 Do Touch'!AG30,4),$P$2:$S$2,0)),$AF$4:$AF$6,0),MATCH(IF('Map 2 Do Touch'!AG29&gt;4,"Water","Land"),'Map 3'!$AG$3:$AH$3,0)),INDEX($AK$4:$AL$6,MATCH(INDEX($P$3:$S$6,MATCH(MOD('Map 2 Do Touch'!AG29,4),$O$3:$O$6,0),MATCH(MOD('Map 2 Do Touch'!AG30,4),$P$2:$S$2,0)),'Map 3'!$AJ$4:$AJ$6,0),MATCH(IF('Map 2 Do Touch'!AG29&gt;4,"Water","Land"),'Map 3'!$AK$3:$AL$3,0))))</f>
        <v>Ocean</v>
      </c>
      <c r="AH34" s="3" t="str">
        <f ca="1">IF('Map 2 Do Touch'!AG29&lt;&gt;'Map 2 Do Touch'!AG30,IF('Map 2 Do Touch'!AH30&gt;4,INDEX($AG$4:$AH$6,MATCH(INDEX($I$3:$L$6,MATCH(MOD('Map 2 Do Touch'!AG30,4),$H$3:$H$6,0),MATCH(MOD('Map 2 Do Touch'!AH30,4),$I$2:$L$2,0)),$AF$4:$AF$6,0),MATCH(IF('Map 2 Do Touch'!AG30&gt;4,"Water","Land"),'Map 3'!$AG$3:$AH$3,0)),INDEX($AK$4:$AL$6,MATCH(INDEX($I$3:$L$6,MATCH(MOD('Map 2 Do Touch'!AG30,4),$H$3:$H$6,0),MATCH(MOD('Map 2 Do Touch'!AH30,4),$I$2:$L$2,0)),'Map 3'!$AJ$4:$AJ$6,0),MATCH(IF('Map 2 Do Touch'!AG30&gt;4,"Water","Land"),'Map 3'!$AK$3:$AL$3,0))),IF('Map 2 Do Touch'!AH30&gt;4,INDEX($AG$4:$AH$6,MATCH(INDEX($P$3:$S$6,MATCH(MOD('Map 2 Do Touch'!AH29,4),$O$3:$O$6,0),MATCH(MOD('Map 2 Do Touch'!AH30,4),$P$2:$S$2,0)),$AF$4:$AF$6,0),MATCH(IF('Map 2 Do Touch'!AH29&gt;4,"Water","Land"),'Map 3'!$AG$3:$AH$3,0)),INDEX($AK$4:$AL$6,MATCH(INDEX($P$3:$S$6,MATCH(MOD('Map 2 Do Touch'!AH29,4),$O$3:$O$6,0),MATCH(MOD('Map 2 Do Touch'!AH30,4),$P$2:$S$2,0)),'Map 3'!$AJ$4:$AJ$6,0),MATCH(IF('Map 2 Do Touch'!AH29&gt;4,"Water","Land"),'Map 3'!$AK$3:$AL$3,0))))</f>
        <v>Ocean</v>
      </c>
      <c r="AI34" s="3" t="str">
        <f ca="1">IF('Map 2 Do Touch'!AH29&lt;&gt;'Map 2 Do Touch'!AH30,IF('Map 2 Do Touch'!AI30&gt;4,INDEX($AG$4:$AH$6,MATCH(INDEX($I$3:$L$6,MATCH(MOD('Map 2 Do Touch'!AH30,4),$H$3:$H$6,0),MATCH(MOD('Map 2 Do Touch'!AI30,4),$I$2:$L$2,0)),$AF$4:$AF$6,0),MATCH(IF('Map 2 Do Touch'!AH30&gt;4,"Water","Land"),'Map 3'!$AG$3:$AH$3,0)),INDEX($AK$4:$AL$6,MATCH(INDEX($I$3:$L$6,MATCH(MOD('Map 2 Do Touch'!AH30,4),$H$3:$H$6,0),MATCH(MOD('Map 2 Do Touch'!AI30,4),$I$2:$L$2,0)),'Map 3'!$AJ$4:$AJ$6,0),MATCH(IF('Map 2 Do Touch'!AH30&gt;4,"Water","Land"),'Map 3'!$AK$3:$AL$3,0))),IF('Map 2 Do Touch'!AI30&gt;4,INDEX($AG$4:$AH$6,MATCH(INDEX($P$3:$S$6,MATCH(MOD('Map 2 Do Touch'!AI29,4),$O$3:$O$6,0),MATCH(MOD('Map 2 Do Touch'!AI30,4),$P$2:$S$2,0)),$AF$4:$AF$6,0),MATCH(IF('Map 2 Do Touch'!AI29&gt;4,"Water","Land"),'Map 3'!$AG$3:$AH$3,0)),INDEX($AK$4:$AL$6,MATCH(INDEX($P$3:$S$6,MATCH(MOD('Map 2 Do Touch'!AI29,4),$O$3:$O$6,0),MATCH(MOD('Map 2 Do Touch'!AI30,4),$P$2:$S$2,0)),'Map 3'!$AJ$4:$AJ$6,0),MATCH(IF('Map 2 Do Touch'!AI29&gt;4,"Water","Land"),'Map 3'!$AK$3:$AL$3,0))))</f>
        <v>Ocean</v>
      </c>
      <c r="AJ34" s="3" t="str">
        <f ca="1">IF('Map 2 Do Touch'!AI29&lt;&gt;'Map 2 Do Touch'!AI30,IF('Map 2 Do Touch'!AJ30&gt;4,INDEX($AG$4:$AH$6,MATCH(INDEX($I$3:$L$6,MATCH(MOD('Map 2 Do Touch'!AI30,4),$H$3:$H$6,0),MATCH(MOD('Map 2 Do Touch'!AJ30,4),$I$2:$L$2,0)),$AF$4:$AF$6,0),MATCH(IF('Map 2 Do Touch'!AI30&gt;4,"Water","Land"),'Map 3'!$AG$3:$AH$3,0)),INDEX($AK$4:$AL$6,MATCH(INDEX($I$3:$L$6,MATCH(MOD('Map 2 Do Touch'!AI30,4),$H$3:$H$6,0),MATCH(MOD('Map 2 Do Touch'!AJ30,4),$I$2:$L$2,0)),'Map 3'!$AJ$4:$AJ$6,0),MATCH(IF('Map 2 Do Touch'!AI30&gt;4,"Water","Land"),'Map 3'!$AK$3:$AL$3,0))),IF('Map 2 Do Touch'!AJ30&gt;4,INDEX($AG$4:$AH$6,MATCH(INDEX($P$3:$S$6,MATCH(MOD('Map 2 Do Touch'!AJ29,4),$O$3:$O$6,0),MATCH(MOD('Map 2 Do Touch'!AJ30,4),$P$2:$S$2,0)),$AF$4:$AF$6,0),MATCH(IF('Map 2 Do Touch'!AJ29&gt;4,"Water","Land"),'Map 3'!$AG$3:$AH$3,0)),INDEX($AK$4:$AL$6,MATCH(INDEX($P$3:$S$6,MATCH(MOD('Map 2 Do Touch'!AJ29,4),$O$3:$O$6,0),MATCH(MOD('Map 2 Do Touch'!AJ30,4),$P$2:$S$2,0)),'Map 3'!$AJ$4:$AJ$6,0),MATCH(IF('Map 2 Do Touch'!AJ29&gt;4,"Water","Land"),'Map 3'!$AK$3:$AL$3,0))))</f>
        <v>Trench</v>
      </c>
      <c r="AK34" s="3" t="str">
        <f ca="1">IF('Map 2 Do Touch'!AJ29&lt;&gt;'Map 2 Do Touch'!AJ30,IF('Map 2 Do Touch'!AK30&gt;4,INDEX($AG$4:$AH$6,MATCH(INDEX($I$3:$L$6,MATCH(MOD('Map 2 Do Touch'!AJ30,4),$H$3:$H$6,0),MATCH(MOD('Map 2 Do Touch'!AK30,4),$I$2:$L$2,0)),$AF$4:$AF$6,0),MATCH(IF('Map 2 Do Touch'!AJ30&gt;4,"Water","Land"),'Map 3'!$AG$3:$AH$3,0)),INDEX($AK$4:$AL$6,MATCH(INDEX($I$3:$L$6,MATCH(MOD('Map 2 Do Touch'!AJ30,4),$H$3:$H$6,0),MATCH(MOD('Map 2 Do Touch'!AK30,4),$I$2:$L$2,0)),'Map 3'!$AJ$4:$AJ$6,0),MATCH(IF('Map 2 Do Touch'!AJ30&gt;4,"Water","Land"),'Map 3'!$AK$3:$AL$3,0))),IF('Map 2 Do Touch'!AK30&gt;4,INDEX($AG$4:$AH$6,MATCH(INDEX($P$3:$S$6,MATCH(MOD('Map 2 Do Touch'!AK29,4),$O$3:$O$6,0),MATCH(MOD('Map 2 Do Touch'!AK30,4),$P$2:$S$2,0)),$AF$4:$AF$6,0),MATCH(IF('Map 2 Do Touch'!AK29&gt;4,"Water","Land"),'Map 3'!$AG$3:$AH$3,0)),INDEX($AK$4:$AL$6,MATCH(INDEX($P$3:$S$6,MATCH(MOD('Map 2 Do Touch'!AK29,4),$O$3:$O$6,0),MATCH(MOD('Map 2 Do Touch'!AK30,4),$P$2:$S$2,0)),'Map 3'!$AJ$4:$AJ$6,0),MATCH(IF('Map 2 Do Touch'!AK29&gt;4,"Water","Land"),'Map 3'!$AK$3:$AL$3,0))))</f>
        <v>Ocean</v>
      </c>
      <c r="AL34" s="3" t="str">
        <f ca="1">IF('Map 2 Do Touch'!AK29&lt;&gt;'Map 2 Do Touch'!AK30,IF('Map 2 Do Touch'!AL30&gt;4,INDEX($AG$4:$AH$6,MATCH(INDEX($I$3:$L$6,MATCH(MOD('Map 2 Do Touch'!AK30,4),$H$3:$H$6,0),MATCH(MOD('Map 2 Do Touch'!AL30,4),$I$2:$L$2,0)),$AF$4:$AF$6,0),MATCH(IF('Map 2 Do Touch'!AK30&gt;4,"Water","Land"),'Map 3'!$AG$3:$AH$3,0)),INDEX($AK$4:$AL$6,MATCH(INDEX($I$3:$L$6,MATCH(MOD('Map 2 Do Touch'!AK30,4),$H$3:$H$6,0),MATCH(MOD('Map 2 Do Touch'!AL30,4),$I$2:$L$2,0)),'Map 3'!$AJ$4:$AJ$6,0),MATCH(IF('Map 2 Do Touch'!AK30&gt;4,"Water","Land"),'Map 3'!$AK$3:$AL$3,0))),IF('Map 2 Do Touch'!AL30&gt;4,INDEX($AG$4:$AH$6,MATCH(INDEX($P$3:$S$6,MATCH(MOD('Map 2 Do Touch'!AL29,4),$O$3:$O$6,0),MATCH(MOD('Map 2 Do Touch'!AL30,4),$P$2:$S$2,0)),$AF$4:$AF$6,0),MATCH(IF('Map 2 Do Touch'!AL29&gt;4,"Water","Land"),'Map 3'!$AG$3:$AH$3,0)),INDEX($AK$4:$AL$6,MATCH(INDEX($P$3:$S$6,MATCH(MOD('Map 2 Do Touch'!AL29,4),$O$3:$O$6,0),MATCH(MOD('Map 2 Do Touch'!AL30,4),$P$2:$S$2,0)),'Map 3'!$AJ$4:$AJ$6,0),MATCH(IF('Map 2 Do Touch'!AL29&gt;4,"Water","Land"),'Map 3'!$AK$3:$AL$3,0))))</f>
        <v>Island</v>
      </c>
      <c r="AM34" s="3" t="str">
        <f ca="1">IF('Map 2 Do Touch'!AL29&lt;&gt;'Map 2 Do Touch'!AL30,IF('Map 2 Do Touch'!AM30&gt;4,INDEX($AG$4:$AH$6,MATCH(INDEX($I$3:$L$6,MATCH(MOD('Map 2 Do Touch'!AL30,4),$H$3:$H$6,0),MATCH(MOD('Map 2 Do Touch'!AM30,4),$I$2:$L$2,0)),$AF$4:$AF$6,0),MATCH(IF('Map 2 Do Touch'!AL30&gt;4,"Water","Land"),'Map 3'!$AG$3:$AH$3,0)),INDEX($AK$4:$AL$6,MATCH(INDEX($I$3:$L$6,MATCH(MOD('Map 2 Do Touch'!AL30,4),$H$3:$H$6,0),MATCH(MOD('Map 2 Do Touch'!AM30,4),$I$2:$L$2,0)),'Map 3'!$AJ$4:$AJ$6,0),MATCH(IF('Map 2 Do Touch'!AL30&gt;4,"Water","Land"),'Map 3'!$AK$3:$AL$3,0))),IF('Map 2 Do Touch'!AM30&gt;4,INDEX($AG$4:$AH$6,MATCH(INDEX($P$3:$S$6,MATCH(MOD('Map 2 Do Touch'!AM29,4),$O$3:$O$6,0),MATCH(MOD('Map 2 Do Touch'!AM30,4),$P$2:$S$2,0)),$AF$4:$AF$6,0),MATCH(IF('Map 2 Do Touch'!AM29&gt;4,"Water","Land"),'Map 3'!$AG$3:$AH$3,0)),INDEX($AK$4:$AL$6,MATCH(INDEX($P$3:$S$6,MATCH(MOD('Map 2 Do Touch'!AM29,4),$O$3:$O$6,0),MATCH(MOD('Map 2 Do Touch'!AM30,4),$P$2:$S$2,0)),'Map 3'!$AJ$4:$AJ$6,0),MATCH(IF('Map 2 Do Touch'!AM29&gt;4,"Water","Land"),'Map 3'!$AK$3:$AL$3,0))))</f>
        <v>Ocean</v>
      </c>
      <c r="AN34" s="3" t="str">
        <f ca="1">IF('Map 2 Do Touch'!AM29&lt;&gt;'Map 2 Do Touch'!AM30,IF('Map 2 Do Touch'!AN30&gt;4,INDEX($AG$4:$AH$6,MATCH(INDEX($I$3:$L$6,MATCH(MOD('Map 2 Do Touch'!AM30,4),$H$3:$H$6,0),MATCH(MOD('Map 2 Do Touch'!AN30,4),$I$2:$L$2,0)),$AF$4:$AF$6,0),MATCH(IF('Map 2 Do Touch'!AM30&gt;4,"Water","Land"),'Map 3'!$AG$3:$AH$3,0)),INDEX($AK$4:$AL$6,MATCH(INDEX($I$3:$L$6,MATCH(MOD('Map 2 Do Touch'!AM30,4),$H$3:$H$6,0),MATCH(MOD('Map 2 Do Touch'!AN30,4),$I$2:$L$2,0)),'Map 3'!$AJ$4:$AJ$6,0),MATCH(IF('Map 2 Do Touch'!AM30&gt;4,"Water","Land"),'Map 3'!$AK$3:$AL$3,0))),IF('Map 2 Do Touch'!AN30&gt;4,INDEX($AG$4:$AH$6,MATCH(INDEX($P$3:$S$6,MATCH(MOD('Map 2 Do Touch'!AN29,4),$O$3:$O$6,0),MATCH(MOD('Map 2 Do Touch'!AN30,4),$P$2:$S$2,0)),$AF$4:$AF$6,0),MATCH(IF('Map 2 Do Touch'!AN29&gt;4,"Water","Land"),'Map 3'!$AG$3:$AH$3,0)),INDEX($AK$4:$AL$6,MATCH(INDEX($P$3:$S$6,MATCH(MOD('Map 2 Do Touch'!AN29,4),$O$3:$O$6,0),MATCH(MOD('Map 2 Do Touch'!AN30,4),$P$2:$S$2,0)),'Map 3'!$AJ$4:$AJ$6,0),MATCH(IF('Map 2 Do Touch'!AN29&gt;4,"Water","Land"),'Map 3'!$AK$3:$AL$3,0))))</f>
        <v>Ocean</v>
      </c>
      <c r="AO34" s="87" t="str">
        <f ca="1">IF('Map 2 Do Touch'!AN29&lt;&gt;'Map 2 Do Touch'!AN30,IF('Map 2 Do Touch'!AO30&gt;4,INDEX($AG$4:$AH$6,MATCH(INDEX($I$3:$L$6,MATCH(MOD('Map 2 Do Touch'!AN30,4),$H$3:$H$6,0),MATCH(MOD('Map 2 Do Touch'!AO30,4),$I$2:$L$2,0)),$AF$4:$AF$6,0),MATCH(IF('Map 2 Do Touch'!AN30&gt;4,"Water","Land"),'Map 3'!$AG$3:$AH$3,0)),INDEX($AK$4:$AL$6,MATCH(INDEX($I$3:$L$6,MATCH(MOD('Map 2 Do Touch'!AN30,4),$H$3:$H$6,0),MATCH(MOD('Map 2 Do Touch'!AO30,4),$I$2:$L$2,0)),'Map 3'!$AJ$4:$AJ$6,0),MATCH(IF('Map 2 Do Touch'!AN30&gt;4,"Water","Land"),'Map 3'!$AK$3:$AL$3,0))),IF('Map 2 Do Touch'!AO30&gt;4,INDEX($AG$4:$AH$6,MATCH(INDEX($P$3:$S$6,MATCH(MOD('Map 2 Do Touch'!AO29,4),$O$3:$O$6,0),MATCH(MOD('Map 2 Do Touch'!AO30,4),$P$2:$S$2,0)),$AF$4:$AF$6,0),MATCH(IF('Map 2 Do Touch'!AO29&gt;4,"Water","Land"),'Map 3'!$AG$3:$AH$3,0)),INDEX($AK$4:$AL$6,MATCH(INDEX($P$3:$S$6,MATCH(MOD('Map 2 Do Touch'!AO29,4),$O$3:$O$6,0),MATCH(MOD('Map 2 Do Touch'!AO30,4),$P$2:$S$2,0)),'Map 3'!$AJ$4:$AJ$6,0),MATCH(IF('Map 2 Do Touch'!AO29&gt;4,"Water","Land"),'Map 3'!$AK$3:$AL$3,0))))</f>
        <v>Ocean</v>
      </c>
      <c r="AP34" s="3"/>
    </row>
    <row r="35" spans="1:42" ht="37.5" customHeight="1">
      <c r="A35" s="3">
        <v>24</v>
      </c>
      <c r="B35" s="86" t="str">
        <f ca="1">IF('Map 2 Do Touch'!B30&lt;&gt;'Map 2 Do Touch'!B31,IF('Map 2 Do Touch'!B31&gt;4,INDEX($AG$4:$AH$6,MATCH(INDEX($I$3:$L$6,MATCH(MOD('Map 2 Do Touch'!AO31,4),$H$3:$H$6,0),MATCH(MOD('Map 2 Do Touch'!B31,4),$I$2:$L$2,0)),$AF$4:$AF$6,0),MATCH(IF('Map 2 Do Touch'!AO31&gt;4,"Water","Land"),'Map 3'!$AG$3:$AH$3,0)),INDEX($AK$4:$AL$6,MATCH(INDEX($I$3:$L$6,MATCH(MOD('Map 2 Do Touch'!A31,4),$H$3:$H$6,0),MATCH(MOD('Map 2 Do Touch'!B31,4),$I$2:$L$2,0)),'Map 3'!$AJ$4:$AJ$6,0),MATCH(IF('Map 2 Do Touch'!AO31&gt;4,"Water","Land"),'Map 3'!$AK$3:$AL$3,0))),IF('Map 2 Do Touch'!B31&gt;4,INDEX($AG$4:$AH$6,MATCH(INDEX($P$3:$S$6,MATCH(MOD('Map 2 Do Touch'!B30,4),$O$3:$O$6,0),MATCH(MOD('Map 2 Do Touch'!B31,4),$P$2:$S$2,0)),$AF$4:$AF$6,0),MATCH(IF('Map 2 Do Touch'!B30&gt;4,"Water","Land"),'Map 3'!$AG$3:$AH$3,0)),INDEX($AK$4:$AL$6,MATCH(INDEX($P$3:$S$6,MATCH(MOD('Map 2 Do Touch'!B30,4),$O$3:$O$6,0),MATCH(MOD('Map 2 Do Touch'!B31,4),$P$2:$S$2,0)),'Map 3'!$AJ$4:$AJ$6,0),MATCH(IF('Map 2 Do Touch'!B30&gt;4,"Water","Land"),'Map 3'!$AK$3:$AL$3,0))))</f>
        <v>Ocean</v>
      </c>
      <c r="C35" s="3" t="str">
        <f ca="1">IF('Map 2 Do Touch'!B30&lt;&gt;'Map 2 Do Touch'!B31,IF('Map 2 Do Touch'!C31&gt;4,INDEX($AG$4:$AH$6,MATCH(INDEX($I$3:$L$6,MATCH(MOD('Map 2 Do Touch'!B31,4),$H$3:$H$6,0),MATCH(MOD('Map 2 Do Touch'!C31,4),$I$2:$L$2,0)),$AF$4:$AF$6,0),MATCH(IF('Map 2 Do Touch'!B31&gt;4,"Water","Land"),'Map 3'!$AG$3:$AH$3,0)),INDEX($AK$4:$AL$6,MATCH(INDEX($I$3:$L$6,MATCH(MOD('Map 2 Do Touch'!B31,4),$H$3:$H$6,0),MATCH(MOD('Map 2 Do Touch'!C31,4),$I$2:$L$2,0)),'Map 3'!$AJ$4:$AJ$6,0),MATCH(IF('Map 2 Do Touch'!B31&gt;4,"Water","Land"),'Map 3'!$AK$3:$AL$3,0))),IF('Map 2 Do Touch'!C31&gt;4,INDEX($AG$4:$AH$6,MATCH(INDEX($P$3:$S$6,MATCH(MOD('Map 2 Do Touch'!C30,4),$O$3:$O$6,0),MATCH(MOD('Map 2 Do Touch'!C31,4),$P$2:$S$2,0)),$AF$4:$AF$6,0),MATCH(IF('Map 2 Do Touch'!C30&gt;4,"Water","Land"),'Map 3'!$AG$3:$AH$3,0)),INDEX($AK$4:$AL$6,MATCH(INDEX($P$3:$S$6,MATCH(MOD('Map 2 Do Touch'!C30,4),$O$3:$O$6,0),MATCH(MOD('Map 2 Do Touch'!C31,4),$P$2:$S$2,0)),'Map 3'!$AJ$4:$AJ$6,0),MATCH(IF('Map 2 Do Touch'!C30&gt;4,"Water","Land"),'Map 3'!$AK$3:$AL$3,0))))</f>
        <v>Coast</v>
      </c>
      <c r="D35" s="3" t="str">
        <f ca="1">IF('Map 2 Do Touch'!C30&lt;&gt;'Map 2 Do Touch'!C31,IF('Map 2 Do Touch'!D31&gt;4,INDEX($AG$4:$AH$6,MATCH(INDEX($I$3:$L$6,MATCH(MOD('Map 2 Do Touch'!C31,4),$H$3:$H$6,0),MATCH(MOD('Map 2 Do Touch'!D31,4),$I$2:$L$2,0)),$AF$4:$AF$6,0),MATCH(IF('Map 2 Do Touch'!C31&gt;4,"Water","Land"),'Map 3'!$AG$3:$AH$3,0)),INDEX($AK$4:$AL$6,MATCH(INDEX($I$3:$L$6,MATCH(MOD('Map 2 Do Touch'!C31,4),$H$3:$H$6,0),MATCH(MOD('Map 2 Do Touch'!D31,4),$I$2:$L$2,0)),'Map 3'!$AJ$4:$AJ$6,0),MATCH(IF('Map 2 Do Touch'!C31&gt;4,"Water","Land"),'Map 3'!$AK$3:$AL$3,0))),IF('Map 2 Do Touch'!D31&gt;4,INDEX($AG$4:$AH$6,MATCH(INDEX($P$3:$S$6,MATCH(MOD('Map 2 Do Touch'!D30,4),$O$3:$O$6,0),MATCH(MOD('Map 2 Do Touch'!D31,4),$P$2:$S$2,0)),$AF$4:$AF$6,0),MATCH(IF('Map 2 Do Touch'!D30&gt;4,"Water","Land"),'Map 3'!$AG$3:$AH$3,0)),INDEX($AK$4:$AL$6,MATCH(INDEX($P$3:$S$6,MATCH(MOD('Map 2 Do Touch'!D30,4),$O$3:$O$6,0),MATCH(MOD('Map 2 Do Touch'!D31,4),$P$2:$S$2,0)),'Map 3'!$AJ$4:$AJ$6,0),MATCH(IF('Map 2 Do Touch'!D30&gt;4,"Water","Land"),'Map 3'!$AK$3:$AL$3,0))))</f>
        <v>Coast</v>
      </c>
      <c r="E35" s="3" t="str">
        <f ca="1">IF('Map 2 Do Touch'!D30&lt;&gt;'Map 2 Do Touch'!D31,IF('Map 2 Do Touch'!E31&gt;4,INDEX($AG$4:$AH$6,MATCH(INDEX($I$3:$L$6,MATCH(MOD('Map 2 Do Touch'!D31,4),$H$3:$H$6,0),MATCH(MOD('Map 2 Do Touch'!E31,4),$I$2:$L$2,0)),$AF$4:$AF$6,0),MATCH(IF('Map 2 Do Touch'!D31&gt;4,"Water","Land"),'Map 3'!$AG$3:$AH$3,0)),INDEX($AK$4:$AL$6,MATCH(INDEX($I$3:$L$6,MATCH(MOD('Map 2 Do Touch'!D31,4),$H$3:$H$6,0),MATCH(MOD('Map 2 Do Touch'!E31,4),$I$2:$L$2,0)),'Map 3'!$AJ$4:$AJ$6,0),MATCH(IF('Map 2 Do Touch'!D31&gt;4,"Water","Land"),'Map 3'!$AK$3:$AL$3,0))),IF('Map 2 Do Touch'!E31&gt;4,INDEX($AG$4:$AH$6,MATCH(INDEX($P$3:$S$6,MATCH(MOD('Map 2 Do Touch'!E30,4),$O$3:$O$6,0),MATCH(MOD('Map 2 Do Touch'!E31,4),$P$2:$S$2,0)),$AF$4:$AF$6,0),MATCH(IF('Map 2 Do Touch'!E30&gt;4,"Water","Land"),'Map 3'!$AG$3:$AH$3,0)),INDEX($AK$4:$AL$6,MATCH(INDEX($P$3:$S$6,MATCH(MOD('Map 2 Do Touch'!E30,4),$O$3:$O$6,0),MATCH(MOD('Map 2 Do Touch'!E31,4),$P$2:$S$2,0)),'Map 3'!$AJ$4:$AJ$6,0),MATCH(IF('Map 2 Do Touch'!E30&gt;4,"Water","Land"),'Map 3'!$AK$3:$AL$3,0))))</f>
        <v>Coast</v>
      </c>
      <c r="F35" s="3" t="str">
        <f ca="1">IF('Map 2 Do Touch'!E30&lt;&gt;'Map 2 Do Touch'!E31,IF('Map 2 Do Touch'!F31&gt;4,INDEX($AG$4:$AH$6,MATCH(INDEX($I$3:$L$6,MATCH(MOD('Map 2 Do Touch'!E31,4),$H$3:$H$6,0),MATCH(MOD('Map 2 Do Touch'!F31,4),$I$2:$L$2,0)),$AF$4:$AF$6,0),MATCH(IF('Map 2 Do Touch'!E31&gt;4,"Water","Land"),'Map 3'!$AG$3:$AH$3,0)),INDEX($AK$4:$AL$6,MATCH(INDEX($I$3:$L$6,MATCH(MOD('Map 2 Do Touch'!E31,4),$H$3:$H$6,0),MATCH(MOD('Map 2 Do Touch'!F31,4),$I$2:$L$2,0)),'Map 3'!$AJ$4:$AJ$6,0),MATCH(IF('Map 2 Do Touch'!E31&gt;4,"Water","Land"),'Map 3'!$AK$3:$AL$3,0))),IF('Map 2 Do Touch'!F31&gt;4,INDEX($AG$4:$AH$6,MATCH(INDEX($P$3:$S$6,MATCH(MOD('Map 2 Do Touch'!F30,4),$O$3:$O$6,0),MATCH(MOD('Map 2 Do Touch'!F31,4),$P$2:$S$2,0)),$AF$4:$AF$6,0),MATCH(IF('Map 2 Do Touch'!F30&gt;4,"Water","Land"),'Map 3'!$AG$3:$AH$3,0)),INDEX($AK$4:$AL$6,MATCH(INDEX($P$3:$S$6,MATCH(MOD('Map 2 Do Touch'!F30,4),$O$3:$O$6,0),MATCH(MOD('Map 2 Do Touch'!F31,4),$P$2:$S$2,0)),'Map 3'!$AJ$4:$AJ$6,0),MATCH(IF('Map 2 Do Touch'!F30&gt;4,"Water","Land"),'Map 3'!$AK$3:$AL$3,0))))</f>
        <v>Coast</v>
      </c>
      <c r="G35" s="3" t="str">
        <f ca="1">IF('Map 2 Do Touch'!F30&lt;&gt;'Map 2 Do Touch'!F31,IF('Map 2 Do Touch'!G31&gt;4,INDEX($AG$4:$AH$6,MATCH(INDEX($I$3:$L$6,MATCH(MOD('Map 2 Do Touch'!F31,4),$H$3:$H$6,0),MATCH(MOD('Map 2 Do Touch'!G31,4),$I$2:$L$2,0)),$AF$4:$AF$6,0),MATCH(IF('Map 2 Do Touch'!F31&gt;4,"Water","Land"),'Map 3'!$AG$3:$AH$3,0)),INDEX($AK$4:$AL$6,MATCH(INDEX($I$3:$L$6,MATCH(MOD('Map 2 Do Touch'!F31,4),$H$3:$H$6,0),MATCH(MOD('Map 2 Do Touch'!G31,4),$I$2:$L$2,0)),'Map 3'!$AJ$4:$AJ$6,0),MATCH(IF('Map 2 Do Touch'!F31&gt;4,"Water","Land"),'Map 3'!$AK$3:$AL$3,0))),IF('Map 2 Do Touch'!G31&gt;4,INDEX($AG$4:$AH$6,MATCH(INDEX($P$3:$S$6,MATCH(MOD('Map 2 Do Touch'!G30,4),$O$3:$O$6,0),MATCH(MOD('Map 2 Do Touch'!G31,4),$P$2:$S$2,0)),$AF$4:$AF$6,0),MATCH(IF('Map 2 Do Touch'!G30&gt;4,"Water","Land"),'Map 3'!$AG$3:$AH$3,0)),INDEX($AK$4:$AL$6,MATCH(INDEX($P$3:$S$6,MATCH(MOD('Map 2 Do Touch'!G30,4),$O$3:$O$6,0),MATCH(MOD('Map 2 Do Touch'!G31,4),$P$2:$S$2,0)),'Map 3'!$AJ$4:$AJ$6,0),MATCH(IF('Map 2 Do Touch'!G30&gt;4,"Water","Land"),'Map 3'!$AK$3:$AL$3,0))))</f>
        <v>Coast</v>
      </c>
      <c r="H35" s="3" t="str">
        <f ca="1">IF('Map 2 Do Touch'!G30&lt;&gt;'Map 2 Do Touch'!G31,IF('Map 2 Do Touch'!H31&gt;4,INDEX($AG$4:$AH$6,MATCH(INDEX($I$3:$L$6,MATCH(MOD('Map 2 Do Touch'!G31,4),$H$3:$H$6,0),MATCH(MOD('Map 2 Do Touch'!H31,4),$I$2:$L$2,0)),$AF$4:$AF$6,0),MATCH(IF('Map 2 Do Touch'!G31&gt;4,"Water","Land"),'Map 3'!$AG$3:$AH$3,0)),INDEX($AK$4:$AL$6,MATCH(INDEX($I$3:$L$6,MATCH(MOD('Map 2 Do Touch'!G31,4),$H$3:$H$6,0),MATCH(MOD('Map 2 Do Touch'!H31,4),$I$2:$L$2,0)),'Map 3'!$AJ$4:$AJ$6,0),MATCH(IF('Map 2 Do Touch'!G31&gt;4,"Water","Land"),'Map 3'!$AK$3:$AL$3,0))),IF('Map 2 Do Touch'!H31&gt;4,INDEX($AG$4:$AH$6,MATCH(INDEX($P$3:$S$6,MATCH(MOD('Map 2 Do Touch'!H30,4),$O$3:$O$6,0),MATCH(MOD('Map 2 Do Touch'!H31,4),$P$2:$S$2,0)),$AF$4:$AF$6,0),MATCH(IF('Map 2 Do Touch'!H30&gt;4,"Water","Land"),'Map 3'!$AG$3:$AH$3,0)),INDEX($AK$4:$AL$6,MATCH(INDEX($P$3:$S$6,MATCH(MOD('Map 2 Do Touch'!H30,4),$O$3:$O$6,0),MATCH(MOD('Map 2 Do Touch'!H31,4),$P$2:$S$2,0)),'Map 3'!$AJ$4:$AJ$6,0),MATCH(IF('Map 2 Do Touch'!H30&gt;4,"Water","Land"),'Map 3'!$AK$3:$AL$3,0))))</f>
        <v>Flatland</v>
      </c>
      <c r="I35" s="3" t="str">
        <f ca="1">IF('Map 2 Do Touch'!H30&lt;&gt;'Map 2 Do Touch'!H31,IF('Map 2 Do Touch'!I31&gt;4,INDEX($AG$4:$AH$6,MATCH(INDEX($I$3:$L$6,MATCH(MOD('Map 2 Do Touch'!H31,4),$H$3:$H$6,0),MATCH(MOD('Map 2 Do Touch'!I31,4),$I$2:$L$2,0)),$AF$4:$AF$6,0),MATCH(IF('Map 2 Do Touch'!H31&gt;4,"Water","Land"),'Map 3'!$AG$3:$AH$3,0)),INDEX($AK$4:$AL$6,MATCH(INDEX($I$3:$L$6,MATCH(MOD('Map 2 Do Touch'!H31,4),$H$3:$H$6,0),MATCH(MOD('Map 2 Do Touch'!I31,4),$I$2:$L$2,0)),'Map 3'!$AJ$4:$AJ$6,0),MATCH(IF('Map 2 Do Touch'!H31&gt;4,"Water","Land"),'Map 3'!$AK$3:$AL$3,0))),IF('Map 2 Do Touch'!I31&gt;4,INDEX($AG$4:$AH$6,MATCH(INDEX($P$3:$S$6,MATCH(MOD('Map 2 Do Touch'!I30,4),$O$3:$O$6,0),MATCH(MOD('Map 2 Do Touch'!I31,4),$P$2:$S$2,0)),$AF$4:$AF$6,0),MATCH(IF('Map 2 Do Touch'!I30&gt;4,"Water","Land"),'Map 3'!$AG$3:$AH$3,0)),INDEX($AK$4:$AL$6,MATCH(INDEX($P$3:$S$6,MATCH(MOD('Map 2 Do Touch'!I30,4),$O$3:$O$6,0),MATCH(MOD('Map 2 Do Touch'!I31,4),$P$2:$S$2,0)),'Map 3'!$AJ$4:$AJ$6,0),MATCH(IF('Map 2 Do Touch'!I30&gt;4,"Water","Land"),'Map 3'!$AK$3:$AL$3,0))))</f>
        <v>Coast</v>
      </c>
      <c r="J35" s="3" t="str">
        <f ca="1">IF('Map 2 Do Touch'!I30&lt;&gt;'Map 2 Do Touch'!I31,IF('Map 2 Do Touch'!J31&gt;4,INDEX($AG$4:$AH$6,MATCH(INDEX($I$3:$L$6,MATCH(MOD('Map 2 Do Touch'!I31,4),$H$3:$H$6,0),MATCH(MOD('Map 2 Do Touch'!J31,4),$I$2:$L$2,0)),$AF$4:$AF$6,0),MATCH(IF('Map 2 Do Touch'!I31&gt;4,"Water","Land"),'Map 3'!$AG$3:$AH$3,0)),INDEX($AK$4:$AL$6,MATCH(INDEX($I$3:$L$6,MATCH(MOD('Map 2 Do Touch'!I31,4),$H$3:$H$6,0),MATCH(MOD('Map 2 Do Touch'!J31,4),$I$2:$L$2,0)),'Map 3'!$AJ$4:$AJ$6,0),MATCH(IF('Map 2 Do Touch'!I31&gt;4,"Water","Land"),'Map 3'!$AK$3:$AL$3,0))),IF('Map 2 Do Touch'!J31&gt;4,INDEX($AG$4:$AH$6,MATCH(INDEX($P$3:$S$6,MATCH(MOD('Map 2 Do Touch'!J30,4),$O$3:$O$6,0),MATCH(MOD('Map 2 Do Touch'!J31,4),$P$2:$S$2,0)),$AF$4:$AF$6,0),MATCH(IF('Map 2 Do Touch'!J30&gt;4,"Water","Land"),'Map 3'!$AG$3:$AH$3,0)),INDEX($AK$4:$AL$6,MATCH(INDEX($P$3:$S$6,MATCH(MOD('Map 2 Do Touch'!J30,4),$O$3:$O$6,0),MATCH(MOD('Map 2 Do Touch'!J31,4),$P$2:$S$2,0)),'Map 3'!$AJ$4:$AJ$6,0),MATCH(IF('Map 2 Do Touch'!J30&gt;4,"Water","Land"),'Map 3'!$AK$3:$AL$3,0))))</f>
        <v>Ocean</v>
      </c>
      <c r="K35" s="3" t="str">
        <f ca="1">IF('Map 2 Do Touch'!J30&lt;&gt;'Map 2 Do Touch'!J31,IF('Map 2 Do Touch'!K31&gt;4,INDEX($AG$4:$AH$6,MATCH(INDEX($I$3:$L$6,MATCH(MOD('Map 2 Do Touch'!J31,4),$H$3:$H$6,0),MATCH(MOD('Map 2 Do Touch'!K31,4),$I$2:$L$2,0)),$AF$4:$AF$6,0),MATCH(IF('Map 2 Do Touch'!J31&gt;4,"Water","Land"),'Map 3'!$AG$3:$AH$3,0)),INDEX($AK$4:$AL$6,MATCH(INDEX($I$3:$L$6,MATCH(MOD('Map 2 Do Touch'!J31,4),$H$3:$H$6,0),MATCH(MOD('Map 2 Do Touch'!K31,4),$I$2:$L$2,0)),'Map 3'!$AJ$4:$AJ$6,0),MATCH(IF('Map 2 Do Touch'!J31&gt;4,"Water","Land"),'Map 3'!$AK$3:$AL$3,0))),IF('Map 2 Do Touch'!K31&gt;4,INDEX($AG$4:$AH$6,MATCH(INDEX($P$3:$S$6,MATCH(MOD('Map 2 Do Touch'!K30,4),$O$3:$O$6,0),MATCH(MOD('Map 2 Do Touch'!K31,4),$P$2:$S$2,0)),$AF$4:$AF$6,0),MATCH(IF('Map 2 Do Touch'!K30&gt;4,"Water","Land"),'Map 3'!$AG$3:$AH$3,0)),INDEX($AK$4:$AL$6,MATCH(INDEX($P$3:$S$6,MATCH(MOD('Map 2 Do Touch'!K30,4),$O$3:$O$6,0),MATCH(MOD('Map 2 Do Touch'!K31,4),$P$2:$S$2,0)),'Map 3'!$AJ$4:$AJ$6,0),MATCH(IF('Map 2 Do Touch'!K30&gt;4,"Water","Land"),'Map 3'!$AK$3:$AL$3,0))))</f>
        <v>Ocean</v>
      </c>
      <c r="L35" s="3" t="str">
        <f ca="1">IF('Map 2 Do Touch'!K30&lt;&gt;'Map 2 Do Touch'!K31,IF('Map 2 Do Touch'!L31&gt;4,INDEX($AG$4:$AH$6,MATCH(INDEX($I$3:$L$6,MATCH(MOD('Map 2 Do Touch'!K31,4),$H$3:$H$6,0),MATCH(MOD('Map 2 Do Touch'!L31,4),$I$2:$L$2,0)),$AF$4:$AF$6,0),MATCH(IF('Map 2 Do Touch'!K31&gt;4,"Water","Land"),'Map 3'!$AG$3:$AH$3,0)),INDEX($AK$4:$AL$6,MATCH(INDEX($I$3:$L$6,MATCH(MOD('Map 2 Do Touch'!K31,4),$H$3:$H$6,0),MATCH(MOD('Map 2 Do Touch'!L31,4),$I$2:$L$2,0)),'Map 3'!$AJ$4:$AJ$6,0),MATCH(IF('Map 2 Do Touch'!K31&gt;4,"Water","Land"),'Map 3'!$AK$3:$AL$3,0))),IF('Map 2 Do Touch'!L31&gt;4,INDEX($AG$4:$AH$6,MATCH(INDEX($P$3:$S$6,MATCH(MOD('Map 2 Do Touch'!L30,4),$O$3:$O$6,0),MATCH(MOD('Map 2 Do Touch'!L31,4),$P$2:$S$2,0)),$AF$4:$AF$6,0),MATCH(IF('Map 2 Do Touch'!L30&gt;4,"Water","Land"),'Map 3'!$AG$3:$AH$3,0)),INDEX($AK$4:$AL$6,MATCH(INDEX($P$3:$S$6,MATCH(MOD('Map 2 Do Touch'!L30,4),$O$3:$O$6,0),MATCH(MOD('Map 2 Do Touch'!L31,4),$P$2:$S$2,0)),'Map 3'!$AJ$4:$AJ$6,0),MATCH(IF('Map 2 Do Touch'!L30&gt;4,"Water","Land"),'Map 3'!$AK$3:$AL$3,0))))</f>
        <v>Ocean</v>
      </c>
      <c r="M35" s="3" t="str">
        <f ca="1">IF('Map 2 Do Touch'!L30&lt;&gt;'Map 2 Do Touch'!L31,IF('Map 2 Do Touch'!M31&gt;4,INDEX($AG$4:$AH$6,MATCH(INDEX($I$3:$L$6,MATCH(MOD('Map 2 Do Touch'!L31,4),$H$3:$H$6,0),MATCH(MOD('Map 2 Do Touch'!M31,4),$I$2:$L$2,0)),$AF$4:$AF$6,0),MATCH(IF('Map 2 Do Touch'!L31&gt;4,"Water","Land"),'Map 3'!$AG$3:$AH$3,0)),INDEX($AK$4:$AL$6,MATCH(INDEX($I$3:$L$6,MATCH(MOD('Map 2 Do Touch'!L31,4),$H$3:$H$6,0),MATCH(MOD('Map 2 Do Touch'!M31,4),$I$2:$L$2,0)),'Map 3'!$AJ$4:$AJ$6,0),MATCH(IF('Map 2 Do Touch'!L31&gt;4,"Water","Land"),'Map 3'!$AK$3:$AL$3,0))),IF('Map 2 Do Touch'!M31&gt;4,INDEX($AG$4:$AH$6,MATCH(INDEX($P$3:$S$6,MATCH(MOD('Map 2 Do Touch'!M30,4),$O$3:$O$6,0),MATCH(MOD('Map 2 Do Touch'!M31,4),$P$2:$S$2,0)),$AF$4:$AF$6,0),MATCH(IF('Map 2 Do Touch'!M30&gt;4,"Water","Land"),'Map 3'!$AG$3:$AH$3,0)),INDEX($AK$4:$AL$6,MATCH(INDEX($P$3:$S$6,MATCH(MOD('Map 2 Do Touch'!M30,4),$O$3:$O$6,0),MATCH(MOD('Map 2 Do Touch'!M31,4),$P$2:$S$2,0)),'Map 3'!$AJ$4:$AJ$6,0),MATCH(IF('Map 2 Do Touch'!M30&gt;4,"Water","Land"),'Map 3'!$AK$3:$AL$3,0))))</f>
        <v>Ocean</v>
      </c>
      <c r="N35" s="3" t="str">
        <f ca="1">IF('Map 2 Do Touch'!M30&lt;&gt;'Map 2 Do Touch'!M31,IF('Map 2 Do Touch'!N31&gt;4,INDEX($AG$4:$AH$6,MATCH(INDEX($I$3:$L$6,MATCH(MOD('Map 2 Do Touch'!M31,4),$H$3:$H$6,0),MATCH(MOD('Map 2 Do Touch'!N31,4),$I$2:$L$2,0)),$AF$4:$AF$6,0),MATCH(IF('Map 2 Do Touch'!M31&gt;4,"Water","Land"),'Map 3'!$AG$3:$AH$3,0)),INDEX($AK$4:$AL$6,MATCH(INDEX($I$3:$L$6,MATCH(MOD('Map 2 Do Touch'!M31,4),$H$3:$H$6,0),MATCH(MOD('Map 2 Do Touch'!N31,4),$I$2:$L$2,0)),'Map 3'!$AJ$4:$AJ$6,0),MATCH(IF('Map 2 Do Touch'!M31&gt;4,"Water","Land"),'Map 3'!$AK$3:$AL$3,0))),IF('Map 2 Do Touch'!N31&gt;4,INDEX($AG$4:$AH$6,MATCH(INDEX($P$3:$S$6,MATCH(MOD('Map 2 Do Touch'!N30,4),$O$3:$O$6,0),MATCH(MOD('Map 2 Do Touch'!N31,4),$P$2:$S$2,0)),$AF$4:$AF$6,0),MATCH(IF('Map 2 Do Touch'!N30&gt;4,"Water","Land"),'Map 3'!$AG$3:$AH$3,0)),INDEX($AK$4:$AL$6,MATCH(INDEX($P$3:$S$6,MATCH(MOD('Map 2 Do Touch'!N30,4),$O$3:$O$6,0),MATCH(MOD('Map 2 Do Touch'!N31,4),$P$2:$S$2,0)),'Map 3'!$AJ$4:$AJ$6,0),MATCH(IF('Map 2 Do Touch'!N30&gt;4,"Water","Land"),'Map 3'!$AK$3:$AL$3,0))))</f>
        <v>Ocean</v>
      </c>
      <c r="O35" s="3" t="str">
        <f ca="1">IF('Map 2 Do Touch'!N30&lt;&gt;'Map 2 Do Touch'!N31,IF('Map 2 Do Touch'!O31&gt;4,INDEX($AG$4:$AH$6,MATCH(INDEX($I$3:$L$6,MATCH(MOD('Map 2 Do Touch'!N31,4),$H$3:$H$6,0),MATCH(MOD('Map 2 Do Touch'!O31,4),$I$2:$L$2,0)),$AF$4:$AF$6,0),MATCH(IF('Map 2 Do Touch'!N31&gt;4,"Water","Land"),'Map 3'!$AG$3:$AH$3,0)),INDEX($AK$4:$AL$6,MATCH(INDEX($I$3:$L$6,MATCH(MOD('Map 2 Do Touch'!N31,4),$H$3:$H$6,0),MATCH(MOD('Map 2 Do Touch'!O31,4),$I$2:$L$2,0)),'Map 3'!$AJ$4:$AJ$6,0),MATCH(IF('Map 2 Do Touch'!N31&gt;4,"Water","Land"),'Map 3'!$AK$3:$AL$3,0))),IF('Map 2 Do Touch'!O31&gt;4,INDEX($AG$4:$AH$6,MATCH(INDEX($P$3:$S$6,MATCH(MOD('Map 2 Do Touch'!O30,4),$O$3:$O$6,0),MATCH(MOD('Map 2 Do Touch'!O31,4),$P$2:$S$2,0)),$AF$4:$AF$6,0),MATCH(IF('Map 2 Do Touch'!O30&gt;4,"Water","Land"),'Map 3'!$AG$3:$AH$3,0)),INDEX($AK$4:$AL$6,MATCH(INDEX($P$3:$S$6,MATCH(MOD('Map 2 Do Touch'!O30,4),$O$3:$O$6,0),MATCH(MOD('Map 2 Do Touch'!O31,4),$P$2:$S$2,0)),'Map 3'!$AJ$4:$AJ$6,0),MATCH(IF('Map 2 Do Touch'!O30&gt;4,"Water","Land"),'Map 3'!$AK$3:$AL$3,0))))</f>
        <v>Ocean</v>
      </c>
      <c r="P35" s="3" t="str">
        <f ca="1">IF('Map 2 Do Touch'!O30&lt;&gt;'Map 2 Do Touch'!O31,IF('Map 2 Do Touch'!P31&gt;4,INDEX($AG$4:$AH$6,MATCH(INDEX($I$3:$L$6,MATCH(MOD('Map 2 Do Touch'!O31,4),$H$3:$H$6,0),MATCH(MOD('Map 2 Do Touch'!P31,4),$I$2:$L$2,0)),$AF$4:$AF$6,0),MATCH(IF('Map 2 Do Touch'!O31&gt;4,"Water","Land"),'Map 3'!$AG$3:$AH$3,0)),INDEX($AK$4:$AL$6,MATCH(INDEX($I$3:$L$6,MATCH(MOD('Map 2 Do Touch'!O31,4),$H$3:$H$6,0),MATCH(MOD('Map 2 Do Touch'!P31,4),$I$2:$L$2,0)),'Map 3'!$AJ$4:$AJ$6,0),MATCH(IF('Map 2 Do Touch'!O31&gt;4,"Water","Land"),'Map 3'!$AK$3:$AL$3,0))),IF('Map 2 Do Touch'!P31&gt;4,INDEX($AG$4:$AH$6,MATCH(INDEX($P$3:$S$6,MATCH(MOD('Map 2 Do Touch'!P30,4),$O$3:$O$6,0),MATCH(MOD('Map 2 Do Touch'!P31,4),$P$2:$S$2,0)),$AF$4:$AF$6,0),MATCH(IF('Map 2 Do Touch'!P30&gt;4,"Water","Land"),'Map 3'!$AG$3:$AH$3,0)),INDEX($AK$4:$AL$6,MATCH(INDEX($P$3:$S$6,MATCH(MOD('Map 2 Do Touch'!P30,4),$O$3:$O$6,0),MATCH(MOD('Map 2 Do Touch'!P31,4),$P$2:$S$2,0)),'Map 3'!$AJ$4:$AJ$6,0),MATCH(IF('Map 2 Do Touch'!P30&gt;4,"Water","Land"),'Map 3'!$AK$3:$AL$3,0))))</f>
        <v>Ocean</v>
      </c>
      <c r="Q35" s="3" t="str">
        <f ca="1">IF('Map 2 Do Touch'!P30&lt;&gt;'Map 2 Do Touch'!P31,IF('Map 2 Do Touch'!Q31&gt;4,INDEX($AG$4:$AH$6,MATCH(INDEX($I$3:$L$6,MATCH(MOD('Map 2 Do Touch'!P31,4),$H$3:$H$6,0),MATCH(MOD('Map 2 Do Touch'!Q31,4),$I$2:$L$2,0)),$AF$4:$AF$6,0),MATCH(IF('Map 2 Do Touch'!P31&gt;4,"Water","Land"),'Map 3'!$AG$3:$AH$3,0)),INDEX($AK$4:$AL$6,MATCH(INDEX($I$3:$L$6,MATCH(MOD('Map 2 Do Touch'!P31,4),$H$3:$H$6,0),MATCH(MOD('Map 2 Do Touch'!Q31,4),$I$2:$L$2,0)),'Map 3'!$AJ$4:$AJ$6,0),MATCH(IF('Map 2 Do Touch'!P31&gt;4,"Water","Land"),'Map 3'!$AK$3:$AL$3,0))),IF('Map 2 Do Touch'!Q31&gt;4,INDEX($AG$4:$AH$6,MATCH(INDEX($P$3:$S$6,MATCH(MOD('Map 2 Do Touch'!Q30,4),$O$3:$O$6,0),MATCH(MOD('Map 2 Do Touch'!Q31,4),$P$2:$S$2,0)),$AF$4:$AF$6,0),MATCH(IF('Map 2 Do Touch'!Q30&gt;4,"Water","Land"),'Map 3'!$AG$3:$AH$3,0)),INDEX($AK$4:$AL$6,MATCH(INDEX($P$3:$S$6,MATCH(MOD('Map 2 Do Touch'!Q30,4),$O$3:$O$6,0),MATCH(MOD('Map 2 Do Touch'!Q31,4),$P$2:$S$2,0)),'Map 3'!$AJ$4:$AJ$6,0),MATCH(IF('Map 2 Do Touch'!Q30&gt;4,"Water","Land"),'Map 3'!$AK$3:$AL$3,0))))</f>
        <v>Ocean</v>
      </c>
      <c r="R35" s="3" t="str">
        <f ca="1">IF('Map 2 Do Touch'!Q30&lt;&gt;'Map 2 Do Touch'!Q31,IF('Map 2 Do Touch'!R31&gt;4,INDEX($AG$4:$AH$6,MATCH(INDEX($I$3:$L$6,MATCH(MOD('Map 2 Do Touch'!Q31,4),$H$3:$H$6,0),MATCH(MOD('Map 2 Do Touch'!R31,4),$I$2:$L$2,0)),$AF$4:$AF$6,0),MATCH(IF('Map 2 Do Touch'!Q31&gt;4,"Water","Land"),'Map 3'!$AG$3:$AH$3,0)),INDEX($AK$4:$AL$6,MATCH(INDEX($I$3:$L$6,MATCH(MOD('Map 2 Do Touch'!Q31,4),$H$3:$H$6,0),MATCH(MOD('Map 2 Do Touch'!R31,4),$I$2:$L$2,0)),'Map 3'!$AJ$4:$AJ$6,0),MATCH(IF('Map 2 Do Touch'!Q31&gt;4,"Water","Land"),'Map 3'!$AK$3:$AL$3,0))),IF('Map 2 Do Touch'!R31&gt;4,INDEX($AG$4:$AH$6,MATCH(INDEX($P$3:$S$6,MATCH(MOD('Map 2 Do Touch'!R30,4),$O$3:$O$6,0),MATCH(MOD('Map 2 Do Touch'!R31,4),$P$2:$S$2,0)),$AF$4:$AF$6,0),MATCH(IF('Map 2 Do Touch'!R30&gt;4,"Water","Land"),'Map 3'!$AG$3:$AH$3,0)),INDEX($AK$4:$AL$6,MATCH(INDEX($P$3:$S$6,MATCH(MOD('Map 2 Do Touch'!R30,4),$O$3:$O$6,0),MATCH(MOD('Map 2 Do Touch'!R31,4),$P$2:$S$2,0)),'Map 3'!$AJ$4:$AJ$6,0),MATCH(IF('Map 2 Do Touch'!R30&gt;4,"Water","Land"),'Map 3'!$AK$3:$AL$3,0))))</f>
        <v>Ocean</v>
      </c>
      <c r="S35" s="3" t="str">
        <f ca="1">IF('Map 2 Do Touch'!R30&lt;&gt;'Map 2 Do Touch'!R31,IF('Map 2 Do Touch'!S31&gt;4,INDEX($AG$4:$AH$6,MATCH(INDEX($I$3:$L$6,MATCH(MOD('Map 2 Do Touch'!R31,4),$H$3:$H$6,0),MATCH(MOD('Map 2 Do Touch'!S31,4),$I$2:$L$2,0)),$AF$4:$AF$6,0),MATCH(IF('Map 2 Do Touch'!R31&gt;4,"Water","Land"),'Map 3'!$AG$3:$AH$3,0)),INDEX($AK$4:$AL$6,MATCH(INDEX($I$3:$L$6,MATCH(MOD('Map 2 Do Touch'!R31,4),$H$3:$H$6,0),MATCH(MOD('Map 2 Do Touch'!S31,4),$I$2:$L$2,0)),'Map 3'!$AJ$4:$AJ$6,0),MATCH(IF('Map 2 Do Touch'!R31&gt;4,"Water","Land"),'Map 3'!$AK$3:$AL$3,0))),IF('Map 2 Do Touch'!S31&gt;4,INDEX($AG$4:$AH$6,MATCH(INDEX($P$3:$S$6,MATCH(MOD('Map 2 Do Touch'!S30,4),$O$3:$O$6,0),MATCH(MOD('Map 2 Do Touch'!S31,4),$P$2:$S$2,0)),$AF$4:$AF$6,0),MATCH(IF('Map 2 Do Touch'!S30&gt;4,"Water","Land"),'Map 3'!$AG$3:$AH$3,0)),INDEX($AK$4:$AL$6,MATCH(INDEX($P$3:$S$6,MATCH(MOD('Map 2 Do Touch'!S30,4),$O$3:$O$6,0),MATCH(MOD('Map 2 Do Touch'!S31,4),$P$2:$S$2,0)),'Map 3'!$AJ$4:$AJ$6,0),MATCH(IF('Map 2 Do Touch'!S30&gt;4,"Water","Land"),'Map 3'!$AK$3:$AL$3,0))))</f>
        <v>Ocean</v>
      </c>
      <c r="T35" s="3" t="str">
        <f ca="1">IF('Map 2 Do Touch'!S30&lt;&gt;'Map 2 Do Touch'!S31,IF('Map 2 Do Touch'!T31&gt;4,INDEX($AG$4:$AH$6,MATCH(INDEX($I$3:$L$6,MATCH(MOD('Map 2 Do Touch'!S31,4),$H$3:$H$6,0),MATCH(MOD('Map 2 Do Touch'!T31,4),$I$2:$L$2,0)),$AF$4:$AF$6,0),MATCH(IF('Map 2 Do Touch'!S31&gt;4,"Water","Land"),'Map 3'!$AG$3:$AH$3,0)),INDEX($AK$4:$AL$6,MATCH(INDEX($I$3:$L$6,MATCH(MOD('Map 2 Do Touch'!S31,4),$H$3:$H$6,0),MATCH(MOD('Map 2 Do Touch'!T31,4),$I$2:$L$2,0)),'Map 3'!$AJ$4:$AJ$6,0),MATCH(IF('Map 2 Do Touch'!S31&gt;4,"Water","Land"),'Map 3'!$AK$3:$AL$3,0))),IF('Map 2 Do Touch'!T31&gt;4,INDEX($AG$4:$AH$6,MATCH(INDEX($P$3:$S$6,MATCH(MOD('Map 2 Do Touch'!T30,4),$O$3:$O$6,0),MATCH(MOD('Map 2 Do Touch'!T31,4),$P$2:$S$2,0)),$AF$4:$AF$6,0),MATCH(IF('Map 2 Do Touch'!T30&gt;4,"Water","Land"),'Map 3'!$AG$3:$AH$3,0)),INDEX($AK$4:$AL$6,MATCH(INDEX($P$3:$S$6,MATCH(MOD('Map 2 Do Touch'!T30,4),$O$3:$O$6,0),MATCH(MOD('Map 2 Do Touch'!T31,4),$P$2:$S$2,0)),'Map 3'!$AJ$4:$AJ$6,0),MATCH(IF('Map 2 Do Touch'!T30&gt;4,"Water","Land"),'Map 3'!$AK$3:$AL$3,0))))</f>
        <v>Ocean</v>
      </c>
      <c r="U35" s="3" t="str">
        <f ca="1">IF('Map 2 Do Touch'!T30&lt;&gt;'Map 2 Do Touch'!T31,IF('Map 2 Do Touch'!U31&gt;4,INDEX($AG$4:$AH$6,MATCH(INDEX($I$3:$L$6,MATCH(MOD('Map 2 Do Touch'!T31,4),$H$3:$H$6,0),MATCH(MOD('Map 2 Do Touch'!U31,4),$I$2:$L$2,0)),$AF$4:$AF$6,0),MATCH(IF('Map 2 Do Touch'!T31&gt;4,"Water","Land"),'Map 3'!$AG$3:$AH$3,0)),INDEX($AK$4:$AL$6,MATCH(INDEX($I$3:$L$6,MATCH(MOD('Map 2 Do Touch'!T31,4),$H$3:$H$6,0),MATCH(MOD('Map 2 Do Touch'!U31,4),$I$2:$L$2,0)),'Map 3'!$AJ$4:$AJ$6,0),MATCH(IF('Map 2 Do Touch'!T31&gt;4,"Water","Land"),'Map 3'!$AK$3:$AL$3,0))),IF('Map 2 Do Touch'!U31&gt;4,INDEX($AG$4:$AH$6,MATCH(INDEX($P$3:$S$6,MATCH(MOD('Map 2 Do Touch'!U30,4),$O$3:$O$6,0),MATCH(MOD('Map 2 Do Touch'!U31,4),$P$2:$S$2,0)),$AF$4:$AF$6,0),MATCH(IF('Map 2 Do Touch'!U30&gt;4,"Water","Land"),'Map 3'!$AG$3:$AH$3,0)),INDEX($AK$4:$AL$6,MATCH(INDEX($P$3:$S$6,MATCH(MOD('Map 2 Do Touch'!U30,4),$O$3:$O$6,0),MATCH(MOD('Map 2 Do Touch'!U31,4),$P$2:$S$2,0)),'Map 3'!$AJ$4:$AJ$6,0),MATCH(IF('Map 2 Do Touch'!U30&gt;4,"Water","Land"),'Map 3'!$AK$3:$AL$3,0))))</f>
        <v>Ocean</v>
      </c>
      <c r="V35" s="3" t="str">
        <f ca="1">IF('Map 2 Do Touch'!U30&lt;&gt;'Map 2 Do Touch'!U31,IF('Map 2 Do Touch'!V31&gt;4,INDEX($AG$4:$AH$6,MATCH(INDEX($I$3:$L$6,MATCH(MOD('Map 2 Do Touch'!U31,4),$H$3:$H$6,0),MATCH(MOD('Map 2 Do Touch'!V31,4),$I$2:$L$2,0)),$AF$4:$AF$6,0),MATCH(IF('Map 2 Do Touch'!U31&gt;4,"Water","Land"),'Map 3'!$AG$3:$AH$3,0)),INDEX($AK$4:$AL$6,MATCH(INDEX($I$3:$L$6,MATCH(MOD('Map 2 Do Touch'!U31,4),$H$3:$H$6,0),MATCH(MOD('Map 2 Do Touch'!V31,4),$I$2:$L$2,0)),'Map 3'!$AJ$4:$AJ$6,0),MATCH(IF('Map 2 Do Touch'!U31&gt;4,"Water","Land"),'Map 3'!$AK$3:$AL$3,0))),IF('Map 2 Do Touch'!V31&gt;4,INDEX($AG$4:$AH$6,MATCH(INDEX($P$3:$S$6,MATCH(MOD('Map 2 Do Touch'!V30,4),$O$3:$O$6,0),MATCH(MOD('Map 2 Do Touch'!V31,4),$P$2:$S$2,0)),$AF$4:$AF$6,0),MATCH(IF('Map 2 Do Touch'!V30&gt;4,"Water","Land"),'Map 3'!$AG$3:$AH$3,0)),INDEX($AK$4:$AL$6,MATCH(INDEX($P$3:$S$6,MATCH(MOD('Map 2 Do Touch'!V30,4),$O$3:$O$6,0),MATCH(MOD('Map 2 Do Touch'!V31,4),$P$2:$S$2,0)),'Map 3'!$AJ$4:$AJ$6,0),MATCH(IF('Map 2 Do Touch'!V30&gt;4,"Water","Land"),'Map 3'!$AK$3:$AL$3,0))))</f>
        <v>Ocean</v>
      </c>
      <c r="W35" s="3" t="str">
        <f ca="1">IF('Map 2 Do Touch'!V30&lt;&gt;'Map 2 Do Touch'!V31,IF('Map 2 Do Touch'!W31&gt;4,INDEX($AG$4:$AH$6,MATCH(INDEX($I$3:$L$6,MATCH(MOD('Map 2 Do Touch'!V31,4),$H$3:$H$6,0),MATCH(MOD('Map 2 Do Touch'!W31,4),$I$2:$L$2,0)),$AF$4:$AF$6,0),MATCH(IF('Map 2 Do Touch'!V31&gt;4,"Water","Land"),'Map 3'!$AG$3:$AH$3,0)),INDEX($AK$4:$AL$6,MATCH(INDEX($I$3:$L$6,MATCH(MOD('Map 2 Do Touch'!V31,4),$H$3:$H$6,0),MATCH(MOD('Map 2 Do Touch'!W31,4),$I$2:$L$2,0)),'Map 3'!$AJ$4:$AJ$6,0),MATCH(IF('Map 2 Do Touch'!V31&gt;4,"Water","Land"),'Map 3'!$AK$3:$AL$3,0))),IF('Map 2 Do Touch'!W31&gt;4,INDEX($AG$4:$AH$6,MATCH(INDEX($P$3:$S$6,MATCH(MOD('Map 2 Do Touch'!W30,4),$O$3:$O$6,0),MATCH(MOD('Map 2 Do Touch'!W31,4),$P$2:$S$2,0)),$AF$4:$AF$6,0),MATCH(IF('Map 2 Do Touch'!W30&gt;4,"Water","Land"),'Map 3'!$AG$3:$AH$3,0)),INDEX($AK$4:$AL$6,MATCH(INDEX($P$3:$S$6,MATCH(MOD('Map 2 Do Touch'!W30,4),$O$3:$O$6,0),MATCH(MOD('Map 2 Do Touch'!W31,4),$P$2:$S$2,0)),'Map 3'!$AJ$4:$AJ$6,0),MATCH(IF('Map 2 Do Touch'!W30&gt;4,"Water","Land"),'Map 3'!$AK$3:$AL$3,0))))</f>
        <v>Ocean</v>
      </c>
      <c r="X35" s="3" t="str">
        <f ca="1">IF('Map 2 Do Touch'!W30&lt;&gt;'Map 2 Do Touch'!W31,IF('Map 2 Do Touch'!X31&gt;4,INDEX($AG$4:$AH$6,MATCH(INDEX($I$3:$L$6,MATCH(MOD('Map 2 Do Touch'!W31,4),$H$3:$H$6,0),MATCH(MOD('Map 2 Do Touch'!X31,4),$I$2:$L$2,0)),$AF$4:$AF$6,0),MATCH(IF('Map 2 Do Touch'!W31&gt;4,"Water","Land"),'Map 3'!$AG$3:$AH$3,0)),INDEX($AK$4:$AL$6,MATCH(INDEX($I$3:$L$6,MATCH(MOD('Map 2 Do Touch'!W31,4),$H$3:$H$6,0),MATCH(MOD('Map 2 Do Touch'!X31,4),$I$2:$L$2,0)),'Map 3'!$AJ$4:$AJ$6,0),MATCH(IF('Map 2 Do Touch'!W31&gt;4,"Water","Land"),'Map 3'!$AK$3:$AL$3,0))),IF('Map 2 Do Touch'!X31&gt;4,INDEX($AG$4:$AH$6,MATCH(INDEX($P$3:$S$6,MATCH(MOD('Map 2 Do Touch'!X30,4),$O$3:$O$6,0),MATCH(MOD('Map 2 Do Touch'!X31,4),$P$2:$S$2,0)),$AF$4:$AF$6,0),MATCH(IF('Map 2 Do Touch'!X30&gt;4,"Water","Land"),'Map 3'!$AG$3:$AH$3,0)),INDEX($AK$4:$AL$6,MATCH(INDEX($P$3:$S$6,MATCH(MOD('Map 2 Do Touch'!X30,4),$O$3:$O$6,0),MATCH(MOD('Map 2 Do Touch'!X31,4),$P$2:$S$2,0)),'Map 3'!$AJ$4:$AJ$6,0),MATCH(IF('Map 2 Do Touch'!X30&gt;4,"Water","Land"),'Map 3'!$AK$3:$AL$3,0))))</f>
        <v>Ocean</v>
      </c>
      <c r="Y35" s="3" t="str">
        <f ca="1">IF('Map 2 Do Touch'!X30&lt;&gt;'Map 2 Do Touch'!X31,IF('Map 2 Do Touch'!Y31&gt;4,INDEX($AG$4:$AH$6,MATCH(INDEX($I$3:$L$6,MATCH(MOD('Map 2 Do Touch'!X31,4),$H$3:$H$6,0),MATCH(MOD('Map 2 Do Touch'!Y31,4),$I$2:$L$2,0)),$AF$4:$AF$6,0),MATCH(IF('Map 2 Do Touch'!X31&gt;4,"Water","Land"),'Map 3'!$AG$3:$AH$3,0)),INDEX($AK$4:$AL$6,MATCH(INDEX($I$3:$L$6,MATCH(MOD('Map 2 Do Touch'!X31,4),$H$3:$H$6,0),MATCH(MOD('Map 2 Do Touch'!Y31,4),$I$2:$L$2,0)),'Map 3'!$AJ$4:$AJ$6,0),MATCH(IF('Map 2 Do Touch'!X31&gt;4,"Water","Land"),'Map 3'!$AK$3:$AL$3,0))),IF('Map 2 Do Touch'!Y31&gt;4,INDEX($AG$4:$AH$6,MATCH(INDEX($P$3:$S$6,MATCH(MOD('Map 2 Do Touch'!Y30,4),$O$3:$O$6,0),MATCH(MOD('Map 2 Do Touch'!Y31,4),$P$2:$S$2,0)),$AF$4:$AF$6,0),MATCH(IF('Map 2 Do Touch'!Y30&gt;4,"Water","Land"),'Map 3'!$AG$3:$AH$3,0)),INDEX($AK$4:$AL$6,MATCH(INDEX($P$3:$S$6,MATCH(MOD('Map 2 Do Touch'!Y30,4),$O$3:$O$6,0),MATCH(MOD('Map 2 Do Touch'!Y31,4),$P$2:$S$2,0)),'Map 3'!$AJ$4:$AJ$6,0),MATCH(IF('Map 2 Do Touch'!Y30&gt;4,"Water","Land"),'Map 3'!$AK$3:$AL$3,0))))</f>
        <v>Ocean</v>
      </c>
      <c r="Z35" s="3" t="str">
        <f ca="1">IF('Map 2 Do Touch'!Y30&lt;&gt;'Map 2 Do Touch'!Y31,IF('Map 2 Do Touch'!Z31&gt;4,INDEX($AG$4:$AH$6,MATCH(INDEX($I$3:$L$6,MATCH(MOD('Map 2 Do Touch'!Y31,4),$H$3:$H$6,0),MATCH(MOD('Map 2 Do Touch'!Z31,4),$I$2:$L$2,0)),$AF$4:$AF$6,0),MATCH(IF('Map 2 Do Touch'!Y31&gt;4,"Water","Land"),'Map 3'!$AG$3:$AH$3,0)),INDEX($AK$4:$AL$6,MATCH(INDEX($I$3:$L$6,MATCH(MOD('Map 2 Do Touch'!Y31,4),$H$3:$H$6,0),MATCH(MOD('Map 2 Do Touch'!Z31,4),$I$2:$L$2,0)),'Map 3'!$AJ$4:$AJ$6,0),MATCH(IF('Map 2 Do Touch'!Y31&gt;4,"Water","Land"),'Map 3'!$AK$3:$AL$3,0))),IF('Map 2 Do Touch'!Z31&gt;4,INDEX($AG$4:$AH$6,MATCH(INDEX($P$3:$S$6,MATCH(MOD('Map 2 Do Touch'!Z30,4),$O$3:$O$6,0),MATCH(MOD('Map 2 Do Touch'!Z31,4),$P$2:$S$2,0)),$AF$4:$AF$6,0),MATCH(IF('Map 2 Do Touch'!Z30&gt;4,"Water","Land"),'Map 3'!$AG$3:$AH$3,0)),INDEX($AK$4:$AL$6,MATCH(INDEX($P$3:$S$6,MATCH(MOD('Map 2 Do Touch'!Z30,4),$O$3:$O$6,0),MATCH(MOD('Map 2 Do Touch'!Z31,4),$P$2:$S$2,0)),'Map 3'!$AJ$4:$AJ$6,0),MATCH(IF('Map 2 Do Touch'!Z30&gt;4,"Water","Land"),'Map 3'!$AK$3:$AL$3,0))))</f>
        <v>Ocean</v>
      </c>
      <c r="AA35" s="3" t="str">
        <f ca="1">IF('Map 2 Do Touch'!Z30&lt;&gt;'Map 2 Do Touch'!Z31,IF('Map 2 Do Touch'!AA31&gt;4,INDEX($AG$4:$AH$6,MATCH(INDEX($I$3:$L$6,MATCH(MOD('Map 2 Do Touch'!Z31,4),$H$3:$H$6,0),MATCH(MOD('Map 2 Do Touch'!AA31,4),$I$2:$L$2,0)),$AF$4:$AF$6,0),MATCH(IF('Map 2 Do Touch'!Z31&gt;4,"Water","Land"),'Map 3'!$AG$3:$AH$3,0)),INDEX($AK$4:$AL$6,MATCH(INDEX($I$3:$L$6,MATCH(MOD('Map 2 Do Touch'!Z31,4),$H$3:$H$6,0),MATCH(MOD('Map 2 Do Touch'!AA31,4),$I$2:$L$2,0)),'Map 3'!$AJ$4:$AJ$6,0),MATCH(IF('Map 2 Do Touch'!Z31&gt;4,"Water","Land"),'Map 3'!$AK$3:$AL$3,0))),IF('Map 2 Do Touch'!AA31&gt;4,INDEX($AG$4:$AH$6,MATCH(INDEX($P$3:$S$6,MATCH(MOD('Map 2 Do Touch'!AA30,4),$O$3:$O$6,0),MATCH(MOD('Map 2 Do Touch'!AA31,4),$P$2:$S$2,0)),$AF$4:$AF$6,0),MATCH(IF('Map 2 Do Touch'!AA30&gt;4,"Water","Land"),'Map 3'!$AG$3:$AH$3,0)),INDEX($AK$4:$AL$6,MATCH(INDEX($P$3:$S$6,MATCH(MOD('Map 2 Do Touch'!AA30,4),$O$3:$O$6,0),MATCH(MOD('Map 2 Do Touch'!AA31,4),$P$2:$S$2,0)),'Map 3'!$AJ$4:$AJ$6,0),MATCH(IF('Map 2 Do Touch'!AA30&gt;4,"Water","Land"),'Map 3'!$AK$3:$AL$3,0))))</f>
        <v>Ocean</v>
      </c>
      <c r="AB35" s="3" t="str">
        <f ca="1">IF('Map 2 Do Touch'!AA30&lt;&gt;'Map 2 Do Touch'!AA31,IF('Map 2 Do Touch'!AB31&gt;4,INDEX($AG$4:$AH$6,MATCH(INDEX($I$3:$L$6,MATCH(MOD('Map 2 Do Touch'!AA31,4),$H$3:$H$6,0),MATCH(MOD('Map 2 Do Touch'!AB31,4),$I$2:$L$2,0)),$AF$4:$AF$6,0),MATCH(IF('Map 2 Do Touch'!AA31&gt;4,"Water","Land"),'Map 3'!$AG$3:$AH$3,0)),INDEX($AK$4:$AL$6,MATCH(INDEX($I$3:$L$6,MATCH(MOD('Map 2 Do Touch'!AA31,4),$H$3:$H$6,0),MATCH(MOD('Map 2 Do Touch'!AB31,4),$I$2:$L$2,0)),'Map 3'!$AJ$4:$AJ$6,0),MATCH(IF('Map 2 Do Touch'!AA31&gt;4,"Water","Land"),'Map 3'!$AK$3:$AL$3,0))),IF('Map 2 Do Touch'!AB31&gt;4,INDEX($AG$4:$AH$6,MATCH(INDEX($P$3:$S$6,MATCH(MOD('Map 2 Do Touch'!AB30,4),$O$3:$O$6,0),MATCH(MOD('Map 2 Do Touch'!AB31,4),$P$2:$S$2,0)),$AF$4:$AF$6,0),MATCH(IF('Map 2 Do Touch'!AB30&gt;4,"Water","Land"),'Map 3'!$AG$3:$AH$3,0)),INDEX($AK$4:$AL$6,MATCH(INDEX($P$3:$S$6,MATCH(MOD('Map 2 Do Touch'!AB30,4),$O$3:$O$6,0),MATCH(MOD('Map 2 Do Touch'!AB31,4),$P$2:$S$2,0)),'Map 3'!$AJ$4:$AJ$6,0),MATCH(IF('Map 2 Do Touch'!AB30&gt;4,"Water","Land"),'Map 3'!$AK$3:$AL$3,0))))</f>
        <v>Ocean</v>
      </c>
      <c r="AC35" s="3" t="str">
        <f ca="1">IF('Map 2 Do Touch'!AB30&lt;&gt;'Map 2 Do Touch'!AB31,IF('Map 2 Do Touch'!AC31&gt;4,INDEX($AG$4:$AH$6,MATCH(INDEX($I$3:$L$6,MATCH(MOD('Map 2 Do Touch'!AB31,4),$H$3:$H$6,0),MATCH(MOD('Map 2 Do Touch'!AC31,4),$I$2:$L$2,0)),$AF$4:$AF$6,0),MATCH(IF('Map 2 Do Touch'!AB31&gt;4,"Water","Land"),'Map 3'!$AG$3:$AH$3,0)),INDEX($AK$4:$AL$6,MATCH(INDEX($I$3:$L$6,MATCH(MOD('Map 2 Do Touch'!AB31,4),$H$3:$H$6,0),MATCH(MOD('Map 2 Do Touch'!AC31,4),$I$2:$L$2,0)),'Map 3'!$AJ$4:$AJ$6,0),MATCH(IF('Map 2 Do Touch'!AB31&gt;4,"Water","Land"),'Map 3'!$AK$3:$AL$3,0))),IF('Map 2 Do Touch'!AC31&gt;4,INDEX($AG$4:$AH$6,MATCH(INDEX($P$3:$S$6,MATCH(MOD('Map 2 Do Touch'!AC30,4),$O$3:$O$6,0),MATCH(MOD('Map 2 Do Touch'!AC31,4),$P$2:$S$2,0)),$AF$4:$AF$6,0),MATCH(IF('Map 2 Do Touch'!AC30&gt;4,"Water","Land"),'Map 3'!$AG$3:$AH$3,0)),INDEX($AK$4:$AL$6,MATCH(INDEX($P$3:$S$6,MATCH(MOD('Map 2 Do Touch'!AC30,4),$O$3:$O$6,0),MATCH(MOD('Map 2 Do Touch'!AC31,4),$P$2:$S$2,0)),'Map 3'!$AJ$4:$AJ$6,0),MATCH(IF('Map 2 Do Touch'!AC30&gt;4,"Water","Land"),'Map 3'!$AK$3:$AL$3,0))))</f>
        <v>Ocean</v>
      </c>
      <c r="AD35" s="3" t="str">
        <f ca="1">IF('Map 2 Do Touch'!AC30&lt;&gt;'Map 2 Do Touch'!AC31,IF('Map 2 Do Touch'!AD31&gt;4,INDEX($AG$4:$AH$6,MATCH(INDEX($I$3:$L$6,MATCH(MOD('Map 2 Do Touch'!AC31,4),$H$3:$H$6,0),MATCH(MOD('Map 2 Do Touch'!AD31,4),$I$2:$L$2,0)),$AF$4:$AF$6,0),MATCH(IF('Map 2 Do Touch'!AC31&gt;4,"Water","Land"),'Map 3'!$AG$3:$AH$3,0)),INDEX($AK$4:$AL$6,MATCH(INDEX($I$3:$L$6,MATCH(MOD('Map 2 Do Touch'!AC31,4),$H$3:$H$6,0),MATCH(MOD('Map 2 Do Touch'!AD31,4),$I$2:$L$2,0)),'Map 3'!$AJ$4:$AJ$6,0),MATCH(IF('Map 2 Do Touch'!AC31&gt;4,"Water","Land"),'Map 3'!$AK$3:$AL$3,0))),IF('Map 2 Do Touch'!AD31&gt;4,INDEX($AG$4:$AH$6,MATCH(INDEX($P$3:$S$6,MATCH(MOD('Map 2 Do Touch'!AD30,4),$O$3:$O$6,0),MATCH(MOD('Map 2 Do Touch'!AD31,4),$P$2:$S$2,0)),$AF$4:$AF$6,0),MATCH(IF('Map 2 Do Touch'!AD30&gt;4,"Water","Land"),'Map 3'!$AG$3:$AH$3,0)),INDEX($AK$4:$AL$6,MATCH(INDEX($P$3:$S$6,MATCH(MOD('Map 2 Do Touch'!AD30,4),$O$3:$O$6,0),MATCH(MOD('Map 2 Do Touch'!AD31,4),$P$2:$S$2,0)),'Map 3'!$AJ$4:$AJ$6,0),MATCH(IF('Map 2 Do Touch'!AD30&gt;4,"Water","Land"),'Map 3'!$AK$3:$AL$3,0))))</f>
        <v>Ocean</v>
      </c>
      <c r="AE35" s="3" t="str">
        <f ca="1">IF('Map 2 Do Touch'!AD30&lt;&gt;'Map 2 Do Touch'!AD31,IF('Map 2 Do Touch'!AE31&gt;4,INDEX($AG$4:$AH$6,MATCH(INDEX($I$3:$L$6,MATCH(MOD('Map 2 Do Touch'!AD31,4),$H$3:$H$6,0),MATCH(MOD('Map 2 Do Touch'!AE31,4),$I$2:$L$2,0)),$AF$4:$AF$6,0),MATCH(IF('Map 2 Do Touch'!AD31&gt;4,"Water","Land"),'Map 3'!$AG$3:$AH$3,0)),INDEX($AK$4:$AL$6,MATCH(INDEX($I$3:$L$6,MATCH(MOD('Map 2 Do Touch'!AD31,4),$H$3:$H$6,0),MATCH(MOD('Map 2 Do Touch'!AE31,4),$I$2:$L$2,0)),'Map 3'!$AJ$4:$AJ$6,0),MATCH(IF('Map 2 Do Touch'!AD31&gt;4,"Water","Land"),'Map 3'!$AK$3:$AL$3,0))),IF('Map 2 Do Touch'!AE31&gt;4,INDEX($AG$4:$AH$6,MATCH(INDEX($P$3:$S$6,MATCH(MOD('Map 2 Do Touch'!AE30,4),$O$3:$O$6,0),MATCH(MOD('Map 2 Do Touch'!AE31,4),$P$2:$S$2,0)),$AF$4:$AF$6,0),MATCH(IF('Map 2 Do Touch'!AE30&gt;4,"Water","Land"),'Map 3'!$AG$3:$AH$3,0)),INDEX($AK$4:$AL$6,MATCH(INDEX($P$3:$S$6,MATCH(MOD('Map 2 Do Touch'!AE30,4),$O$3:$O$6,0),MATCH(MOD('Map 2 Do Touch'!AE31,4),$P$2:$S$2,0)),'Map 3'!$AJ$4:$AJ$6,0),MATCH(IF('Map 2 Do Touch'!AE30&gt;4,"Water","Land"),'Map 3'!$AK$3:$AL$3,0))))</f>
        <v>Ocean</v>
      </c>
      <c r="AF35" s="3" t="str">
        <f ca="1">IF('Map 2 Do Touch'!AE30&lt;&gt;'Map 2 Do Touch'!AE31,IF('Map 2 Do Touch'!AF31&gt;4,INDEX($AG$4:$AH$6,MATCH(INDEX($I$3:$L$6,MATCH(MOD('Map 2 Do Touch'!AE31,4),$H$3:$H$6,0),MATCH(MOD('Map 2 Do Touch'!AF31,4),$I$2:$L$2,0)),$AF$4:$AF$6,0),MATCH(IF('Map 2 Do Touch'!AE31&gt;4,"Water","Land"),'Map 3'!$AG$3:$AH$3,0)),INDEX($AK$4:$AL$6,MATCH(INDEX($I$3:$L$6,MATCH(MOD('Map 2 Do Touch'!AE31,4),$H$3:$H$6,0),MATCH(MOD('Map 2 Do Touch'!AF31,4),$I$2:$L$2,0)),'Map 3'!$AJ$4:$AJ$6,0),MATCH(IF('Map 2 Do Touch'!AE31&gt;4,"Water","Land"),'Map 3'!$AK$3:$AL$3,0))),IF('Map 2 Do Touch'!AF31&gt;4,INDEX($AG$4:$AH$6,MATCH(INDEX($P$3:$S$6,MATCH(MOD('Map 2 Do Touch'!AF30,4),$O$3:$O$6,0),MATCH(MOD('Map 2 Do Touch'!AF31,4),$P$2:$S$2,0)),$AF$4:$AF$6,0),MATCH(IF('Map 2 Do Touch'!AF30&gt;4,"Water","Land"),'Map 3'!$AG$3:$AH$3,0)),INDEX($AK$4:$AL$6,MATCH(INDEX($P$3:$S$6,MATCH(MOD('Map 2 Do Touch'!AF30,4),$O$3:$O$6,0),MATCH(MOD('Map 2 Do Touch'!AF31,4),$P$2:$S$2,0)),'Map 3'!$AJ$4:$AJ$6,0),MATCH(IF('Map 2 Do Touch'!AF30&gt;4,"Water","Land"),'Map 3'!$AK$3:$AL$3,0))))</f>
        <v>Trench</v>
      </c>
      <c r="AG35" s="3" t="str">
        <f ca="1">IF('Map 2 Do Touch'!AF30&lt;&gt;'Map 2 Do Touch'!AF31,IF('Map 2 Do Touch'!AG31&gt;4,INDEX($AG$4:$AH$6,MATCH(INDEX($I$3:$L$6,MATCH(MOD('Map 2 Do Touch'!AF31,4),$H$3:$H$6,0),MATCH(MOD('Map 2 Do Touch'!AG31,4),$I$2:$L$2,0)),$AF$4:$AF$6,0),MATCH(IF('Map 2 Do Touch'!AF31&gt;4,"Water","Land"),'Map 3'!$AG$3:$AH$3,0)),INDEX($AK$4:$AL$6,MATCH(INDEX($I$3:$L$6,MATCH(MOD('Map 2 Do Touch'!AF31,4),$H$3:$H$6,0),MATCH(MOD('Map 2 Do Touch'!AG31,4),$I$2:$L$2,0)),'Map 3'!$AJ$4:$AJ$6,0),MATCH(IF('Map 2 Do Touch'!AF31&gt;4,"Water","Land"),'Map 3'!$AK$3:$AL$3,0))),IF('Map 2 Do Touch'!AG31&gt;4,INDEX($AG$4:$AH$6,MATCH(INDEX($P$3:$S$6,MATCH(MOD('Map 2 Do Touch'!AG30,4),$O$3:$O$6,0),MATCH(MOD('Map 2 Do Touch'!AG31,4),$P$2:$S$2,0)),$AF$4:$AF$6,0),MATCH(IF('Map 2 Do Touch'!AG30&gt;4,"Water","Land"),'Map 3'!$AG$3:$AH$3,0)),INDEX($AK$4:$AL$6,MATCH(INDEX($P$3:$S$6,MATCH(MOD('Map 2 Do Touch'!AG30,4),$O$3:$O$6,0),MATCH(MOD('Map 2 Do Touch'!AG31,4),$P$2:$S$2,0)),'Map 3'!$AJ$4:$AJ$6,0),MATCH(IF('Map 2 Do Touch'!AG30&gt;4,"Water","Land"),'Map 3'!$AK$3:$AL$3,0))))</f>
        <v>Ocean</v>
      </c>
      <c r="AH35" s="3" t="str">
        <f ca="1">IF('Map 2 Do Touch'!AG30&lt;&gt;'Map 2 Do Touch'!AG31,IF('Map 2 Do Touch'!AH31&gt;4,INDEX($AG$4:$AH$6,MATCH(INDEX($I$3:$L$6,MATCH(MOD('Map 2 Do Touch'!AG31,4),$H$3:$H$6,0),MATCH(MOD('Map 2 Do Touch'!AH31,4),$I$2:$L$2,0)),$AF$4:$AF$6,0),MATCH(IF('Map 2 Do Touch'!AG31&gt;4,"Water","Land"),'Map 3'!$AG$3:$AH$3,0)),INDEX($AK$4:$AL$6,MATCH(INDEX($I$3:$L$6,MATCH(MOD('Map 2 Do Touch'!AG31,4),$H$3:$H$6,0),MATCH(MOD('Map 2 Do Touch'!AH31,4),$I$2:$L$2,0)),'Map 3'!$AJ$4:$AJ$6,0),MATCH(IF('Map 2 Do Touch'!AG31&gt;4,"Water","Land"),'Map 3'!$AK$3:$AL$3,0))),IF('Map 2 Do Touch'!AH31&gt;4,INDEX($AG$4:$AH$6,MATCH(INDEX($P$3:$S$6,MATCH(MOD('Map 2 Do Touch'!AH30,4),$O$3:$O$6,0),MATCH(MOD('Map 2 Do Touch'!AH31,4),$P$2:$S$2,0)),$AF$4:$AF$6,0),MATCH(IF('Map 2 Do Touch'!AH30&gt;4,"Water","Land"),'Map 3'!$AG$3:$AH$3,0)),INDEX($AK$4:$AL$6,MATCH(INDEX($P$3:$S$6,MATCH(MOD('Map 2 Do Touch'!AH30,4),$O$3:$O$6,0),MATCH(MOD('Map 2 Do Touch'!AH31,4),$P$2:$S$2,0)),'Map 3'!$AJ$4:$AJ$6,0),MATCH(IF('Map 2 Do Touch'!AH30&gt;4,"Water","Land"),'Map 3'!$AK$3:$AL$3,0))))</f>
        <v>Ocean</v>
      </c>
      <c r="AI35" s="3" t="str">
        <f ca="1">IF('Map 2 Do Touch'!AH30&lt;&gt;'Map 2 Do Touch'!AH31,IF('Map 2 Do Touch'!AI31&gt;4,INDEX($AG$4:$AH$6,MATCH(INDEX($I$3:$L$6,MATCH(MOD('Map 2 Do Touch'!AH31,4),$H$3:$H$6,0),MATCH(MOD('Map 2 Do Touch'!AI31,4),$I$2:$L$2,0)),$AF$4:$AF$6,0),MATCH(IF('Map 2 Do Touch'!AH31&gt;4,"Water","Land"),'Map 3'!$AG$3:$AH$3,0)),INDEX($AK$4:$AL$6,MATCH(INDEX($I$3:$L$6,MATCH(MOD('Map 2 Do Touch'!AH31,4),$H$3:$H$6,0),MATCH(MOD('Map 2 Do Touch'!AI31,4),$I$2:$L$2,0)),'Map 3'!$AJ$4:$AJ$6,0),MATCH(IF('Map 2 Do Touch'!AH31&gt;4,"Water","Land"),'Map 3'!$AK$3:$AL$3,0))),IF('Map 2 Do Touch'!AI31&gt;4,INDEX($AG$4:$AH$6,MATCH(INDEX($P$3:$S$6,MATCH(MOD('Map 2 Do Touch'!AI30,4),$O$3:$O$6,0),MATCH(MOD('Map 2 Do Touch'!AI31,4),$P$2:$S$2,0)),$AF$4:$AF$6,0),MATCH(IF('Map 2 Do Touch'!AI30&gt;4,"Water","Land"),'Map 3'!$AG$3:$AH$3,0)),INDEX($AK$4:$AL$6,MATCH(INDEX($P$3:$S$6,MATCH(MOD('Map 2 Do Touch'!AI30,4),$O$3:$O$6,0),MATCH(MOD('Map 2 Do Touch'!AI31,4),$P$2:$S$2,0)),'Map 3'!$AJ$4:$AJ$6,0),MATCH(IF('Map 2 Do Touch'!AI30&gt;4,"Water","Land"),'Map 3'!$AK$3:$AL$3,0))))</f>
        <v>Ocean</v>
      </c>
      <c r="AJ35" s="3" t="str">
        <f ca="1">IF('Map 2 Do Touch'!AI30&lt;&gt;'Map 2 Do Touch'!AI31,IF('Map 2 Do Touch'!AJ31&gt;4,INDEX($AG$4:$AH$6,MATCH(INDEX($I$3:$L$6,MATCH(MOD('Map 2 Do Touch'!AI31,4),$H$3:$H$6,0),MATCH(MOD('Map 2 Do Touch'!AJ31,4),$I$2:$L$2,0)),$AF$4:$AF$6,0),MATCH(IF('Map 2 Do Touch'!AI31&gt;4,"Water","Land"),'Map 3'!$AG$3:$AH$3,0)),INDEX($AK$4:$AL$6,MATCH(INDEX($I$3:$L$6,MATCH(MOD('Map 2 Do Touch'!AI31,4),$H$3:$H$6,0),MATCH(MOD('Map 2 Do Touch'!AJ31,4),$I$2:$L$2,0)),'Map 3'!$AJ$4:$AJ$6,0),MATCH(IF('Map 2 Do Touch'!AI31&gt;4,"Water","Land"),'Map 3'!$AK$3:$AL$3,0))),IF('Map 2 Do Touch'!AJ31&gt;4,INDEX($AG$4:$AH$6,MATCH(INDEX($P$3:$S$6,MATCH(MOD('Map 2 Do Touch'!AJ30,4),$O$3:$O$6,0),MATCH(MOD('Map 2 Do Touch'!AJ31,4),$P$2:$S$2,0)),$AF$4:$AF$6,0),MATCH(IF('Map 2 Do Touch'!AJ30&gt;4,"Water","Land"),'Map 3'!$AG$3:$AH$3,0)),INDEX($AK$4:$AL$6,MATCH(INDEX($P$3:$S$6,MATCH(MOD('Map 2 Do Touch'!AJ30,4),$O$3:$O$6,0),MATCH(MOD('Map 2 Do Touch'!AJ31,4),$P$2:$S$2,0)),'Map 3'!$AJ$4:$AJ$6,0),MATCH(IF('Map 2 Do Touch'!AJ30&gt;4,"Water","Land"),'Map 3'!$AK$3:$AL$3,0))))</f>
        <v>Island</v>
      </c>
      <c r="AK35" s="3" t="str">
        <f ca="1">IF('Map 2 Do Touch'!AJ30&lt;&gt;'Map 2 Do Touch'!AJ31,IF('Map 2 Do Touch'!AK31&gt;4,INDEX($AG$4:$AH$6,MATCH(INDEX($I$3:$L$6,MATCH(MOD('Map 2 Do Touch'!AJ31,4),$H$3:$H$6,0),MATCH(MOD('Map 2 Do Touch'!AK31,4),$I$2:$L$2,0)),$AF$4:$AF$6,0),MATCH(IF('Map 2 Do Touch'!AJ31&gt;4,"Water","Land"),'Map 3'!$AG$3:$AH$3,0)),INDEX($AK$4:$AL$6,MATCH(INDEX($I$3:$L$6,MATCH(MOD('Map 2 Do Touch'!AJ31,4),$H$3:$H$6,0),MATCH(MOD('Map 2 Do Touch'!AK31,4),$I$2:$L$2,0)),'Map 3'!$AJ$4:$AJ$6,0),MATCH(IF('Map 2 Do Touch'!AJ31&gt;4,"Water","Land"),'Map 3'!$AK$3:$AL$3,0))),IF('Map 2 Do Touch'!AK31&gt;4,INDEX($AG$4:$AH$6,MATCH(INDEX($P$3:$S$6,MATCH(MOD('Map 2 Do Touch'!AK30,4),$O$3:$O$6,0),MATCH(MOD('Map 2 Do Touch'!AK31,4),$P$2:$S$2,0)),$AF$4:$AF$6,0),MATCH(IF('Map 2 Do Touch'!AK30&gt;4,"Water","Land"),'Map 3'!$AG$3:$AH$3,0)),INDEX($AK$4:$AL$6,MATCH(INDEX($P$3:$S$6,MATCH(MOD('Map 2 Do Touch'!AK30,4),$O$3:$O$6,0),MATCH(MOD('Map 2 Do Touch'!AK31,4),$P$2:$S$2,0)),'Map 3'!$AJ$4:$AJ$6,0),MATCH(IF('Map 2 Do Touch'!AK30&gt;4,"Water","Land"),'Map 3'!$AK$3:$AL$3,0))))</f>
        <v>Ocean</v>
      </c>
      <c r="AL35" s="3" t="str">
        <f ca="1">IF('Map 2 Do Touch'!AK30&lt;&gt;'Map 2 Do Touch'!AK31,IF('Map 2 Do Touch'!AL31&gt;4,INDEX($AG$4:$AH$6,MATCH(INDEX($I$3:$L$6,MATCH(MOD('Map 2 Do Touch'!AK31,4),$H$3:$H$6,0),MATCH(MOD('Map 2 Do Touch'!AL31,4),$I$2:$L$2,0)),$AF$4:$AF$6,0),MATCH(IF('Map 2 Do Touch'!AK31&gt;4,"Water","Land"),'Map 3'!$AG$3:$AH$3,0)),INDEX($AK$4:$AL$6,MATCH(INDEX($I$3:$L$6,MATCH(MOD('Map 2 Do Touch'!AK31,4),$H$3:$H$6,0),MATCH(MOD('Map 2 Do Touch'!AL31,4),$I$2:$L$2,0)),'Map 3'!$AJ$4:$AJ$6,0),MATCH(IF('Map 2 Do Touch'!AK31&gt;4,"Water","Land"),'Map 3'!$AK$3:$AL$3,0))),IF('Map 2 Do Touch'!AL31&gt;4,INDEX($AG$4:$AH$6,MATCH(INDEX($P$3:$S$6,MATCH(MOD('Map 2 Do Touch'!AL30,4),$O$3:$O$6,0),MATCH(MOD('Map 2 Do Touch'!AL31,4),$P$2:$S$2,0)),$AF$4:$AF$6,0),MATCH(IF('Map 2 Do Touch'!AL30&gt;4,"Water","Land"),'Map 3'!$AG$3:$AH$3,0)),INDEX($AK$4:$AL$6,MATCH(INDEX($P$3:$S$6,MATCH(MOD('Map 2 Do Touch'!AL30,4),$O$3:$O$6,0),MATCH(MOD('Map 2 Do Touch'!AL31,4),$P$2:$S$2,0)),'Map 3'!$AJ$4:$AJ$6,0),MATCH(IF('Map 2 Do Touch'!AL30&gt;4,"Water","Land"),'Map 3'!$AK$3:$AL$3,0))))</f>
        <v>Ocean</v>
      </c>
      <c r="AM35" s="3" t="str">
        <f ca="1">IF('Map 2 Do Touch'!AL30&lt;&gt;'Map 2 Do Touch'!AL31,IF('Map 2 Do Touch'!AM31&gt;4,INDEX($AG$4:$AH$6,MATCH(INDEX($I$3:$L$6,MATCH(MOD('Map 2 Do Touch'!AL31,4),$H$3:$H$6,0),MATCH(MOD('Map 2 Do Touch'!AM31,4),$I$2:$L$2,0)),$AF$4:$AF$6,0),MATCH(IF('Map 2 Do Touch'!AL31&gt;4,"Water","Land"),'Map 3'!$AG$3:$AH$3,0)),INDEX($AK$4:$AL$6,MATCH(INDEX($I$3:$L$6,MATCH(MOD('Map 2 Do Touch'!AL31,4),$H$3:$H$6,0),MATCH(MOD('Map 2 Do Touch'!AM31,4),$I$2:$L$2,0)),'Map 3'!$AJ$4:$AJ$6,0),MATCH(IF('Map 2 Do Touch'!AL31&gt;4,"Water","Land"),'Map 3'!$AK$3:$AL$3,0))),IF('Map 2 Do Touch'!AM31&gt;4,INDEX($AG$4:$AH$6,MATCH(INDEX($P$3:$S$6,MATCH(MOD('Map 2 Do Touch'!AM30,4),$O$3:$O$6,0),MATCH(MOD('Map 2 Do Touch'!AM31,4),$P$2:$S$2,0)),$AF$4:$AF$6,0),MATCH(IF('Map 2 Do Touch'!AM30&gt;4,"Water","Land"),'Map 3'!$AG$3:$AH$3,0)),INDEX($AK$4:$AL$6,MATCH(INDEX($P$3:$S$6,MATCH(MOD('Map 2 Do Touch'!AM30,4),$O$3:$O$6,0),MATCH(MOD('Map 2 Do Touch'!AM31,4),$P$2:$S$2,0)),'Map 3'!$AJ$4:$AJ$6,0),MATCH(IF('Map 2 Do Touch'!AM30&gt;4,"Water","Land"),'Map 3'!$AK$3:$AL$3,0))))</f>
        <v>Ocean</v>
      </c>
      <c r="AN35" s="3" t="str">
        <f ca="1">IF('Map 2 Do Touch'!AM30&lt;&gt;'Map 2 Do Touch'!AM31,IF('Map 2 Do Touch'!AN31&gt;4,INDEX($AG$4:$AH$6,MATCH(INDEX($I$3:$L$6,MATCH(MOD('Map 2 Do Touch'!AM31,4),$H$3:$H$6,0),MATCH(MOD('Map 2 Do Touch'!AN31,4),$I$2:$L$2,0)),$AF$4:$AF$6,0),MATCH(IF('Map 2 Do Touch'!AM31&gt;4,"Water","Land"),'Map 3'!$AG$3:$AH$3,0)),INDEX($AK$4:$AL$6,MATCH(INDEX($I$3:$L$6,MATCH(MOD('Map 2 Do Touch'!AM31,4),$H$3:$H$6,0),MATCH(MOD('Map 2 Do Touch'!AN31,4),$I$2:$L$2,0)),'Map 3'!$AJ$4:$AJ$6,0),MATCH(IF('Map 2 Do Touch'!AM31&gt;4,"Water","Land"),'Map 3'!$AK$3:$AL$3,0))),IF('Map 2 Do Touch'!AN31&gt;4,INDEX($AG$4:$AH$6,MATCH(INDEX($P$3:$S$6,MATCH(MOD('Map 2 Do Touch'!AN30,4),$O$3:$O$6,0),MATCH(MOD('Map 2 Do Touch'!AN31,4),$P$2:$S$2,0)),$AF$4:$AF$6,0),MATCH(IF('Map 2 Do Touch'!AN30&gt;4,"Water","Land"),'Map 3'!$AG$3:$AH$3,0)),INDEX($AK$4:$AL$6,MATCH(INDEX($P$3:$S$6,MATCH(MOD('Map 2 Do Touch'!AN30,4),$O$3:$O$6,0),MATCH(MOD('Map 2 Do Touch'!AN31,4),$P$2:$S$2,0)),'Map 3'!$AJ$4:$AJ$6,0),MATCH(IF('Map 2 Do Touch'!AN30&gt;4,"Water","Land"),'Map 3'!$AK$3:$AL$3,0))))</f>
        <v>Ocean</v>
      </c>
      <c r="AO35" s="87" t="str">
        <f ca="1">IF('Map 2 Do Touch'!AN30&lt;&gt;'Map 2 Do Touch'!AN31,IF('Map 2 Do Touch'!AO31&gt;4,INDEX($AG$4:$AH$6,MATCH(INDEX($I$3:$L$6,MATCH(MOD('Map 2 Do Touch'!AN31,4),$H$3:$H$6,0),MATCH(MOD('Map 2 Do Touch'!AO31,4),$I$2:$L$2,0)),$AF$4:$AF$6,0),MATCH(IF('Map 2 Do Touch'!AN31&gt;4,"Water","Land"),'Map 3'!$AG$3:$AH$3,0)),INDEX($AK$4:$AL$6,MATCH(INDEX($I$3:$L$6,MATCH(MOD('Map 2 Do Touch'!AN31,4),$H$3:$H$6,0),MATCH(MOD('Map 2 Do Touch'!AO31,4),$I$2:$L$2,0)),'Map 3'!$AJ$4:$AJ$6,0),MATCH(IF('Map 2 Do Touch'!AN31&gt;4,"Water","Land"),'Map 3'!$AK$3:$AL$3,0))),IF('Map 2 Do Touch'!AO31&gt;4,INDEX($AG$4:$AH$6,MATCH(INDEX($P$3:$S$6,MATCH(MOD('Map 2 Do Touch'!AO30,4),$O$3:$O$6,0),MATCH(MOD('Map 2 Do Touch'!AO31,4),$P$2:$S$2,0)),$AF$4:$AF$6,0),MATCH(IF('Map 2 Do Touch'!AO30&gt;4,"Water","Land"),'Map 3'!$AG$3:$AH$3,0)),INDEX($AK$4:$AL$6,MATCH(INDEX($P$3:$S$6,MATCH(MOD('Map 2 Do Touch'!AO30,4),$O$3:$O$6,0),MATCH(MOD('Map 2 Do Touch'!AO31,4),$P$2:$S$2,0)),'Map 3'!$AJ$4:$AJ$6,0),MATCH(IF('Map 2 Do Touch'!AO30&gt;4,"Water","Land"),'Map 3'!$AK$3:$AL$3,0))))</f>
        <v>Island</v>
      </c>
      <c r="AP35" s="3"/>
    </row>
    <row r="36" spans="1:42" ht="37.5" customHeight="1">
      <c r="A36" s="3">
        <v>25</v>
      </c>
      <c r="B36" s="86" t="str">
        <f ca="1">IF('Map 2 Do Touch'!B31&lt;&gt;'Map 2 Do Touch'!B32,IF('Map 2 Do Touch'!B32&gt;4,INDEX($AG$4:$AH$6,MATCH(INDEX($I$3:$L$6,MATCH(MOD('Map 2 Do Touch'!AO32,4),$H$3:$H$6,0),MATCH(MOD('Map 2 Do Touch'!B32,4),$I$2:$L$2,0)),$AF$4:$AF$6,0),MATCH(IF('Map 2 Do Touch'!AO32&gt;4,"Water","Land"),'Map 3'!$AG$3:$AH$3,0)),INDEX($AK$4:$AL$6,MATCH(INDEX($I$3:$L$6,MATCH(MOD('Map 2 Do Touch'!A32,4),$H$3:$H$6,0),MATCH(MOD('Map 2 Do Touch'!B32,4),$I$2:$L$2,0)),'Map 3'!$AJ$4:$AJ$6,0),MATCH(IF('Map 2 Do Touch'!AO32&gt;4,"Water","Land"),'Map 3'!$AK$3:$AL$3,0))),IF('Map 2 Do Touch'!B32&gt;4,INDEX($AG$4:$AH$6,MATCH(INDEX($P$3:$S$6,MATCH(MOD('Map 2 Do Touch'!B31,4),$O$3:$O$6,0),MATCH(MOD('Map 2 Do Touch'!B32,4),$P$2:$S$2,0)),$AF$4:$AF$6,0),MATCH(IF('Map 2 Do Touch'!B31&gt;4,"Water","Land"),'Map 3'!$AG$3:$AH$3,0)),INDEX($AK$4:$AL$6,MATCH(INDEX($P$3:$S$6,MATCH(MOD('Map 2 Do Touch'!B31,4),$O$3:$O$6,0),MATCH(MOD('Map 2 Do Touch'!B32,4),$P$2:$S$2,0)),'Map 3'!$AJ$4:$AJ$6,0),MATCH(IF('Map 2 Do Touch'!B31&gt;4,"Water","Land"),'Map 3'!$AK$3:$AL$3,0))))</f>
        <v>Ocean</v>
      </c>
      <c r="C36" s="3" t="str">
        <f ca="1">IF('Map 2 Do Touch'!B31&lt;&gt;'Map 2 Do Touch'!B32,IF('Map 2 Do Touch'!C32&gt;4,INDEX($AG$4:$AH$6,MATCH(INDEX($I$3:$L$6,MATCH(MOD('Map 2 Do Touch'!B32,4),$H$3:$H$6,0),MATCH(MOD('Map 2 Do Touch'!C32,4),$I$2:$L$2,0)),$AF$4:$AF$6,0),MATCH(IF('Map 2 Do Touch'!B32&gt;4,"Water","Land"),'Map 3'!$AG$3:$AH$3,0)),INDEX($AK$4:$AL$6,MATCH(INDEX($I$3:$L$6,MATCH(MOD('Map 2 Do Touch'!B32,4),$H$3:$H$6,0),MATCH(MOD('Map 2 Do Touch'!C32,4),$I$2:$L$2,0)),'Map 3'!$AJ$4:$AJ$6,0),MATCH(IF('Map 2 Do Touch'!B32&gt;4,"Water","Land"),'Map 3'!$AK$3:$AL$3,0))),IF('Map 2 Do Touch'!C32&gt;4,INDEX($AG$4:$AH$6,MATCH(INDEX($P$3:$S$6,MATCH(MOD('Map 2 Do Touch'!C31,4),$O$3:$O$6,0),MATCH(MOD('Map 2 Do Touch'!C32,4),$P$2:$S$2,0)),$AF$4:$AF$6,0),MATCH(IF('Map 2 Do Touch'!C31&gt;4,"Water","Land"),'Map 3'!$AG$3:$AH$3,0)),INDEX($AK$4:$AL$6,MATCH(INDEX($P$3:$S$6,MATCH(MOD('Map 2 Do Touch'!C31,4),$O$3:$O$6,0),MATCH(MOD('Map 2 Do Touch'!C32,4),$P$2:$S$2,0)),'Map 3'!$AJ$4:$AJ$6,0),MATCH(IF('Map 2 Do Touch'!C31&gt;4,"Water","Land"),'Map 3'!$AK$3:$AL$3,0))))</f>
        <v>Coast</v>
      </c>
      <c r="D36" s="3" t="str">
        <f ca="1">IF('Map 2 Do Touch'!C31&lt;&gt;'Map 2 Do Touch'!C32,IF('Map 2 Do Touch'!D32&gt;4,INDEX($AG$4:$AH$6,MATCH(INDEX($I$3:$L$6,MATCH(MOD('Map 2 Do Touch'!C32,4),$H$3:$H$6,0),MATCH(MOD('Map 2 Do Touch'!D32,4),$I$2:$L$2,0)),$AF$4:$AF$6,0),MATCH(IF('Map 2 Do Touch'!C32&gt;4,"Water","Land"),'Map 3'!$AG$3:$AH$3,0)),INDEX($AK$4:$AL$6,MATCH(INDEX($I$3:$L$6,MATCH(MOD('Map 2 Do Touch'!C32,4),$H$3:$H$6,0),MATCH(MOD('Map 2 Do Touch'!D32,4),$I$2:$L$2,0)),'Map 3'!$AJ$4:$AJ$6,0),MATCH(IF('Map 2 Do Touch'!C32&gt;4,"Water","Land"),'Map 3'!$AK$3:$AL$3,0))),IF('Map 2 Do Touch'!D32&gt;4,INDEX($AG$4:$AH$6,MATCH(INDEX($P$3:$S$6,MATCH(MOD('Map 2 Do Touch'!D31,4),$O$3:$O$6,0),MATCH(MOD('Map 2 Do Touch'!D32,4),$P$2:$S$2,0)),$AF$4:$AF$6,0),MATCH(IF('Map 2 Do Touch'!D31&gt;4,"Water","Land"),'Map 3'!$AG$3:$AH$3,0)),INDEX($AK$4:$AL$6,MATCH(INDEX($P$3:$S$6,MATCH(MOD('Map 2 Do Touch'!D31,4),$O$3:$O$6,0),MATCH(MOD('Map 2 Do Touch'!D32,4),$P$2:$S$2,0)),'Map 3'!$AJ$4:$AJ$6,0),MATCH(IF('Map 2 Do Touch'!D31&gt;4,"Water","Land"),'Map 3'!$AK$3:$AL$3,0))))</f>
        <v>Coast</v>
      </c>
      <c r="E36" s="3" t="str">
        <f ca="1">IF('Map 2 Do Touch'!D31&lt;&gt;'Map 2 Do Touch'!D32,IF('Map 2 Do Touch'!E32&gt;4,INDEX($AG$4:$AH$6,MATCH(INDEX($I$3:$L$6,MATCH(MOD('Map 2 Do Touch'!D32,4),$H$3:$H$6,0),MATCH(MOD('Map 2 Do Touch'!E32,4),$I$2:$L$2,0)),$AF$4:$AF$6,0),MATCH(IF('Map 2 Do Touch'!D32&gt;4,"Water","Land"),'Map 3'!$AG$3:$AH$3,0)),INDEX($AK$4:$AL$6,MATCH(INDEX($I$3:$L$6,MATCH(MOD('Map 2 Do Touch'!D32,4),$H$3:$H$6,0),MATCH(MOD('Map 2 Do Touch'!E32,4),$I$2:$L$2,0)),'Map 3'!$AJ$4:$AJ$6,0),MATCH(IF('Map 2 Do Touch'!D32&gt;4,"Water","Land"),'Map 3'!$AK$3:$AL$3,0))),IF('Map 2 Do Touch'!E32&gt;4,INDEX($AG$4:$AH$6,MATCH(INDEX($P$3:$S$6,MATCH(MOD('Map 2 Do Touch'!E31,4),$O$3:$O$6,0),MATCH(MOD('Map 2 Do Touch'!E32,4),$P$2:$S$2,0)),$AF$4:$AF$6,0),MATCH(IF('Map 2 Do Touch'!E31&gt;4,"Water","Land"),'Map 3'!$AG$3:$AH$3,0)),INDEX($AK$4:$AL$6,MATCH(INDEX($P$3:$S$6,MATCH(MOD('Map 2 Do Touch'!E31,4),$O$3:$O$6,0),MATCH(MOD('Map 2 Do Touch'!E32,4),$P$2:$S$2,0)),'Map 3'!$AJ$4:$AJ$6,0),MATCH(IF('Map 2 Do Touch'!E31&gt;4,"Water","Land"),'Map 3'!$AK$3:$AL$3,0))))</f>
        <v>Flatland</v>
      </c>
      <c r="F36" s="3" t="str">
        <f ca="1">IF('Map 2 Do Touch'!E31&lt;&gt;'Map 2 Do Touch'!E32,IF('Map 2 Do Touch'!F32&gt;4,INDEX($AG$4:$AH$6,MATCH(INDEX($I$3:$L$6,MATCH(MOD('Map 2 Do Touch'!E32,4),$H$3:$H$6,0),MATCH(MOD('Map 2 Do Touch'!F32,4),$I$2:$L$2,0)),$AF$4:$AF$6,0),MATCH(IF('Map 2 Do Touch'!E32&gt;4,"Water","Land"),'Map 3'!$AG$3:$AH$3,0)),INDEX($AK$4:$AL$6,MATCH(INDEX($I$3:$L$6,MATCH(MOD('Map 2 Do Touch'!E32,4),$H$3:$H$6,0),MATCH(MOD('Map 2 Do Touch'!F32,4),$I$2:$L$2,0)),'Map 3'!$AJ$4:$AJ$6,0),MATCH(IF('Map 2 Do Touch'!E32&gt;4,"Water","Land"),'Map 3'!$AK$3:$AL$3,0))),IF('Map 2 Do Touch'!F32&gt;4,INDEX($AG$4:$AH$6,MATCH(INDEX($P$3:$S$6,MATCH(MOD('Map 2 Do Touch'!F31,4),$O$3:$O$6,0),MATCH(MOD('Map 2 Do Touch'!F32,4),$P$2:$S$2,0)),$AF$4:$AF$6,0),MATCH(IF('Map 2 Do Touch'!F31&gt;4,"Water","Land"),'Map 3'!$AG$3:$AH$3,0)),INDEX($AK$4:$AL$6,MATCH(INDEX($P$3:$S$6,MATCH(MOD('Map 2 Do Touch'!F31,4),$O$3:$O$6,0),MATCH(MOD('Map 2 Do Touch'!F32,4),$P$2:$S$2,0)),'Map 3'!$AJ$4:$AJ$6,0),MATCH(IF('Map 2 Do Touch'!F31&gt;4,"Water","Land"),'Map 3'!$AK$3:$AL$3,0))))</f>
        <v>Coast</v>
      </c>
      <c r="G36" s="3" t="str">
        <f ca="1">IF('Map 2 Do Touch'!F31&lt;&gt;'Map 2 Do Touch'!F32,IF('Map 2 Do Touch'!G32&gt;4,INDEX($AG$4:$AH$6,MATCH(INDEX($I$3:$L$6,MATCH(MOD('Map 2 Do Touch'!F32,4),$H$3:$H$6,0),MATCH(MOD('Map 2 Do Touch'!G32,4),$I$2:$L$2,0)),$AF$4:$AF$6,0),MATCH(IF('Map 2 Do Touch'!F32&gt;4,"Water","Land"),'Map 3'!$AG$3:$AH$3,0)),INDEX($AK$4:$AL$6,MATCH(INDEX($I$3:$L$6,MATCH(MOD('Map 2 Do Touch'!F32,4),$H$3:$H$6,0),MATCH(MOD('Map 2 Do Touch'!G32,4),$I$2:$L$2,0)),'Map 3'!$AJ$4:$AJ$6,0),MATCH(IF('Map 2 Do Touch'!F32&gt;4,"Water","Land"),'Map 3'!$AK$3:$AL$3,0))),IF('Map 2 Do Touch'!G32&gt;4,INDEX($AG$4:$AH$6,MATCH(INDEX($P$3:$S$6,MATCH(MOD('Map 2 Do Touch'!G31,4),$O$3:$O$6,0),MATCH(MOD('Map 2 Do Touch'!G32,4),$P$2:$S$2,0)),$AF$4:$AF$6,0),MATCH(IF('Map 2 Do Touch'!G31&gt;4,"Water","Land"),'Map 3'!$AG$3:$AH$3,0)),INDEX($AK$4:$AL$6,MATCH(INDEX($P$3:$S$6,MATCH(MOD('Map 2 Do Touch'!G31,4),$O$3:$O$6,0),MATCH(MOD('Map 2 Do Touch'!G32,4),$P$2:$S$2,0)),'Map 3'!$AJ$4:$AJ$6,0),MATCH(IF('Map 2 Do Touch'!G31&gt;4,"Water","Land"),'Map 3'!$AK$3:$AL$3,0))))</f>
        <v>Flatland</v>
      </c>
      <c r="H36" s="3" t="str">
        <f ca="1">IF('Map 2 Do Touch'!G31&lt;&gt;'Map 2 Do Touch'!G32,IF('Map 2 Do Touch'!H32&gt;4,INDEX($AG$4:$AH$6,MATCH(INDEX($I$3:$L$6,MATCH(MOD('Map 2 Do Touch'!G32,4),$H$3:$H$6,0),MATCH(MOD('Map 2 Do Touch'!H32,4),$I$2:$L$2,0)),$AF$4:$AF$6,0),MATCH(IF('Map 2 Do Touch'!G32&gt;4,"Water","Land"),'Map 3'!$AG$3:$AH$3,0)),INDEX($AK$4:$AL$6,MATCH(INDEX($I$3:$L$6,MATCH(MOD('Map 2 Do Touch'!G32,4),$H$3:$H$6,0),MATCH(MOD('Map 2 Do Touch'!H32,4),$I$2:$L$2,0)),'Map 3'!$AJ$4:$AJ$6,0),MATCH(IF('Map 2 Do Touch'!G32&gt;4,"Water","Land"),'Map 3'!$AK$3:$AL$3,0))),IF('Map 2 Do Touch'!H32&gt;4,INDEX($AG$4:$AH$6,MATCH(INDEX($P$3:$S$6,MATCH(MOD('Map 2 Do Touch'!H31,4),$O$3:$O$6,0),MATCH(MOD('Map 2 Do Touch'!H32,4),$P$2:$S$2,0)),$AF$4:$AF$6,0),MATCH(IF('Map 2 Do Touch'!H31&gt;4,"Water","Land"),'Map 3'!$AG$3:$AH$3,0)),INDEX($AK$4:$AL$6,MATCH(INDEX($P$3:$S$6,MATCH(MOD('Map 2 Do Touch'!H31,4),$O$3:$O$6,0),MATCH(MOD('Map 2 Do Touch'!H32,4),$P$2:$S$2,0)),'Map 3'!$AJ$4:$AJ$6,0),MATCH(IF('Map 2 Do Touch'!H31&gt;4,"Water","Land"),'Map 3'!$AK$3:$AL$3,0))))</f>
        <v>Flatland</v>
      </c>
      <c r="I36" s="3" t="str">
        <f ca="1">IF('Map 2 Do Touch'!H31&lt;&gt;'Map 2 Do Touch'!H32,IF('Map 2 Do Touch'!I32&gt;4,INDEX($AG$4:$AH$6,MATCH(INDEX($I$3:$L$6,MATCH(MOD('Map 2 Do Touch'!H32,4),$H$3:$H$6,0),MATCH(MOD('Map 2 Do Touch'!I32,4),$I$2:$L$2,0)),$AF$4:$AF$6,0),MATCH(IF('Map 2 Do Touch'!H32&gt;4,"Water","Land"),'Map 3'!$AG$3:$AH$3,0)),INDEX($AK$4:$AL$6,MATCH(INDEX($I$3:$L$6,MATCH(MOD('Map 2 Do Touch'!H32,4),$H$3:$H$6,0),MATCH(MOD('Map 2 Do Touch'!I32,4),$I$2:$L$2,0)),'Map 3'!$AJ$4:$AJ$6,0),MATCH(IF('Map 2 Do Touch'!H32&gt;4,"Water","Land"),'Map 3'!$AK$3:$AL$3,0))),IF('Map 2 Do Touch'!I32&gt;4,INDEX($AG$4:$AH$6,MATCH(INDEX($P$3:$S$6,MATCH(MOD('Map 2 Do Touch'!I31,4),$O$3:$O$6,0),MATCH(MOD('Map 2 Do Touch'!I32,4),$P$2:$S$2,0)),$AF$4:$AF$6,0),MATCH(IF('Map 2 Do Touch'!I31&gt;4,"Water","Land"),'Map 3'!$AG$3:$AH$3,0)),INDEX($AK$4:$AL$6,MATCH(INDEX($P$3:$S$6,MATCH(MOD('Map 2 Do Touch'!I31,4),$O$3:$O$6,0),MATCH(MOD('Map 2 Do Touch'!I32,4),$P$2:$S$2,0)),'Map 3'!$AJ$4:$AJ$6,0),MATCH(IF('Map 2 Do Touch'!I31&gt;4,"Water","Land"),'Map 3'!$AK$3:$AL$3,0))))</f>
        <v>Coast</v>
      </c>
      <c r="J36" s="3" t="str">
        <f ca="1">IF('Map 2 Do Touch'!I31&lt;&gt;'Map 2 Do Touch'!I32,IF('Map 2 Do Touch'!J32&gt;4,INDEX($AG$4:$AH$6,MATCH(INDEX($I$3:$L$6,MATCH(MOD('Map 2 Do Touch'!I32,4),$H$3:$H$6,0),MATCH(MOD('Map 2 Do Touch'!J32,4),$I$2:$L$2,0)),$AF$4:$AF$6,0),MATCH(IF('Map 2 Do Touch'!I32&gt;4,"Water","Land"),'Map 3'!$AG$3:$AH$3,0)),INDEX($AK$4:$AL$6,MATCH(INDEX($I$3:$L$6,MATCH(MOD('Map 2 Do Touch'!I32,4),$H$3:$H$6,0),MATCH(MOD('Map 2 Do Touch'!J32,4),$I$2:$L$2,0)),'Map 3'!$AJ$4:$AJ$6,0),MATCH(IF('Map 2 Do Touch'!I32&gt;4,"Water","Land"),'Map 3'!$AK$3:$AL$3,0))),IF('Map 2 Do Touch'!J32&gt;4,INDEX($AG$4:$AH$6,MATCH(INDEX($P$3:$S$6,MATCH(MOD('Map 2 Do Touch'!J31,4),$O$3:$O$6,0),MATCH(MOD('Map 2 Do Touch'!J32,4),$P$2:$S$2,0)),$AF$4:$AF$6,0),MATCH(IF('Map 2 Do Touch'!J31&gt;4,"Water","Land"),'Map 3'!$AG$3:$AH$3,0)),INDEX($AK$4:$AL$6,MATCH(INDEX($P$3:$S$6,MATCH(MOD('Map 2 Do Touch'!J31,4),$O$3:$O$6,0),MATCH(MOD('Map 2 Do Touch'!J32,4),$P$2:$S$2,0)),'Map 3'!$AJ$4:$AJ$6,0),MATCH(IF('Map 2 Do Touch'!J31&gt;4,"Water","Land"),'Map 3'!$AK$3:$AL$3,0))))</f>
        <v>Flatland</v>
      </c>
      <c r="K36" s="3" t="str">
        <f ca="1">IF('Map 2 Do Touch'!J31&lt;&gt;'Map 2 Do Touch'!J32,IF('Map 2 Do Touch'!K32&gt;4,INDEX($AG$4:$AH$6,MATCH(INDEX($I$3:$L$6,MATCH(MOD('Map 2 Do Touch'!J32,4),$H$3:$H$6,0),MATCH(MOD('Map 2 Do Touch'!K32,4),$I$2:$L$2,0)),$AF$4:$AF$6,0),MATCH(IF('Map 2 Do Touch'!J32&gt;4,"Water","Land"),'Map 3'!$AG$3:$AH$3,0)),INDEX($AK$4:$AL$6,MATCH(INDEX($I$3:$L$6,MATCH(MOD('Map 2 Do Touch'!J32,4),$H$3:$H$6,0),MATCH(MOD('Map 2 Do Touch'!K32,4),$I$2:$L$2,0)),'Map 3'!$AJ$4:$AJ$6,0),MATCH(IF('Map 2 Do Touch'!J32&gt;4,"Water","Land"),'Map 3'!$AK$3:$AL$3,0))),IF('Map 2 Do Touch'!K32&gt;4,INDEX($AG$4:$AH$6,MATCH(INDEX($P$3:$S$6,MATCH(MOD('Map 2 Do Touch'!K31,4),$O$3:$O$6,0),MATCH(MOD('Map 2 Do Touch'!K32,4),$P$2:$S$2,0)),$AF$4:$AF$6,0),MATCH(IF('Map 2 Do Touch'!K31&gt;4,"Water","Land"),'Map 3'!$AG$3:$AH$3,0)),INDEX($AK$4:$AL$6,MATCH(INDEX($P$3:$S$6,MATCH(MOD('Map 2 Do Touch'!K31,4),$O$3:$O$6,0),MATCH(MOD('Map 2 Do Touch'!K32,4),$P$2:$S$2,0)),'Map 3'!$AJ$4:$AJ$6,0),MATCH(IF('Map 2 Do Touch'!K31&gt;4,"Water","Land"),'Map 3'!$AK$3:$AL$3,0))))</f>
        <v>Coast</v>
      </c>
      <c r="L36" s="3" t="str">
        <f ca="1">IF('Map 2 Do Touch'!K31&lt;&gt;'Map 2 Do Touch'!K32,IF('Map 2 Do Touch'!L32&gt;4,INDEX($AG$4:$AH$6,MATCH(INDEX($I$3:$L$6,MATCH(MOD('Map 2 Do Touch'!K32,4),$H$3:$H$6,0),MATCH(MOD('Map 2 Do Touch'!L32,4),$I$2:$L$2,0)),$AF$4:$AF$6,0),MATCH(IF('Map 2 Do Touch'!K32&gt;4,"Water","Land"),'Map 3'!$AG$3:$AH$3,0)),INDEX($AK$4:$AL$6,MATCH(INDEX($I$3:$L$6,MATCH(MOD('Map 2 Do Touch'!K32,4),$H$3:$H$6,0),MATCH(MOD('Map 2 Do Touch'!L32,4),$I$2:$L$2,0)),'Map 3'!$AJ$4:$AJ$6,0),MATCH(IF('Map 2 Do Touch'!K32&gt;4,"Water","Land"),'Map 3'!$AK$3:$AL$3,0))),IF('Map 2 Do Touch'!L32&gt;4,INDEX($AG$4:$AH$6,MATCH(INDEX($P$3:$S$6,MATCH(MOD('Map 2 Do Touch'!L31,4),$O$3:$O$6,0),MATCH(MOD('Map 2 Do Touch'!L32,4),$P$2:$S$2,0)),$AF$4:$AF$6,0),MATCH(IF('Map 2 Do Touch'!L31&gt;4,"Water","Land"),'Map 3'!$AG$3:$AH$3,0)),INDEX($AK$4:$AL$6,MATCH(INDEX($P$3:$S$6,MATCH(MOD('Map 2 Do Touch'!L31,4),$O$3:$O$6,0),MATCH(MOD('Map 2 Do Touch'!L32,4),$P$2:$S$2,0)),'Map 3'!$AJ$4:$AJ$6,0),MATCH(IF('Map 2 Do Touch'!L31&gt;4,"Water","Land"),'Map 3'!$AK$3:$AL$3,0))))</f>
        <v>Island</v>
      </c>
      <c r="M36" s="3" t="str">
        <f ca="1">IF('Map 2 Do Touch'!L31&lt;&gt;'Map 2 Do Touch'!L32,IF('Map 2 Do Touch'!M32&gt;4,INDEX($AG$4:$AH$6,MATCH(INDEX($I$3:$L$6,MATCH(MOD('Map 2 Do Touch'!L32,4),$H$3:$H$6,0),MATCH(MOD('Map 2 Do Touch'!M32,4),$I$2:$L$2,0)),$AF$4:$AF$6,0),MATCH(IF('Map 2 Do Touch'!L32&gt;4,"Water","Land"),'Map 3'!$AG$3:$AH$3,0)),INDEX($AK$4:$AL$6,MATCH(INDEX($I$3:$L$6,MATCH(MOD('Map 2 Do Touch'!L32,4),$H$3:$H$6,0),MATCH(MOD('Map 2 Do Touch'!M32,4),$I$2:$L$2,0)),'Map 3'!$AJ$4:$AJ$6,0),MATCH(IF('Map 2 Do Touch'!L32&gt;4,"Water","Land"),'Map 3'!$AK$3:$AL$3,0))),IF('Map 2 Do Touch'!M32&gt;4,INDEX($AG$4:$AH$6,MATCH(INDEX($P$3:$S$6,MATCH(MOD('Map 2 Do Touch'!M31,4),$O$3:$O$6,0),MATCH(MOD('Map 2 Do Touch'!M32,4),$P$2:$S$2,0)),$AF$4:$AF$6,0),MATCH(IF('Map 2 Do Touch'!M31&gt;4,"Water","Land"),'Map 3'!$AG$3:$AH$3,0)),INDEX($AK$4:$AL$6,MATCH(INDEX($P$3:$S$6,MATCH(MOD('Map 2 Do Touch'!M31,4),$O$3:$O$6,0),MATCH(MOD('Map 2 Do Touch'!M32,4),$P$2:$S$2,0)),'Map 3'!$AJ$4:$AJ$6,0),MATCH(IF('Map 2 Do Touch'!M31&gt;4,"Water","Land"),'Map 3'!$AK$3:$AL$3,0))))</f>
        <v>Ocean</v>
      </c>
      <c r="N36" s="3" t="str">
        <f ca="1">IF('Map 2 Do Touch'!M31&lt;&gt;'Map 2 Do Touch'!M32,IF('Map 2 Do Touch'!N32&gt;4,INDEX($AG$4:$AH$6,MATCH(INDEX($I$3:$L$6,MATCH(MOD('Map 2 Do Touch'!M32,4),$H$3:$H$6,0),MATCH(MOD('Map 2 Do Touch'!N32,4),$I$2:$L$2,0)),$AF$4:$AF$6,0),MATCH(IF('Map 2 Do Touch'!M32&gt;4,"Water","Land"),'Map 3'!$AG$3:$AH$3,0)),INDEX($AK$4:$AL$6,MATCH(INDEX($I$3:$L$6,MATCH(MOD('Map 2 Do Touch'!M32,4),$H$3:$H$6,0),MATCH(MOD('Map 2 Do Touch'!N32,4),$I$2:$L$2,0)),'Map 3'!$AJ$4:$AJ$6,0),MATCH(IF('Map 2 Do Touch'!M32&gt;4,"Water","Land"),'Map 3'!$AK$3:$AL$3,0))),IF('Map 2 Do Touch'!N32&gt;4,INDEX($AG$4:$AH$6,MATCH(INDEX($P$3:$S$6,MATCH(MOD('Map 2 Do Touch'!N31,4),$O$3:$O$6,0),MATCH(MOD('Map 2 Do Touch'!N32,4),$P$2:$S$2,0)),$AF$4:$AF$6,0),MATCH(IF('Map 2 Do Touch'!N31&gt;4,"Water","Land"),'Map 3'!$AG$3:$AH$3,0)),INDEX($AK$4:$AL$6,MATCH(INDEX($P$3:$S$6,MATCH(MOD('Map 2 Do Touch'!N31,4),$O$3:$O$6,0),MATCH(MOD('Map 2 Do Touch'!N32,4),$P$2:$S$2,0)),'Map 3'!$AJ$4:$AJ$6,0),MATCH(IF('Map 2 Do Touch'!N31&gt;4,"Water","Land"),'Map 3'!$AK$3:$AL$3,0))))</f>
        <v>Island</v>
      </c>
      <c r="O36" s="3" t="str">
        <f ca="1">IF('Map 2 Do Touch'!N31&lt;&gt;'Map 2 Do Touch'!N32,IF('Map 2 Do Touch'!O32&gt;4,INDEX($AG$4:$AH$6,MATCH(INDEX($I$3:$L$6,MATCH(MOD('Map 2 Do Touch'!N32,4),$H$3:$H$6,0),MATCH(MOD('Map 2 Do Touch'!O32,4),$I$2:$L$2,0)),$AF$4:$AF$6,0),MATCH(IF('Map 2 Do Touch'!N32&gt;4,"Water","Land"),'Map 3'!$AG$3:$AH$3,0)),INDEX($AK$4:$AL$6,MATCH(INDEX($I$3:$L$6,MATCH(MOD('Map 2 Do Touch'!N32,4),$H$3:$H$6,0),MATCH(MOD('Map 2 Do Touch'!O32,4),$I$2:$L$2,0)),'Map 3'!$AJ$4:$AJ$6,0),MATCH(IF('Map 2 Do Touch'!N32&gt;4,"Water","Land"),'Map 3'!$AK$3:$AL$3,0))),IF('Map 2 Do Touch'!O32&gt;4,INDEX($AG$4:$AH$6,MATCH(INDEX($P$3:$S$6,MATCH(MOD('Map 2 Do Touch'!O31,4),$O$3:$O$6,0),MATCH(MOD('Map 2 Do Touch'!O32,4),$P$2:$S$2,0)),$AF$4:$AF$6,0),MATCH(IF('Map 2 Do Touch'!O31&gt;4,"Water","Land"),'Map 3'!$AG$3:$AH$3,0)),INDEX($AK$4:$AL$6,MATCH(INDEX($P$3:$S$6,MATCH(MOD('Map 2 Do Touch'!O31,4),$O$3:$O$6,0),MATCH(MOD('Map 2 Do Touch'!O32,4),$P$2:$S$2,0)),'Map 3'!$AJ$4:$AJ$6,0),MATCH(IF('Map 2 Do Touch'!O31&gt;4,"Water","Land"),'Map 3'!$AK$3:$AL$3,0))))</f>
        <v>Ocean</v>
      </c>
      <c r="P36" s="3" t="str">
        <f ca="1">IF('Map 2 Do Touch'!O31&lt;&gt;'Map 2 Do Touch'!O32,IF('Map 2 Do Touch'!P32&gt;4,INDEX($AG$4:$AH$6,MATCH(INDEX($I$3:$L$6,MATCH(MOD('Map 2 Do Touch'!O32,4),$H$3:$H$6,0),MATCH(MOD('Map 2 Do Touch'!P32,4),$I$2:$L$2,0)),$AF$4:$AF$6,0),MATCH(IF('Map 2 Do Touch'!O32&gt;4,"Water","Land"),'Map 3'!$AG$3:$AH$3,0)),INDEX($AK$4:$AL$6,MATCH(INDEX($I$3:$L$6,MATCH(MOD('Map 2 Do Touch'!O32,4),$H$3:$H$6,0),MATCH(MOD('Map 2 Do Touch'!P32,4),$I$2:$L$2,0)),'Map 3'!$AJ$4:$AJ$6,0),MATCH(IF('Map 2 Do Touch'!O32&gt;4,"Water","Land"),'Map 3'!$AK$3:$AL$3,0))),IF('Map 2 Do Touch'!P32&gt;4,INDEX($AG$4:$AH$6,MATCH(INDEX($P$3:$S$6,MATCH(MOD('Map 2 Do Touch'!P31,4),$O$3:$O$6,0),MATCH(MOD('Map 2 Do Touch'!P32,4),$P$2:$S$2,0)),$AF$4:$AF$6,0),MATCH(IF('Map 2 Do Touch'!P31&gt;4,"Water","Land"),'Map 3'!$AG$3:$AH$3,0)),INDEX($AK$4:$AL$6,MATCH(INDEX($P$3:$S$6,MATCH(MOD('Map 2 Do Touch'!P31,4),$O$3:$O$6,0),MATCH(MOD('Map 2 Do Touch'!P32,4),$P$2:$S$2,0)),'Map 3'!$AJ$4:$AJ$6,0),MATCH(IF('Map 2 Do Touch'!P31&gt;4,"Water","Land"),'Map 3'!$AK$3:$AL$3,0))))</f>
        <v>Ocean</v>
      </c>
      <c r="Q36" s="3" t="str">
        <f ca="1">IF('Map 2 Do Touch'!P31&lt;&gt;'Map 2 Do Touch'!P32,IF('Map 2 Do Touch'!Q32&gt;4,INDEX($AG$4:$AH$6,MATCH(INDEX($I$3:$L$6,MATCH(MOD('Map 2 Do Touch'!P32,4),$H$3:$H$6,0),MATCH(MOD('Map 2 Do Touch'!Q32,4),$I$2:$L$2,0)),$AF$4:$AF$6,0),MATCH(IF('Map 2 Do Touch'!P32&gt;4,"Water","Land"),'Map 3'!$AG$3:$AH$3,0)),INDEX($AK$4:$AL$6,MATCH(INDEX($I$3:$L$6,MATCH(MOD('Map 2 Do Touch'!P32,4),$H$3:$H$6,0),MATCH(MOD('Map 2 Do Touch'!Q32,4),$I$2:$L$2,0)),'Map 3'!$AJ$4:$AJ$6,0),MATCH(IF('Map 2 Do Touch'!P32&gt;4,"Water","Land"),'Map 3'!$AK$3:$AL$3,0))),IF('Map 2 Do Touch'!Q32&gt;4,INDEX($AG$4:$AH$6,MATCH(INDEX($P$3:$S$6,MATCH(MOD('Map 2 Do Touch'!Q31,4),$O$3:$O$6,0),MATCH(MOD('Map 2 Do Touch'!Q32,4),$P$2:$S$2,0)),$AF$4:$AF$6,0),MATCH(IF('Map 2 Do Touch'!Q31&gt;4,"Water","Land"),'Map 3'!$AG$3:$AH$3,0)),INDEX($AK$4:$AL$6,MATCH(INDEX($P$3:$S$6,MATCH(MOD('Map 2 Do Touch'!Q31,4),$O$3:$O$6,0),MATCH(MOD('Map 2 Do Touch'!Q32,4),$P$2:$S$2,0)),'Map 3'!$AJ$4:$AJ$6,0),MATCH(IF('Map 2 Do Touch'!Q31&gt;4,"Water","Land"),'Map 3'!$AK$3:$AL$3,0))))</f>
        <v>Ocean</v>
      </c>
      <c r="R36" s="3" t="str">
        <f ca="1">IF('Map 2 Do Touch'!Q31&lt;&gt;'Map 2 Do Touch'!Q32,IF('Map 2 Do Touch'!R32&gt;4,INDEX($AG$4:$AH$6,MATCH(INDEX($I$3:$L$6,MATCH(MOD('Map 2 Do Touch'!Q32,4),$H$3:$H$6,0),MATCH(MOD('Map 2 Do Touch'!R32,4),$I$2:$L$2,0)),$AF$4:$AF$6,0),MATCH(IF('Map 2 Do Touch'!Q32&gt;4,"Water","Land"),'Map 3'!$AG$3:$AH$3,0)),INDEX($AK$4:$AL$6,MATCH(INDEX($I$3:$L$6,MATCH(MOD('Map 2 Do Touch'!Q32,4),$H$3:$H$6,0),MATCH(MOD('Map 2 Do Touch'!R32,4),$I$2:$L$2,0)),'Map 3'!$AJ$4:$AJ$6,0),MATCH(IF('Map 2 Do Touch'!Q32&gt;4,"Water","Land"),'Map 3'!$AK$3:$AL$3,0))),IF('Map 2 Do Touch'!R32&gt;4,INDEX($AG$4:$AH$6,MATCH(INDEX($P$3:$S$6,MATCH(MOD('Map 2 Do Touch'!R31,4),$O$3:$O$6,0),MATCH(MOD('Map 2 Do Touch'!R32,4),$P$2:$S$2,0)),$AF$4:$AF$6,0),MATCH(IF('Map 2 Do Touch'!R31&gt;4,"Water","Land"),'Map 3'!$AG$3:$AH$3,0)),INDEX($AK$4:$AL$6,MATCH(INDEX($P$3:$S$6,MATCH(MOD('Map 2 Do Touch'!R31,4),$O$3:$O$6,0),MATCH(MOD('Map 2 Do Touch'!R32,4),$P$2:$S$2,0)),'Map 3'!$AJ$4:$AJ$6,0),MATCH(IF('Map 2 Do Touch'!R31&gt;4,"Water","Land"),'Map 3'!$AK$3:$AL$3,0))))</f>
        <v>Island</v>
      </c>
      <c r="S36" s="3" t="str">
        <f ca="1">IF('Map 2 Do Touch'!R31&lt;&gt;'Map 2 Do Touch'!R32,IF('Map 2 Do Touch'!S32&gt;4,INDEX($AG$4:$AH$6,MATCH(INDEX($I$3:$L$6,MATCH(MOD('Map 2 Do Touch'!R32,4),$H$3:$H$6,0),MATCH(MOD('Map 2 Do Touch'!S32,4),$I$2:$L$2,0)),$AF$4:$AF$6,0),MATCH(IF('Map 2 Do Touch'!R32&gt;4,"Water","Land"),'Map 3'!$AG$3:$AH$3,0)),INDEX($AK$4:$AL$6,MATCH(INDEX($I$3:$L$6,MATCH(MOD('Map 2 Do Touch'!R32,4),$H$3:$H$6,0),MATCH(MOD('Map 2 Do Touch'!S32,4),$I$2:$L$2,0)),'Map 3'!$AJ$4:$AJ$6,0),MATCH(IF('Map 2 Do Touch'!R32&gt;4,"Water","Land"),'Map 3'!$AK$3:$AL$3,0))),IF('Map 2 Do Touch'!S32&gt;4,INDEX($AG$4:$AH$6,MATCH(INDEX($P$3:$S$6,MATCH(MOD('Map 2 Do Touch'!S31,4),$O$3:$O$6,0),MATCH(MOD('Map 2 Do Touch'!S32,4),$P$2:$S$2,0)),$AF$4:$AF$6,0),MATCH(IF('Map 2 Do Touch'!S31&gt;4,"Water","Land"),'Map 3'!$AG$3:$AH$3,0)),INDEX($AK$4:$AL$6,MATCH(INDEX($P$3:$S$6,MATCH(MOD('Map 2 Do Touch'!S31,4),$O$3:$O$6,0),MATCH(MOD('Map 2 Do Touch'!S32,4),$P$2:$S$2,0)),'Map 3'!$AJ$4:$AJ$6,0),MATCH(IF('Map 2 Do Touch'!S31&gt;4,"Water","Land"),'Map 3'!$AK$3:$AL$3,0))))</f>
        <v>Trench</v>
      </c>
      <c r="T36" s="3" t="str">
        <f ca="1">IF('Map 2 Do Touch'!S31&lt;&gt;'Map 2 Do Touch'!S32,IF('Map 2 Do Touch'!T32&gt;4,INDEX($AG$4:$AH$6,MATCH(INDEX($I$3:$L$6,MATCH(MOD('Map 2 Do Touch'!S32,4),$H$3:$H$6,0),MATCH(MOD('Map 2 Do Touch'!T32,4),$I$2:$L$2,0)),$AF$4:$AF$6,0),MATCH(IF('Map 2 Do Touch'!S32&gt;4,"Water","Land"),'Map 3'!$AG$3:$AH$3,0)),INDEX($AK$4:$AL$6,MATCH(INDEX($I$3:$L$6,MATCH(MOD('Map 2 Do Touch'!S32,4),$H$3:$H$6,0),MATCH(MOD('Map 2 Do Touch'!T32,4),$I$2:$L$2,0)),'Map 3'!$AJ$4:$AJ$6,0),MATCH(IF('Map 2 Do Touch'!S32&gt;4,"Water","Land"),'Map 3'!$AK$3:$AL$3,0))),IF('Map 2 Do Touch'!T32&gt;4,INDEX($AG$4:$AH$6,MATCH(INDEX($P$3:$S$6,MATCH(MOD('Map 2 Do Touch'!T31,4),$O$3:$O$6,0),MATCH(MOD('Map 2 Do Touch'!T32,4),$P$2:$S$2,0)),$AF$4:$AF$6,0),MATCH(IF('Map 2 Do Touch'!T31&gt;4,"Water","Land"),'Map 3'!$AG$3:$AH$3,0)),INDEX($AK$4:$AL$6,MATCH(INDEX($P$3:$S$6,MATCH(MOD('Map 2 Do Touch'!T31,4),$O$3:$O$6,0),MATCH(MOD('Map 2 Do Touch'!T32,4),$P$2:$S$2,0)),'Map 3'!$AJ$4:$AJ$6,0),MATCH(IF('Map 2 Do Touch'!T31&gt;4,"Water","Land"),'Map 3'!$AK$3:$AL$3,0))))</f>
        <v>Ocean</v>
      </c>
      <c r="U36" s="3" t="str">
        <f ca="1">IF('Map 2 Do Touch'!T31&lt;&gt;'Map 2 Do Touch'!T32,IF('Map 2 Do Touch'!U32&gt;4,INDEX($AG$4:$AH$6,MATCH(INDEX($I$3:$L$6,MATCH(MOD('Map 2 Do Touch'!T32,4),$H$3:$H$6,0),MATCH(MOD('Map 2 Do Touch'!U32,4),$I$2:$L$2,0)),$AF$4:$AF$6,0),MATCH(IF('Map 2 Do Touch'!T32&gt;4,"Water","Land"),'Map 3'!$AG$3:$AH$3,0)),INDEX($AK$4:$AL$6,MATCH(INDEX($I$3:$L$6,MATCH(MOD('Map 2 Do Touch'!T32,4),$H$3:$H$6,0),MATCH(MOD('Map 2 Do Touch'!U32,4),$I$2:$L$2,0)),'Map 3'!$AJ$4:$AJ$6,0),MATCH(IF('Map 2 Do Touch'!T32&gt;4,"Water","Land"),'Map 3'!$AK$3:$AL$3,0))),IF('Map 2 Do Touch'!U32&gt;4,INDEX($AG$4:$AH$6,MATCH(INDEX($P$3:$S$6,MATCH(MOD('Map 2 Do Touch'!U31,4),$O$3:$O$6,0),MATCH(MOD('Map 2 Do Touch'!U32,4),$P$2:$S$2,0)),$AF$4:$AF$6,0),MATCH(IF('Map 2 Do Touch'!U31&gt;4,"Water","Land"),'Map 3'!$AG$3:$AH$3,0)),INDEX($AK$4:$AL$6,MATCH(INDEX($P$3:$S$6,MATCH(MOD('Map 2 Do Touch'!U31,4),$O$3:$O$6,0),MATCH(MOD('Map 2 Do Touch'!U32,4),$P$2:$S$2,0)),'Map 3'!$AJ$4:$AJ$6,0),MATCH(IF('Map 2 Do Touch'!U31&gt;4,"Water","Land"),'Map 3'!$AK$3:$AL$3,0))))</f>
        <v>Ocean</v>
      </c>
      <c r="V36" s="3" t="str">
        <f ca="1">IF('Map 2 Do Touch'!U31&lt;&gt;'Map 2 Do Touch'!U32,IF('Map 2 Do Touch'!V32&gt;4,INDEX($AG$4:$AH$6,MATCH(INDEX($I$3:$L$6,MATCH(MOD('Map 2 Do Touch'!U32,4),$H$3:$H$6,0),MATCH(MOD('Map 2 Do Touch'!V32,4),$I$2:$L$2,0)),$AF$4:$AF$6,0),MATCH(IF('Map 2 Do Touch'!U32&gt;4,"Water","Land"),'Map 3'!$AG$3:$AH$3,0)),INDEX($AK$4:$AL$6,MATCH(INDEX($I$3:$L$6,MATCH(MOD('Map 2 Do Touch'!U32,4),$H$3:$H$6,0),MATCH(MOD('Map 2 Do Touch'!V32,4),$I$2:$L$2,0)),'Map 3'!$AJ$4:$AJ$6,0),MATCH(IF('Map 2 Do Touch'!U32&gt;4,"Water","Land"),'Map 3'!$AK$3:$AL$3,0))),IF('Map 2 Do Touch'!V32&gt;4,INDEX($AG$4:$AH$6,MATCH(INDEX($P$3:$S$6,MATCH(MOD('Map 2 Do Touch'!V31,4),$O$3:$O$6,0),MATCH(MOD('Map 2 Do Touch'!V32,4),$P$2:$S$2,0)),$AF$4:$AF$6,0),MATCH(IF('Map 2 Do Touch'!V31&gt;4,"Water","Land"),'Map 3'!$AG$3:$AH$3,0)),INDEX($AK$4:$AL$6,MATCH(INDEX($P$3:$S$6,MATCH(MOD('Map 2 Do Touch'!V31,4),$O$3:$O$6,0),MATCH(MOD('Map 2 Do Touch'!V32,4),$P$2:$S$2,0)),'Map 3'!$AJ$4:$AJ$6,0),MATCH(IF('Map 2 Do Touch'!V31&gt;4,"Water","Land"),'Map 3'!$AK$3:$AL$3,0))))</f>
        <v>Ocean</v>
      </c>
      <c r="W36" s="3" t="str">
        <f ca="1">IF('Map 2 Do Touch'!V31&lt;&gt;'Map 2 Do Touch'!V32,IF('Map 2 Do Touch'!W32&gt;4,INDEX($AG$4:$AH$6,MATCH(INDEX($I$3:$L$6,MATCH(MOD('Map 2 Do Touch'!V32,4),$H$3:$H$6,0),MATCH(MOD('Map 2 Do Touch'!W32,4),$I$2:$L$2,0)),$AF$4:$AF$6,0),MATCH(IF('Map 2 Do Touch'!V32&gt;4,"Water","Land"),'Map 3'!$AG$3:$AH$3,0)),INDEX($AK$4:$AL$6,MATCH(INDEX($I$3:$L$6,MATCH(MOD('Map 2 Do Touch'!V32,4),$H$3:$H$6,0),MATCH(MOD('Map 2 Do Touch'!W32,4),$I$2:$L$2,0)),'Map 3'!$AJ$4:$AJ$6,0),MATCH(IF('Map 2 Do Touch'!V32&gt;4,"Water","Land"),'Map 3'!$AK$3:$AL$3,0))),IF('Map 2 Do Touch'!W32&gt;4,INDEX($AG$4:$AH$6,MATCH(INDEX($P$3:$S$6,MATCH(MOD('Map 2 Do Touch'!W31,4),$O$3:$O$6,0),MATCH(MOD('Map 2 Do Touch'!W32,4),$P$2:$S$2,0)),$AF$4:$AF$6,0),MATCH(IF('Map 2 Do Touch'!W31&gt;4,"Water","Land"),'Map 3'!$AG$3:$AH$3,0)),INDEX($AK$4:$AL$6,MATCH(INDEX($P$3:$S$6,MATCH(MOD('Map 2 Do Touch'!W31,4),$O$3:$O$6,0),MATCH(MOD('Map 2 Do Touch'!W32,4),$P$2:$S$2,0)),'Map 3'!$AJ$4:$AJ$6,0),MATCH(IF('Map 2 Do Touch'!W31&gt;4,"Water","Land"),'Map 3'!$AK$3:$AL$3,0))))</f>
        <v>Ocean</v>
      </c>
      <c r="X36" s="3" t="str">
        <f ca="1">IF('Map 2 Do Touch'!W31&lt;&gt;'Map 2 Do Touch'!W32,IF('Map 2 Do Touch'!X32&gt;4,INDEX($AG$4:$AH$6,MATCH(INDEX($I$3:$L$6,MATCH(MOD('Map 2 Do Touch'!W32,4),$H$3:$H$6,0),MATCH(MOD('Map 2 Do Touch'!X32,4),$I$2:$L$2,0)),$AF$4:$AF$6,0),MATCH(IF('Map 2 Do Touch'!W32&gt;4,"Water","Land"),'Map 3'!$AG$3:$AH$3,0)),INDEX($AK$4:$AL$6,MATCH(INDEX($I$3:$L$6,MATCH(MOD('Map 2 Do Touch'!W32,4),$H$3:$H$6,0),MATCH(MOD('Map 2 Do Touch'!X32,4),$I$2:$L$2,0)),'Map 3'!$AJ$4:$AJ$6,0),MATCH(IF('Map 2 Do Touch'!W32&gt;4,"Water","Land"),'Map 3'!$AK$3:$AL$3,0))),IF('Map 2 Do Touch'!X32&gt;4,INDEX($AG$4:$AH$6,MATCH(INDEX($P$3:$S$6,MATCH(MOD('Map 2 Do Touch'!X31,4),$O$3:$O$6,0),MATCH(MOD('Map 2 Do Touch'!X32,4),$P$2:$S$2,0)),$AF$4:$AF$6,0),MATCH(IF('Map 2 Do Touch'!X31&gt;4,"Water","Land"),'Map 3'!$AG$3:$AH$3,0)),INDEX($AK$4:$AL$6,MATCH(INDEX($P$3:$S$6,MATCH(MOD('Map 2 Do Touch'!X31,4),$O$3:$O$6,0),MATCH(MOD('Map 2 Do Touch'!X32,4),$P$2:$S$2,0)),'Map 3'!$AJ$4:$AJ$6,0),MATCH(IF('Map 2 Do Touch'!X31&gt;4,"Water","Land"),'Map 3'!$AK$3:$AL$3,0))))</f>
        <v>Ocean</v>
      </c>
      <c r="Y36" s="3" t="str">
        <f ca="1">IF('Map 2 Do Touch'!X31&lt;&gt;'Map 2 Do Touch'!X32,IF('Map 2 Do Touch'!Y32&gt;4,INDEX($AG$4:$AH$6,MATCH(INDEX($I$3:$L$6,MATCH(MOD('Map 2 Do Touch'!X32,4),$H$3:$H$6,0),MATCH(MOD('Map 2 Do Touch'!Y32,4),$I$2:$L$2,0)),$AF$4:$AF$6,0),MATCH(IF('Map 2 Do Touch'!X32&gt;4,"Water","Land"),'Map 3'!$AG$3:$AH$3,0)),INDEX($AK$4:$AL$6,MATCH(INDEX($I$3:$L$6,MATCH(MOD('Map 2 Do Touch'!X32,4),$H$3:$H$6,0),MATCH(MOD('Map 2 Do Touch'!Y32,4),$I$2:$L$2,0)),'Map 3'!$AJ$4:$AJ$6,0),MATCH(IF('Map 2 Do Touch'!X32&gt;4,"Water","Land"),'Map 3'!$AK$3:$AL$3,0))),IF('Map 2 Do Touch'!Y32&gt;4,INDEX($AG$4:$AH$6,MATCH(INDEX($P$3:$S$6,MATCH(MOD('Map 2 Do Touch'!Y31,4),$O$3:$O$6,0),MATCH(MOD('Map 2 Do Touch'!Y32,4),$P$2:$S$2,0)),$AF$4:$AF$6,0),MATCH(IF('Map 2 Do Touch'!Y31&gt;4,"Water","Land"),'Map 3'!$AG$3:$AH$3,0)),INDEX($AK$4:$AL$6,MATCH(INDEX($P$3:$S$6,MATCH(MOD('Map 2 Do Touch'!Y31,4),$O$3:$O$6,0),MATCH(MOD('Map 2 Do Touch'!Y32,4),$P$2:$S$2,0)),'Map 3'!$AJ$4:$AJ$6,0),MATCH(IF('Map 2 Do Touch'!Y31&gt;4,"Water","Land"),'Map 3'!$AK$3:$AL$3,0))))</f>
        <v>Ocean</v>
      </c>
      <c r="Z36" s="3" t="str">
        <f ca="1">IF('Map 2 Do Touch'!Y31&lt;&gt;'Map 2 Do Touch'!Y32,IF('Map 2 Do Touch'!Z32&gt;4,INDEX($AG$4:$AH$6,MATCH(INDEX($I$3:$L$6,MATCH(MOD('Map 2 Do Touch'!Y32,4),$H$3:$H$6,0),MATCH(MOD('Map 2 Do Touch'!Z32,4),$I$2:$L$2,0)),$AF$4:$AF$6,0),MATCH(IF('Map 2 Do Touch'!Y32&gt;4,"Water","Land"),'Map 3'!$AG$3:$AH$3,0)),INDEX($AK$4:$AL$6,MATCH(INDEX($I$3:$L$6,MATCH(MOD('Map 2 Do Touch'!Y32,4),$H$3:$H$6,0),MATCH(MOD('Map 2 Do Touch'!Z32,4),$I$2:$L$2,0)),'Map 3'!$AJ$4:$AJ$6,0),MATCH(IF('Map 2 Do Touch'!Y32&gt;4,"Water","Land"),'Map 3'!$AK$3:$AL$3,0))),IF('Map 2 Do Touch'!Z32&gt;4,INDEX($AG$4:$AH$6,MATCH(INDEX($P$3:$S$6,MATCH(MOD('Map 2 Do Touch'!Z31,4),$O$3:$O$6,0),MATCH(MOD('Map 2 Do Touch'!Z32,4),$P$2:$S$2,0)),$AF$4:$AF$6,0),MATCH(IF('Map 2 Do Touch'!Z31&gt;4,"Water","Land"),'Map 3'!$AG$3:$AH$3,0)),INDEX($AK$4:$AL$6,MATCH(INDEX($P$3:$S$6,MATCH(MOD('Map 2 Do Touch'!Z31,4),$O$3:$O$6,0),MATCH(MOD('Map 2 Do Touch'!Z32,4),$P$2:$S$2,0)),'Map 3'!$AJ$4:$AJ$6,0),MATCH(IF('Map 2 Do Touch'!Z31&gt;4,"Water","Land"),'Map 3'!$AK$3:$AL$3,0))))</f>
        <v>Trench</v>
      </c>
      <c r="AA36" s="3" t="str">
        <f ca="1">IF('Map 2 Do Touch'!Z31&lt;&gt;'Map 2 Do Touch'!Z32,IF('Map 2 Do Touch'!AA32&gt;4,INDEX($AG$4:$AH$6,MATCH(INDEX($I$3:$L$6,MATCH(MOD('Map 2 Do Touch'!Z32,4),$H$3:$H$6,0),MATCH(MOD('Map 2 Do Touch'!AA32,4),$I$2:$L$2,0)),$AF$4:$AF$6,0),MATCH(IF('Map 2 Do Touch'!Z32&gt;4,"Water","Land"),'Map 3'!$AG$3:$AH$3,0)),INDEX($AK$4:$AL$6,MATCH(INDEX($I$3:$L$6,MATCH(MOD('Map 2 Do Touch'!Z32,4),$H$3:$H$6,0),MATCH(MOD('Map 2 Do Touch'!AA32,4),$I$2:$L$2,0)),'Map 3'!$AJ$4:$AJ$6,0),MATCH(IF('Map 2 Do Touch'!Z32&gt;4,"Water","Land"),'Map 3'!$AK$3:$AL$3,0))),IF('Map 2 Do Touch'!AA32&gt;4,INDEX($AG$4:$AH$6,MATCH(INDEX($P$3:$S$6,MATCH(MOD('Map 2 Do Touch'!AA31,4),$O$3:$O$6,0),MATCH(MOD('Map 2 Do Touch'!AA32,4),$P$2:$S$2,0)),$AF$4:$AF$6,0),MATCH(IF('Map 2 Do Touch'!AA31&gt;4,"Water","Land"),'Map 3'!$AG$3:$AH$3,0)),INDEX($AK$4:$AL$6,MATCH(INDEX($P$3:$S$6,MATCH(MOD('Map 2 Do Touch'!AA31,4),$O$3:$O$6,0),MATCH(MOD('Map 2 Do Touch'!AA32,4),$P$2:$S$2,0)),'Map 3'!$AJ$4:$AJ$6,0),MATCH(IF('Map 2 Do Touch'!AA31&gt;4,"Water","Land"),'Map 3'!$AK$3:$AL$3,0))))</f>
        <v>Island</v>
      </c>
      <c r="AB36" s="3" t="str">
        <f ca="1">IF('Map 2 Do Touch'!AA31&lt;&gt;'Map 2 Do Touch'!AA32,IF('Map 2 Do Touch'!AB32&gt;4,INDEX($AG$4:$AH$6,MATCH(INDEX($I$3:$L$6,MATCH(MOD('Map 2 Do Touch'!AA32,4),$H$3:$H$6,0),MATCH(MOD('Map 2 Do Touch'!AB32,4),$I$2:$L$2,0)),$AF$4:$AF$6,0),MATCH(IF('Map 2 Do Touch'!AA32&gt;4,"Water","Land"),'Map 3'!$AG$3:$AH$3,0)),INDEX($AK$4:$AL$6,MATCH(INDEX($I$3:$L$6,MATCH(MOD('Map 2 Do Touch'!AA32,4),$H$3:$H$6,0),MATCH(MOD('Map 2 Do Touch'!AB32,4),$I$2:$L$2,0)),'Map 3'!$AJ$4:$AJ$6,0),MATCH(IF('Map 2 Do Touch'!AA32&gt;4,"Water","Land"),'Map 3'!$AK$3:$AL$3,0))),IF('Map 2 Do Touch'!AB32&gt;4,INDEX($AG$4:$AH$6,MATCH(INDEX($P$3:$S$6,MATCH(MOD('Map 2 Do Touch'!AB31,4),$O$3:$O$6,0),MATCH(MOD('Map 2 Do Touch'!AB32,4),$P$2:$S$2,0)),$AF$4:$AF$6,0),MATCH(IF('Map 2 Do Touch'!AB31&gt;4,"Water","Land"),'Map 3'!$AG$3:$AH$3,0)),INDEX($AK$4:$AL$6,MATCH(INDEX($P$3:$S$6,MATCH(MOD('Map 2 Do Touch'!AB31,4),$O$3:$O$6,0),MATCH(MOD('Map 2 Do Touch'!AB32,4),$P$2:$S$2,0)),'Map 3'!$AJ$4:$AJ$6,0),MATCH(IF('Map 2 Do Touch'!AB31&gt;4,"Water","Land"),'Map 3'!$AK$3:$AL$3,0))))</f>
        <v>Ocean</v>
      </c>
      <c r="AC36" s="3" t="str">
        <f ca="1">IF('Map 2 Do Touch'!AB31&lt;&gt;'Map 2 Do Touch'!AB32,IF('Map 2 Do Touch'!AC32&gt;4,INDEX($AG$4:$AH$6,MATCH(INDEX($I$3:$L$6,MATCH(MOD('Map 2 Do Touch'!AB32,4),$H$3:$H$6,0),MATCH(MOD('Map 2 Do Touch'!AC32,4),$I$2:$L$2,0)),$AF$4:$AF$6,0),MATCH(IF('Map 2 Do Touch'!AB32&gt;4,"Water","Land"),'Map 3'!$AG$3:$AH$3,0)),INDEX($AK$4:$AL$6,MATCH(INDEX($I$3:$L$6,MATCH(MOD('Map 2 Do Touch'!AB32,4),$H$3:$H$6,0),MATCH(MOD('Map 2 Do Touch'!AC32,4),$I$2:$L$2,0)),'Map 3'!$AJ$4:$AJ$6,0),MATCH(IF('Map 2 Do Touch'!AB32&gt;4,"Water","Land"),'Map 3'!$AK$3:$AL$3,0))),IF('Map 2 Do Touch'!AC32&gt;4,INDEX($AG$4:$AH$6,MATCH(INDEX($P$3:$S$6,MATCH(MOD('Map 2 Do Touch'!AC31,4),$O$3:$O$6,0),MATCH(MOD('Map 2 Do Touch'!AC32,4),$P$2:$S$2,0)),$AF$4:$AF$6,0),MATCH(IF('Map 2 Do Touch'!AC31&gt;4,"Water","Land"),'Map 3'!$AG$3:$AH$3,0)),INDEX($AK$4:$AL$6,MATCH(INDEX($P$3:$S$6,MATCH(MOD('Map 2 Do Touch'!AC31,4),$O$3:$O$6,0),MATCH(MOD('Map 2 Do Touch'!AC32,4),$P$2:$S$2,0)),'Map 3'!$AJ$4:$AJ$6,0),MATCH(IF('Map 2 Do Touch'!AC31&gt;4,"Water","Land"),'Map 3'!$AK$3:$AL$3,0))))</f>
        <v>Ocean</v>
      </c>
      <c r="AD36" s="3" t="str">
        <f ca="1">IF('Map 2 Do Touch'!AC31&lt;&gt;'Map 2 Do Touch'!AC32,IF('Map 2 Do Touch'!AD32&gt;4,INDEX($AG$4:$AH$6,MATCH(INDEX($I$3:$L$6,MATCH(MOD('Map 2 Do Touch'!AC32,4),$H$3:$H$6,0),MATCH(MOD('Map 2 Do Touch'!AD32,4),$I$2:$L$2,0)),$AF$4:$AF$6,0),MATCH(IF('Map 2 Do Touch'!AC32&gt;4,"Water","Land"),'Map 3'!$AG$3:$AH$3,0)),INDEX($AK$4:$AL$6,MATCH(INDEX($I$3:$L$6,MATCH(MOD('Map 2 Do Touch'!AC32,4),$H$3:$H$6,0),MATCH(MOD('Map 2 Do Touch'!AD32,4),$I$2:$L$2,0)),'Map 3'!$AJ$4:$AJ$6,0),MATCH(IF('Map 2 Do Touch'!AC32&gt;4,"Water","Land"),'Map 3'!$AK$3:$AL$3,0))),IF('Map 2 Do Touch'!AD32&gt;4,INDEX($AG$4:$AH$6,MATCH(INDEX($P$3:$S$6,MATCH(MOD('Map 2 Do Touch'!AD31,4),$O$3:$O$6,0),MATCH(MOD('Map 2 Do Touch'!AD32,4),$P$2:$S$2,0)),$AF$4:$AF$6,0),MATCH(IF('Map 2 Do Touch'!AD31&gt;4,"Water","Land"),'Map 3'!$AG$3:$AH$3,0)),INDEX($AK$4:$AL$6,MATCH(INDEX($P$3:$S$6,MATCH(MOD('Map 2 Do Touch'!AD31,4),$O$3:$O$6,0),MATCH(MOD('Map 2 Do Touch'!AD32,4),$P$2:$S$2,0)),'Map 3'!$AJ$4:$AJ$6,0),MATCH(IF('Map 2 Do Touch'!AD31&gt;4,"Water","Land"),'Map 3'!$AK$3:$AL$3,0))))</f>
        <v>Ocean</v>
      </c>
      <c r="AE36" s="3" t="str">
        <f ca="1">IF('Map 2 Do Touch'!AD31&lt;&gt;'Map 2 Do Touch'!AD32,IF('Map 2 Do Touch'!AE32&gt;4,INDEX($AG$4:$AH$6,MATCH(INDEX($I$3:$L$6,MATCH(MOD('Map 2 Do Touch'!AD32,4),$H$3:$H$6,0),MATCH(MOD('Map 2 Do Touch'!AE32,4),$I$2:$L$2,0)),$AF$4:$AF$6,0),MATCH(IF('Map 2 Do Touch'!AD32&gt;4,"Water","Land"),'Map 3'!$AG$3:$AH$3,0)),INDEX($AK$4:$AL$6,MATCH(INDEX($I$3:$L$6,MATCH(MOD('Map 2 Do Touch'!AD32,4),$H$3:$H$6,0),MATCH(MOD('Map 2 Do Touch'!AE32,4),$I$2:$L$2,0)),'Map 3'!$AJ$4:$AJ$6,0),MATCH(IF('Map 2 Do Touch'!AD32&gt;4,"Water","Land"),'Map 3'!$AK$3:$AL$3,0))),IF('Map 2 Do Touch'!AE32&gt;4,INDEX($AG$4:$AH$6,MATCH(INDEX($P$3:$S$6,MATCH(MOD('Map 2 Do Touch'!AE31,4),$O$3:$O$6,0),MATCH(MOD('Map 2 Do Touch'!AE32,4),$P$2:$S$2,0)),$AF$4:$AF$6,0),MATCH(IF('Map 2 Do Touch'!AE31&gt;4,"Water","Land"),'Map 3'!$AG$3:$AH$3,0)),INDEX($AK$4:$AL$6,MATCH(INDEX($P$3:$S$6,MATCH(MOD('Map 2 Do Touch'!AE31,4),$O$3:$O$6,0),MATCH(MOD('Map 2 Do Touch'!AE32,4),$P$2:$S$2,0)),'Map 3'!$AJ$4:$AJ$6,0),MATCH(IF('Map 2 Do Touch'!AE31&gt;4,"Water","Land"),'Map 3'!$AK$3:$AL$3,0))))</f>
        <v>Ocean</v>
      </c>
      <c r="AF36" s="3" t="str">
        <f ca="1">IF('Map 2 Do Touch'!AE31&lt;&gt;'Map 2 Do Touch'!AE32,IF('Map 2 Do Touch'!AF32&gt;4,INDEX($AG$4:$AH$6,MATCH(INDEX($I$3:$L$6,MATCH(MOD('Map 2 Do Touch'!AE32,4),$H$3:$H$6,0),MATCH(MOD('Map 2 Do Touch'!AF32,4),$I$2:$L$2,0)),$AF$4:$AF$6,0),MATCH(IF('Map 2 Do Touch'!AE32&gt;4,"Water","Land"),'Map 3'!$AG$3:$AH$3,0)),INDEX($AK$4:$AL$6,MATCH(INDEX($I$3:$L$6,MATCH(MOD('Map 2 Do Touch'!AE32,4),$H$3:$H$6,0),MATCH(MOD('Map 2 Do Touch'!AF32,4),$I$2:$L$2,0)),'Map 3'!$AJ$4:$AJ$6,0),MATCH(IF('Map 2 Do Touch'!AE32&gt;4,"Water","Land"),'Map 3'!$AK$3:$AL$3,0))),IF('Map 2 Do Touch'!AF32&gt;4,INDEX($AG$4:$AH$6,MATCH(INDEX($P$3:$S$6,MATCH(MOD('Map 2 Do Touch'!AF31,4),$O$3:$O$6,0),MATCH(MOD('Map 2 Do Touch'!AF32,4),$P$2:$S$2,0)),$AF$4:$AF$6,0),MATCH(IF('Map 2 Do Touch'!AF31&gt;4,"Water","Land"),'Map 3'!$AG$3:$AH$3,0)),INDEX($AK$4:$AL$6,MATCH(INDEX($P$3:$S$6,MATCH(MOD('Map 2 Do Touch'!AF31,4),$O$3:$O$6,0),MATCH(MOD('Map 2 Do Touch'!AF32,4),$P$2:$S$2,0)),'Map 3'!$AJ$4:$AJ$6,0),MATCH(IF('Map 2 Do Touch'!AF31&gt;4,"Water","Land"),'Map 3'!$AK$3:$AL$3,0))))</f>
        <v>Ocean</v>
      </c>
      <c r="AG36" s="3" t="str">
        <f ca="1">IF('Map 2 Do Touch'!AF31&lt;&gt;'Map 2 Do Touch'!AF32,IF('Map 2 Do Touch'!AG32&gt;4,INDEX($AG$4:$AH$6,MATCH(INDEX($I$3:$L$6,MATCH(MOD('Map 2 Do Touch'!AF32,4),$H$3:$H$6,0),MATCH(MOD('Map 2 Do Touch'!AG32,4),$I$2:$L$2,0)),$AF$4:$AF$6,0),MATCH(IF('Map 2 Do Touch'!AF32&gt;4,"Water","Land"),'Map 3'!$AG$3:$AH$3,0)),INDEX($AK$4:$AL$6,MATCH(INDEX($I$3:$L$6,MATCH(MOD('Map 2 Do Touch'!AF32,4),$H$3:$H$6,0),MATCH(MOD('Map 2 Do Touch'!AG32,4),$I$2:$L$2,0)),'Map 3'!$AJ$4:$AJ$6,0),MATCH(IF('Map 2 Do Touch'!AF32&gt;4,"Water","Land"),'Map 3'!$AK$3:$AL$3,0))),IF('Map 2 Do Touch'!AG32&gt;4,INDEX($AG$4:$AH$6,MATCH(INDEX($P$3:$S$6,MATCH(MOD('Map 2 Do Touch'!AG31,4),$O$3:$O$6,0),MATCH(MOD('Map 2 Do Touch'!AG32,4),$P$2:$S$2,0)),$AF$4:$AF$6,0),MATCH(IF('Map 2 Do Touch'!AG31&gt;4,"Water","Land"),'Map 3'!$AG$3:$AH$3,0)),INDEX($AK$4:$AL$6,MATCH(INDEX($P$3:$S$6,MATCH(MOD('Map 2 Do Touch'!AG31,4),$O$3:$O$6,0),MATCH(MOD('Map 2 Do Touch'!AG32,4),$P$2:$S$2,0)),'Map 3'!$AJ$4:$AJ$6,0),MATCH(IF('Map 2 Do Touch'!AG31&gt;4,"Water","Land"),'Map 3'!$AK$3:$AL$3,0))))</f>
        <v>Island</v>
      </c>
      <c r="AH36" s="3" t="str">
        <f ca="1">IF('Map 2 Do Touch'!AG31&lt;&gt;'Map 2 Do Touch'!AG32,IF('Map 2 Do Touch'!AH32&gt;4,INDEX($AG$4:$AH$6,MATCH(INDEX($I$3:$L$6,MATCH(MOD('Map 2 Do Touch'!AG32,4),$H$3:$H$6,0),MATCH(MOD('Map 2 Do Touch'!AH32,4),$I$2:$L$2,0)),$AF$4:$AF$6,0),MATCH(IF('Map 2 Do Touch'!AG32&gt;4,"Water","Land"),'Map 3'!$AG$3:$AH$3,0)),INDEX($AK$4:$AL$6,MATCH(INDEX($I$3:$L$6,MATCH(MOD('Map 2 Do Touch'!AG32,4),$H$3:$H$6,0),MATCH(MOD('Map 2 Do Touch'!AH32,4),$I$2:$L$2,0)),'Map 3'!$AJ$4:$AJ$6,0),MATCH(IF('Map 2 Do Touch'!AG32&gt;4,"Water","Land"),'Map 3'!$AK$3:$AL$3,0))),IF('Map 2 Do Touch'!AH32&gt;4,INDEX($AG$4:$AH$6,MATCH(INDEX($P$3:$S$6,MATCH(MOD('Map 2 Do Touch'!AH31,4),$O$3:$O$6,0),MATCH(MOD('Map 2 Do Touch'!AH32,4),$P$2:$S$2,0)),$AF$4:$AF$6,0),MATCH(IF('Map 2 Do Touch'!AH31&gt;4,"Water","Land"),'Map 3'!$AG$3:$AH$3,0)),INDEX($AK$4:$AL$6,MATCH(INDEX($P$3:$S$6,MATCH(MOD('Map 2 Do Touch'!AH31,4),$O$3:$O$6,0),MATCH(MOD('Map 2 Do Touch'!AH32,4),$P$2:$S$2,0)),'Map 3'!$AJ$4:$AJ$6,0),MATCH(IF('Map 2 Do Touch'!AH31&gt;4,"Water","Land"),'Map 3'!$AK$3:$AL$3,0))))</f>
        <v>Trench</v>
      </c>
      <c r="AI36" s="3" t="str">
        <f ca="1">IF('Map 2 Do Touch'!AH31&lt;&gt;'Map 2 Do Touch'!AH32,IF('Map 2 Do Touch'!AI32&gt;4,INDEX($AG$4:$AH$6,MATCH(INDEX($I$3:$L$6,MATCH(MOD('Map 2 Do Touch'!AH32,4),$H$3:$H$6,0),MATCH(MOD('Map 2 Do Touch'!AI32,4),$I$2:$L$2,0)),$AF$4:$AF$6,0),MATCH(IF('Map 2 Do Touch'!AH32&gt;4,"Water","Land"),'Map 3'!$AG$3:$AH$3,0)),INDEX($AK$4:$AL$6,MATCH(INDEX($I$3:$L$6,MATCH(MOD('Map 2 Do Touch'!AH32,4),$H$3:$H$6,0),MATCH(MOD('Map 2 Do Touch'!AI32,4),$I$2:$L$2,0)),'Map 3'!$AJ$4:$AJ$6,0),MATCH(IF('Map 2 Do Touch'!AH32&gt;4,"Water","Land"),'Map 3'!$AK$3:$AL$3,0))),IF('Map 2 Do Touch'!AI32&gt;4,INDEX($AG$4:$AH$6,MATCH(INDEX($P$3:$S$6,MATCH(MOD('Map 2 Do Touch'!AI31,4),$O$3:$O$6,0),MATCH(MOD('Map 2 Do Touch'!AI32,4),$P$2:$S$2,0)),$AF$4:$AF$6,0),MATCH(IF('Map 2 Do Touch'!AI31&gt;4,"Water","Land"),'Map 3'!$AG$3:$AH$3,0)),INDEX($AK$4:$AL$6,MATCH(INDEX($P$3:$S$6,MATCH(MOD('Map 2 Do Touch'!AI31,4),$O$3:$O$6,0),MATCH(MOD('Map 2 Do Touch'!AI32,4),$P$2:$S$2,0)),'Map 3'!$AJ$4:$AJ$6,0),MATCH(IF('Map 2 Do Touch'!AI31&gt;4,"Water","Land"),'Map 3'!$AK$3:$AL$3,0))))</f>
        <v>Island</v>
      </c>
      <c r="AJ36" s="3" t="str">
        <f ca="1">IF('Map 2 Do Touch'!AI31&lt;&gt;'Map 2 Do Touch'!AI32,IF('Map 2 Do Touch'!AJ32&gt;4,INDEX($AG$4:$AH$6,MATCH(INDEX($I$3:$L$6,MATCH(MOD('Map 2 Do Touch'!AI32,4),$H$3:$H$6,0),MATCH(MOD('Map 2 Do Touch'!AJ32,4),$I$2:$L$2,0)),$AF$4:$AF$6,0),MATCH(IF('Map 2 Do Touch'!AI32&gt;4,"Water","Land"),'Map 3'!$AG$3:$AH$3,0)),INDEX($AK$4:$AL$6,MATCH(INDEX($I$3:$L$6,MATCH(MOD('Map 2 Do Touch'!AI32,4),$H$3:$H$6,0),MATCH(MOD('Map 2 Do Touch'!AJ32,4),$I$2:$L$2,0)),'Map 3'!$AJ$4:$AJ$6,0),MATCH(IF('Map 2 Do Touch'!AI32&gt;4,"Water","Land"),'Map 3'!$AK$3:$AL$3,0))),IF('Map 2 Do Touch'!AJ32&gt;4,INDEX($AG$4:$AH$6,MATCH(INDEX($P$3:$S$6,MATCH(MOD('Map 2 Do Touch'!AJ31,4),$O$3:$O$6,0),MATCH(MOD('Map 2 Do Touch'!AJ32,4),$P$2:$S$2,0)),$AF$4:$AF$6,0),MATCH(IF('Map 2 Do Touch'!AJ31&gt;4,"Water","Land"),'Map 3'!$AG$3:$AH$3,0)),INDEX($AK$4:$AL$6,MATCH(INDEX($P$3:$S$6,MATCH(MOD('Map 2 Do Touch'!AJ31,4),$O$3:$O$6,0),MATCH(MOD('Map 2 Do Touch'!AJ32,4),$P$2:$S$2,0)),'Map 3'!$AJ$4:$AJ$6,0),MATCH(IF('Map 2 Do Touch'!AJ31&gt;4,"Water","Land"),'Map 3'!$AK$3:$AL$3,0))))</f>
        <v>Ocean</v>
      </c>
      <c r="AK36" s="3" t="str">
        <f ca="1">IF('Map 2 Do Touch'!AJ31&lt;&gt;'Map 2 Do Touch'!AJ32,IF('Map 2 Do Touch'!AK32&gt;4,INDEX($AG$4:$AH$6,MATCH(INDEX($I$3:$L$6,MATCH(MOD('Map 2 Do Touch'!AJ32,4),$H$3:$H$6,0),MATCH(MOD('Map 2 Do Touch'!AK32,4),$I$2:$L$2,0)),$AF$4:$AF$6,0),MATCH(IF('Map 2 Do Touch'!AJ32&gt;4,"Water","Land"),'Map 3'!$AG$3:$AH$3,0)),INDEX($AK$4:$AL$6,MATCH(INDEX($I$3:$L$6,MATCH(MOD('Map 2 Do Touch'!AJ32,4),$H$3:$H$6,0),MATCH(MOD('Map 2 Do Touch'!AK32,4),$I$2:$L$2,0)),'Map 3'!$AJ$4:$AJ$6,0),MATCH(IF('Map 2 Do Touch'!AJ32&gt;4,"Water","Land"),'Map 3'!$AK$3:$AL$3,0))),IF('Map 2 Do Touch'!AK32&gt;4,INDEX($AG$4:$AH$6,MATCH(INDEX($P$3:$S$6,MATCH(MOD('Map 2 Do Touch'!AK31,4),$O$3:$O$6,0),MATCH(MOD('Map 2 Do Touch'!AK32,4),$P$2:$S$2,0)),$AF$4:$AF$6,0),MATCH(IF('Map 2 Do Touch'!AK31&gt;4,"Water","Land"),'Map 3'!$AG$3:$AH$3,0)),INDEX($AK$4:$AL$6,MATCH(INDEX($P$3:$S$6,MATCH(MOD('Map 2 Do Touch'!AK31,4),$O$3:$O$6,0),MATCH(MOD('Map 2 Do Touch'!AK32,4),$P$2:$S$2,0)),'Map 3'!$AJ$4:$AJ$6,0),MATCH(IF('Map 2 Do Touch'!AK31&gt;4,"Water","Land"),'Map 3'!$AK$3:$AL$3,0))))</f>
        <v>Ocean</v>
      </c>
      <c r="AL36" s="3" t="str">
        <f ca="1">IF('Map 2 Do Touch'!AK31&lt;&gt;'Map 2 Do Touch'!AK32,IF('Map 2 Do Touch'!AL32&gt;4,INDEX($AG$4:$AH$6,MATCH(INDEX($I$3:$L$6,MATCH(MOD('Map 2 Do Touch'!AK32,4),$H$3:$H$6,0),MATCH(MOD('Map 2 Do Touch'!AL32,4),$I$2:$L$2,0)),$AF$4:$AF$6,0),MATCH(IF('Map 2 Do Touch'!AK32&gt;4,"Water","Land"),'Map 3'!$AG$3:$AH$3,0)),INDEX($AK$4:$AL$6,MATCH(INDEX($I$3:$L$6,MATCH(MOD('Map 2 Do Touch'!AK32,4),$H$3:$H$6,0),MATCH(MOD('Map 2 Do Touch'!AL32,4),$I$2:$L$2,0)),'Map 3'!$AJ$4:$AJ$6,0),MATCH(IF('Map 2 Do Touch'!AK32&gt;4,"Water","Land"),'Map 3'!$AK$3:$AL$3,0))),IF('Map 2 Do Touch'!AL32&gt;4,INDEX($AG$4:$AH$6,MATCH(INDEX($P$3:$S$6,MATCH(MOD('Map 2 Do Touch'!AL31,4),$O$3:$O$6,0),MATCH(MOD('Map 2 Do Touch'!AL32,4),$P$2:$S$2,0)),$AF$4:$AF$6,0),MATCH(IF('Map 2 Do Touch'!AL31&gt;4,"Water","Land"),'Map 3'!$AG$3:$AH$3,0)),INDEX($AK$4:$AL$6,MATCH(INDEX($P$3:$S$6,MATCH(MOD('Map 2 Do Touch'!AL31,4),$O$3:$O$6,0),MATCH(MOD('Map 2 Do Touch'!AL32,4),$P$2:$S$2,0)),'Map 3'!$AJ$4:$AJ$6,0),MATCH(IF('Map 2 Do Touch'!AL31&gt;4,"Water","Land"),'Map 3'!$AK$3:$AL$3,0))))</f>
        <v>Trench</v>
      </c>
      <c r="AM36" s="3" t="str">
        <f ca="1">IF('Map 2 Do Touch'!AL31&lt;&gt;'Map 2 Do Touch'!AL32,IF('Map 2 Do Touch'!AM32&gt;4,INDEX($AG$4:$AH$6,MATCH(INDEX($I$3:$L$6,MATCH(MOD('Map 2 Do Touch'!AL32,4),$H$3:$H$6,0),MATCH(MOD('Map 2 Do Touch'!AM32,4),$I$2:$L$2,0)),$AF$4:$AF$6,0),MATCH(IF('Map 2 Do Touch'!AL32&gt;4,"Water","Land"),'Map 3'!$AG$3:$AH$3,0)),INDEX($AK$4:$AL$6,MATCH(INDEX($I$3:$L$6,MATCH(MOD('Map 2 Do Touch'!AL32,4),$H$3:$H$6,0),MATCH(MOD('Map 2 Do Touch'!AM32,4),$I$2:$L$2,0)),'Map 3'!$AJ$4:$AJ$6,0),MATCH(IF('Map 2 Do Touch'!AL32&gt;4,"Water","Land"),'Map 3'!$AK$3:$AL$3,0))),IF('Map 2 Do Touch'!AM32&gt;4,INDEX($AG$4:$AH$6,MATCH(INDEX($P$3:$S$6,MATCH(MOD('Map 2 Do Touch'!AM31,4),$O$3:$O$6,0),MATCH(MOD('Map 2 Do Touch'!AM32,4),$P$2:$S$2,0)),$AF$4:$AF$6,0),MATCH(IF('Map 2 Do Touch'!AM31&gt;4,"Water","Land"),'Map 3'!$AG$3:$AH$3,0)),INDEX($AK$4:$AL$6,MATCH(INDEX($P$3:$S$6,MATCH(MOD('Map 2 Do Touch'!AM31,4),$O$3:$O$6,0),MATCH(MOD('Map 2 Do Touch'!AM32,4),$P$2:$S$2,0)),'Map 3'!$AJ$4:$AJ$6,0),MATCH(IF('Map 2 Do Touch'!AM31&gt;4,"Water","Land"),'Map 3'!$AK$3:$AL$3,0))))</f>
        <v>Ocean</v>
      </c>
      <c r="AN36" s="3" t="str">
        <f ca="1">IF('Map 2 Do Touch'!AM31&lt;&gt;'Map 2 Do Touch'!AM32,IF('Map 2 Do Touch'!AN32&gt;4,INDEX($AG$4:$AH$6,MATCH(INDEX($I$3:$L$6,MATCH(MOD('Map 2 Do Touch'!AM32,4),$H$3:$H$6,0),MATCH(MOD('Map 2 Do Touch'!AN32,4),$I$2:$L$2,0)),$AF$4:$AF$6,0),MATCH(IF('Map 2 Do Touch'!AM32&gt;4,"Water","Land"),'Map 3'!$AG$3:$AH$3,0)),INDEX($AK$4:$AL$6,MATCH(INDEX($I$3:$L$6,MATCH(MOD('Map 2 Do Touch'!AM32,4),$H$3:$H$6,0),MATCH(MOD('Map 2 Do Touch'!AN32,4),$I$2:$L$2,0)),'Map 3'!$AJ$4:$AJ$6,0),MATCH(IF('Map 2 Do Touch'!AM32&gt;4,"Water","Land"),'Map 3'!$AK$3:$AL$3,0))),IF('Map 2 Do Touch'!AN32&gt;4,INDEX($AG$4:$AH$6,MATCH(INDEX($P$3:$S$6,MATCH(MOD('Map 2 Do Touch'!AN31,4),$O$3:$O$6,0),MATCH(MOD('Map 2 Do Touch'!AN32,4),$P$2:$S$2,0)),$AF$4:$AF$6,0),MATCH(IF('Map 2 Do Touch'!AN31&gt;4,"Water","Land"),'Map 3'!$AG$3:$AH$3,0)),INDEX($AK$4:$AL$6,MATCH(INDEX($P$3:$S$6,MATCH(MOD('Map 2 Do Touch'!AN31,4),$O$3:$O$6,0),MATCH(MOD('Map 2 Do Touch'!AN32,4),$P$2:$S$2,0)),'Map 3'!$AJ$4:$AJ$6,0),MATCH(IF('Map 2 Do Touch'!AN31&gt;4,"Water","Land"),'Map 3'!$AK$3:$AL$3,0))))</f>
        <v>Island</v>
      </c>
      <c r="AO36" s="87" t="str">
        <f ca="1">IF('Map 2 Do Touch'!AN31&lt;&gt;'Map 2 Do Touch'!AN32,IF('Map 2 Do Touch'!AO32&gt;4,INDEX($AG$4:$AH$6,MATCH(INDEX($I$3:$L$6,MATCH(MOD('Map 2 Do Touch'!AN32,4),$H$3:$H$6,0),MATCH(MOD('Map 2 Do Touch'!AO32,4),$I$2:$L$2,0)),$AF$4:$AF$6,0),MATCH(IF('Map 2 Do Touch'!AN32&gt;4,"Water","Land"),'Map 3'!$AG$3:$AH$3,0)),INDEX($AK$4:$AL$6,MATCH(INDEX($I$3:$L$6,MATCH(MOD('Map 2 Do Touch'!AN32,4),$H$3:$H$6,0),MATCH(MOD('Map 2 Do Touch'!AO32,4),$I$2:$L$2,0)),'Map 3'!$AJ$4:$AJ$6,0),MATCH(IF('Map 2 Do Touch'!AN32&gt;4,"Water","Land"),'Map 3'!$AK$3:$AL$3,0))),IF('Map 2 Do Touch'!AO32&gt;4,INDEX($AG$4:$AH$6,MATCH(INDEX($P$3:$S$6,MATCH(MOD('Map 2 Do Touch'!AO31,4),$O$3:$O$6,0),MATCH(MOD('Map 2 Do Touch'!AO32,4),$P$2:$S$2,0)),$AF$4:$AF$6,0),MATCH(IF('Map 2 Do Touch'!AO31&gt;4,"Water","Land"),'Map 3'!$AG$3:$AH$3,0)),INDEX($AK$4:$AL$6,MATCH(INDEX($P$3:$S$6,MATCH(MOD('Map 2 Do Touch'!AO31,4),$O$3:$O$6,0),MATCH(MOD('Map 2 Do Touch'!AO32,4),$P$2:$S$2,0)),'Map 3'!$AJ$4:$AJ$6,0),MATCH(IF('Map 2 Do Touch'!AO31&gt;4,"Water","Land"),'Map 3'!$AK$3:$AL$3,0))))</f>
        <v>Trench</v>
      </c>
      <c r="AP36" s="3"/>
    </row>
    <row r="37" spans="1:42" ht="37.5" customHeight="1">
      <c r="A37" s="3">
        <v>26</v>
      </c>
      <c r="B37" s="86" t="str">
        <f ca="1">IF('Map 2 Do Touch'!B32&lt;&gt;'Map 2 Do Touch'!B33,IF('Map 2 Do Touch'!B33&gt;4,INDEX($AG$4:$AH$6,MATCH(INDEX($I$3:$L$6,MATCH(MOD('Map 2 Do Touch'!AO33,4),$H$3:$H$6,0),MATCH(MOD('Map 2 Do Touch'!B33,4),$I$2:$L$2,0)),$AF$4:$AF$6,0),MATCH(IF('Map 2 Do Touch'!AO33&gt;4,"Water","Land"),'Map 3'!$AG$3:$AH$3,0)),INDEX($AK$4:$AL$6,MATCH(INDEX($I$3:$L$6,MATCH(MOD('Map 2 Do Touch'!A33,4),$H$3:$H$6,0),MATCH(MOD('Map 2 Do Touch'!B33,4),$I$2:$L$2,0)),'Map 3'!$AJ$4:$AJ$6,0),MATCH(IF('Map 2 Do Touch'!AO33&gt;4,"Water","Land"),'Map 3'!$AK$3:$AL$3,0))),IF('Map 2 Do Touch'!B33&gt;4,INDEX($AG$4:$AH$6,MATCH(INDEX($P$3:$S$6,MATCH(MOD('Map 2 Do Touch'!B32,4),$O$3:$O$6,0),MATCH(MOD('Map 2 Do Touch'!B33,4),$P$2:$S$2,0)),$AF$4:$AF$6,0),MATCH(IF('Map 2 Do Touch'!B32&gt;4,"Water","Land"),'Map 3'!$AG$3:$AH$3,0)),INDEX($AK$4:$AL$6,MATCH(INDEX($P$3:$S$6,MATCH(MOD('Map 2 Do Touch'!B32,4),$O$3:$O$6,0),MATCH(MOD('Map 2 Do Touch'!B33,4),$P$2:$S$2,0)),'Map 3'!$AJ$4:$AJ$6,0),MATCH(IF('Map 2 Do Touch'!B32&gt;4,"Water","Land"),'Map 3'!$AK$3:$AL$3,0))))</f>
        <v>Ocean</v>
      </c>
      <c r="C37" s="3" t="str">
        <f ca="1">IF('Map 2 Do Touch'!B32&lt;&gt;'Map 2 Do Touch'!B33,IF('Map 2 Do Touch'!C33&gt;4,INDEX($AG$4:$AH$6,MATCH(INDEX($I$3:$L$6,MATCH(MOD('Map 2 Do Touch'!B33,4),$H$3:$H$6,0),MATCH(MOD('Map 2 Do Touch'!C33,4),$I$2:$L$2,0)),$AF$4:$AF$6,0),MATCH(IF('Map 2 Do Touch'!B33&gt;4,"Water","Land"),'Map 3'!$AG$3:$AH$3,0)),INDEX($AK$4:$AL$6,MATCH(INDEX($I$3:$L$6,MATCH(MOD('Map 2 Do Touch'!B33,4),$H$3:$H$6,0),MATCH(MOD('Map 2 Do Touch'!C33,4),$I$2:$L$2,0)),'Map 3'!$AJ$4:$AJ$6,0),MATCH(IF('Map 2 Do Touch'!B33&gt;4,"Water","Land"),'Map 3'!$AK$3:$AL$3,0))),IF('Map 2 Do Touch'!C33&gt;4,INDEX($AG$4:$AH$6,MATCH(INDEX($P$3:$S$6,MATCH(MOD('Map 2 Do Touch'!C32,4),$O$3:$O$6,0),MATCH(MOD('Map 2 Do Touch'!C33,4),$P$2:$S$2,0)),$AF$4:$AF$6,0),MATCH(IF('Map 2 Do Touch'!C32&gt;4,"Water","Land"),'Map 3'!$AG$3:$AH$3,0)),INDEX($AK$4:$AL$6,MATCH(INDEX($P$3:$S$6,MATCH(MOD('Map 2 Do Touch'!C32,4),$O$3:$O$6,0),MATCH(MOD('Map 2 Do Touch'!C33,4),$P$2:$S$2,0)),'Map 3'!$AJ$4:$AJ$6,0),MATCH(IF('Map 2 Do Touch'!C32&gt;4,"Water","Land"),'Map 3'!$AK$3:$AL$3,0))))</f>
        <v>Trench</v>
      </c>
      <c r="D37" s="3" t="str">
        <f ca="1">IF('Map 2 Do Touch'!C32&lt;&gt;'Map 2 Do Touch'!C33,IF('Map 2 Do Touch'!D33&gt;4,INDEX($AG$4:$AH$6,MATCH(INDEX($I$3:$L$6,MATCH(MOD('Map 2 Do Touch'!C33,4),$H$3:$H$6,0),MATCH(MOD('Map 2 Do Touch'!D33,4),$I$2:$L$2,0)),$AF$4:$AF$6,0),MATCH(IF('Map 2 Do Touch'!C33&gt;4,"Water","Land"),'Map 3'!$AG$3:$AH$3,0)),INDEX($AK$4:$AL$6,MATCH(INDEX($I$3:$L$6,MATCH(MOD('Map 2 Do Touch'!C33,4),$H$3:$H$6,0),MATCH(MOD('Map 2 Do Touch'!D33,4),$I$2:$L$2,0)),'Map 3'!$AJ$4:$AJ$6,0),MATCH(IF('Map 2 Do Touch'!C33&gt;4,"Water","Land"),'Map 3'!$AK$3:$AL$3,0))),IF('Map 2 Do Touch'!D33&gt;4,INDEX($AG$4:$AH$6,MATCH(INDEX($P$3:$S$6,MATCH(MOD('Map 2 Do Touch'!D32,4),$O$3:$O$6,0),MATCH(MOD('Map 2 Do Touch'!D33,4),$P$2:$S$2,0)),$AF$4:$AF$6,0),MATCH(IF('Map 2 Do Touch'!D32&gt;4,"Water","Land"),'Map 3'!$AG$3:$AH$3,0)),INDEX($AK$4:$AL$6,MATCH(INDEX($P$3:$S$6,MATCH(MOD('Map 2 Do Touch'!D32,4),$O$3:$O$6,0),MATCH(MOD('Map 2 Do Touch'!D33,4),$P$2:$S$2,0)),'Map 3'!$AJ$4:$AJ$6,0),MATCH(IF('Map 2 Do Touch'!D32&gt;4,"Water","Land"),'Map 3'!$AK$3:$AL$3,0))))</f>
        <v>Island</v>
      </c>
      <c r="E37" s="3" t="str">
        <f ca="1">IF('Map 2 Do Touch'!D32&lt;&gt;'Map 2 Do Touch'!D33,IF('Map 2 Do Touch'!E33&gt;4,INDEX($AG$4:$AH$6,MATCH(INDEX($I$3:$L$6,MATCH(MOD('Map 2 Do Touch'!D33,4),$H$3:$H$6,0),MATCH(MOD('Map 2 Do Touch'!E33,4),$I$2:$L$2,0)),$AF$4:$AF$6,0),MATCH(IF('Map 2 Do Touch'!D33&gt;4,"Water","Land"),'Map 3'!$AG$3:$AH$3,0)),INDEX($AK$4:$AL$6,MATCH(INDEX($I$3:$L$6,MATCH(MOD('Map 2 Do Touch'!D33,4),$H$3:$H$6,0),MATCH(MOD('Map 2 Do Touch'!E33,4),$I$2:$L$2,0)),'Map 3'!$AJ$4:$AJ$6,0),MATCH(IF('Map 2 Do Touch'!D33&gt;4,"Water","Land"),'Map 3'!$AK$3:$AL$3,0))),IF('Map 2 Do Touch'!E33&gt;4,INDEX($AG$4:$AH$6,MATCH(INDEX($P$3:$S$6,MATCH(MOD('Map 2 Do Touch'!E32,4),$O$3:$O$6,0),MATCH(MOD('Map 2 Do Touch'!E33,4),$P$2:$S$2,0)),$AF$4:$AF$6,0),MATCH(IF('Map 2 Do Touch'!E32&gt;4,"Water","Land"),'Map 3'!$AG$3:$AH$3,0)),INDEX($AK$4:$AL$6,MATCH(INDEX($P$3:$S$6,MATCH(MOD('Map 2 Do Touch'!E32,4),$O$3:$O$6,0),MATCH(MOD('Map 2 Do Touch'!E33,4),$P$2:$S$2,0)),'Map 3'!$AJ$4:$AJ$6,0),MATCH(IF('Map 2 Do Touch'!E32&gt;4,"Water","Land"),'Map 3'!$AK$3:$AL$3,0))))</f>
        <v>Trench</v>
      </c>
      <c r="F37" s="3" t="str">
        <f ca="1">IF('Map 2 Do Touch'!E32&lt;&gt;'Map 2 Do Touch'!E33,IF('Map 2 Do Touch'!F33&gt;4,INDEX($AG$4:$AH$6,MATCH(INDEX($I$3:$L$6,MATCH(MOD('Map 2 Do Touch'!E33,4),$H$3:$H$6,0),MATCH(MOD('Map 2 Do Touch'!F33,4),$I$2:$L$2,0)),$AF$4:$AF$6,0),MATCH(IF('Map 2 Do Touch'!E33&gt;4,"Water","Land"),'Map 3'!$AG$3:$AH$3,0)),INDEX($AK$4:$AL$6,MATCH(INDEX($I$3:$L$6,MATCH(MOD('Map 2 Do Touch'!E33,4),$H$3:$H$6,0),MATCH(MOD('Map 2 Do Touch'!F33,4),$I$2:$L$2,0)),'Map 3'!$AJ$4:$AJ$6,0),MATCH(IF('Map 2 Do Touch'!E33&gt;4,"Water","Land"),'Map 3'!$AK$3:$AL$3,0))),IF('Map 2 Do Touch'!F33&gt;4,INDEX($AG$4:$AH$6,MATCH(INDEX($P$3:$S$6,MATCH(MOD('Map 2 Do Touch'!F32,4),$O$3:$O$6,0),MATCH(MOD('Map 2 Do Touch'!F33,4),$P$2:$S$2,0)),$AF$4:$AF$6,0),MATCH(IF('Map 2 Do Touch'!F32&gt;4,"Water","Land"),'Map 3'!$AG$3:$AH$3,0)),INDEX($AK$4:$AL$6,MATCH(INDEX($P$3:$S$6,MATCH(MOD('Map 2 Do Touch'!F32,4),$O$3:$O$6,0),MATCH(MOD('Map 2 Do Touch'!F33,4),$P$2:$S$2,0)),'Map 3'!$AJ$4:$AJ$6,0),MATCH(IF('Map 2 Do Touch'!F32&gt;4,"Water","Land"),'Map 3'!$AK$3:$AL$3,0))))</f>
        <v>Cliff</v>
      </c>
      <c r="G37" s="3" t="str">
        <f ca="1">IF('Map 2 Do Touch'!F32&lt;&gt;'Map 2 Do Touch'!F33,IF('Map 2 Do Touch'!G33&gt;4,INDEX($AG$4:$AH$6,MATCH(INDEX($I$3:$L$6,MATCH(MOD('Map 2 Do Touch'!F33,4),$H$3:$H$6,0),MATCH(MOD('Map 2 Do Touch'!G33,4),$I$2:$L$2,0)),$AF$4:$AF$6,0),MATCH(IF('Map 2 Do Touch'!F33&gt;4,"Water","Land"),'Map 3'!$AG$3:$AH$3,0)),INDEX($AK$4:$AL$6,MATCH(INDEX($I$3:$L$6,MATCH(MOD('Map 2 Do Touch'!F33,4),$H$3:$H$6,0),MATCH(MOD('Map 2 Do Touch'!G33,4),$I$2:$L$2,0)),'Map 3'!$AJ$4:$AJ$6,0),MATCH(IF('Map 2 Do Touch'!F33&gt;4,"Water","Land"),'Map 3'!$AK$3:$AL$3,0))),IF('Map 2 Do Touch'!G33&gt;4,INDEX($AG$4:$AH$6,MATCH(INDEX($P$3:$S$6,MATCH(MOD('Map 2 Do Touch'!G32,4),$O$3:$O$6,0),MATCH(MOD('Map 2 Do Touch'!G33,4),$P$2:$S$2,0)),$AF$4:$AF$6,0),MATCH(IF('Map 2 Do Touch'!G32&gt;4,"Water","Land"),'Map 3'!$AG$3:$AH$3,0)),INDEX($AK$4:$AL$6,MATCH(INDEX($P$3:$S$6,MATCH(MOD('Map 2 Do Touch'!G32,4),$O$3:$O$6,0),MATCH(MOD('Map 2 Do Touch'!G33,4),$P$2:$S$2,0)),'Map 3'!$AJ$4:$AJ$6,0),MATCH(IF('Map 2 Do Touch'!G32&gt;4,"Water","Land"),'Map 3'!$AK$3:$AL$3,0))))</f>
        <v>Valley</v>
      </c>
      <c r="H37" s="3" t="str">
        <f ca="1">IF('Map 2 Do Touch'!G32&lt;&gt;'Map 2 Do Touch'!G33,IF('Map 2 Do Touch'!H33&gt;4,INDEX($AG$4:$AH$6,MATCH(INDEX($I$3:$L$6,MATCH(MOD('Map 2 Do Touch'!G33,4),$H$3:$H$6,0),MATCH(MOD('Map 2 Do Touch'!H33,4),$I$2:$L$2,0)),$AF$4:$AF$6,0),MATCH(IF('Map 2 Do Touch'!G33&gt;4,"Water","Land"),'Map 3'!$AG$3:$AH$3,0)),INDEX($AK$4:$AL$6,MATCH(INDEX($I$3:$L$6,MATCH(MOD('Map 2 Do Touch'!G33,4),$H$3:$H$6,0),MATCH(MOD('Map 2 Do Touch'!H33,4),$I$2:$L$2,0)),'Map 3'!$AJ$4:$AJ$6,0),MATCH(IF('Map 2 Do Touch'!G33&gt;4,"Water","Land"),'Map 3'!$AK$3:$AL$3,0))),IF('Map 2 Do Touch'!H33&gt;4,INDEX($AG$4:$AH$6,MATCH(INDEX($P$3:$S$6,MATCH(MOD('Map 2 Do Touch'!H32,4),$O$3:$O$6,0),MATCH(MOD('Map 2 Do Touch'!H33,4),$P$2:$S$2,0)),$AF$4:$AF$6,0),MATCH(IF('Map 2 Do Touch'!H32&gt;4,"Water","Land"),'Map 3'!$AG$3:$AH$3,0)),INDEX($AK$4:$AL$6,MATCH(INDEX($P$3:$S$6,MATCH(MOD('Map 2 Do Touch'!H32,4),$O$3:$O$6,0),MATCH(MOD('Map 2 Do Touch'!H33,4),$P$2:$S$2,0)),'Map 3'!$AJ$4:$AJ$6,0),MATCH(IF('Map 2 Do Touch'!H32&gt;4,"Water","Land"),'Map 3'!$AK$3:$AL$3,0))))</f>
        <v>Mountain</v>
      </c>
      <c r="I37" s="3" t="str">
        <f ca="1">IF('Map 2 Do Touch'!H32&lt;&gt;'Map 2 Do Touch'!H33,IF('Map 2 Do Touch'!I33&gt;4,INDEX($AG$4:$AH$6,MATCH(INDEX($I$3:$L$6,MATCH(MOD('Map 2 Do Touch'!H33,4),$H$3:$H$6,0),MATCH(MOD('Map 2 Do Touch'!I33,4),$I$2:$L$2,0)),$AF$4:$AF$6,0),MATCH(IF('Map 2 Do Touch'!H33&gt;4,"Water","Land"),'Map 3'!$AG$3:$AH$3,0)),INDEX($AK$4:$AL$6,MATCH(INDEX($I$3:$L$6,MATCH(MOD('Map 2 Do Touch'!H33,4),$H$3:$H$6,0),MATCH(MOD('Map 2 Do Touch'!I33,4),$I$2:$L$2,0)),'Map 3'!$AJ$4:$AJ$6,0),MATCH(IF('Map 2 Do Touch'!H33&gt;4,"Water","Land"),'Map 3'!$AK$3:$AL$3,0))),IF('Map 2 Do Touch'!I33&gt;4,INDEX($AG$4:$AH$6,MATCH(INDEX($P$3:$S$6,MATCH(MOD('Map 2 Do Touch'!I32,4),$O$3:$O$6,0),MATCH(MOD('Map 2 Do Touch'!I33,4),$P$2:$S$2,0)),$AF$4:$AF$6,0),MATCH(IF('Map 2 Do Touch'!I32&gt;4,"Water","Land"),'Map 3'!$AG$3:$AH$3,0)),INDEX($AK$4:$AL$6,MATCH(INDEX($P$3:$S$6,MATCH(MOD('Map 2 Do Touch'!I32,4),$O$3:$O$6,0),MATCH(MOD('Map 2 Do Touch'!I33,4),$P$2:$S$2,0)),'Map 3'!$AJ$4:$AJ$6,0),MATCH(IF('Map 2 Do Touch'!I32&gt;4,"Water","Land"),'Map 3'!$AK$3:$AL$3,0))))</f>
        <v>Flatland</v>
      </c>
      <c r="J37" s="3" t="str">
        <f ca="1">IF('Map 2 Do Touch'!I32&lt;&gt;'Map 2 Do Touch'!I33,IF('Map 2 Do Touch'!J33&gt;4,INDEX($AG$4:$AH$6,MATCH(INDEX($I$3:$L$6,MATCH(MOD('Map 2 Do Touch'!I33,4),$H$3:$H$6,0),MATCH(MOD('Map 2 Do Touch'!J33,4),$I$2:$L$2,0)),$AF$4:$AF$6,0),MATCH(IF('Map 2 Do Touch'!I33&gt;4,"Water","Land"),'Map 3'!$AG$3:$AH$3,0)),INDEX($AK$4:$AL$6,MATCH(INDEX($I$3:$L$6,MATCH(MOD('Map 2 Do Touch'!I33,4),$H$3:$H$6,0),MATCH(MOD('Map 2 Do Touch'!J33,4),$I$2:$L$2,0)),'Map 3'!$AJ$4:$AJ$6,0),MATCH(IF('Map 2 Do Touch'!I33&gt;4,"Water","Land"),'Map 3'!$AK$3:$AL$3,0))),IF('Map 2 Do Touch'!J33&gt;4,INDEX($AG$4:$AH$6,MATCH(INDEX($P$3:$S$6,MATCH(MOD('Map 2 Do Touch'!J32,4),$O$3:$O$6,0),MATCH(MOD('Map 2 Do Touch'!J33,4),$P$2:$S$2,0)),$AF$4:$AF$6,0),MATCH(IF('Map 2 Do Touch'!J32&gt;4,"Water","Land"),'Map 3'!$AG$3:$AH$3,0)),INDEX($AK$4:$AL$6,MATCH(INDEX($P$3:$S$6,MATCH(MOD('Map 2 Do Touch'!J32,4),$O$3:$O$6,0),MATCH(MOD('Map 2 Do Touch'!J33,4),$P$2:$S$2,0)),'Map 3'!$AJ$4:$AJ$6,0),MATCH(IF('Map 2 Do Touch'!J32&gt;4,"Water","Land"),'Map 3'!$AK$3:$AL$3,0))))</f>
        <v>Flatland</v>
      </c>
      <c r="K37" s="3" t="str">
        <f ca="1">IF('Map 2 Do Touch'!J32&lt;&gt;'Map 2 Do Touch'!J33,IF('Map 2 Do Touch'!K33&gt;4,INDEX($AG$4:$AH$6,MATCH(INDEX($I$3:$L$6,MATCH(MOD('Map 2 Do Touch'!J33,4),$H$3:$H$6,0),MATCH(MOD('Map 2 Do Touch'!K33,4),$I$2:$L$2,0)),$AF$4:$AF$6,0),MATCH(IF('Map 2 Do Touch'!J33&gt;4,"Water","Land"),'Map 3'!$AG$3:$AH$3,0)),INDEX($AK$4:$AL$6,MATCH(INDEX($I$3:$L$6,MATCH(MOD('Map 2 Do Touch'!J33,4),$H$3:$H$6,0),MATCH(MOD('Map 2 Do Touch'!K33,4),$I$2:$L$2,0)),'Map 3'!$AJ$4:$AJ$6,0),MATCH(IF('Map 2 Do Touch'!J33&gt;4,"Water","Land"),'Map 3'!$AK$3:$AL$3,0))),IF('Map 2 Do Touch'!K33&gt;4,INDEX($AG$4:$AH$6,MATCH(INDEX($P$3:$S$6,MATCH(MOD('Map 2 Do Touch'!K32,4),$O$3:$O$6,0),MATCH(MOD('Map 2 Do Touch'!K33,4),$P$2:$S$2,0)),$AF$4:$AF$6,0),MATCH(IF('Map 2 Do Touch'!K32&gt;4,"Water","Land"),'Map 3'!$AG$3:$AH$3,0)),INDEX($AK$4:$AL$6,MATCH(INDEX($P$3:$S$6,MATCH(MOD('Map 2 Do Touch'!K32,4),$O$3:$O$6,0),MATCH(MOD('Map 2 Do Touch'!K33,4),$P$2:$S$2,0)),'Map 3'!$AJ$4:$AJ$6,0),MATCH(IF('Map 2 Do Touch'!K32&gt;4,"Water","Land"),'Map 3'!$AK$3:$AL$3,0))))</f>
        <v>Ocean</v>
      </c>
      <c r="L37" s="3" t="str">
        <f ca="1">IF('Map 2 Do Touch'!K32&lt;&gt;'Map 2 Do Touch'!K33,IF('Map 2 Do Touch'!L33&gt;4,INDEX($AG$4:$AH$6,MATCH(INDEX($I$3:$L$6,MATCH(MOD('Map 2 Do Touch'!K33,4),$H$3:$H$6,0),MATCH(MOD('Map 2 Do Touch'!L33,4),$I$2:$L$2,0)),$AF$4:$AF$6,0),MATCH(IF('Map 2 Do Touch'!K33&gt;4,"Water","Land"),'Map 3'!$AG$3:$AH$3,0)),INDEX($AK$4:$AL$6,MATCH(INDEX($I$3:$L$6,MATCH(MOD('Map 2 Do Touch'!K33,4),$H$3:$H$6,0),MATCH(MOD('Map 2 Do Touch'!L33,4),$I$2:$L$2,0)),'Map 3'!$AJ$4:$AJ$6,0),MATCH(IF('Map 2 Do Touch'!K33&gt;4,"Water","Land"),'Map 3'!$AK$3:$AL$3,0))),IF('Map 2 Do Touch'!L33&gt;4,INDEX($AG$4:$AH$6,MATCH(INDEX($P$3:$S$6,MATCH(MOD('Map 2 Do Touch'!L32,4),$O$3:$O$6,0),MATCH(MOD('Map 2 Do Touch'!L33,4),$P$2:$S$2,0)),$AF$4:$AF$6,0),MATCH(IF('Map 2 Do Touch'!L32&gt;4,"Water","Land"),'Map 3'!$AG$3:$AH$3,0)),INDEX($AK$4:$AL$6,MATCH(INDEX($P$3:$S$6,MATCH(MOD('Map 2 Do Touch'!L32,4),$O$3:$O$6,0),MATCH(MOD('Map 2 Do Touch'!L33,4),$P$2:$S$2,0)),'Map 3'!$AJ$4:$AJ$6,0),MATCH(IF('Map 2 Do Touch'!L32&gt;4,"Water","Land"),'Map 3'!$AK$3:$AL$3,0))))</f>
        <v>Trench</v>
      </c>
      <c r="M37" s="3" t="str">
        <f ca="1">IF('Map 2 Do Touch'!L32&lt;&gt;'Map 2 Do Touch'!L33,IF('Map 2 Do Touch'!M33&gt;4,INDEX($AG$4:$AH$6,MATCH(INDEX($I$3:$L$6,MATCH(MOD('Map 2 Do Touch'!L33,4),$H$3:$H$6,0),MATCH(MOD('Map 2 Do Touch'!M33,4),$I$2:$L$2,0)),$AF$4:$AF$6,0),MATCH(IF('Map 2 Do Touch'!L33&gt;4,"Water","Land"),'Map 3'!$AG$3:$AH$3,0)),INDEX($AK$4:$AL$6,MATCH(INDEX($I$3:$L$6,MATCH(MOD('Map 2 Do Touch'!L33,4),$H$3:$H$6,0),MATCH(MOD('Map 2 Do Touch'!M33,4),$I$2:$L$2,0)),'Map 3'!$AJ$4:$AJ$6,0),MATCH(IF('Map 2 Do Touch'!L33&gt;4,"Water","Land"),'Map 3'!$AK$3:$AL$3,0))),IF('Map 2 Do Touch'!M33&gt;4,INDEX($AG$4:$AH$6,MATCH(INDEX($P$3:$S$6,MATCH(MOD('Map 2 Do Touch'!M32,4),$O$3:$O$6,0),MATCH(MOD('Map 2 Do Touch'!M33,4),$P$2:$S$2,0)),$AF$4:$AF$6,0),MATCH(IF('Map 2 Do Touch'!M32&gt;4,"Water","Land"),'Map 3'!$AG$3:$AH$3,0)),INDEX($AK$4:$AL$6,MATCH(INDEX($P$3:$S$6,MATCH(MOD('Map 2 Do Touch'!M32,4),$O$3:$O$6,0),MATCH(MOD('Map 2 Do Touch'!M33,4),$P$2:$S$2,0)),'Map 3'!$AJ$4:$AJ$6,0),MATCH(IF('Map 2 Do Touch'!M32&gt;4,"Water","Land"),'Map 3'!$AK$3:$AL$3,0))))</f>
        <v>Trench</v>
      </c>
      <c r="N37" s="3" t="str">
        <f ca="1">IF('Map 2 Do Touch'!M32&lt;&gt;'Map 2 Do Touch'!M33,IF('Map 2 Do Touch'!N33&gt;4,INDEX($AG$4:$AH$6,MATCH(INDEX($I$3:$L$6,MATCH(MOD('Map 2 Do Touch'!M33,4),$H$3:$H$6,0),MATCH(MOD('Map 2 Do Touch'!N33,4),$I$2:$L$2,0)),$AF$4:$AF$6,0),MATCH(IF('Map 2 Do Touch'!M33&gt;4,"Water","Land"),'Map 3'!$AG$3:$AH$3,0)),INDEX($AK$4:$AL$6,MATCH(INDEX($I$3:$L$6,MATCH(MOD('Map 2 Do Touch'!M33,4),$H$3:$H$6,0),MATCH(MOD('Map 2 Do Touch'!N33,4),$I$2:$L$2,0)),'Map 3'!$AJ$4:$AJ$6,0),MATCH(IF('Map 2 Do Touch'!M33&gt;4,"Water","Land"),'Map 3'!$AK$3:$AL$3,0))),IF('Map 2 Do Touch'!N33&gt;4,INDEX($AG$4:$AH$6,MATCH(INDEX($P$3:$S$6,MATCH(MOD('Map 2 Do Touch'!N32,4),$O$3:$O$6,0),MATCH(MOD('Map 2 Do Touch'!N33,4),$P$2:$S$2,0)),$AF$4:$AF$6,0),MATCH(IF('Map 2 Do Touch'!N32&gt;4,"Water","Land"),'Map 3'!$AG$3:$AH$3,0)),INDEX($AK$4:$AL$6,MATCH(INDEX($P$3:$S$6,MATCH(MOD('Map 2 Do Touch'!N32,4),$O$3:$O$6,0),MATCH(MOD('Map 2 Do Touch'!N33,4),$P$2:$S$2,0)),'Map 3'!$AJ$4:$AJ$6,0),MATCH(IF('Map 2 Do Touch'!N32&gt;4,"Water","Land"),'Map 3'!$AK$3:$AL$3,0))))</f>
        <v>Ocean</v>
      </c>
      <c r="O37" s="3" t="str">
        <f ca="1">IF('Map 2 Do Touch'!N32&lt;&gt;'Map 2 Do Touch'!N33,IF('Map 2 Do Touch'!O33&gt;4,INDEX($AG$4:$AH$6,MATCH(INDEX($I$3:$L$6,MATCH(MOD('Map 2 Do Touch'!N33,4),$H$3:$H$6,0),MATCH(MOD('Map 2 Do Touch'!O33,4),$I$2:$L$2,0)),$AF$4:$AF$6,0),MATCH(IF('Map 2 Do Touch'!N33&gt;4,"Water","Land"),'Map 3'!$AG$3:$AH$3,0)),INDEX($AK$4:$AL$6,MATCH(INDEX($I$3:$L$6,MATCH(MOD('Map 2 Do Touch'!N33,4),$H$3:$H$6,0),MATCH(MOD('Map 2 Do Touch'!O33,4),$I$2:$L$2,0)),'Map 3'!$AJ$4:$AJ$6,0),MATCH(IF('Map 2 Do Touch'!N33&gt;4,"Water","Land"),'Map 3'!$AK$3:$AL$3,0))),IF('Map 2 Do Touch'!O33&gt;4,INDEX($AG$4:$AH$6,MATCH(INDEX($P$3:$S$6,MATCH(MOD('Map 2 Do Touch'!O32,4),$O$3:$O$6,0),MATCH(MOD('Map 2 Do Touch'!O33,4),$P$2:$S$2,0)),$AF$4:$AF$6,0),MATCH(IF('Map 2 Do Touch'!O32&gt;4,"Water","Land"),'Map 3'!$AG$3:$AH$3,0)),INDEX($AK$4:$AL$6,MATCH(INDEX($P$3:$S$6,MATCH(MOD('Map 2 Do Touch'!O32,4),$O$3:$O$6,0),MATCH(MOD('Map 2 Do Touch'!O33,4),$P$2:$S$2,0)),'Map 3'!$AJ$4:$AJ$6,0),MATCH(IF('Map 2 Do Touch'!O32&gt;4,"Water","Land"),'Map 3'!$AK$3:$AL$3,0))))</f>
        <v>Island</v>
      </c>
      <c r="P37" s="3" t="str">
        <f ca="1">IF('Map 2 Do Touch'!O32&lt;&gt;'Map 2 Do Touch'!O33,IF('Map 2 Do Touch'!P33&gt;4,INDEX($AG$4:$AH$6,MATCH(INDEX($I$3:$L$6,MATCH(MOD('Map 2 Do Touch'!O33,4),$H$3:$H$6,0),MATCH(MOD('Map 2 Do Touch'!P33,4),$I$2:$L$2,0)),$AF$4:$AF$6,0),MATCH(IF('Map 2 Do Touch'!O33&gt;4,"Water","Land"),'Map 3'!$AG$3:$AH$3,0)),INDEX($AK$4:$AL$6,MATCH(INDEX($I$3:$L$6,MATCH(MOD('Map 2 Do Touch'!O33,4),$H$3:$H$6,0),MATCH(MOD('Map 2 Do Touch'!P33,4),$I$2:$L$2,0)),'Map 3'!$AJ$4:$AJ$6,0),MATCH(IF('Map 2 Do Touch'!O33&gt;4,"Water","Land"),'Map 3'!$AK$3:$AL$3,0))),IF('Map 2 Do Touch'!P33&gt;4,INDEX($AG$4:$AH$6,MATCH(INDEX($P$3:$S$6,MATCH(MOD('Map 2 Do Touch'!P32,4),$O$3:$O$6,0),MATCH(MOD('Map 2 Do Touch'!P33,4),$P$2:$S$2,0)),$AF$4:$AF$6,0),MATCH(IF('Map 2 Do Touch'!P32&gt;4,"Water","Land"),'Map 3'!$AG$3:$AH$3,0)),INDEX($AK$4:$AL$6,MATCH(INDEX($P$3:$S$6,MATCH(MOD('Map 2 Do Touch'!P32,4),$O$3:$O$6,0),MATCH(MOD('Map 2 Do Touch'!P33,4),$P$2:$S$2,0)),'Map 3'!$AJ$4:$AJ$6,0),MATCH(IF('Map 2 Do Touch'!P32&gt;4,"Water","Land"),'Map 3'!$AK$3:$AL$3,0))))</f>
        <v>Ocean</v>
      </c>
      <c r="Q37" s="3" t="str">
        <f ca="1">IF('Map 2 Do Touch'!P32&lt;&gt;'Map 2 Do Touch'!P33,IF('Map 2 Do Touch'!Q33&gt;4,INDEX($AG$4:$AH$6,MATCH(INDEX($I$3:$L$6,MATCH(MOD('Map 2 Do Touch'!P33,4),$H$3:$H$6,0),MATCH(MOD('Map 2 Do Touch'!Q33,4),$I$2:$L$2,0)),$AF$4:$AF$6,0),MATCH(IF('Map 2 Do Touch'!P33&gt;4,"Water","Land"),'Map 3'!$AG$3:$AH$3,0)),INDEX($AK$4:$AL$6,MATCH(INDEX($I$3:$L$6,MATCH(MOD('Map 2 Do Touch'!P33,4),$H$3:$H$6,0),MATCH(MOD('Map 2 Do Touch'!Q33,4),$I$2:$L$2,0)),'Map 3'!$AJ$4:$AJ$6,0),MATCH(IF('Map 2 Do Touch'!P33&gt;4,"Water","Land"),'Map 3'!$AK$3:$AL$3,0))),IF('Map 2 Do Touch'!Q33&gt;4,INDEX($AG$4:$AH$6,MATCH(INDEX($P$3:$S$6,MATCH(MOD('Map 2 Do Touch'!Q32,4),$O$3:$O$6,0),MATCH(MOD('Map 2 Do Touch'!Q33,4),$P$2:$S$2,0)),$AF$4:$AF$6,0),MATCH(IF('Map 2 Do Touch'!Q32&gt;4,"Water","Land"),'Map 3'!$AG$3:$AH$3,0)),INDEX($AK$4:$AL$6,MATCH(INDEX($P$3:$S$6,MATCH(MOD('Map 2 Do Touch'!Q32,4),$O$3:$O$6,0),MATCH(MOD('Map 2 Do Touch'!Q33,4),$P$2:$S$2,0)),'Map 3'!$AJ$4:$AJ$6,0),MATCH(IF('Map 2 Do Touch'!Q32&gt;4,"Water","Land"),'Map 3'!$AK$3:$AL$3,0))))</f>
        <v>Island</v>
      </c>
      <c r="R37" s="3" t="str">
        <f ca="1">IF('Map 2 Do Touch'!Q32&lt;&gt;'Map 2 Do Touch'!Q33,IF('Map 2 Do Touch'!R33&gt;4,INDEX($AG$4:$AH$6,MATCH(INDEX($I$3:$L$6,MATCH(MOD('Map 2 Do Touch'!Q33,4),$H$3:$H$6,0),MATCH(MOD('Map 2 Do Touch'!R33,4),$I$2:$L$2,0)),$AF$4:$AF$6,0),MATCH(IF('Map 2 Do Touch'!Q33&gt;4,"Water","Land"),'Map 3'!$AG$3:$AH$3,0)),INDEX($AK$4:$AL$6,MATCH(INDEX($I$3:$L$6,MATCH(MOD('Map 2 Do Touch'!Q33,4),$H$3:$H$6,0),MATCH(MOD('Map 2 Do Touch'!R33,4),$I$2:$L$2,0)),'Map 3'!$AJ$4:$AJ$6,0),MATCH(IF('Map 2 Do Touch'!Q33&gt;4,"Water","Land"),'Map 3'!$AK$3:$AL$3,0))),IF('Map 2 Do Touch'!R33&gt;4,INDEX($AG$4:$AH$6,MATCH(INDEX($P$3:$S$6,MATCH(MOD('Map 2 Do Touch'!R32,4),$O$3:$O$6,0),MATCH(MOD('Map 2 Do Touch'!R33,4),$P$2:$S$2,0)),$AF$4:$AF$6,0),MATCH(IF('Map 2 Do Touch'!R32&gt;4,"Water","Land"),'Map 3'!$AG$3:$AH$3,0)),INDEX($AK$4:$AL$6,MATCH(INDEX($P$3:$S$6,MATCH(MOD('Map 2 Do Touch'!R32,4),$O$3:$O$6,0),MATCH(MOD('Map 2 Do Touch'!R33,4),$P$2:$S$2,0)),'Map 3'!$AJ$4:$AJ$6,0),MATCH(IF('Map 2 Do Touch'!R32&gt;4,"Water","Land"),'Map 3'!$AK$3:$AL$3,0))))</f>
        <v>Trench</v>
      </c>
      <c r="S37" s="3" t="str">
        <f ca="1">IF('Map 2 Do Touch'!R32&lt;&gt;'Map 2 Do Touch'!R33,IF('Map 2 Do Touch'!S33&gt;4,INDEX($AG$4:$AH$6,MATCH(INDEX($I$3:$L$6,MATCH(MOD('Map 2 Do Touch'!R33,4),$H$3:$H$6,0),MATCH(MOD('Map 2 Do Touch'!S33,4),$I$2:$L$2,0)),$AF$4:$AF$6,0),MATCH(IF('Map 2 Do Touch'!R33&gt;4,"Water","Land"),'Map 3'!$AG$3:$AH$3,0)),INDEX($AK$4:$AL$6,MATCH(INDEX($I$3:$L$6,MATCH(MOD('Map 2 Do Touch'!R33,4),$H$3:$H$6,0),MATCH(MOD('Map 2 Do Touch'!S33,4),$I$2:$L$2,0)),'Map 3'!$AJ$4:$AJ$6,0),MATCH(IF('Map 2 Do Touch'!R33&gt;4,"Water","Land"),'Map 3'!$AK$3:$AL$3,0))),IF('Map 2 Do Touch'!S33&gt;4,INDEX($AG$4:$AH$6,MATCH(INDEX($P$3:$S$6,MATCH(MOD('Map 2 Do Touch'!S32,4),$O$3:$O$6,0),MATCH(MOD('Map 2 Do Touch'!S33,4),$P$2:$S$2,0)),$AF$4:$AF$6,0),MATCH(IF('Map 2 Do Touch'!S32&gt;4,"Water","Land"),'Map 3'!$AG$3:$AH$3,0)),INDEX($AK$4:$AL$6,MATCH(INDEX($P$3:$S$6,MATCH(MOD('Map 2 Do Touch'!S32,4),$O$3:$O$6,0),MATCH(MOD('Map 2 Do Touch'!S33,4),$P$2:$S$2,0)),'Map 3'!$AJ$4:$AJ$6,0),MATCH(IF('Map 2 Do Touch'!S32&gt;4,"Water","Land"),'Map 3'!$AK$3:$AL$3,0))))</f>
        <v>Ocean</v>
      </c>
      <c r="T37" s="3" t="str">
        <f ca="1">IF('Map 2 Do Touch'!S32&lt;&gt;'Map 2 Do Touch'!S33,IF('Map 2 Do Touch'!T33&gt;4,INDEX($AG$4:$AH$6,MATCH(INDEX($I$3:$L$6,MATCH(MOD('Map 2 Do Touch'!S33,4),$H$3:$H$6,0),MATCH(MOD('Map 2 Do Touch'!T33,4),$I$2:$L$2,0)),$AF$4:$AF$6,0),MATCH(IF('Map 2 Do Touch'!S33&gt;4,"Water","Land"),'Map 3'!$AG$3:$AH$3,0)),INDEX($AK$4:$AL$6,MATCH(INDEX($I$3:$L$6,MATCH(MOD('Map 2 Do Touch'!S33,4),$H$3:$H$6,0),MATCH(MOD('Map 2 Do Touch'!T33,4),$I$2:$L$2,0)),'Map 3'!$AJ$4:$AJ$6,0),MATCH(IF('Map 2 Do Touch'!S33&gt;4,"Water","Land"),'Map 3'!$AK$3:$AL$3,0))),IF('Map 2 Do Touch'!T33&gt;4,INDEX($AG$4:$AH$6,MATCH(INDEX($P$3:$S$6,MATCH(MOD('Map 2 Do Touch'!T32,4),$O$3:$O$6,0),MATCH(MOD('Map 2 Do Touch'!T33,4),$P$2:$S$2,0)),$AF$4:$AF$6,0),MATCH(IF('Map 2 Do Touch'!T32&gt;4,"Water","Land"),'Map 3'!$AG$3:$AH$3,0)),INDEX($AK$4:$AL$6,MATCH(INDEX($P$3:$S$6,MATCH(MOD('Map 2 Do Touch'!T32,4),$O$3:$O$6,0),MATCH(MOD('Map 2 Do Touch'!T33,4),$P$2:$S$2,0)),'Map 3'!$AJ$4:$AJ$6,0),MATCH(IF('Map 2 Do Touch'!T32&gt;4,"Water","Land"),'Map 3'!$AK$3:$AL$3,0))))</f>
        <v>Ocean</v>
      </c>
      <c r="U37" s="3" t="str">
        <f ca="1">IF('Map 2 Do Touch'!T32&lt;&gt;'Map 2 Do Touch'!T33,IF('Map 2 Do Touch'!U33&gt;4,INDEX($AG$4:$AH$6,MATCH(INDEX($I$3:$L$6,MATCH(MOD('Map 2 Do Touch'!T33,4),$H$3:$H$6,0),MATCH(MOD('Map 2 Do Touch'!U33,4),$I$2:$L$2,0)),$AF$4:$AF$6,0),MATCH(IF('Map 2 Do Touch'!T33&gt;4,"Water","Land"),'Map 3'!$AG$3:$AH$3,0)),INDEX($AK$4:$AL$6,MATCH(INDEX($I$3:$L$6,MATCH(MOD('Map 2 Do Touch'!T33,4),$H$3:$H$6,0),MATCH(MOD('Map 2 Do Touch'!U33,4),$I$2:$L$2,0)),'Map 3'!$AJ$4:$AJ$6,0),MATCH(IF('Map 2 Do Touch'!T33&gt;4,"Water","Land"),'Map 3'!$AK$3:$AL$3,0))),IF('Map 2 Do Touch'!U33&gt;4,INDEX($AG$4:$AH$6,MATCH(INDEX($P$3:$S$6,MATCH(MOD('Map 2 Do Touch'!U32,4),$O$3:$O$6,0),MATCH(MOD('Map 2 Do Touch'!U33,4),$P$2:$S$2,0)),$AF$4:$AF$6,0),MATCH(IF('Map 2 Do Touch'!U32&gt;4,"Water","Land"),'Map 3'!$AG$3:$AH$3,0)),INDEX($AK$4:$AL$6,MATCH(INDEX($P$3:$S$6,MATCH(MOD('Map 2 Do Touch'!U32,4),$O$3:$O$6,0),MATCH(MOD('Map 2 Do Touch'!U33,4),$P$2:$S$2,0)),'Map 3'!$AJ$4:$AJ$6,0),MATCH(IF('Map 2 Do Touch'!U32&gt;4,"Water","Land"),'Map 3'!$AK$3:$AL$3,0))))</f>
        <v>Ocean</v>
      </c>
      <c r="V37" s="3" t="str">
        <f ca="1">IF('Map 2 Do Touch'!U32&lt;&gt;'Map 2 Do Touch'!U33,IF('Map 2 Do Touch'!V33&gt;4,INDEX($AG$4:$AH$6,MATCH(INDEX($I$3:$L$6,MATCH(MOD('Map 2 Do Touch'!U33,4),$H$3:$H$6,0),MATCH(MOD('Map 2 Do Touch'!V33,4),$I$2:$L$2,0)),$AF$4:$AF$6,0),MATCH(IF('Map 2 Do Touch'!U33&gt;4,"Water","Land"),'Map 3'!$AG$3:$AH$3,0)),INDEX($AK$4:$AL$6,MATCH(INDEX($I$3:$L$6,MATCH(MOD('Map 2 Do Touch'!U33,4),$H$3:$H$6,0),MATCH(MOD('Map 2 Do Touch'!V33,4),$I$2:$L$2,0)),'Map 3'!$AJ$4:$AJ$6,0),MATCH(IF('Map 2 Do Touch'!U33&gt;4,"Water","Land"),'Map 3'!$AK$3:$AL$3,0))),IF('Map 2 Do Touch'!V33&gt;4,INDEX($AG$4:$AH$6,MATCH(INDEX($P$3:$S$6,MATCH(MOD('Map 2 Do Touch'!V32,4),$O$3:$O$6,0),MATCH(MOD('Map 2 Do Touch'!V33,4),$P$2:$S$2,0)),$AF$4:$AF$6,0),MATCH(IF('Map 2 Do Touch'!V32&gt;4,"Water","Land"),'Map 3'!$AG$3:$AH$3,0)),INDEX($AK$4:$AL$6,MATCH(INDEX($P$3:$S$6,MATCH(MOD('Map 2 Do Touch'!V32,4),$O$3:$O$6,0),MATCH(MOD('Map 2 Do Touch'!V33,4),$P$2:$S$2,0)),'Map 3'!$AJ$4:$AJ$6,0),MATCH(IF('Map 2 Do Touch'!V32&gt;4,"Water","Land"),'Map 3'!$AK$3:$AL$3,0))))</f>
        <v>Ocean</v>
      </c>
      <c r="W37" s="3" t="str">
        <f ca="1">IF('Map 2 Do Touch'!V32&lt;&gt;'Map 2 Do Touch'!V33,IF('Map 2 Do Touch'!W33&gt;4,INDEX($AG$4:$AH$6,MATCH(INDEX($I$3:$L$6,MATCH(MOD('Map 2 Do Touch'!V33,4),$H$3:$H$6,0),MATCH(MOD('Map 2 Do Touch'!W33,4),$I$2:$L$2,0)),$AF$4:$AF$6,0),MATCH(IF('Map 2 Do Touch'!V33&gt;4,"Water","Land"),'Map 3'!$AG$3:$AH$3,0)),INDEX($AK$4:$AL$6,MATCH(INDEX($I$3:$L$6,MATCH(MOD('Map 2 Do Touch'!V33,4),$H$3:$H$6,0),MATCH(MOD('Map 2 Do Touch'!W33,4),$I$2:$L$2,0)),'Map 3'!$AJ$4:$AJ$6,0),MATCH(IF('Map 2 Do Touch'!V33&gt;4,"Water","Land"),'Map 3'!$AK$3:$AL$3,0))),IF('Map 2 Do Touch'!W33&gt;4,INDEX($AG$4:$AH$6,MATCH(INDEX($P$3:$S$6,MATCH(MOD('Map 2 Do Touch'!W32,4),$O$3:$O$6,0),MATCH(MOD('Map 2 Do Touch'!W33,4),$P$2:$S$2,0)),$AF$4:$AF$6,0),MATCH(IF('Map 2 Do Touch'!W32&gt;4,"Water","Land"),'Map 3'!$AG$3:$AH$3,0)),INDEX($AK$4:$AL$6,MATCH(INDEX($P$3:$S$6,MATCH(MOD('Map 2 Do Touch'!W32,4),$O$3:$O$6,0),MATCH(MOD('Map 2 Do Touch'!W33,4),$P$2:$S$2,0)),'Map 3'!$AJ$4:$AJ$6,0),MATCH(IF('Map 2 Do Touch'!W32&gt;4,"Water","Land"),'Map 3'!$AK$3:$AL$3,0))))</f>
        <v>Ocean</v>
      </c>
      <c r="X37" s="3" t="str">
        <f ca="1">IF('Map 2 Do Touch'!W32&lt;&gt;'Map 2 Do Touch'!W33,IF('Map 2 Do Touch'!X33&gt;4,INDEX($AG$4:$AH$6,MATCH(INDEX($I$3:$L$6,MATCH(MOD('Map 2 Do Touch'!W33,4),$H$3:$H$6,0),MATCH(MOD('Map 2 Do Touch'!X33,4),$I$2:$L$2,0)),$AF$4:$AF$6,0),MATCH(IF('Map 2 Do Touch'!W33&gt;4,"Water","Land"),'Map 3'!$AG$3:$AH$3,0)),INDEX($AK$4:$AL$6,MATCH(INDEX($I$3:$L$6,MATCH(MOD('Map 2 Do Touch'!W33,4),$H$3:$H$6,0),MATCH(MOD('Map 2 Do Touch'!X33,4),$I$2:$L$2,0)),'Map 3'!$AJ$4:$AJ$6,0),MATCH(IF('Map 2 Do Touch'!W33&gt;4,"Water","Land"),'Map 3'!$AK$3:$AL$3,0))),IF('Map 2 Do Touch'!X33&gt;4,INDEX($AG$4:$AH$6,MATCH(INDEX($P$3:$S$6,MATCH(MOD('Map 2 Do Touch'!X32,4),$O$3:$O$6,0),MATCH(MOD('Map 2 Do Touch'!X33,4),$P$2:$S$2,0)),$AF$4:$AF$6,0),MATCH(IF('Map 2 Do Touch'!X32&gt;4,"Water","Land"),'Map 3'!$AG$3:$AH$3,0)),INDEX($AK$4:$AL$6,MATCH(INDEX($P$3:$S$6,MATCH(MOD('Map 2 Do Touch'!X32,4),$O$3:$O$6,0),MATCH(MOD('Map 2 Do Touch'!X33,4),$P$2:$S$2,0)),'Map 3'!$AJ$4:$AJ$6,0),MATCH(IF('Map 2 Do Touch'!X32&gt;4,"Water","Land"),'Map 3'!$AK$3:$AL$3,0))))</f>
        <v>Ocean</v>
      </c>
      <c r="Y37" s="3" t="str">
        <f ca="1">IF('Map 2 Do Touch'!X32&lt;&gt;'Map 2 Do Touch'!X33,IF('Map 2 Do Touch'!Y33&gt;4,INDEX($AG$4:$AH$6,MATCH(INDEX($I$3:$L$6,MATCH(MOD('Map 2 Do Touch'!X33,4),$H$3:$H$6,0),MATCH(MOD('Map 2 Do Touch'!Y33,4),$I$2:$L$2,0)),$AF$4:$AF$6,0),MATCH(IF('Map 2 Do Touch'!X33&gt;4,"Water","Land"),'Map 3'!$AG$3:$AH$3,0)),INDEX($AK$4:$AL$6,MATCH(INDEX($I$3:$L$6,MATCH(MOD('Map 2 Do Touch'!X33,4),$H$3:$H$6,0),MATCH(MOD('Map 2 Do Touch'!Y33,4),$I$2:$L$2,0)),'Map 3'!$AJ$4:$AJ$6,0),MATCH(IF('Map 2 Do Touch'!X33&gt;4,"Water","Land"),'Map 3'!$AK$3:$AL$3,0))),IF('Map 2 Do Touch'!Y33&gt;4,INDEX($AG$4:$AH$6,MATCH(INDEX($P$3:$S$6,MATCH(MOD('Map 2 Do Touch'!Y32,4),$O$3:$O$6,0),MATCH(MOD('Map 2 Do Touch'!Y33,4),$P$2:$S$2,0)),$AF$4:$AF$6,0),MATCH(IF('Map 2 Do Touch'!Y32&gt;4,"Water","Land"),'Map 3'!$AG$3:$AH$3,0)),INDEX($AK$4:$AL$6,MATCH(INDEX($P$3:$S$6,MATCH(MOD('Map 2 Do Touch'!Y32,4),$O$3:$O$6,0),MATCH(MOD('Map 2 Do Touch'!Y33,4),$P$2:$S$2,0)),'Map 3'!$AJ$4:$AJ$6,0),MATCH(IF('Map 2 Do Touch'!Y32&gt;4,"Water","Land"),'Map 3'!$AK$3:$AL$3,0))))</f>
        <v>Ocean</v>
      </c>
      <c r="Z37" s="3" t="str">
        <f ca="1">IF('Map 2 Do Touch'!Y32&lt;&gt;'Map 2 Do Touch'!Y33,IF('Map 2 Do Touch'!Z33&gt;4,INDEX($AG$4:$AH$6,MATCH(INDEX($I$3:$L$6,MATCH(MOD('Map 2 Do Touch'!Y33,4),$H$3:$H$6,0),MATCH(MOD('Map 2 Do Touch'!Z33,4),$I$2:$L$2,0)),$AF$4:$AF$6,0),MATCH(IF('Map 2 Do Touch'!Y33&gt;4,"Water","Land"),'Map 3'!$AG$3:$AH$3,0)),INDEX($AK$4:$AL$6,MATCH(INDEX($I$3:$L$6,MATCH(MOD('Map 2 Do Touch'!Y33,4),$H$3:$H$6,0),MATCH(MOD('Map 2 Do Touch'!Z33,4),$I$2:$L$2,0)),'Map 3'!$AJ$4:$AJ$6,0),MATCH(IF('Map 2 Do Touch'!Y33&gt;4,"Water","Land"),'Map 3'!$AK$3:$AL$3,0))),IF('Map 2 Do Touch'!Z33&gt;4,INDEX($AG$4:$AH$6,MATCH(INDEX($P$3:$S$6,MATCH(MOD('Map 2 Do Touch'!Z32,4),$O$3:$O$6,0),MATCH(MOD('Map 2 Do Touch'!Z33,4),$P$2:$S$2,0)),$AF$4:$AF$6,0),MATCH(IF('Map 2 Do Touch'!Z32&gt;4,"Water","Land"),'Map 3'!$AG$3:$AH$3,0)),INDEX($AK$4:$AL$6,MATCH(INDEX($P$3:$S$6,MATCH(MOD('Map 2 Do Touch'!Z32,4),$O$3:$O$6,0),MATCH(MOD('Map 2 Do Touch'!Z33,4),$P$2:$S$2,0)),'Map 3'!$AJ$4:$AJ$6,0),MATCH(IF('Map 2 Do Touch'!Z32&gt;4,"Water","Land"),'Map 3'!$AK$3:$AL$3,0))))</f>
        <v>Island</v>
      </c>
      <c r="AA37" s="3" t="str">
        <f ca="1">IF('Map 2 Do Touch'!Z32&lt;&gt;'Map 2 Do Touch'!Z33,IF('Map 2 Do Touch'!AA33&gt;4,INDEX($AG$4:$AH$6,MATCH(INDEX($I$3:$L$6,MATCH(MOD('Map 2 Do Touch'!Z33,4),$H$3:$H$6,0),MATCH(MOD('Map 2 Do Touch'!AA33,4),$I$2:$L$2,0)),$AF$4:$AF$6,0),MATCH(IF('Map 2 Do Touch'!Z33&gt;4,"Water","Land"),'Map 3'!$AG$3:$AH$3,0)),INDEX($AK$4:$AL$6,MATCH(INDEX($I$3:$L$6,MATCH(MOD('Map 2 Do Touch'!Z33,4),$H$3:$H$6,0),MATCH(MOD('Map 2 Do Touch'!AA33,4),$I$2:$L$2,0)),'Map 3'!$AJ$4:$AJ$6,0),MATCH(IF('Map 2 Do Touch'!Z33&gt;4,"Water","Land"),'Map 3'!$AK$3:$AL$3,0))),IF('Map 2 Do Touch'!AA33&gt;4,INDEX($AG$4:$AH$6,MATCH(INDEX($P$3:$S$6,MATCH(MOD('Map 2 Do Touch'!AA32,4),$O$3:$O$6,0),MATCH(MOD('Map 2 Do Touch'!AA33,4),$P$2:$S$2,0)),$AF$4:$AF$6,0),MATCH(IF('Map 2 Do Touch'!AA32&gt;4,"Water","Land"),'Map 3'!$AG$3:$AH$3,0)),INDEX($AK$4:$AL$6,MATCH(INDEX($P$3:$S$6,MATCH(MOD('Map 2 Do Touch'!AA32,4),$O$3:$O$6,0),MATCH(MOD('Map 2 Do Touch'!AA33,4),$P$2:$S$2,0)),'Map 3'!$AJ$4:$AJ$6,0),MATCH(IF('Map 2 Do Touch'!AA32&gt;4,"Water","Land"),'Map 3'!$AK$3:$AL$3,0))))</f>
        <v>Trench</v>
      </c>
      <c r="AB37" s="3" t="str">
        <f ca="1">IF('Map 2 Do Touch'!AA32&lt;&gt;'Map 2 Do Touch'!AA33,IF('Map 2 Do Touch'!AB33&gt;4,INDEX($AG$4:$AH$6,MATCH(INDEX($I$3:$L$6,MATCH(MOD('Map 2 Do Touch'!AA33,4),$H$3:$H$6,0),MATCH(MOD('Map 2 Do Touch'!AB33,4),$I$2:$L$2,0)),$AF$4:$AF$6,0),MATCH(IF('Map 2 Do Touch'!AA33&gt;4,"Water","Land"),'Map 3'!$AG$3:$AH$3,0)),INDEX($AK$4:$AL$6,MATCH(INDEX($I$3:$L$6,MATCH(MOD('Map 2 Do Touch'!AA33,4),$H$3:$H$6,0),MATCH(MOD('Map 2 Do Touch'!AB33,4),$I$2:$L$2,0)),'Map 3'!$AJ$4:$AJ$6,0),MATCH(IF('Map 2 Do Touch'!AA33&gt;4,"Water","Land"),'Map 3'!$AK$3:$AL$3,0))),IF('Map 2 Do Touch'!AB33&gt;4,INDEX($AG$4:$AH$6,MATCH(INDEX($P$3:$S$6,MATCH(MOD('Map 2 Do Touch'!AB32,4),$O$3:$O$6,0),MATCH(MOD('Map 2 Do Touch'!AB33,4),$P$2:$S$2,0)),$AF$4:$AF$6,0),MATCH(IF('Map 2 Do Touch'!AB32&gt;4,"Water","Land"),'Map 3'!$AG$3:$AH$3,0)),INDEX($AK$4:$AL$6,MATCH(INDEX($P$3:$S$6,MATCH(MOD('Map 2 Do Touch'!AB32,4),$O$3:$O$6,0),MATCH(MOD('Map 2 Do Touch'!AB33,4),$P$2:$S$2,0)),'Map 3'!$AJ$4:$AJ$6,0),MATCH(IF('Map 2 Do Touch'!AB32&gt;4,"Water","Land"),'Map 3'!$AK$3:$AL$3,0))))</f>
        <v>Ocean</v>
      </c>
      <c r="AC37" s="3" t="str">
        <f ca="1">IF('Map 2 Do Touch'!AB32&lt;&gt;'Map 2 Do Touch'!AB33,IF('Map 2 Do Touch'!AC33&gt;4,INDEX($AG$4:$AH$6,MATCH(INDEX($I$3:$L$6,MATCH(MOD('Map 2 Do Touch'!AB33,4),$H$3:$H$6,0),MATCH(MOD('Map 2 Do Touch'!AC33,4),$I$2:$L$2,0)),$AF$4:$AF$6,0),MATCH(IF('Map 2 Do Touch'!AB33&gt;4,"Water","Land"),'Map 3'!$AG$3:$AH$3,0)),INDEX($AK$4:$AL$6,MATCH(INDEX($I$3:$L$6,MATCH(MOD('Map 2 Do Touch'!AB33,4),$H$3:$H$6,0),MATCH(MOD('Map 2 Do Touch'!AC33,4),$I$2:$L$2,0)),'Map 3'!$AJ$4:$AJ$6,0),MATCH(IF('Map 2 Do Touch'!AB33&gt;4,"Water","Land"),'Map 3'!$AK$3:$AL$3,0))),IF('Map 2 Do Touch'!AC33&gt;4,INDEX($AG$4:$AH$6,MATCH(INDEX($P$3:$S$6,MATCH(MOD('Map 2 Do Touch'!AC32,4),$O$3:$O$6,0),MATCH(MOD('Map 2 Do Touch'!AC33,4),$P$2:$S$2,0)),$AF$4:$AF$6,0),MATCH(IF('Map 2 Do Touch'!AC32&gt;4,"Water","Land"),'Map 3'!$AG$3:$AH$3,0)),INDEX($AK$4:$AL$6,MATCH(INDEX($P$3:$S$6,MATCH(MOD('Map 2 Do Touch'!AC32,4),$O$3:$O$6,0),MATCH(MOD('Map 2 Do Touch'!AC33,4),$P$2:$S$2,0)),'Map 3'!$AJ$4:$AJ$6,0),MATCH(IF('Map 2 Do Touch'!AC32&gt;4,"Water","Land"),'Map 3'!$AK$3:$AL$3,0))))</f>
        <v>Ocean</v>
      </c>
      <c r="AD37" s="3" t="str">
        <f ca="1">IF('Map 2 Do Touch'!AC32&lt;&gt;'Map 2 Do Touch'!AC33,IF('Map 2 Do Touch'!AD33&gt;4,INDEX($AG$4:$AH$6,MATCH(INDEX($I$3:$L$6,MATCH(MOD('Map 2 Do Touch'!AC33,4),$H$3:$H$6,0),MATCH(MOD('Map 2 Do Touch'!AD33,4),$I$2:$L$2,0)),$AF$4:$AF$6,0),MATCH(IF('Map 2 Do Touch'!AC33&gt;4,"Water","Land"),'Map 3'!$AG$3:$AH$3,0)),INDEX($AK$4:$AL$6,MATCH(INDEX($I$3:$L$6,MATCH(MOD('Map 2 Do Touch'!AC33,4),$H$3:$H$6,0),MATCH(MOD('Map 2 Do Touch'!AD33,4),$I$2:$L$2,0)),'Map 3'!$AJ$4:$AJ$6,0),MATCH(IF('Map 2 Do Touch'!AC33&gt;4,"Water","Land"),'Map 3'!$AK$3:$AL$3,0))),IF('Map 2 Do Touch'!AD33&gt;4,INDEX($AG$4:$AH$6,MATCH(INDEX($P$3:$S$6,MATCH(MOD('Map 2 Do Touch'!AD32,4),$O$3:$O$6,0),MATCH(MOD('Map 2 Do Touch'!AD33,4),$P$2:$S$2,0)),$AF$4:$AF$6,0),MATCH(IF('Map 2 Do Touch'!AD32&gt;4,"Water","Land"),'Map 3'!$AG$3:$AH$3,0)),INDEX($AK$4:$AL$6,MATCH(INDEX($P$3:$S$6,MATCH(MOD('Map 2 Do Touch'!AD32,4),$O$3:$O$6,0),MATCH(MOD('Map 2 Do Touch'!AD33,4),$P$2:$S$2,0)),'Map 3'!$AJ$4:$AJ$6,0),MATCH(IF('Map 2 Do Touch'!AD32&gt;4,"Water","Land"),'Map 3'!$AK$3:$AL$3,0))))</f>
        <v>Ocean</v>
      </c>
      <c r="AE37" s="3" t="str">
        <f ca="1">IF('Map 2 Do Touch'!AD32&lt;&gt;'Map 2 Do Touch'!AD33,IF('Map 2 Do Touch'!AE33&gt;4,INDEX($AG$4:$AH$6,MATCH(INDEX($I$3:$L$6,MATCH(MOD('Map 2 Do Touch'!AD33,4),$H$3:$H$6,0),MATCH(MOD('Map 2 Do Touch'!AE33,4),$I$2:$L$2,0)),$AF$4:$AF$6,0),MATCH(IF('Map 2 Do Touch'!AD33&gt;4,"Water","Land"),'Map 3'!$AG$3:$AH$3,0)),INDEX($AK$4:$AL$6,MATCH(INDEX($I$3:$L$6,MATCH(MOD('Map 2 Do Touch'!AD33,4),$H$3:$H$6,0),MATCH(MOD('Map 2 Do Touch'!AE33,4),$I$2:$L$2,0)),'Map 3'!$AJ$4:$AJ$6,0),MATCH(IF('Map 2 Do Touch'!AD33&gt;4,"Water","Land"),'Map 3'!$AK$3:$AL$3,0))),IF('Map 2 Do Touch'!AE33&gt;4,INDEX($AG$4:$AH$6,MATCH(INDEX($P$3:$S$6,MATCH(MOD('Map 2 Do Touch'!AE32,4),$O$3:$O$6,0),MATCH(MOD('Map 2 Do Touch'!AE33,4),$P$2:$S$2,0)),$AF$4:$AF$6,0),MATCH(IF('Map 2 Do Touch'!AE32&gt;4,"Water","Land"),'Map 3'!$AG$3:$AH$3,0)),INDEX($AK$4:$AL$6,MATCH(INDEX($P$3:$S$6,MATCH(MOD('Map 2 Do Touch'!AE32,4),$O$3:$O$6,0),MATCH(MOD('Map 2 Do Touch'!AE33,4),$P$2:$S$2,0)),'Map 3'!$AJ$4:$AJ$6,0),MATCH(IF('Map 2 Do Touch'!AE32&gt;4,"Water","Land"),'Map 3'!$AK$3:$AL$3,0))))</f>
        <v>Ocean</v>
      </c>
      <c r="AF37" s="3" t="str">
        <f ca="1">IF('Map 2 Do Touch'!AE32&lt;&gt;'Map 2 Do Touch'!AE33,IF('Map 2 Do Touch'!AF33&gt;4,INDEX($AG$4:$AH$6,MATCH(INDEX($I$3:$L$6,MATCH(MOD('Map 2 Do Touch'!AE33,4),$H$3:$H$6,0),MATCH(MOD('Map 2 Do Touch'!AF33,4),$I$2:$L$2,0)),$AF$4:$AF$6,0),MATCH(IF('Map 2 Do Touch'!AE33&gt;4,"Water","Land"),'Map 3'!$AG$3:$AH$3,0)),INDEX($AK$4:$AL$6,MATCH(INDEX($I$3:$L$6,MATCH(MOD('Map 2 Do Touch'!AE33,4),$H$3:$H$6,0),MATCH(MOD('Map 2 Do Touch'!AF33,4),$I$2:$L$2,0)),'Map 3'!$AJ$4:$AJ$6,0),MATCH(IF('Map 2 Do Touch'!AE33&gt;4,"Water","Land"),'Map 3'!$AK$3:$AL$3,0))),IF('Map 2 Do Touch'!AF33&gt;4,INDEX($AG$4:$AH$6,MATCH(INDEX($P$3:$S$6,MATCH(MOD('Map 2 Do Touch'!AF32,4),$O$3:$O$6,0),MATCH(MOD('Map 2 Do Touch'!AF33,4),$P$2:$S$2,0)),$AF$4:$AF$6,0),MATCH(IF('Map 2 Do Touch'!AF32&gt;4,"Water","Land"),'Map 3'!$AG$3:$AH$3,0)),INDEX($AK$4:$AL$6,MATCH(INDEX($P$3:$S$6,MATCH(MOD('Map 2 Do Touch'!AF32,4),$O$3:$O$6,0),MATCH(MOD('Map 2 Do Touch'!AF33,4),$P$2:$S$2,0)),'Map 3'!$AJ$4:$AJ$6,0),MATCH(IF('Map 2 Do Touch'!AF32&gt;4,"Water","Land"),'Map 3'!$AK$3:$AL$3,0))))</f>
        <v>Island</v>
      </c>
      <c r="AG37" s="3" t="str">
        <f ca="1">IF('Map 2 Do Touch'!AF32&lt;&gt;'Map 2 Do Touch'!AF33,IF('Map 2 Do Touch'!AG33&gt;4,INDEX($AG$4:$AH$6,MATCH(INDEX($I$3:$L$6,MATCH(MOD('Map 2 Do Touch'!AF33,4),$H$3:$H$6,0),MATCH(MOD('Map 2 Do Touch'!AG33,4),$I$2:$L$2,0)),$AF$4:$AF$6,0),MATCH(IF('Map 2 Do Touch'!AF33&gt;4,"Water","Land"),'Map 3'!$AG$3:$AH$3,0)),INDEX($AK$4:$AL$6,MATCH(INDEX($I$3:$L$6,MATCH(MOD('Map 2 Do Touch'!AF33,4),$H$3:$H$6,0),MATCH(MOD('Map 2 Do Touch'!AG33,4),$I$2:$L$2,0)),'Map 3'!$AJ$4:$AJ$6,0),MATCH(IF('Map 2 Do Touch'!AF33&gt;4,"Water","Land"),'Map 3'!$AK$3:$AL$3,0))),IF('Map 2 Do Touch'!AG33&gt;4,INDEX($AG$4:$AH$6,MATCH(INDEX($P$3:$S$6,MATCH(MOD('Map 2 Do Touch'!AG32,4),$O$3:$O$6,0),MATCH(MOD('Map 2 Do Touch'!AG33,4),$P$2:$S$2,0)),$AF$4:$AF$6,0),MATCH(IF('Map 2 Do Touch'!AG32&gt;4,"Water","Land"),'Map 3'!$AG$3:$AH$3,0)),INDEX($AK$4:$AL$6,MATCH(INDEX($P$3:$S$6,MATCH(MOD('Map 2 Do Touch'!AG32,4),$O$3:$O$6,0),MATCH(MOD('Map 2 Do Touch'!AG33,4),$P$2:$S$2,0)),'Map 3'!$AJ$4:$AJ$6,0),MATCH(IF('Map 2 Do Touch'!AG32&gt;4,"Water","Land"),'Map 3'!$AK$3:$AL$3,0))))</f>
        <v>Trench</v>
      </c>
      <c r="AH37" s="3" t="str">
        <f ca="1">IF('Map 2 Do Touch'!AG32&lt;&gt;'Map 2 Do Touch'!AG33,IF('Map 2 Do Touch'!AH33&gt;4,INDEX($AG$4:$AH$6,MATCH(INDEX($I$3:$L$6,MATCH(MOD('Map 2 Do Touch'!AG33,4),$H$3:$H$6,0),MATCH(MOD('Map 2 Do Touch'!AH33,4),$I$2:$L$2,0)),$AF$4:$AF$6,0),MATCH(IF('Map 2 Do Touch'!AG33&gt;4,"Water","Land"),'Map 3'!$AG$3:$AH$3,0)),INDEX($AK$4:$AL$6,MATCH(INDEX($I$3:$L$6,MATCH(MOD('Map 2 Do Touch'!AG33,4),$H$3:$H$6,0),MATCH(MOD('Map 2 Do Touch'!AH33,4),$I$2:$L$2,0)),'Map 3'!$AJ$4:$AJ$6,0),MATCH(IF('Map 2 Do Touch'!AG33&gt;4,"Water","Land"),'Map 3'!$AK$3:$AL$3,0))),IF('Map 2 Do Touch'!AH33&gt;4,INDEX($AG$4:$AH$6,MATCH(INDEX($P$3:$S$6,MATCH(MOD('Map 2 Do Touch'!AH32,4),$O$3:$O$6,0),MATCH(MOD('Map 2 Do Touch'!AH33,4),$P$2:$S$2,0)),$AF$4:$AF$6,0),MATCH(IF('Map 2 Do Touch'!AH32&gt;4,"Water","Land"),'Map 3'!$AG$3:$AH$3,0)),INDEX($AK$4:$AL$6,MATCH(INDEX($P$3:$S$6,MATCH(MOD('Map 2 Do Touch'!AH32,4),$O$3:$O$6,0),MATCH(MOD('Map 2 Do Touch'!AH33,4),$P$2:$S$2,0)),'Map 3'!$AJ$4:$AJ$6,0),MATCH(IF('Map 2 Do Touch'!AH32&gt;4,"Water","Land"),'Map 3'!$AK$3:$AL$3,0))))</f>
        <v>Island</v>
      </c>
      <c r="AI37" s="3" t="str">
        <f ca="1">IF('Map 2 Do Touch'!AH32&lt;&gt;'Map 2 Do Touch'!AH33,IF('Map 2 Do Touch'!AI33&gt;4,INDEX($AG$4:$AH$6,MATCH(INDEX($I$3:$L$6,MATCH(MOD('Map 2 Do Touch'!AH33,4),$H$3:$H$6,0),MATCH(MOD('Map 2 Do Touch'!AI33,4),$I$2:$L$2,0)),$AF$4:$AF$6,0),MATCH(IF('Map 2 Do Touch'!AH33&gt;4,"Water","Land"),'Map 3'!$AG$3:$AH$3,0)),INDEX($AK$4:$AL$6,MATCH(INDEX($I$3:$L$6,MATCH(MOD('Map 2 Do Touch'!AH33,4),$H$3:$H$6,0),MATCH(MOD('Map 2 Do Touch'!AI33,4),$I$2:$L$2,0)),'Map 3'!$AJ$4:$AJ$6,0),MATCH(IF('Map 2 Do Touch'!AH33&gt;4,"Water","Land"),'Map 3'!$AK$3:$AL$3,0))),IF('Map 2 Do Touch'!AI33&gt;4,INDEX($AG$4:$AH$6,MATCH(INDEX($P$3:$S$6,MATCH(MOD('Map 2 Do Touch'!AI32,4),$O$3:$O$6,0),MATCH(MOD('Map 2 Do Touch'!AI33,4),$P$2:$S$2,0)),$AF$4:$AF$6,0),MATCH(IF('Map 2 Do Touch'!AI32&gt;4,"Water","Land"),'Map 3'!$AG$3:$AH$3,0)),INDEX($AK$4:$AL$6,MATCH(INDEX($P$3:$S$6,MATCH(MOD('Map 2 Do Touch'!AI32,4),$O$3:$O$6,0),MATCH(MOD('Map 2 Do Touch'!AI33,4),$P$2:$S$2,0)),'Map 3'!$AJ$4:$AJ$6,0),MATCH(IF('Map 2 Do Touch'!AI32&gt;4,"Water","Land"),'Map 3'!$AK$3:$AL$3,0))))</f>
        <v>Ocean</v>
      </c>
      <c r="AJ37" s="3" t="str">
        <f ca="1">IF('Map 2 Do Touch'!AI32&lt;&gt;'Map 2 Do Touch'!AI33,IF('Map 2 Do Touch'!AJ33&gt;4,INDEX($AG$4:$AH$6,MATCH(INDEX($I$3:$L$6,MATCH(MOD('Map 2 Do Touch'!AI33,4),$H$3:$H$6,0),MATCH(MOD('Map 2 Do Touch'!AJ33,4),$I$2:$L$2,0)),$AF$4:$AF$6,0),MATCH(IF('Map 2 Do Touch'!AI33&gt;4,"Water","Land"),'Map 3'!$AG$3:$AH$3,0)),INDEX($AK$4:$AL$6,MATCH(INDEX($I$3:$L$6,MATCH(MOD('Map 2 Do Touch'!AI33,4),$H$3:$H$6,0),MATCH(MOD('Map 2 Do Touch'!AJ33,4),$I$2:$L$2,0)),'Map 3'!$AJ$4:$AJ$6,0),MATCH(IF('Map 2 Do Touch'!AI33&gt;4,"Water","Land"),'Map 3'!$AK$3:$AL$3,0))),IF('Map 2 Do Touch'!AJ33&gt;4,INDEX($AG$4:$AH$6,MATCH(INDEX($P$3:$S$6,MATCH(MOD('Map 2 Do Touch'!AJ32,4),$O$3:$O$6,0),MATCH(MOD('Map 2 Do Touch'!AJ33,4),$P$2:$S$2,0)),$AF$4:$AF$6,0),MATCH(IF('Map 2 Do Touch'!AJ32&gt;4,"Water","Land"),'Map 3'!$AG$3:$AH$3,0)),INDEX($AK$4:$AL$6,MATCH(INDEX($P$3:$S$6,MATCH(MOD('Map 2 Do Touch'!AJ32,4),$O$3:$O$6,0),MATCH(MOD('Map 2 Do Touch'!AJ33,4),$P$2:$S$2,0)),'Map 3'!$AJ$4:$AJ$6,0),MATCH(IF('Map 2 Do Touch'!AJ32&gt;4,"Water","Land"),'Map 3'!$AK$3:$AL$3,0))))</f>
        <v>Ocean</v>
      </c>
      <c r="AK37" s="3" t="str">
        <f ca="1">IF('Map 2 Do Touch'!AJ32&lt;&gt;'Map 2 Do Touch'!AJ33,IF('Map 2 Do Touch'!AK33&gt;4,INDEX($AG$4:$AH$6,MATCH(INDEX($I$3:$L$6,MATCH(MOD('Map 2 Do Touch'!AJ33,4),$H$3:$H$6,0),MATCH(MOD('Map 2 Do Touch'!AK33,4),$I$2:$L$2,0)),$AF$4:$AF$6,0),MATCH(IF('Map 2 Do Touch'!AJ33&gt;4,"Water","Land"),'Map 3'!$AG$3:$AH$3,0)),INDEX($AK$4:$AL$6,MATCH(INDEX($I$3:$L$6,MATCH(MOD('Map 2 Do Touch'!AJ33,4),$H$3:$H$6,0),MATCH(MOD('Map 2 Do Touch'!AK33,4),$I$2:$L$2,0)),'Map 3'!$AJ$4:$AJ$6,0),MATCH(IF('Map 2 Do Touch'!AJ33&gt;4,"Water","Land"),'Map 3'!$AK$3:$AL$3,0))),IF('Map 2 Do Touch'!AK33&gt;4,INDEX($AG$4:$AH$6,MATCH(INDEX($P$3:$S$6,MATCH(MOD('Map 2 Do Touch'!AK32,4),$O$3:$O$6,0),MATCH(MOD('Map 2 Do Touch'!AK33,4),$P$2:$S$2,0)),$AF$4:$AF$6,0),MATCH(IF('Map 2 Do Touch'!AK32&gt;4,"Water","Land"),'Map 3'!$AG$3:$AH$3,0)),INDEX($AK$4:$AL$6,MATCH(INDEX($P$3:$S$6,MATCH(MOD('Map 2 Do Touch'!AK32,4),$O$3:$O$6,0),MATCH(MOD('Map 2 Do Touch'!AK33,4),$P$2:$S$2,0)),'Map 3'!$AJ$4:$AJ$6,0),MATCH(IF('Map 2 Do Touch'!AK32&gt;4,"Water","Land"),'Map 3'!$AK$3:$AL$3,0))))</f>
        <v>Ocean</v>
      </c>
      <c r="AL37" s="3" t="str">
        <f ca="1">IF('Map 2 Do Touch'!AK32&lt;&gt;'Map 2 Do Touch'!AK33,IF('Map 2 Do Touch'!AL33&gt;4,INDEX($AG$4:$AH$6,MATCH(INDEX($I$3:$L$6,MATCH(MOD('Map 2 Do Touch'!AK33,4),$H$3:$H$6,0),MATCH(MOD('Map 2 Do Touch'!AL33,4),$I$2:$L$2,0)),$AF$4:$AF$6,0),MATCH(IF('Map 2 Do Touch'!AK33&gt;4,"Water","Land"),'Map 3'!$AG$3:$AH$3,0)),INDEX($AK$4:$AL$6,MATCH(INDEX($I$3:$L$6,MATCH(MOD('Map 2 Do Touch'!AK33,4),$H$3:$H$6,0),MATCH(MOD('Map 2 Do Touch'!AL33,4),$I$2:$L$2,0)),'Map 3'!$AJ$4:$AJ$6,0),MATCH(IF('Map 2 Do Touch'!AK33&gt;4,"Water","Land"),'Map 3'!$AK$3:$AL$3,0))),IF('Map 2 Do Touch'!AL33&gt;4,INDEX($AG$4:$AH$6,MATCH(INDEX($P$3:$S$6,MATCH(MOD('Map 2 Do Touch'!AL32,4),$O$3:$O$6,0),MATCH(MOD('Map 2 Do Touch'!AL33,4),$P$2:$S$2,0)),$AF$4:$AF$6,0),MATCH(IF('Map 2 Do Touch'!AL32&gt;4,"Water","Land"),'Map 3'!$AG$3:$AH$3,0)),INDEX($AK$4:$AL$6,MATCH(INDEX($P$3:$S$6,MATCH(MOD('Map 2 Do Touch'!AL32,4),$O$3:$O$6,0),MATCH(MOD('Map 2 Do Touch'!AL33,4),$P$2:$S$2,0)),'Map 3'!$AJ$4:$AJ$6,0),MATCH(IF('Map 2 Do Touch'!AL32&gt;4,"Water","Land"),'Map 3'!$AK$3:$AL$3,0))))</f>
        <v>Ocean</v>
      </c>
      <c r="AM37" s="3" t="str">
        <f ca="1">IF('Map 2 Do Touch'!AL32&lt;&gt;'Map 2 Do Touch'!AL33,IF('Map 2 Do Touch'!AM33&gt;4,INDEX($AG$4:$AH$6,MATCH(INDEX($I$3:$L$6,MATCH(MOD('Map 2 Do Touch'!AL33,4),$H$3:$H$6,0),MATCH(MOD('Map 2 Do Touch'!AM33,4),$I$2:$L$2,0)),$AF$4:$AF$6,0),MATCH(IF('Map 2 Do Touch'!AL33&gt;4,"Water","Land"),'Map 3'!$AG$3:$AH$3,0)),INDEX($AK$4:$AL$6,MATCH(INDEX($I$3:$L$6,MATCH(MOD('Map 2 Do Touch'!AL33,4),$H$3:$H$6,0),MATCH(MOD('Map 2 Do Touch'!AM33,4),$I$2:$L$2,0)),'Map 3'!$AJ$4:$AJ$6,0),MATCH(IF('Map 2 Do Touch'!AL33&gt;4,"Water","Land"),'Map 3'!$AK$3:$AL$3,0))),IF('Map 2 Do Touch'!AM33&gt;4,INDEX($AG$4:$AH$6,MATCH(INDEX($P$3:$S$6,MATCH(MOD('Map 2 Do Touch'!AM32,4),$O$3:$O$6,0),MATCH(MOD('Map 2 Do Touch'!AM33,4),$P$2:$S$2,0)),$AF$4:$AF$6,0),MATCH(IF('Map 2 Do Touch'!AM32&gt;4,"Water","Land"),'Map 3'!$AG$3:$AH$3,0)),INDEX($AK$4:$AL$6,MATCH(INDEX($P$3:$S$6,MATCH(MOD('Map 2 Do Touch'!AM32,4),$O$3:$O$6,0),MATCH(MOD('Map 2 Do Touch'!AM33,4),$P$2:$S$2,0)),'Map 3'!$AJ$4:$AJ$6,0),MATCH(IF('Map 2 Do Touch'!AM32&gt;4,"Water","Land"),'Map 3'!$AK$3:$AL$3,0))))</f>
        <v>Ocean</v>
      </c>
      <c r="AN37" s="3" t="str">
        <f ca="1">IF('Map 2 Do Touch'!AM32&lt;&gt;'Map 2 Do Touch'!AM33,IF('Map 2 Do Touch'!AN33&gt;4,INDEX($AG$4:$AH$6,MATCH(INDEX($I$3:$L$6,MATCH(MOD('Map 2 Do Touch'!AM33,4),$H$3:$H$6,0),MATCH(MOD('Map 2 Do Touch'!AN33,4),$I$2:$L$2,0)),$AF$4:$AF$6,0),MATCH(IF('Map 2 Do Touch'!AM33&gt;4,"Water","Land"),'Map 3'!$AG$3:$AH$3,0)),INDEX($AK$4:$AL$6,MATCH(INDEX($I$3:$L$6,MATCH(MOD('Map 2 Do Touch'!AM33,4),$H$3:$H$6,0),MATCH(MOD('Map 2 Do Touch'!AN33,4),$I$2:$L$2,0)),'Map 3'!$AJ$4:$AJ$6,0),MATCH(IF('Map 2 Do Touch'!AM33&gt;4,"Water","Land"),'Map 3'!$AK$3:$AL$3,0))),IF('Map 2 Do Touch'!AN33&gt;4,INDEX($AG$4:$AH$6,MATCH(INDEX($P$3:$S$6,MATCH(MOD('Map 2 Do Touch'!AN32,4),$O$3:$O$6,0),MATCH(MOD('Map 2 Do Touch'!AN33,4),$P$2:$S$2,0)),$AF$4:$AF$6,0),MATCH(IF('Map 2 Do Touch'!AN32&gt;4,"Water","Land"),'Map 3'!$AG$3:$AH$3,0)),INDEX($AK$4:$AL$6,MATCH(INDEX($P$3:$S$6,MATCH(MOD('Map 2 Do Touch'!AN32,4),$O$3:$O$6,0),MATCH(MOD('Map 2 Do Touch'!AN33,4),$P$2:$S$2,0)),'Map 3'!$AJ$4:$AJ$6,0),MATCH(IF('Map 2 Do Touch'!AN32&gt;4,"Water","Land"),'Map 3'!$AK$3:$AL$3,0))))</f>
        <v>Ocean</v>
      </c>
      <c r="AO37" s="87" t="str">
        <f ca="1">IF('Map 2 Do Touch'!AN32&lt;&gt;'Map 2 Do Touch'!AN33,IF('Map 2 Do Touch'!AO33&gt;4,INDEX($AG$4:$AH$6,MATCH(INDEX($I$3:$L$6,MATCH(MOD('Map 2 Do Touch'!AN33,4),$H$3:$H$6,0),MATCH(MOD('Map 2 Do Touch'!AO33,4),$I$2:$L$2,0)),$AF$4:$AF$6,0),MATCH(IF('Map 2 Do Touch'!AN33&gt;4,"Water","Land"),'Map 3'!$AG$3:$AH$3,0)),INDEX($AK$4:$AL$6,MATCH(INDEX($I$3:$L$6,MATCH(MOD('Map 2 Do Touch'!AN33,4),$H$3:$H$6,0),MATCH(MOD('Map 2 Do Touch'!AO33,4),$I$2:$L$2,0)),'Map 3'!$AJ$4:$AJ$6,0),MATCH(IF('Map 2 Do Touch'!AN33&gt;4,"Water","Land"),'Map 3'!$AK$3:$AL$3,0))),IF('Map 2 Do Touch'!AO33&gt;4,INDEX($AG$4:$AH$6,MATCH(INDEX($P$3:$S$6,MATCH(MOD('Map 2 Do Touch'!AO32,4),$O$3:$O$6,0),MATCH(MOD('Map 2 Do Touch'!AO33,4),$P$2:$S$2,0)),$AF$4:$AF$6,0),MATCH(IF('Map 2 Do Touch'!AO32&gt;4,"Water","Land"),'Map 3'!$AG$3:$AH$3,0)),INDEX($AK$4:$AL$6,MATCH(INDEX($P$3:$S$6,MATCH(MOD('Map 2 Do Touch'!AO32,4),$O$3:$O$6,0),MATCH(MOD('Map 2 Do Touch'!AO33,4),$P$2:$S$2,0)),'Map 3'!$AJ$4:$AJ$6,0),MATCH(IF('Map 2 Do Touch'!AO32&gt;4,"Water","Land"),'Map 3'!$AK$3:$AL$3,0))))</f>
        <v>Trench</v>
      </c>
      <c r="AP37" s="3"/>
    </row>
    <row r="38" spans="1:42" ht="37.5" customHeight="1">
      <c r="A38" s="3">
        <v>27</v>
      </c>
      <c r="B38" s="86" t="str">
        <f ca="1">IF('Map 2 Do Touch'!B33&lt;&gt;'Map 2 Do Touch'!B34,IF('Map 2 Do Touch'!B34&gt;4,INDEX($AG$4:$AH$6,MATCH(INDEX($I$3:$L$6,MATCH(MOD('Map 2 Do Touch'!AO34,4),$H$3:$H$6,0),MATCH(MOD('Map 2 Do Touch'!B34,4),$I$2:$L$2,0)),$AF$4:$AF$6,0),MATCH(IF('Map 2 Do Touch'!AO34&gt;4,"Water","Land"),'Map 3'!$AG$3:$AH$3,0)),INDEX($AK$4:$AL$6,MATCH(INDEX($I$3:$L$6,MATCH(MOD('Map 2 Do Touch'!A34,4),$H$3:$H$6,0),MATCH(MOD('Map 2 Do Touch'!B34,4),$I$2:$L$2,0)),'Map 3'!$AJ$4:$AJ$6,0),MATCH(IF('Map 2 Do Touch'!AO34&gt;4,"Water","Land"),'Map 3'!$AK$3:$AL$3,0))),IF('Map 2 Do Touch'!B34&gt;4,INDEX($AG$4:$AH$6,MATCH(INDEX($P$3:$S$6,MATCH(MOD('Map 2 Do Touch'!B33,4),$O$3:$O$6,0),MATCH(MOD('Map 2 Do Touch'!B34,4),$P$2:$S$2,0)),$AF$4:$AF$6,0),MATCH(IF('Map 2 Do Touch'!B33&gt;4,"Water","Land"),'Map 3'!$AG$3:$AH$3,0)),INDEX($AK$4:$AL$6,MATCH(INDEX($P$3:$S$6,MATCH(MOD('Map 2 Do Touch'!B33,4),$O$3:$O$6,0),MATCH(MOD('Map 2 Do Touch'!B34,4),$P$2:$S$2,0)),'Map 3'!$AJ$4:$AJ$6,0),MATCH(IF('Map 2 Do Touch'!B33&gt;4,"Water","Land"),'Map 3'!$AK$3:$AL$3,0))))</f>
        <v>Trench</v>
      </c>
      <c r="C38" s="3" t="str">
        <f ca="1">IF('Map 2 Do Touch'!B33&lt;&gt;'Map 2 Do Touch'!B34,IF('Map 2 Do Touch'!C34&gt;4,INDEX($AG$4:$AH$6,MATCH(INDEX($I$3:$L$6,MATCH(MOD('Map 2 Do Touch'!B34,4),$H$3:$H$6,0),MATCH(MOD('Map 2 Do Touch'!C34,4),$I$2:$L$2,0)),$AF$4:$AF$6,0),MATCH(IF('Map 2 Do Touch'!B34&gt;4,"Water","Land"),'Map 3'!$AG$3:$AH$3,0)),INDEX($AK$4:$AL$6,MATCH(INDEX($I$3:$L$6,MATCH(MOD('Map 2 Do Touch'!B34,4),$H$3:$H$6,0),MATCH(MOD('Map 2 Do Touch'!C34,4),$I$2:$L$2,0)),'Map 3'!$AJ$4:$AJ$6,0),MATCH(IF('Map 2 Do Touch'!B34&gt;4,"Water","Land"),'Map 3'!$AK$3:$AL$3,0))),IF('Map 2 Do Touch'!C34&gt;4,INDEX($AG$4:$AH$6,MATCH(INDEX($P$3:$S$6,MATCH(MOD('Map 2 Do Touch'!C33,4),$O$3:$O$6,0),MATCH(MOD('Map 2 Do Touch'!C34,4),$P$2:$S$2,0)),$AF$4:$AF$6,0),MATCH(IF('Map 2 Do Touch'!C33&gt;4,"Water","Land"),'Map 3'!$AG$3:$AH$3,0)),INDEX($AK$4:$AL$6,MATCH(INDEX($P$3:$S$6,MATCH(MOD('Map 2 Do Touch'!C33,4),$O$3:$O$6,0),MATCH(MOD('Map 2 Do Touch'!C34,4),$P$2:$S$2,0)),'Map 3'!$AJ$4:$AJ$6,0),MATCH(IF('Map 2 Do Touch'!C33&gt;4,"Water","Land"),'Map 3'!$AK$3:$AL$3,0))))</f>
        <v>Ocean</v>
      </c>
      <c r="D38" s="3" t="str">
        <f ca="1">IF('Map 2 Do Touch'!C33&lt;&gt;'Map 2 Do Touch'!C34,IF('Map 2 Do Touch'!D34&gt;4,INDEX($AG$4:$AH$6,MATCH(INDEX($I$3:$L$6,MATCH(MOD('Map 2 Do Touch'!C34,4),$H$3:$H$6,0),MATCH(MOD('Map 2 Do Touch'!D34,4),$I$2:$L$2,0)),$AF$4:$AF$6,0),MATCH(IF('Map 2 Do Touch'!C34&gt;4,"Water","Land"),'Map 3'!$AG$3:$AH$3,0)),INDEX($AK$4:$AL$6,MATCH(INDEX($I$3:$L$6,MATCH(MOD('Map 2 Do Touch'!C34,4),$H$3:$H$6,0),MATCH(MOD('Map 2 Do Touch'!D34,4),$I$2:$L$2,0)),'Map 3'!$AJ$4:$AJ$6,0),MATCH(IF('Map 2 Do Touch'!C34&gt;4,"Water","Land"),'Map 3'!$AK$3:$AL$3,0))),IF('Map 2 Do Touch'!D34&gt;4,INDEX($AG$4:$AH$6,MATCH(INDEX($P$3:$S$6,MATCH(MOD('Map 2 Do Touch'!D33,4),$O$3:$O$6,0),MATCH(MOD('Map 2 Do Touch'!D34,4),$P$2:$S$2,0)),$AF$4:$AF$6,0),MATCH(IF('Map 2 Do Touch'!D33&gt;4,"Water","Land"),'Map 3'!$AG$3:$AH$3,0)),INDEX($AK$4:$AL$6,MATCH(INDEX($P$3:$S$6,MATCH(MOD('Map 2 Do Touch'!D33,4),$O$3:$O$6,0),MATCH(MOD('Map 2 Do Touch'!D34,4),$P$2:$S$2,0)),'Map 3'!$AJ$4:$AJ$6,0),MATCH(IF('Map 2 Do Touch'!D33&gt;4,"Water","Land"),'Map 3'!$AK$3:$AL$3,0))))</f>
        <v>Trench</v>
      </c>
      <c r="E38" s="3" t="str">
        <f ca="1">IF('Map 2 Do Touch'!D33&lt;&gt;'Map 2 Do Touch'!D34,IF('Map 2 Do Touch'!E34&gt;4,INDEX($AG$4:$AH$6,MATCH(INDEX($I$3:$L$6,MATCH(MOD('Map 2 Do Touch'!D34,4),$H$3:$H$6,0),MATCH(MOD('Map 2 Do Touch'!E34,4),$I$2:$L$2,0)),$AF$4:$AF$6,0),MATCH(IF('Map 2 Do Touch'!D34&gt;4,"Water","Land"),'Map 3'!$AG$3:$AH$3,0)),INDEX($AK$4:$AL$6,MATCH(INDEX($I$3:$L$6,MATCH(MOD('Map 2 Do Touch'!D34,4),$H$3:$H$6,0),MATCH(MOD('Map 2 Do Touch'!E34,4),$I$2:$L$2,0)),'Map 3'!$AJ$4:$AJ$6,0),MATCH(IF('Map 2 Do Touch'!D34&gt;4,"Water","Land"),'Map 3'!$AK$3:$AL$3,0))),IF('Map 2 Do Touch'!E34&gt;4,INDEX($AG$4:$AH$6,MATCH(INDEX($P$3:$S$6,MATCH(MOD('Map 2 Do Touch'!E33,4),$O$3:$O$6,0),MATCH(MOD('Map 2 Do Touch'!E34,4),$P$2:$S$2,0)),$AF$4:$AF$6,0),MATCH(IF('Map 2 Do Touch'!E33&gt;4,"Water","Land"),'Map 3'!$AG$3:$AH$3,0)),INDEX($AK$4:$AL$6,MATCH(INDEX($P$3:$S$6,MATCH(MOD('Map 2 Do Touch'!E33,4),$O$3:$O$6,0),MATCH(MOD('Map 2 Do Touch'!E34,4),$P$2:$S$2,0)),'Map 3'!$AJ$4:$AJ$6,0),MATCH(IF('Map 2 Do Touch'!E33&gt;4,"Water","Land"),'Map 3'!$AK$3:$AL$3,0))))</f>
        <v>Ocean</v>
      </c>
      <c r="F38" s="3" t="str">
        <f ca="1">IF('Map 2 Do Touch'!E33&lt;&gt;'Map 2 Do Touch'!E34,IF('Map 2 Do Touch'!F34&gt;4,INDEX($AG$4:$AH$6,MATCH(INDEX($I$3:$L$6,MATCH(MOD('Map 2 Do Touch'!E34,4),$H$3:$H$6,0),MATCH(MOD('Map 2 Do Touch'!F34,4),$I$2:$L$2,0)),$AF$4:$AF$6,0),MATCH(IF('Map 2 Do Touch'!E34&gt;4,"Water","Land"),'Map 3'!$AG$3:$AH$3,0)),INDEX($AK$4:$AL$6,MATCH(INDEX($I$3:$L$6,MATCH(MOD('Map 2 Do Touch'!E34,4),$H$3:$H$6,0),MATCH(MOD('Map 2 Do Touch'!F34,4),$I$2:$L$2,0)),'Map 3'!$AJ$4:$AJ$6,0),MATCH(IF('Map 2 Do Touch'!E34&gt;4,"Water","Land"),'Map 3'!$AK$3:$AL$3,0))),IF('Map 2 Do Touch'!F34&gt;4,INDEX($AG$4:$AH$6,MATCH(INDEX($P$3:$S$6,MATCH(MOD('Map 2 Do Touch'!F33,4),$O$3:$O$6,0),MATCH(MOD('Map 2 Do Touch'!F34,4),$P$2:$S$2,0)),$AF$4:$AF$6,0),MATCH(IF('Map 2 Do Touch'!F33&gt;4,"Water","Land"),'Map 3'!$AG$3:$AH$3,0)),INDEX($AK$4:$AL$6,MATCH(INDEX($P$3:$S$6,MATCH(MOD('Map 2 Do Touch'!F33,4),$O$3:$O$6,0),MATCH(MOD('Map 2 Do Touch'!F34,4),$P$2:$S$2,0)),'Map 3'!$AJ$4:$AJ$6,0),MATCH(IF('Map 2 Do Touch'!F33&gt;4,"Water","Land"),'Map 3'!$AK$3:$AL$3,0))))</f>
        <v>Mountain</v>
      </c>
      <c r="G38" s="3" t="str">
        <f ca="1">IF('Map 2 Do Touch'!F33&lt;&gt;'Map 2 Do Touch'!F34,IF('Map 2 Do Touch'!G34&gt;4,INDEX($AG$4:$AH$6,MATCH(INDEX($I$3:$L$6,MATCH(MOD('Map 2 Do Touch'!F34,4),$H$3:$H$6,0),MATCH(MOD('Map 2 Do Touch'!G34,4),$I$2:$L$2,0)),$AF$4:$AF$6,0),MATCH(IF('Map 2 Do Touch'!F34&gt;4,"Water","Land"),'Map 3'!$AG$3:$AH$3,0)),INDEX($AK$4:$AL$6,MATCH(INDEX($I$3:$L$6,MATCH(MOD('Map 2 Do Touch'!F34,4),$H$3:$H$6,0),MATCH(MOD('Map 2 Do Touch'!G34,4),$I$2:$L$2,0)),'Map 3'!$AJ$4:$AJ$6,0),MATCH(IF('Map 2 Do Touch'!F34&gt;4,"Water","Land"),'Map 3'!$AK$3:$AL$3,0))),IF('Map 2 Do Touch'!G34&gt;4,INDEX($AG$4:$AH$6,MATCH(INDEX($P$3:$S$6,MATCH(MOD('Map 2 Do Touch'!G33,4),$O$3:$O$6,0),MATCH(MOD('Map 2 Do Touch'!G34,4),$P$2:$S$2,0)),$AF$4:$AF$6,0),MATCH(IF('Map 2 Do Touch'!G33&gt;4,"Water","Land"),'Map 3'!$AG$3:$AH$3,0)),INDEX($AK$4:$AL$6,MATCH(INDEX($P$3:$S$6,MATCH(MOD('Map 2 Do Touch'!G33,4),$O$3:$O$6,0),MATCH(MOD('Map 2 Do Touch'!G34,4),$P$2:$S$2,0)),'Map 3'!$AJ$4:$AJ$6,0),MATCH(IF('Map 2 Do Touch'!G33&gt;4,"Water","Land"),'Map 3'!$AK$3:$AL$3,0))))</f>
        <v>Flatland</v>
      </c>
      <c r="H38" s="3" t="str">
        <f ca="1">IF('Map 2 Do Touch'!G33&lt;&gt;'Map 2 Do Touch'!G34,IF('Map 2 Do Touch'!H34&gt;4,INDEX($AG$4:$AH$6,MATCH(INDEX($I$3:$L$6,MATCH(MOD('Map 2 Do Touch'!G34,4),$H$3:$H$6,0),MATCH(MOD('Map 2 Do Touch'!H34,4),$I$2:$L$2,0)),$AF$4:$AF$6,0),MATCH(IF('Map 2 Do Touch'!G34&gt;4,"Water","Land"),'Map 3'!$AG$3:$AH$3,0)),INDEX($AK$4:$AL$6,MATCH(INDEX($I$3:$L$6,MATCH(MOD('Map 2 Do Touch'!G34,4),$H$3:$H$6,0),MATCH(MOD('Map 2 Do Touch'!H34,4),$I$2:$L$2,0)),'Map 3'!$AJ$4:$AJ$6,0),MATCH(IF('Map 2 Do Touch'!G34&gt;4,"Water","Land"),'Map 3'!$AK$3:$AL$3,0))),IF('Map 2 Do Touch'!H34&gt;4,INDEX($AG$4:$AH$6,MATCH(INDEX($P$3:$S$6,MATCH(MOD('Map 2 Do Touch'!H33,4),$O$3:$O$6,0),MATCH(MOD('Map 2 Do Touch'!H34,4),$P$2:$S$2,0)),$AF$4:$AF$6,0),MATCH(IF('Map 2 Do Touch'!H33&gt;4,"Water","Land"),'Map 3'!$AG$3:$AH$3,0)),INDEX($AK$4:$AL$6,MATCH(INDEX($P$3:$S$6,MATCH(MOD('Map 2 Do Touch'!H33,4),$O$3:$O$6,0),MATCH(MOD('Map 2 Do Touch'!H34,4),$P$2:$S$2,0)),'Map 3'!$AJ$4:$AJ$6,0),MATCH(IF('Map 2 Do Touch'!H33&gt;4,"Water","Land"),'Map 3'!$AK$3:$AL$3,0))))</f>
        <v>Flatland</v>
      </c>
      <c r="I38" s="3" t="str">
        <f ca="1">IF('Map 2 Do Touch'!H33&lt;&gt;'Map 2 Do Touch'!H34,IF('Map 2 Do Touch'!I34&gt;4,INDEX($AG$4:$AH$6,MATCH(INDEX($I$3:$L$6,MATCH(MOD('Map 2 Do Touch'!H34,4),$H$3:$H$6,0),MATCH(MOD('Map 2 Do Touch'!I34,4),$I$2:$L$2,0)),$AF$4:$AF$6,0),MATCH(IF('Map 2 Do Touch'!H34&gt;4,"Water","Land"),'Map 3'!$AG$3:$AH$3,0)),INDEX($AK$4:$AL$6,MATCH(INDEX($I$3:$L$6,MATCH(MOD('Map 2 Do Touch'!H34,4),$H$3:$H$6,0),MATCH(MOD('Map 2 Do Touch'!I34,4),$I$2:$L$2,0)),'Map 3'!$AJ$4:$AJ$6,0),MATCH(IF('Map 2 Do Touch'!H34&gt;4,"Water","Land"),'Map 3'!$AK$3:$AL$3,0))),IF('Map 2 Do Touch'!I34&gt;4,INDEX($AG$4:$AH$6,MATCH(INDEX($P$3:$S$6,MATCH(MOD('Map 2 Do Touch'!I33,4),$O$3:$O$6,0),MATCH(MOD('Map 2 Do Touch'!I34,4),$P$2:$S$2,0)),$AF$4:$AF$6,0),MATCH(IF('Map 2 Do Touch'!I33&gt;4,"Water","Land"),'Map 3'!$AG$3:$AH$3,0)),INDEX($AK$4:$AL$6,MATCH(INDEX($P$3:$S$6,MATCH(MOD('Map 2 Do Touch'!I33,4),$O$3:$O$6,0),MATCH(MOD('Map 2 Do Touch'!I34,4),$P$2:$S$2,0)),'Map 3'!$AJ$4:$AJ$6,0),MATCH(IF('Map 2 Do Touch'!I33&gt;4,"Water","Land"),'Map 3'!$AK$3:$AL$3,0))))</f>
        <v>Coast</v>
      </c>
      <c r="J38" s="3" t="str">
        <f ca="1">IF('Map 2 Do Touch'!I33&lt;&gt;'Map 2 Do Touch'!I34,IF('Map 2 Do Touch'!J34&gt;4,INDEX($AG$4:$AH$6,MATCH(INDEX($I$3:$L$6,MATCH(MOD('Map 2 Do Touch'!I34,4),$H$3:$H$6,0),MATCH(MOD('Map 2 Do Touch'!J34,4),$I$2:$L$2,0)),$AF$4:$AF$6,0),MATCH(IF('Map 2 Do Touch'!I34&gt;4,"Water","Land"),'Map 3'!$AG$3:$AH$3,0)),INDEX($AK$4:$AL$6,MATCH(INDEX($I$3:$L$6,MATCH(MOD('Map 2 Do Touch'!I34,4),$H$3:$H$6,0),MATCH(MOD('Map 2 Do Touch'!J34,4),$I$2:$L$2,0)),'Map 3'!$AJ$4:$AJ$6,0),MATCH(IF('Map 2 Do Touch'!I34&gt;4,"Water","Land"),'Map 3'!$AK$3:$AL$3,0))),IF('Map 2 Do Touch'!J34&gt;4,INDEX($AG$4:$AH$6,MATCH(INDEX($P$3:$S$6,MATCH(MOD('Map 2 Do Touch'!J33,4),$O$3:$O$6,0),MATCH(MOD('Map 2 Do Touch'!J34,4),$P$2:$S$2,0)),$AF$4:$AF$6,0),MATCH(IF('Map 2 Do Touch'!J33&gt;4,"Water","Land"),'Map 3'!$AG$3:$AH$3,0)),INDEX($AK$4:$AL$6,MATCH(INDEX($P$3:$S$6,MATCH(MOD('Map 2 Do Touch'!J33,4),$O$3:$O$6,0),MATCH(MOD('Map 2 Do Touch'!J34,4),$P$2:$S$2,0)),'Map 3'!$AJ$4:$AJ$6,0),MATCH(IF('Map 2 Do Touch'!J33&gt;4,"Water","Land"),'Map 3'!$AK$3:$AL$3,0))))</f>
        <v>Ocean</v>
      </c>
      <c r="K38" s="3" t="str">
        <f ca="1">IF('Map 2 Do Touch'!J33&lt;&gt;'Map 2 Do Touch'!J34,IF('Map 2 Do Touch'!K34&gt;4,INDEX($AG$4:$AH$6,MATCH(INDEX($I$3:$L$6,MATCH(MOD('Map 2 Do Touch'!J34,4),$H$3:$H$6,0),MATCH(MOD('Map 2 Do Touch'!K34,4),$I$2:$L$2,0)),$AF$4:$AF$6,0),MATCH(IF('Map 2 Do Touch'!J34&gt;4,"Water","Land"),'Map 3'!$AG$3:$AH$3,0)),INDEX($AK$4:$AL$6,MATCH(INDEX($I$3:$L$6,MATCH(MOD('Map 2 Do Touch'!J34,4),$H$3:$H$6,0),MATCH(MOD('Map 2 Do Touch'!K34,4),$I$2:$L$2,0)),'Map 3'!$AJ$4:$AJ$6,0),MATCH(IF('Map 2 Do Touch'!J34&gt;4,"Water","Land"),'Map 3'!$AK$3:$AL$3,0))),IF('Map 2 Do Touch'!K34&gt;4,INDEX($AG$4:$AH$6,MATCH(INDEX($P$3:$S$6,MATCH(MOD('Map 2 Do Touch'!K33,4),$O$3:$O$6,0),MATCH(MOD('Map 2 Do Touch'!K34,4),$P$2:$S$2,0)),$AF$4:$AF$6,0),MATCH(IF('Map 2 Do Touch'!K33&gt;4,"Water","Land"),'Map 3'!$AG$3:$AH$3,0)),INDEX($AK$4:$AL$6,MATCH(INDEX($P$3:$S$6,MATCH(MOD('Map 2 Do Touch'!K33,4),$O$3:$O$6,0),MATCH(MOD('Map 2 Do Touch'!K34,4),$P$2:$S$2,0)),'Map 3'!$AJ$4:$AJ$6,0),MATCH(IF('Map 2 Do Touch'!K33&gt;4,"Water","Land"),'Map 3'!$AK$3:$AL$3,0))))</f>
        <v>Ocean</v>
      </c>
      <c r="L38" s="3" t="str">
        <f ca="1">IF('Map 2 Do Touch'!K33&lt;&gt;'Map 2 Do Touch'!K34,IF('Map 2 Do Touch'!L34&gt;4,INDEX($AG$4:$AH$6,MATCH(INDEX($I$3:$L$6,MATCH(MOD('Map 2 Do Touch'!K34,4),$H$3:$H$6,0),MATCH(MOD('Map 2 Do Touch'!L34,4),$I$2:$L$2,0)),$AF$4:$AF$6,0),MATCH(IF('Map 2 Do Touch'!K34&gt;4,"Water","Land"),'Map 3'!$AG$3:$AH$3,0)),INDEX($AK$4:$AL$6,MATCH(INDEX($I$3:$L$6,MATCH(MOD('Map 2 Do Touch'!K34,4),$H$3:$H$6,0),MATCH(MOD('Map 2 Do Touch'!L34,4),$I$2:$L$2,0)),'Map 3'!$AJ$4:$AJ$6,0),MATCH(IF('Map 2 Do Touch'!K34&gt;4,"Water","Land"),'Map 3'!$AK$3:$AL$3,0))),IF('Map 2 Do Touch'!L34&gt;4,INDEX($AG$4:$AH$6,MATCH(INDEX($P$3:$S$6,MATCH(MOD('Map 2 Do Touch'!L33,4),$O$3:$O$6,0),MATCH(MOD('Map 2 Do Touch'!L34,4),$P$2:$S$2,0)),$AF$4:$AF$6,0),MATCH(IF('Map 2 Do Touch'!L33&gt;4,"Water","Land"),'Map 3'!$AG$3:$AH$3,0)),INDEX($AK$4:$AL$6,MATCH(INDEX($P$3:$S$6,MATCH(MOD('Map 2 Do Touch'!L33,4),$O$3:$O$6,0),MATCH(MOD('Map 2 Do Touch'!L34,4),$P$2:$S$2,0)),'Map 3'!$AJ$4:$AJ$6,0),MATCH(IF('Map 2 Do Touch'!L33&gt;4,"Water","Land"),'Map 3'!$AK$3:$AL$3,0))))</f>
        <v>Island</v>
      </c>
      <c r="M38" s="3" t="str">
        <f ca="1">IF('Map 2 Do Touch'!L33&lt;&gt;'Map 2 Do Touch'!L34,IF('Map 2 Do Touch'!M34&gt;4,INDEX($AG$4:$AH$6,MATCH(INDEX($I$3:$L$6,MATCH(MOD('Map 2 Do Touch'!L34,4),$H$3:$H$6,0),MATCH(MOD('Map 2 Do Touch'!M34,4),$I$2:$L$2,0)),$AF$4:$AF$6,0),MATCH(IF('Map 2 Do Touch'!L34&gt;4,"Water","Land"),'Map 3'!$AG$3:$AH$3,0)),INDEX($AK$4:$AL$6,MATCH(INDEX($I$3:$L$6,MATCH(MOD('Map 2 Do Touch'!L34,4),$H$3:$H$6,0),MATCH(MOD('Map 2 Do Touch'!M34,4),$I$2:$L$2,0)),'Map 3'!$AJ$4:$AJ$6,0),MATCH(IF('Map 2 Do Touch'!L34&gt;4,"Water","Land"),'Map 3'!$AK$3:$AL$3,0))),IF('Map 2 Do Touch'!M34&gt;4,INDEX($AG$4:$AH$6,MATCH(INDEX($P$3:$S$6,MATCH(MOD('Map 2 Do Touch'!M33,4),$O$3:$O$6,0),MATCH(MOD('Map 2 Do Touch'!M34,4),$P$2:$S$2,0)),$AF$4:$AF$6,0),MATCH(IF('Map 2 Do Touch'!M33&gt;4,"Water","Land"),'Map 3'!$AG$3:$AH$3,0)),INDEX($AK$4:$AL$6,MATCH(INDEX($P$3:$S$6,MATCH(MOD('Map 2 Do Touch'!M33,4),$O$3:$O$6,0),MATCH(MOD('Map 2 Do Touch'!M34,4),$P$2:$S$2,0)),'Map 3'!$AJ$4:$AJ$6,0),MATCH(IF('Map 2 Do Touch'!M33&gt;4,"Water","Land"),'Map 3'!$AK$3:$AL$3,0))))</f>
        <v>Ocean</v>
      </c>
      <c r="N38" s="3" t="str">
        <f ca="1">IF('Map 2 Do Touch'!M33&lt;&gt;'Map 2 Do Touch'!M34,IF('Map 2 Do Touch'!N34&gt;4,INDEX($AG$4:$AH$6,MATCH(INDEX($I$3:$L$6,MATCH(MOD('Map 2 Do Touch'!M34,4),$H$3:$H$6,0),MATCH(MOD('Map 2 Do Touch'!N34,4),$I$2:$L$2,0)),$AF$4:$AF$6,0),MATCH(IF('Map 2 Do Touch'!M34&gt;4,"Water","Land"),'Map 3'!$AG$3:$AH$3,0)),INDEX($AK$4:$AL$6,MATCH(INDEX($I$3:$L$6,MATCH(MOD('Map 2 Do Touch'!M34,4),$H$3:$H$6,0),MATCH(MOD('Map 2 Do Touch'!N34,4),$I$2:$L$2,0)),'Map 3'!$AJ$4:$AJ$6,0),MATCH(IF('Map 2 Do Touch'!M34&gt;4,"Water","Land"),'Map 3'!$AK$3:$AL$3,0))),IF('Map 2 Do Touch'!N34&gt;4,INDEX($AG$4:$AH$6,MATCH(INDEX($P$3:$S$6,MATCH(MOD('Map 2 Do Touch'!N33,4),$O$3:$O$6,0),MATCH(MOD('Map 2 Do Touch'!N34,4),$P$2:$S$2,0)),$AF$4:$AF$6,0),MATCH(IF('Map 2 Do Touch'!N33&gt;4,"Water","Land"),'Map 3'!$AG$3:$AH$3,0)),INDEX($AK$4:$AL$6,MATCH(INDEX($P$3:$S$6,MATCH(MOD('Map 2 Do Touch'!N33,4),$O$3:$O$6,0),MATCH(MOD('Map 2 Do Touch'!N34,4),$P$2:$S$2,0)),'Map 3'!$AJ$4:$AJ$6,0),MATCH(IF('Map 2 Do Touch'!N33&gt;4,"Water","Land"),'Map 3'!$AK$3:$AL$3,0))))</f>
        <v>Island</v>
      </c>
      <c r="O38" s="3" t="str">
        <f ca="1">IF('Map 2 Do Touch'!N33&lt;&gt;'Map 2 Do Touch'!N34,IF('Map 2 Do Touch'!O34&gt;4,INDEX($AG$4:$AH$6,MATCH(INDEX($I$3:$L$6,MATCH(MOD('Map 2 Do Touch'!N34,4),$H$3:$H$6,0),MATCH(MOD('Map 2 Do Touch'!O34,4),$I$2:$L$2,0)),$AF$4:$AF$6,0),MATCH(IF('Map 2 Do Touch'!N34&gt;4,"Water","Land"),'Map 3'!$AG$3:$AH$3,0)),INDEX($AK$4:$AL$6,MATCH(INDEX($I$3:$L$6,MATCH(MOD('Map 2 Do Touch'!N34,4),$H$3:$H$6,0),MATCH(MOD('Map 2 Do Touch'!O34,4),$I$2:$L$2,0)),'Map 3'!$AJ$4:$AJ$6,0),MATCH(IF('Map 2 Do Touch'!N34&gt;4,"Water","Land"),'Map 3'!$AK$3:$AL$3,0))),IF('Map 2 Do Touch'!O34&gt;4,INDEX($AG$4:$AH$6,MATCH(INDEX($P$3:$S$6,MATCH(MOD('Map 2 Do Touch'!O33,4),$O$3:$O$6,0),MATCH(MOD('Map 2 Do Touch'!O34,4),$P$2:$S$2,0)),$AF$4:$AF$6,0),MATCH(IF('Map 2 Do Touch'!O33&gt;4,"Water","Land"),'Map 3'!$AG$3:$AH$3,0)),INDEX($AK$4:$AL$6,MATCH(INDEX($P$3:$S$6,MATCH(MOD('Map 2 Do Touch'!O33,4),$O$3:$O$6,0),MATCH(MOD('Map 2 Do Touch'!O34,4),$P$2:$S$2,0)),'Map 3'!$AJ$4:$AJ$6,0),MATCH(IF('Map 2 Do Touch'!O33&gt;4,"Water","Land"),'Map 3'!$AK$3:$AL$3,0))))</f>
        <v>Ocean</v>
      </c>
      <c r="P38" s="3" t="str">
        <f ca="1">IF('Map 2 Do Touch'!O33&lt;&gt;'Map 2 Do Touch'!O34,IF('Map 2 Do Touch'!P34&gt;4,INDEX($AG$4:$AH$6,MATCH(INDEX($I$3:$L$6,MATCH(MOD('Map 2 Do Touch'!O34,4),$H$3:$H$6,0),MATCH(MOD('Map 2 Do Touch'!P34,4),$I$2:$L$2,0)),$AF$4:$AF$6,0),MATCH(IF('Map 2 Do Touch'!O34&gt;4,"Water","Land"),'Map 3'!$AG$3:$AH$3,0)),INDEX($AK$4:$AL$6,MATCH(INDEX($I$3:$L$6,MATCH(MOD('Map 2 Do Touch'!O34,4),$H$3:$H$6,0),MATCH(MOD('Map 2 Do Touch'!P34,4),$I$2:$L$2,0)),'Map 3'!$AJ$4:$AJ$6,0),MATCH(IF('Map 2 Do Touch'!O34&gt;4,"Water","Land"),'Map 3'!$AK$3:$AL$3,0))),IF('Map 2 Do Touch'!P34&gt;4,INDEX($AG$4:$AH$6,MATCH(INDEX($P$3:$S$6,MATCH(MOD('Map 2 Do Touch'!P33,4),$O$3:$O$6,0),MATCH(MOD('Map 2 Do Touch'!P34,4),$P$2:$S$2,0)),$AF$4:$AF$6,0),MATCH(IF('Map 2 Do Touch'!P33&gt;4,"Water","Land"),'Map 3'!$AG$3:$AH$3,0)),INDEX($AK$4:$AL$6,MATCH(INDEX($P$3:$S$6,MATCH(MOD('Map 2 Do Touch'!P33,4),$O$3:$O$6,0),MATCH(MOD('Map 2 Do Touch'!P34,4),$P$2:$S$2,0)),'Map 3'!$AJ$4:$AJ$6,0),MATCH(IF('Map 2 Do Touch'!P33&gt;4,"Water","Land"),'Map 3'!$AK$3:$AL$3,0))))</f>
        <v>Ocean</v>
      </c>
      <c r="Q38" s="3" t="str">
        <f ca="1">IF('Map 2 Do Touch'!P33&lt;&gt;'Map 2 Do Touch'!P34,IF('Map 2 Do Touch'!Q34&gt;4,INDEX($AG$4:$AH$6,MATCH(INDEX($I$3:$L$6,MATCH(MOD('Map 2 Do Touch'!P34,4),$H$3:$H$6,0),MATCH(MOD('Map 2 Do Touch'!Q34,4),$I$2:$L$2,0)),$AF$4:$AF$6,0),MATCH(IF('Map 2 Do Touch'!P34&gt;4,"Water","Land"),'Map 3'!$AG$3:$AH$3,0)),INDEX($AK$4:$AL$6,MATCH(INDEX($I$3:$L$6,MATCH(MOD('Map 2 Do Touch'!P34,4),$H$3:$H$6,0),MATCH(MOD('Map 2 Do Touch'!Q34,4),$I$2:$L$2,0)),'Map 3'!$AJ$4:$AJ$6,0),MATCH(IF('Map 2 Do Touch'!P34&gt;4,"Water","Land"),'Map 3'!$AK$3:$AL$3,0))),IF('Map 2 Do Touch'!Q34&gt;4,INDEX($AG$4:$AH$6,MATCH(INDEX($P$3:$S$6,MATCH(MOD('Map 2 Do Touch'!Q33,4),$O$3:$O$6,0),MATCH(MOD('Map 2 Do Touch'!Q34,4),$P$2:$S$2,0)),$AF$4:$AF$6,0),MATCH(IF('Map 2 Do Touch'!Q33&gt;4,"Water","Land"),'Map 3'!$AG$3:$AH$3,0)),INDEX($AK$4:$AL$6,MATCH(INDEX($P$3:$S$6,MATCH(MOD('Map 2 Do Touch'!Q33,4),$O$3:$O$6,0),MATCH(MOD('Map 2 Do Touch'!Q34,4),$P$2:$S$2,0)),'Map 3'!$AJ$4:$AJ$6,0),MATCH(IF('Map 2 Do Touch'!Q33&gt;4,"Water","Land"),'Map 3'!$AK$3:$AL$3,0))))</f>
        <v>Ocean</v>
      </c>
      <c r="R38" s="3" t="str">
        <f ca="1">IF('Map 2 Do Touch'!Q33&lt;&gt;'Map 2 Do Touch'!Q34,IF('Map 2 Do Touch'!R34&gt;4,INDEX($AG$4:$AH$6,MATCH(INDEX($I$3:$L$6,MATCH(MOD('Map 2 Do Touch'!Q34,4),$H$3:$H$6,0),MATCH(MOD('Map 2 Do Touch'!R34,4),$I$2:$L$2,0)),$AF$4:$AF$6,0),MATCH(IF('Map 2 Do Touch'!Q34&gt;4,"Water","Land"),'Map 3'!$AG$3:$AH$3,0)),INDEX($AK$4:$AL$6,MATCH(INDEX($I$3:$L$6,MATCH(MOD('Map 2 Do Touch'!Q34,4),$H$3:$H$6,0),MATCH(MOD('Map 2 Do Touch'!R34,4),$I$2:$L$2,0)),'Map 3'!$AJ$4:$AJ$6,0),MATCH(IF('Map 2 Do Touch'!Q34&gt;4,"Water","Land"),'Map 3'!$AK$3:$AL$3,0))),IF('Map 2 Do Touch'!R34&gt;4,INDEX($AG$4:$AH$6,MATCH(INDEX($P$3:$S$6,MATCH(MOD('Map 2 Do Touch'!R33,4),$O$3:$O$6,0),MATCH(MOD('Map 2 Do Touch'!R34,4),$P$2:$S$2,0)),$AF$4:$AF$6,0),MATCH(IF('Map 2 Do Touch'!R33&gt;4,"Water","Land"),'Map 3'!$AG$3:$AH$3,0)),INDEX($AK$4:$AL$6,MATCH(INDEX($P$3:$S$6,MATCH(MOD('Map 2 Do Touch'!R33,4),$O$3:$O$6,0),MATCH(MOD('Map 2 Do Touch'!R34,4),$P$2:$S$2,0)),'Map 3'!$AJ$4:$AJ$6,0),MATCH(IF('Map 2 Do Touch'!R33&gt;4,"Water","Land"),'Map 3'!$AK$3:$AL$3,0))))</f>
        <v>Island</v>
      </c>
      <c r="S38" s="3" t="str">
        <f ca="1">IF('Map 2 Do Touch'!R33&lt;&gt;'Map 2 Do Touch'!R34,IF('Map 2 Do Touch'!S34&gt;4,INDEX($AG$4:$AH$6,MATCH(INDEX($I$3:$L$6,MATCH(MOD('Map 2 Do Touch'!R34,4),$H$3:$H$6,0),MATCH(MOD('Map 2 Do Touch'!S34,4),$I$2:$L$2,0)),$AF$4:$AF$6,0),MATCH(IF('Map 2 Do Touch'!R34&gt;4,"Water","Land"),'Map 3'!$AG$3:$AH$3,0)),INDEX($AK$4:$AL$6,MATCH(INDEX($I$3:$L$6,MATCH(MOD('Map 2 Do Touch'!R34,4),$H$3:$H$6,0),MATCH(MOD('Map 2 Do Touch'!S34,4),$I$2:$L$2,0)),'Map 3'!$AJ$4:$AJ$6,0),MATCH(IF('Map 2 Do Touch'!R34&gt;4,"Water","Land"),'Map 3'!$AK$3:$AL$3,0))),IF('Map 2 Do Touch'!S34&gt;4,INDEX($AG$4:$AH$6,MATCH(INDEX($P$3:$S$6,MATCH(MOD('Map 2 Do Touch'!S33,4),$O$3:$O$6,0),MATCH(MOD('Map 2 Do Touch'!S34,4),$P$2:$S$2,0)),$AF$4:$AF$6,0),MATCH(IF('Map 2 Do Touch'!S33&gt;4,"Water","Land"),'Map 3'!$AG$3:$AH$3,0)),INDEX($AK$4:$AL$6,MATCH(INDEX($P$3:$S$6,MATCH(MOD('Map 2 Do Touch'!S33,4),$O$3:$O$6,0),MATCH(MOD('Map 2 Do Touch'!S34,4),$P$2:$S$2,0)),'Map 3'!$AJ$4:$AJ$6,0),MATCH(IF('Map 2 Do Touch'!S33&gt;4,"Water","Land"),'Map 3'!$AK$3:$AL$3,0))))</f>
        <v>Ocean</v>
      </c>
      <c r="T38" s="3" t="str">
        <f ca="1">IF('Map 2 Do Touch'!S33&lt;&gt;'Map 2 Do Touch'!S34,IF('Map 2 Do Touch'!T34&gt;4,INDEX($AG$4:$AH$6,MATCH(INDEX($I$3:$L$6,MATCH(MOD('Map 2 Do Touch'!S34,4),$H$3:$H$6,0),MATCH(MOD('Map 2 Do Touch'!T34,4),$I$2:$L$2,0)),$AF$4:$AF$6,0),MATCH(IF('Map 2 Do Touch'!S34&gt;4,"Water","Land"),'Map 3'!$AG$3:$AH$3,0)),INDEX($AK$4:$AL$6,MATCH(INDEX($I$3:$L$6,MATCH(MOD('Map 2 Do Touch'!S34,4),$H$3:$H$6,0),MATCH(MOD('Map 2 Do Touch'!T34,4),$I$2:$L$2,0)),'Map 3'!$AJ$4:$AJ$6,0),MATCH(IF('Map 2 Do Touch'!S34&gt;4,"Water","Land"),'Map 3'!$AK$3:$AL$3,0))),IF('Map 2 Do Touch'!T34&gt;4,INDEX($AG$4:$AH$6,MATCH(INDEX($P$3:$S$6,MATCH(MOD('Map 2 Do Touch'!T33,4),$O$3:$O$6,0),MATCH(MOD('Map 2 Do Touch'!T34,4),$P$2:$S$2,0)),$AF$4:$AF$6,0),MATCH(IF('Map 2 Do Touch'!T33&gt;4,"Water","Land"),'Map 3'!$AG$3:$AH$3,0)),INDEX($AK$4:$AL$6,MATCH(INDEX($P$3:$S$6,MATCH(MOD('Map 2 Do Touch'!T33,4),$O$3:$O$6,0),MATCH(MOD('Map 2 Do Touch'!T34,4),$P$2:$S$2,0)),'Map 3'!$AJ$4:$AJ$6,0),MATCH(IF('Map 2 Do Touch'!T33&gt;4,"Water","Land"),'Map 3'!$AK$3:$AL$3,0))))</f>
        <v>Ocean</v>
      </c>
      <c r="U38" s="3" t="str">
        <f ca="1">IF('Map 2 Do Touch'!T33&lt;&gt;'Map 2 Do Touch'!T34,IF('Map 2 Do Touch'!U34&gt;4,INDEX($AG$4:$AH$6,MATCH(INDEX($I$3:$L$6,MATCH(MOD('Map 2 Do Touch'!T34,4),$H$3:$H$6,0),MATCH(MOD('Map 2 Do Touch'!U34,4),$I$2:$L$2,0)),$AF$4:$AF$6,0),MATCH(IF('Map 2 Do Touch'!T34&gt;4,"Water","Land"),'Map 3'!$AG$3:$AH$3,0)),INDEX($AK$4:$AL$6,MATCH(INDEX($I$3:$L$6,MATCH(MOD('Map 2 Do Touch'!T34,4),$H$3:$H$6,0),MATCH(MOD('Map 2 Do Touch'!U34,4),$I$2:$L$2,0)),'Map 3'!$AJ$4:$AJ$6,0),MATCH(IF('Map 2 Do Touch'!T34&gt;4,"Water","Land"),'Map 3'!$AK$3:$AL$3,0))),IF('Map 2 Do Touch'!U34&gt;4,INDEX($AG$4:$AH$6,MATCH(INDEX($P$3:$S$6,MATCH(MOD('Map 2 Do Touch'!U33,4),$O$3:$O$6,0),MATCH(MOD('Map 2 Do Touch'!U34,4),$P$2:$S$2,0)),$AF$4:$AF$6,0),MATCH(IF('Map 2 Do Touch'!U33&gt;4,"Water","Land"),'Map 3'!$AG$3:$AH$3,0)),INDEX($AK$4:$AL$6,MATCH(INDEX($P$3:$S$6,MATCH(MOD('Map 2 Do Touch'!U33,4),$O$3:$O$6,0),MATCH(MOD('Map 2 Do Touch'!U34,4),$P$2:$S$2,0)),'Map 3'!$AJ$4:$AJ$6,0),MATCH(IF('Map 2 Do Touch'!U33&gt;4,"Water","Land"),'Map 3'!$AK$3:$AL$3,0))))</f>
        <v>Trench</v>
      </c>
      <c r="V38" s="3" t="str">
        <f ca="1">IF('Map 2 Do Touch'!U33&lt;&gt;'Map 2 Do Touch'!U34,IF('Map 2 Do Touch'!V34&gt;4,INDEX($AG$4:$AH$6,MATCH(INDEX($I$3:$L$6,MATCH(MOD('Map 2 Do Touch'!U34,4),$H$3:$H$6,0),MATCH(MOD('Map 2 Do Touch'!V34,4),$I$2:$L$2,0)),$AF$4:$AF$6,0),MATCH(IF('Map 2 Do Touch'!U34&gt;4,"Water","Land"),'Map 3'!$AG$3:$AH$3,0)),INDEX($AK$4:$AL$6,MATCH(INDEX($I$3:$L$6,MATCH(MOD('Map 2 Do Touch'!U34,4),$H$3:$H$6,0),MATCH(MOD('Map 2 Do Touch'!V34,4),$I$2:$L$2,0)),'Map 3'!$AJ$4:$AJ$6,0),MATCH(IF('Map 2 Do Touch'!U34&gt;4,"Water","Land"),'Map 3'!$AK$3:$AL$3,0))),IF('Map 2 Do Touch'!V34&gt;4,INDEX($AG$4:$AH$6,MATCH(INDEX($P$3:$S$6,MATCH(MOD('Map 2 Do Touch'!V33,4),$O$3:$O$6,0),MATCH(MOD('Map 2 Do Touch'!V34,4),$P$2:$S$2,0)),$AF$4:$AF$6,0),MATCH(IF('Map 2 Do Touch'!V33&gt;4,"Water","Land"),'Map 3'!$AG$3:$AH$3,0)),INDEX($AK$4:$AL$6,MATCH(INDEX($P$3:$S$6,MATCH(MOD('Map 2 Do Touch'!V33,4),$O$3:$O$6,0),MATCH(MOD('Map 2 Do Touch'!V34,4),$P$2:$S$2,0)),'Map 3'!$AJ$4:$AJ$6,0),MATCH(IF('Map 2 Do Touch'!V33&gt;4,"Water","Land"),'Map 3'!$AK$3:$AL$3,0))))</f>
        <v>Island</v>
      </c>
      <c r="W38" s="3" t="str">
        <f ca="1">IF('Map 2 Do Touch'!V33&lt;&gt;'Map 2 Do Touch'!V34,IF('Map 2 Do Touch'!W34&gt;4,INDEX($AG$4:$AH$6,MATCH(INDEX($I$3:$L$6,MATCH(MOD('Map 2 Do Touch'!V34,4),$H$3:$H$6,0),MATCH(MOD('Map 2 Do Touch'!W34,4),$I$2:$L$2,0)),$AF$4:$AF$6,0),MATCH(IF('Map 2 Do Touch'!V34&gt;4,"Water","Land"),'Map 3'!$AG$3:$AH$3,0)),INDEX($AK$4:$AL$6,MATCH(INDEX($I$3:$L$6,MATCH(MOD('Map 2 Do Touch'!V34,4),$H$3:$H$6,0),MATCH(MOD('Map 2 Do Touch'!W34,4),$I$2:$L$2,0)),'Map 3'!$AJ$4:$AJ$6,0),MATCH(IF('Map 2 Do Touch'!V34&gt;4,"Water","Land"),'Map 3'!$AK$3:$AL$3,0))),IF('Map 2 Do Touch'!W34&gt;4,INDEX($AG$4:$AH$6,MATCH(INDEX($P$3:$S$6,MATCH(MOD('Map 2 Do Touch'!W33,4),$O$3:$O$6,0),MATCH(MOD('Map 2 Do Touch'!W34,4),$P$2:$S$2,0)),$AF$4:$AF$6,0),MATCH(IF('Map 2 Do Touch'!W33&gt;4,"Water","Land"),'Map 3'!$AG$3:$AH$3,0)),INDEX($AK$4:$AL$6,MATCH(INDEX($P$3:$S$6,MATCH(MOD('Map 2 Do Touch'!W33,4),$O$3:$O$6,0),MATCH(MOD('Map 2 Do Touch'!W34,4),$P$2:$S$2,0)),'Map 3'!$AJ$4:$AJ$6,0),MATCH(IF('Map 2 Do Touch'!W33&gt;4,"Water","Land"),'Map 3'!$AK$3:$AL$3,0))))</f>
        <v>Trench</v>
      </c>
      <c r="X38" s="3" t="str">
        <f ca="1">IF('Map 2 Do Touch'!W33&lt;&gt;'Map 2 Do Touch'!W34,IF('Map 2 Do Touch'!X34&gt;4,INDEX($AG$4:$AH$6,MATCH(INDEX($I$3:$L$6,MATCH(MOD('Map 2 Do Touch'!W34,4),$H$3:$H$6,0),MATCH(MOD('Map 2 Do Touch'!X34,4),$I$2:$L$2,0)),$AF$4:$AF$6,0),MATCH(IF('Map 2 Do Touch'!W34&gt;4,"Water","Land"),'Map 3'!$AG$3:$AH$3,0)),INDEX($AK$4:$AL$6,MATCH(INDEX($I$3:$L$6,MATCH(MOD('Map 2 Do Touch'!W34,4),$H$3:$H$6,0),MATCH(MOD('Map 2 Do Touch'!X34,4),$I$2:$L$2,0)),'Map 3'!$AJ$4:$AJ$6,0),MATCH(IF('Map 2 Do Touch'!W34&gt;4,"Water","Land"),'Map 3'!$AK$3:$AL$3,0))),IF('Map 2 Do Touch'!X34&gt;4,INDEX($AG$4:$AH$6,MATCH(INDEX($P$3:$S$6,MATCH(MOD('Map 2 Do Touch'!X33,4),$O$3:$O$6,0),MATCH(MOD('Map 2 Do Touch'!X34,4),$P$2:$S$2,0)),$AF$4:$AF$6,0),MATCH(IF('Map 2 Do Touch'!X33&gt;4,"Water","Land"),'Map 3'!$AG$3:$AH$3,0)),INDEX($AK$4:$AL$6,MATCH(INDEX($P$3:$S$6,MATCH(MOD('Map 2 Do Touch'!X33,4),$O$3:$O$6,0),MATCH(MOD('Map 2 Do Touch'!X34,4),$P$2:$S$2,0)),'Map 3'!$AJ$4:$AJ$6,0),MATCH(IF('Map 2 Do Touch'!X33&gt;4,"Water","Land"),'Map 3'!$AK$3:$AL$3,0))))</f>
        <v>Ocean</v>
      </c>
      <c r="Y38" s="3" t="str">
        <f ca="1">IF('Map 2 Do Touch'!X33&lt;&gt;'Map 2 Do Touch'!X34,IF('Map 2 Do Touch'!Y34&gt;4,INDEX($AG$4:$AH$6,MATCH(INDEX($I$3:$L$6,MATCH(MOD('Map 2 Do Touch'!X34,4),$H$3:$H$6,0),MATCH(MOD('Map 2 Do Touch'!Y34,4),$I$2:$L$2,0)),$AF$4:$AF$6,0),MATCH(IF('Map 2 Do Touch'!X34&gt;4,"Water","Land"),'Map 3'!$AG$3:$AH$3,0)),INDEX($AK$4:$AL$6,MATCH(INDEX($I$3:$L$6,MATCH(MOD('Map 2 Do Touch'!X34,4),$H$3:$H$6,0),MATCH(MOD('Map 2 Do Touch'!Y34,4),$I$2:$L$2,0)),'Map 3'!$AJ$4:$AJ$6,0),MATCH(IF('Map 2 Do Touch'!X34&gt;4,"Water","Land"),'Map 3'!$AK$3:$AL$3,0))),IF('Map 2 Do Touch'!Y34&gt;4,INDEX($AG$4:$AH$6,MATCH(INDEX($P$3:$S$6,MATCH(MOD('Map 2 Do Touch'!Y33,4),$O$3:$O$6,0),MATCH(MOD('Map 2 Do Touch'!Y34,4),$P$2:$S$2,0)),$AF$4:$AF$6,0),MATCH(IF('Map 2 Do Touch'!Y33&gt;4,"Water","Land"),'Map 3'!$AG$3:$AH$3,0)),INDEX($AK$4:$AL$6,MATCH(INDEX($P$3:$S$6,MATCH(MOD('Map 2 Do Touch'!Y33,4),$O$3:$O$6,0),MATCH(MOD('Map 2 Do Touch'!Y34,4),$P$2:$S$2,0)),'Map 3'!$AJ$4:$AJ$6,0),MATCH(IF('Map 2 Do Touch'!Y33&gt;4,"Water","Land"),'Map 3'!$AK$3:$AL$3,0))))</f>
        <v>Ocean</v>
      </c>
      <c r="Z38" s="3" t="str">
        <f ca="1">IF('Map 2 Do Touch'!Y33&lt;&gt;'Map 2 Do Touch'!Y34,IF('Map 2 Do Touch'!Z34&gt;4,INDEX($AG$4:$AH$6,MATCH(INDEX($I$3:$L$6,MATCH(MOD('Map 2 Do Touch'!Y34,4),$H$3:$H$6,0),MATCH(MOD('Map 2 Do Touch'!Z34,4),$I$2:$L$2,0)),$AF$4:$AF$6,0),MATCH(IF('Map 2 Do Touch'!Y34&gt;4,"Water","Land"),'Map 3'!$AG$3:$AH$3,0)),INDEX($AK$4:$AL$6,MATCH(INDEX($I$3:$L$6,MATCH(MOD('Map 2 Do Touch'!Y34,4),$H$3:$H$6,0),MATCH(MOD('Map 2 Do Touch'!Z34,4),$I$2:$L$2,0)),'Map 3'!$AJ$4:$AJ$6,0),MATCH(IF('Map 2 Do Touch'!Y34&gt;4,"Water","Land"),'Map 3'!$AK$3:$AL$3,0))),IF('Map 2 Do Touch'!Z34&gt;4,INDEX($AG$4:$AH$6,MATCH(INDEX($P$3:$S$6,MATCH(MOD('Map 2 Do Touch'!Z33,4),$O$3:$O$6,0),MATCH(MOD('Map 2 Do Touch'!Z34,4),$P$2:$S$2,0)),$AF$4:$AF$6,0),MATCH(IF('Map 2 Do Touch'!Z33&gt;4,"Water","Land"),'Map 3'!$AG$3:$AH$3,0)),INDEX($AK$4:$AL$6,MATCH(INDEX($P$3:$S$6,MATCH(MOD('Map 2 Do Touch'!Z33,4),$O$3:$O$6,0),MATCH(MOD('Map 2 Do Touch'!Z34,4),$P$2:$S$2,0)),'Map 3'!$AJ$4:$AJ$6,0),MATCH(IF('Map 2 Do Touch'!Z33&gt;4,"Water","Land"),'Map 3'!$AK$3:$AL$3,0))))</f>
        <v>Trench</v>
      </c>
      <c r="AA38" s="3" t="str">
        <f ca="1">IF('Map 2 Do Touch'!Z33&lt;&gt;'Map 2 Do Touch'!Z34,IF('Map 2 Do Touch'!AA34&gt;4,INDEX($AG$4:$AH$6,MATCH(INDEX($I$3:$L$6,MATCH(MOD('Map 2 Do Touch'!Z34,4),$H$3:$H$6,0),MATCH(MOD('Map 2 Do Touch'!AA34,4),$I$2:$L$2,0)),$AF$4:$AF$6,0),MATCH(IF('Map 2 Do Touch'!Z34&gt;4,"Water","Land"),'Map 3'!$AG$3:$AH$3,0)),INDEX($AK$4:$AL$6,MATCH(INDEX($I$3:$L$6,MATCH(MOD('Map 2 Do Touch'!Z34,4),$H$3:$H$6,0),MATCH(MOD('Map 2 Do Touch'!AA34,4),$I$2:$L$2,0)),'Map 3'!$AJ$4:$AJ$6,0),MATCH(IF('Map 2 Do Touch'!Z34&gt;4,"Water","Land"),'Map 3'!$AK$3:$AL$3,0))),IF('Map 2 Do Touch'!AA34&gt;4,INDEX($AG$4:$AH$6,MATCH(INDEX($P$3:$S$6,MATCH(MOD('Map 2 Do Touch'!AA33,4),$O$3:$O$6,0),MATCH(MOD('Map 2 Do Touch'!AA34,4),$P$2:$S$2,0)),$AF$4:$AF$6,0),MATCH(IF('Map 2 Do Touch'!AA33&gt;4,"Water","Land"),'Map 3'!$AG$3:$AH$3,0)),INDEX($AK$4:$AL$6,MATCH(INDEX($P$3:$S$6,MATCH(MOD('Map 2 Do Touch'!AA33,4),$O$3:$O$6,0),MATCH(MOD('Map 2 Do Touch'!AA34,4),$P$2:$S$2,0)),'Map 3'!$AJ$4:$AJ$6,0),MATCH(IF('Map 2 Do Touch'!AA33&gt;4,"Water","Land"),'Map 3'!$AK$3:$AL$3,0))))</f>
        <v>Ocean</v>
      </c>
      <c r="AB38" s="3" t="str">
        <f ca="1">IF('Map 2 Do Touch'!AA33&lt;&gt;'Map 2 Do Touch'!AA34,IF('Map 2 Do Touch'!AB34&gt;4,INDEX($AG$4:$AH$6,MATCH(INDEX($I$3:$L$6,MATCH(MOD('Map 2 Do Touch'!AA34,4),$H$3:$H$6,0),MATCH(MOD('Map 2 Do Touch'!AB34,4),$I$2:$L$2,0)),$AF$4:$AF$6,0),MATCH(IF('Map 2 Do Touch'!AA34&gt;4,"Water","Land"),'Map 3'!$AG$3:$AH$3,0)),INDEX($AK$4:$AL$6,MATCH(INDEX($I$3:$L$6,MATCH(MOD('Map 2 Do Touch'!AA34,4),$H$3:$H$6,0),MATCH(MOD('Map 2 Do Touch'!AB34,4),$I$2:$L$2,0)),'Map 3'!$AJ$4:$AJ$6,0),MATCH(IF('Map 2 Do Touch'!AA34&gt;4,"Water","Land"),'Map 3'!$AK$3:$AL$3,0))),IF('Map 2 Do Touch'!AB34&gt;4,INDEX($AG$4:$AH$6,MATCH(INDEX($P$3:$S$6,MATCH(MOD('Map 2 Do Touch'!AB33,4),$O$3:$O$6,0),MATCH(MOD('Map 2 Do Touch'!AB34,4),$P$2:$S$2,0)),$AF$4:$AF$6,0),MATCH(IF('Map 2 Do Touch'!AB33&gt;4,"Water","Land"),'Map 3'!$AG$3:$AH$3,0)),INDEX($AK$4:$AL$6,MATCH(INDEX($P$3:$S$6,MATCH(MOD('Map 2 Do Touch'!AB33,4),$O$3:$O$6,0),MATCH(MOD('Map 2 Do Touch'!AB34,4),$P$2:$S$2,0)),'Map 3'!$AJ$4:$AJ$6,0),MATCH(IF('Map 2 Do Touch'!AB33&gt;4,"Water","Land"),'Map 3'!$AK$3:$AL$3,0))))</f>
        <v>Ocean</v>
      </c>
      <c r="AC38" s="3" t="str">
        <f ca="1">IF('Map 2 Do Touch'!AB33&lt;&gt;'Map 2 Do Touch'!AB34,IF('Map 2 Do Touch'!AC34&gt;4,INDEX($AG$4:$AH$6,MATCH(INDEX($I$3:$L$6,MATCH(MOD('Map 2 Do Touch'!AB34,4),$H$3:$H$6,0),MATCH(MOD('Map 2 Do Touch'!AC34,4),$I$2:$L$2,0)),$AF$4:$AF$6,0),MATCH(IF('Map 2 Do Touch'!AB34&gt;4,"Water","Land"),'Map 3'!$AG$3:$AH$3,0)),INDEX($AK$4:$AL$6,MATCH(INDEX($I$3:$L$6,MATCH(MOD('Map 2 Do Touch'!AB34,4),$H$3:$H$6,0),MATCH(MOD('Map 2 Do Touch'!AC34,4),$I$2:$L$2,0)),'Map 3'!$AJ$4:$AJ$6,0),MATCH(IF('Map 2 Do Touch'!AB34&gt;4,"Water","Land"),'Map 3'!$AK$3:$AL$3,0))),IF('Map 2 Do Touch'!AC34&gt;4,INDEX($AG$4:$AH$6,MATCH(INDEX($P$3:$S$6,MATCH(MOD('Map 2 Do Touch'!AC33,4),$O$3:$O$6,0),MATCH(MOD('Map 2 Do Touch'!AC34,4),$P$2:$S$2,0)),$AF$4:$AF$6,0),MATCH(IF('Map 2 Do Touch'!AC33&gt;4,"Water","Land"),'Map 3'!$AG$3:$AH$3,0)),INDEX($AK$4:$AL$6,MATCH(INDEX($P$3:$S$6,MATCH(MOD('Map 2 Do Touch'!AC33,4),$O$3:$O$6,0),MATCH(MOD('Map 2 Do Touch'!AC34,4),$P$2:$S$2,0)),'Map 3'!$AJ$4:$AJ$6,0),MATCH(IF('Map 2 Do Touch'!AC33&gt;4,"Water","Land"),'Map 3'!$AK$3:$AL$3,0))))</f>
        <v>Ocean</v>
      </c>
      <c r="AD38" s="3" t="str">
        <f ca="1">IF('Map 2 Do Touch'!AC33&lt;&gt;'Map 2 Do Touch'!AC34,IF('Map 2 Do Touch'!AD34&gt;4,INDEX($AG$4:$AH$6,MATCH(INDEX($I$3:$L$6,MATCH(MOD('Map 2 Do Touch'!AC34,4),$H$3:$H$6,0),MATCH(MOD('Map 2 Do Touch'!AD34,4),$I$2:$L$2,0)),$AF$4:$AF$6,0),MATCH(IF('Map 2 Do Touch'!AC34&gt;4,"Water","Land"),'Map 3'!$AG$3:$AH$3,0)),INDEX($AK$4:$AL$6,MATCH(INDEX($I$3:$L$6,MATCH(MOD('Map 2 Do Touch'!AC34,4),$H$3:$H$6,0),MATCH(MOD('Map 2 Do Touch'!AD34,4),$I$2:$L$2,0)),'Map 3'!$AJ$4:$AJ$6,0),MATCH(IF('Map 2 Do Touch'!AC34&gt;4,"Water","Land"),'Map 3'!$AK$3:$AL$3,0))),IF('Map 2 Do Touch'!AD34&gt;4,INDEX($AG$4:$AH$6,MATCH(INDEX($P$3:$S$6,MATCH(MOD('Map 2 Do Touch'!AD33,4),$O$3:$O$6,0),MATCH(MOD('Map 2 Do Touch'!AD34,4),$P$2:$S$2,0)),$AF$4:$AF$6,0),MATCH(IF('Map 2 Do Touch'!AD33&gt;4,"Water","Land"),'Map 3'!$AG$3:$AH$3,0)),INDEX($AK$4:$AL$6,MATCH(INDEX($P$3:$S$6,MATCH(MOD('Map 2 Do Touch'!AD33,4),$O$3:$O$6,0),MATCH(MOD('Map 2 Do Touch'!AD34,4),$P$2:$S$2,0)),'Map 3'!$AJ$4:$AJ$6,0),MATCH(IF('Map 2 Do Touch'!AD33&gt;4,"Water","Land"),'Map 3'!$AK$3:$AL$3,0))))</f>
        <v>Ocean</v>
      </c>
      <c r="AE38" s="3" t="str">
        <f ca="1">IF('Map 2 Do Touch'!AD33&lt;&gt;'Map 2 Do Touch'!AD34,IF('Map 2 Do Touch'!AE34&gt;4,INDEX($AG$4:$AH$6,MATCH(INDEX($I$3:$L$6,MATCH(MOD('Map 2 Do Touch'!AD34,4),$H$3:$H$6,0),MATCH(MOD('Map 2 Do Touch'!AE34,4),$I$2:$L$2,0)),$AF$4:$AF$6,0),MATCH(IF('Map 2 Do Touch'!AD34&gt;4,"Water","Land"),'Map 3'!$AG$3:$AH$3,0)),INDEX($AK$4:$AL$6,MATCH(INDEX($I$3:$L$6,MATCH(MOD('Map 2 Do Touch'!AD34,4),$H$3:$H$6,0),MATCH(MOD('Map 2 Do Touch'!AE34,4),$I$2:$L$2,0)),'Map 3'!$AJ$4:$AJ$6,0),MATCH(IF('Map 2 Do Touch'!AD34&gt;4,"Water","Land"),'Map 3'!$AK$3:$AL$3,0))),IF('Map 2 Do Touch'!AE34&gt;4,INDEX($AG$4:$AH$6,MATCH(INDEX($P$3:$S$6,MATCH(MOD('Map 2 Do Touch'!AE33,4),$O$3:$O$6,0),MATCH(MOD('Map 2 Do Touch'!AE34,4),$P$2:$S$2,0)),$AF$4:$AF$6,0),MATCH(IF('Map 2 Do Touch'!AE33&gt;4,"Water","Land"),'Map 3'!$AG$3:$AH$3,0)),INDEX($AK$4:$AL$6,MATCH(INDEX($P$3:$S$6,MATCH(MOD('Map 2 Do Touch'!AE33,4),$O$3:$O$6,0),MATCH(MOD('Map 2 Do Touch'!AE34,4),$P$2:$S$2,0)),'Map 3'!$AJ$4:$AJ$6,0),MATCH(IF('Map 2 Do Touch'!AE33&gt;4,"Water","Land"),'Map 3'!$AK$3:$AL$3,0))))</f>
        <v>Ocean</v>
      </c>
      <c r="AF38" s="3" t="str">
        <f ca="1">IF('Map 2 Do Touch'!AE33&lt;&gt;'Map 2 Do Touch'!AE34,IF('Map 2 Do Touch'!AF34&gt;4,INDEX($AG$4:$AH$6,MATCH(INDEX($I$3:$L$6,MATCH(MOD('Map 2 Do Touch'!AE34,4),$H$3:$H$6,0),MATCH(MOD('Map 2 Do Touch'!AF34,4),$I$2:$L$2,0)),$AF$4:$AF$6,0),MATCH(IF('Map 2 Do Touch'!AE34&gt;4,"Water","Land"),'Map 3'!$AG$3:$AH$3,0)),INDEX($AK$4:$AL$6,MATCH(INDEX($I$3:$L$6,MATCH(MOD('Map 2 Do Touch'!AE34,4),$H$3:$H$6,0),MATCH(MOD('Map 2 Do Touch'!AF34,4),$I$2:$L$2,0)),'Map 3'!$AJ$4:$AJ$6,0),MATCH(IF('Map 2 Do Touch'!AE34&gt;4,"Water","Land"),'Map 3'!$AK$3:$AL$3,0))),IF('Map 2 Do Touch'!AF34&gt;4,INDEX($AG$4:$AH$6,MATCH(INDEX($P$3:$S$6,MATCH(MOD('Map 2 Do Touch'!AF33,4),$O$3:$O$6,0),MATCH(MOD('Map 2 Do Touch'!AF34,4),$P$2:$S$2,0)),$AF$4:$AF$6,0),MATCH(IF('Map 2 Do Touch'!AF33&gt;4,"Water","Land"),'Map 3'!$AG$3:$AH$3,0)),INDEX($AK$4:$AL$6,MATCH(INDEX($P$3:$S$6,MATCH(MOD('Map 2 Do Touch'!AF33,4),$O$3:$O$6,0),MATCH(MOD('Map 2 Do Touch'!AF34,4),$P$2:$S$2,0)),'Map 3'!$AJ$4:$AJ$6,0),MATCH(IF('Map 2 Do Touch'!AF33&gt;4,"Water","Land"),'Map 3'!$AK$3:$AL$3,0))))</f>
        <v>Ocean</v>
      </c>
      <c r="AG38" s="3" t="str">
        <f ca="1">IF('Map 2 Do Touch'!AF33&lt;&gt;'Map 2 Do Touch'!AF34,IF('Map 2 Do Touch'!AG34&gt;4,INDEX($AG$4:$AH$6,MATCH(INDEX($I$3:$L$6,MATCH(MOD('Map 2 Do Touch'!AF34,4),$H$3:$H$6,0),MATCH(MOD('Map 2 Do Touch'!AG34,4),$I$2:$L$2,0)),$AF$4:$AF$6,0),MATCH(IF('Map 2 Do Touch'!AF34&gt;4,"Water","Land"),'Map 3'!$AG$3:$AH$3,0)),INDEX($AK$4:$AL$6,MATCH(INDEX($I$3:$L$6,MATCH(MOD('Map 2 Do Touch'!AF34,4),$H$3:$H$6,0),MATCH(MOD('Map 2 Do Touch'!AG34,4),$I$2:$L$2,0)),'Map 3'!$AJ$4:$AJ$6,0),MATCH(IF('Map 2 Do Touch'!AF34&gt;4,"Water","Land"),'Map 3'!$AK$3:$AL$3,0))),IF('Map 2 Do Touch'!AG34&gt;4,INDEX($AG$4:$AH$6,MATCH(INDEX($P$3:$S$6,MATCH(MOD('Map 2 Do Touch'!AG33,4),$O$3:$O$6,0),MATCH(MOD('Map 2 Do Touch'!AG34,4),$P$2:$S$2,0)),$AF$4:$AF$6,0),MATCH(IF('Map 2 Do Touch'!AG33&gt;4,"Water","Land"),'Map 3'!$AG$3:$AH$3,0)),INDEX($AK$4:$AL$6,MATCH(INDEX($P$3:$S$6,MATCH(MOD('Map 2 Do Touch'!AG33,4),$O$3:$O$6,0),MATCH(MOD('Map 2 Do Touch'!AG34,4),$P$2:$S$2,0)),'Map 3'!$AJ$4:$AJ$6,0),MATCH(IF('Map 2 Do Touch'!AG33&gt;4,"Water","Land"),'Map 3'!$AK$3:$AL$3,0))))</f>
        <v>Island</v>
      </c>
      <c r="AH38" s="3" t="str">
        <f ca="1">IF('Map 2 Do Touch'!AG33&lt;&gt;'Map 2 Do Touch'!AG34,IF('Map 2 Do Touch'!AH34&gt;4,INDEX($AG$4:$AH$6,MATCH(INDEX($I$3:$L$6,MATCH(MOD('Map 2 Do Touch'!AG34,4),$H$3:$H$6,0),MATCH(MOD('Map 2 Do Touch'!AH34,4),$I$2:$L$2,0)),$AF$4:$AF$6,0),MATCH(IF('Map 2 Do Touch'!AG34&gt;4,"Water","Land"),'Map 3'!$AG$3:$AH$3,0)),INDEX($AK$4:$AL$6,MATCH(INDEX($I$3:$L$6,MATCH(MOD('Map 2 Do Touch'!AG34,4),$H$3:$H$6,0),MATCH(MOD('Map 2 Do Touch'!AH34,4),$I$2:$L$2,0)),'Map 3'!$AJ$4:$AJ$6,0),MATCH(IF('Map 2 Do Touch'!AG34&gt;4,"Water","Land"),'Map 3'!$AK$3:$AL$3,0))),IF('Map 2 Do Touch'!AH34&gt;4,INDEX($AG$4:$AH$6,MATCH(INDEX($P$3:$S$6,MATCH(MOD('Map 2 Do Touch'!AH33,4),$O$3:$O$6,0),MATCH(MOD('Map 2 Do Touch'!AH34,4),$P$2:$S$2,0)),$AF$4:$AF$6,0),MATCH(IF('Map 2 Do Touch'!AH33&gt;4,"Water","Land"),'Map 3'!$AG$3:$AH$3,0)),INDEX($AK$4:$AL$6,MATCH(INDEX($P$3:$S$6,MATCH(MOD('Map 2 Do Touch'!AH33,4),$O$3:$O$6,0),MATCH(MOD('Map 2 Do Touch'!AH34,4),$P$2:$S$2,0)),'Map 3'!$AJ$4:$AJ$6,0),MATCH(IF('Map 2 Do Touch'!AH33&gt;4,"Water","Land"),'Map 3'!$AK$3:$AL$3,0))))</f>
        <v>Ocean</v>
      </c>
      <c r="AI38" s="3" t="str">
        <f ca="1">IF('Map 2 Do Touch'!AH33&lt;&gt;'Map 2 Do Touch'!AH34,IF('Map 2 Do Touch'!AI34&gt;4,INDEX($AG$4:$AH$6,MATCH(INDEX($I$3:$L$6,MATCH(MOD('Map 2 Do Touch'!AH34,4),$H$3:$H$6,0),MATCH(MOD('Map 2 Do Touch'!AI34,4),$I$2:$L$2,0)),$AF$4:$AF$6,0),MATCH(IF('Map 2 Do Touch'!AH34&gt;4,"Water","Land"),'Map 3'!$AG$3:$AH$3,0)),INDEX($AK$4:$AL$6,MATCH(INDEX($I$3:$L$6,MATCH(MOD('Map 2 Do Touch'!AH34,4),$H$3:$H$6,0),MATCH(MOD('Map 2 Do Touch'!AI34,4),$I$2:$L$2,0)),'Map 3'!$AJ$4:$AJ$6,0),MATCH(IF('Map 2 Do Touch'!AH34&gt;4,"Water","Land"),'Map 3'!$AK$3:$AL$3,0))),IF('Map 2 Do Touch'!AI34&gt;4,INDEX($AG$4:$AH$6,MATCH(INDEX($P$3:$S$6,MATCH(MOD('Map 2 Do Touch'!AI33,4),$O$3:$O$6,0),MATCH(MOD('Map 2 Do Touch'!AI34,4),$P$2:$S$2,0)),$AF$4:$AF$6,0),MATCH(IF('Map 2 Do Touch'!AI33&gt;4,"Water","Land"),'Map 3'!$AG$3:$AH$3,0)),INDEX($AK$4:$AL$6,MATCH(INDEX($P$3:$S$6,MATCH(MOD('Map 2 Do Touch'!AI33,4),$O$3:$O$6,0),MATCH(MOD('Map 2 Do Touch'!AI34,4),$P$2:$S$2,0)),'Map 3'!$AJ$4:$AJ$6,0),MATCH(IF('Map 2 Do Touch'!AI33&gt;4,"Water","Land"),'Map 3'!$AK$3:$AL$3,0))))</f>
        <v>Ocean</v>
      </c>
      <c r="AJ38" s="3" t="str">
        <f ca="1">IF('Map 2 Do Touch'!AI33&lt;&gt;'Map 2 Do Touch'!AI34,IF('Map 2 Do Touch'!AJ34&gt;4,INDEX($AG$4:$AH$6,MATCH(INDEX($I$3:$L$6,MATCH(MOD('Map 2 Do Touch'!AI34,4),$H$3:$H$6,0),MATCH(MOD('Map 2 Do Touch'!AJ34,4),$I$2:$L$2,0)),$AF$4:$AF$6,0),MATCH(IF('Map 2 Do Touch'!AI34&gt;4,"Water","Land"),'Map 3'!$AG$3:$AH$3,0)),INDEX($AK$4:$AL$6,MATCH(INDEX($I$3:$L$6,MATCH(MOD('Map 2 Do Touch'!AI34,4),$H$3:$H$6,0),MATCH(MOD('Map 2 Do Touch'!AJ34,4),$I$2:$L$2,0)),'Map 3'!$AJ$4:$AJ$6,0),MATCH(IF('Map 2 Do Touch'!AI34&gt;4,"Water","Land"),'Map 3'!$AK$3:$AL$3,0))),IF('Map 2 Do Touch'!AJ34&gt;4,INDEX($AG$4:$AH$6,MATCH(INDEX($P$3:$S$6,MATCH(MOD('Map 2 Do Touch'!AJ33,4),$O$3:$O$6,0),MATCH(MOD('Map 2 Do Touch'!AJ34,4),$P$2:$S$2,0)),$AF$4:$AF$6,0),MATCH(IF('Map 2 Do Touch'!AJ33&gt;4,"Water","Land"),'Map 3'!$AG$3:$AH$3,0)),INDEX($AK$4:$AL$6,MATCH(INDEX($P$3:$S$6,MATCH(MOD('Map 2 Do Touch'!AJ33,4),$O$3:$O$6,0),MATCH(MOD('Map 2 Do Touch'!AJ34,4),$P$2:$S$2,0)),'Map 3'!$AJ$4:$AJ$6,0),MATCH(IF('Map 2 Do Touch'!AJ33&gt;4,"Water","Land"),'Map 3'!$AK$3:$AL$3,0))))</f>
        <v>Ocean</v>
      </c>
      <c r="AK38" s="3" t="str">
        <f ca="1">IF('Map 2 Do Touch'!AJ33&lt;&gt;'Map 2 Do Touch'!AJ34,IF('Map 2 Do Touch'!AK34&gt;4,INDEX($AG$4:$AH$6,MATCH(INDEX($I$3:$L$6,MATCH(MOD('Map 2 Do Touch'!AJ34,4),$H$3:$H$6,0),MATCH(MOD('Map 2 Do Touch'!AK34,4),$I$2:$L$2,0)),$AF$4:$AF$6,0),MATCH(IF('Map 2 Do Touch'!AJ34&gt;4,"Water","Land"),'Map 3'!$AG$3:$AH$3,0)),INDEX($AK$4:$AL$6,MATCH(INDEX($I$3:$L$6,MATCH(MOD('Map 2 Do Touch'!AJ34,4),$H$3:$H$6,0),MATCH(MOD('Map 2 Do Touch'!AK34,4),$I$2:$L$2,0)),'Map 3'!$AJ$4:$AJ$6,0),MATCH(IF('Map 2 Do Touch'!AJ34&gt;4,"Water","Land"),'Map 3'!$AK$3:$AL$3,0))),IF('Map 2 Do Touch'!AK34&gt;4,INDEX($AG$4:$AH$6,MATCH(INDEX($P$3:$S$6,MATCH(MOD('Map 2 Do Touch'!AK33,4),$O$3:$O$6,0),MATCH(MOD('Map 2 Do Touch'!AK34,4),$P$2:$S$2,0)),$AF$4:$AF$6,0),MATCH(IF('Map 2 Do Touch'!AK33&gt;4,"Water","Land"),'Map 3'!$AG$3:$AH$3,0)),INDEX($AK$4:$AL$6,MATCH(INDEX($P$3:$S$6,MATCH(MOD('Map 2 Do Touch'!AK33,4),$O$3:$O$6,0),MATCH(MOD('Map 2 Do Touch'!AK34,4),$P$2:$S$2,0)),'Map 3'!$AJ$4:$AJ$6,0),MATCH(IF('Map 2 Do Touch'!AK33&gt;4,"Water","Land"),'Map 3'!$AK$3:$AL$3,0))))</f>
        <v>Ocean</v>
      </c>
      <c r="AL38" s="3" t="str">
        <f ca="1">IF('Map 2 Do Touch'!AK33&lt;&gt;'Map 2 Do Touch'!AK34,IF('Map 2 Do Touch'!AL34&gt;4,INDEX($AG$4:$AH$6,MATCH(INDEX($I$3:$L$6,MATCH(MOD('Map 2 Do Touch'!AK34,4),$H$3:$H$6,0),MATCH(MOD('Map 2 Do Touch'!AL34,4),$I$2:$L$2,0)),$AF$4:$AF$6,0),MATCH(IF('Map 2 Do Touch'!AK34&gt;4,"Water","Land"),'Map 3'!$AG$3:$AH$3,0)),INDEX($AK$4:$AL$6,MATCH(INDEX($I$3:$L$6,MATCH(MOD('Map 2 Do Touch'!AK34,4),$H$3:$H$6,0),MATCH(MOD('Map 2 Do Touch'!AL34,4),$I$2:$L$2,0)),'Map 3'!$AJ$4:$AJ$6,0),MATCH(IF('Map 2 Do Touch'!AK34&gt;4,"Water","Land"),'Map 3'!$AK$3:$AL$3,0))),IF('Map 2 Do Touch'!AL34&gt;4,INDEX($AG$4:$AH$6,MATCH(INDEX($P$3:$S$6,MATCH(MOD('Map 2 Do Touch'!AL33,4),$O$3:$O$6,0),MATCH(MOD('Map 2 Do Touch'!AL34,4),$P$2:$S$2,0)),$AF$4:$AF$6,0),MATCH(IF('Map 2 Do Touch'!AL33&gt;4,"Water","Land"),'Map 3'!$AG$3:$AH$3,0)),INDEX($AK$4:$AL$6,MATCH(INDEX($P$3:$S$6,MATCH(MOD('Map 2 Do Touch'!AL33,4),$O$3:$O$6,0),MATCH(MOD('Map 2 Do Touch'!AL34,4),$P$2:$S$2,0)),'Map 3'!$AJ$4:$AJ$6,0),MATCH(IF('Map 2 Do Touch'!AL33&gt;4,"Water","Land"),'Map 3'!$AK$3:$AL$3,0))))</f>
        <v>Ocean</v>
      </c>
      <c r="AM38" s="3" t="str">
        <f ca="1">IF('Map 2 Do Touch'!AL33&lt;&gt;'Map 2 Do Touch'!AL34,IF('Map 2 Do Touch'!AM34&gt;4,INDEX($AG$4:$AH$6,MATCH(INDEX($I$3:$L$6,MATCH(MOD('Map 2 Do Touch'!AL34,4),$H$3:$H$6,0),MATCH(MOD('Map 2 Do Touch'!AM34,4),$I$2:$L$2,0)),$AF$4:$AF$6,0),MATCH(IF('Map 2 Do Touch'!AL34&gt;4,"Water","Land"),'Map 3'!$AG$3:$AH$3,0)),INDEX($AK$4:$AL$6,MATCH(INDEX($I$3:$L$6,MATCH(MOD('Map 2 Do Touch'!AL34,4),$H$3:$H$6,0),MATCH(MOD('Map 2 Do Touch'!AM34,4),$I$2:$L$2,0)),'Map 3'!$AJ$4:$AJ$6,0),MATCH(IF('Map 2 Do Touch'!AL34&gt;4,"Water","Land"),'Map 3'!$AK$3:$AL$3,0))),IF('Map 2 Do Touch'!AM34&gt;4,INDEX($AG$4:$AH$6,MATCH(INDEX($P$3:$S$6,MATCH(MOD('Map 2 Do Touch'!AM33,4),$O$3:$O$6,0),MATCH(MOD('Map 2 Do Touch'!AM34,4),$P$2:$S$2,0)),$AF$4:$AF$6,0),MATCH(IF('Map 2 Do Touch'!AM33&gt;4,"Water","Land"),'Map 3'!$AG$3:$AH$3,0)),INDEX($AK$4:$AL$6,MATCH(INDEX($P$3:$S$6,MATCH(MOD('Map 2 Do Touch'!AM33,4),$O$3:$O$6,0),MATCH(MOD('Map 2 Do Touch'!AM34,4),$P$2:$S$2,0)),'Map 3'!$AJ$4:$AJ$6,0),MATCH(IF('Map 2 Do Touch'!AM33&gt;4,"Water","Land"),'Map 3'!$AK$3:$AL$3,0))))</f>
        <v>Ocean</v>
      </c>
      <c r="AN38" s="3" t="str">
        <f ca="1">IF('Map 2 Do Touch'!AM33&lt;&gt;'Map 2 Do Touch'!AM34,IF('Map 2 Do Touch'!AN34&gt;4,INDEX($AG$4:$AH$6,MATCH(INDEX($I$3:$L$6,MATCH(MOD('Map 2 Do Touch'!AM34,4),$H$3:$H$6,0),MATCH(MOD('Map 2 Do Touch'!AN34,4),$I$2:$L$2,0)),$AF$4:$AF$6,0),MATCH(IF('Map 2 Do Touch'!AM34&gt;4,"Water","Land"),'Map 3'!$AG$3:$AH$3,0)),INDEX($AK$4:$AL$6,MATCH(INDEX($I$3:$L$6,MATCH(MOD('Map 2 Do Touch'!AM34,4),$H$3:$H$6,0),MATCH(MOD('Map 2 Do Touch'!AN34,4),$I$2:$L$2,0)),'Map 3'!$AJ$4:$AJ$6,0),MATCH(IF('Map 2 Do Touch'!AM34&gt;4,"Water","Land"),'Map 3'!$AK$3:$AL$3,0))),IF('Map 2 Do Touch'!AN34&gt;4,INDEX($AG$4:$AH$6,MATCH(INDEX($P$3:$S$6,MATCH(MOD('Map 2 Do Touch'!AN33,4),$O$3:$O$6,0),MATCH(MOD('Map 2 Do Touch'!AN34,4),$P$2:$S$2,0)),$AF$4:$AF$6,0),MATCH(IF('Map 2 Do Touch'!AN33&gt;4,"Water","Land"),'Map 3'!$AG$3:$AH$3,0)),INDEX($AK$4:$AL$6,MATCH(INDEX($P$3:$S$6,MATCH(MOD('Map 2 Do Touch'!AN33,4),$O$3:$O$6,0),MATCH(MOD('Map 2 Do Touch'!AN34,4),$P$2:$S$2,0)),'Map 3'!$AJ$4:$AJ$6,0),MATCH(IF('Map 2 Do Touch'!AN33&gt;4,"Water","Land"),'Map 3'!$AK$3:$AL$3,0))))</f>
        <v>Trench</v>
      </c>
      <c r="AO38" s="87" t="str">
        <f ca="1">IF('Map 2 Do Touch'!AN33&lt;&gt;'Map 2 Do Touch'!AN34,IF('Map 2 Do Touch'!AO34&gt;4,INDEX($AG$4:$AH$6,MATCH(INDEX($I$3:$L$6,MATCH(MOD('Map 2 Do Touch'!AN34,4),$H$3:$H$6,0),MATCH(MOD('Map 2 Do Touch'!AO34,4),$I$2:$L$2,0)),$AF$4:$AF$6,0),MATCH(IF('Map 2 Do Touch'!AN34&gt;4,"Water","Land"),'Map 3'!$AG$3:$AH$3,0)),INDEX($AK$4:$AL$6,MATCH(INDEX($I$3:$L$6,MATCH(MOD('Map 2 Do Touch'!AN34,4),$H$3:$H$6,0),MATCH(MOD('Map 2 Do Touch'!AO34,4),$I$2:$L$2,0)),'Map 3'!$AJ$4:$AJ$6,0),MATCH(IF('Map 2 Do Touch'!AN34&gt;4,"Water","Land"),'Map 3'!$AK$3:$AL$3,0))),IF('Map 2 Do Touch'!AO34&gt;4,INDEX($AG$4:$AH$6,MATCH(INDEX($P$3:$S$6,MATCH(MOD('Map 2 Do Touch'!AO33,4),$O$3:$O$6,0),MATCH(MOD('Map 2 Do Touch'!AO34,4),$P$2:$S$2,0)),$AF$4:$AF$6,0),MATCH(IF('Map 2 Do Touch'!AO33&gt;4,"Water","Land"),'Map 3'!$AG$3:$AH$3,0)),INDEX($AK$4:$AL$6,MATCH(INDEX($P$3:$S$6,MATCH(MOD('Map 2 Do Touch'!AO33,4),$O$3:$O$6,0),MATCH(MOD('Map 2 Do Touch'!AO34,4),$P$2:$S$2,0)),'Map 3'!$AJ$4:$AJ$6,0),MATCH(IF('Map 2 Do Touch'!AO33&gt;4,"Water","Land"),'Map 3'!$AK$3:$AL$3,0))))</f>
        <v>Ocean</v>
      </c>
      <c r="AP38" s="3"/>
    </row>
    <row r="39" spans="1:42" ht="37.5" customHeight="1">
      <c r="A39" s="3">
        <v>28</v>
      </c>
      <c r="B39" s="86" t="str">
        <f ca="1">IF('Map 2 Do Touch'!B34&lt;&gt;'Map 2 Do Touch'!B35,IF('Map 2 Do Touch'!B35&gt;4,INDEX($AG$4:$AH$6,MATCH(INDEX($I$3:$L$6,MATCH(MOD('Map 2 Do Touch'!AO35,4),$H$3:$H$6,0),MATCH(MOD('Map 2 Do Touch'!B35,4),$I$2:$L$2,0)),$AF$4:$AF$6,0),MATCH(IF('Map 2 Do Touch'!AO35&gt;4,"Water","Land"),'Map 3'!$AG$3:$AH$3,0)),INDEX($AK$4:$AL$6,MATCH(INDEX($I$3:$L$6,MATCH(MOD('Map 2 Do Touch'!A35,4),$H$3:$H$6,0),MATCH(MOD('Map 2 Do Touch'!B35,4),$I$2:$L$2,0)),'Map 3'!$AJ$4:$AJ$6,0),MATCH(IF('Map 2 Do Touch'!AO35&gt;4,"Water","Land"),'Map 3'!$AK$3:$AL$3,0))),IF('Map 2 Do Touch'!B35&gt;4,INDEX($AG$4:$AH$6,MATCH(INDEX($P$3:$S$6,MATCH(MOD('Map 2 Do Touch'!B34,4),$O$3:$O$6,0),MATCH(MOD('Map 2 Do Touch'!B35,4),$P$2:$S$2,0)),$AF$4:$AF$6,0),MATCH(IF('Map 2 Do Touch'!B34&gt;4,"Water","Land"),'Map 3'!$AG$3:$AH$3,0)),INDEX($AK$4:$AL$6,MATCH(INDEX($P$3:$S$6,MATCH(MOD('Map 2 Do Touch'!B34,4),$O$3:$O$6,0),MATCH(MOD('Map 2 Do Touch'!B35,4),$P$2:$S$2,0)),'Map 3'!$AJ$4:$AJ$6,0),MATCH(IF('Map 2 Do Touch'!B34&gt;4,"Water","Land"),'Map 3'!$AK$3:$AL$3,0))))</f>
        <v>Drop Off</v>
      </c>
      <c r="C39" s="3" t="str">
        <f ca="1">IF('Map 2 Do Touch'!B34&lt;&gt;'Map 2 Do Touch'!B35,IF('Map 2 Do Touch'!C35&gt;4,INDEX($AG$4:$AH$6,MATCH(INDEX($I$3:$L$6,MATCH(MOD('Map 2 Do Touch'!B35,4),$H$3:$H$6,0),MATCH(MOD('Map 2 Do Touch'!C35,4),$I$2:$L$2,0)),$AF$4:$AF$6,0),MATCH(IF('Map 2 Do Touch'!B35&gt;4,"Water","Land"),'Map 3'!$AG$3:$AH$3,0)),INDEX($AK$4:$AL$6,MATCH(INDEX($I$3:$L$6,MATCH(MOD('Map 2 Do Touch'!B35,4),$H$3:$H$6,0),MATCH(MOD('Map 2 Do Touch'!C35,4),$I$2:$L$2,0)),'Map 3'!$AJ$4:$AJ$6,0),MATCH(IF('Map 2 Do Touch'!B35&gt;4,"Water","Land"),'Map 3'!$AK$3:$AL$3,0))),IF('Map 2 Do Touch'!C35&gt;4,INDEX($AG$4:$AH$6,MATCH(INDEX($P$3:$S$6,MATCH(MOD('Map 2 Do Touch'!C34,4),$O$3:$O$6,0),MATCH(MOD('Map 2 Do Touch'!C35,4),$P$2:$S$2,0)),$AF$4:$AF$6,0),MATCH(IF('Map 2 Do Touch'!C34&gt;4,"Water","Land"),'Map 3'!$AG$3:$AH$3,0)),INDEX($AK$4:$AL$6,MATCH(INDEX($P$3:$S$6,MATCH(MOD('Map 2 Do Touch'!C34,4),$O$3:$O$6,0),MATCH(MOD('Map 2 Do Touch'!C35,4),$P$2:$S$2,0)),'Map 3'!$AJ$4:$AJ$6,0),MATCH(IF('Map 2 Do Touch'!C34&gt;4,"Water","Land"),'Map 3'!$AK$3:$AL$3,0))))</f>
        <v>Coast</v>
      </c>
      <c r="D39" s="3" t="str">
        <f ca="1">IF('Map 2 Do Touch'!C34&lt;&gt;'Map 2 Do Touch'!C35,IF('Map 2 Do Touch'!D35&gt;4,INDEX($AG$4:$AH$6,MATCH(INDEX($I$3:$L$6,MATCH(MOD('Map 2 Do Touch'!C35,4),$H$3:$H$6,0),MATCH(MOD('Map 2 Do Touch'!D35,4),$I$2:$L$2,0)),$AF$4:$AF$6,0),MATCH(IF('Map 2 Do Touch'!C35&gt;4,"Water","Land"),'Map 3'!$AG$3:$AH$3,0)),INDEX($AK$4:$AL$6,MATCH(INDEX($I$3:$L$6,MATCH(MOD('Map 2 Do Touch'!C35,4),$H$3:$H$6,0),MATCH(MOD('Map 2 Do Touch'!D35,4),$I$2:$L$2,0)),'Map 3'!$AJ$4:$AJ$6,0),MATCH(IF('Map 2 Do Touch'!C35&gt;4,"Water","Land"),'Map 3'!$AK$3:$AL$3,0))),IF('Map 2 Do Touch'!D35&gt;4,INDEX($AG$4:$AH$6,MATCH(INDEX($P$3:$S$6,MATCH(MOD('Map 2 Do Touch'!D34,4),$O$3:$O$6,0),MATCH(MOD('Map 2 Do Touch'!D35,4),$P$2:$S$2,0)),$AF$4:$AF$6,0),MATCH(IF('Map 2 Do Touch'!D34&gt;4,"Water","Land"),'Map 3'!$AG$3:$AH$3,0)),INDEX($AK$4:$AL$6,MATCH(INDEX($P$3:$S$6,MATCH(MOD('Map 2 Do Touch'!D34,4),$O$3:$O$6,0),MATCH(MOD('Map 2 Do Touch'!D35,4),$P$2:$S$2,0)),'Map 3'!$AJ$4:$AJ$6,0),MATCH(IF('Map 2 Do Touch'!D34&gt;4,"Water","Land"),'Map 3'!$AK$3:$AL$3,0))))</f>
        <v>Ocean</v>
      </c>
      <c r="E39" s="3" t="str">
        <f ca="1">IF('Map 2 Do Touch'!D34&lt;&gt;'Map 2 Do Touch'!D35,IF('Map 2 Do Touch'!E35&gt;4,INDEX($AG$4:$AH$6,MATCH(INDEX($I$3:$L$6,MATCH(MOD('Map 2 Do Touch'!D35,4),$H$3:$H$6,0),MATCH(MOD('Map 2 Do Touch'!E35,4),$I$2:$L$2,0)),$AF$4:$AF$6,0),MATCH(IF('Map 2 Do Touch'!D35&gt;4,"Water","Land"),'Map 3'!$AG$3:$AH$3,0)),INDEX($AK$4:$AL$6,MATCH(INDEX($I$3:$L$6,MATCH(MOD('Map 2 Do Touch'!D35,4),$H$3:$H$6,0),MATCH(MOD('Map 2 Do Touch'!E35,4),$I$2:$L$2,0)),'Map 3'!$AJ$4:$AJ$6,0),MATCH(IF('Map 2 Do Touch'!D35&gt;4,"Water","Land"),'Map 3'!$AK$3:$AL$3,0))),IF('Map 2 Do Touch'!E35&gt;4,INDEX($AG$4:$AH$6,MATCH(INDEX($P$3:$S$6,MATCH(MOD('Map 2 Do Touch'!E34,4),$O$3:$O$6,0),MATCH(MOD('Map 2 Do Touch'!E35,4),$P$2:$S$2,0)),$AF$4:$AF$6,0),MATCH(IF('Map 2 Do Touch'!E34&gt;4,"Water","Land"),'Map 3'!$AG$3:$AH$3,0)),INDEX($AK$4:$AL$6,MATCH(INDEX($P$3:$S$6,MATCH(MOD('Map 2 Do Touch'!E34,4),$O$3:$O$6,0),MATCH(MOD('Map 2 Do Touch'!E35,4),$P$2:$S$2,0)),'Map 3'!$AJ$4:$AJ$6,0),MATCH(IF('Map 2 Do Touch'!E34&gt;4,"Water","Land"),'Map 3'!$AK$3:$AL$3,0))))</f>
        <v>Ocean</v>
      </c>
      <c r="F39" s="3" t="str">
        <f ca="1">IF('Map 2 Do Touch'!E34&lt;&gt;'Map 2 Do Touch'!E35,IF('Map 2 Do Touch'!F35&gt;4,INDEX($AG$4:$AH$6,MATCH(INDEX($I$3:$L$6,MATCH(MOD('Map 2 Do Touch'!E35,4),$H$3:$H$6,0),MATCH(MOD('Map 2 Do Touch'!F35,4),$I$2:$L$2,0)),$AF$4:$AF$6,0),MATCH(IF('Map 2 Do Touch'!E35&gt;4,"Water","Land"),'Map 3'!$AG$3:$AH$3,0)),INDEX($AK$4:$AL$6,MATCH(INDEX($I$3:$L$6,MATCH(MOD('Map 2 Do Touch'!E35,4),$H$3:$H$6,0),MATCH(MOD('Map 2 Do Touch'!F35,4),$I$2:$L$2,0)),'Map 3'!$AJ$4:$AJ$6,0),MATCH(IF('Map 2 Do Touch'!E35&gt;4,"Water","Land"),'Map 3'!$AK$3:$AL$3,0))),IF('Map 2 Do Touch'!F35&gt;4,INDEX($AG$4:$AH$6,MATCH(INDEX($P$3:$S$6,MATCH(MOD('Map 2 Do Touch'!F34,4),$O$3:$O$6,0),MATCH(MOD('Map 2 Do Touch'!F35,4),$P$2:$S$2,0)),$AF$4:$AF$6,0),MATCH(IF('Map 2 Do Touch'!F34&gt;4,"Water","Land"),'Map 3'!$AG$3:$AH$3,0)),INDEX($AK$4:$AL$6,MATCH(INDEX($P$3:$S$6,MATCH(MOD('Map 2 Do Touch'!F34,4),$O$3:$O$6,0),MATCH(MOD('Map 2 Do Touch'!F35,4),$P$2:$S$2,0)),'Map 3'!$AJ$4:$AJ$6,0),MATCH(IF('Map 2 Do Touch'!F34&gt;4,"Water","Land"),'Map 3'!$AK$3:$AL$3,0))))</f>
        <v>Flatland</v>
      </c>
      <c r="G39" s="3" t="str">
        <f ca="1">IF('Map 2 Do Touch'!F34&lt;&gt;'Map 2 Do Touch'!F35,IF('Map 2 Do Touch'!G35&gt;4,INDEX($AG$4:$AH$6,MATCH(INDEX($I$3:$L$6,MATCH(MOD('Map 2 Do Touch'!F35,4),$H$3:$H$6,0),MATCH(MOD('Map 2 Do Touch'!G35,4),$I$2:$L$2,0)),$AF$4:$AF$6,0),MATCH(IF('Map 2 Do Touch'!F35&gt;4,"Water","Land"),'Map 3'!$AG$3:$AH$3,0)),INDEX($AK$4:$AL$6,MATCH(INDEX($I$3:$L$6,MATCH(MOD('Map 2 Do Touch'!F35,4),$H$3:$H$6,0),MATCH(MOD('Map 2 Do Touch'!G35,4),$I$2:$L$2,0)),'Map 3'!$AJ$4:$AJ$6,0),MATCH(IF('Map 2 Do Touch'!F35&gt;4,"Water","Land"),'Map 3'!$AK$3:$AL$3,0))),IF('Map 2 Do Touch'!G35&gt;4,INDEX($AG$4:$AH$6,MATCH(INDEX($P$3:$S$6,MATCH(MOD('Map 2 Do Touch'!G34,4),$O$3:$O$6,0),MATCH(MOD('Map 2 Do Touch'!G35,4),$P$2:$S$2,0)),$AF$4:$AF$6,0),MATCH(IF('Map 2 Do Touch'!G34&gt;4,"Water","Land"),'Map 3'!$AG$3:$AH$3,0)),INDEX($AK$4:$AL$6,MATCH(INDEX($P$3:$S$6,MATCH(MOD('Map 2 Do Touch'!G34,4),$O$3:$O$6,0),MATCH(MOD('Map 2 Do Touch'!G35,4),$P$2:$S$2,0)),'Map 3'!$AJ$4:$AJ$6,0),MATCH(IF('Map 2 Do Touch'!G34&gt;4,"Water","Land"),'Map 3'!$AK$3:$AL$3,0))))</f>
        <v>Flatland</v>
      </c>
      <c r="H39" s="3" t="str">
        <f ca="1">IF('Map 2 Do Touch'!G34&lt;&gt;'Map 2 Do Touch'!G35,IF('Map 2 Do Touch'!H35&gt;4,INDEX($AG$4:$AH$6,MATCH(INDEX($I$3:$L$6,MATCH(MOD('Map 2 Do Touch'!G35,4),$H$3:$H$6,0),MATCH(MOD('Map 2 Do Touch'!H35,4),$I$2:$L$2,0)),$AF$4:$AF$6,0),MATCH(IF('Map 2 Do Touch'!G35&gt;4,"Water","Land"),'Map 3'!$AG$3:$AH$3,0)),INDEX($AK$4:$AL$6,MATCH(INDEX($I$3:$L$6,MATCH(MOD('Map 2 Do Touch'!G35,4),$H$3:$H$6,0),MATCH(MOD('Map 2 Do Touch'!H35,4),$I$2:$L$2,0)),'Map 3'!$AJ$4:$AJ$6,0),MATCH(IF('Map 2 Do Touch'!G35&gt;4,"Water","Land"),'Map 3'!$AK$3:$AL$3,0))),IF('Map 2 Do Touch'!H35&gt;4,INDEX($AG$4:$AH$6,MATCH(INDEX($P$3:$S$6,MATCH(MOD('Map 2 Do Touch'!H34,4),$O$3:$O$6,0),MATCH(MOD('Map 2 Do Touch'!H35,4),$P$2:$S$2,0)),$AF$4:$AF$6,0),MATCH(IF('Map 2 Do Touch'!H34&gt;4,"Water","Land"),'Map 3'!$AG$3:$AH$3,0)),INDEX($AK$4:$AL$6,MATCH(INDEX($P$3:$S$6,MATCH(MOD('Map 2 Do Touch'!H34,4),$O$3:$O$6,0),MATCH(MOD('Map 2 Do Touch'!H35,4),$P$2:$S$2,0)),'Map 3'!$AJ$4:$AJ$6,0),MATCH(IF('Map 2 Do Touch'!H34&gt;4,"Water","Land"),'Map 3'!$AK$3:$AL$3,0))))</f>
        <v>Flatland</v>
      </c>
      <c r="I39" s="3" t="str">
        <f ca="1">IF('Map 2 Do Touch'!H34&lt;&gt;'Map 2 Do Touch'!H35,IF('Map 2 Do Touch'!I35&gt;4,INDEX($AG$4:$AH$6,MATCH(INDEX($I$3:$L$6,MATCH(MOD('Map 2 Do Touch'!H35,4),$H$3:$H$6,0),MATCH(MOD('Map 2 Do Touch'!I35,4),$I$2:$L$2,0)),$AF$4:$AF$6,0),MATCH(IF('Map 2 Do Touch'!H35&gt;4,"Water","Land"),'Map 3'!$AG$3:$AH$3,0)),INDEX($AK$4:$AL$6,MATCH(INDEX($I$3:$L$6,MATCH(MOD('Map 2 Do Touch'!H35,4),$H$3:$H$6,0),MATCH(MOD('Map 2 Do Touch'!I35,4),$I$2:$L$2,0)),'Map 3'!$AJ$4:$AJ$6,0),MATCH(IF('Map 2 Do Touch'!H35&gt;4,"Water","Land"),'Map 3'!$AK$3:$AL$3,0))),IF('Map 2 Do Touch'!I35&gt;4,INDEX($AG$4:$AH$6,MATCH(INDEX($P$3:$S$6,MATCH(MOD('Map 2 Do Touch'!I34,4),$O$3:$O$6,0),MATCH(MOD('Map 2 Do Touch'!I35,4),$P$2:$S$2,0)),$AF$4:$AF$6,0),MATCH(IF('Map 2 Do Touch'!I34&gt;4,"Water","Land"),'Map 3'!$AG$3:$AH$3,0)),INDEX($AK$4:$AL$6,MATCH(INDEX($P$3:$S$6,MATCH(MOD('Map 2 Do Touch'!I34,4),$O$3:$O$6,0),MATCH(MOD('Map 2 Do Touch'!I35,4),$P$2:$S$2,0)),'Map 3'!$AJ$4:$AJ$6,0),MATCH(IF('Map 2 Do Touch'!I34&gt;4,"Water","Land"),'Map 3'!$AK$3:$AL$3,0))))</f>
        <v>Coast</v>
      </c>
      <c r="J39" s="3" t="str">
        <f ca="1">IF('Map 2 Do Touch'!I34&lt;&gt;'Map 2 Do Touch'!I35,IF('Map 2 Do Touch'!J35&gt;4,INDEX($AG$4:$AH$6,MATCH(INDEX($I$3:$L$6,MATCH(MOD('Map 2 Do Touch'!I35,4),$H$3:$H$6,0),MATCH(MOD('Map 2 Do Touch'!J35,4),$I$2:$L$2,0)),$AF$4:$AF$6,0),MATCH(IF('Map 2 Do Touch'!I35&gt;4,"Water","Land"),'Map 3'!$AG$3:$AH$3,0)),INDEX($AK$4:$AL$6,MATCH(INDEX($I$3:$L$6,MATCH(MOD('Map 2 Do Touch'!I35,4),$H$3:$H$6,0),MATCH(MOD('Map 2 Do Touch'!J35,4),$I$2:$L$2,0)),'Map 3'!$AJ$4:$AJ$6,0),MATCH(IF('Map 2 Do Touch'!I35&gt;4,"Water","Land"),'Map 3'!$AK$3:$AL$3,0))),IF('Map 2 Do Touch'!J35&gt;4,INDEX($AG$4:$AH$6,MATCH(INDEX($P$3:$S$6,MATCH(MOD('Map 2 Do Touch'!J34,4),$O$3:$O$6,0),MATCH(MOD('Map 2 Do Touch'!J35,4),$P$2:$S$2,0)),$AF$4:$AF$6,0),MATCH(IF('Map 2 Do Touch'!J34&gt;4,"Water","Land"),'Map 3'!$AG$3:$AH$3,0)),INDEX($AK$4:$AL$6,MATCH(INDEX($P$3:$S$6,MATCH(MOD('Map 2 Do Touch'!J34,4),$O$3:$O$6,0),MATCH(MOD('Map 2 Do Touch'!J35,4),$P$2:$S$2,0)),'Map 3'!$AJ$4:$AJ$6,0),MATCH(IF('Map 2 Do Touch'!J34&gt;4,"Water","Land"),'Map 3'!$AK$3:$AL$3,0))))</f>
        <v>Coast</v>
      </c>
      <c r="K39" s="3" t="str">
        <f ca="1">IF('Map 2 Do Touch'!J34&lt;&gt;'Map 2 Do Touch'!J35,IF('Map 2 Do Touch'!K35&gt;4,INDEX($AG$4:$AH$6,MATCH(INDEX($I$3:$L$6,MATCH(MOD('Map 2 Do Touch'!J35,4),$H$3:$H$6,0),MATCH(MOD('Map 2 Do Touch'!K35,4),$I$2:$L$2,0)),$AF$4:$AF$6,0),MATCH(IF('Map 2 Do Touch'!J35&gt;4,"Water","Land"),'Map 3'!$AG$3:$AH$3,0)),INDEX($AK$4:$AL$6,MATCH(INDEX($I$3:$L$6,MATCH(MOD('Map 2 Do Touch'!J35,4),$H$3:$H$6,0),MATCH(MOD('Map 2 Do Touch'!K35,4),$I$2:$L$2,0)),'Map 3'!$AJ$4:$AJ$6,0),MATCH(IF('Map 2 Do Touch'!J35&gt;4,"Water","Land"),'Map 3'!$AK$3:$AL$3,0))),IF('Map 2 Do Touch'!K35&gt;4,INDEX($AG$4:$AH$6,MATCH(INDEX($P$3:$S$6,MATCH(MOD('Map 2 Do Touch'!K34,4),$O$3:$O$6,0),MATCH(MOD('Map 2 Do Touch'!K35,4),$P$2:$S$2,0)),$AF$4:$AF$6,0),MATCH(IF('Map 2 Do Touch'!K34&gt;4,"Water","Land"),'Map 3'!$AG$3:$AH$3,0)),INDEX($AK$4:$AL$6,MATCH(INDEX($P$3:$S$6,MATCH(MOD('Map 2 Do Touch'!K34,4),$O$3:$O$6,0),MATCH(MOD('Map 2 Do Touch'!K35,4),$P$2:$S$2,0)),'Map 3'!$AJ$4:$AJ$6,0),MATCH(IF('Map 2 Do Touch'!K34&gt;4,"Water","Land"),'Map 3'!$AK$3:$AL$3,0))))</f>
        <v>Ocean</v>
      </c>
      <c r="L39" s="3" t="str">
        <f ca="1">IF('Map 2 Do Touch'!K34&lt;&gt;'Map 2 Do Touch'!K35,IF('Map 2 Do Touch'!L35&gt;4,INDEX($AG$4:$AH$6,MATCH(INDEX($I$3:$L$6,MATCH(MOD('Map 2 Do Touch'!K35,4),$H$3:$H$6,0),MATCH(MOD('Map 2 Do Touch'!L35,4),$I$2:$L$2,0)),$AF$4:$AF$6,0),MATCH(IF('Map 2 Do Touch'!K35&gt;4,"Water","Land"),'Map 3'!$AG$3:$AH$3,0)),INDEX($AK$4:$AL$6,MATCH(INDEX($I$3:$L$6,MATCH(MOD('Map 2 Do Touch'!K35,4),$H$3:$H$6,0),MATCH(MOD('Map 2 Do Touch'!L35,4),$I$2:$L$2,0)),'Map 3'!$AJ$4:$AJ$6,0),MATCH(IF('Map 2 Do Touch'!K35&gt;4,"Water","Land"),'Map 3'!$AK$3:$AL$3,0))),IF('Map 2 Do Touch'!L35&gt;4,INDEX($AG$4:$AH$6,MATCH(INDEX($P$3:$S$6,MATCH(MOD('Map 2 Do Touch'!L34,4),$O$3:$O$6,0),MATCH(MOD('Map 2 Do Touch'!L35,4),$P$2:$S$2,0)),$AF$4:$AF$6,0),MATCH(IF('Map 2 Do Touch'!L34&gt;4,"Water","Land"),'Map 3'!$AG$3:$AH$3,0)),INDEX($AK$4:$AL$6,MATCH(INDEX($P$3:$S$6,MATCH(MOD('Map 2 Do Touch'!L34,4),$O$3:$O$6,0),MATCH(MOD('Map 2 Do Touch'!L35,4),$P$2:$S$2,0)),'Map 3'!$AJ$4:$AJ$6,0),MATCH(IF('Map 2 Do Touch'!L34&gt;4,"Water","Land"),'Map 3'!$AK$3:$AL$3,0))))</f>
        <v>Trench</v>
      </c>
      <c r="M39" s="3" t="str">
        <f ca="1">IF('Map 2 Do Touch'!L34&lt;&gt;'Map 2 Do Touch'!L35,IF('Map 2 Do Touch'!M35&gt;4,INDEX($AG$4:$AH$6,MATCH(INDEX($I$3:$L$6,MATCH(MOD('Map 2 Do Touch'!L35,4),$H$3:$H$6,0),MATCH(MOD('Map 2 Do Touch'!M35,4),$I$2:$L$2,0)),$AF$4:$AF$6,0),MATCH(IF('Map 2 Do Touch'!L35&gt;4,"Water","Land"),'Map 3'!$AG$3:$AH$3,0)),INDEX($AK$4:$AL$6,MATCH(INDEX($I$3:$L$6,MATCH(MOD('Map 2 Do Touch'!L35,4),$H$3:$H$6,0),MATCH(MOD('Map 2 Do Touch'!M35,4),$I$2:$L$2,0)),'Map 3'!$AJ$4:$AJ$6,0),MATCH(IF('Map 2 Do Touch'!L35&gt;4,"Water","Land"),'Map 3'!$AK$3:$AL$3,0))),IF('Map 2 Do Touch'!M35&gt;4,INDEX($AG$4:$AH$6,MATCH(INDEX($P$3:$S$6,MATCH(MOD('Map 2 Do Touch'!M34,4),$O$3:$O$6,0),MATCH(MOD('Map 2 Do Touch'!M35,4),$P$2:$S$2,0)),$AF$4:$AF$6,0),MATCH(IF('Map 2 Do Touch'!M34&gt;4,"Water","Land"),'Map 3'!$AG$3:$AH$3,0)),INDEX($AK$4:$AL$6,MATCH(INDEX($P$3:$S$6,MATCH(MOD('Map 2 Do Touch'!M34,4),$O$3:$O$6,0),MATCH(MOD('Map 2 Do Touch'!M35,4),$P$2:$S$2,0)),'Map 3'!$AJ$4:$AJ$6,0),MATCH(IF('Map 2 Do Touch'!M34&gt;4,"Water","Land"),'Map 3'!$AK$3:$AL$3,0))))</f>
        <v>Trench</v>
      </c>
      <c r="N39" s="3" t="str">
        <f ca="1">IF('Map 2 Do Touch'!M34&lt;&gt;'Map 2 Do Touch'!M35,IF('Map 2 Do Touch'!N35&gt;4,INDEX($AG$4:$AH$6,MATCH(INDEX($I$3:$L$6,MATCH(MOD('Map 2 Do Touch'!M35,4),$H$3:$H$6,0),MATCH(MOD('Map 2 Do Touch'!N35,4),$I$2:$L$2,0)),$AF$4:$AF$6,0),MATCH(IF('Map 2 Do Touch'!M35&gt;4,"Water","Land"),'Map 3'!$AG$3:$AH$3,0)),INDEX($AK$4:$AL$6,MATCH(INDEX($I$3:$L$6,MATCH(MOD('Map 2 Do Touch'!M35,4),$H$3:$H$6,0),MATCH(MOD('Map 2 Do Touch'!N35,4),$I$2:$L$2,0)),'Map 3'!$AJ$4:$AJ$6,0),MATCH(IF('Map 2 Do Touch'!M35&gt;4,"Water","Land"),'Map 3'!$AK$3:$AL$3,0))),IF('Map 2 Do Touch'!N35&gt;4,INDEX($AG$4:$AH$6,MATCH(INDEX($P$3:$S$6,MATCH(MOD('Map 2 Do Touch'!N34,4),$O$3:$O$6,0),MATCH(MOD('Map 2 Do Touch'!N35,4),$P$2:$S$2,0)),$AF$4:$AF$6,0),MATCH(IF('Map 2 Do Touch'!N34&gt;4,"Water","Land"),'Map 3'!$AG$3:$AH$3,0)),INDEX($AK$4:$AL$6,MATCH(INDEX($P$3:$S$6,MATCH(MOD('Map 2 Do Touch'!N34,4),$O$3:$O$6,0),MATCH(MOD('Map 2 Do Touch'!N35,4),$P$2:$S$2,0)),'Map 3'!$AJ$4:$AJ$6,0),MATCH(IF('Map 2 Do Touch'!N34&gt;4,"Water","Land"),'Map 3'!$AK$3:$AL$3,0))))</f>
        <v>Ocean</v>
      </c>
      <c r="O39" s="3" t="str">
        <f ca="1">IF('Map 2 Do Touch'!N34&lt;&gt;'Map 2 Do Touch'!N35,IF('Map 2 Do Touch'!O35&gt;4,INDEX($AG$4:$AH$6,MATCH(INDEX($I$3:$L$6,MATCH(MOD('Map 2 Do Touch'!N35,4),$H$3:$H$6,0),MATCH(MOD('Map 2 Do Touch'!O35,4),$I$2:$L$2,0)),$AF$4:$AF$6,0),MATCH(IF('Map 2 Do Touch'!N35&gt;4,"Water","Land"),'Map 3'!$AG$3:$AH$3,0)),INDEX($AK$4:$AL$6,MATCH(INDEX($I$3:$L$6,MATCH(MOD('Map 2 Do Touch'!N35,4),$H$3:$H$6,0),MATCH(MOD('Map 2 Do Touch'!O35,4),$I$2:$L$2,0)),'Map 3'!$AJ$4:$AJ$6,0),MATCH(IF('Map 2 Do Touch'!N35&gt;4,"Water","Land"),'Map 3'!$AK$3:$AL$3,0))),IF('Map 2 Do Touch'!O35&gt;4,INDEX($AG$4:$AH$6,MATCH(INDEX($P$3:$S$6,MATCH(MOD('Map 2 Do Touch'!O34,4),$O$3:$O$6,0),MATCH(MOD('Map 2 Do Touch'!O35,4),$P$2:$S$2,0)),$AF$4:$AF$6,0),MATCH(IF('Map 2 Do Touch'!O34&gt;4,"Water","Land"),'Map 3'!$AG$3:$AH$3,0)),INDEX($AK$4:$AL$6,MATCH(INDEX($P$3:$S$6,MATCH(MOD('Map 2 Do Touch'!O34,4),$O$3:$O$6,0),MATCH(MOD('Map 2 Do Touch'!O35,4),$P$2:$S$2,0)),'Map 3'!$AJ$4:$AJ$6,0),MATCH(IF('Map 2 Do Touch'!O34&gt;4,"Water","Land"),'Map 3'!$AK$3:$AL$3,0))))</f>
        <v>Ocean</v>
      </c>
      <c r="P39" s="3" t="str">
        <f ca="1">IF('Map 2 Do Touch'!O34&lt;&gt;'Map 2 Do Touch'!O35,IF('Map 2 Do Touch'!P35&gt;4,INDEX($AG$4:$AH$6,MATCH(INDEX($I$3:$L$6,MATCH(MOD('Map 2 Do Touch'!O35,4),$H$3:$H$6,0),MATCH(MOD('Map 2 Do Touch'!P35,4),$I$2:$L$2,0)),$AF$4:$AF$6,0),MATCH(IF('Map 2 Do Touch'!O35&gt;4,"Water","Land"),'Map 3'!$AG$3:$AH$3,0)),INDEX($AK$4:$AL$6,MATCH(INDEX($I$3:$L$6,MATCH(MOD('Map 2 Do Touch'!O35,4),$H$3:$H$6,0),MATCH(MOD('Map 2 Do Touch'!P35,4),$I$2:$L$2,0)),'Map 3'!$AJ$4:$AJ$6,0),MATCH(IF('Map 2 Do Touch'!O35&gt;4,"Water","Land"),'Map 3'!$AK$3:$AL$3,0))),IF('Map 2 Do Touch'!P35&gt;4,INDEX($AG$4:$AH$6,MATCH(INDEX($P$3:$S$6,MATCH(MOD('Map 2 Do Touch'!P34,4),$O$3:$O$6,0),MATCH(MOD('Map 2 Do Touch'!P35,4),$P$2:$S$2,0)),$AF$4:$AF$6,0),MATCH(IF('Map 2 Do Touch'!P34&gt;4,"Water","Land"),'Map 3'!$AG$3:$AH$3,0)),INDEX($AK$4:$AL$6,MATCH(INDEX($P$3:$S$6,MATCH(MOD('Map 2 Do Touch'!P34,4),$O$3:$O$6,0),MATCH(MOD('Map 2 Do Touch'!P35,4),$P$2:$S$2,0)),'Map 3'!$AJ$4:$AJ$6,0),MATCH(IF('Map 2 Do Touch'!P34&gt;4,"Water","Land"),'Map 3'!$AK$3:$AL$3,0))))</f>
        <v>Ocean</v>
      </c>
      <c r="Q39" s="3" t="str">
        <f ca="1">IF('Map 2 Do Touch'!P34&lt;&gt;'Map 2 Do Touch'!P35,IF('Map 2 Do Touch'!Q35&gt;4,INDEX($AG$4:$AH$6,MATCH(INDEX($I$3:$L$6,MATCH(MOD('Map 2 Do Touch'!P35,4),$H$3:$H$6,0),MATCH(MOD('Map 2 Do Touch'!Q35,4),$I$2:$L$2,0)),$AF$4:$AF$6,0),MATCH(IF('Map 2 Do Touch'!P35&gt;4,"Water","Land"),'Map 3'!$AG$3:$AH$3,0)),INDEX($AK$4:$AL$6,MATCH(INDEX($I$3:$L$6,MATCH(MOD('Map 2 Do Touch'!P35,4),$H$3:$H$6,0),MATCH(MOD('Map 2 Do Touch'!Q35,4),$I$2:$L$2,0)),'Map 3'!$AJ$4:$AJ$6,0),MATCH(IF('Map 2 Do Touch'!P35&gt;4,"Water","Land"),'Map 3'!$AK$3:$AL$3,0))),IF('Map 2 Do Touch'!Q35&gt;4,INDEX($AG$4:$AH$6,MATCH(INDEX($P$3:$S$6,MATCH(MOD('Map 2 Do Touch'!Q34,4),$O$3:$O$6,0),MATCH(MOD('Map 2 Do Touch'!Q35,4),$P$2:$S$2,0)),$AF$4:$AF$6,0),MATCH(IF('Map 2 Do Touch'!Q34&gt;4,"Water","Land"),'Map 3'!$AG$3:$AH$3,0)),INDEX($AK$4:$AL$6,MATCH(INDEX($P$3:$S$6,MATCH(MOD('Map 2 Do Touch'!Q34,4),$O$3:$O$6,0),MATCH(MOD('Map 2 Do Touch'!Q35,4),$P$2:$S$2,0)),'Map 3'!$AJ$4:$AJ$6,0),MATCH(IF('Map 2 Do Touch'!Q34&gt;4,"Water","Land"),'Map 3'!$AK$3:$AL$3,0))))</f>
        <v>Ocean</v>
      </c>
      <c r="R39" s="3" t="str">
        <f ca="1">IF('Map 2 Do Touch'!Q34&lt;&gt;'Map 2 Do Touch'!Q35,IF('Map 2 Do Touch'!R35&gt;4,INDEX($AG$4:$AH$6,MATCH(INDEX($I$3:$L$6,MATCH(MOD('Map 2 Do Touch'!Q35,4),$H$3:$H$6,0),MATCH(MOD('Map 2 Do Touch'!R35,4),$I$2:$L$2,0)),$AF$4:$AF$6,0),MATCH(IF('Map 2 Do Touch'!Q35&gt;4,"Water","Land"),'Map 3'!$AG$3:$AH$3,0)),INDEX($AK$4:$AL$6,MATCH(INDEX($I$3:$L$6,MATCH(MOD('Map 2 Do Touch'!Q35,4),$H$3:$H$6,0),MATCH(MOD('Map 2 Do Touch'!R35,4),$I$2:$L$2,0)),'Map 3'!$AJ$4:$AJ$6,0),MATCH(IF('Map 2 Do Touch'!Q35&gt;4,"Water","Land"),'Map 3'!$AK$3:$AL$3,0))),IF('Map 2 Do Touch'!R35&gt;4,INDEX($AG$4:$AH$6,MATCH(INDEX($P$3:$S$6,MATCH(MOD('Map 2 Do Touch'!R34,4),$O$3:$O$6,0),MATCH(MOD('Map 2 Do Touch'!R35,4),$P$2:$S$2,0)),$AF$4:$AF$6,0),MATCH(IF('Map 2 Do Touch'!R34&gt;4,"Water","Land"),'Map 3'!$AG$3:$AH$3,0)),INDEX($AK$4:$AL$6,MATCH(INDEX($P$3:$S$6,MATCH(MOD('Map 2 Do Touch'!R34,4),$O$3:$O$6,0),MATCH(MOD('Map 2 Do Touch'!R35,4),$P$2:$S$2,0)),'Map 3'!$AJ$4:$AJ$6,0),MATCH(IF('Map 2 Do Touch'!R34&gt;4,"Water","Land"),'Map 3'!$AK$3:$AL$3,0))))</f>
        <v>Island</v>
      </c>
      <c r="S39" s="3" t="str">
        <f ca="1">IF('Map 2 Do Touch'!R34&lt;&gt;'Map 2 Do Touch'!R35,IF('Map 2 Do Touch'!S35&gt;4,INDEX($AG$4:$AH$6,MATCH(INDEX($I$3:$L$6,MATCH(MOD('Map 2 Do Touch'!R35,4),$H$3:$H$6,0),MATCH(MOD('Map 2 Do Touch'!S35,4),$I$2:$L$2,0)),$AF$4:$AF$6,0),MATCH(IF('Map 2 Do Touch'!R35&gt;4,"Water","Land"),'Map 3'!$AG$3:$AH$3,0)),INDEX($AK$4:$AL$6,MATCH(INDEX($I$3:$L$6,MATCH(MOD('Map 2 Do Touch'!R35,4),$H$3:$H$6,0),MATCH(MOD('Map 2 Do Touch'!S35,4),$I$2:$L$2,0)),'Map 3'!$AJ$4:$AJ$6,0),MATCH(IF('Map 2 Do Touch'!R35&gt;4,"Water","Land"),'Map 3'!$AK$3:$AL$3,0))),IF('Map 2 Do Touch'!S35&gt;4,INDEX($AG$4:$AH$6,MATCH(INDEX($P$3:$S$6,MATCH(MOD('Map 2 Do Touch'!S34,4),$O$3:$O$6,0),MATCH(MOD('Map 2 Do Touch'!S35,4),$P$2:$S$2,0)),$AF$4:$AF$6,0),MATCH(IF('Map 2 Do Touch'!S34&gt;4,"Water","Land"),'Map 3'!$AG$3:$AH$3,0)),INDEX($AK$4:$AL$6,MATCH(INDEX($P$3:$S$6,MATCH(MOD('Map 2 Do Touch'!S34,4),$O$3:$O$6,0),MATCH(MOD('Map 2 Do Touch'!S35,4),$P$2:$S$2,0)),'Map 3'!$AJ$4:$AJ$6,0),MATCH(IF('Map 2 Do Touch'!S34&gt;4,"Water","Land"),'Map 3'!$AK$3:$AL$3,0))))</f>
        <v>Ocean</v>
      </c>
      <c r="T39" s="3" t="str">
        <f ca="1">IF('Map 2 Do Touch'!S34&lt;&gt;'Map 2 Do Touch'!S35,IF('Map 2 Do Touch'!T35&gt;4,INDEX($AG$4:$AH$6,MATCH(INDEX($I$3:$L$6,MATCH(MOD('Map 2 Do Touch'!S35,4),$H$3:$H$6,0),MATCH(MOD('Map 2 Do Touch'!T35,4),$I$2:$L$2,0)),$AF$4:$AF$6,0),MATCH(IF('Map 2 Do Touch'!S35&gt;4,"Water","Land"),'Map 3'!$AG$3:$AH$3,0)),INDEX($AK$4:$AL$6,MATCH(INDEX($I$3:$L$6,MATCH(MOD('Map 2 Do Touch'!S35,4),$H$3:$H$6,0),MATCH(MOD('Map 2 Do Touch'!T35,4),$I$2:$L$2,0)),'Map 3'!$AJ$4:$AJ$6,0),MATCH(IF('Map 2 Do Touch'!S35&gt;4,"Water","Land"),'Map 3'!$AK$3:$AL$3,0))),IF('Map 2 Do Touch'!T35&gt;4,INDEX($AG$4:$AH$6,MATCH(INDEX($P$3:$S$6,MATCH(MOD('Map 2 Do Touch'!T34,4),$O$3:$O$6,0),MATCH(MOD('Map 2 Do Touch'!T35,4),$P$2:$S$2,0)),$AF$4:$AF$6,0),MATCH(IF('Map 2 Do Touch'!T34&gt;4,"Water","Land"),'Map 3'!$AG$3:$AH$3,0)),INDEX($AK$4:$AL$6,MATCH(INDEX($P$3:$S$6,MATCH(MOD('Map 2 Do Touch'!T34,4),$O$3:$O$6,0),MATCH(MOD('Map 2 Do Touch'!T35,4),$P$2:$S$2,0)),'Map 3'!$AJ$4:$AJ$6,0),MATCH(IF('Map 2 Do Touch'!T34&gt;4,"Water","Land"),'Map 3'!$AK$3:$AL$3,0))))</f>
        <v>Ocean</v>
      </c>
      <c r="U39" s="3" t="str">
        <f ca="1">IF('Map 2 Do Touch'!T34&lt;&gt;'Map 2 Do Touch'!T35,IF('Map 2 Do Touch'!U35&gt;4,INDEX($AG$4:$AH$6,MATCH(INDEX($I$3:$L$6,MATCH(MOD('Map 2 Do Touch'!T35,4),$H$3:$H$6,0),MATCH(MOD('Map 2 Do Touch'!U35,4),$I$2:$L$2,0)),$AF$4:$AF$6,0),MATCH(IF('Map 2 Do Touch'!T35&gt;4,"Water","Land"),'Map 3'!$AG$3:$AH$3,0)),INDEX($AK$4:$AL$6,MATCH(INDEX($I$3:$L$6,MATCH(MOD('Map 2 Do Touch'!T35,4),$H$3:$H$6,0),MATCH(MOD('Map 2 Do Touch'!U35,4),$I$2:$L$2,0)),'Map 3'!$AJ$4:$AJ$6,0),MATCH(IF('Map 2 Do Touch'!T35&gt;4,"Water","Land"),'Map 3'!$AK$3:$AL$3,0))),IF('Map 2 Do Touch'!U35&gt;4,INDEX($AG$4:$AH$6,MATCH(INDEX($P$3:$S$6,MATCH(MOD('Map 2 Do Touch'!U34,4),$O$3:$O$6,0),MATCH(MOD('Map 2 Do Touch'!U35,4),$P$2:$S$2,0)),$AF$4:$AF$6,0),MATCH(IF('Map 2 Do Touch'!U34&gt;4,"Water","Land"),'Map 3'!$AG$3:$AH$3,0)),INDEX($AK$4:$AL$6,MATCH(INDEX($P$3:$S$6,MATCH(MOD('Map 2 Do Touch'!U34,4),$O$3:$O$6,0),MATCH(MOD('Map 2 Do Touch'!U35,4),$P$2:$S$2,0)),'Map 3'!$AJ$4:$AJ$6,0),MATCH(IF('Map 2 Do Touch'!U34&gt;4,"Water","Land"),'Map 3'!$AK$3:$AL$3,0))))</f>
        <v>Island</v>
      </c>
      <c r="V39" s="3" t="str">
        <f ca="1">IF('Map 2 Do Touch'!U34&lt;&gt;'Map 2 Do Touch'!U35,IF('Map 2 Do Touch'!V35&gt;4,INDEX($AG$4:$AH$6,MATCH(INDEX($I$3:$L$6,MATCH(MOD('Map 2 Do Touch'!U35,4),$H$3:$H$6,0),MATCH(MOD('Map 2 Do Touch'!V35,4),$I$2:$L$2,0)),$AF$4:$AF$6,0),MATCH(IF('Map 2 Do Touch'!U35&gt;4,"Water","Land"),'Map 3'!$AG$3:$AH$3,0)),INDEX($AK$4:$AL$6,MATCH(INDEX($I$3:$L$6,MATCH(MOD('Map 2 Do Touch'!U35,4),$H$3:$H$6,0),MATCH(MOD('Map 2 Do Touch'!V35,4),$I$2:$L$2,0)),'Map 3'!$AJ$4:$AJ$6,0),MATCH(IF('Map 2 Do Touch'!U35&gt;4,"Water","Land"),'Map 3'!$AK$3:$AL$3,0))),IF('Map 2 Do Touch'!V35&gt;4,INDEX($AG$4:$AH$6,MATCH(INDEX($P$3:$S$6,MATCH(MOD('Map 2 Do Touch'!V34,4),$O$3:$O$6,0),MATCH(MOD('Map 2 Do Touch'!V35,4),$P$2:$S$2,0)),$AF$4:$AF$6,0),MATCH(IF('Map 2 Do Touch'!V34&gt;4,"Water","Land"),'Map 3'!$AG$3:$AH$3,0)),INDEX($AK$4:$AL$6,MATCH(INDEX($P$3:$S$6,MATCH(MOD('Map 2 Do Touch'!V34,4),$O$3:$O$6,0),MATCH(MOD('Map 2 Do Touch'!V35,4),$P$2:$S$2,0)),'Map 3'!$AJ$4:$AJ$6,0),MATCH(IF('Map 2 Do Touch'!V34&gt;4,"Water","Land"),'Map 3'!$AK$3:$AL$3,0))))</f>
        <v>Trench</v>
      </c>
      <c r="W39" s="3" t="str">
        <f ca="1">IF('Map 2 Do Touch'!V34&lt;&gt;'Map 2 Do Touch'!V35,IF('Map 2 Do Touch'!W35&gt;4,INDEX($AG$4:$AH$6,MATCH(INDEX($I$3:$L$6,MATCH(MOD('Map 2 Do Touch'!V35,4),$H$3:$H$6,0),MATCH(MOD('Map 2 Do Touch'!W35,4),$I$2:$L$2,0)),$AF$4:$AF$6,0),MATCH(IF('Map 2 Do Touch'!V35&gt;4,"Water","Land"),'Map 3'!$AG$3:$AH$3,0)),INDEX($AK$4:$AL$6,MATCH(INDEX($I$3:$L$6,MATCH(MOD('Map 2 Do Touch'!V35,4),$H$3:$H$6,0),MATCH(MOD('Map 2 Do Touch'!W35,4),$I$2:$L$2,0)),'Map 3'!$AJ$4:$AJ$6,0),MATCH(IF('Map 2 Do Touch'!V35&gt;4,"Water","Land"),'Map 3'!$AK$3:$AL$3,0))),IF('Map 2 Do Touch'!W35&gt;4,INDEX($AG$4:$AH$6,MATCH(INDEX($P$3:$S$6,MATCH(MOD('Map 2 Do Touch'!W34,4),$O$3:$O$6,0),MATCH(MOD('Map 2 Do Touch'!W35,4),$P$2:$S$2,0)),$AF$4:$AF$6,0),MATCH(IF('Map 2 Do Touch'!W34&gt;4,"Water","Land"),'Map 3'!$AG$3:$AH$3,0)),INDEX($AK$4:$AL$6,MATCH(INDEX($P$3:$S$6,MATCH(MOD('Map 2 Do Touch'!W34,4),$O$3:$O$6,0),MATCH(MOD('Map 2 Do Touch'!W35,4),$P$2:$S$2,0)),'Map 3'!$AJ$4:$AJ$6,0),MATCH(IF('Map 2 Do Touch'!W34&gt;4,"Water","Land"),'Map 3'!$AK$3:$AL$3,0))))</f>
        <v>Ocean</v>
      </c>
      <c r="X39" s="3" t="str">
        <f ca="1">IF('Map 2 Do Touch'!W34&lt;&gt;'Map 2 Do Touch'!W35,IF('Map 2 Do Touch'!X35&gt;4,INDEX($AG$4:$AH$6,MATCH(INDEX($I$3:$L$6,MATCH(MOD('Map 2 Do Touch'!W35,4),$H$3:$H$6,0),MATCH(MOD('Map 2 Do Touch'!X35,4),$I$2:$L$2,0)),$AF$4:$AF$6,0),MATCH(IF('Map 2 Do Touch'!W35&gt;4,"Water","Land"),'Map 3'!$AG$3:$AH$3,0)),INDEX($AK$4:$AL$6,MATCH(INDEX($I$3:$L$6,MATCH(MOD('Map 2 Do Touch'!W35,4),$H$3:$H$6,0),MATCH(MOD('Map 2 Do Touch'!X35,4),$I$2:$L$2,0)),'Map 3'!$AJ$4:$AJ$6,0),MATCH(IF('Map 2 Do Touch'!W35&gt;4,"Water","Land"),'Map 3'!$AK$3:$AL$3,0))),IF('Map 2 Do Touch'!X35&gt;4,INDEX($AG$4:$AH$6,MATCH(INDEX($P$3:$S$6,MATCH(MOD('Map 2 Do Touch'!X34,4),$O$3:$O$6,0),MATCH(MOD('Map 2 Do Touch'!X35,4),$P$2:$S$2,0)),$AF$4:$AF$6,0),MATCH(IF('Map 2 Do Touch'!X34&gt;4,"Water","Land"),'Map 3'!$AG$3:$AH$3,0)),INDEX($AK$4:$AL$6,MATCH(INDEX($P$3:$S$6,MATCH(MOD('Map 2 Do Touch'!X34,4),$O$3:$O$6,0),MATCH(MOD('Map 2 Do Touch'!X35,4),$P$2:$S$2,0)),'Map 3'!$AJ$4:$AJ$6,0),MATCH(IF('Map 2 Do Touch'!X34&gt;4,"Water","Land"),'Map 3'!$AK$3:$AL$3,0))))</f>
        <v>Ocean</v>
      </c>
      <c r="Y39" s="3" t="str">
        <f ca="1">IF('Map 2 Do Touch'!X34&lt;&gt;'Map 2 Do Touch'!X35,IF('Map 2 Do Touch'!Y35&gt;4,INDEX($AG$4:$AH$6,MATCH(INDEX($I$3:$L$6,MATCH(MOD('Map 2 Do Touch'!X35,4),$H$3:$H$6,0),MATCH(MOD('Map 2 Do Touch'!Y35,4),$I$2:$L$2,0)),$AF$4:$AF$6,0),MATCH(IF('Map 2 Do Touch'!X35&gt;4,"Water","Land"),'Map 3'!$AG$3:$AH$3,0)),INDEX($AK$4:$AL$6,MATCH(INDEX($I$3:$L$6,MATCH(MOD('Map 2 Do Touch'!X35,4),$H$3:$H$6,0),MATCH(MOD('Map 2 Do Touch'!Y35,4),$I$2:$L$2,0)),'Map 3'!$AJ$4:$AJ$6,0),MATCH(IF('Map 2 Do Touch'!X35&gt;4,"Water","Land"),'Map 3'!$AK$3:$AL$3,0))),IF('Map 2 Do Touch'!Y35&gt;4,INDEX($AG$4:$AH$6,MATCH(INDEX($P$3:$S$6,MATCH(MOD('Map 2 Do Touch'!Y34,4),$O$3:$O$6,0),MATCH(MOD('Map 2 Do Touch'!Y35,4),$P$2:$S$2,0)),$AF$4:$AF$6,0),MATCH(IF('Map 2 Do Touch'!Y34&gt;4,"Water","Land"),'Map 3'!$AG$3:$AH$3,0)),INDEX($AK$4:$AL$6,MATCH(INDEX($P$3:$S$6,MATCH(MOD('Map 2 Do Touch'!Y34,4),$O$3:$O$6,0),MATCH(MOD('Map 2 Do Touch'!Y35,4),$P$2:$S$2,0)),'Map 3'!$AJ$4:$AJ$6,0),MATCH(IF('Map 2 Do Touch'!Y34&gt;4,"Water","Land"),'Map 3'!$AK$3:$AL$3,0))))</f>
        <v>Ocean</v>
      </c>
      <c r="Z39" s="3" t="str">
        <f ca="1">IF('Map 2 Do Touch'!Y34&lt;&gt;'Map 2 Do Touch'!Y35,IF('Map 2 Do Touch'!Z35&gt;4,INDEX($AG$4:$AH$6,MATCH(INDEX($I$3:$L$6,MATCH(MOD('Map 2 Do Touch'!Y35,4),$H$3:$H$6,0),MATCH(MOD('Map 2 Do Touch'!Z35,4),$I$2:$L$2,0)),$AF$4:$AF$6,0),MATCH(IF('Map 2 Do Touch'!Y35&gt;4,"Water","Land"),'Map 3'!$AG$3:$AH$3,0)),INDEX($AK$4:$AL$6,MATCH(INDEX($I$3:$L$6,MATCH(MOD('Map 2 Do Touch'!Y35,4),$H$3:$H$6,0),MATCH(MOD('Map 2 Do Touch'!Z35,4),$I$2:$L$2,0)),'Map 3'!$AJ$4:$AJ$6,0),MATCH(IF('Map 2 Do Touch'!Y35&gt;4,"Water","Land"),'Map 3'!$AK$3:$AL$3,0))),IF('Map 2 Do Touch'!Z35&gt;4,INDEX($AG$4:$AH$6,MATCH(INDEX($P$3:$S$6,MATCH(MOD('Map 2 Do Touch'!Z34,4),$O$3:$O$6,0),MATCH(MOD('Map 2 Do Touch'!Z35,4),$P$2:$S$2,0)),$AF$4:$AF$6,0),MATCH(IF('Map 2 Do Touch'!Z34&gt;4,"Water","Land"),'Map 3'!$AG$3:$AH$3,0)),INDEX($AK$4:$AL$6,MATCH(INDEX($P$3:$S$6,MATCH(MOD('Map 2 Do Touch'!Z34,4),$O$3:$O$6,0),MATCH(MOD('Map 2 Do Touch'!Z35,4),$P$2:$S$2,0)),'Map 3'!$AJ$4:$AJ$6,0),MATCH(IF('Map 2 Do Touch'!Z34&gt;4,"Water","Land"),'Map 3'!$AK$3:$AL$3,0))))</f>
        <v>Ocean</v>
      </c>
      <c r="AA39" s="3" t="str">
        <f ca="1">IF('Map 2 Do Touch'!Z34&lt;&gt;'Map 2 Do Touch'!Z35,IF('Map 2 Do Touch'!AA35&gt;4,INDEX($AG$4:$AH$6,MATCH(INDEX($I$3:$L$6,MATCH(MOD('Map 2 Do Touch'!Z35,4),$H$3:$H$6,0),MATCH(MOD('Map 2 Do Touch'!AA35,4),$I$2:$L$2,0)),$AF$4:$AF$6,0),MATCH(IF('Map 2 Do Touch'!Z35&gt;4,"Water","Land"),'Map 3'!$AG$3:$AH$3,0)),INDEX($AK$4:$AL$6,MATCH(INDEX($I$3:$L$6,MATCH(MOD('Map 2 Do Touch'!Z35,4),$H$3:$H$6,0),MATCH(MOD('Map 2 Do Touch'!AA35,4),$I$2:$L$2,0)),'Map 3'!$AJ$4:$AJ$6,0),MATCH(IF('Map 2 Do Touch'!Z35&gt;4,"Water","Land"),'Map 3'!$AK$3:$AL$3,0))),IF('Map 2 Do Touch'!AA35&gt;4,INDEX($AG$4:$AH$6,MATCH(INDEX($P$3:$S$6,MATCH(MOD('Map 2 Do Touch'!AA34,4),$O$3:$O$6,0),MATCH(MOD('Map 2 Do Touch'!AA35,4),$P$2:$S$2,0)),$AF$4:$AF$6,0),MATCH(IF('Map 2 Do Touch'!AA34&gt;4,"Water","Land"),'Map 3'!$AG$3:$AH$3,0)),INDEX($AK$4:$AL$6,MATCH(INDEX($P$3:$S$6,MATCH(MOD('Map 2 Do Touch'!AA34,4),$O$3:$O$6,0),MATCH(MOD('Map 2 Do Touch'!AA35,4),$P$2:$S$2,0)),'Map 3'!$AJ$4:$AJ$6,0),MATCH(IF('Map 2 Do Touch'!AA34&gt;4,"Water","Land"),'Map 3'!$AK$3:$AL$3,0))))</f>
        <v>Ocean</v>
      </c>
      <c r="AB39" s="3" t="str">
        <f ca="1">IF('Map 2 Do Touch'!AA34&lt;&gt;'Map 2 Do Touch'!AA35,IF('Map 2 Do Touch'!AB35&gt;4,INDEX($AG$4:$AH$6,MATCH(INDEX($I$3:$L$6,MATCH(MOD('Map 2 Do Touch'!AA35,4),$H$3:$H$6,0),MATCH(MOD('Map 2 Do Touch'!AB35,4),$I$2:$L$2,0)),$AF$4:$AF$6,0),MATCH(IF('Map 2 Do Touch'!AA35&gt;4,"Water","Land"),'Map 3'!$AG$3:$AH$3,0)),INDEX($AK$4:$AL$6,MATCH(INDEX($I$3:$L$6,MATCH(MOD('Map 2 Do Touch'!AA35,4),$H$3:$H$6,0),MATCH(MOD('Map 2 Do Touch'!AB35,4),$I$2:$L$2,0)),'Map 3'!$AJ$4:$AJ$6,0),MATCH(IF('Map 2 Do Touch'!AA35&gt;4,"Water","Land"),'Map 3'!$AK$3:$AL$3,0))),IF('Map 2 Do Touch'!AB35&gt;4,INDEX($AG$4:$AH$6,MATCH(INDEX($P$3:$S$6,MATCH(MOD('Map 2 Do Touch'!AB34,4),$O$3:$O$6,0),MATCH(MOD('Map 2 Do Touch'!AB35,4),$P$2:$S$2,0)),$AF$4:$AF$6,0),MATCH(IF('Map 2 Do Touch'!AB34&gt;4,"Water","Land"),'Map 3'!$AG$3:$AH$3,0)),INDEX($AK$4:$AL$6,MATCH(INDEX($P$3:$S$6,MATCH(MOD('Map 2 Do Touch'!AB34,4),$O$3:$O$6,0),MATCH(MOD('Map 2 Do Touch'!AB35,4),$P$2:$S$2,0)),'Map 3'!$AJ$4:$AJ$6,0),MATCH(IF('Map 2 Do Touch'!AB34&gt;4,"Water","Land"),'Map 3'!$AK$3:$AL$3,0))))</f>
        <v>Ocean</v>
      </c>
      <c r="AC39" s="3" t="str">
        <f ca="1">IF('Map 2 Do Touch'!AB34&lt;&gt;'Map 2 Do Touch'!AB35,IF('Map 2 Do Touch'!AC35&gt;4,INDEX($AG$4:$AH$6,MATCH(INDEX($I$3:$L$6,MATCH(MOD('Map 2 Do Touch'!AB35,4),$H$3:$H$6,0),MATCH(MOD('Map 2 Do Touch'!AC35,4),$I$2:$L$2,0)),$AF$4:$AF$6,0),MATCH(IF('Map 2 Do Touch'!AB35&gt;4,"Water","Land"),'Map 3'!$AG$3:$AH$3,0)),INDEX($AK$4:$AL$6,MATCH(INDEX($I$3:$L$6,MATCH(MOD('Map 2 Do Touch'!AB35,4),$H$3:$H$6,0),MATCH(MOD('Map 2 Do Touch'!AC35,4),$I$2:$L$2,0)),'Map 3'!$AJ$4:$AJ$6,0),MATCH(IF('Map 2 Do Touch'!AB35&gt;4,"Water","Land"),'Map 3'!$AK$3:$AL$3,0))),IF('Map 2 Do Touch'!AC35&gt;4,INDEX($AG$4:$AH$6,MATCH(INDEX($P$3:$S$6,MATCH(MOD('Map 2 Do Touch'!AC34,4),$O$3:$O$6,0),MATCH(MOD('Map 2 Do Touch'!AC35,4),$P$2:$S$2,0)),$AF$4:$AF$6,0),MATCH(IF('Map 2 Do Touch'!AC34&gt;4,"Water","Land"),'Map 3'!$AG$3:$AH$3,0)),INDEX($AK$4:$AL$6,MATCH(INDEX($P$3:$S$6,MATCH(MOD('Map 2 Do Touch'!AC34,4),$O$3:$O$6,0),MATCH(MOD('Map 2 Do Touch'!AC35,4),$P$2:$S$2,0)),'Map 3'!$AJ$4:$AJ$6,0),MATCH(IF('Map 2 Do Touch'!AC34&gt;4,"Water","Land"),'Map 3'!$AK$3:$AL$3,0))))</f>
        <v>Ocean</v>
      </c>
      <c r="AD39" s="3" t="str">
        <f ca="1">IF('Map 2 Do Touch'!AC34&lt;&gt;'Map 2 Do Touch'!AC35,IF('Map 2 Do Touch'!AD35&gt;4,INDEX($AG$4:$AH$6,MATCH(INDEX($I$3:$L$6,MATCH(MOD('Map 2 Do Touch'!AC35,4),$H$3:$H$6,0),MATCH(MOD('Map 2 Do Touch'!AD35,4),$I$2:$L$2,0)),$AF$4:$AF$6,0),MATCH(IF('Map 2 Do Touch'!AC35&gt;4,"Water","Land"),'Map 3'!$AG$3:$AH$3,0)),INDEX($AK$4:$AL$6,MATCH(INDEX($I$3:$L$6,MATCH(MOD('Map 2 Do Touch'!AC35,4),$H$3:$H$6,0),MATCH(MOD('Map 2 Do Touch'!AD35,4),$I$2:$L$2,0)),'Map 3'!$AJ$4:$AJ$6,0),MATCH(IF('Map 2 Do Touch'!AC35&gt;4,"Water","Land"),'Map 3'!$AK$3:$AL$3,0))),IF('Map 2 Do Touch'!AD35&gt;4,INDEX($AG$4:$AH$6,MATCH(INDEX($P$3:$S$6,MATCH(MOD('Map 2 Do Touch'!AD34,4),$O$3:$O$6,0),MATCH(MOD('Map 2 Do Touch'!AD35,4),$P$2:$S$2,0)),$AF$4:$AF$6,0),MATCH(IF('Map 2 Do Touch'!AD34&gt;4,"Water","Land"),'Map 3'!$AG$3:$AH$3,0)),INDEX($AK$4:$AL$6,MATCH(INDEX($P$3:$S$6,MATCH(MOD('Map 2 Do Touch'!AD34,4),$O$3:$O$6,0),MATCH(MOD('Map 2 Do Touch'!AD35,4),$P$2:$S$2,0)),'Map 3'!$AJ$4:$AJ$6,0),MATCH(IF('Map 2 Do Touch'!AD34&gt;4,"Water","Land"),'Map 3'!$AK$3:$AL$3,0))))</f>
        <v>Ocean</v>
      </c>
      <c r="AE39" s="3" t="str">
        <f ca="1">IF('Map 2 Do Touch'!AD34&lt;&gt;'Map 2 Do Touch'!AD35,IF('Map 2 Do Touch'!AE35&gt;4,INDEX($AG$4:$AH$6,MATCH(INDEX($I$3:$L$6,MATCH(MOD('Map 2 Do Touch'!AD35,4),$H$3:$H$6,0),MATCH(MOD('Map 2 Do Touch'!AE35,4),$I$2:$L$2,0)),$AF$4:$AF$6,0),MATCH(IF('Map 2 Do Touch'!AD35&gt;4,"Water","Land"),'Map 3'!$AG$3:$AH$3,0)),INDEX($AK$4:$AL$6,MATCH(INDEX($I$3:$L$6,MATCH(MOD('Map 2 Do Touch'!AD35,4),$H$3:$H$6,0),MATCH(MOD('Map 2 Do Touch'!AE35,4),$I$2:$L$2,0)),'Map 3'!$AJ$4:$AJ$6,0),MATCH(IF('Map 2 Do Touch'!AD35&gt;4,"Water","Land"),'Map 3'!$AK$3:$AL$3,0))),IF('Map 2 Do Touch'!AE35&gt;4,INDEX($AG$4:$AH$6,MATCH(INDEX($P$3:$S$6,MATCH(MOD('Map 2 Do Touch'!AE34,4),$O$3:$O$6,0),MATCH(MOD('Map 2 Do Touch'!AE35,4),$P$2:$S$2,0)),$AF$4:$AF$6,0),MATCH(IF('Map 2 Do Touch'!AE34&gt;4,"Water","Land"),'Map 3'!$AG$3:$AH$3,0)),INDEX($AK$4:$AL$6,MATCH(INDEX($P$3:$S$6,MATCH(MOD('Map 2 Do Touch'!AE34,4),$O$3:$O$6,0),MATCH(MOD('Map 2 Do Touch'!AE35,4),$P$2:$S$2,0)),'Map 3'!$AJ$4:$AJ$6,0),MATCH(IF('Map 2 Do Touch'!AE34&gt;4,"Water","Land"),'Map 3'!$AK$3:$AL$3,0))))</f>
        <v>Island</v>
      </c>
      <c r="AF39" s="3" t="str">
        <f ca="1">IF('Map 2 Do Touch'!AE34&lt;&gt;'Map 2 Do Touch'!AE35,IF('Map 2 Do Touch'!AF35&gt;4,INDEX($AG$4:$AH$6,MATCH(INDEX($I$3:$L$6,MATCH(MOD('Map 2 Do Touch'!AE35,4),$H$3:$H$6,0),MATCH(MOD('Map 2 Do Touch'!AF35,4),$I$2:$L$2,0)),$AF$4:$AF$6,0),MATCH(IF('Map 2 Do Touch'!AE35&gt;4,"Water","Land"),'Map 3'!$AG$3:$AH$3,0)),INDEX($AK$4:$AL$6,MATCH(INDEX($I$3:$L$6,MATCH(MOD('Map 2 Do Touch'!AE35,4),$H$3:$H$6,0),MATCH(MOD('Map 2 Do Touch'!AF35,4),$I$2:$L$2,0)),'Map 3'!$AJ$4:$AJ$6,0),MATCH(IF('Map 2 Do Touch'!AE35&gt;4,"Water","Land"),'Map 3'!$AK$3:$AL$3,0))),IF('Map 2 Do Touch'!AF35&gt;4,INDEX($AG$4:$AH$6,MATCH(INDEX($P$3:$S$6,MATCH(MOD('Map 2 Do Touch'!AF34,4),$O$3:$O$6,0),MATCH(MOD('Map 2 Do Touch'!AF35,4),$P$2:$S$2,0)),$AF$4:$AF$6,0),MATCH(IF('Map 2 Do Touch'!AF34&gt;4,"Water","Land"),'Map 3'!$AG$3:$AH$3,0)),INDEX($AK$4:$AL$6,MATCH(INDEX($P$3:$S$6,MATCH(MOD('Map 2 Do Touch'!AF34,4),$O$3:$O$6,0),MATCH(MOD('Map 2 Do Touch'!AF35,4),$P$2:$S$2,0)),'Map 3'!$AJ$4:$AJ$6,0),MATCH(IF('Map 2 Do Touch'!AF34&gt;4,"Water","Land"),'Map 3'!$AK$3:$AL$3,0))))</f>
        <v>Ocean</v>
      </c>
      <c r="AG39" s="3" t="str">
        <f ca="1">IF('Map 2 Do Touch'!AF34&lt;&gt;'Map 2 Do Touch'!AF35,IF('Map 2 Do Touch'!AG35&gt;4,INDEX($AG$4:$AH$6,MATCH(INDEX($I$3:$L$6,MATCH(MOD('Map 2 Do Touch'!AF35,4),$H$3:$H$6,0),MATCH(MOD('Map 2 Do Touch'!AG35,4),$I$2:$L$2,0)),$AF$4:$AF$6,0),MATCH(IF('Map 2 Do Touch'!AF35&gt;4,"Water","Land"),'Map 3'!$AG$3:$AH$3,0)),INDEX($AK$4:$AL$6,MATCH(INDEX($I$3:$L$6,MATCH(MOD('Map 2 Do Touch'!AF35,4),$H$3:$H$6,0),MATCH(MOD('Map 2 Do Touch'!AG35,4),$I$2:$L$2,0)),'Map 3'!$AJ$4:$AJ$6,0),MATCH(IF('Map 2 Do Touch'!AF35&gt;4,"Water","Land"),'Map 3'!$AK$3:$AL$3,0))),IF('Map 2 Do Touch'!AG35&gt;4,INDEX($AG$4:$AH$6,MATCH(INDEX($P$3:$S$6,MATCH(MOD('Map 2 Do Touch'!AG34,4),$O$3:$O$6,0),MATCH(MOD('Map 2 Do Touch'!AG35,4),$P$2:$S$2,0)),$AF$4:$AF$6,0),MATCH(IF('Map 2 Do Touch'!AG34&gt;4,"Water","Land"),'Map 3'!$AG$3:$AH$3,0)),INDEX($AK$4:$AL$6,MATCH(INDEX($P$3:$S$6,MATCH(MOD('Map 2 Do Touch'!AG34,4),$O$3:$O$6,0),MATCH(MOD('Map 2 Do Touch'!AG35,4),$P$2:$S$2,0)),'Map 3'!$AJ$4:$AJ$6,0),MATCH(IF('Map 2 Do Touch'!AG34&gt;4,"Water","Land"),'Map 3'!$AK$3:$AL$3,0))))</f>
        <v>Ocean</v>
      </c>
      <c r="AH39" s="3" t="str">
        <f ca="1">IF('Map 2 Do Touch'!AG34&lt;&gt;'Map 2 Do Touch'!AG35,IF('Map 2 Do Touch'!AH35&gt;4,INDEX($AG$4:$AH$6,MATCH(INDEX($I$3:$L$6,MATCH(MOD('Map 2 Do Touch'!AG35,4),$H$3:$H$6,0),MATCH(MOD('Map 2 Do Touch'!AH35,4),$I$2:$L$2,0)),$AF$4:$AF$6,0),MATCH(IF('Map 2 Do Touch'!AG35&gt;4,"Water","Land"),'Map 3'!$AG$3:$AH$3,0)),INDEX($AK$4:$AL$6,MATCH(INDEX($I$3:$L$6,MATCH(MOD('Map 2 Do Touch'!AG35,4),$H$3:$H$6,0),MATCH(MOD('Map 2 Do Touch'!AH35,4),$I$2:$L$2,0)),'Map 3'!$AJ$4:$AJ$6,0),MATCH(IF('Map 2 Do Touch'!AG35&gt;4,"Water","Land"),'Map 3'!$AK$3:$AL$3,0))),IF('Map 2 Do Touch'!AH35&gt;4,INDEX($AG$4:$AH$6,MATCH(INDEX($P$3:$S$6,MATCH(MOD('Map 2 Do Touch'!AH34,4),$O$3:$O$6,0),MATCH(MOD('Map 2 Do Touch'!AH35,4),$P$2:$S$2,0)),$AF$4:$AF$6,0),MATCH(IF('Map 2 Do Touch'!AH34&gt;4,"Water","Land"),'Map 3'!$AG$3:$AH$3,0)),INDEX($AK$4:$AL$6,MATCH(INDEX($P$3:$S$6,MATCH(MOD('Map 2 Do Touch'!AH34,4),$O$3:$O$6,0),MATCH(MOD('Map 2 Do Touch'!AH35,4),$P$2:$S$2,0)),'Map 3'!$AJ$4:$AJ$6,0),MATCH(IF('Map 2 Do Touch'!AH34&gt;4,"Water","Land"),'Map 3'!$AK$3:$AL$3,0))))</f>
        <v>Ocean</v>
      </c>
      <c r="AI39" s="3" t="str">
        <f ca="1">IF('Map 2 Do Touch'!AH34&lt;&gt;'Map 2 Do Touch'!AH35,IF('Map 2 Do Touch'!AI35&gt;4,INDEX($AG$4:$AH$6,MATCH(INDEX($I$3:$L$6,MATCH(MOD('Map 2 Do Touch'!AH35,4),$H$3:$H$6,0),MATCH(MOD('Map 2 Do Touch'!AI35,4),$I$2:$L$2,0)),$AF$4:$AF$6,0),MATCH(IF('Map 2 Do Touch'!AH35&gt;4,"Water","Land"),'Map 3'!$AG$3:$AH$3,0)),INDEX($AK$4:$AL$6,MATCH(INDEX($I$3:$L$6,MATCH(MOD('Map 2 Do Touch'!AH35,4),$H$3:$H$6,0),MATCH(MOD('Map 2 Do Touch'!AI35,4),$I$2:$L$2,0)),'Map 3'!$AJ$4:$AJ$6,0),MATCH(IF('Map 2 Do Touch'!AH35&gt;4,"Water","Land"),'Map 3'!$AK$3:$AL$3,0))),IF('Map 2 Do Touch'!AI35&gt;4,INDEX($AG$4:$AH$6,MATCH(INDEX($P$3:$S$6,MATCH(MOD('Map 2 Do Touch'!AI34,4),$O$3:$O$6,0),MATCH(MOD('Map 2 Do Touch'!AI35,4),$P$2:$S$2,0)),$AF$4:$AF$6,0),MATCH(IF('Map 2 Do Touch'!AI34&gt;4,"Water","Land"),'Map 3'!$AG$3:$AH$3,0)),INDEX($AK$4:$AL$6,MATCH(INDEX($P$3:$S$6,MATCH(MOD('Map 2 Do Touch'!AI34,4),$O$3:$O$6,0),MATCH(MOD('Map 2 Do Touch'!AI35,4),$P$2:$S$2,0)),'Map 3'!$AJ$4:$AJ$6,0),MATCH(IF('Map 2 Do Touch'!AI34&gt;4,"Water","Land"),'Map 3'!$AK$3:$AL$3,0))))</f>
        <v>Ocean</v>
      </c>
      <c r="AJ39" s="3" t="str">
        <f ca="1">IF('Map 2 Do Touch'!AI34&lt;&gt;'Map 2 Do Touch'!AI35,IF('Map 2 Do Touch'!AJ35&gt;4,INDEX($AG$4:$AH$6,MATCH(INDEX($I$3:$L$6,MATCH(MOD('Map 2 Do Touch'!AI35,4),$H$3:$H$6,0),MATCH(MOD('Map 2 Do Touch'!AJ35,4),$I$2:$L$2,0)),$AF$4:$AF$6,0),MATCH(IF('Map 2 Do Touch'!AI35&gt;4,"Water","Land"),'Map 3'!$AG$3:$AH$3,0)),INDEX($AK$4:$AL$6,MATCH(INDEX($I$3:$L$6,MATCH(MOD('Map 2 Do Touch'!AI35,4),$H$3:$H$6,0),MATCH(MOD('Map 2 Do Touch'!AJ35,4),$I$2:$L$2,0)),'Map 3'!$AJ$4:$AJ$6,0),MATCH(IF('Map 2 Do Touch'!AI35&gt;4,"Water","Land"),'Map 3'!$AK$3:$AL$3,0))),IF('Map 2 Do Touch'!AJ35&gt;4,INDEX($AG$4:$AH$6,MATCH(INDEX($P$3:$S$6,MATCH(MOD('Map 2 Do Touch'!AJ34,4),$O$3:$O$6,0),MATCH(MOD('Map 2 Do Touch'!AJ35,4),$P$2:$S$2,0)),$AF$4:$AF$6,0),MATCH(IF('Map 2 Do Touch'!AJ34&gt;4,"Water","Land"),'Map 3'!$AG$3:$AH$3,0)),INDEX($AK$4:$AL$6,MATCH(INDEX($P$3:$S$6,MATCH(MOD('Map 2 Do Touch'!AJ34,4),$O$3:$O$6,0),MATCH(MOD('Map 2 Do Touch'!AJ35,4),$P$2:$S$2,0)),'Map 3'!$AJ$4:$AJ$6,0),MATCH(IF('Map 2 Do Touch'!AJ34&gt;4,"Water","Land"),'Map 3'!$AK$3:$AL$3,0))))</f>
        <v>Trench</v>
      </c>
      <c r="AK39" s="3" t="str">
        <f ca="1">IF('Map 2 Do Touch'!AJ34&lt;&gt;'Map 2 Do Touch'!AJ35,IF('Map 2 Do Touch'!AK35&gt;4,INDEX($AG$4:$AH$6,MATCH(INDEX($I$3:$L$6,MATCH(MOD('Map 2 Do Touch'!AJ35,4),$H$3:$H$6,0),MATCH(MOD('Map 2 Do Touch'!AK35,4),$I$2:$L$2,0)),$AF$4:$AF$6,0),MATCH(IF('Map 2 Do Touch'!AJ35&gt;4,"Water","Land"),'Map 3'!$AG$3:$AH$3,0)),INDEX($AK$4:$AL$6,MATCH(INDEX($I$3:$L$6,MATCH(MOD('Map 2 Do Touch'!AJ35,4),$H$3:$H$6,0),MATCH(MOD('Map 2 Do Touch'!AK35,4),$I$2:$L$2,0)),'Map 3'!$AJ$4:$AJ$6,0),MATCH(IF('Map 2 Do Touch'!AJ35&gt;4,"Water","Land"),'Map 3'!$AK$3:$AL$3,0))),IF('Map 2 Do Touch'!AK35&gt;4,INDEX($AG$4:$AH$6,MATCH(INDEX($P$3:$S$6,MATCH(MOD('Map 2 Do Touch'!AK34,4),$O$3:$O$6,0),MATCH(MOD('Map 2 Do Touch'!AK35,4),$P$2:$S$2,0)),$AF$4:$AF$6,0),MATCH(IF('Map 2 Do Touch'!AK34&gt;4,"Water","Land"),'Map 3'!$AG$3:$AH$3,0)),INDEX($AK$4:$AL$6,MATCH(INDEX($P$3:$S$6,MATCH(MOD('Map 2 Do Touch'!AK34,4),$O$3:$O$6,0),MATCH(MOD('Map 2 Do Touch'!AK35,4),$P$2:$S$2,0)),'Map 3'!$AJ$4:$AJ$6,0),MATCH(IF('Map 2 Do Touch'!AK34&gt;4,"Water","Land"),'Map 3'!$AK$3:$AL$3,0))))</f>
        <v>Island</v>
      </c>
      <c r="AL39" s="3" t="str">
        <f ca="1">IF('Map 2 Do Touch'!AK34&lt;&gt;'Map 2 Do Touch'!AK35,IF('Map 2 Do Touch'!AL35&gt;4,INDEX($AG$4:$AH$6,MATCH(INDEX($I$3:$L$6,MATCH(MOD('Map 2 Do Touch'!AK35,4),$H$3:$H$6,0),MATCH(MOD('Map 2 Do Touch'!AL35,4),$I$2:$L$2,0)),$AF$4:$AF$6,0),MATCH(IF('Map 2 Do Touch'!AK35&gt;4,"Water","Land"),'Map 3'!$AG$3:$AH$3,0)),INDEX($AK$4:$AL$6,MATCH(INDEX($I$3:$L$6,MATCH(MOD('Map 2 Do Touch'!AK35,4),$H$3:$H$6,0),MATCH(MOD('Map 2 Do Touch'!AL35,4),$I$2:$L$2,0)),'Map 3'!$AJ$4:$AJ$6,0),MATCH(IF('Map 2 Do Touch'!AK35&gt;4,"Water","Land"),'Map 3'!$AK$3:$AL$3,0))),IF('Map 2 Do Touch'!AL35&gt;4,INDEX($AG$4:$AH$6,MATCH(INDEX($P$3:$S$6,MATCH(MOD('Map 2 Do Touch'!AL34,4),$O$3:$O$6,0),MATCH(MOD('Map 2 Do Touch'!AL35,4),$P$2:$S$2,0)),$AF$4:$AF$6,0),MATCH(IF('Map 2 Do Touch'!AL34&gt;4,"Water","Land"),'Map 3'!$AG$3:$AH$3,0)),INDEX($AK$4:$AL$6,MATCH(INDEX($P$3:$S$6,MATCH(MOD('Map 2 Do Touch'!AL34,4),$O$3:$O$6,0),MATCH(MOD('Map 2 Do Touch'!AL35,4),$P$2:$S$2,0)),'Map 3'!$AJ$4:$AJ$6,0),MATCH(IF('Map 2 Do Touch'!AL34&gt;4,"Water","Land"),'Map 3'!$AK$3:$AL$3,0))))</f>
        <v>Ocean</v>
      </c>
      <c r="AM39" s="3" t="str">
        <f ca="1">IF('Map 2 Do Touch'!AL34&lt;&gt;'Map 2 Do Touch'!AL35,IF('Map 2 Do Touch'!AM35&gt;4,INDEX($AG$4:$AH$6,MATCH(INDEX($I$3:$L$6,MATCH(MOD('Map 2 Do Touch'!AL35,4),$H$3:$H$6,0),MATCH(MOD('Map 2 Do Touch'!AM35,4),$I$2:$L$2,0)),$AF$4:$AF$6,0),MATCH(IF('Map 2 Do Touch'!AL35&gt;4,"Water","Land"),'Map 3'!$AG$3:$AH$3,0)),INDEX($AK$4:$AL$6,MATCH(INDEX($I$3:$L$6,MATCH(MOD('Map 2 Do Touch'!AL35,4),$H$3:$H$6,0),MATCH(MOD('Map 2 Do Touch'!AM35,4),$I$2:$L$2,0)),'Map 3'!$AJ$4:$AJ$6,0),MATCH(IF('Map 2 Do Touch'!AL35&gt;4,"Water","Land"),'Map 3'!$AK$3:$AL$3,0))),IF('Map 2 Do Touch'!AM35&gt;4,INDEX($AG$4:$AH$6,MATCH(INDEX($P$3:$S$6,MATCH(MOD('Map 2 Do Touch'!AM34,4),$O$3:$O$6,0),MATCH(MOD('Map 2 Do Touch'!AM35,4),$P$2:$S$2,0)),$AF$4:$AF$6,0),MATCH(IF('Map 2 Do Touch'!AM34&gt;4,"Water","Land"),'Map 3'!$AG$3:$AH$3,0)),INDEX($AK$4:$AL$6,MATCH(INDEX($P$3:$S$6,MATCH(MOD('Map 2 Do Touch'!AM34,4),$O$3:$O$6,0),MATCH(MOD('Map 2 Do Touch'!AM35,4),$P$2:$S$2,0)),'Map 3'!$AJ$4:$AJ$6,0),MATCH(IF('Map 2 Do Touch'!AM34&gt;4,"Water","Land"),'Map 3'!$AK$3:$AL$3,0))))</f>
        <v>Ocean</v>
      </c>
      <c r="AN39" s="3" t="str">
        <f ca="1">IF('Map 2 Do Touch'!AM34&lt;&gt;'Map 2 Do Touch'!AM35,IF('Map 2 Do Touch'!AN35&gt;4,INDEX($AG$4:$AH$6,MATCH(INDEX($I$3:$L$6,MATCH(MOD('Map 2 Do Touch'!AM35,4),$H$3:$H$6,0),MATCH(MOD('Map 2 Do Touch'!AN35,4),$I$2:$L$2,0)),$AF$4:$AF$6,0),MATCH(IF('Map 2 Do Touch'!AM35&gt;4,"Water","Land"),'Map 3'!$AG$3:$AH$3,0)),INDEX($AK$4:$AL$6,MATCH(INDEX($I$3:$L$6,MATCH(MOD('Map 2 Do Touch'!AM35,4),$H$3:$H$6,0),MATCH(MOD('Map 2 Do Touch'!AN35,4),$I$2:$L$2,0)),'Map 3'!$AJ$4:$AJ$6,0),MATCH(IF('Map 2 Do Touch'!AM35&gt;4,"Water","Land"),'Map 3'!$AK$3:$AL$3,0))),IF('Map 2 Do Touch'!AN35&gt;4,INDEX($AG$4:$AH$6,MATCH(INDEX($P$3:$S$6,MATCH(MOD('Map 2 Do Touch'!AN34,4),$O$3:$O$6,0),MATCH(MOD('Map 2 Do Touch'!AN35,4),$P$2:$S$2,0)),$AF$4:$AF$6,0),MATCH(IF('Map 2 Do Touch'!AN34&gt;4,"Water","Land"),'Map 3'!$AG$3:$AH$3,0)),INDEX($AK$4:$AL$6,MATCH(INDEX($P$3:$S$6,MATCH(MOD('Map 2 Do Touch'!AN34,4),$O$3:$O$6,0),MATCH(MOD('Map 2 Do Touch'!AN35,4),$P$2:$S$2,0)),'Map 3'!$AJ$4:$AJ$6,0),MATCH(IF('Map 2 Do Touch'!AN34&gt;4,"Water","Land"),'Map 3'!$AK$3:$AL$3,0))))</f>
        <v>Ocean</v>
      </c>
      <c r="AO39" s="87" t="str">
        <f ca="1">IF('Map 2 Do Touch'!AN34&lt;&gt;'Map 2 Do Touch'!AN35,IF('Map 2 Do Touch'!AO35&gt;4,INDEX($AG$4:$AH$6,MATCH(INDEX($I$3:$L$6,MATCH(MOD('Map 2 Do Touch'!AN35,4),$H$3:$H$6,0),MATCH(MOD('Map 2 Do Touch'!AO35,4),$I$2:$L$2,0)),$AF$4:$AF$6,0),MATCH(IF('Map 2 Do Touch'!AN35&gt;4,"Water","Land"),'Map 3'!$AG$3:$AH$3,0)),INDEX($AK$4:$AL$6,MATCH(INDEX($I$3:$L$6,MATCH(MOD('Map 2 Do Touch'!AN35,4),$H$3:$H$6,0),MATCH(MOD('Map 2 Do Touch'!AO35,4),$I$2:$L$2,0)),'Map 3'!$AJ$4:$AJ$6,0),MATCH(IF('Map 2 Do Touch'!AN35&gt;4,"Water","Land"),'Map 3'!$AK$3:$AL$3,0))),IF('Map 2 Do Touch'!AO35&gt;4,INDEX($AG$4:$AH$6,MATCH(INDEX($P$3:$S$6,MATCH(MOD('Map 2 Do Touch'!AO34,4),$O$3:$O$6,0),MATCH(MOD('Map 2 Do Touch'!AO35,4),$P$2:$S$2,0)),$AF$4:$AF$6,0),MATCH(IF('Map 2 Do Touch'!AO34&gt;4,"Water","Land"),'Map 3'!$AG$3:$AH$3,0)),INDEX($AK$4:$AL$6,MATCH(INDEX($P$3:$S$6,MATCH(MOD('Map 2 Do Touch'!AO34,4),$O$3:$O$6,0),MATCH(MOD('Map 2 Do Touch'!AO35,4),$P$2:$S$2,0)),'Map 3'!$AJ$4:$AJ$6,0),MATCH(IF('Map 2 Do Touch'!AO34&gt;4,"Water","Land"),'Map 3'!$AK$3:$AL$3,0))))</f>
        <v>Ocean</v>
      </c>
      <c r="AP39" s="3"/>
    </row>
    <row r="40" spans="1:42" ht="37.5" customHeight="1">
      <c r="A40" s="3">
        <v>29</v>
      </c>
      <c r="B40" s="86" t="str">
        <f ca="1">IF('Map 2 Do Touch'!B35&lt;&gt;'Map 2 Do Touch'!B36,IF('Map 2 Do Touch'!B36&gt;4,INDEX($AG$4:$AH$6,MATCH(INDEX($I$3:$L$6,MATCH(MOD('Map 2 Do Touch'!AO36,4),$H$3:$H$6,0),MATCH(MOD('Map 2 Do Touch'!B36,4),$I$2:$L$2,0)),$AF$4:$AF$6,0),MATCH(IF('Map 2 Do Touch'!AO36&gt;4,"Water","Land"),'Map 3'!$AG$3:$AH$3,0)),INDEX($AK$4:$AL$6,MATCH(INDEX($I$3:$L$6,MATCH(MOD('Map 2 Do Touch'!A36,4),$H$3:$H$6,0),MATCH(MOD('Map 2 Do Touch'!B36,4),$I$2:$L$2,0)),'Map 3'!$AJ$4:$AJ$6,0),MATCH(IF('Map 2 Do Touch'!AO36&gt;4,"Water","Land"),'Map 3'!$AK$3:$AL$3,0))),IF('Map 2 Do Touch'!B36&gt;4,INDEX($AG$4:$AH$6,MATCH(INDEX($P$3:$S$6,MATCH(MOD('Map 2 Do Touch'!B35,4),$O$3:$O$6,0),MATCH(MOD('Map 2 Do Touch'!B36,4),$P$2:$S$2,0)),$AF$4:$AF$6,0),MATCH(IF('Map 2 Do Touch'!B35&gt;4,"Water","Land"),'Map 3'!$AG$3:$AH$3,0)),INDEX($AK$4:$AL$6,MATCH(INDEX($P$3:$S$6,MATCH(MOD('Map 2 Do Touch'!B35,4),$O$3:$O$6,0),MATCH(MOD('Map 2 Do Touch'!B36,4),$P$2:$S$2,0)),'Map 3'!$AJ$4:$AJ$6,0),MATCH(IF('Map 2 Do Touch'!B35&gt;4,"Water","Land"),'Map 3'!$AK$3:$AL$3,0))))</f>
        <v>Ocean</v>
      </c>
      <c r="C40" s="3" t="str">
        <f ca="1">IF('Map 2 Do Touch'!B35&lt;&gt;'Map 2 Do Touch'!B36,IF('Map 2 Do Touch'!C36&gt;4,INDEX($AG$4:$AH$6,MATCH(INDEX($I$3:$L$6,MATCH(MOD('Map 2 Do Touch'!B36,4),$H$3:$H$6,0),MATCH(MOD('Map 2 Do Touch'!C36,4),$I$2:$L$2,0)),$AF$4:$AF$6,0),MATCH(IF('Map 2 Do Touch'!B36&gt;4,"Water","Land"),'Map 3'!$AG$3:$AH$3,0)),INDEX($AK$4:$AL$6,MATCH(INDEX($I$3:$L$6,MATCH(MOD('Map 2 Do Touch'!B36,4),$H$3:$H$6,0),MATCH(MOD('Map 2 Do Touch'!C36,4),$I$2:$L$2,0)),'Map 3'!$AJ$4:$AJ$6,0),MATCH(IF('Map 2 Do Touch'!B36&gt;4,"Water","Land"),'Map 3'!$AK$3:$AL$3,0))),IF('Map 2 Do Touch'!C36&gt;4,INDEX($AG$4:$AH$6,MATCH(INDEX($P$3:$S$6,MATCH(MOD('Map 2 Do Touch'!C35,4),$O$3:$O$6,0),MATCH(MOD('Map 2 Do Touch'!C36,4),$P$2:$S$2,0)),$AF$4:$AF$6,0),MATCH(IF('Map 2 Do Touch'!C35&gt;4,"Water","Land"),'Map 3'!$AG$3:$AH$3,0)),INDEX($AK$4:$AL$6,MATCH(INDEX($P$3:$S$6,MATCH(MOD('Map 2 Do Touch'!C35,4),$O$3:$O$6,0),MATCH(MOD('Map 2 Do Touch'!C36,4),$P$2:$S$2,0)),'Map 3'!$AJ$4:$AJ$6,0),MATCH(IF('Map 2 Do Touch'!C35&gt;4,"Water","Land"),'Map 3'!$AK$3:$AL$3,0))))</f>
        <v>Trench</v>
      </c>
      <c r="D40" s="3" t="str">
        <f ca="1">IF('Map 2 Do Touch'!C35&lt;&gt;'Map 2 Do Touch'!C36,IF('Map 2 Do Touch'!D36&gt;4,INDEX($AG$4:$AH$6,MATCH(INDEX($I$3:$L$6,MATCH(MOD('Map 2 Do Touch'!C36,4),$H$3:$H$6,0),MATCH(MOD('Map 2 Do Touch'!D36,4),$I$2:$L$2,0)),$AF$4:$AF$6,0),MATCH(IF('Map 2 Do Touch'!C36&gt;4,"Water","Land"),'Map 3'!$AG$3:$AH$3,0)),INDEX($AK$4:$AL$6,MATCH(INDEX($I$3:$L$6,MATCH(MOD('Map 2 Do Touch'!C36,4),$H$3:$H$6,0),MATCH(MOD('Map 2 Do Touch'!D36,4),$I$2:$L$2,0)),'Map 3'!$AJ$4:$AJ$6,0),MATCH(IF('Map 2 Do Touch'!C36&gt;4,"Water","Land"),'Map 3'!$AK$3:$AL$3,0))),IF('Map 2 Do Touch'!D36&gt;4,INDEX($AG$4:$AH$6,MATCH(INDEX($P$3:$S$6,MATCH(MOD('Map 2 Do Touch'!D35,4),$O$3:$O$6,0),MATCH(MOD('Map 2 Do Touch'!D36,4),$P$2:$S$2,0)),$AF$4:$AF$6,0),MATCH(IF('Map 2 Do Touch'!D35&gt;4,"Water","Land"),'Map 3'!$AG$3:$AH$3,0)),INDEX($AK$4:$AL$6,MATCH(INDEX($P$3:$S$6,MATCH(MOD('Map 2 Do Touch'!D35,4),$O$3:$O$6,0),MATCH(MOD('Map 2 Do Touch'!D36,4),$P$2:$S$2,0)),'Map 3'!$AJ$4:$AJ$6,0),MATCH(IF('Map 2 Do Touch'!D35&gt;4,"Water","Land"),'Map 3'!$AK$3:$AL$3,0))))</f>
        <v>Coast</v>
      </c>
      <c r="E40" s="3" t="str">
        <f ca="1">IF('Map 2 Do Touch'!D35&lt;&gt;'Map 2 Do Touch'!D36,IF('Map 2 Do Touch'!E36&gt;4,INDEX($AG$4:$AH$6,MATCH(INDEX($I$3:$L$6,MATCH(MOD('Map 2 Do Touch'!D36,4),$H$3:$H$6,0),MATCH(MOD('Map 2 Do Touch'!E36,4),$I$2:$L$2,0)),$AF$4:$AF$6,0),MATCH(IF('Map 2 Do Touch'!D36&gt;4,"Water","Land"),'Map 3'!$AG$3:$AH$3,0)),INDEX($AK$4:$AL$6,MATCH(INDEX($I$3:$L$6,MATCH(MOD('Map 2 Do Touch'!D36,4),$H$3:$H$6,0),MATCH(MOD('Map 2 Do Touch'!E36,4),$I$2:$L$2,0)),'Map 3'!$AJ$4:$AJ$6,0),MATCH(IF('Map 2 Do Touch'!D36&gt;4,"Water","Land"),'Map 3'!$AK$3:$AL$3,0))),IF('Map 2 Do Touch'!E36&gt;4,INDEX($AG$4:$AH$6,MATCH(INDEX($P$3:$S$6,MATCH(MOD('Map 2 Do Touch'!E35,4),$O$3:$O$6,0),MATCH(MOD('Map 2 Do Touch'!E36,4),$P$2:$S$2,0)),$AF$4:$AF$6,0),MATCH(IF('Map 2 Do Touch'!E35&gt;4,"Water","Land"),'Map 3'!$AG$3:$AH$3,0)),INDEX($AK$4:$AL$6,MATCH(INDEX($P$3:$S$6,MATCH(MOD('Map 2 Do Touch'!E35,4),$O$3:$O$6,0),MATCH(MOD('Map 2 Do Touch'!E36,4),$P$2:$S$2,0)),'Map 3'!$AJ$4:$AJ$6,0),MATCH(IF('Map 2 Do Touch'!E35&gt;4,"Water","Land"),'Map 3'!$AK$3:$AL$3,0))))</f>
        <v>Flatland</v>
      </c>
      <c r="F40" s="3" t="str">
        <f ca="1">IF('Map 2 Do Touch'!E35&lt;&gt;'Map 2 Do Touch'!E36,IF('Map 2 Do Touch'!F36&gt;4,INDEX($AG$4:$AH$6,MATCH(INDEX($I$3:$L$6,MATCH(MOD('Map 2 Do Touch'!E36,4),$H$3:$H$6,0),MATCH(MOD('Map 2 Do Touch'!F36,4),$I$2:$L$2,0)),$AF$4:$AF$6,0),MATCH(IF('Map 2 Do Touch'!E36&gt;4,"Water","Land"),'Map 3'!$AG$3:$AH$3,0)),INDEX($AK$4:$AL$6,MATCH(INDEX($I$3:$L$6,MATCH(MOD('Map 2 Do Touch'!E36,4),$H$3:$H$6,0),MATCH(MOD('Map 2 Do Touch'!F36,4),$I$2:$L$2,0)),'Map 3'!$AJ$4:$AJ$6,0),MATCH(IF('Map 2 Do Touch'!E36&gt;4,"Water","Land"),'Map 3'!$AK$3:$AL$3,0))),IF('Map 2 Do Touch'!F36&gt;4,INDEX($AG$4:$AH$6,MATCH(INDEX($P$3:$S$6,MATCH(MOD('Map 2 Do Touch'!F35,4),$O$3:$O$6,0),MATCH(MOD('Map 2 Do Touch'!F36,4),$P$2:$S$2,0)),$AF$4:$AF$6,0),MATCH(IF('Map 2 Do Touch'!F35&gt;4,"Water","Land"),'Map 3'!$AG$3:$AH$3,0)),INDEX($AK$4:$AL$6,MATCH(INDEX($P$3:$S$6,MATCH(MOD('Map 2 Do Touch'!F35,4),$O$3:$O$6,0),MATCH(MOD('Map 2 Do Touch'!F36,4),$P$2:$S$2,0)),'Map 3'!$AJ$4:$AJ$6,0),MATCH(IF('Map 2 Do Touch'!F35&gt;4,"Water","Land"),'Map 3'!$AK$3:$AL$3,0))))</f>
        <v>Flatland</v>
      </c>
      <c r="G40" s="3" t="str">
        <f ca="1">IF('Map 2 Do Touch'!F35&lt;&gt;'Map 2 Do Touch'!F36,IF('Map 2 Do Touch'!G36&gt;4,INDEX($AG$4:$AH$6,MATCH(INDEX($I$3:$L$6,MATCH(MOD('Map 2 Do Touch'!F36,4),$H$3:$H$6,0),MATCH(MOD('Map 2 Do Touch'!G36,4),$I$2:$L$2,0)),$AF$4:$AF$6,0),MATCH(IF('Map 2 Do Touch'!F36&gt;4,"Water","Land"),'Map 3'!$AG$3:$AH$3,0)),INDEX($AK$4:$AL$6,MATCH(INDEX($I$3:$L$6,MATCH(MOD('Map 2 Do Touch'!F36,4),$H$3:$H$6,0),MATCH(MOD('Map 2 Do Touch'!G36,4),$I$2:$L$2,0)),'Map 3'!$AJ$4:$AJ$6,0),MATCH(IF('Map 2 Do Touch'!F36&gt;4,"Water","Land"),'Map 3'!$AK$3:$AL$3,0))),IF('Map 2 Do Touch'!G36&gt;4,INDEX($AG$4:$AH$6,MATCH(INDEX($P$3:$S$6,MATCH(MOD('Map 2 Do Touch'!G35,4),$O$3:$O$6,0),MATCH(MOD('Map 2 Do Touch'!G36,4),$P$2:$S$2,0)),$AF$4:$AF$6,0),MATCH(IF('Map 2 Do Touch'!G35&gt;4,"Water","Land"),'Map 3'!$AG$3:$AH$3,0)),INDEX($AK$4:$AL$6,MATCH(INDEX($P$3:$S$6,MATCH(MOD('Map 2 Do Touch'!G35,4),$O$3:$O$6,0),MATCH(MOD('Map 2 Do Touch'!G36,4),$P$2:$S$2,0)),'Map 3'!$AJ$4:$AJ$6,0),MATCH(IF('Map 2 Do Touch'!G35&gt;4,"Water","Land"),'Map 3'!$AK$3:$AL$3,0))))</f>
        <v>Flatland</v>
      </c>
      <c r="H40" s="3" t="str">
        <f ca="1">IF('Map 2 Do Touch'!G35&lt;&gt;'Map 2 Do Touch'!G36,IF('Map 2 Do Touch'!H36&gt;4,INDEX($AG$4:$AH$6,MATCH(INDEX($I$3:$L$6,MATCH(MOD('Map 2 Do Touch'!G36,4),$H$3:$H$6,0),MATCH(MOD('Map 2 Do Touch'!H36,4),$I$2:$L$2,0)),$AF$4:$AF$6,0),MATCH(IF('Map 2 Do Touch'!G36&gt;4,"Water","Land"),'Map 3'!$AG$3:$AH$3,0)),INDEX($AK$4:$AL$6,MATCH(INDEX($I$3:$L$6,MATCH(MOD('Map 2 Do Touch'!G36,4),$H$3:$H$6,0),MATCH(MOD('Map 2 Do Touch'!H36,4),$I$2:$L$2,0)),'Map 3'!$AJ$4:$AJ$6,0),MATCH(IF('Map 2 Do Touch'!G36&gt;4,"Water","Land"),'Map 3'!$AK$3:$AL$3,0))),IF('Map 2 Do Touch'!H36&gt;4,INDEX($AG$4:$AH$6,MATCH(INDEX($P$3:$S$6,MATCH(MOD('Map 2 Do Touch'!H35,4),$O$3:$O$6,0),MATCH(MOD('Map 2 Do Touch'!H36,4),$P$2:$S$2,0)),$AF$4:$AF$6,0),MATCH(IF('Map 2 Do Touch'!H35&gt;4,"Water","Land"),'Map 3'!$AG$3:$AH$3,0)),INDEX($AK$4:$AL$6,MATCH(INDEX($P$3:$S$6,MATCH(MOD('Map 2 Do Touch'!H35,4),$O$3:$O$6,0),MATCH(MOD('Map 2 Do Touch'!H36,4),$P$2:$S$2,0)),'Map 3'!$AJ$4:$AJ$6,0),MATCH(IF('Map 2 Do Touch'!H35&gt;4,"Water","Land"),'Map 3'!$AK$3:$AL$3,0))))</f>
        <v>Flatland</v>
      </c>
      <c r="I40" s="3" t="str">
        <f ca="1">IF('Map 2 Do Touch'!H35&lt;&gt;'Map 2 Do Touch'!H36,IF('Map 2 Do Touch'!I36&gt;4,INDEX($AG$4:$AH$6,MATCH(INDEX($I$3:$L$6,MATCH(MOD('Map 2 Do Touch'!H36,4),$H$3:$H$6,0),MATCH(MOD('Map 2 Do Touch'!I36,4),$I$2:$L$2,0)),$AF$4:$AF$6,0),MATCH(IF('Map 2 Do Touch'!H36&gt;4,"Water","Land"),'Map 3'!$AG$3:$AH$3,0)),INDEX($AK$4:$AL$6,MATCH(INDEX($I$3:$L$6,MATCH(MOD('Map 2 Do Touch'!H36,4),$H$3:$H$6,0),MATCH(MOD('Map 2 Do Touch'!I36,4),$I$2:$L$2,0)),'Map 3'!$AJ$4:$AJ$6,0),MATCH(IF('Map 2 Do Touch'!H36&gt;4,"Water","Land"),'Map 3'!$AK$3:$AL$3,0))),IF('Map 2 Do Touch'!I36&gt;4,INDEX($AG$4:$AH$6,MATCH(INDEX($P$3:$S$6,MATCH(MOD('Map 2 Do Touch'!I35,4),$O$3:$O$6,0),MATCH(MOD('Map 2 Do Touch'!I36,4),$P$2:$S$2,0)),$AF$4:$AF$6,0),MATCH(IF('Map 2 Do Touch'!I35&gt;4,"Water","Land"),'Map 3'!$AG$3:$AH$3,0)),INDEX($AK$4:$AL$6,MATCH(INDEX($P$3:$S$6,MATCH(MOD('Map 2 Do Touch'!I35,4),$O$3:$O$6,0),MATCH(MOD('Map 2 Do Touch'!I36,4),$P$2:$S$2,0)),'Map 3'!$AJ$4:$AJ$6,0),MATCH(IF('Map 2 Do Touch'!I35&gt;4,"Water","Land"),'Map 3'!$AK$3:$AL$3,0))))</f>
        <v>Flatland</v>
      </c>
      <c r="J40" s="3" t="str">
        <f ca="1">IF('Map 2 Do Touch'!I35&lt;&gt;'Map 2 Do Touch'!I36,IF('Map 2 Do Touch'!J36&gt;4,INDEX($AG$4:$AH$6,MATCH(INDEX($I$3:$L$6,MATCH(MOD('Map 2 Do Touch'!I36,4),$H$3:$H$6,0),MATCH(MOD('Map 2 Do Touch'!J36,4),$I$2:$L$2,0)),$AF$4:$AF$6,0),MATCH(IF('Map 2 Do Touch'!I36&gt;4,"Water","Land"),'Map 3'!$AG$3:$AH$3,0)),INDEX($AK$4:$AL$6,MATCH(INDEX($I$3:$L$6,MATCH(MOD('Map 2 Do Touch'!I36,4),$H$3:$H$6,0),MATCH(MOD('Map 2 Do Touch'!J36,4),$I$2:$L$2,0)),'Map 3'!$AJ$4:$AJ$6,0),MATCH(IF('Map 2 Do Touch'!I36&gt;4,"Water","Land"),'Map 3'!$AK$3:$AL$3,0))),IF('Map 2 Do Touch'!J36&gt;4,INDEX($AG$4:$AH$6,MATCH(INDEX($P$3:$S$6,MATCH(MOD('Map 2 Do Touch'!J35,4),$O$3:$O$6,0),MATCH(MOD('Map 2 Do Touch'!J36,4),$P$2:$S$2,0)),$AF$4:$AF$6,0),MATCH(IF('Map 2 Do Touch'!J35&gt;4,"Water","Land"),'Map 3'!$AG$3:$AH$3,0)),INDEX($AK$4:$AL$6,MATCH(INDEX($P$3:$S$6,MATCH(MOD('Map 2 Do Touch'!J35,4),$O$3:$O$6,0),MATCH(MOD('Map 2 Do Touch'!J36,4),$P$2:$S$2,0)),'Map 3'!$AJ$4:$AJ$6,0),MATCH(IF('Map 2 Do Touch'!J35&gt;4,"Water","Land"),'Map 3'!$AK$3:$AL$3,0))))</f>
        <v>Ocean</v>
      </c>
      <c r="K40" s="3" t="str">
        <f ca="1">IF('Map 2 Do Touch'!J35&lt;&gt;'Map 2 Do Touch'!J36,IF('Map 2 Do Touch'!K36&gt;4,INDEX($AG$4:$AH$6,MATCH(INDEX($I$3:$L$6,MATCH(MOD('Map 2 Do Touch'!J36,4),$H$3:$H$6,0),MATCH(MOD('Map 2 Do Touch'!K36,4),$I$2:$L$2,0)),$AF$4:$AF$6,0),MATCH(IF('Map 2 Do Touch'!J36&gt;4,"Water","Land"),'Map 3'!$AG$3:$AH$3,0)),INDEX($AK$4:$AL$6,MATCH(INDEX($I$3:$L$6,MATCH(MOD('Map 2 Do Touch'!J36,4),$H$3:$H$6,0),MATCH(MOD('Map 2 Do Touch'!K36,4),$I$2:$L$2,0)),'Map 3'!$AJ$4:$AJ$6,0),MATCH(IF('Map 2 Do Touch'!J36&gt;4,"Water","Land"),'Map 3'!$AK$3:$AL$3,0))),IF('Map 2 Do Touch'!K36&gt;4,INDEX($AG$4:$AH$6,MATCH(INDEX($P$3:$S$6,MATCH(MOD('Map 2 Do Touch'!K35,4),$O$3:$O$6,0),MATCH(MOD('Map 2 Do Touch'!K36,4),$P$2:$S$2,0)),$AF$4:$AF$6,0),MATCH(IF('Map 2 Do Touch'!K35&gt;4,"Water","Land"),'Map 3'!$AG$3:$AH$3,0)),INDEX($AK$4:$AL$6,MATCH(INDEX($P$3:$S$6,MATCH(MOD('Map 2 Do Touch'!K35,4),$O$3:$O$6,0),MATCH(MOD('Map 2 Do Touch'!K36,4),$P$2:$S$2,0)),'Map 3'!$AJ$4:$AJ$6,0),MATCH(IF('Map 2 Do Touch'!K35&gt;4,"Water","Land"),'Map 3'!$AK$3:$AL$3,0))))</f>
        <v>Ocean</v>
      </c>
      <c r="L40" s="3" t="str">
        <f ca="1">IF('Map 2 Do Touch'!K35&lt;&gt;'Map 2 Do Touch'!K36,IF('Map 2 Do Touch'!L36&gt;4,INDEX($AG$4:$AH$6,MATCH(INDEX($I$3:$L$6,MATCH(MOD('Map 2 Do Touch'!K36,4),$H$3:$H$6,0),MATCH(MOD('Map 2 Do Touch'!L36,4),$I$2:$L$2,0)),$AF$4:$AF$6,0),MATCH(IF('Map 2 Do Touch'!K36&gt;4,"Water","Land"),'Map 3'!$AG$3:$AH$3,0)),INDEX($AK$4:$AL$6,MATCH(INDEX($I$3:$L$6,MATCH(MOD('Map 2 Do Touch'!K36,4),$H$3:$H$6,0),MATCH(MOD('Map 2 Do Touch'!L36,4),$I$2:$L$2,0)),'Map 3'!$AJ$4:$AJ$6,0),MATCH(IF('Map 2 Do Touch'!K36&gt;4,"Water","Land"),'Map 3'!$AK$3:$AL$3,0))),IF('Map 2 Do Touch'!L36&gt;4,INDEX($AG$4:$AH$6,MATCH(INDEX($P$3:$S$6,MATCH(MOD('Map 2 Do Touch'!L35,4),$O$3:$O$6,0),MATCH(MOD('Map 2 Do Touch'!L36,4),$P$2:$S$2,0)),$AF$4:$AF$6,0),MATCH(IF('Map 2 Do Touch'!L35&gt;4,"Water","Land"),'Map 3'!$AG$3:$AH$3,0)),INDEX($AK$4:$AL$6,MATCH(INDEX($P$3:$S$6,MATCH(MOD('Map 2 Do Touch'!L35,4),$O$3:$O$6,0),MATCH(MOD('Map 2 Do Touch'!L36,4),$P$2:$S$2,0)),'Map 3'!$AJ$4:$AJ$6,0),MATCH(IF('Map 2 Do Touch'!L35&gt;4,"Water","Land"),'Map 3'!$AK$3:$AL$3,0))))</f>
        <v>Island</v>
      </c>
      <c r="M40" s="3" t="str">
        <f ca="1">IF('Map 2 Do Touch'!L35&lt;&gt;'Map 2 Do Touch'!L36,IF('Map 2 Do Touch'!M36&gt;4,INDEX($AG$4:$AH$6,MATCH(INDEX($I$3:$L$6,MATCH(MOD('Map 2 Do Touch'!L36,4),$H$3:$H$6,0),MATCH(MOD('Map 2 Do Touch'!M36,4),$I$2:$L$2,0)),$AF$4:$AF$6,0),MATCH(IF('Map 2 Do Touch'!L36&gt;4,"Water","Land"),'Map 3'!$AG$3:$AH$3,0)),INDEX($AK$4:$AL$6,MATCH(INDEX($I$3:$L$6,MATCH(MOD('Map 2 Do Touch'!L36,4),$H$3:$H$6,0),MATCH(MOD('Map 2 Do Touch'!M36,4),$I$2:$L$2,0)),'Map 3'!$AJ$4:$AJ$6,0),MATCH(IF('Map 2 Do Touch'!L36&gt;4,"Water","Land"),'Map 3'!$AK$3:$AL$3,0))),IF('Map 2 Do Touch'!M36&gt;4,INDEX($AG$4:$AH$6,MATCH(INDEX($P$3:$S$6,MATCH(MOD('Map 2 Do Touch'!M35,4),$O$3:$O$6,0),MATCH(MOD('Map 2 Do Touch'!M36,4),$P$2:$S$2,0)),$AF$4:$AF$6,0),MATCH(IF('Map 2 Do Touch'!M35&gt;4,"Water","Land"),'Map 3'!$AG$3:$AH$3,0)),INDEX($AK$4:$AL$6,MATCH(INDEX($P$3:$S$6,MATCH(MOD('Map 2 Do Touch'!M35,4),$O$3:$O$6,0),MATCH(MOD('Map 2 Do Touch'!M36,4),$P$2:$S$2,0)),'Map 3'!$AJ$4:$AJ$6,0),MATCH(IF('Map 2 Do Touch'!M35&gt;4,"Water","Land"),'Map 3'!$AK$3:$AL$3,0))))</f>
        <v>Ocean</v>
      </c>
      <c r="N40" s="3" t="str">
        <f ca="1">IF('Map 2 Do Touch'!M35&lt;&gt;'Map 2 Do Touch'!M36,IF('Map 2 Do Touch'!N36&gt;4,INDEX($AG$4:$AH$6,MATCH(INDEX($I$3:$L$6,MATCH(MOD('Map 2 Do Touch'!M36,4),$H$3:$H$6,0),MATCH(MOD('Map 2 Do Touch'!N36,4),$I$2:$L$2,0)),$AF$4:$AF$6,0),MATCH(IF('Map 2 Do Touch'!M36&gt;4,"Water","Land"),'Map 3'!$AG$3:$AH$3,0)),INDEX($AK$4:$AL$6,MATCH(INDEX($I$3:$L$6,MATCH(MOD('Map 2 Do Touch'!M36,4),$H$3:$H$6,0),MATCH(MOD('Map 2 Do Touch'!N36,4),$I$2:$L$2,0)),'Map 3'!$AJ$4:$AJ$6,0),MATCH(IF('Map 2 Do Touch'!M36&gt;4,"Water","Land"),'Map 3'!$AK$3:$AL$3,0))),IF('Map 2 Do Touch'!N36&gt;4,INDEX($AG$4:$AH$6,MATCH(INDEX($P$3:$S$6,MATCH(MOD('Map 2 Do Touch'!N35,4),$O$3:$O$6,0),MATCH(MOD('Map 2 Do Touch'!N36,4),$P$2:$S$2,0)),$AF$4:$AF$6,0),MATCH(IF('Map 2 Do Touch'!N35&gt;4,"Water","Land"),'Map 3'!$AG$3:$AH$3,0)),INDEX($AK$4:$AL$6,MATCH(INDEX($P$3:$S$6,MATCH(MOD('Map 2 Do Touch'!N35,4),$O$3:$O$6,0),MATCH(MOD('Map 2 Do Touch'!N36,4),$P$2:$S$2,0)),'Map 3'!$AJ$4:$AJ$6,0),MATCH(IF('Map 2 Do Touch'!N35&gt;4,"Water","Land"),'Map 3'!$AK$3:$AL$3,0))))</f>
        <v>Ocean</v>
      </c>
      <c r="O40" s="3" t="str">
        <f ca="1">IF('Map 2 Do Touch'!N35&lt;&gt;'Map 2 Do Touch'!N36,IF('Map 2 Do Touch'!O36&gt;4,INDEX($AG$4:$AH$6,MATCH(INDEX($I$3:$L$6,MATCH(MOD('Map 2 Do Touch'!N36,4),$H$3:$H$6,0),MATCH(MOD('Map 2 Do Touch'!O36,4),$I$2:$L$2,0)),$AF$4:$AF$6,0),MATCH(IF('Map 2 Do Touch'!N36&gt;4,"Water","Land"),'Map 3'!$AG$3:$AH$3,0)),INDEX($AK$4:$AL$6,MATCH(INDEX($I$3:$L$6,MATCH(MOD('Map 2 Do Touch'!N36,4),$H$3:$H$6,0),MATCH(MOD('Map 2 Do Touch'!O36,4),$I$2:$L$2,0)),'Map 3'!$AJ$4:$AJ$6,0),MATCH(IF('Map 2 Do Touch'!N36&gt;4,"Water","Land"),'Map 3'!$AK$3:$AL$3,0))),IF('Map 2 Do Touch'!O36&gt;4,INDEX($AG$4:$AH$6,MATCH(INDEX($P$3:$S$6,MATCH(MOD('Map 2 Do Touch'!O35,4),$O$3:$O$6,0),MATCH(MOD('Map 2 Do Touch'!O36,4),$P$2:$S$2,0)),$AF$4:$AF$6,0),MATCH(IF('Map 2 Do Touch'!O35&gt;4,"Water","Land"),'Map 3'!$AG$3:$AH$3,0)),INDEX($AK$4:$AL$6,MATCH(INDEX($P$3:$S$6,MATCH(MOD('Map 2 Do Touch'!O35,4),$O$3:$O$6,0),MATCH(MOD('Map 2 Do Touch'!O36,4),$P$2:$S$2,0)),'Map 3'!$AJ$4:$AJ$6,0),MATCH(IF('Map 2 Do Touch'!O35&gt;4,"Water","Land"),'Map 3'!$AK$3:$AL$3,0))))</f>
        <v>Ocean</v>
      </c>
      <c r="P40" s="3" t="str">
        <f ca="1">IF('Map 2 Do Touch'!O35&lt;&gt;'Map 2 Do Touch'!O36,IF('Map 2 Do Touch'!P36&gt;4,INDEX($AG$4:$AH$6,MATCH(INDEX($I$3:$L$6,MATCH(MOD('Map 2 Do Touch'!O36,4),$H$3:$H$6,0),MATCH(MOD('Map 2 Do Touch'!P36,4),$I$2:$L$2,0)),$AF$4:$AF$6,0),MATCH(IF('Map 2 Do Touch'!O36&gt;4,"Water","Land"),'Map 3'!$AG$3:$AH$3,0)),INDEX($AK$4:$AL$6,MATCH(INDEX($I$3:$L$6,MATCH(MOD('Map 2 Do Touch'!O36,4),$H$3:$H$6,0),MATCH(MOD('Map 2 Do Touch'!P36,4),$I$2:$L$2,0)),'Map 3'!$AJ$4:$AJ$6,0),MATCH(IF('Map 2 Do Touch'!O36&gt;4,"Water","Land"),'Map 3'!$AK$3:$AL$3,0))),IF('Map 2 Do Touch'!P36&gt;4,INDEX($AG$4:$AH$6,MATCH(INDEX($P$3:$S$6,MATCH(MOD('Map 2 Do Touch'!P35,4),$O$3:$O$6,0),MATCH(MOD('Map 2 Do Touch'!P36,4),$P$2:$S$2,0)),$AF$4:$AF$6,0),MATCH(IF('Map 2 Do Touch'!P35&gt;4,"Water","Land"),'Map 3'!$AG$3:$AH$3,0)),INDEX($AK$4:$AL$6,MATCH(INDEX($P$3:$S$6,MATCH(MOD('Map 2 Do Touch'!P35,4),$O$3:$O$6,0),MATCH(MOD('Map 2 Do Touch'!P36,4),$P$2:$S$2,0)),'Map 3'!$AJ$4:$AJ$6,0),MATCH(IF('Map 2 Do Touch'!P35&gt;4,"Water","Land"),'Map 3'!$AK$3:$AL$3,0))))</f>
        <v>Ocean</v>
      </c>
      <c r="Q40" s="3" t="str">
        <f ca="1">IF('Map 2 Do Touch'!P35&lt;&gt;'Map 2 Do Touch'!P36,IF('Map 2 Do Touch'!Q36&gt;4,INDEX($AG$4:$AH$6,MATCH(INDEX($I$3:$L$6,MATCH(MOD('Map 2 Do Touch'!P36,4),$H$3:$H$6,0),MATCH(MOD('Map 2 Do Touch'!Q36,4),$I$2:$L$2,0)),$AF$4:$AF$6,0),MATCH(IF('Map 2 Do Touch'!P36&gt;4,"Water","Land"),'Map 3'!$AG$3:$AH$3,0)),INDEX($AK$4:$AL$6,MATCH(INDEX($I$3:$L$6,MATCH(MOD('Map 2 Do Touch'!P36,4),$H$3:$H$6,0),MATCH(MOD('Map 2 Do Touch'!Q36,4),$I$2:$L$2,0)),'Map 3'!$AJ$4:$AJ$6,0),MATCH(IF('Map 2 Do Touch'!P36&gt;4,"Water","Land"),'Map 3'!$AK$3:$AL$3,0))),IF('Map 2 Do Touch'!Q36&gt;4,INDEX($AG$4:$AH$6,MATCH(INDEX($P$3:$S$6,MATCH(MOD('Map 2 Do Touch'!Q35,4),$O$3:$O$6,0),MATCH(MOD('Map 2 Do Touch'!Q36,4),$P$2:$S$2,0)),$AF$4:$AF$6,0),MATCH(IF('Map 2 Do Touch'!Q35&gt;4,"Water","Land"),'Map 3'!$AG$3:$AH$3,0)),INDEX($AK$4:$AL$6,MATCH(INDEX($P$3:$S$6,MATCH(MOD('Map 2 Do Touch'!Q35,4),$O$3:$O$6,0),MATCH(MOD('Map 2 Do Touch'!Q36,4),$P$2:$S$2,0)),'Map 3'!$AJ$4:$AJ$6,0),MATCH(IF('Map 2 Do Touch'!Q35&gt;4,"Water","Land"),'Map 3'!$AK$3:$AL$3,0))))</f>
        <v>Ocean</v>
      </c>
      <c r="R40" s="3" t="str">
        <f ca="1">IF('Map 2 Do Touch'!Q35&lt;&gt;'Map 2 Do Touch'!Q36,IF('Map 2 Do Touch'!R36&gt;4,INDEX($AG$4:$AH$6,MATCH(INDEX($I$3:$L$6,MATCH(MOD('Map 2 Do Touch'!Q36,4),$H$3:$H$6,0),MATCH(MOD('Map 2 Do Touch'!R36,4),$I$2:$L$2,0)),$AF$4:$AF$6,0),MATCH(IF('Map 2 Do Touch'!Q36&gt;4,"Water","Land"),'Map 3'!$AG$3:$AH$3,0)),INDEX($AK$4:$AL$6,MATCH(INDEX($I$3:$L$6,MATCH(MOD('Map 2 Do Touch'!Q36,4),$H$3:$H$6,0),MATCH(MOD('Map 2 Do Touch'!R36,4),$I$2:$L$2,0)),'Map 3'!$AJ$4:$AJ$6,0),MATCH(IF('Map 2 Do Touch'!Q36&gt;4,"Water","Land"),'Map 3'!$AK$3:$AL$3,0))),IF('Map 2 Do Touch'!R36&gt;4,INDEX($AG$4:$AH$6,MATCH(INDEX($P$3:$S$6,MATCH(MOD('Map 2 Do Touch'!R35,4),$O$3:$O$6,0),MATCH(MOD('Map 2 Do Touch'!R36,4),$P$2:$S$2,0)),$AF$4:$AF$6,0),MATCH(IF('Map 2 Do Touch'!R35&gt;4,"Water","Land"),'Map 3'!$AG$3:$AH$3,0)),INDEX($AK$4:$AL$6,MATCH(INDEX($P$3:$S$6,MATCH(MOD('Map 2 Do Touch'!R35,4),$O$3:$O$6,0),MATCH(MOD('Map 2 Do Touch'!R36,4),$P$2:$S$2,0)),'Map 3'!$AJ$4:$AJ$6,0),MATCH(IF('Map 2 Do Touch'!R35&gt;4,"Water","Land"),'Map 3'!$AK$3:$AL$3,0))))</f>
        <v>Ocean</v>
      </c>
      <c r="S40" s="3" t="str">
        <f ca="1">IF('Map 2 Do Touch'!R35&lt;&gt;'Map 2 Do Touch'!R36,IF('Map 2 Do Touch'!S36&gt;4,INDEX($AG$4:$AH$6,MATCH(INDEX($I$3:$L$6,MATCH(MOD('Map 2 Do Touch'!R36,4),$H$3:$H$6,0),MATCH(MOD('Map 2 Do Touch'!S36,4),$I$2:$L$2,0)),$AF$4:$AF$6,0),MATCH(IF('Map 2 Do Touch'!R36&gt;4,"Water","Land"),'Map 3'!$AG$3:$AH$3,0)),INDEX($AK$4:$AL$6,MATCH(INDEX($I$3:$L$6,MATCH(MOD('Map 2 Do Touch'!R36,4),$H$3:$H$6,0),MATCH(MOD('Map 2 Do Touch'!S36,4),$I$2:$L$2,0)),'Map 3'!$AJ$4:$AJ$6,0),MATCH(IF('Map 2 Do Touch'!R36&gt;4,"Water","Land"),'Map 3'!$AK$3:$AL$3,0))),IF('Map 2 Do Touch'!S36&gt;4,INDEX($AG$4:$AH$6,MATCH(INDEX($P$3:$S$6,MATCH(MOD('Map 2 Do Touch'!S35,4),$O$3:$O$6,0),MATCH(MOD('Map 2 Do Touch'!S36,4),$P$2:$S$2,0)),$AF$4:$AF$6,0),MATCH(IF('Map 2 Do Touch'!S35&gt;4,"Water","Land"),'Map 3'!$AG$3:$AH$3,0)),INDEX($AK$4:$AL$6,MATCH(INDEX($P$3:$S$6,MATCH(MOD('Map 2 Do Touch'!S35,4),$O$3:$O$6,0),MATCH(MOD('Map 2 Do Touch'!S36,4),$P$2:$S$2,0)),'Map 3'!$AJ$4:$AJ$6,0),MATCH(IF('Map 2 Do Touch'!S35&gt;4,"Water","Land"),'Map 3'!$AK$3:$AL$3,0))))</f>
        <v>Ocean</v>
      </c>
      <c r="T40" s="3" t="str">
        <f ca="1">IF('Map 2 Do Touch'!S35&lt;&gt;'Map 2 Do Touch'!S36,IF('Map 2 Do Touch'!T36&gt;4,INDEX($AG$4:$AH$6,MATCH(INDEX($I$3:$L$6,MATCH(MOD('Map 2 Do Touch'!S36,4),$H$3:$H$6,0),MATCH(MOD('Map 2 Do Touch'!T36,4),$I$2:$L$2,0)),$AF$4:$AF$6,0),MATCH(IF('Map 2 Do Touch'!S36&gt;4,"Water","Land"),'Map 3'!$AG$3:$AH$3,0)),INDEX($AK$4:$AL$6,MATCH(INDEX($I$3:$L$6,MATCH(MOD('Map 2 Do Touch'!S36,4),$H$3:$H$6,0),MATCH(MOD('Map 2 Do Touch'!T36,4),$I$2:$L$2,0)),'Map 3'!$AJ$4:$AJ$6,0),MATCH(IF('Map 2 Do Touch'!S36&gt;4,"Water","Land"),'Map 3'!$AK$3:$AL$3,0))),IF('Map 2 Do Touch'!T36&gt;4,INDEX($AG$4:$AH$6,MATCH(INDEX($P$3:$S$6,MATCH(MOD('Map 2 Do Touch'!T35,4),$O$3:$O$6,0),MATCH(MOD('Map 2 Do Touch'!T36,4),$P$2:$S$2,0)),$AF$4:$AF$6,0),MATCH(IF('Map 2 Do Touch'!T35&gt;4,"Water","Land"),'Map 3'!$AG$3:$AH$3,0)),INDEX($AK$4:$AL$6,MATCH(INDEX($P$3:$S$6,MATCH(MOD('Map 2 Do Touch'!T35,4),$O$3:$O$6,0),MATCH(MOD('Map 2 Do Touch'!T36,4),$P$2:$S$2,0)),'Map 3'!$AJ$4:$AJ$6,0),MATCH(IF('Map 2 Do Touch'!T35&gt;4,"Water","Land"),'Map 3'!$AK$3:$AL$3,0))))</f>
        <v>Ocean</v>
      </c>
      <c r="U40" s="3" t="str">
        <f ca="1">IF('Map 2 Do Touch'!T35&lt;&gt;'Map 2 Do Touch'!T36,IF('Map 2 Do Touch'!U36&gt;4,INDEX($AG$4:$AH$6,MATCH(INDEX($I$3:$L$6,MATCH(MOD('Map 2 Do Touch'!T36,4),$H$3:$H$6,0),MATCH(MOD('Map 2 Do Touch'!U36,4),$I$2:$L$2,0)),$AF$4:$AF$6,0),MATCH(IF('Map 2 Do Touch'!T36&gt;4,"Water","Land"),'Map 3'!$AG$3:$AH$3,0)),INDEX($AK$4:$AL$6,MATCH(INDEX($I$3:$L$6,MATCH(MOD('Map 2 Do Touch'!T36,4),$H$3:$H$6,0),MATCH(MOD('Map 2 Do Touch'!U36,4),$I$2:$L$2,0)),'Map 3'!$AJ$4:$AJ$6,0),MATCH(IF('Map 2 Do Touch'!T36&gt;4,"Water","Land"),'Map 3'!$AK$3:$AL$3,0))),IF('Map 2 Do Touch'!U36&gt;4,INDEX($AG$4:$AH$6,MATCH(INDEX($P$3:$S$6,MATCH(MOD('Map 2 Do Touch'!U35,4),$O$3:$O$6,0),MATCH(MOD('Map 2 Do Touch'!U36,4),$P$2:$S$2,0)),$AF$4:$AF$6,0),MATCH(IF('Map 2 Do Touch'!U35&gt;4,"Water","Land"),'Map 3'!$AG$3:$AH$3,0)),INDEX($AK$4:$AL$6,MATCH(INDEX($P$3:$S$6,MATCH(MOD('Map 2 Do Touch'!U35,4),$O$3:$O$6,0),MATCH(MOD('Map 2 Do Touch'!U36,4),$P$2:$S$2,0)),'Map 3'!$AJ$4:$AJ$6,0),MATCH(IF('Map 2 Do Touch'!U35&gt;4,"Water","Land"),'Map 3'!$AK$3:$AL$3,0))))</f>
        <v>Ocean</v>
      </c>
      <c r="V40" s="3" t="str">
        <f ca="1">IF('Map 2 Do Touch'!U35&lt;&gt;'Map 2 Do Touch'!U36,IF('Map 2 Do Touch'!V36&gt;4,INDEX($AG$4:$AH$6,MATCH(INDEX($I$3:$L$6,MATCH(MOD('Map 2 Do Touch'!U36,4),$H$3:$H$6,0),MATCH(MOD('Map 2 Do Touch'!V36,4),$I$2:$L$2,0)),$AF$4:$AF$6,0),MATCH(IF('Map 2 Do Touch'!U36&gt;4,"Water","Land"),'Map 3'!$AG$3:$AH$3,0)),INDEX($AK$4:$AL$6,MATCH(INDEX($I$3:$L$6,MATCH(MOD('Map 2 Do Touch'!U36,4),$H$3:$H$6,0),MATCH(MOD('Map 2 Do Touch'!V36,4),$I$2:$L$2,0)),'Map 3'!$AJ$4:$AJ$6,0),MATCH(IF('Map 2 Do Touch'!U36&gt;4,"Water","Land"),'Map 3'!$AK$3:$AL$3,0))),IF('Map 2 Do Touch'!V36&gt;4,INDEX($AG$4:$AH$6,MATCH(INDEX($P$3:$S$6,MATCH(MOD('Map 2 Do Touch'!V35,4),$O$3:$O$6,0),MATCH(MOD('Map 2 Do Touch'!V36,4),$P$2:$S$2,0)),$AF$4:$AF$6,0),MATCH(IF('Map 2 Do Touch'!V35&gt;4,"Water","Land"),'Map 3'!$AG$3:$AH$3,0)),INDEX($AK$4:$AL$6,MATCH(INDEX($P$3:$S$6,MATCH(MOD('Map 2 Do Touch'!V35,4),$O$3:$O$6,0),MATCH(MOD('Map 2 Do Touch'!V36,4),$P$2:$S$2,0)),'Map 3'!$AJ$4:$AJ$6,0),MATCH(IF('Map 2 Do Touch'!V35&gt;4,"Water","Land"),'Map 3'!$AK$3:$AL$3,0))))</f>
        <v>Ocean</v>
      </c>
      <c r="W40" s="3" t="str">
        <f ca="1">IF('Map 2 Do Touch'!V35&lt;&gt;'Map 2 Do Touch'!V36,IF('Map 2 Do Touch'!W36&gt;4,INDEX($AG$4:$AH$6,MATCH(INDEX($I$3:$L$6,MATCH(MOD('Map 2 Do Touch'!V36,4),$H$3:$H$6,0),MATCH(MOD('Map 2 Do Touch'!W36,4),$I$2:$L$2,0)),$AF$4:$AF$6,0),MATCH(IF('Map 2 Do Touch'!V36&gt;4,"Water","Land"),'Map 3'!$AG$3:$AH$3,0)),INDEX($AK$4:$AL$6,MATCH(INDEX($I$3:$L$6,MATCH(MOD('Map 2 Do Touch'!V36,4),$H$3:$H$6,0),MATCH(MOD('Map 2 Do Touch'!W36,4),$I$2:$L$2,0)),'Map 3'!$AJ$4:$AJ$6,0),MATCH(IF('Map 2 Do Touch'!V36&gt;4,"Water","Land"),'Map 3'!$AK$3:$AL$3,0))),IF('Map 2 Do Touch'!W36&gt;4,INDEX($AG$4:$AH$6,MATCH(INDEX($P$3:$S$6,MATCH(MOD('Map 2 Do Touch'!W35,4),$O$3:$O$6,0),MATCH(MOD('Map 2 Do Touch'!W36,4),$P$2:$S$2,0)),$AF$4:$AF$6,0),MATCH(IF('Map 2 Do Touch'!W35&gt;4,"Water","Land"),'Map 3'!$AG$3:$AH$3,0)),INDEX($AK$4:$AL$6,MATCH(INDEX($P$3:$S$6,MATCH(MOD('Map 2 Do Touch'!W35,4),$O$3:$O$6,0),MATCH(MOD('Map 2 Do Touch'!W36,4),$P$2:$S$2,0)),'Map 3'!$AJ$4:$AJ$6,0),MATCH(IF('Map 2 Do Touch'!W35&gt;4,"Water","Land"),'Map 3'!$AK$3:$AL$3,0))))</f>
        <v>Ocean</v>
      </c>
      <c r="X40" s="3" t="str">
        <f ca="1">IF('Map 2 Do Touch'!W35&lt;&gt;'Map 2 Do Touch'!W36,IF('Map 2 Do Touch'!X36&gt;4,INDEX($AG$4:$AH$6,MATCH(INDEX($I$3:$L$6,MATCH(MOD('Map 2 Do Touch'!W36,4),$H$3:$H$6,0),MATCH(MOD('Map 2 Do Touch'!X36,4),$I$2:$L$2,0)),$AF$4:$AF$6,0),MATCH(IF('Map 2 Do Touch'!W36&gt;4,"Water","Land"),'Map 3'!$AG$3:$AH$3,0)),INDEX($AK$4:$AL$6,MATCH(INDEX($I$3:$L$6,MATCH(MOD('Map 2 Do Touch'!W36,4),$H$3:$H$6,0),MATCH(MOD('Map 2 Do Touch'!X36,4),$I$2:$L$2,0)),'Map 3'!$AJ$4:$AJ$6,0),MATCH(IF('Map 2 Do Touch'!W36&gt;4,"Water","Land"),'Map 3'!$AK$3:$AL$3,0))),IF('Map 2 Do Touch'!X36&gt;4,INDEX($AG$4:$AH$6,MATCH(INDEX($P$3:$S$6,MATCH(MOD('Map 2 Do Touch'!X35,4),$O$3:$O$6,0),MATCH(MOD('Map 2 Do Touch'!X36,4),$P$2:$S$2,0)),$AF$4:$AF$6,0),MATCH(IF('Map 2 Do Touch'!X35&gt;4,"Water","Land"),'Map 3'!$AG$3:$AH$3,0)),INDEX($AK$4:$AL$6,MATCH(INDEX($P$3:$S$6,MATCH(MOD('Map 2 Do Touch'!X35,4),$O$3:$O$6,0),MATCH(MOD('Map 2 Do Touch'!X36,4),$P$2:$S$2,0)),'Map 3'!$AJ$4:$AJ$6,0),MATCH(IF('Map 2 Do Touch'!X35&gt;4,"Water","Land"),'Map 3'!$AK$3:$AL$3,0))))</f>
        <v>Ocean</v>
      </c>
      <c r="Y40" s="3" t="str">
        <f ca="1">IF('Map 2 Do Touch'!X35&lt;&gt;'Map 2 Do Touch'!X36,IF('Map 2 Do Touch'!Y36&gt;4,INDEX($AG$4:$AH$6,MATCH(INDEX($I$3:$L$6,MATCH(MOD('Map 2 Do Touch'!X36,4),$H$3:$H$6,0),MATCH(MOD('Map 2 Do Touch'!Y36,4),$I$2:$L$2,0)),$AF$4:$AF$6,0),MATCH(IF('Map 2 Do Touch'!X36&gt;4,"Water","Land"),'Map 3'!$AG$3:$AH$3,0)),INDEX($AK$4:$AL$6,MATCH(INDEX($I$3:$L$6,MATCH(MOD('Map 2 Do Touch'!X36,4),$H$3:$H$6,0),MATCH(MOD('Map 2 Do Touch'!Y36,4),$I$2:$L$2,0)),'Map 3'!$AJ$4:$AJ$6,0),MATCH(IF('Map 2 Do Touch'!X36&gt;4,"Water","Land"),'Map 3'!$AK$3:$AL$3,0))),IF('Map 2 Do Touch'!Y36&gt;4,INDEX($AG$4:$AH$6,MATCH(INDEX($P$3:$S$6,MATCH(MOD('Map 2 Do Touch'!Y35,4),$O$3:$O$6,0),MATCH(MOD('Map 2 Do Touch'!Y36,4),$P$2:$S$2,0)),$AF$4:$AF$6,0),MATCH(IF('Map 2 Do Touch'!Y35&gt;4,"Water","Land"),'Map 3'!$AG$3:$AH$3,0)),INDEX($AK$4:$AL$6,MATCH(INDEX($P$3:$S$6,MATCH(MOD('Map 2 Do Touch'!Y35,4),$O$3:$O$6,0),MATCH(MOD('Map 2 Do Touch'!Y36,4),$P$2:$S$2,0)),'Map 3'!$AJ$4:$AJ$6,0),MATCH(IF('Map 2 Do Touch'!Y35&gt;4,"Water","Land"),'Map 3'!$AK$3:$AL$3,0))))</f>
        <v>Ocean</v>
      </c>
      <c r="Z40" s="3" t="str">
        <f ca="1">IF('Map 2 Do Touch'!Y35&lt;&gt;'Map 2 Do Touch'!Y36,IF('Map 2 Do Touch'!Z36&gt;4,INDEX($AG$4:$AH$6,MATCH(INDEX($I$3:$L$6,MATCH(MOD('Map 2 Do Touch'!Y36,4),$H$3:$H$6,0),MATCH(MOD('Map 2 Do Touch'!Z36,4),$I$2:$L$2,0)),$AF$4:$AF$6,0),MATCH(IF('Map 2 Do Touch'!Y36&gt;4,"Water","Land"),'Map 3'!$AG$3:$AH$3,0)),INDEX($AK$4:$AL$6,MATCH(INDEX($I$3:$L$6,MATCH(MOD('Map 2 Do Touch'!Y36,4),$H$3:$H$6,0),MATCH(MOD('Map 2 Do Touch'!Z36,4),$I$2:$L$2,0)),'Map 3'!$AJ$4:$AJ$6,0),MATCH(IF('Map 2 Do Touch'!Y36&gt;4,"Water","Land"),'Map 3'!$AK$3:$AL$3,0))),IF('Map 2 Do Touch'!Z36&gt;4,INDEX($AG$4:$AH$6,MATCH(INDEX($P$3:$S$6,MATCH(MOD('Map 2 Do Touch'!Z35,4),$O$3:$O$6,0),MATCH(MOD('Map 2 Do Touch'!Z36,4),$P$2:$S$2,0)),$AF$4:$AF$6,0),MATCH(IF('Map 2 Do Touch'!Z35&gt;4,"Water","Land"),'Map 3'!$AG$3:$AH$3,0)),INDEX($AK$4:$AL$6,MATCH(INDEX($P$3:$S$6,MATCH(MOD('Map 2 Do Touch'!Z35,4),$O$3:$O$6,0),MATCH(MOD('Map 2 Do Touch'!Z36,4),$P$2:$S$2,0)),'Map 3'!$AJ$4:$AJ$6,0),MATCH(IF('Map 2 Do Touch'!Z35&gt;4,"Water","Land"),'Map 3'!$AK$3:$AL$3,0))))</f>
        <v>Ocean</v>
      </c>
      <c r="AA40" s="3" t="str">
        <f ca="1">IF('Map 2 Do Touch'!Z35&lt;&gt;'Map 2 Do Touch'!Z36,IF('Map 2 Do Touch'!AA36&gt;4,INDEX($AG$4:$AH$6,MATCH(INDEX($I$3:$L$6,MATCH(MOD('Map 2 Do Touch'!Z36,4),$H$3:$H$6,0),MATCH(MOD('Map 2 Do Touch'!AA36,4),$I$2:$L$2,0)),$AF$4:$AF$6,0),MATCH(IF('Map 2 Do Touch'!Z36&gt;4,"Water","Land"),'Map 3'!$AG$3:$AH$3,0)),INDEX($AK$4:$AL$6,MATCH(INDEX($I$3:$L$6,MATCH(MOD('Map 2 Do Touch'!Z36,4),$H$3:$H$6,0),MATCH(MOD('Map 2 Do Touch'!AA36,4),$I$2:$L$2,0)),'Map 3'!$AJ$4:$AJ$6,0),MATCH(IF('Map 2 Do Touch'!Z36&gt;4,"Water","Land"),'Map 3'!$AK$3:$AL$3,0))),IF('Map 2 Do Touch'!AA36&gt;4,INDEX($AG$4:$AH$6,MATCH(INDEX($P$3:$S$6,MATCH(MOD('Map 2 Do Touch'!AA35,4),$O$3:$O$6,0),MATCH(MOD('Map 2 Do Touch'!AA36,4),$P$2:$S$2,0)),$AF$4:$AF$6,0),MATCH(IF('Map 2 Do Touch'!AA35&gt;4,"Water","Land"),'Map 3'!$AG$3:$AH$3,0)),INDEX($AK$4:$AL$6,MATCH(INDEX($P$3:$S$6,MATCH(MOD('Map 2 Do Touch'!AA35,4),$O$3:$O$6,0),MATCH(MOD('Map 2 Do Touch'!AA36,4),$P$2:$S$2,0)),'Map 3'!$AJ$4:$AJ$6,0),MATCH(IF('Map 2 Do Touch'!AA35&gt;4,"Water","Land"),'Map 3'!$AK$3:$AL$3,0))))</f>
        <v>Ocean</v>
      </c>
      <c r="AB40" s="3" t="str">
        <f ca="1">IF('Map 2 Do Touch'!AA35&lt;&gt;'Map 2 Do Touch'!AA36,IF('Map 2 Do Touch'!AB36&gt;4,INDEX($AG$4:$AH$6,MATCH(INDEX($I$3:$L$6,MATCH(MOD('Map 2 Do Touch'!AA36,4),$H$3:$H$6,0),MATCH(MOD('Map 2 Do Touch'!AB36,4),$I$2:$L$2,0)),$AF$4:$AF$6,0),MATCH(IF('Map 2 Do Touch'!AA36&gt;4,"Water","Land"),'Map 3'!$AG$3:$AH$3,0)),INDEX($AK$4:$AL$6,MATCH(INDEX($I$3:$L$6,MATCH(MOD('Map 2 Do Touch'!AA36,4),$H$3:$H$6,0),MATCH(MOD('Map 2 Do Touch'!AB36,4),$I$2:$L$2,0)),'Map 3'!$AJ$4:$AJ$6,0),MATCH(IF('Map 2 Do Touch'!AA36&gt;4,"Water","Land"),'Map 3'!$AK$3:$AL$3,0))),IF('Map 2 Do Touch'!AB36&gt;4,INDEX($AG$4:$AH$6,MATCH(INDEX($P$3:$S$6,MATCH(MOD('Map 2 Do Touch'!AB35,4),$O$3:$O$6,0),MATCH(MOD('Map 2 Do Touch'!AB36,4),$P$2:$S$2,0)),$AF$4:$AF$6,0),MATCH(IF('Map 2 Do Touch'!AB35&gt;4,"Water","Land"),'Map 3'!$AG$3:$AH$3,0)),INDEX($AK$4:$AL$6,MATCH(INDEX($P$3:$S$6,MATCH(MOD('Map 2 Do Touch'!AB35,4),$O$3:$O$6,0),MATCH(MOD('Map 2 Do Touch'!AB36,4),$P$2:$S$2,0)),'Map 3'!$AJ$4:$AJ$6,0),MATCH(IF('Map 2 Do Touch'!AB35&gt;4,"Water","Land"),'Map 3'!$AK$3:$AL$3,0))))</f>
        <v>Ocean</v>
      </c>
      <c r="AC40" s="3" t="str">
        <f ca="1">IF('Map 2 Do Touch'!AB35&lt;&gt;'Map 2 Do Touch'!AB36,IF('Map 2 Do Touch'!AC36&gt;4,INDEX($AG$4:$AH$6,MATCH(INDEX($I$3:$L$6,MATCH(MOD('Map 2 Do Touch'!AB36,4),$H$3:$H$6,0),MATCH(MOD('Map 2 Do Touch'!AC36,4),$I$2:$L$2,0)),$AF$4:$AF$6,0),MATCH(IF('Map 2 Do Touch'!AB36&gt;4,"Water","Land"),'Map 3'!$AG$3:$AH$3,0)),INDEX($AK$4:$AL$6,MATCH(INDEX($I$3:$L$6,MATCH(MOD('Map 2 Do Touch'!AB36,4),$H$3:$H$6,0),MATCH(MOD('Map 2 Do Touch'!AC36,4),$I$2:$L$2,0)),'Map 3'!$AJ$4:$AJ$6,0),MATCH(IF('Map 2 Do Touch'!AB36&gt;4,"Water","Land"),'Map 3'!$AK$3:$AL$3,0))),IF('Map 2 Do Touch'!AC36&gt;4,INDEX($AG$4:$AH$6,MATCH(INDEX($P$3:$S$6,MATCH(MOD('Map 2 Do Touch'!AC35,4),$O$3:$O$6,0),MATCH(MOD('Map 2 Do Touch'!AC36,4),$P$2:$S$2,0)),$AF$4:$AF$6,0),MATCH(IF('Map 2 Do Touch'!AC35&gt;4,"Water","Land"),'Map 3'!$AG$3:$AH$3,0)),INDEX($AK$4:$AL$6,MATCH(INDEX($P$3:$S$6,MATCH(MOD('Map 2 Do Touch'!AC35,4),$O$3:$O$6,0),MATCH(MOD('Map 2 Do Touch'!AC36,4),$P$2:$S$2,0)),'Map 3'!$AJ$4:$AJ$6,0),MATCH(IF('Map 2 Do Touch'!AC35&gt;4,"Water","Land"),'Map 3'!$AK$3:$AL$3,0))))</f>
        <v>Ocean</v>
      </c>
      <c r="AD40" s="3" t="str">
        <f ca="1">IF('Map 2 Do Touch'!AC35&lt;&gt;'Map 2 Do Touch'!AC36,IF('Map 2 Do Touch'!AD36&gt;4,INDEX($AG$4:$AH$6,MATCH(INDEX($I$3:$L$6,MATCH(MOD('Map 2 Do Touch'!AC36,4),$H$3:$H$6,0),MATCH(MOD('Map 2 Do Touch'!AD36,4),$I$2:$L$2,0)),$AF$4:$AF$6,0),MATCH(IF('Map 2 Do Touch'!AC36&gt;4,"Water","Land"),'Map 3'!$AG$3:$AH$3,0)),INDEX($AK$4:$AL$6,MATCH(INDEX($I$3:$L$6,MATCH(MOD('Map 2 Do Touch'!AC36,4),$H$3:$H$6,0),MATCH(MOD('Map 2 Do Touch'!AD36,4),$I$2:$L$2,0)),'Map 3'!$AJ$4:$AJ$6,0),MATCH(IF('Map 2 Do Touch'!AC36&gt;4,"Water","Land"),'Map 3'!$AK$3:$AL$3,0))),IF('Map 2 Do Touch'!AD36&gt;4,INDEX($AG$4:$AH$6,MATCH(INDEX($P$3:$S$6,MATCH(MOD('Map 2 Do Touch'!AD35,4),$O$3:$O$6,0),MATCH(MOD('Map 2 Do Touch'!AD36,4),$P$2:$S$2,0)),$AF$4:$AF$6,0),MATCH(IF('Map 2 Do Touch'!AD35&gt;4,"Water","Land"),'Map 3'!$AG$3:$AH$3,0)),INDEX($AK$4:$AL$6,MATCH(INDEX($P$3:$S$6,MATCH(MOD('Map 2 Do Touch'!AD35,4),$O$3:$O$6,0),MATCH(MOD('Map 2 Do Touch'!AD36,4),$P$2:$S$2,0)),'Map 3'!$AJ$4:$AJ$6,0),MATCH(IF('Map 2 Do Touch'!AD35&gt;4,"Water","Land"),'Map 3'!$AK$3:$AL$3,0))))</f>
        <v>Ocean</v>
      </c>
      <c r="AE40" s="3" t="str">
        <f ca="1">IF('Map 2 Do Touch'!AD35&lt;&gt;'Map 2 Do Touch'!AD36,IF('Map 2 Do Touch'!AE36&gt;4,INDEX($AG$4:$AH$6,MATCH(INDEX($I$3:$L$6,MATCH(MOD('Map 2 Do Touch'!AD36,4),$H$3:$H$6,0),MATCH(MOD('Map 2 Do Touch'!AE36,4),$I$2:$L$2,0)),$AF$4:$AF$6,0),MATCH(IF('Map 2 Do Touch'!AD36&gt;4,"Water","Land"),'Map 3'!$AG$3:$AH$3,0)),INDEX($AK$4:$AL$6,MATCH(INDEX($I$3:$L$6,MATCH(MOD('Map 2 Do Touch'!AD36,4),$H$3:$H$6,0),MATCH(MOD('Map 2 Do Touch'!AE36,4),$I$2:$L$2,0)),'Map 3'!$AJ$4:$AJ$6,0),MATCH(IF('Map 2 Do Touch'!AD36&gt;4,"Water","Land"),'Map 3'!$AK$3:$AL$3,0))),IF('Map 2 Do Touch'!AE36&gt;4,INDEX($AG$4:$AH$6,MATCH(INDEX($P$3:$S$6,MATCH(MOD('Map 2 Do Touch'!AE35,4),$O$3:$O$6,0),MATCH(MOD('Map 2 Do Touch'!AE36,4),$P$2:$S$2,0)),$AF$4:$AF$6,0),MATCH(IF('Map 2 Do Touch'!AE35&gt;4,"Water","Land"),'Map 3'!$AG$3:$AH$3,0)),INDEX($AK$4:$AL$6,MATCH(INDEX($P$3:$S$6,MATCH(MOD('Map 2 Do Touch'!AE35,4),$O$3:$O$6,0),MATCH(MOD('Map 2 Do Touch'!AE36,4),$P$2:$S$2,0)),'Map 3'!$AJ$4:$AJ$6,0),MATCH(IF('Map 2 Do Touch'!AE35&gt;4,"Water","Land"),'Map 3'!$AK$3:$AL$3,0))))</f>
        <v>Trench</v>
      </c>
      <c r="AF40" s="3" t="str">
        <f ca="1">IF('Map 2 Do Touch'!AE35&lt;&gt;'Map 2 Do Touch'!AE36,IF('Map 2 Do Touch'!AF36&gt;4,INDEX($AG$4:$AH$6,MATCH(INDEX($I$3:$L$6,MATCH(MOD('Map 2 Do Touch'!AE36,4),$H$3:$H$6,0),MATCH(MOD('Map 2 Do Touch'!AF36,4),$I$2:$L$2,0)),$AF$4:$AF$6,0),MATCH(IF('Map 2 Do Touch'!AE36&gt;4,"Water","Land"),'Map 3'!$AG$3:$AH$3,0)),INDEX($AK$4:$AL$6,MATCH(INDEX($I$3:$L$6,MATCH(MOD('Map 2 Do Touch'!AE36,4),$H$3:$H$6,0),MATCH(MOD('Map 2 Do Touch'!AF36,4),$I$2:$L$2,0)),'Map 3'!$AJ$4:$AJ$6,0),MATCH(IF('Map 2 Do Touch'!AE36&gt;4,"Water","Land"),'Map 3'!$AK$3:$AL$3,0))),IF('Map 2 Do Touch'!AF36&gt;4,INDEX($AG$4:$AH$6,MATCH(INDEX($P$3:$S$6,MATCH(MOD('Map 2 Do Touch'!AF35,4),$O$3:$O$6,0),MATCH(MOD('Map 2 Do Touch'!AF36,4),$P$2:$S$2,0)),$AF$4:$AF$6,0),MATCH(IF('Map 2 Do Touch'!AF35&gt;4,"Water","Land"),'Map 3'!$AG$3:$AH$3,0)),INDEX($AK$4:$AL$6,MATCH(INDEX($P$3:$S$6,MATCH(MOD('Map 2 Do Touch'!AF35,4),$O$3:$O$6,0),MATCH(MOD('Map 2 Do Touch'!AF36,4),$P$2:$S$2,0)),'Map 3'!$AJ$4:$AJ$6,0),MATCH(IF('Map 2 Do Touch'!AF35&gt;4,"Water","Land"),'Map 3'!$AK$3:$AL$3,0))))</f>
        <v>Ocean</v>
      </c>
      <c r="AG40" s="3" t="str">
        <f ca="1">IF('Map 2 Do Touch'!AF35&lt;&gt;'Map 2 Do Touch'!AF36,IF('Map 2 Do Touch'!AG36&gt;4,INDEX($AG$4:$AH$6,MATCH(INDEX($I$3:$L$6,MATCH(MOD('Map 2 Do Touch'!AF36,4),$H$3:$H$6,0),MATCH(MOD('Map 2 Do Touch'!AG36,4),$I$2:$L$2,0)),$AF$4:$AF$6,0),MATCH(IF('Map 2 Do Touch'!AF36&gt;4,"Water","Land"),'Map 3'!$AG$3:$AH$3,0)),INDEX($AK$4:$AL$6,MATCH(INDEX($I$3:$L$6,MATCH(MOD('Map 2 Do Touch'!AF36,4),$H$3:$H$6,0),MATCH(MOD('Map 2 Do Touch'!AG36,4),$I$2:$L$2,0)),'Map 3'!$AJ$4:$AJ$6,0),MATCH(IF('Map 2 Do Touch'!AF36&gt;4,"Water","Land"),'Map 3'!$AK$3:$AL$3,0))),IF('Map 2 Do Touch'!AG36&gt;4,INDEX($AG$4:$AH$6,MATCH(INDEX($P$3:$S$6,MATCH(MOD('Map 2 Do Touch'!AG35,4),$O$3:$O$6,0),MATCH(MOD('Map 2 Do Touch'!AG36,4),$P$2:$S$2,0)),$AF$4:$AF$6,0),MATCH(IF('Map 2 Do Touch'!AG35&gt;4,"Water","Land"),'Map 3'!$AG$3:$AH$3,0)),INDEX($AK$4:$AL$6,MATCH(INDEX($P$3:$S$6,MATCH(MOD('Map 2 Do Touch'!AG35,4),$O$3:$O$6,0),MATCH(MOD('Map 2 Do Touch'!AG36,4),$P$2:$S$2,0)),'Map 3'!$AJ$4:$AJ$6,0),MATCH(IF('Map 2 Do Touch'!AG35&gt;4,"Water","Land"),'Map 3'!$AK$3:$AL$3,0))))</f>
        <v>Island</v>
      </c>
      <c r="AH40" s="3" t="str">
        <f ca="1">IF('Map 2 Do Touch'!AG35&lt;&gt;'Map 2 Do Touch'!AG36,IF('Map 2 Do Touch'!AH36&gt;4,INDEX($AG$4:$AH$6,MATCH(INDEX($I$3:$L$6,MATCH(MOD('Map 2 Do Touch'!AG36,4),$H$3:$H$6,0),MATCH(MOD('Map 2 Do Touch'!AH36,4),$I$2:$L$2,0)),$AF$4:$AF$6,0),MATCH(IF('Map 2 Do Touch'!AG36&gt;4,"Water","Land"),'Map 3'!$AG$3:$AH$3,0)),INDEX($AK$4:$AL$6,MATCH(INDEX($I$3:$L$6,MATCH(MOD('Map 2 Do Touch'!AG36,4),$H$3:$H$6,0),MATCH(MOD('Map 2 Do Touch'!AH36,4),$I$2:$L$2,0)),'Map 3'!$AJ$4:$AJ$6,0),MATCH(IF('Map 2 Do Touch'!AG36&gt;4,"Water","Land"),'Map 3'!$AK$3:$AL$3,0))),IF('Map 2 Do Touch'!AH36&gt;4,INDEX($AG$4:$AH$6,MATCH(INDEX($P$3:$S$6,MATCH(MOD('Map 2 Do Touch'!AH35,4),$O$3:$O$6,0),MATCH(MOD('Map 2 Do Touch'!AH36,4),$P$2:$S$2,0)),$AF$4:$AF$6,0),MATCH(IF('Map 2 Do Touch'!AH35&gt;4,"Water","Land"),'Map 3'!$AG$3:$AH$3,0)),INDEX($AK$4:$AL$6,MATCH(INDEX($P$3:$S$6,MATCH(MOD('Map 2 Do Touch'!AH35,4),$O$3:$O$6,0),MATCH(MOD('Map 2 Do Touch'!AH36,4),$P$2:$S$2,0)),'Map 3'!$AJ$4:$AJ$6,0),MATCH(IF('Map 2 Do Touch'!AH35&gt;4,"Water","Land"),'Map 3'!$AK$3:$AL$3,0))))</f>
        <v>Ocean</v>
      </c>
      <c r="AI40" s="3" t="str">
        <f ca="1">IF('Map 2 Do Touch'!AH35&lt;&gt;'Map 2 Do Touch'!AH36,IF('Map 2 Do Touch'!AI36&gt;4,INDEX($AG$4:$AH$6,MATCH(INDEX($I$3:$L$6,MATCH(MOD('Map 2 Do Touch'!AH36,4),$H$3:$H$6,0),MATCH(MOD('Map 2 Do Touch'!AI36,4),$I$2:$L$2,0)),$AF$4:$AF$6,0),MATCH(IF('Map 2 Do Touch'!AH36&gt;4,"Water","Land"),'Map 3'!$AG$3:$AH$3,0)),INDEX($AK$4:$AL$6,MATCH(INDEX($I$3:$L$6,MATCH(MOD('Map 2 Do Touch'!AH36,4),$H$3:$H$6,0),MATCH(MOD('Map 2 Do Touch'!AI36,4),$I$2:$L$2,0)),'Map 3'!$AJ$4:$AJ$6,0),MATCH(IF('Map 2 Do Touch'!AH36&gt;4,"Water","Land"),'Map 3'!$AK$3:$AL$3,0))),IF('Map 2 Do Touch'!AI36&gt;4,INDEX($AG$4:$AH$6,MATCH(INDEX($P$3:$S$6,MATCH(MOD('Map 2 Do Touch'!AI35,4),$O$3:$O$6,0),MATCH(MOD('Map 2 Do Touch'!AI36,4),$P$2:$S$2,0)),$AF$4:$AF$6,0),MATCH(IF('Map 2 Do Touch'!AI35&gt;4,"Water","Land"),'Map 3'!$AG$3:$AH$3,0)),INDEX($AK$4:$AL$6,MATCH(INDEX($P$3:$S$6,MATCH(MOD('Map 2 Do Touch'!AI35,4),$O$3:$O$6,0),MATCH(MOD('Map 2 Do Touch'!AI36,4),$P$2:$S$2,0)),'Map 3'!$AJ$4:$AJ$6,0),MATCH(IF('Map 2 Do Touch'!AI35&gt;4,"Water","Land"),'Map 3'!$AK$3:$AL$3,0))))</f>
        <v>Ocean</v>
      </c>
      <c r="AJ40" s="3" t="str">
        <f ca="1">IF('Map 2 Do Touch'!AI35&lt;&gt;'Map 2 Do Touch'!AI36,IF('Map 2 Do Touch'!AJ36&gt;4,INDEX($AG$4:$AH$6,MATCH(INDEX($I$3:$L$6,MATCH(MOD('Map 2 Do Touch'!AI36,4),$H$3:$H$6,0),MATCH(MOD('Map 2 Do Touch'!AJ36,4),$I$2:$L$2,0)),$AF$4:$AF$6,0),MATCH(IF('Map 2 Do Touch'!AI36&gt;4,"Water","Land"),'Map 3'!$AG$3:$AH$3,0)),INDEX($AK$4:$AL$6,MATCH(INDEX($I$3:$L$6,MATCH(MOD('Map 2 Do Touch'!AI36,4),$H$3:$H$6,0),MATCH(MOD('Map 2 Do Touch'!AJ36,4),$I$2:$L$2,0)),'Map 3'!$AJ$4:$AJ$6,0),MATCH(IF('Map 2 Do Touch'!AI36&gt;4,"Water","Land"),'Map 3'!$AK$3:$AL$3,0))),IF('Map 2 Do Touch'!AJ36&gt;4,INDEX($AG$4:$AH$6,MATCH(INDEX($P$3:$S$6,MATCH(MOD('Map 2 Do Touch'!AJ35,4),$O$3:$O$6,0),MATCH(MOD('Map 2 Do Touch'!AJ36,4),$P$2:$S$2,0)),$AF$4:$AF$6,0),MATCH(IF('Map 2 Do Touch'!AJ35&gt;4,"Water","Land"),'Map 3'!$AG$3:$AH$3,0)),INDEX($AK$4:$AL$6,MATCH(INDEX($P$3:$S$6,MATCH(MOD('Map 2 Do Touch'!AJ35,4),$O$3:$O$6,0),MATCH(MOD('Map 2 Do Touch'!AJ36,4),$P$2:$S$2,0)),'Map 3'!$AJ$4:$AJ$6,0),MATCH(IF('Map 2 Do Touch'!AJ35&gt;4,"Water","Land"),'Map 3'!$AK$3:$AL$3,0))))</f>
        <v>Ocean</v>
      </c>
      <c r="AK40" s="3" t="str">
        <f ca="1">IF('Map 2 Do Touch'!AJ35&lt;&gt;'Map 2 Do Touch'!AJ36,IF('Map 2 Do Touch'!AK36&gt;4,INDEX($AG$4:$AH$6,MATCH(INDEX($I$3:$L$6,MATCH(MOD('Map 2 Do Touch'!AJ36,4),$H$3:$H$6,0),MATCH(MOD('Map 2 Do Touch'!AK36,4),$I$2:$L$2,0)),$AF$4:$AF$6,0),MATCH(IF('Map 2 Do Touch'!AJ36&gt;4,"Water","Land"),'Map 3'!$AG$3:$AH$3,0)),INDEX($AK$4:$AL$6,MATCH(INDEX($I$3:$L$6,MATCH(MOD('Map 2 Do Touch'!AJ36,4),$H$3:$H$6,0),MATCH(MOD('Map 2 Do Touch'!AK36,4),$I$2:$L$2,0)),'Map 3'!$AJ$4:$AJ$6,0),MATCH(IF('Map 2 Do Touch'!AJ36&gt;4,"Water","Land"),'Map 3'!$AK$3:$AL$3,0))),IF('Map 2 Do Touch'!AK36&gt;4,INDEX($AG$4:$AH$6,MATCH(INDEX($P$3:$S$6,MATCH(MOD('Map 2 Do Touch'!AK35,4),$O$3:$O$6,0),MATCH(MOD('Map 2 Do Touch'!AK36,4),$P$2:$S$2,0)),$AF$4:$AF$6,0),MATCH(IF('Map 2 Do Touch'!AK35&gt;4,"Water","Land"),'Map 3'!$AG$3:$AH$3,0)),INDEX($AK$4:$AL$6,MATCH(INDEX($P$3:$S$6,MATCH(MOD('Map 2 Do Touch'!AK35,4),$O$3:$O$6,0),MATCH(MOD('Map 2 Do Touch'!AK36,4),$P$2:$S$2,0)),'Map 3'!$AJ$4:$AJ$6,0),MATCH(IF('Map 2 Do Touch'!AK35&gt;4,"Water","Land"),'Map 3'!$AK$3:$AL$3,0))))</f>
        <v>Trench</v>
      </c>
      <c r="AL40" s="3" t="str">
        <f ca="1">IF('Map 2 Do Touch'!AK35&lt;&gt;'Map 2 Do Touch'!AK36,IF('Map 2 Do Touch'!AL36&gt;4,INDEX($AG$4:$AH$6,MATCH(INDEX($I$3:$L$6,MATCH(MOD('Map 2 Do Touch'!AK36,4),$H$3:$H$6,0),MATCH(MOD('Map 2 Do Touch'!AL36,4),$I$2:$L$2,0)),$AF$4:$AF$6,0),MATCH(IF('Map 2 Do Touch'!AK36&gt;4,"Water","Land"),'Map 3'!$AG$3:$AH$3,0)),INDEX($AK$4:$AL$6,MATCH(INDEX($I$3:$L$6,MATCH(MOD('Map 2 Do Touch'!AK36,4),$H$3:$H$6,0),MATCH(MOD('Map 2 Do Touch'!AL36,4),$I$2:$L$2,0)),'Map 3'!$AJ$4:$AJ$6,0),MATCH(IF('Map 2 Do Touch'!AK36&gt;4,"Water","Land"),'Map 3'!$AK$3:$AL$3,0))),IF('Map 2 Do Touch'!AL36&gt;4,INDEX($AG$4:$AH$6,MATCH(INDEX($P$3:$S$6,MATCH(MOD('Map 2 Do Touch'!AL35,4),$O$3:$O$6,0),MATCH(MOD('Map 2 Do Touch'!AL36,4),$P$2:$S$2,0)),$AF$4:$AF$6,0),MATCH(IF('Map 2 Do Touch'!AL35&gt;4,"Water","Land"),'Map 3'!$AG$3:$AH$3,0)),INDEX($AK$4:$AL$6,MATCH(INDEX($P$3:$S$6,MATCH(MOD('Map 2 Do Touch'!AL35,4),$O$3:$O$6,0),MATCH(MOD('Map 2 Do Touch'!AL36,4),$P$2:$S$2,0)),'Map 3'!$AJ$4:$AJ$6,0),MATCH(IF('Map 2 Do Touch'!AL35&gt;4,"Water","Land"),'Map 3'!$AK$3:$AL$3,0))))</f>
        <v>Ocean</v>
      </c>
      <c r="AM40" s="3" t="str">
        <f ca="1">IF('Map 2 Do Touch'!AL35&lt;&gt;'Map 2 Do Touch'!AL36,IF('Map 2 Do Touch'!AM36&gt;4,INDEX($AG$4:$AH$6,MATCH(INDEX($I$3:$L$6,MATCH(MOD('Map 2 Do Touch'!AL36,4),$H$3:$H$6,0),MATCH(MOD('Map 2 Do Touch'!AM36,4),$I$2:$L$2,0)),$AF$4:$AF$6,0),MATCH(IF('Map 2 Do Touch'!AL36&gt;4,"Water","Land"),'Map 3'!$AG$3:$AH$3,0)),INDEX($AK$4:$AL$6,MATCH(INDEX($I$3:$L$6,MATCH(MOD('Map 2 Do Touch'!AL36,4),$H$3:$H$6,0),MATCH(MOD('Map 2 Do Touch'!AM36,4),$I$2:$L$2,0)),'Map 3'!$AJ$4:$AJ$6,0),MATCH(IF('Map 2 Do Touch'!AL36&gt;4,"Water","Land"),'Map 3'!$AK$3:$AL$3,0))),IF('Map 2 Do Touch'!AM36&gt;4,INDEX($AG$4:$AH$6,MATCH(INDEX($P$3:$S$6,MATCH(MOD('Map 2 Do Touch'!AM35,4),$O$3:$O$6,0),MATCH(MOD('Map 2 Do Touch'!AM36,4),$P$2:$S$2,0)),$AF$4:$AF$6,0),MATCH(IF('Map 2 Do Touch'!AM35&gt;4,"Water","Land"),'Map 3'!$AG$3:$AH$3,0)),INDEX($AK$4:$AL$6,MATCH(INDEX($P$3:$S$6,MATCH(MOD('Map 2 Do Touch'!AM35,4),$O$3:$O$6,0),MATCH(MOD('Map 2 Do Touch'!AM36,4),$P$2:$S$2,0)),'Map 3'!$AJ$4:$AJ$6,0),MATCH(IF('Map 2 Do Touch'!AM35&gt;4,"Water","Land"),'Map 3'!$AK$3:$AL$3,0))))</f>
        <v>Ocean</v>
      </c>
      <c r="AN40" s="3" t="str">
        <f ca="1">IF('Map 2 Do Touch'!AM35&lt;&gt;'Map 2 Do Touch'!AM36,IF('Map 2 Do Touch'!AN36&gt;4,INDEX($AG$4:$AH$6,MATCH(INDEX($I$3:$L$6,MATCH(MOD('Map 2 Do Touch'!AM36,4),$H$3:$H$6,0),MATCH(MOD('Map 2 Do Touch'!AN36,4),$I$2:$L$2,0)),$AF$4:$AF$6,0),MATCH(IF('Map 2 Do Touch'!AM36&gt;4,"Water","Land"),'Map 3'!$AG$3:$AH$3,0)),INDEX($AK$4:$AL$6,MATCH(INDEX($I$3:$L$6,MATCH(MOD('Map 2 Do Touch'!AM36,4),$H$3:$H$6,0),MATCH(MOD('Map 2 Do Touch'!AN36,4),$I$2:$L$2,0)),'Map 3'!$AJ$4:$AJ$6,0),MATCH(IF('Map 2 Do Touch'!AM36&gt;4,"Water","Land"),'Map 3'!$AK$3:$AL$3,0))),IF('Map 2 Do Touch'!AN36&gt;4,INDEX($AG$4:$AH$6,MATCH(INDEX($P$3:$S$6,MATCH(MOD('Map 2 Do Touch'!AN35,4),$O$3:$O$6,0),MATCH(MOD('Map 2 Do Touch'!AN36,4),$P$2:$S$2,0)),$AF$4:$AF$6,0),MATCH(IF('Map 2 Do Touch'!AN35&gt;4,"Water","Land"),'Map 3'!$AG$3:$AH$3,0)),INDEX($AK$4:$AL$6,MATCH(INDEX($P$3:$S$6,MATCH(MOD('Map 2 Do Touch'!AN35,4),$O$3:$O$6,0),MATCH(MOD('Map 2 Do Touch'!AN36,4),$P$2:$S$2,0)),'Map 3'!$AJ$4:$AJ$6,0),MATCH(IF('Map 2 Do Touch'!AN35&gt;4,"Water","Land"),'Map 3'!$AK$3:$AL$3,0))))</f>
        <v>Ocean</v>
      </c>
      <c r="AO40" s="87" t="str">
        <f ca="1">IF('Map 2 Do Touch'!AN35&lt;&gt;'Map 2 Do Touch'!AN36,IF('Map 2 Do Touch'!AO36&gt;4,INDEX($AG$4:$AH$6,MATCH(INDEX($I$3:$L$6,MATCH(MOD('Map 2 Do Touch'!AN36,4),$H$3:$H$6,0),MATCH(MOD('Map 2 Do Touch'!AO36,4),$I$2:$L$2,0)),$AF$4:$AF$6,0),MATCH(IF('Map 2 Do Touch'!AN36&gt;4,"Water","Land"),'Map 3'!$AG$3:$AH$3,0)),INDEX($AK$4:$AL$6,MATCH(INDEX($I$3:$L$6,MATCH(MOD('Map 2 Do Touch'!AN36,4),$H$3:$H$6,0),MATCH(MOD('Map 2 Do Touch'!AO36,4),$I$2:$L$2,0)),'Map 3'!$AJ$4:$AJ$6,0),MATCH(IF('Map 2 Do Touch'!AN36&gt;4,"Water","Land"),'Map 3'!$AK$3:$AL$3,0))),IF('Map 2 Do Touch'!AO36&gt;4,INDEX($AG$4:$AH$6,MATCH(INDEX($P$3:$S$6,MATCH(MOD('Map 2 Do Touch'!AO35,4),$O$3:$O$6,0),MATCH(MOD('Map 2 Do Touch'!AO36,4),$P$2:$S$2,0)),$AF$4:$AF$6,0),MATCH(IF('Map 2 Do Touch'!AO35&gt;4,"Water","Land"),'Map 3'!$AG$3:$AH$3,0)),INDEX($AK$4:$AL$6,MATCH(INDEX($P$3:$S$6,MATCH(MOD('Map 2 Do Touch'!AO35,4),$O$3:$O$6,0),MATCH(MOD('Map 2 Do Touch'!AO36,4),$P$2:$S$2,0)),'Map 3'!$AJ$4:$AJ$6,0),MATCH(IF('Map 2 Do Touch'!AO35&gt;4,"Water","Land"),'Map 3'!$AK$3:$AL$3,0))))</f>
        <v>Ocean</v>
      </c>
      <c r="AP40" s="3"/>
    </row>
    <row r="41" spans="1:42" ht="37.5" customHeight="1">
      <c r="A41" s="3">
        <v>30</v>
      </c>
      <c r="B41" s="86" t="str">
        <f ca="1">IF('Map 2 Do Touch'!B36&lt;&gt;'Map 2 Do Touch'!B37,IF('Map 2 Do Touch'!B37&gt;4,INDEX($AG$4:$AH$6,MATCH(INDEX($I$3:$L$6,MATCH(MOD('Map 2 Do Touch'!AO37,4),$H$3:$H$6,0),MATCH(MOD('Map 2 Do Touch'!B37,4),$I$2:$L$2,0)),$AF$4:$AF$6,0),MATCH(IF('Map 2 Do Touch'!AO37&gt;4,"Water","Land"),'Map 3'!$AG$3:$AH$3,0)),INDEX($AK$4:$AL$6,MATCH(INDEX($I$3:$L$6,MATCH(MOD('Map 2 Do Touch'!A37,4),$H$3:$H$6,0),MATCH(MOD('Map 2 Do Touch'!B37,4),$I$2:$L$2,0)),'Map 3'!$AJ$4:$AJ$6,0),MATCH(IF('Map 2 Do Touch'!AO37&gt;4,"Water","Land"),'Map 3'!$AK$3:$AL$3,0))),IF('Map 2 Do Touch'!B37&gt;4,INDEX($AG$4:$AH$6,MATCH(INDEX($P$3:$S$6,MATCH(MOD('Map 2 Do Touch'!B36,4),$O$3:$O$6,0),MATCH(MOD('Map 2 Do Touch'!B37,4),$P$2:$S$2,0)),$AF$4:$AF$6,0),MATCH(IF('Map 2 Do Touch'!B36&gt;4,"Water","Land"),'Map 3'!$AG$3:$AH$3,0)),INDEX($AK$4:$AL$6,MATCH(INDEX($P$3:$S$6,MATCH(MOD('Map 2 Do Touch'!B36,4),$O$3:$O$6,0),MATCH(MOD('Map 2 Do Touch'!B37,4),$P$2:$S$2,0)),'Map 3'!$AJ$4:$AJ$6,0),MATCH(IF('Map 2 Do Touch'!B36&gt;4,"Water","Land"),'Map 3'!$AK$3:$AL$3,0))))</f>
        <v>Ocean</v>
      </c>
      <c r="C41" s="3" t="str">
        <f ca="1">IF('Map 2 Do Touch'!B36&lt;&gt;'Map 2 Do Touch'!B37,IF('Map 2 Do Touch'!C37&gt;4,INDEX($AG$4:$AH$6,MATCH(INDEX($I$3:$L$6,MATCH(MOD('Map 2 Do Touch'!B37,4),$H$3:$H$6,0),MATCH(MOD('Map 2 Do Touch'!C37,4),$I$2:$L$2,0)),$AF$4:$AF$6,0),MATCH(IF('Map 2 Do Touch'!B37&gt;4,"Water","Land"),'Map 3'!$AG$3:$AH$3,0)),INDEX($AK$4:$AL$6,MATCH(INDEX($I$3:$L$6,MATCH(MOD('Map 2 Do Touch'!B37,4),$H$3:$H$6,0),MATCH(MOD('Map 2 Do Touch'!C37,4),$I$2:$L$2,0)),'Map 3'!$AJ$4:$AJ$6,0),MATCH(IF('Map 2 Do Touch'!B37&gt;4,"Water","Land"),'Map 3'!$AK$3:$AL$3,0))),IF('Map 2 Do Touch'!C37&gt;4,INDEX($AG$4:$AH$6,MATCH(INDEX($P$3:$S$6,MATCH(MOD('Map 2 Do Touch'!C36,4),$O$3:$O$6,0),MATCH(MOD('Map 2 Do Touch'!C37,4),$P$2:$S$2,0)),$AF$4:$AF$6,0),MATCH(IF('Map 2 Do Touch'!C36&gt;4,"Water","Land"),'Map 3'!$AG$3:$AH$3,0)),INDEX($AK$4:$AL$6,MATCH(INDEX($P$3:$S$6,MATCH(MOD('Map 2 Do Touch'!C36,4),$O$3:$O$6,0),MATCH(MOD('Map 2 Do Touch'!C37,4),$P$2:$S$2,0)),'Map 3'!$AJ$4:$AJ$6,0),MATCH(IF('Map 2 Do Touch'!C36&gt;4,"Water","Land"),'Map 3'!$AK$3:$AL$3,0))))</f>
        <v>Drop Off</v>
      </c>
      <c r="D41" s="3" t="str">
        <f ca="1">IF('Map 2 Do Touch'!C36&lt;&gt;'Map 2 Do Touch'!C37,IF('Map 2 Do Touch'!D37&gt;4,INDEX($AG$4:$AH$6,MATCH(INDEX($I$3:$L$6,MATCH(MOD('Map 2 Do Touch'!C37,4),$H$3:$H$6,0),MATCH(MOD('Map 2 Do Touch'!D37,4),$I$2:$L$2,0)),$AF$4:$AF$6,0),MATCH(IF('Map 2 Do Touch'!C37&gt;4,"Water","Land"),'Map 3'!$AG$3:$AH$3,0)),INDEX($AK$4:$AL$6,MATCH(INDEX($I$3:$L$6,MATCH(MOD('Map 2 Do Touch'!C37,4),$H$3:$H$6,0),MATCH(MOD('Map 2 Do Touch'!D37,4),$I$2:$L$2,0)),'Map 3'!$AJ$4:$AJ$6,0),MATCH(IF('Map 2 Do Touch'!C37&gt;4,"Water","Land"),'Map 3'!$AK$3:$AL$3,0))),IF('Map 2 Do Touch'!D37&gt;4,INDEX($AG$4:$AH$6,MATCH(INDEX($P$3:$S$6,MATCH(MOD('Map 2 Do Touch'!D36,4),$O$3:$O$6,0),MATCH(MOD('Map 2 Do Touch'!D37,4),$P$2:$S$2,0)),$AF$4:$AF$6,0),MATCH(IF('Map 2 Do Touch'!D36&gt;4,"Water","Land"),'Map 3'!$AG$3:$AH$3,0)),INDEX($AK$4:$AL$6,MATCH(INDEX($P$3:$S$6,MATCH(MOD('Map 2 Do Touch'!D36,4),$O$3:$O$6,0),MATCH(MOD('Map 2 Do Touch'!D37,4),$P$2:$S$2,0)),'Map 3'!$AJ$4:$AJ$6,0),MATCH(IF('Map 2 Do Touch'!D36&gt;4,"Water","Land"),'Map 3'!$AK$3:$AL$3,0))))</f>
        <v>Valley</v>
      </c>
      <c r="E41" s="3" t="str">
        <f ca="1">IF('Map 2 Do Touch'!D36&lt;&gt;'Map 2 Do Touch'!D37,IF('Map 2 Do Touch'!E37&gt;4,INDEX($AG$4:$AH$6,MATCH(INDEX($I$3:$L$6,MATCH(MOD('Map 2 Do Touch'!D37,4),$H$3:$H$6,0),MATCH(MOD('Map 2 Do Touch'!E37,4),$I$2:$L$2,0)),$AF$4:$AF$6,0),MATCH(IF('Map 2 Do Touch'!D37&gt;4,"Water","Land"),'Map 3'!$AG$3:$AH$3,0)),INDEX($AK$4:$AL$6,MATCH(INDEX($I$3:$L$6,MATCH(MOD('Map 2 Do Touch'!D37,4),$H$3:$H$6,0),MATCH(MOD('Map 2 Do Touch'!E37,4),$I$2:$L$2,0)),'Map 3'!$AJ$4:$AJ$6,0),MATCH(IF('Map 2 Do Touch'!D37&gt;4,"Water","Land"),'Map 3'!$AK$3:$AL$3,0))),IF('Map 2 Do Touch'!E37&gt;4,INDEX($AG$4:$AH$6,MATCH(INDEX($P$3:$S$6,MATCH(MOD('Map 2 Do Touch'!E36,4),$O$3:$O$6,0),MATCH(MOD('Map 2 Do Touch'!E37,4),$P$2:$S$2,0)),$AF$4:$AF$6,0),MATCH(IF('Map 2 Do Touch'!E36&gt;4,"Water","Land"),'Map 3'!$AG$3:$AH$3,0)),INDEX($AK$4:$AL$6,MATCH(INDEX($P$3:$S$6,MATCH(MOD('Map 2 Do Touch'!E36,4),$O$3:$O$6,0),MATCH(MOD('Map 2 Do Touch'!E37,4),$P$2:$S$2,0)),'Map 3'!$AJ$4:$AJ$6,0),MATCH(IF('Map 2 Do Touch'!E36&gt;4,"Water","Land"),'Map 3'!$AK$3:$AL$3,0))))</f>
        <v>Flatland</v>
      </c>
      <c r="F41" s="3" t="str">
        <f ca="1">IF('Map 2 Do Touch'!E36&lt;&gt;'Map 2 Do Touch'!E37,IF('Map 2 Do Touch'!F37&gt;4,INDEX($AG$4:$AH$6,MATCH(INDEX($I$3:$L$6,MATCH(MOD('Map 2 Do Touch'!E37,4),$H$3:$H$6,0),MATCH(MOD('Map 2 Do Touch'!F37,4),$I$2:$L$2,0)),$AF$4:$AF$6,0),MATCH(IF('Map 2 Do Touch'!E37&gt;4,"Water","Land"),'Map 3'!$AG$3:$AH$3,0)),INDEX($AK$4:$AL$6,MATCH(INDEX($I$3:$L$6,MATCH(MOD('Map 2 Do Touch'!E37,4),$H$3:$H$6,0),MATCH(MOD('Map 2 Do Touch'!F37,4),$I$2:$L$2,0)),'Map 3'!$AJ$4:$AJ$6,0),MATCH(IF('Map 2 Do Touch'!E37&gt;4,"Water","Land"),'Map 3'!$AK$3:$AL$3,0))),IF('Map 2 Do Touch'!F37&gt;4,INDEX($AG$4:$AH$6,MATCH(INDEX($P$3:$S$6,MATCH(MOD('Map 2 Do Touch'!F36,4),$O$3:$O$6,0),MATCH(MOD('Map 2 Do Touch'!F37,4),$P$2:$S$2,0)),$AF$4:$AF$6,0),MATCH(IF('Map 2 Do Touch'!F36&gt;4,"Water","Land"),'Map 3'!$AG$3:$AH$3,0)),INDEX($AK$4:$AL$6,MATCH(INDEX($P$3:$S$6,MATCH(MOD('Map 2 Do Touch'!F36,4),$O$3:$O$6,0),MATCH(MOD('Map 2 Do Touch'!F37,4),$P$2:$S$2,0)),'Map 3'!$AJ$4:$AJ$6,0),MATCH(IF('Map 2 Do Touch'!F36&gt;4,"Water","Land"),'Map 3'!$AK$3:$AL$3,0))))</f>
        <v>Valley</v>
      </c>
      <c r="G41" s="3" t="str">
        <f ca="1">IF('Map 2 Do Touch'!F36&lt;&gt;'Map 2 Do Touch'!F37,IF('Map 2 Do Touch'!G37&gt;4,INDEX($AG$4:$AH$6,MATCH(INDEX($I$3:$L$6,MATCH(MOD('Map 2 Do Touch'!F37,4),$H$3:$H$6,0),MATCH(MOD('Map 2 Do Touch'!G37,4),$I$2:$L$2,0)),$AF$4:$AF$6,0),MATCH(IF('Map 2 Do Touch'!F37&gt;4,"Water","Land"),'Map 3'!$AG$3:$AH$3,0)),INDEX($AK$4:$AL$6,MATCH(INDEX($I$3:$L$6,MATCH(MOD('Map 2 Do Touch'!F37,4),$H$3:$H$6,0),MATCH(MOD('Map 2 Do Touch'!G37,4),$I$2:$L$2,0)),'Map 3'!$AJ$4:$AJ$6,0),MATCH(IF('Map 2 Do Touch'!F37&gt;4,"Water","Land"),'Map 3'!$AK$3:$AL$3,0))),IF('Map 2 Do Touch'!G37&gt;4,INDEX($AG$4:$AH$6,MATCH(INDEX($P$3:$S$6,MATCH(MOD('Map 2 Do Touch'!G36,4),$O$3:$O$6,0),MATCH(MOD('Map 2 Do Touch'!G37,4),$P$2:$S$2,0)),$AF$4:$AF$6,0),MATCH(IF('Map 2 Do Touch'!G36&gt;4,"Water","Land"),'Map 3'!$AG$3:$AH$3,0)),INDEX($AK$4:$AL$6,MATCH(INDEX($P$3:$S$6,MATCH(MOD('Map 2 Do Touch'!G36,4),$O$3:$O$6,0),MATCH(MOD('Map 2 Do Touch'!G37,4),$P$2:$S$2,0)),'Map 3'!$AJ$4:$AJ$6,0),MATCH(IF('Map 2 Do Touch'!G36&gt;4,"Water","Land"),'Map 3'!$AK$3:$AL$3,0))))</f>
        <v>Flatland</v>
      </c>
      <c r="H41" s="3" t="str">
        <f ca="1">IF('Map 2 Do Touch'!G36&lt;&gt;'Map 2 Do Touch'!G37,IF('Map 2 Do Touch'!H37&gt;4,INDEX($AG$4:$AH$6,MATCH(INDEX($I$3:$L$6,MATCH(MOD('Map 2 Do Touch'!G37,4),$H$3:$H$6,0),MATCH(MOD('Map 2 Do Touch'!H37,4),$I$2:$L$2,0)),$AF$4:$AF$6,0),MATCH(IF('Map 2 Do Touch'!G37&gt;4,"Water","Land"),'Map 3'!$AG$3:$AH$3,0)),INDEX($AK$4:$AL$6,MATCH(INDEX($I$3:$L$6,MATCH(MOD('Map 2 Do Touch'!G37,4),$H$3:$H$6,0),MATCH(MOD('Map 2 Do Touch'!H37,4),$I$2:$L$2,0)),'Map 3'!$AJ$4:$AJ$6,0),MATCH(IF('Map 2 Do Touch'!G37&gt;4,"Water","Land"),'Map 3'!$AK$3:$AL$3,0))),IF('Map 2 Do Touch'!H37&gt;4,INDEX($AG$4:$AH$6,MATCH(INDEX($P$3:$S$6,MATCH(MOD('Map 2 Do Touch'!H36,4),$O$3:$O$6,0),MATCH(MOD('Map 2 Do Touch'!H37,4),$P$2:$S$2,0)),$AF$4:$AF$6,0),MATCH(IF('Map 2 Do Touch'!H36&gt;4,"Water","Land"),'Map 3'!$AG$3:$AH$3,0)),INDEX($AK$4:$AL$6,MATCH(INDEX($P$3:$S$6,MATCH(MOD('Map 2 Do Touch'!H36,4),$O$3:$O$6,0),MATCH(MOD('Map 2 Do Touch'!H37,4),$P$2:$S$2,0)),'Map 3'!$AJ$4:$AJ$6,0),MATCH(IF('Map 2 Do Touch'!H36&gt;4,"Water","Land"),'Map 3'!$AK$3:$AL$3,0))))</f>
        <v>Flatland</v>
      </c>
      <c r="I41" s="3" t="str">
        <f ca="1">IF('Map 2 Do Touch'!H36&lt;&gt;'Map 2 Do Touch'!H37,IF('Map 2 Do Touch'!I37&gt;4,INDEX($AG$4:$AH$6,MATCH(INDEX($I$3:$L$6,MATCH(MOD('Map 2 Do Touch'!H37,4),$H$3:$H$6,0),MATCH(MOD('Map 2 Do Touch'!I37,4),$I$2:$L$2,0)),$AF$4:$AF$6,0),MATCH(IF('Map 2 Do Touch'!H37&gt;4,"Water","Land"),'Map 3'!$AG$3:$AH$3,0)),INDEX($AK$4:$AL$6,MATCH(INDEX($I$3:$L$6,MATCH(MOD('Map 2 Do Touch'!H37,4),$H$3:$H$6,0),MATCH(MOD('Map 2 Do Touch'!I37,4),$I$2:$L$2,0)),'Map 3'!$AJ$4:$AJ$6,0),MATCH(IF('Map 2 Do Touch'!H37&gt;4,"Water","Land"),'Map 3'!$AK$3:$AL$3,0))),IF('Map 2 Do Touch'!I37&gt;4,INDEX($AG$4:$AH$6,MATCH(INDEX($P$3:$S$6,MATCH(MOD('Map 2 Do Touch'!I36,4),$O$3:$O$6,0),MATCH(MOD('Map 2 Do Touch'!I37,4),$P$2:$S$2,0)),$AF$4:$AF$6,0),MATCH(IF('Map 2 Do Touch'!I36&gt;4,"Water","Land"),'Map 3'!$AG$3:$AH$3,0)),INDEX($AK$4:$AL$6,MATCH(INDEX($P$3:$S$6,MATCH(MOD('Map 2 Do Touch'!I36,4),$O$3:$O$6,0),MATCH(MOD('Map 2 Do Touch'!I37,4),$P$2:$S$2,0)),'Map 3'!$AJ$4:$AJ$6,0),MATCH(IF('Map 2 Do Touch'!I36&gt;4,"Water","Land"),'Map 3'!$AK$3:$AL$3,0))))</f>
        <v>Coast</v>
      </c>
      <c r="J41" s="3" t="str">
        <f ca="1">IF('Map 2 Do Touch'!I36&lt;&gt;'Map 2 Do Touch'!I37,IF('Map 2 Do Touch'!J37&gt;4,INDEX($AG$4:$AH$6,MATCH(INDEX($I$3:$L$6,MATCH(MOD('Map 2 Do Touch'!I37,4),$H$3:$H$6,0),MATCH(MOD('Map 2 Do Touch'!J37,4),$I$2:$L$2,0)),$AF$4:$AF$6,0),MATCH(IF('Map 2 Do Touch'!I37&gt;4,"Water","Land"),'Map 3'!$AG$3:$AH$3,0)),INDEX($AK$4:$AL$6,MATCH(INDEX($I$3:$L$6,MATCH(MOD('Map 2 Do Touch'!I37,4),$H$3:$H$6,0),MATCH(MOD('Map 2 Do Touch'!J37,4),$I$2:$L$2,0)),'Map 3'!$AJ$4:$AJ$6,0),MATCH(IF('Map 2 Do Touch'!I37&gt;4,"Water","Land"),'Map 3'!$AK$3:$AL$3,0))),IF('Map 2 Do Touch'!J37&gt;4,INDEX($AG$4:$AH$6,MATCH(INDEX($P$3:$S$6,MATCH(MOD('Map 2 Do Touch'!J36,4),$O$3:$O$6,0),MATCH(MOD('Map 2 Do Touch'!J37,4),$P$2:$S$2,0)),$AF$4:$AF$6,0),MATCH(IF('Map 2 Do Touch'!J36&gt;4,"Water","Land"),'Map 3'!$AG$3:$AH$3,0)),INDEX($AK$4:$AL$6,MATCH(INDEX($P$3:$S$6,MATCH(MOD('Map 2 Do Touch'!J36,4),$O$3:$O$6,0),MATCH(MOD('Map 2 Do Touch'!J37,4),$P$2:$S$2,0)),'Map 3'!$AJ$4:$AJ$6,0),MATCH(IF('Map 2 Do Touch'!J36&gt;4,"Water","Land"),'Map 3'!$AK$3:$AL$3,0))))</f>
        <v>Ocean</v>
      </c>
      <c r="K41" s="3" t="str">
        <f ca="1">IF('Map 2 Do Touch'!J36&lt;&gt;'Map 2 Do Touch'!J37,IF('Map 2 Do Touch'!K37&gt;4,INDEX($AG$4:$AH$6,MATCH(INDEX($I$3:$L$6,MATCH(MOD('Map 2 Do Touch'!J37,4),$H$3:$H$6,0),MATCH(MOD('Map 2 Do Touch'!K37,4),$I$2:$L$2,0)),$AF$4:$AF$6,0),MATCH(IF('Map 2 Do Touch'!J37&gt;4,"Water","Land"),'Map 3'!$AG$3:$AH$3,0)),INDEX($AK$4:$AL$6,MATCH(INDEX($I$3:$L$6,MATCH(MOD('Map 2 Do Touch'!J37,4),$H$3:$H$6,0),MATCH(MOD('Map 2 Do Touch'!K37,4),$I$2:$L$2,0)),'Map 3'!$AJ$4:$AJ$6,0),MATCH(IF('Map 2 Do Touch'!J37&gt;4,"Water","Land"),'Map 3'!$AK$3:$AL$3,0))),IF('Map 2 Do Touch'!K37&gt;4,INDEX($AG$4:$AH$6,MATCH(INDEX($P$3:$S$6,MATCH(MOD('Map 2 Do Touch'!K36,4),$O$3:$O$6,0),MATCH(MOD('Map 2 Do Touch'!K37,4),$P$2:$S$2,0)),$AF$4:$AF$6,0),MATCH(IF('Map 2 Do Touch'!K36&gt;4,"Water","Land"),'Map 3'!$AG$3:$AH$3,0)),INDEX($AK$4:$AL$6,MATCH(INDEX($P$3:$S$6,MATCH(MOD('Map 2 Do Touch'!K36,4),$O$3:$O$6,0),MATCH(MOD('Map 2 Do Touch'!K37,4),$P$2:$S$2,0)),'Map 3'!$AJ$4:$AJ$6,0),MATCH(IF('Map 2 Do Touch'!K36&gt;4,"Water","Land"),'Map 3'!$AK$3:$AL$3,0))))</f>
        <v>Ocean</v>
      </c>
      <c r="L41" s="3" t="str">
        <f ca="1">IF('Map 2 Do Touch'!K36&lt;&gt;'Map 2 Do Touch'!K37,IF('Map 2 Do Touch'!L37&gt;4,INDEX($AG$4:$AH$6,MATCH(INDEX($I$3:$L$6,MATCH(MOD('Map 2 Do Touch'!K37,4),$H$3:$H$6,0),MATCH(MOD('Map 2 Do Touch'!L37,4),$I$2:$L$2,0)),$AF$4:$AF$6,0),MATCH(IF('Map 2 Do Touch'!K37&gt;4,"Water","Land"),'Map 3'!$AG$3:$AH$3,0)),INDEX($AK$4:$AL$6,MATCH(INDEX($I$3:$L$6,MATCH(MOD('Map 2 Do Touch'!K37,4),$H$3:$H$6,0),MATCH(MOD('Map 2 Do Touch'!L37,4),$I$2:$L$2,0)),'Map 3'!$AJ$4:$AJ$6,0),MATCH(IF('Map 2 Do Touch'!K37&gt;4,"Water","Land"),'Map 3'!$AK$3:$AL$3,0))),IF('Map 2 Do Touch'!L37&gt;4,INDEX($AG$4:$AH$6,MATCH(INDEX($P$3:$S$6,MATCH(MOD('Map 2 Do Touch'!L36,4),$O$3:$O$6,0),MATCH(MOD('Map 2 Do Touch'!L37,4),$P$2:$S$2,0)),$AF$4:$AF$6,0),MATCH(IF('Map 2 Do Touch'!L36&gt;4,"Water","Land"),'Map 3'!$AG$3:$AH$3,0)),INDEX($AK$4:$AL$6,MATCH(INDEX($P$3:$S$6,MATCH(MOD('Map 2 Do Touch'!L36,4),$O$3:$O$6,0),MATCH(MOD('Map 2 Do Touch'!L37,4),$P$2:$S$2,0)),'Map 3'!$AJ$4:$AJ$6,0),MATCH(IF('Map 2 Do Touch'!L36&gt;4,"Water","Land"),'Map 3'!$AK$3:$AL$3,0))))</f>
        <v>Trench</v>
      </c>
      <c r="M41" s="3" t="str">
        <f ca="1">IF('Map 2 Do Touch'!L36&lt;&gt;'Map 2 Do Touch'!L37,IF('Map 2 Do Touch'!M37&gt;4,INDEX($AG$4:$AH$6,MATCH(INDEX($I$3:$L$6,MATCH(MOD('Map 2 Do Touch'!L37,4),$H$3:$H$6,0),MATCH(MOD('Map 2 Do Touch'!M37,4),$I$2:$L$2,0)),$AF$4:$AF$6,0),MATCH(IF('Map 2 Do Touch'!L37&gt;4,"Water","Land"),'Map 3'!$AG$3:$AH$3,0)),INDEX($AK$4:$AL$6,MATCH(INDEX($I$3:$L$6,MATCH(MOD('Map 2 Do Touch'!L37,4),$H$3:$H$6,0),MATCH(MOD('Map 2 Do Touch'!M37,4),$I$2:$L$2,0)),'Map 3'!$AJ$4:$AJ$6,0),MATCH(IF('Map 2 Do Touch'!L37&gt;4,"Water","Land"),'Map 3'!$AK$3:$AL$3,0))),IF('Map 2 Do Touch'!M37&gt;4,INDEX($AG$4:$AH$6,MATCH(INDEX($P$3:$S$6,MATCH(MOD('Map 2 Do Touch'!M36,4),$O$3:$O$6,0),MATCH(MOD('Map 2 Do Touch'!M37,4),$P$2:$S$2,0)),$AF$4:$AF$6,0),MATCH(IF('Map 2 Do Touch'!M36&gt;4,"Water","Land"),'Map 3'!$AG$3:$AH$3,0)),INDEX($AK$4:$AL$6,MATCH(INDEX($P$3:$S$6,MATCH(MOD('Map 2 Do Touch'!M36,4),$O$3:$O$6,0),MATCH(MOD('Map 2 Do Touch'!M37,4),$P$2:$S$2,0)),'Map 3'!$AJ$4:$AJ$6,0),MATCH(IF('Map 2 Do Touch'!M36&gt;4,"Water","Land"),'Map 3'!$AK$3:$AL$3,0))))</f>
        <v>Ocean</v>
      </c>
      <c r="N41" s="3" t="str">
        <f ca="1">IF('Map 2 Do Touch'!M36&lt;&gt;'Map 2 Do Touch'!M37,IF('Map 2 Do Touch'!N37&gt;4,INDEX($AG$4:$AH$6,MATCH(INDEX($I$3:$L$6,MATCH(MOD('Map 2 Do Touch'!M37,4),$H$3:$H$6,0),MATCH(MOD('Map 2 Do Touch'!N37,4),$I$2:$L$2,0)),$AF$4:$AF$6,0),MATCH(IF('Map 2 Do Touch'!M37&gt;4,"Water","Land"),'Map 3'!$AG$3:$AH$3,0)),INDEX($AK$4:$AL$6,MATCH(INDEX($I$3:$L$6,MATCH(MOD('Map 2 Do Touch'!M37,4),$H$3:$H$6,0),MATCH(MOD('Map 2 Do Touch'!N37,4),$I$2:$L$2,0)),'Map 3'!$AJ$4:$AJ$6,0),MATCH(IF('Map 2 Do Touch'!M37&gt;4,"Water","Land"),'Map 3'!$AK$3:$AL$3,0))),IF('Map 2 Do Touch'!N37&gt;4,INDEX($AG$4:$AH$6,MATCH(INDEX($P$3:$S$6,MATCH(MOD('Map 2 Do Touch'!N36,4),$O$3:$O$6,0),MATCH(MOD('Map 2 Do Touch'!N37,4),$P$2:$S$2,0)),$AF$4:$AF$6,0),MATCH(IF('Map 2 Do Touch'!N36&gt;4,"Water","Land"),'Map 3'!$AG$3:$AH$3,0)),INDEX($AK$4:$AL$6,MATCH(INDEX($P$3:$S$6,MATCH(MOD('Map 2 Do Touch'!N36,4),$O$3:$O$6,0),MATCH(MOD('Map 2 Do Touch'!N37,4),$P$2:$S$2,0)),'Map 3'!$AJ$4:$AJ$6,0),MATCH(IF('Map 2 Do Touch'!N36&gt;4,"Water","Land"),'Map 3'!$AK$3:$AL$3,0))))</f>
        <v>Ocean</v>
      </c>
      <c r="O41" s="3" t="str">
        <f ca="1">IF('Map 2 Do Touch'!N36&lt;&gt;'Map 2 Do Touch'!N37,IF('Map 2 Do Touch'!O37&gt;4,INDEX($AG$4:$AH$6,MATCH(INDEX($I$3:$L$6,MATCH(MOD('Map 2 Do Touch'!N37,4),$H$3:$H$6,0),MATCH(MOD('Map 2 Do Touch'!O37,4),$I$2:$L$2,0)),$AF$4:$AF$6,0),MATCH(IF('Map 2 Do Touch'!N37&gt;4,"Water","Land"),'Map 3'!$AG$3:$AH$3,0)),INDEX($AK$4:$AL$6,MATCH(INDEX($I$3:$L$6,MATCH(MOD('Map 2 Do Touch'!N37,4),$H$3:$H$6,0),MATCH(MOD('Map 2 Do Touch'!O37,4),$I$2:$L$2,0)),'Map 3'!$AJ$4:$AJ$6,0),MATCH(IF('Map 2 Do Touch'!N37&gt;4,"Water","Land"),'Map 3'!$AK$3:$AL$3,0))),IF('Map 2 Do Touch'!O37&gt;4,INDEX($AG$4:$AH$6,MATCH(INDEX($P$3:$S$6,MATCH(MOD('Map 2 Do Touch'!O36,4),$O$3:$O$6,0),MATCH(MOD('Map 2 Do Touch'!O37,4),$P$2:$S$2,0)),$AF$4:$AF$6,0),MATCH(IF('Map 2 Do Touch'!O36&gt;4,"Water","Land"),'Map 3'!$AG$3:$AH$3,0)),INDEX($AK$4:$AL$6,MATCH(INDEX($P$3:$S$6,MATCH(MOD('Map 2 Do Touch'!O36,4),$O$3:$O$6,0),MATCH(MOD('Map 2 Do Touch'!O37,4),$P$2:$S$2,0)),'Map 3'!$AJ$4:$AJ$6,0),MATCH(IF('Map 2 Do Touch'!O36&gt;4,"Water","Land"),'Map 3'!$AK$3:$AL$3,0))))</f>
        <v>Trench</v>
      </c>
      <c r="P41" s="3" t="str">
        <f ca="1">IF('Map 2 Do Touch'!O36&lt;&gt;'Map 2 Do Touch'!O37,IF('Map 2 Do Touch'!P37&gt;4,INDEX($AG$4:$AH$6,MATCH(INDEX($I$3:$L$6,MATCH(MOD('Map 2 Do Touch'!O37,4),$H$3:$H$6,0),MATCH(MOD('Map 2 Do Touch'!P37,4),$I$2:$L$2,0)),$AF$4:$AF$6,0),MATCH(IF('Map 2 Do Touch'!O37&gt;4,"Water","Land"),'Map 3'!$AG$3:$AH$3,0)),INDEX($AK$4:$AL$6,MATCH(INDEX($I$3:$L$6,MATCH(MOD('Map 2 Do Touch'!O37,4),$H$3:$H$6,0),MATCH(MOD('Map 2 Do Touch'!P37,4),$I$2:$L$2,0)),'Map 3'!$AJ$4:$AJ$6,0),MATCH(IF('Map 2 Do Touch'!O37&gt;4,"Water","Land"),'Map 3'!$AK$3:$AL$3,0))),IF('Map 2 Do Touch'!P37&gt;4,INDEX($AG$4:$AH$6,MATCH(INDEX($P$3:$S$6,MATCH(MOD('Map 2 Do Touch'!P36,4),$O$3:$O$6,0),MATCH(MOD('Map 2 Do Touch'!P37,4),$P$2:$S$2,0)),$AF$4:$AF$6,0),MATCH(IF('Map 2 Do Touch'!P36&gt;4,"Water","Land"),'Map 3'!$AG$3:$AH$3,0)),INDEX($AK$4:$AL$6,MATCH(INDEX($P$3:$S$6,MATCH(MOD('Map 2 Do Touch'!P36,4),$O$3:$O$6,0),MATCH(MOD('Map 2 Do Touch'!P37,4),$P$2:$S$2,0)),'Map 3'!$AJ$4:$AJ$6,0),MATCH(IF('Map 2 Do Touch'!P36&gt;4,"Water","Land"),'Map 3'!$AK$3:$AL$3,0))))</f>
        <v>Trench</v>
      </c>
      <c r="Q41" s="3" t="str">
        <f ca="1">IF('Map 2 Do Touch'!P36&lt;&gt;'Map 2 Do Touch'!P37,IF('Map 2 Do Touch'!Q37&gt;4,INDEX($AG$4:$AH$6,MATCH(INDEX($I$3:$L$6,MATCH(MOD('Map 2 Do Touch'!P37,4),$H$3:$H$6,0),MATCH(MOD('Map 2 Do Touch'!Q37,4),$I$2:$L$2,0)),$AF$4:$AF$6,0),MATCH(IF('Map 2 Do Touch'!P37&gt;4,"Water","Land"),'Map 3'!$AG$3:$AH$3,0)),INDEX($AK$4:$AL$6,MATCH(INDEX($I$3:$L$6,MATCH(MOD('Map 2 Do Touch'!P37,4),$H$3:$H$6,0),MATCH(MOD('Map 2 Do Touch'!Q37,4),$I$2:$L$2,0)),'Map 3'!$AJ$4:$AJ$6,0),MATCH(IF('Map 2 Do Touch'!P37&gt;4,"Water","Land"),'Map 3'!$AK$3:$AL$3,0))),IF('Map 2 Do Touch'!Q37&gt;4,INDEX($AG$4:$AH$6,MATCH(INDEX($P$3:$S$6,MATCH(MOD('Map 2 Do Touch'!Q36,4),$O$3:$O$6,0),MATCH(MOD('Map 2 Do Touch'!Q37,4),$P$2:$S$2,0)),$AF$4:$AF$6,0),MATCH(IF('Map 2 Do Touch'!Q36&gt;4,"Water","Land"),'Map 3'!$AG$3:$AH$3,0)),INDEX($AK$4:$AL$6,MATCH(INDEX($P$3:$S$6,MATCH(MOD('Map 2 Do Touch'!Q36,4),$O$3:$O$6,0),MATCH(MOD('Map 2 Do Touch'!Q37,4),$P$2:$S$2,0)),'Map 3'!$AJ$4:$AJ$6,0),MATCH(IF('Map 2 Do Touch'!Q36&gt;4,"Water","Land"),'Map 3'!$AK$3:$AL$3,0))))</f>
        <v>Trench</v>
      </c>
      <c r="R41" s="3" t="str">
        <f ca="1">IF('Map 2 Do Touch'!Q36&lt;&gt;'Map 2 Do Touch'!Q37,IF('Map 2 Do Touch'!R37&gt;4,INDEX($AG$4:$AH$6,MATCH(INDEX($I$3:$L$6,MATCH(MOD('Map 2 Do Touch'!Q37,4),$H$3:$H$6,0),MATCH(MOD('Map 2 Do Touch'!R37,4),$I$2:$L$2,0)),$AF$4:$AF$6,0),MATCH(IF('Map 2 Do Touch'!Q37&gt;4,"Water","Land"),'Map 3'!$AG$3:$AH$3,0)),INDEX($AK$4:$AL$6,MATCH(INDEX($I$3:$L$6,MATCH(MOD('Map 2 Do Touch'!Q37,4),$H$3:$H$6,0),MATCH(MOD('Map 2 Do Touch'!R37,4),$I$2:$L$2,0)),'Map 3'!$AJ$4:$AJ$6,0),MATCH(IF('Map 2 Do Touch'!Q37&gt;4,"Water","Land"),'Map 3'!$AK$3:$AL$3,0))),IF('Map 2 Do Touch'!R37&gt;4,INDEX($AG$4:$AH$6,MATCH(INDEX($P$3:$S$6,MATCH(MOD('Map 2 Do Touch'!R36,4),$O$3:$O$6,0),MATCH(MOD('Map 2 Do Touch'!R37,4),$P$2:$S$2,0)),$AF$4:$AF$6,0),MATCH(IF('Map 2 Do Touch'!R36&gt;4,"Water","Land"),'Map 3'!$AG$3:$AH$3,0)),INDEX($AK$4:$AL$6,MATCH(INDEX($P$3:$S$6,MATCH(MOD('Map 2 Do Touch'!R36,4),$O$3:$O$6,0),MATCH(MOD('Map 2 Do Touch'!R37,4),$P$2:$S$2,0)),'Map 3'!$AJ$4:$AJ$6,0),MATCH(IF('Map 2 Do Touch'!R36&gt;4,"Water","Land"),'Map 3'!$AK$3:$AL$3,0))))</f>
        <v>Island</v>
      </c>
      <c r="S41" s="3" t="str">
        <f ca="1">IF('Map 2 Do Touch'!R36&lt;&gt;'Map 2 Do Touch'!R37,IF('Map 2 Do Touch'!S37&gt;4,INDEX($AG$4:$AH$6,MATCH(INDEX($I$3:$L$6,MATCH(MOD('Map 2 Do Touch'!R37,4),$H$3:$H$6,0),MATCH(MOD('Map 2 Do Touch'!S37,4),$I$2:$L$2,0)),$AF$4:$AF$6,0),MATCH(IF('Map 2 Do Touch'!R37&gt;4,"Water","Land"),'Map 3'!$AG$3:$AH$3,0)),INDEX($AK$4:$AL$6,MATCH(INDEX($I$3:$L$6,MATCH(MOD('Map 2 Do Touch'!R37,4),$H$3:$H$6,0),MATCH(MOD('Map 2 Do Touch'!S37,4),$I$2:$L$2,0)),'Map 3'!$AJ$4:$AJ$6,0),MATCH(IF('Map 2 Do Touch'!R37&gt;4,"Water","Land"),'Map 3'!$AK$3:$AL$3,0))),IF('Map 2 Do Touch'!S37&gt;4,INDEX($AG$4:$AH$6,MATCH(INDEX($P$3:$S$6,MATCH(MOD('Map 2 Do Touch'!S36,4),$O$3:$O$6,0),MATCH(MOD('Map 2 Do Touch'!S37,4),$P$2:$S$2,0)),$AF$4:$AF$6,0),MATCH(IF('Map 2 Do Touch'!S36&gt;4,"Water","Land"),'Map 3'!$AG$3:$AH$3,0)),INDEX($AK$4:$AL$6,MATCH(INDEX($P$3:$S$6,MATCH(MOD('Map 2 Do Touch'!S36,4),$O$3:$O$6,0),MATCH(MOD('Map 2 Do Touch'!S37,4),$P$2:$S$2,0)),'Map 3'!$AJ$4:$AJ$6,0),MATCH(IF('Map 2 Do Touch'!S36&gt;4,"Water","Land"),'Map 3'!$AK$3:$AL$3,0))))</f>
        <v>Island</v>
      </c>
      <c r="T41" s="3" t="str">
        <f ca="1">IF('Map 2 Do Touch'!S36&lt;&gt;'Map 2 Do Touch'!S37,IF('Map 2 Do Touch'!T37&gt;4,INDEX($AG$4:$AH$6,MATCH(INDEX($I$3:$L$6,MATCH(MOD('Map 2 Do Touch'!S37,4),$H$3:$H$6,0),MATCH(MOD('Map 2 Do Touch'!T37,4),$I$2:$L$2,0)),$AF$4:$AF$6,0),MATCH(IF('Map 2 Do Touch'!S37&gt;4,"Water","Land"),'Map 3'!$AG$3:$AH$3,0)),INDEX($AK$4:$AL$6,MATCH(INDEX($I$3:$L$6,MATCH(MOD('Map 2 Do Touch'!S37,4),$H$3:$H$6,0),MATCH(MOD('Map 2 Do Touch'!T37,4),$I$2:$L$2,0)),'Map 3'!$AJ$4:$AJ$6,0),MATCH(IF('Map 2 Do Touch'!S37&gt;4,"Water","Land"),'Map 3'!$AK$3:$AL$3,0))),IF('Map 2 Do Touch'!T37&gt;4,INDEX($AG$4:$AH$6,MATCH(INDEX($P$3:$S$6,MATCH(MOD('Map 2 Do Touch'!T36,4),$O$3:$O$6,0),MATCH(MOD('Map 2 Do Touch'!T37,4),$P$2:$S$2,0)),$AF$4:$AF$6,0),MATCH(IF('Map 2 Do Touch'!T36&gt;4,"Water","Land"),'Map 3'!$AG$3:$AH$3,0)),INDEX($AK$4:$AL$6,MATCH(INDEX($P$3:$S$6,MATCH(MOD('Map 2 Do Touch'!T36,4),$O$3:$O$6,0),MATCH(MOD('Map 2 Do Touch'!T37,4),$P$2:$S$2,0)),'Map 3'!$AJ$4:$AJ$6,0),MATCH(IF('Map 2 Do Touch'!T36&gt;4,"Water","Land"),'Map 3'!$AK$3:$AL$3,0))))</f>
        <v>Ocean</v>
      </c>
      <c r="U41" s="3" t="str">
        <f ca="1">IF('Map 2 Do Touch'!T36&lt;&gt;'Map 2 Do Touch'!T37,IF('Map 2 Do Touch'!U37&gt;4,INDEX($AG$4:$AH$6,MATCH(INDEX($I$3:$L$6,MATCH(MOD('Map 2 Do Touch'!T37,4),$H$3:$H$6,0),MATCH(MOD('Map 2 Do Touch'!U37,4),$I$2:$L$2,0)),$AF$4:$AF$6,0),MATCH(IF('Map 2 Do Touch'!T37&gt;4,"Water","Land"),'Map 3'!$AG$3:$AH$3,0)),INDEX($AK$4:$AL$6,MATCH(INDEX($I$3:$L$6,MATCH(MOD('Map 2 Do Touch'!T37,4),$H$3:$H$6,0),MATCH(MOD('Map 2 Do Touch'!U37,4),$I$2:$L$2,0)),'Map 3'!$AJ$4:$AJ$6,0),MATCH(IF('Map 2 Do Touch'!T37&gt;4,"Water","Land"),'Map 3'!$AK$3:$AL$3,0))),IF('Map 2 Do Touch'!U37&gt;4,INDEX($AG$4:$AH$6,MATCH(INDEX($P$3:$S$6,MATCH(MOD('Map 2 Do Touch'!U36,4),$O$3:$O$6,0),MATCH(MOD('Map 2 Do Touch'!U37,4),$P$2:$S$2,0)),$AF$4:$AF$6,0),MATCH(IF('Map 2 Do Touch'!U36&gt;4,"Water","Land"),'Map 3'!$AG$3:$AH$3,0)),INDEX($AK$4:$AL$6,MATCH(INDEX($P$3:$S$6,MATCH(MOD('Map 2 Do Touch'!U36,4),$O$3:$O$6,0),MATCH(MOD('Map 2 Do Touch'!U37,4),$P$2:$S$2,0)),'Map 3'!$AJ$4:$AJ$6,0),MATCH(IF('Map 2 Do Touch'!U36&gt;4,"Water","Land"),'Map 3'!$AK$3:$AL$3,0))))</f>
        <v>Trench</v>
      </c>
      <c r="V41" s="3" t="str">
        <f ca="1">IF('Map 2 Do Touch'!U36&lt;&gt;'Map 2 Do Touch'!U37,IF('Map 2 Do Touch'!V37&gt;4,INDEX($AG$4:$AH$6,MATCH(INDEX($I$3:$L$6,MATCH(MOD('Map 2 Do Touch'!U37,4),$H$3:$H$6,0),MATCH(MOD('Map 2 Do Touch'!V37,4),$I$2:$L$2,0)),$AF$4:$AF$6,0),MATCH(IF('Map 2 Do Touch'!U37&gt;4,"Water","Land"),'Map 3'!$AG$3:$AH$3,0)),INDEX($AK$4:$AL$6,MATCH(INDEX($I$3:$L$6,MATCH(MOD('Map 2 Do Touch'!U37,4),$H$3:$H$6,0),MATCH(MOD('Map 2 Do Touch'!V37,4),$I$2:$L$2,0)),'Map 3'!$AJ$4:$AJ$6,0),MATCH(IF('Map 2 Do Touch'!U37&gt;4,"Water","Land"),'Map 3'!$AK$3:$AL$3,0))),IF('Map 2 Do Touch'!V37&gt;4,INDEX($AG$4:$AH$6,MATCH(INDEX($P$3:$S$6,MATCH(MOD('Map 2 Do Touch'!V36,4),$O$3:$O$6,0),MATCH(MOD('Map 2 Do Touch'!V37,4),$P$2:$S$2,0)),$AF$4:$AF$6,0),MATCH(IF('Map 2 Do Touch'!V36&gt;4,"Water","Land"),'Map 3'!$AG$3:$AH$3,0)),INDEX($AK$4:$AL$6,MATCH(INDEX($P$3:$S$6,MATCH(MOD('Map 2 Do Touch'!V36,4),$O$3:$O$6,0),MATCH(MOD('Map 2 Do Touch'!V37,4),$P$2:$S$2,0)),'Map 3'!$AJ$4:$AJ$6,0),MATCH(IF('Map 2 Do Touch'!V36&gt;4,"Water","Land"),'Map 3'!$AK$3:$AL$3,0))))</f>
        <v>Ocean</v>
      </c>
      <c r="W41" s="3" t="str">
        <f ca="1">IF('Map 2 Do Touch'!V36&lt;&gt;'Map 2 Do Touch'!V37,IF('Map 2 Do Touch'!W37&gt;4,INDEX($AG$4:$AH$6,MATCH(INDEX($I$3:$L$6,MATCH(MOD('Map 2 Do Touch'!V37,4),$H$3:$H$6,0),MATCH(MOD('Map 2 Do Touch'!W37,4),$I$2:$L$2,0)),$AF$4:$AF$6,0),MATCH(IF('Map 2 Do Touch'!V37&gt;4,"Water","Land"),'Map 3'!$AG$3:$AH$3,0)),INDEX($AK$4:$AL$6,MATCH(INDEX($I$3:$L$6,MATCH(MOD('Map 2 Do Touch'!V37,4),$H$3:$H$6,0),MATCH(MOD('Map 2 Do Touch'!W37,4),$I$2:$L$2,0)),'Map 3'!$AJ$4:$AJ$6,0),MATCH(IF('Map 2 Do Touch'!V37&gt;4,"Water","Land"),'Map 3'!$AK$3:$AL$3,0))),IF('Map 2 Do Touch'!W37&gt;4,INDEX($AG$4:$AH$6,MATCH(INDEX($P$3:$S$6,MATCH(MOD('Map 2 Do Touch'!W36,4),$O$3:$O$6,0),MATCH(MOD('Map 2 Do Touch'!W37,4),$P$2:$S$2,0)),$AF$4:$AF$6,0),MATCH(IF('Map 2 Do Touch'!W36&gt;4,"Water","Land"),'Map 3'!$AG$3:$AH$3,0)),INDEX($AK$4:$AL$6,MATCH(INDEX($P$3:$S$6,MATCH(MOD('Map 2 Do Touch'!W36,4),$O$3:$O$6,0),MATCH(MOD('Map 2 Do Touch'!W37,4),$P$2:$S$2,0)),'Map 3'!$AJ$4:$AJ$6,0),MATCH(IF('Map 2 Do Touch'!W36&gt;4,"Water","Land"),'Map 3'!$AK$3:$AL$3,0))))</f>
        <v>Ocean</v>
      </c>
      <c r="X41" s="3" t="str">
        <f ca="1">IF('Map 2 Do Touch'!W36&lt;&gt;'Map 2 Do Touch'!W37,IF('Map 2 Do Touch'!X37&gt;4,INDEX($AG$4:$AH$6,MATCH(INDEX($I$3:$L$6,MATCH(MOD('Map 2 Do Touch'!W37,4),$H$3:$H$6,0),MATCH(MOD('Map 2 Do Touch'!X37,4),$I$2:$L$2,0)),$AF$4:$AF$6,0),MATCH(IF('Map 2 Do Touch'!W37&gt;4,"Water","Land"),'Map 3'!$AG$3:$AH$3,0)),INDEX($AK$4:$AL$6,MATCH(INDEX($I$3:$L$6,MATCH(MOD('Map 2 Do Touch'!W37,4),$H$3:$H$6,0),MATCH(MOD('Map 2 Do Touch'!X37,4),$I$2:$L$2,0)),'Map 3'!$AJ$4:$AJ$6,0),MATCH(IF('Map 2 Do Touch'!W37&gt;4,"Water","Land"),'Map 3'!$AK$3:$AL$3,0))),IF('Map 2 Do Touch'!X37&gt;4,INDEX($AG$4:$AH$6,MATCH(INDEX($P$3:$S$6,MATCH(MOD('Map 2 Do Touch'!X36,4),$O$3:$O$6,0),MATCH(MOD('Map 2 Do Touch'!X37,4),$P$2:$S$2,0)),$AF$4:$AF$6,0),MATCH(IF('Map 2 Do Touch'!X36&gt;4,"Water","Land"),'Map 3'!$AG$3:$AH$3,0)),INDEX($AK$4:$AL$6,MATCH(INDEX($P$3:$S$6,MATCH(MOD('Map 2 Do Touch'!X36,4),$O$3:$O$6,0),MATCH(MOD('Map 2 Do Touch'!X37,4),$P$2:$S$2,0)),'Map 3'!$AJ$4:$AJ$6,0),MATCH(IF('Map 2 Do Touch'!X36&gt;4,"Water","Land"),'Map 3'!$AK$3:$AL$3,0))))</f>
        <v>Ocean</v>
      </c>
      <c r="Y41" s="3" t="str">
        <f ca="1">IF('Map 2 Do Touch'!X36&lt;&gt;'Map 2 Do Touch'!X37,IF('Map 2 Do Touch'!Y37&gt;4,INDEX($AG$4:$AH$6,MATCH(INDEX($I$3:$L$6,MATCH(MOD('Map 2 Do Touch'!X37,4),$H$3:$H$6,0),MATCH(MOD('Map 2 Do Touch'!Y37,4),$I$2:$L$2,0)),$AF$4:$AF$6,0),MATCH(IF('Map 2 Do Touch'!X37&gt;4,"Water","Land"),'Map 3'!$AG$3:$AH$3,0)),INDEX($AK$4:$AL$6,MATCH(INDEX($I$3:$L$6,MATCH(MOD('Map 2 Do Touch'!X37,4),$H$3:$H$6,0),MATCH(MOD('Map 2 Do Touch'!Y37,4),$I$2:$L$2,0)),'Map 3'!$AJ$4:$AJ$6,0),MATCH(IF('Map 2 Do Touch'!X37&gt;4,"Water","Land"),'Map 3'!$AK$3:$AL$3,0))),IF('Map 2 Do Touch'!Y37&gt;4,INDEX($AG$4:$AH$6,MATCH(INDEX($P$3:$S$6,MATCH(MOD('Map 2 Do Touch'!Y36,4),$O$3:$O$6,0),MATCH(MOD('Map 2 Do Touch'!Y37,4),$P$2:$S$2,0)),$AF$4:$AF$6,0),MATCH(IF('Map 2 Do Touch'!Y36&gt;4,"Water","Land"),'Map 3'!$AG$3:$AH$3,0)),INDEX($AK$4:$AL$6,MATCH(INDEX($P$3:$S$6,MATCH(MOD('Map 2 Do Touch'!Y36,4),$O$3:$O$6,0),MATCH(MOD('Map 2 Do Touch'!Y37,4),$P$2:$S$2,0)),'Map 3'!$AJ$4:$AJ$6,0),MATCH(IF('Map 2 Do Touch'!Y36&gt;4,"Water","Land"),'Map 3'!$AK$3:$AL$3,0))))</f>
        <v>Ocean</v>
      </c>
      <c r="Z41" s="3" t="str">
        <f ca="1">IF('Map 2 Do Touch'!Y36&lt;&gt;'Map 2 Do Touch'!Y37,IF('Map 2 Do Touch'!Z37&gt;4,INDEX($AG$4:$AH$6,MATCH(INDEX($I$3:$L$6,MATCH(MOD('Map 2 Do Touch'!Y37,4),$H$3:$H$6,0),MATCH(MOD('Map 2 Do Touch'!Z37,4),$I$2:$L$2,0)),$AF$4:$AF$6,0),MATCH(IF('Map 2 Do Touch'!Y37&gt;4,"Water","Land"),'Map 3'!$AG$3:$AH$3,0)),INDEX($AK$4:$AL$6,MATCH(INDEX($I$3:$L$6,MATCH(MOD('Map 2 Do Touch'!Y37,4),$H$3:$H$6,0),MATCH(MOD('Map 2 Do Touch'!Z37,4),$I$2:$L$2,0)),'Map 3'!$AJ$4:$AJ$6,0),MATCH(IF('Map 2 Do Touch'!Y37&gt;4,"Water","Land"),'Map 3'!$AK$3:$AL$3,0))),IF('Map 2 Do Touch'!Z37&gt;4,INDEX($AG$4:$AH$6,MATCH(INDEX($P$3:$S$6,MATCH(MOD('Map 2 Do Touch'!Z36,4),$O$3:$O$6,0),MATCH(MOD('Map 2 Do Touch'!Z37,4),$P$2:$S$2,0)),$AF$4:$AF$6,0),MATCH(IF('Map 2 Do Touch'!Z36&gt;4,"Water","Land"),'Map 3'!$AG$3:$AH$3,0)),INDEX($AK$4:$AL$6,MATCH(INDEX($P$3:$S$6,MATCH(MOD('Map 2 Do Touch'!Z36,4),$O$3:$O$6,0),MATCH(MOD('Map 2 Do Touch'!Z37,4),$P$2:$S$2,0)),'Map 3'!$AJ$4:$AJ$6,0),MATCH(IF('Map 2 Do Touch'!Z36&gt;4,"Water","Land"),'Map 3'!$AK$3:$AL$3,0))))</f>
        <v>Ocean</v>
      </c>
      <c r="AA41" s="3" t="str">
        <f ca="1">IF('Map 2 Do Touch'!Z36&lt;&gt;'Map 2 Do Touch'!Z37,IF('Map 2 Do Touch'!AA37&gt;4,INDEX($AG$4:$AH$6,MATCH(INDEX($I$3:$L$6,MATCH(MOD('Map 2 Do Touch'!Z37,4),$H$3:$H$6,0),MATCH(MOD('Map 2 Do Touch'!AA37,4),$I$2:$L$2,0)),$AF$4:$AF$6,0),MATCH(IF('Map 2 Do Touch'!Z37&gt;4,"Water","Land"),'Map 3'!$AG$3:$AH$3,0)),INDEX($AK$4:$AL$6,MATCH(INDEX($I$3:$L$6,MATCH(MOD('Map 2 Do Touch'!Z37,4),$H$3:$H$6,0),MATCH(MOD('Map 2 Do Touch'!AA37,4),$I$2:$L$2,0)),'Map 3'!$AJ$4:$AJ$6,0),MATCH(IF('Map 2 Do Touch'!Z37&gt;4,"Water","Land"),'Map 3'!$AK$3:$AL$3,0))),IF('Map 2 Do Touch'!AA37&gt;4,INDEX($AG$4:$AH$6,MATCH(INDEX($P$3:$S$6,MATCH(MOD('Map 2 Do Touch'!AA36,4),$O$3:$O$6,0),MATCH(MOD('Map 2 Do Touch'!AA37,4),$P$2:$S$2,0)),$AF$4:$AF$6,0),MATCH(IF('Map 2 Do Touch'!AA36&gt;4,"Water","Land"),'Map 3'!$AG$3:$AH$3,0)),INDEX($AK$4:$AL$6,MATCH(INDEX($P$3:$S$6,MATCH(MOD('Map 2 Do Touch'!AA36,4),$O$3:$O$6,0),MATCH(MOD('Map 2 Do Touch'!AA37,4),$P$2:$S$2,0)),'Map 3'!$AJ$4:$AJ$6,0),MATCH(IF('Map 2 Do Touch'!AA36&gt;4,"Water","Land"),'Map 3'!$AK$3:$AL$3,0))))</f>
        <v>Ocean</v>
      </c>
      <c r="AB41" s="3" t="str">
        <f ca="1">IF('Map 2 Do Touch'!AA36&lt;&gt;'Map 2 Do Touch'!AA37,IF('Map 2 Do Touch'!AB37&gt;4,INDEX($AG$4:$AH$6,MATCH(INDEX($I$3:$L$6,MATCH(MOD('Map 2 Do Touch'!AA37,4),$H$3:$H$6,0),MATCH(MOD('Map 2 Do Touch'!AB37,4),$I$2:$L$2,0)),$AF$4:$AF$6,0),MATCH(IF('Map 2 Do Touch'!AA37&gt;4,"Water","Land"),'Map 3'!$AG$3:$AH$3,0)),INDEX($AK$4:$AL$6,MATCH(INDEX($I$3:$L$6,MATCH(MOD('Map 2 Do Touch'!AA37,4),$H$3:$H$6,0),MATCH(MOD('Map 2 Do Touch'!AB37,4),$I$2:$L$2,0)),'Map 3'!$AJ$4:$AJ$6,0),MATCH(IF('Map 2 Do Touch'!AA37&gt;4,"Water","Land"),'Map 3'!$AK$3:$AL$3,0))),IF('Map 2 Do Touch'!AB37&gt;4,INDEX($AG$4:$AH$6,MATCH(INDEX($P$3:$S$6,MATCH(MOD('Map 2 Do Touch'!AB36,4),$O$3:$O$6,0),MATCH(MOD('Map 2 Do Touch'!AB37,4),$P$2:$S$2,0)),$AF$4:$AF$6,0),MATCH(IF('Map 2 Do Touch'!AB36&gt;4,"Water","Land"),'Map 3'!$AG$3:$AH$3,0)),INDEX($AK$4:$AL$6,MATCH(INDEX($P$3:$S$6,MATCH(MOD('Map 2 Do Touch'!AB36,4),$O$3:$O$6,0),MATCH(MOD('Map 2 Do Touch'!AB37,4),$P$2:$S$2,0)),'Map 3'!$AJ$4:$AJ$6,0),MATCH(IF('Map 2 Do Touch'!AB36&gt;4,"Water","Land"),'Map 3'!$AK$3:$AL$3,0))))</f>
        <v>Island</v>
      </c>
      <c r="AC41" s="3" t="str">
        <f ca="1">IF('Map 2 Do Touch'!AB36&lt;&gt;'Map 2 Do Touch'!AB37,IF('Map 2 Do Touch'!AC37&gt;4,INDEX($AG$4:$AH$6,MATCH(INDEX($I$3:$L$6,MATCH(MOD('Map 2 Do Touch'!AB37,4),$H$3:$H$6,0),MATCH(MOD('Map 2 Do Touch'!AC37,4),$I$2:$L$2,0)),$AF$4:$AF$6,0),MATCH(IF('Map 2 Do Touch'!AB37&gt;4,"Water","Land"),'Map 3'!$AG$3:$AH$3,0)),INDEX($AK$4:$AL$6,MATCH(INDEX($I$3:$L$6,MATCH(MOD('Map 2 Do Touch'!AB37,4),$H$3:$H$6,0),MATCH(MOD('Map 2 Do Touch'!AC37,4),$I$2:$L$2,0)),'Map 3'!$AJ$4:$AJ$6,0),MATCH(IF('Map 2 Do Touch'!AB37&gt;4,"Water","Land"),'Map 3'!$AK$3:$AL$3,0))),IF('Map 2 Do Touch'!AC37&gt;4,INDEX($AG$4:$AH$6,MATCH(INDEX($P$3:$S$6,MATCH(MOD('Map 2 Do Touch'!AC36,4),$O$3:$O$6,0),MATCH(MOD('Map 2 Do Touch'!AC37,4),$P$2:$S$2,0)),$AF$4:$AF$6,0),MATCH(IF('Map 2 Do Touch'!AC36&gt;4,"Water","Land"),'Map 3'!$AG$3:$AH$3,0)),INDEX($AK$4:$AL$6,MATCH(INDEX($P$3:$S$6,MATCH(MOD('Map 2 Do Touch'!AC36,4),$O$3:$O$6,0),MATCH(MOD('Map 2 Do Touch'!AC37,4),$P$2:$S$2,0)),'Map 3'!$AJ$4:$AJ$6,0),MATCH(IF('Map 2 Do Touch'!AC36&gt;4,"Water","Land"),'Map 3'!$AK$3:$AL$3,0))))</f>
        <v>Ocean</v>
      </c>
      <c r="AD41" s="3" t="str">
        <f ca="1">IF('Map 2 Do Touch'!AC36&lt;&gt;'Map 2 Do Touch'!AC37,IF('Map 2 Do Touch'!AD37&gt;4,INDEX($AG$4:$AH$6,MATCH(INDEX($I$3:$L$6,MATCH(MOD('Map 2 Do Touch'!AC37,4),$H$3:$H$6,0),MATCH(MOD('Map 2 Do Touch'!AD37,4),$I$2:$L$2,0)),$AF$4:$AF$6,0),MATCH(IF('Map 2 Do Touch'!AC37&gt;4,"Water","Land"),'Map 3'!$AG$3:$AH$3,0)),INDEX($AK$4:$AL$6,MATCH(INDEX($I$3:$L$6,MATCH(MOD('Map 2 Do Touch'!AC37,4),$H$3:$H$6,0),MATCH(MOD('Map 2 Do Touch'!AD37,4),$I$2:$L$2,0)),'Map 3'!$AJ$4:$AJ$6,0),MATCH(IF('Map 2 Do Touch'!AC37&gt;4,"Water","Land"),'Map 3'!$AK$3:$AL$3,0))),IF('Map 2 Do Touch'!AD37&gt;4,INDEX($AG$4:$AH$6,MATCH(INDEX($P$3:$S$6,MATCH(MOD('Map 2 Do Touch'!AD36,4),$O$3:$O$6,0),MATCH(MOD('Map 2 Do Touch'!AD37,4),$P$2:$S$2,0)),$AF$4:$AF$6,0),MATCH(IF('Map 2 Do Touch'!AD36&gt;4,"Water","Land"),'Map 3'!$AG$3:$AH$3,0)),INDEX($AK$4:$AL$6,MATCH(INDEX($P$3:$S$6,MATCH(MOD('Map 2 Do Touch'!AD36,4),$O$3:$O$6,0),MATCH(MOD('Map 2 Do Touch'!AD37,4),$P$2:$S$2,0)),'Map 3'!$AJ$4:$AJ$6,0),MATCH(IF('Map 2 Do Touch'!AD36&gt;4,"Water","Land"),'Map 3'!$AK$3:$AL$3,0))))</f>
        <v>Trench</v>
      </c>
      <c r="AE41" s="3" t="str">
        <f ca="1">IF('Map 2 Do Touch'!AD36&lt;&gt;'Map 2 Do Touch'!AD37,IF('Map 2 Do Touch'!AE37&gt;4,INDEX($AG$4:$AH$6,MATCH(INDEX($I$3:$L$6,MATCH(MOD('Map 2 Do Touch'!AD37,4),$H$3:$H$6,0),MATCH(MOD('Map 2 Do Touch'!AE37,4),$I$2:$L$2,0)),$AF$4:$AF$6,0),MATCH(IF('Map 2 Do Touch'!AD37&gt;4,"Water","Land"),'Map 3'!$AG$3:$AH$3,0)),INDEX($AK$4:$AL$6,MATCH(INDEX($I$3:$L$6,MATCH(MOD('Map 2 Do Touch'!AD37,4),$H$3:$H$6,0),MATCH(MOD('Map 2 Do Touch'!AE37,4),$I$2:$L$2,0)),'Map 3'!$AJ$4:$AJ$6,0),MATCH(IF('Map 2 Do Touch'!AD37&gt;4,"Water","Land"),'Map 3'!$AK$3:$AL$3,0))),IF('Map 2 Do Touch'!AE37&gt;4,INDEX($AG$4:$AH$6,MATCH(INDEX($P$3:$S$6,MATCH(MOD('Map 2 Do Touch'!AE36,4),$O$3:$O$6,0),MATCH(MOD('Map 2 Do Touch'!AE37,4),$P$2:$S$2,0)),$AF$4:$AF$6,0),MATCH(IF('Map 2 Do Touch'!AE36&gt;4,"Water","Land"),'Map 3'!$AG$3:$AH$3,0)),INDEX($AK$4:$AL$6,MATCH(INDEX($P$3:$S$6,MATCH(MOD('Map 2 Do Touch'!AE36,4),$O$3:$O$6,0),MATCH(MOD('Map 2 Do Touch'!AE37,4),$P$2:$S$2,0)),'Map 3'!$AJ$4:$AJ$6,0),MATCH(IF('Map 2 Do Touch'!AE36&gt;4,"Water","Land"),'Map 3'!$AK$3:$AL$3,0))))</f>
        <v>Island</v>
      </c>
      <c r="AF41" s="3" t="str">
        <f ca="1">IF('Map 2 Do Touch'!AE36&lt;&gt;'Map 2 Do Touch'!AE37,IF('Map 2 Do Touch'!AF37&gt;4,INDEX($AG$4:$AH$6,MATCH(INDEX($I$3:$L$6,MATCH(MOD('Map 2 Do Touch'!AE37,4),$H$3:$H$6,0),MATCH(MOD('Map 2 Do Touch'!AF37,4),$I$2:$L$2,0)),$AF$4:$AF$6,0),MATCH(IF('Map 2 Do Touch'!AE37&gt;4,"Water","Land"),'Map 3'!$AG$3:$AH$3,0)),INDEX($AK$4:$AL$6,MATCH(INDEX($I$3:$L$6,MATCH(MOD('Map 2 Do Touch'!AE37,4),$H$3:$H$6,0),MATCH(MOD('Map 2 Do Touch'!AF37,4),$I$2:$L$2,0)),'Map 3'!$AJ$4:$AJ$6,0),MATCH(IF('Map 2 Do Touch'!AE37&gt;4,"Water","Land"),'Map 3'!$AK$3:$AL$3,0))),IF('Map 2 Do Touch'!AF37&gt;4,INDEX($AG$4:$AH$6,MATCH(INDEX($P$3:$S$6,MATCH(MOD('Map 2 Do Touch'!AF36,4),$O$3:$O$6,0),MATCH(MOD('Map 2 Do Touch'!AF37,4),$P$2:$S$2,0)),$AF$4:$AF$6,0),MATCH(IF('Map 2 Do Touch'!AF36&gt;4,"Water","Land"),'Map 3'!$AG$3:$AH$3,0)),INDEX($AK$4:$AL$6,MATCH(INDEX($P$3:$S$6,MATCH(MOD('Map 2 Do Touch'!AF36,4),$O$3:$O$6,0),MATCH(MOD('Map 2 Do Touch'!AF37,4),$P$2:$S$2,0)),'Map 3'!$AJ$4:$AJ$6,0),MATCH(IF('Map 2 Do Touch'!AF36&gt;4,"Water","Land"),'Map 3'!$AK$3:$AL$3,0))))</f>
        <v>Ocean</v>
      </c>
      <c r="AG41" s="3" t="str">
        <f ca="1">IF('Map 2 Do Touch'!AF36&lt;&gt;'Map 2 Do Touch'!AF37,IF('Map 2 Do Touch'!AG37&gt;4,INDEX($AG$4:$AH$6,MATCH(INDEX($I$3:$L$6,MATCH(MOD('Map 2 Do Touch'!AF37,4),$H$3:$H$6,0),MATCH(MOD('Map 2 Do Touch'!AG37,4),$I$2:$L$2,0)),$AF$4:$AF$6,0),MATCH(IF('Map 2 Do Touch'!AF37&gt;4,"Water","Land"),'Map 3'!$AG$3:$AH$3,0)),INDEX($AK$4:$AL$6,MATCH(INDEX($I$3:$L$6,MATCH(MOD('Map 2 Do Touch'!AF37,4),$H$3:$H$6,0),MATCH(MOD('Map 2 Do Touch'!AG37,4),$I$2:$L$2,0)),'Map 3'!$AJ$4:$AJ$6,0),MATCH(IF('Map 2 Do Touch'!AF37&gt;4,"Water","Land"),'Map 3'!$AK$3:$AL$3,0))),IF('Map 2 Do Touch'!AG37&gt;4,INDEX($AG$4:$AH$6,MATCH(INDEX($P$3:$S$6,MATCH(MOD('Map 2 Do Touch'!AG36,4),$O$3:$O$6,0),MATCH(MOD('Map 2 Do Touch'!AG37,4),$P$2:$S$2,0)),$AF$4:$AF$6,0),MATCH(IF('Map 2 Do Touch'!AG36&gt;4,"Water","Land"),'Map 3'!$AG$3:$AH$3,0)),INDEX($AK$4:$AL$6,MATCH(INDEX($P$3:$S$6,MATCH(MOD('Map 2 Do Touch'!AG36,4),$O$3:$O$6,0),MATCH(MOD('Map 2 Do Touch'!AG37,4),$P$2:$S$2,0)),'Map 3'!$AJ$4:$AJ$6,0),MATCH(IF('Map 2 Do Touch'!AG36&gt;4,"Water","Land"),'Map 3'!$AK$3:$AL$3,0))))</f>
        <v>Ocean</v>
      </c>
      <c r="AH41" s="3" t="str">
        <f ca="1">IF('Map 2 Do Touch'!AG36&lt;&gt;'Map 2 Do Touch'!AG37,IF('Map 2 Do Touch'!AH37&gt;4,INDEX($AG$4:$AH$6,MATCH(INDEX($I$3:$L$6,MATCH(MOD('Map 2 Do Touch'!AG37,4),$H$3:$H$6,0),MATCH(MOD('Map 2 Do Touch'!AH37,4),$I$2:$L$2,0)),$AF$4:$AF$6,0),MATCH(IF('Map 2 Do Touch'!AG37&gt;4,"Water","Land"),'Map 3'!$AG$3:$AH$3,0)),INDEX($AK$4:$AL$6,MATCH(INDEX($I$3:$L$6,MATCH(MOD('Map 2 Do Touch'!AG37,4),$H$3:$H$6,0),MATCH(MOD('Map 2 Do Touch'!AH37,4),$I$2:$L$2,0)),'Map 3'!$AJ$4:$AJ$6,0),MATCH(IF('Map 2 Do Touch'!AG37&gt;4,"Water","Land"),'Map 3'!$AK$3:$AL$3,0))),IF('Map 2 Do Touch'!AH37&gt;4,INDEX($AG$4:$AH$6,MATCH(INDEX($P$3:$S$6,MATCH(MOD('Map 2 Do Touch'!AH36,4),$O$3:$O$6,0),MATCH(MOD('Map 2 Do Touch'!AH37,4),$P$2:$S$2,0)),$AF$4:$AF$6,0),MATCH(IF('Map 2 Do Touch'!AH36&gt;4,"Water","Land"),'Map 3'!$AG$3:$AH$3,0)),INDEX($AK$4:$AL$6,MATCH(INDEX($P$3:$S$6,MATCH(MOD('Map 2 Do Touch'!AH36,4),$O$3:$O$6,0),MATCH(MOD('Map 2 Do Touch'!AH37,4),$P$2:$S$2,0)),'Map 3'!$AJ$4:$AJ$6,0),MATCH(IF('Map 2 Do Touch'!AH36&gt;4,"Water","Land"),'Map 3'!$AK$3:$AL$3,0))))</f>
        <v>Ocean</v>
      </c>
      <c r="AI41" s="3" t="str">
        <f ca="1">IF('Map 2 Do Touch'!AH36&lt;&gt;'Map 2 Do Touch'!AH37,IF('Map 2 Do Touch'!AI37&gt;4,INDEX($AG$4:$AH$6,MATCH(INDEX($I$3:$L$6,MATCH(MOD('Map 2 Do Touch'!AH37,4),$H$3:$H$6,0),MATCH(MOD('Map 2 Do Touch'!AI37,4),$I$2:$L$2,0)),$AF$4:$AF$6,0),MATCH(IF('Map 2 Do Touch'!AH37&gt;4,"Water","Land"),'Map 3'!$AG$3:$AH$3,0)),INDEX($AK$4:$AL$6,MATCH(INDEX($I$3:$L$6,MATCH(MOD('Map 2 Do Touch'!AH37,4),$H$3:$H$6,0),MATCH(MOD('Map 2 Do Touch'!AI37,4),$I$2:$L$2,0)),'Map 3'!$AJ$4:$AJ$6,0),MATCH(IF('Map 2 Do Touch'!AH37&gt;4,"Water","Land"),'Map 3'!$AK$3:$AL$3,0))),IF('Map 2 Do Touch'!AI37&gt;4,INDEX($AG$4:$AH$6,MATCH(INDEX($P$3:$S$6,MATCH(MOD('Map 2 Do Touch'!AI36,4),$O$3:$O$6,0),MATCH(MOD('Map 2 Do Touch'!AI37,4),$P$2:$S$2,0)),$AF$4:$AF$6,0),MATCH(IF('Map 2 Do Touch'!AI36&gt;4,"Water","Land"),'Map 3'!$AG$3:$AH$3,0)),INDEX($AK$4:$AL$6,MATCH(INDEX($P$3:$S$6,MATCH(MOD('Map 2 Do Touch'!AI36,4),$O$3:$O$6,0),MATCH(MOD('Map 2 Do Touch'!AI37,4),$P$2:$S$2,0)),'Map 3'!$AJ$4:$AJ$6,0),MATCH(IF('Map 2 Do Touch'!AI36&gt;4,"Water","Land"),'Map 3'!$AK$3:$AL$3,0))))</f>
        <v>Island</v>
      </c>
      <c r="AJ41" s="3" t="str">
        <f ca="1">IF('Map 2 Do Touch'!AI36&lt;&gt;'Map 2 Do Touch'!AI37,IF('Map 2 Do Touch'!AJ37&gt;4,INDEX($AG$4:$AH$6,MATCH(INDEX($I$3:$L$6,MATCH(MOD('Map 2 Do Touch'!AI37,4),$H$3:$H$6,0),MATCH(MOD('Map 2 Do Touch'!AJ37,4),$I$2:$L$2,0)),$AF$4:$AF$6,0),MATCH(IF('Map 2 Do Touch'!AI37&gt;4,"Water","Land"),'Map 3'!$AG$3:$AH$3,0)),INDEX($AK$4:$AL$6,MATCH(INDEX($I$3:$L$6,MATCH(MOD('Map 2 Do Touch'!AI37,4),$H$3:$H$6,0),MATCH(MOD('Map 2 Do Touch'!AJ37,4),$I$2:$L$2,0)),'Map 3'!$AJ$4:$AJ$6,0),MATCH(IF('Map 2 Do Touch'!AI37&gt;4,"Water","Land"),'Map 3'!$AK$3:$AL$3,0))),IF('Map 2 Do Touch'!AJ37&gt;4,INDEX($AG$4:$AH$6,MATCH(INDEX($P$3:$S$6,MATCH(MOD('Map 2 Do Touch'!AJ36,4),$O$3:$O$6,0),MATCH(MOD('Map 2 Do Touch'!AJ37,4),$P$2:$S$2,0)),$AF$4:$AF$6,0),MATCH(IF('Map 2 Do Touch'!AJ36&gt;4,"Water","Land"),'Map 3'!$AG$3:$AH$3,0)),INDEX($AK$4:$AL$6,MATCH(INDEX($P$3:$S$6,MATCH(MOD('Map 2 Do Touch'!AJ36,4),$O$3:$O$6,0),MATCH(MOD('Map 2 Do Touch'!AJ37,4),$P$2:$S$2,0)),'Map 3'!$AJ$4:$AJ$6,0),MATCH(IF('Map 2 Do Touch'!AJ36&gt;4,"Water","Land"),'Map 3'!$AK$3:$AL$3,0))))</f>
        <v>Ocean</v>
      </c>
      <c r="AK41" s="3" t="str">
        <f ca="1">IF('Map 2 Do Touch'!AJ36&lt;&gt;'Map 2 Do Touch'!AJ37,IF('Map 2 Do Touch'!AK37&gt;4,INDEX($AG$4:$AH$6,MATCH(INDEX($I$3:$L$6,MATCH(MOD('Map 2 Do Touch'!AJ37,4),$H$3:$H$6,0),MATCH(MOD('Map 2 Do Touch'!AK37,4),$I$2:$L$2,0)),$AF$4:$AF$6,0),MATCH(IF('Map 2 Do Touch'!AJ37&gt;4,"Water","Land"),'Map 3'!$AG$3:$AH$3,0)),INDEX($AK$4:$AL$6,MATCH(INDEX($I$3:$L$6,MATCH(MOD('Map 2 Do Touch'!AJ37,4),$H$3:$H$6,0),MATCH(MOD('Map 2 Do Touch'!AK37,4),$I$2:$L$2,0)),'Map 3'!$AJ$4:$AJ$6,0),MATCH(IF('Map 2 Do Touch'!AJ37&gt;4,"Water","Land"),'Map 3'!$AK$3:$AL$3,0))),IF('Map 2 Do Touch'!AK37&gt;4,INDEX($AG$4:$AH$6,MATCH(INDEX($P$3:$S$6,MATCH(MOD('Map 2 Do Touch'!AK36,4),$O$3:$O$6,0),MATCH(MOD('Map 2 Do Touch'!AK37,4),$P$2:$S$2,0)),$AF$4:$AF$6,0),MATCH(IF('Map 2 Do Touch'!AK36&gt;4,"Water","Land"),'Map 3'!$AG$3:$AH$3,0)),INDEX($AK$4:$AL$6,MATCH(INDEX($P$3:$S$6,MATCH(MOD('Map 2 Do Touch'!AK36,4),$O$3:$O$6,0),MATCH(MOD('Map 2 Do Touch'!AK37,4),$P$2:$S$2,0)),'Map 3'!$AJ$4:$AJ$6,0),MATCH(IF('Map 2 Do Touch'!AK36&gt;4,"Water","Land"),'Map 3'!$AK$3:$AL$3,0))))</f>
        <v>Island</v>
      </c>
      <c r="AL41" s="3" t="str">
        <f ca="1">IF('Map 2 Do Touch'!AK36&lt;&gt;'Map 2 Do Touch'!AK37,IF('Map 2 Do Touch'!AL37&gt;4,INDEX($AG$4:$AH$6,MATCH(INDEX($I$3:$L$6,MATCH(MOD('Map 2 Do Touch'!AK37,4),$H$3:$H$6,0),MATCH(MOD('Map 2 Do Touch'!AL37,4),$I$2:$L$2,0)),$AF$4:$AF$6,0),MATCH(IF('Map 2 Do Touch'!AK37&gt;4,"Water","Land"),'Map 3'!$AG$3:$AH$3,0)),INDEX($AK$4:$AL$6,MATCH(INDEX($I$3:$L$6,MATCH(MOD('Map 2 Do Touch'!AK37,4),$H$3:$H$6,0),MATCH(MOD('Map 2 Do Touch'!AL37,4),$I$2:$L$2,0)),'Map 3'!$AJ$4:$AJ$6,0),MATCH(IF('Map 2 Do Touch'!AK37&gt;4,"Water","Land"),'Map 3'!$AK$3:$AL$3,0))),IF('Map 2 Do Touch'!AL37&gt;4,INDEX($AG$4:$AH$6,MATCH(INDEX($P$3:$S$6,MATCH(MOD('Map 2 Do Touch'!AL36,4),$O$3:$O$6,0),MATCH(MOD('Map 2 Do Touch'!AL37,4),$P$2:$S$2,0)),$AF$4:$AF$6,0),MATCH(IF('Map 2 Do Touch'!AL36&gt;4,"Water","Land"),'Map 3'!$AG$3:$AH$3,0)),INDEX($AK$4:$AL$6,MATCH(INDEX($P$3:$S$6,MATCH(MOD('Map 2 Do Touch'!AL36,4),$O$3:$O$6,0),MATCH(MOD('Map 2 Do Touch'!AL37,4),$P$2:$S$2,0)),'Map 3'!$AJ$4:$AJ$6,0),MATCH(IF('Map 2 Do Touch'!AL36&gt;4,"Water","Land"),'Map 3'!$AK$3:$AL$3,0))))</f>
        <v>Trench</v>
      </c>
      <c r="AM41" s="3" t="str">
        <f ca="1">IF('Map 2 Do Touch'!AL36&lt;&gt;'Map 2 Do Touch'!AL37,IF('Map 2 Do Touch'!AM37&gt;4,INDEX($AG$4:$AH$6,MATCH(INDEX($I$3:$L$6,MATCH(MOD('Map 2 Do Touch'!AL37,4),$H$3:$H$6,0),MATCH(MOD('Map 2 Do Touch'!AM37,4),$I$2:$L$2,0)),$AF$4:$AF$6,0),MATCH(IF('Map 2 Do Touch'!AL37&gt;4,"Water","Land"),'Map 3'!$AG$3:$AH$3,0)),INDEX($AK$4:$AL$6,MATCH(INDEX($I$3:$L$6,MATCH(MOD('Map 2 Do Touch'!AL37,4),$H$3:$H$6,0),MATCH(MOD('Map 2 Do Touch'!AM37,4),$I$2:$L$2,0)),'Map 3'!$AJ$4:$AJ$6,0),MATCH(IF('Map 2 Do Touch'!AL37&gt;4,"Water","Land"),'Map 3'!$AK$3:$AL$3,0))),IF('Map 2 Do Touch'!AM37&gt;4,INDEX($AG$4:$AH$6,MATCH(INDEX($P$3:$S$6,MATCH(MOD('Map 2 Do Touch'!AM36,4),$O$3:$O$6,0),MATCH(MOD('Map 2 Do Touch'!AM37,4),$P$2:$S$2,0)),$AF$4:$AF$6,0),MATCH(IF('Map 2 Do Touch'!AM36&gt;4,"Water","Land"),'Map 3'!$AG$3:$AH$3,0)),INDEX($AK$4:$AL$6,MATCH(INDEX($P$3:$S$6,MATCH(MOD('Map 2 Do Touch'!AM36,4),$O$3:$O$6,0),MATCH(MOD('Map 2 Do Touch'!AM37,4),$P$2:$S$2,0)),'Map 3'!$AJ$4:$AJ$6,0),MATCH(IF('Map 2 Do Touch'!AM36&gt;4,"Water","Land"),'Map 3'!$AK$3:$AL$3,0))))</f>
        <v>Ocean</v>
      </c>
      <c r="AN41" s="3" t="str">
        <f ca="1">IF('Map 2 Do Touch'!AM36&lt;&gt;'Map 2 Do Touch'!AM37,IF('Map 2 Do Touch'!AN37&gt;4,INDEX($AG$4:$AH$6,MATCH(INDEX($I$3:$L$6,MATCH(MOD('Map 2 Do Touch'!AM37,4),$H$3:$H$6,0),MATCH(MOD('Map 2 Do Touch'!AN37,4),$I$2:$L$2,0)),$AF$4:$AF$6,0),MATCH(IF('Map 2 Do Touch'!AM37&gt;4,"Water","Land"),'Map 3'!$AG$3:$AH$3,0)),INDEX($AK$4:$AL$6,MATCH(INDEX($I$3:$L$6,MATCH(MOD('Map 2 Do Touch'!AM37,4),$H$3:$H$6,0),MATCH(MOD('Map 2 Do Touch'!AN37,4),$I$2:$L$2,0)),'Map 3'!$AJ$4:$AJ$6,0),MATCH(IF('Map 2 Do Touch'!AM37&gt;4,"Water","Land"),'Map 3'!$AK$3:$AL$3,0))),IF('Map 2 Do Touch'!AN37&gt;4,INDEX($AG$4:$AH$6,MATCH(INDEX($P$3:$S$6,MATCH(MOD('Map 2 Do Touch'!AN36,4),$O$3:$O$6,0),MATCH(MOD('Map 2 Do Touch'!AN37,4),$P$2:$S$2,0)),$AF$4:$AF$6,0),MATCH(IF('Map 2 Do Touch'!AN36&gt;4,"Water","Land"),'Map 3'!$AG$3:$AH$3,0)),INDEX($AK$4:$AL$6,MATCH(INDEX($P$3:$S$6,MATCH(MOD('Map 2 Do Touch'!AN36,4),$O$3:$O$6,0),MATCH(MOD('Map 2 Do Touch'!AN37,4),$P$2:$S$2,0)),'Map 3'!$AJ$4:$AJ$6,0),MATCH(IF('Map 2 Do Touch'!AN36&gt;4,"Water","Land"),'Map 3'!$AK$3:$AL$3,0))))</f>
        <v>Ocean</v>
      </c>
      <c r="AO41" s="87" t="str">
        <f ca="1">IF('Map 2 Do Touch'!AN36&lt;&gt;'Map 2 Do Touch'!AN37,IF('Map 2 Do Touch'!AO37&gt;4,INDEX($AG$4:$AH$6,MATCH(INDEX($I$3:$L$6,MATCH(MOD('Map 2 Do Touch'!AN37,4),$H$3:$H$6,0),MATCH(MOD('Map 2 Do Touch'!AO37,4),$I$2:$L$2,0)),$AF$4:$AF$6,0),MATCH(IF('Map 2 Do Touch'!AN37&gt;4,"Water","Land"),'Map 3'!$AG$3:$AH$3,0)),INDEX($AK$4:$AL$6,MATCH(INDEX($I$3:$L$6,MATCH(MOD('Map 2 Do Touch'!AN37,4),$H$3:$H$6,0),MATCH(MOD('Map 2 Do Touch'!AO37,4),$I$2:$L$2,0)),'Map 3'!$AJ$4:$AJ$6,0),MATCH(IF('Map 2 Do Touch'!AN37&gt;4,"Water","Land"),'Map 3'!$AK$3:$AL$3,0))),IF('Map 2 Do Touch'!AO37&gt;4,INDEX($AG$4:$AH$6,MATCH(INDEX($P$3:$S$6,MATCH(MOD('Map 2 Do Touch'!AO36,4),$O$3:$O$6,0),MATCH(MOD('Map 2 Do Touch'!AO37,4),$P$2:$S$2,0)),$AF$4:$AF$6,0),MATCH(IF('Map 2 Do Touch'!AO36&gt;4,"Water","Land"),'Map 3'!$AG$3:$AH$3,0)),INDEX($AK$4:$AL$6,MATCH(INDEX($P$3:$S$6,MATCH(MOD('Map 2 Do Touch'!AO36,4),$O$3:$O$6,0),MATCH(MOD('Map 2 Do Touch'!AO37,4),$P$2:$S$2,0)),'Map 3'!$AJ$4:$AJ$6,0),MATCH(IF('Map 2 Do Touch'!AO36&gt;4,"Water","Land"),'Map 3'!$AK$3:$AL$3,0))))</f>
        <v>Coast</v>
      </c>
      <c r="AP41" s="3"/>
    </row>
    <row r="42" spans="1:42" ht="37.5" customHeight="1">
      <c r="A42" s="3">
        <v>31</v>
      </c>
      <c r="B42" s="86" t="str">
        <f ca="1">IF('Map 2 Do Touch'!B37&lt;&gt;'Map 2 Do Touch'!B38,IF('Map 2 Do Touch'!B38&gt;4,INDEX($AG$4:$AH$6,MATCH(INDEX($I$3:$L$6,MATCH(MOD('Map 2 Do Touch'!AO38,4),$H$3:$H$6,0),MATCH(MOD('Map 2 Do Touch'!B38,4),$I$2:$L$2,0)),$AF$4:$AF$6,0),MATCH(IF('Map 2 Do Touch'!AO38&gt;4,"Water","Land"),'Map 3'!$AG$3:$AH$3,0)),INDEX($AK$4:$AL$6,MATCH(INDEX($I$3:$L$6,MATCH(MOD('Map 2 Do Touch'!A38,4),$H$3:$H$6,0),MATCH(MOD('Map 2 Do Touch'!B38,4),$I$2:$L$2,0)),'Map 3'!$AJ$4:$AJ$6,0),MATCH(IF('Map 2 Do Touch'!AO38&gt;4,"Water","Land"),'Map 3'!$AK$3:$AL$3,0))),IF('Map 2 Do Touch'!B38&gt;4,INDEX($AG$4:$AH$6,MATCH(INDEX($P$3:$S$6,MATCH(MOD('Map 2 Do Touch'!B37,4),$O$3:$O$6,0),MATCH(MOD('Map 2 Do Touch'!B38,4),$P$2:$S$2,0)),$AF$4:$AF$6,0),MATCH(IF('Map 2 Do Touch'!B37&gt;4,"Water","Land"),'Map 3'!$AG$3:$AH$3,0)),INDEX($AK$4:$AL$6,MATCH(INDEX($P$3:$S$6,MATCH(MOD('Map 2 Do Touch'!B37,4),$O$3:$O$6,0),MATCH(MOD('Map 2 Do Touch'!B38,4),$P$2:$S$2,0)),'Map 3'!$AJ$4:$AJ$6,0),MATCH(IF('Map 2 Do Touch'!B37&gt;4,"Water","Land"),'Map 3'!$AK$3:$AL$3,0))))</f>
        <v>Flatland</v>
      </c>
      <c r="C42" s="3" t="str">
        <f ca="1">IF('Map 2 Do Touch'!B37&lt;&gt;'Map 2 Do Touch'!B38,IF('Map 2 Do Touch'!C38&gt;4,INDEX($AG$4:$AH$6,MATCH(INDEX($I$3:$L$6,MATCH(MOD('Map 2 Do Touch'!B38,4),$H$3:$H$6,0),MATCH(MOD('Map 2 Do Touch'!C38,4),$I$2:$L$2,0)),$AF$4:$AF$6,0),MATCH(IF('Map 2 Do Touch'!B38&gt;4,"Water","Land"),'Map 3'!$AG$3:$AH$3,0)),INDEX($AK$4:$AL$6,MATCH(INDEX($I$3:$L$6,MATCH(MOD('Map 2 Do Touch'!B38,4),$H$3:$H$6,0),MATCH(MOD('Map 2 Do Touch'!C38,4),$I$2:$L$2,0)),'Map 3'!$AJ$4:$AJ$6,0),MATCH(IF('Map 2 Do Touch'!B38&gt;4,"Water","Land"),'Map 3'!$AK$3:$AL$3,0))),IF('Map 2 Do Touch'!C38&gt;4,INDEX($AG$4:$AH$6,MATCH(INDEX($P$3:$S$6,MATCH(MOD('Map 2 Do Touch'!C37,4),$O$3:$O$6,0),MATCH(MOD('Map 2 Do Touch'!C38,4),$P$2:$S$2,0)),$AF$4:$AF$6,0),MATCH(IF('Map 2 Do Touch'!C37&gt;4,"Water","Land"),'Map 3'!$AG$3:$AH$3,0)),INDEX($AK$4:$AL$6,MATCH(INDEX($P$3:$S$6,MATCH(MOD('Map 2 Do Touch'!C37,4),$O$3:$O$6,0),MATCH(MOD('Map 2 Do Touch'!C38,4),$P$2:$S$2,0)),'Map 3'!$AJ$4:$AJ$6,0),MATCH(IF('Map 2 Do Touch'!C37&gt;4,"Water","Land"),'Map 3'!$AK$3:$AL$3,0))))</f>
        <v>Flatland</v>
      </c>
      <c r="D42" s="3" t="str">
        <f ca="1">IF('Map 2 Do Touch'!C37&lt;&gt;'Map 2 Do Touch'!C38,IF('Map 2 Do Touch'!D38&gt;4,INDEX($AG$4:$AH$6,MATCH(INDEX($I$3:$L$6,MATCH(MOD('Map 2 Do Touch'!C38,4),$H$3:$H$6,0),MATCH(MOD('Map 2 Do Touch'!D38,4),$I$2:$L$2,0)),$AF$4:$AF$6,0),MATCH(IF('Map 2 Do Touch'!C38&gt;4,"Water","Land"),'Map 3'!$AG$3:$AH$3,0)),INDEX($AK$4:$AL$6,MATCH(INDEX($I$3:$L$6,MATCH(MOD('Map 2 Do Touch'!C38,4),$H$3:$H$6,0),MATCH(MOD('Map 2 Do Touch'!D38,4),$I$2:$L$2,0)),'Map 3'!$AJ$4:$AJ$6,0),MATCH(IF('Map 2 Do Touch'!C38&gt;4,"Water","Land"),'Map 3'!$AK$3:$AL$3,0))),IF('Map 2 Do Touch'!D38&gt;4,INDEX($AG$4:$AH$6,MATCH(INDEX($P$3:$S$6,MATCH(MOD('Map 2 Do Touch'!D37,4),$O$3:$O$6,0),MATCH(MOD('Map 2 Do Touch'!D38,4),$P$2:$S$2,0)),$AF$4:$AF$6,0),MATCH(IF('Map 2 Do Touch'!D37&gt;4,"Water","Land"),'Map 3'!$AG$3:$AH$3,0)),INDEX($AK$4:$AL$6,MATCH(INDEX($P$3:$S$6,MATCH(MOD('Map 2 Do Touch'!D37,4),$O$3:$O$6,0),MATCH(MOD('Map 2 Do Touch'!D38,4),$P$2:$S$2,0)),'Map 3'!$AJ$4:$AJ$6,0),MATCH(IF('Map 2 Do Touch'!D37&gt;4,"Water","Land"),'Map 3'!$AK$3:$AL$3,0))))</f>
        <v>Flatland</v>
      </c>
      <c r="E42" s="3" t="str">
        <f ca="1">IF('Map 2 Do Touch'!D37&lt;&gt;'Map 2 Do Touch'!D38,IF('Map 2 Do Touch'!E38&gt;4,INDEX($AG$4:$AH$6,MATCH(INDEX($I$3:$L$6,MATCH(MOD('Map 2 Do Touch'!D38,4),$H$3:$H$6,0),MATCH(MOD('Map 2 Do Touch'!E38,4),$I$2:$L$2,0)),$AF$4:$AF$6,0),MATCH(IF('Map 2 Do Touch'!D38&gt;4,"Water","Land"),'Map 3'!$AG$3:$AH$3,0)),INDEX($AK$4:$AL$6,MATCH(INDEX($I$3:$L$6,MATCH(MOD('Map 2 Do Touch'!D38,4),$H$3:$H$6,0),MATCH(MOD('Map 2 Do Touch'!E38,4),$I$2:$L$2,0)),'Map 3'!$AJ$4:$AJ$6,0),MATCH(IF('Map 2 Do Touch'!D38&gt;4,"Water","Land"),'Map 3'!$AK$3:$AL$3,0))),IF('Map 2 Do Touch'!E38&gt;4,INDEX($AG$4:$AH$6,MATCH(INDEX($P$3:$S$6,MATCH(MOD('Map 2 Do Touch'!E37,4),$O$3:$O$6,0),MATCH(MOD('Map 2 Do Touch'!E38,4),$P$2:$S$2,0)),$AF$4:$AF$6,0),MATCH(IF('Map 2 Do Touch'!E37&gt;4,"Water","Land"),'Map 3'!$AG$3:$AH$3,0)),INDEX($AK$4:$AL$6,MATCH(INDEX($P$3:$S$6,MATCH(MOD('Map 2 Do Touch'!E37,4),$O$3:$O$6,0),MATCH(MOD('Map 2 Do Touch'!E38,4),$P$2:$S$2,0)),'Map 3'!$AJ$4:$AJ$6,0),MATCH(IF('Map 2 Do Touch'!E37&gt;4,"Water","Land"),'Map 3'!$AK$3:$AL$3,0))))</f>
        <v>Valley</v>
      </c>
      <c r="F42" s="3" t="str">
        <f ca="1">IF('Map 2 Do Touch'!E37&lt;&gt;'Map 2 Do Touch'!E38,IF('Map 2 Do Touch'!F38&gt;4,INDEX($AG$4:$AH$6,MATCH(INDEX($I$3:$L$6,MATCH(MOD('Map 2 Do Touch'!E38,4),$H$3:$H$6,0),MATCH(MOD('Map 2 Do Touch'!F38,4),$I$2:$L$2,0)),$AF$4:$AF$6,0),MATCH(IF('Map 2 Do Touch'!E38&gt;4,"Water","Land"),'Map 3'!$AG$3:$AH$3,0)),INDEX($AK$4:$AL$6,MATCH(INDEX($I$3:$L$6,MATCH(MOD('Map 2 Do Touch'!E38,4),$H$3:$H$6,0),MATCH(MOD('Map 2 Do Touch'!F38,4),$I$2:$L$2,0)),'Map 3'!$AJ$4:$AJ$6,0),MATCH(IF('Map 2 Do Touch'!E38&gt;4,"Water","Land"),'Map 3'!$AK$3:$AL$3,0))),IF('Map 2 Do Touch'!F38&gt;4,INDEX($AG$4:$AH$6,MATCH(INDEX($P$3:$S$6,MATCH(MOD('Map 2 Do Touch'!F37,4),$O$3:$O$6,0),MATCH(MOD('Map 2 Do Touch'!F38,4),$P$2:$S$2,0)),$AF$4:$AF$6,0),MATCH(IF('Map 2 Do Touch'!F37&gt;4,"Water","Land"),'Map 3'!$AG$3:$AH$3,0)),INDEX($AK$4:$AL$6,MATCH(INDEX($P$3:$S$6,MATCH(MOD('Map 2 Do Touch'!F37,4),$O$3:$O$6,0),MATCH(MOD('Map 2 Do Touch'!F38,4),$P$2:$S$2,0)),'Map 3'!$AJ$4:$AJ$6,0),MATCH(IF('Map 2 Do Touch'!F37&gt;4,"Water","Land"),'Map 3'!$AK$3:$AL$3,0))))</f>
        <v>Flatland</v>
      </c>
      <c r="G42" s="3" t="str">
        <f ca="1">IF('Map 2 Do Touch'!F37&lt;&gt;'Map 2 Do Touch'!F38,IF('Map 2 Do Touch'!G38&gt;4,INDEX($AG$4:$AH$6,MATCH(INDEX($I$3:$L$6,MATCH(MOD('Map 2 Do Touch'!F38,4),$H$3:$H$6,0),MATCH(MOD('Map 2 Do Touch'!G38,4),$I$2:$L$2,0)),$AF$4:$AF$6,0),MATCH(IF('Map 2 Do Touch'!F38&gt;4,"Water","Land"),'Map 3'!$AG$3:$AH$3,0)),INDEX($AK$4:$AL$6,MATCH(INDEX($I$3:$L$6,MATCH(MOD('Map 2 Do Touch'!F38,4),$H$3:$H$6,0),MATCH(MOD('Map 2 Do Touch'!G38,4),$I$2:$L$2,0)),'Map 3'!$AJ$4:$AJ$6,0),MATCH(IF('Map 2 Do Touch'!F38&gt;4,"Water","Land"),'Map 3'!$AK$3:$AL$3,0))),IF('Map 2 Do Touch'!G38&gt;4,INDEX($AG$4:$AH$6,MATCH(INDEX($P$3:$S$6,MATCH(MOD('Map 2 Do Touch'!G37,4),$O$3:$O$6,0),MATCH(MOD('Map 2 Do Touch'!G38,4),$P$2:$S$2,0)),$AF$4:$AF$6,0),MATCH(IF('Map 2 Do Touch'!G37&gt;4,"Water","Land"),'Map 3'!$AG$3:$AH$3,0)),INDEX($AK$4:$AL$6,MATCH(INDEX($P$3:$S$6,MATCH(MOD('Map 2 Do Touch'!G37,4),$O$3:$O$6,0),MATCH(MOD('Map 2 Do Touch'!G38,4),$P$2:$S$2,0)),'Map 3'!$AJ$4:$AJ$6,0),MATCH(IF('Map 2 Do Touch'!G37&gt;4,"Water","Land"),'Map 3'!$AK$3:$AL$3,0))))</f>
        <v>Flatland</v>
      </c>
      <c r="H42" s="3" t="str">
        <f ca="1">IF('Map 2 Do Touch'!G37&lt;&gt;'Map 2 Do Touch'!G38,IF('Map 2 Do Touch'!H38&gt;4,INDEX($AG$4:$AH$6,MATCH(INDEX($I$3:$L$6,MATCH(MOD('Map 2 Do Touch'!G38,4),$H$3:$H$6,0),MATCH(MOD('Map 2 Do Touch'!H38,4),$I$2:$L$2,0)),$AF$4:$AF$6,0),MATCH(IF('Map 2 Do Touch'!G38&gt;4,"Water","Land"),'Map 3'!$AG$3:$AH$3,0)),INDEX($AK$4:$AL$6,MATCH(INDEX($I$3:$L$6,MATCH(MOD('Map 2 Do Touch'!G38,4),$H$3:$H$6,0),MATCH(MOD('Map 2 Do Touch'!H38,4),$I$2:$L$2,0)),'Map 3'!$AJ$4:$AJ$6,0),MATCH(IF('Map 2 Do Touch'!G38&gt;4,"Water","Land"),'Map 3'!$AK$3:$AL$3,0))),IF('Map 2 Do Touch'!H38&gt;4,INDEX($AG$4:$AH$6,MATCH(INDEX($P$3:$S$6,MATCH(MOD('Map 2 Do Touch'!H37,4),$O$3:$O$6,0),MATCH(MOD('Map 2 Do Touch'!H38,4),$P$2:$S$2,0)),$AF$4:$AF$6,0),MATCH(IF('Map 2 Do Touch'!H37&gt;4,"Water","Land"),'Map 3'!$AG$3:$AH$3,0)),INDEX($AK$4:$AL$6,MATCH(INDEX($P$3:$S$6,MATCH(MOD('Map 2 Do Touch'!H37,4),$O$3:$O$6,0),MATCH(MOD('Map 2 Do Touch'!H38,4),$P$2:$S$2,0)),'Map 3'!$AJ$4:$AJ$6,0),MATCH(IF('Map 2 Do Touch'!H37&gt;4,"Water","Land"),'Map 3'!$AK$3:$AL$3,0))))</f>
        <v>Flatland</v>
      </c>
      <c r="I42" s="3" t="str">
        <f ca="1">IF('Map 2 Do Touch'!H37&lt;&gt;'Map 2 Do Touch'!H38,IF('Map 2 Do Touch'!I38&gt;4,INDEX($AG$4:$AH$6,MATCH(INDEX($I$3:$L$6,MATCH(MOD('Map 2 Do Touch'!H38,4),$H$3:$H$6,0),MATCH(MOD('Map 2 Do Touch'!I38,4),$I$2:$L$2,0)),$AF$4:$AF$6,0),MATCH(IF('Map 2 Do Touch'!H38&gt;4,"Water","Land"),'Map 3'!$AG$3:$AH$3,0)),INDEX($AK$4:$AL$6,MATCH(INDEX($I$3:$L$6,MATCH(MOD('Map 2 Do Touch'!H38,4),$H$3:$H$6,0),MATCH(MOD('Map 2 Do Touch'!I38,4),$I$2:$L$2,0)),'Map 3'!$AJ$4:$AJ$6,0),MATCH(IF('Map 2 Do Touch'!H38&gt;4,"Water","Land"),'Map 3'!$AK$3:$AL$3,0))),IF('Map 2 Do Touch'!I38&gt;4,INDEX($AG$4:$AH$6,MATCH(INDEX($P$3:$S$6,MATCH(MOD('Map 2 Do Touch'!I37,4),$O$3:$O$6,0),MATCH(MOD('Map 2 Do Touch'!I38,4),$P$2:$S$2,0)),$AF$4:$AF$6,0),MATCH(IF('Map 2 Do Touch'!I37&gt;4,"Water","Land"),'Map 3'!$AG$3:$AH$3,0)),INDEX($AK$4:$AL$6,MATCH(INDEX($P$3:$S$6,MATCH(MOD('Map 2 Do Touch'!I37,4),$O$3:$O$6,0),MATCH(MOD('Map 2 Do Touch'!I38,4),$P$2:$S$2,0)),'Map 3'!$AJ$4:$AJ$6,0),MATCH(IF('Map 2 Do Touch'!I37&gt;4,"Water","Land"),'Map 3'!$AK$3:$AL$3,0))))</f>
        <v>Ocean</v>
      </c>
      <c r="J42" s="3" t="str">
        <f ca="1">IF('Map 2 Do Touch'!I37&lt;&gt;'Map 2 Do Touch'!I38,IF('Map 2 Do Touch'!J38&gt;4,INDEX($AG$4:$AH$6,MATCH(INDEX($I$3:$L$6,MATCH(MOD('Map 2 Do Touch'!I38,4),$H$3:$H$6,0),MATCH(MOD('Map 2 Do Touch'!J38,4),$I$2:$L$2,0)),$AF$4:$AF$6,0),MATCH(IF('Map 2 Do Touch'!I38&gt;4,"Water","Land"),'Map 3'!$AG$3:$AH$3,0)),INDEX($AK$4:$AL$6,MATCH(INDEX($I$3:$L$6,MATCH(MOD('Map 2 Do Touch'!I38,4),$H$3:$H$6,0),MATCH(MOD('Map 2 Do Touch'!J38,4),$I$2:$L$2,0)),'Map 3'!$AJ$4:$AJ$6,0),MATCH(IF('Map 2 Do Touch'!I38&gt;4,"Water","Land"),'Map 3'!$AK$3:$AL$3,0))),IF('Map 2 Do Touch'!J38&gt;4,INDEX($AG$4:$AH$6,MATCH(INDEX($P$3:$S$6,MATCH(MOD('Map 2 Do Touch'!J37,4),$O$3:$O$6,0),MATCH(MOD('Map 2 Do Touch'!J38,4),$P$2:$S$2,0)),$AF$4:$AF$6,0),MATCH(IF('Map 2 Do Touch'!J37&gt;4,"Water","Land"),'Map 3'!$AG$3:$AH$3,0)),INDEX($AK$4:$AL$6,MATCH(INDEX($P$3:$S$6,MATCH(MOD('Map 2 Do Touch'!J37,4),$O$3:$O$6,0),MATCH(MOD('Map 2 Do Touch'!J38,4),$P$2:$S$2,0)),'Map 3'!$AJ$4:$AJ$6,0),MATCH(IF('Map 2 Do Touch'!J37&gt;4,"Water","Land"),'Map 3'!$AK$3:$AL$3,0))))</f>
        <v>Coast</v>
      </c>
      <c r="K42" s="3" t="str">
        <f ca="1">IF('Map 2 Do Touch'!J37&lt;&gt;'Map 2 Do Touch'!J38,IF('Map 2 Do Touch'!K38&gt;4,INDEX($AG$4:$AH$6,MATCH(INDEX($I$3:$L$6,MATCH(MOD('Map 2 Do Touch'!J38,4),$H$3:$H$6,0),MATCH(MOD('Map 2 Do Touch'!K38,4),$I$2:$L$2,0)),$AF$4:$AF$6,0),MATCH(IF('Map 2 Do Touch'!J38&gt;4,"Water","Land"),'Map 3'!$AG$3:$AH$3,0)),INDEX($AK$4:$AL$6,MATCH(INDEX($I$3:$L$6,MATCH(MOD('Map 2 Do Touch'!J38,4),$H$3:$H$6,0),MATCH(MOD('Map 2 Do Touch'!K38,4),$I$2:$L$2,0)),'Map 3'!$AJ$4:$AJ$6,0),MATCH(IF('Map 2 Do Touch'!J38&gt;4,"Water","Land"),'Map 3'!$AK$3:$AL$3,0))),IF('Map 2 Do Touch'!K38&gt;4,INDEX($AG$4:$AH$6,MATCH(INDEX($P$3:$S$6,MATCH(MOD('Map 2 Do Touch'!K37,4),$O$3:$O$6,0),MATCH(MOD('Map 2 Do Touch'!K38,4),$P$2:$S$2,0)),$AF$4:$AF$6,0),MATCH(IF('Map 2 Do Touch'!K37&gt;4,"Water","Land"),'Map 3'!$AG$3:$AH$3,0)),INDEX($AK$4:$AL$6,MATCH(INDEX($P$3:$S$6,MATCH(MOD('Map 2 Do Touch'!K37,4),$O$3:$O$6,0),MATCH(MOD('Map 2 Do Touch'!K38,4),$P$2:$S$2,0)),'Map 3'!$AJ$4:$AJ$6,0),MATCH(IF('Map 2 Do Touch'!K37&gt;4,"Water","Land"),'Map 3'!$AK$3:$AL$3,0))))</f>
        <v>Coast</v>
      </c>
      <c r="L42" s="3" t="str">
        <f ca="1">IF('Map 2 Do Touch'!K37&lt;&gt;'Map 2 Do Touch'!K38,IF('Map 2 Do Touch'!L38&gt;4,INDEX($AG$4:$AH$6,MATCH(INDEX($I$3:$L$6,MATCH(MOD('Map 2 Do Touch'!K38,4),$H$3:$H$6,0),MATCH(MOD('Map 2 Do Touch'!L38,4),$I$2:$L$2,0)),$AF$4:$AF$6,0),MATCH(IF('Map 2 Do Touch'!K38&gt;4,"Water","Land"),'Map 3'!$AG$3:$AH$3,0)),INDEX($AK$4:$AL$6,MATCH(INDEX($I$3:$L$6,MATCH(MOD('Map 2 Do Touch'!K38,4),$H$3:$H$6,0),MATCH(MOD('Map 2 Do Touch'!L38,4),$I$2:$L$2,0)),'Map 3'!$AJ$4:$AJ$6,0),MATCH(IF('Map 2 Do Touch'!K38&gt;4,"Water","Land"),'Map 3'!$AK$3:$AL$3,0))),IF('Map 2 Do Touch'!L38&gt;4,INDEX($AG$4:$AH$6,MATCH(INDEX($P$3:$S$6,MATCH(MOD('Map 2 Do Touch'!L37,4),$O$3:$O$6,0),MATCH(MOD('Map 2 Do Touch'!L38,4),$P$2:$S$2,0)),$AF$4:$AF$6,0),MATCH(IF('Map 2 Do Touch'!L37&gt;4,"Water","Land"),'Map 3'!$AG$3:$AH$3,0)),INDEX($AK$4:$AL$6,MATCH(INDEX($P$3:$S$6,MATCH(MOD('Map 2 Do Touch'!L37,4),$O$3:$O$6,0),MATCH(MOD('Map 2 Do Touch'!L38,4),$P$2:$S$2,0)),'Map 3'!$AJ$4:$AJ$6,0),MATCH(IF('Map 2 Do Touch'!L37&gt;4,"Water","Land"),'Map 3'!$AK$3:$AL$3,0))))</f>
        <v>Ocean</v>
      </c>
      <c r="M42" s="3" t="str">
        <f ca="1">IF('Map 2 Do Touch'!L37&lt;&gt;'Map 2 Do Touch'!L38,IF('Map 2 Do Touch'!M38&gt;4,INDEX($AG$4:$AH$6,MATCH(INDEX($I$3:$L$6,MATCH(MOD('Map 2 Do Touch'!L38,4),$H$3:$H$6,0),MATCH(MOD('Map 2 Do Touch'!M38,4),$I$2:$L$2,0)),$AF$4:$AF$6,0),MATCH(IF('Map 2 Do Touch'!L38&gt;4,"Water","Land"),'Map 3'!$AG$3:$AH$3,0)),INDEX($AK$4:$AL$6,MATCH(INDEX($I$3:$L$6,MATCH(MOD('Map 2 Do Touch'!L38,4),$H$3:$H$6,0),MATCH(MOD('Map 2 Do Touch'!M38,4),$I$2:$L$2,0)),'Map 3'!$AJ$4:$AJ$6,0),MATCH(IF('Map 2 Do Touch'!L38&gt;4,"Water","Land"),'Map 3'!$AK$3:$AL$3,0))),IF('Map 2 Do Touch'!M38&gt;4,INDEX($AG$4:$AH$6,MATCH(INDEX($P$3:$S$6,MATCH(MOD('Map 2 Do Touch'!M37,4),$O$3:$O$6,0),MATCH(MOD('Map 2 Do Touch'!M38,4),$P$2:$S$2,0)),$AF$4:$AF$6,0),MATCH(IF('Map 2 Do Touch'!M37&gt;4,"Water","Land"),'Map 3'!$AG$3:$AH$3,0)),INDEX($AK$4:$AL$6,MATCH(INDEX($P$3:$S$6,MATCH(MOD('Map 2 Do Touch'!M37,4),$O$3:$O$6,0),MATCH(MOD('Map 2 Do Touch'!M38,4),$P$2:$S$2,0)),'Map 3'!$AJ$4:$AJ$6,0),MATCH(IF('Map 2 Do Touch'!M37&gt;4,"Water","Land"),'Map 3'!$AK$3:$AL$3,0))))</f>
        <v>Island</v>
      </c>
      <c r="N42" s="3" t="str">
        <f ca="1">IF('Map 2 Do Touch'!M37&lt;&gt;'Map 2 Do Touch'!M38,IF('Map 2 Do Touch'!N38&gt;4,INDEX($AG$4:$AH$6,MATCH(INDEX($I$3:$L$6,MATCH(MOD('Map 2 Do Touch'!M38,4),$H$3:$H$6,0),MATCH(MOD('Map 2 Do Touch'!N38,4),$I$2:$L$2,0)),$AF$4:$AF$6,0),MATCH(IF('Map 2 Do Touch'!M38&gt;4,"Water","Land"),'Map 3'!$AG$3:$AH$3,0)),INDEX($AK$4:$AL$6,MATCH(INDEX($I$3:$L$6,MATCH(MOD('Map 2 Do Touch'!M38,4),$H$3:$H$6,0),MATCH(MOD('Map 2 Do Touch'!N38,4),$I$2:$L$2,0)),'Map 3'!$AJ$4:$AJ$6,0),MATCH(IF('Map 2 Do Touch'!M38&gt;4,"Water","Land"),'Map 3'!$AK$3:$AL$3,0))),IF('Map 2 Do Touch'!N38&gt;4,INDEX($AG$4:$AH$6,MATCH(INDEX($P$3:$S$6,MATCH(MOD('Map 2 Do Touch'!N37,4),$O$3:$O$6,0),MATCH(MOD('Map 2 Do Touch'!N38,4),$P$2:$S$2,0)),$AF$4:$AF$6,0),MATCH(IF('Map 2 Do Touch'!N37&gt;4,"Water","Land"),'Map 3'!$AG$3:$AH$3,0)),INDEX($AK$4:$AL$6,MATCH(INDEX($P$3:$S$6,MATCH(MOD('Map 2 Do Touch'!N37,4),$O$3:$O$6,0),MATCH(MOD('Map 2 Do Touch'!N38,4),$P$2:$S$2,0)),'Map 3'!$AJ$4:$AJ$6,0),MATCH(IF('Map 2 Do Touch'!N37&gt;4,"Water","Land"),'Map 3'!$AK$3:$AL$3,0))))</f>
        <v>Island</v>
      </c>
      <c r="O42" s="3" t="str">
        <f ca="1">IF('Map 2 Do Touch'!N37&lt;&gt;'Map 2 Do Touch'!N38,IF('Map 2 Do Touch'!O38&gt;4,INDEX($AG$4:$AH$6,MATCH(INDEX($I$3:$L$6,MATCH(MOD('Map 2 Do Touch'!N38,4),$H$3:$H$6,0),MATCH(MOD('Map 2 Do Touch'!O38,4),$I$2:$L$2,0)),$AF$4:$AF$6,0),MATCH(IF('Map 2 Do Touch'!N38&gt;4,"Water","Land"),'Map 3'!$AG$3:$AH$3,0)),INDEX($AK$4:$AL$6,MATCH(INDEX($I$3:$L$6,MATCH(MOD('Map 2 Do Touch'!N38,4),$H$3:$H$6,0),MATCH(MOD('Map 2 Do Touch'!O38,4),$I$2:$L$2,0)),'Map 3'!$AJ$4:$AJ$6,0),MATCH(IF('Map 2 Do Touch'!N38&gt;4,"Water","Land"),'Map 3'!$AK$3:$AL$3,0))),IF('Map 2 Do Touch'!O38&gt;4,INDEX($AG$4:$AH$6,MATCH(INDEX($P$3:$S$6,MATCH(MOD('Map 2 Do Touch'!O37,4),$O$3:$O$6,0),MATCH(MOD('Map 2 Do Touch'!O38,4),$P$2:$S$2,0)),$AF$4:$AF$6,0),MATCH(IF('Map 2 Do Touch'!O37&gt;4,"Water","Land"),'Map 3'!$AG$3:$AH$3,0)),INDEX($AK$4:$AL$6,MATCH(INDEX($P$3:$S$6,MATCH(MOD('Map 2 Do Touch'!O37,4),$O$3:$O$6,0),MATCH(MOD('Map 2 Do Touch'!O38,4),$P$2:$S$2,0)),'Map 3'!$AJ$4:$AJ$6,0),MATCH(IF('Map 2 Do Touch'!O37&gt;4,"Water","Land"),'Map 3'!$AK$3:$AL$3,0))))</f>
        <v>Trench</v>
      </c>
      <c r="P42" s="3" t="str">
        <f ca="1">IF('Map 2 Do Touch'!O37&lt;&gt;'Map 2 Do Touch'!O38,IF('Map 2 Do Touch'!P38&gt;4,INDEX($AG$4:$AH$6,MATCH(INDEX($I$3:$L$6,MATCH(MOD('Map 2 Do Touch'!O38,4),$H$3:$H$6,0),MATCH(MOD('Map 2 Do Touch'!P38,4),$I$2:$L$2,0)),$AF$4:$AF$6,0),MATCH(IF('Map 2 Do Touch'!O38&gt;4,"Water","Land"),'Map 3'!$AG$3:$AH$3,0)),INDEX($AK$4:$AL$6,MATCH(INDEX($I$3:$L$6,MATCH(MOD('Map 2 Do Touch'!O38,4),$H$3:$H$6,0),MATCH(MOD('Map 2 Do Touch'!P38,4),$I$2:$L$2,0)),'Map 3'!$AJ$4:$AJ$6,0),MATCH(IF('Map 2 Do Touch'!O38&gt;4,"Water","Land"),'Map 3'!$AK$3:$AL$3,0))),IF('Map 2 Do Touch'!P38&gt;4,INDEX($AG$4:$AH$6,MATCH(INDEX($P$3:$S$6,MATCH(MOD('Map 2 Do Touch'!P37,4),$O$3:$O$6,0),MATCH(MOD('Map 2 Do Touch'!P38,4),$P$2:$S$2,0)),$AF$4:$AF$6,0),MATCH(IF('Map 2 Do Touch'!P37&gt;4,"Water","Land"),'Map 3'!$AG$3:$AH$3,0)),INDEX($AK$4:$AL$6,MATCH(INDEX($P$3:$S$6,MATCH(MOD('Map 2 Do Touch'!P37,4),$O$3:$O$6,0),MATCH(MOD('Map 2 Do Touch'!P38,4),$P$2:$S$2,0)),'Map 3'!$AJ$4:$AJ$6,0),MATCH(IF('Map 2 Do Touch'!P37&gt;4,"Water","Land"),'Map 3'!$AK$3:$AL$3,0))))</f>
        <v>Ocean</v>
      </c>
      <c r="Q42" s="3" t="str">
        <f ca="1">IF('Map 2 Do Touch'!P37&lt;&gt;'Map 2 Do Touch'!P38,IF('Map 2 Do Touch'!Q38&gt;4,INDEX($AG$4:$AH$6,MATCH(INDEX($I$3:$L$6,MATCH(MOD('Map 2 Do Touch'!P38,4),$H$3:$H$6,0),MATCH(MOD('Map 2 Do Touch'!Q38,4),$I$2:$L$2,0)),$AF$4:$AF$6,0),MATCH(IF('Map 2 Do Touch'!P38&gt;4,"Water","Land"),'Map 3'!$AG$3:$AH$3,0)),INDEX($AK$4:$AL$6,MATCH(INDEX($I$3:$L$6,MATCH(MOD('Map 2 Do Touch'!P38,4),$H$3:$H$6,0),MATCH(MOD('Map 2 Do Touch'!Q38,4),$I$2:$L$2,0)),'Map 3'!$AJ$4:$AJ$6,0),MATCH(IF('Map 2 Do Touch'!P38&gt;4,"Water","Land"),'Map 3'!$AK$3:$AL$3,0))),IF('Map 2 Do Touch'!Q38&gt;4,INDEX($AG$4:$AH$6,MATCH(INDEX($P$3:$S$6,MATCH(MOD('Map 2 Do Touch'!Q37,4),$O$3:$O$6,0),MATCH(MOD('Map 2 Do Touch'!Q38,4),$P$2:$S$2,0)),$AF$4:$AF$6,0),MATCH(IF('Map 2 Do Touch'!Q37&gt;4,"Water","Land"),'Map 3'!$AG$3:$AH$3,0)),INDEX($AK$4:$AL$6,MATCH(INDEX($P$3:$S$6,MATCH(MOD('Map 2 Do Touch'!Q37,4),$O$3:$O$6,0),MATCH(MOD('Map 2 Do Touch'!Q38,4),$P$2:$S$2,0)),'Map 3'!$AJ$4:$AJ$6,0),MATCH(IF('Map 2 Do Touch'!Q37&gt;4,"Water","Land"),'Map 3'!$AK$3:$AL$3,0))))</f>
        <v>Trench</v>
      </c>
      <c r="R42" s="3" t="str">
        <f ca="1">IF('Map 2 Do Touch'!Q37&lt;&gt;'Map 2 Do Touch'!Q38,IF('Map 2 Do Touch'!R38&gt;4,INDEX($AG$4:$AH$6,MATCH(INDEX($I$3:$L$6,MATCH(MOD('Map 2 Do Touch'!Q38,4),$H$3:$H$6,0),MATCH(MOD('Map 2 Do Touch'!R38,4),$I$2:$L$2,0)),$AF$4:$AF$6,0),MATCH(IF('Map 2 Do Touch'!Q38&gt;4,"Water","Land"),'Map 3'!$AG$3:$AH$3,0)),INDEX($AK$4:$AL$6,MATCH(INDEX($I$3:$L$6,MATCH(MOD('Map 2 Do Touch'!Q38,4),$H$3:$H$6,0),MATCH(MOD('Map 2 Do Touch'!R38,4),$I$2:$L$2,0)),'Map 3'!$AJ$4:$AJ$6,0),MATCH(IF('Map 2 Do Touch'!Q38&gt;4,"Water","Land"),'Map 3'!$AK$3:$AL$3,0))),IF('Map 2 Do Touch'!R38&gt;4,INDEX($AG$4:$AH$6,MATCH(INDEX($P$3:$S$6,MATCH(MOD('Map 2 Do Touch'!R37,4),$O$3:$O$6,0),MATCH(MOD('Map 2 Do Touch'!R38,4),$P$2:$S$2,0)),$AF$4:$AF$6,0),MATCH(IF('Map 2 Do Touch'!R37&gt;4,"Water","Land"),'Map 3'!$AG$3:$AH$3,0)),INDEX($AK$4:$AL$6,MATCH(INDEX($P$3:$S$6,MATCH(MOD('Map 2 Do Touch'!R37,4),$O$3:$O$6,0),MATCH(MOD('Map 2 Do Touch'!R38,4),$P$2:$S$2,0)),'Map 3'!$AJ$4:$AJ$6,0),MATCH(IF('Map 2 Do Touch'!R37&gt;4,"Water","Land"),'Map 3'!$AK$3:$AL$3,0))))</f>
        <v>Island</v>
      </c>
      <c r="S42" s="3" t="str">
        <f ca="1">IF('Map 2 Do Touch'!R37&lt;&gt;'Map 2 Do Touch'!R38,IF('Map 2 Do Touch'!S38&gt;4,INDEX($AG$4:$AH$6,MATCH(INDEX($I$3:$L$6,MATCH(MOD('Map 2 Do Touch'!R38,4),$H$3:$H$6,0),MATCH(MOD('Map 2 Do Touch'!S38,4),$I$2:$L$2,0)),$AF$4:$AF$6,0),MATCH(IF('Map 2 Do Touch'!R38&gt;4,"Water","Land"),'Map 3'!$AG$3:$AH$3,0)),INDEX($AK$4:$AL$6,MATCH(INDEX($I$3:$L$6,MATCH(MOD('Map 2 Do Touch'!R38,4),$H$3:$H$6,0),MATCH(MOD('Map 2 Do Touch'!S38,4),$I$2:$L$2,0)),'Map 3'!$AJ$4:$AJ$6,0),MATCH(IF('Map 2 Do Touch'!R38&gt;4,"Water","Land"),'Map 3'!$AK$3:$AL$3,0))),IF('Map 2 Do Touch'!S38&gt;4,INDEX($AG$4:$AH$6,MATCH(INDEX($P$3:$S$6,MATCH(MOD('Map 2 Do Touch'!S37,4),$O$3:$O$6,0),MATCH(MOD('Map 2 Do Touch'!S38,4),$P$2:$S$2,0)),$AF$4:$AF$6,0),MATCH(IF('Map 2 Do Touch'!S37&gt;4,"Water","Land"),'Map 3'!$AG$3:$AH$3,0)),INDEX($AK$4:$AL$6,MATCH(INDEX($P$3:$S$6,MATCH(MOD('Map 2 Do Touch'!S37,4),$O$3:$O$6,0),MATCH(MOD('Map 2 Do Touch'!S38,4),$P$2:$S$2,0)),'Map 3'!$AJ$4:$AJ$6,0),MATCH(IF('Map 2 Do Touch'!S37&gt;4,"Water","Land"),'Map 3'!$AK$3:$AL$3,0))))</f>
        <v>Trench</v>
      </c>
      <c r="T42" s="3" t="str">
        <f ca="1">IF('Map 2 Do Touch'!S37&lt;&gt;'Map 2 Do Touch'!S38,IF('Map 2 Do Touch'!T38&gt;4,INDEX($AG$4:$AH$6,MATCH(INDEX($I$3:$L$6,MATCH(MOD('Map 2 Do Touch'!S38,4),$H$3:$H$6,0),MATCH(MOD('Map 2 Do Touch'!T38,4),$I$2:$L$2,0)),$AF$4:$AF$6,0),MATCH(IF('Map 2 Do Touch'!S38&gt;4,"Water","Land"),'Map 3'!$AG$3:$AH$3,0)),INDEX($AK$4:$AL$6,MATCH(INDEX($I$3:$L$6,MATCH(MOD('Map 2 Do Touch'!S38,4),$H$3:$H$6,0),MATCH(MOD('Map 2 Do Touch'!T38,4),$I$2:$L$2,0)),'Map 3'!$AJ$4:$AJ$6,0),MATCH(IF('Map 2 Do Touch'!S38&gt;4,"Water","Land"),'Map 3'!$AK$3:$AL$3,0))),IF('Map 2 Do Touch'!T38&gt;4,INDEX($AG$4:$AH$6,MATCH(INDEX($P$3:$S$6,MATCH(MOD('Map 2 Do Touch'!T37,4),$O$3:$O$6,0),MATCH(MOD('Map 2 Do Touch'!T38,4),$P$2:$S$2,0)),$AF$4:$AF$6,0),MATCH(IF('Map 2 Do Touch'!T37&gt;4,"Water","Land"),'Map 3'!$AG$3:$AH$3,0)),INDEX($AK$4:$AL$6,MATCH(INDEX($P$3:$S$6,MATCH(MOD('Map 2 Do Touch'!T37,4),$O$3:$O$6,0),MATCH(MOD('Map 2 Do Touch'!T38,4),$P$2:$S$2,0)),'Map 3'!$AJ$4:$AJ$6,0),MATCH(IF('Map 2 Do Touch'!T37&gt;4,"Water","Land"),'Map 3'!$AK$3:$AL$3,0))))</f>
        <v>Ocean</v>
      </c>
      <c r="U42" s="3" t="str">
        <f ca="1">IF('Map 2 Do Touch'!T37&lt;&gt;'Map 2 Do Touch'!T38,IF('Map 2 Do Touch'!U38&gt;4,INDEX($AG$4:$AH$6,MATCH(INDEX($I$3:$L$6,MATCH(MOD('Map 2 Do Touch'!T38,4),$H$3:$H$6,0),MATCH(MOD('Map 2 Do Touch'!U38,4),$I$2:$L$2,0)),$AF$4:$AF$6,0),MATCH(IF('Map 2 Do Touch'!T38&gt;4,"Water","Land"),'Map 3'!$AG$3:$AH$3,0)),INDEX($AK$4:$AL$6,MATCH(INDEX($I$3:$L$6,MATCH(MOD('Map 2 Do Touch'!T38,4),$H$3:$H$6,0),MATCH(MOD('Map 2 Do Touch'!U38,4),$I$2:$L$2,0)),'Map 3'!$AJ$4:$AJ$6,0),MATCH(IF('Map 2 Do Touch'!T38&gt;4,"Water","Land"),'Map 3'!$AK$3:$AL$3,0))),IF('Map 2 Do Touch'!U38&gt;4,INDEX($AG$4:$AH$6,MATCH(INDEX($P$3:$S$6,MATCH(MOD('Map 2 Do Touch'!U37,4),$O$3:$O$6,0),MATCH(MOD('Map 2 Do Touch'!U38,4),$P$2:$S$2,0)),$AF$4:$AF$6,0),MATCH(IF('Map 2 Do Touch'!U37&gt;4,"Water","Land"),'Map 3'!$AG$3:$AH$3,0)),INDEX($AK$4:$AL$6,MATCH(INDEX($P$3:$S$6,MATCH(MOD('Map 2 Do Touch'!U37,4),$O$3:$O$6,0),MATCH(MOD('Map 2 Do Touch'!U38,4),$P$2:$S$2,0)),'Map 3'!$AJ$4:$AJ$6,0),MATCH(IF('Map 2 Do Touch'!U37&gt;4,"Water","Land"),'Map 3'!$AK$3:$AL$3,0))))</f>
        <v>Island</v>
      </c>
      <c r="V42" s="3" t="str">
        <f ca="1">IF('Map 2 Do Touch'!U37&lt;&gt;'Map 2 Do Touch'!U38,IF('Map 2 Do Touch'!V38&gt;4,INDEX($AG$4:$AH$6,MATCH(INDEX($I$3:$L$6,MATCH(MOD('Map 2 Do Touch'!U38,4),$H$3:$H$6,0),MATCH(MOD('Map 2 Do Touch'!V38,4),$I$2:$L$2,0)),$AF$4:$AF$6,0),MATCH(IF('Map 2 Do Touch'!U38&gt;4,"Water","Land"),'Map 3'!$AG$3:$AH$3,0)),INDEX($AK$4:$AL$6,MATCH(INDEX($I$3:$L$6,MATCH(MOD('Map 2 Do Touch'!U38,4),$H$3:$H$6,0),MATCH(MOD('Map 2 Do Touch'!V38,4),$I$2:$L$2,0)),'Map 3'!$AJ$4:$AJ$6,0),MATCH(IF('Map 2 Do Touch'!U38&gt;4,"Water","Land"),'Map 3'!$AK$3:$AL$3,0))),IF('Map 2 Do Touch'!V38&gt;4,INDEX($AG$4:$AH$6,MATCH(INDEX($P$3:$S$6,MATCH(MOD('Map 2 Do Touch'!V37,4),$O$3:$O$6,0),MATCH(MOD('Map 2 Do Touch'!V38,4),$P$2:$S$2,0)),$AF$4:$AF$6,0),MATCH(IF('Map 2 Do Touch'!V37&gt;4,"Water","Land"),'Map 3'!$AG$3:$AH$3,0)),INDEX($AK$4:$AL$6,MATCH(INDEX($P$3:$S$6,MATCH(MOD('Map 2 Do Touch'!V37,4),$O$3:$O$6,0),MATCH(MOD('Map 2 Do Touch'!V38,4),$P$2:$S$2,0)),'Map 3'!$AJ$4:$AJ$6,0),MATCH(IF('Map 2 Do Touch'!V37&gt;4,"Water","Land"),'Map 3'!$AK$3:$AL$3,0))))</f>
        <v>Trench</v>
      </c>
      <c r="W42" s="3" t="str">
        <f ca="1">IF('Map 2 Do Touch'!V37&lt;&gt;'Map 2 Do Touch'!V38,IF('Map 2 Do Touch'!W38&gt;4,INDEX($AG$4:$AH$6,MATCH(INDEX($I$3:$L$6,MATCH(MOD('Map 2 Do Touch'!V38,4),$H$3:$H$6,0),MATCH(MOD('Map 2 Do Touch'!W38,4),$I$2:$L$2,0)),$AF$4:$AF$6,0),MATCH(IF('Map 2 Do Touch'!V38&gt;4,"Water","Land"),'Map 3'!$AG$3:$AH$3,0)),INDEX($AK$4:$AL$6,MATCH(INDEX($I$3:$L$6,MATCH(MOD('Map 2 Do Touch'!V38,4),$H$3:$H$6,0),MATCH(MOD('Map 2 Do Touch'!W38,4),$I$2:$L$2,0)),'Map 3'!$AJ$4:$AJ$6,0),MATCH(IF('Map 2 Do Touch'!V38&gt;4,"Water","Land"),'Map 3'!$AK$3:$AL$3,0))),IF('Map 2 Do Touch'!W38&gt;4,INDEX($AG$4:$AH$6,MATCH(INDEX($P$3:$S$6,MATCH(MOD('Map 2 Do Touch'!W37,4),$O$3:$O$6,0),MATCH(MOD('Map 2 Do Touch'!W38,4),$P$2:$S$2,0)),$AF$4:$AF$6,0),MATCH(IF('Map 2 Do Touch'!W37&gt;4,"Water","Land"),'Map 3'!$AG$3:$AH$3,0)),INDEX($AK$4:$AL$6,MATCH(INDEX($P$3:$S$6,MATCH(MOD('Map 2 Do Touch'!W37,4),$O$3:$O$6,0),MATCH(MOD('Map 2 Do Touch'!W38,4),$P$2:$S$2,0)),'Map 3'!$AJ$4:$AJ$6,0),MATCH(IF('Map 2 Do Touch'!W37&gt;4,"Water","Land"),'Map 3'!$AK$3:$AL$3,0))))</f>
        <v>Ocean</v>
      </c>
      <c r="X42" s="3" t="str">
        <f ca="1">IF('Map 2 Do Touch'!W37&lt;&gt;'Map 2 Do Touch'!W38,IF('Map 2 Do Touch'!X38&gt;4,INDEX($AG$4:$AH$6,MATCH(INDEX($I$3:$L$6,MATCH(MOD('Map 2 Do Touch'!W38,4),$H$3:$H$6,0),MATCH(MOD('Map 2 Do Touch'!X38,4),$I$2:$L$2,0)),$AF$4:$AF$6,0),MATCH(IF('Map 2 Do Touch'!W38&gt;4,"Water","Land"),'Map 3'!$AG$3:$AH$3,0)),INDEX($AK$4:$AL$6,MATCH(INDEX($I$3:$L$6,MATCH(MOD('Map 2 Do Touch'!W38,4),$H$3:$H$6,0),MATCH(MOD('Map 2 Do Touch'!X38,4),$I$2:$L$2,0)),'Map 3'!$AJ$4:$AJ$6,0),MATCH(IF('Map 2 Do Touch'!W38&gt;4,"Water","Land"),'Map 3'!$AK$3:$AL$3,0))),IF('Map 2 Do Touch'!X38&gt;4,INDEX($AG$4:$AH$6,MATCH(INDEX($P$3:$S$6,MATCH(MOD('Map 2 Do Touch'!X37,4),$O$3:$O$6,0),MATCH(MOD('Map 2 Do Touch'!X38,4),$P$2:$S$2,0)),$AF$4:$AF$6,0),MATCH(IF('Map 2 Do Touch'!X37&gt;4,"Water","Land"),'Map 3'!$AG$3:$AH$3,0)),INDEX($AK$4:$AL$6,MATCH(INDEX($P$3:$S$6,MATCH(MOD('Map 2 Do Touch'!X37,4),$O$3:$O$6,0),MATCH(MOD('Map 2 Do Touch'!X38,4),$P$2:$S$2,0)),'Map 3'!$AJ$4:$AJ$6,0),MATCH(IF('Map 2 Do Touch'!X37&gt;4,"Water","Land"),'Map 3'!$AK$3:$AL$3,0))))</f>
        <v>Ocean</v>
      </c>
      <c r="Y42" s="3" t="str">
        <f ca="1">IF('Map 2 Do Touch'!X37&lt;&gt;'Map 2 Do Touch'!X38,IF('Map 2 Do Touch'!Y38&gt;4,INDEX($AG$4:$AH$6,MATCH(INDEX($I$3:$L$6,MATCH(MOD('Map 2 Do Touch'!X38,4),$H$3:$H$6,0),MATCH(MOD('Map 2 Do Touch'!Y38,4),$I$2:$L$2,0)),$AF$4:$AF$6,0),MATCH(IF('Map 2 Do Touch'!X38&gt;4,"Water","Land"),'Map 3'!$AG$3:$AH$3,0)),INDEX($AK$4:$AL$6,MATCH(INDEX($I$3:$L$6,MATCH(MOD('Map 2 Do Touch'!X38,4),$H$3:$H$6,0),MATCH(MOD('Map 2 Do Touch'!Y38,4),$I$2:$L$2,0)),'Map 3'!$AJ$4:$AJ$6,0),MATCH(IF('Map 2 Do Touch'!X38&gt;4,"Water","Land"),'Map 3'!$AK$3:$AL$3,0))),IF('Map 2 Do Touch'!Y38&gt;4,INDEX($AG$4:$AH$6,MATCH(INDEX($P$3:$S$6,MATCH(MOD('Map 2 Do Touch'!Y37,4),$O$3:$O$6,0),MATCH(MOD('Map 2 Do Touch'!Y38,4),$P$2:$S$2,0)),$AF$4:$AF$6,0),MATCH(IF('Map 2 Do Touch'!Y37&gt;4,"Water","Land"),'Map 3'!$AG$3:$AH$3,0)),INDEX($AK$4:$AL$6,MATCH(INDEX($P$3:$S$6,MATCH(MOD('Map 2 Do Touch'!Y37,4),$O$3:$O$6,0),MATCH(MOD('Map 2 Do Touch'!Y38,4),$P$2:$S$2,0)),'Map 3'!$AJ$4:$AJ$6,0),MATCH(IF('Map 2 Do Touch'!Y37&gt;4,"Water","Land"),'Map 3'!$AK$3:$AL$3,0))))</f>
        <v>Ocean</v>
      </c>
      <c r="Z42" s="3" t="str">
        <f ca="1">IF('Map 2 Do Touch'!Y37&lt;&gt;'Map 2 Do Touch'!Y38,IF('Map 2 Do Touch'!Z38&gt;4,INDEX($AG$4:$AH$6,MATCH(INDEX($I$3:$L$6,MATCH(MOD('Map 2 Do Touch'!Y38,4),$H$3:$H$6,0),MATCH(MOD('Map 2 Do Touch'!Z38,4),$I$2:$L$2,0)),$AF$4:$AF$6,0),MATCH(IF('Map 2 Do Touch'!Y38&gt;4,"Water","Land"),'Map 3'!$AG$3:$AH$3,0)),INDEX($AK$4:$AL$6,MATCH(INDEX($I$3:$L$6,MATCH(MOD('Map 2 Do Touch'!Y38,4),$H$3:$H$6,0),MATCH(MOD('Map 2 Do Touch'!Z38,4),$I$2:$L$2,0)),'Map 3'!$AJ$4:$AJ$6,0),MATCH(IF('Map 2 Do Touch'!Y38&gt;4,"Water","Land"),'Map 3'!$AK$3:$AL$3,0))),IF('Map 2 Do Touch'!Z38&gt;4,INDEX($AG$4:$AH$6,MATCH(INDEX($P$3:$S$6,MATCH(MOD('Map 2 Do Touch'!Z37,4),$O$3:$O$6,0),MATCH(MOD('Map 2 Do Touch'!Z38,4),$P$2:$S$2,0)),$AF$4:$AF$6,0),MATCH(IF('Map 2 Do Touch'!Z37&gt;4,"Water","Land"),'Map 3'!$AG$3:$AH$3,0)),INDEX($AK$4:$AL$6,MATCH(INDEX($P$3:$S$6,MATCH(MOD('Map 2 Do Touch'!Z37,4),$O$3:$O$6,0),MATCH(MOD('Map 2 Do Touch'!Z38,4),$P$2:$S$2,0)),'Map 3'!$AJ$4:$AJ$6,0),MATCH(IF('Map 2 Do Touch'!Z37&gt;4,"Water","Land"),'Map 3'!$AK$3:$AL$3,0))))</f>
        <v>Ocean</v>
      </c>
      <c r="AA42" s="3" t="str">
        <f ca="1">IF('Map 2 Do Touch'!Z37&lt;&gt;'Map 2 Do Touch'!Z38,IF('Map 2 Do Touch'!AA38&gt;4,INDEX($AG$4:$AH$6,MATCH(INDEX($I$3:$L$6,MATCH(MOD('Map 2 Do Touch'!Z38,4),$H$3:$H$6,0),MATCH(MOD('Map 2 Do Touch'!AA38,4),$I$2:$L$2,0)),$AF$4:$AF$6,0),MATCH(IF('Map 2 Do Touch'!Z38&gt;4,"Water","Land"),'Map 3'!$AG$3:$AH$3,0)),INDEX($AK$4:$AL$6,MATCH(INDEX($I$3:$L$6,MATCH(MOD('Map 2 Do Touch'!Z38,4),$H$3:$H$6,0),MATCH(MOD('Map 2 Do Touch'!AA38,4),$I$2:$L$2,0)),'Map 3'!$AJ$4:$AJ$6,0),MATCH(IF('Map 2 Do Touch'!Z38&gt;4,"Water","Land"),'Map 3'!$AK$3:$AL$3,0))),IF('Map 2 Do Touch'!AA38&gt;4,INDEX($AG$4:$AH$6,MATCH(INDEX($P$3:$S$6,MATCH(MOD('Map 2 Do Touch'!AA37,4),$O$3:$O$6,0),MATCH(MOD('Map 2 Do Touch'!AA38,4),$P$2:$S$2,0)),$AF$4:$AF$6,0),MATCH(IF('Map 2 Do Touch'!AA37&gt;4,"Water","Land"),'Map 3'!$AG$3:$AH$3,0)),INDEX($AK$4:$AL$6,MATCH(INDEX($P$3:$S$6,MATCH(MOD('Map 2 Do Touch'!AA37,4),$O$3:$O$6,0),MATCH(MOD('Map 2 Do Touch'!AA38,4),$P$2:$S$2,0)),'Map 3'!$AJ$4:$AJ$6,0),MATCH(IF('Map 2 Do Touch'!AA37&gt;4,"Water","Land"),'Map 3'!$AK$3:$AL$3,0))))</f>
        <v>Island</v>
      </c>
      <c r="AB42" s="3" t="str">
        <f ca="1">IF('Map 2 Do Touch'!AA37&lt;&gt;'Map 2 Do Touch'!AA38,IF('Map 2 Do Touch'!AB38&gt;4,INDEX($AG$4:$AH$6,MATCH(INDEX($I$3:$L$6,MATCH(MOD('Map 2 Do Touch'!AA38,4),$H$3:$H$6,0),MATCH(MOD('Map 2 Do Touch'!AB38,4),$I$2:$L$2,0)),$AF$4:$AF$6,0),MATCH(IF('Map 2 Do Touch'!AA38&gt;4,"Water","Land"),'Map 3'!$AG$3:$AH$3,0)),INDEX($AK$4:$AL$6,MATCH(INDEX($I$3:$L$6,MATCH(MOD('Map 2 Do Touch'!AA38,4),$H$3:$H$6,0),MATCH(MOD('Map 2 Do Touch'!AB38,4),$I$2:$L$2,0)),'Map 3'!$AJ$4:$AJ$6,0),MATCH(IF('Map 2 Do Touch'!AA38&gt;4,"Water","Land"),'Map 3'!$AK$3:$AL$3,0))),IF('Map 2 Do Touch'!AB38&gt;4,INDEX($AG$4:$AH$6,MATCH(INDEX($P$3:$S$6,MATCH(MOD('Map 2 Do Touch'!AB37,4),$O$3:$O$6,0),MATCH(MOD('Map 2 Do Touch'!AB38,4),$P$2:$S$2,0)),$AF$4:$AF$6,0),MATCH(IF('Map 2 Do Touch'!AB37&gt;4,"Water","Land"),'Map 3'!$AG$3:$AH$3,0)),INDEX($AK$4:$AL$6,MATCH(INDEX($P$3:$S$6,MATCH(MOD('Map 2 Do Touch'!AB37,4),$O$3:$O$6,0),MATCH(MOD('Map 2 Do Touch'!AB38,4),$P$2:$S$2,0)),'Map 3'!$AJ$4:$AJ$6,0),MATCH(IF('Map 2 Do Touch'!AB37&gt;4,"Water","Land"),'Map 3'!$AK$3:$AL$3,0))))</f>
        <v>Ocean</v>
      </c>
      <c r="AC42" s="3" t="str">
        <f ca="1">IF('Map 2 Do Touch'!AB37&lt;&gt;'Map 2 Do Touch'!AB38,IF('Map 2 Do Touch'!AC38&gt;4,INDEX($AG$4:$AH$6,MATCH(INDEX($I$3:$L$6,MATCH(MOD('Map 2 Do Touch'!AB38,4),$H$3:$H$6,0),MATCH(MOD('Map 2 Do Touch'!AC38,4),$I$2:$L$2,0)),$AF$4:$AF$6,0),MATCH(IF('Map 2 Do Touch'!AB38&gt;4,"Water","Land"),'Map 3'!$AG$3:$AH$3,0)),INDEX($AK$4:$AL$6,MATCH(INDEX($I$3:$L$6,MATCH(MOD('Map 2 Do Touch'!AB38,4),$H$3:$H$6,0),MATCH(MOD('Map 2 Do Touch'!AC38,4),$I$2:$L$2,0)),'Map 3'!$AJ$4:$AJ$6,0),MATCH(IF('Map 2 Do Touch'!AB38&gt;4,"Water","Land"),'Map 3'!$AK$3:$AL$3,0))),IF('Map 2 Do Touch'!AC38&gt;4,INDEX($AG$4:$AH$6,MATCH(INDEX($P$3:$S$6,MATCH(MOD('Map 2 Do Touch'!AC37,4),$O$3:$O$6,0),MATCH(MOD('Map 2 Do Touch'!AC38,4),$P$2:$S$2,0)),$AF$4:$AF$6,0),MATCH(IF('Map 2 Do Touch'!AC37&gt;4,"Water","Land"),'Map 3'!$AG$3:$AH$3,0)),INDEX($AK$4:$AL$6,MATCH(INDEX($P$3:$S$6,MATCH(MOD('Map 2 Do Touch'!AC37,4),$O$3:$O$6,0),MATCH(MOD('Map 2 Do Touch'!AC38,4),$P$2:$S$2,0)),'Map 3'!$AJ$4:$AJ$6,0),MATCH(IF('Map 2 Do Touch'!AC37&gt;4,"Water","Land"),'Map 3'!$AK$3:$AL$3,0))))</f>
        <v>Trench</v>
      </c>
      <c r="AD42" s="3" t="str">
        <f ca="1">IF('Map 2 Do Touch'!AC37&lt;&gt;'Map 2 Do Touch'!AC38,IF('Map 2 Do Touch'!AD38&gt;4,INDEX($AG$4:$AH$6,MATCH(INDEX($I$3:$L$6,MATCH(MOD('Map 2 Do Touch'!AC38,4),$H$3:$H$6,0),MATCH(MOD('Map 2 Do Touch'!AD38,4),$I$2:$L$2,0)),$AF$4:$AF$6,0),MATCH(IF('Map 2 Do Touch'!AC38&gt;4,"Water","Land"),'Map 3'!$AG$3:$AH$3,0)),INDEX($AK$4:$AL$6,MATCH(INDEX($I$3:$L$6,MATCH(MOD('Map 2 Do Touch'!AC38,4),$H$3:$H$6,0),MATCH(MOD('Map 2 Do Touch'!AD38,4),$I$2:$L$2,0)),'Map 3'!$AJ$4:$AJ$6,0),MATCH(IF('Map 2 Do Touch'!AC38&gt;4,"Water","Land"),'Map 3'!$AK$3:$AL$3,0))),IF('Map 2 Do Touch'!AD38&gt;4,INDEX($AG$4:$AH$6,MATCH(INDEX($P$3:$S$6,MATCH(MOD('Map 2 Do Touch'!AD37,4),$O$3:$O$6,0),MATCH(MOD('Map 2 Do Touch'!AD38,4),$P$2:$S$2,0)),$AF$4:$AF$6,0),MATCH(IF('Map 2 Do Touch'!AD37&gt;4,"Water","Land"),'Map 3'!$AG$3:$AH$3,0)),INDEX($AK$4:$AL$6,MATCH(INDEX($P$3:$S$6,MATCH(MOD('Map 2 Do Touch'!AD37,4),$O$3:$O$6,0),MATCH(MOD('Map 2 Do Touch'!AD38,4),$P$2:$S$2,0)),'Map 3'!$AJ$4:$AJ$6,0),MATCH(IF('Map 2 Do Touch'!AD37&gt;4,"Water","Land"),'Map 3'!$AK$3:$AL$3,0))))</f>
        <v>Island</v>
      </c>
      <c r="AE42" s="3" t="str">
        <f ca="1">IF('Map 2 Do Touch'!AD37&lt;&gt;'Map 2 Do Touch'!AD38,IF('Map 2 Do Touch'!AE38&gt;4,INDEX($AG$4:$AH$6,MATCH(INDEX($I$3:$L$6,MATCH(MOD('Map 2 Do Touch'!AD38,4),$H$3:$H$6,0),MATCH(MOD('Map 2 Do Touch'!AE38,4),$I$2:$L$2,0)),$AF$4:$AF$6,0),MATCH(IF('Map 2 Do Touch'!AD38&gt;4,"Water","Land"),'Map 3'!$AG$3:$AH$3,0)),INDEX($AK$4:$AL$6,MATCH(INDEX($I$3:$L$6,MATCH(MOD('Map 2 Do Touch'!AD38,4),$H$3:$H$6,0),MATCH(MOD('Map 2 Do Touch'!AE38,4),$I$2:$L$2,0)),'Map 3'!$AJ$4:$AJ$6,0),MATCH(IF('Map 2 Do Touch'!AD38&gt;4,"Water","Land"),'Map 3'!$AK$3:$AL$3,0))),IF('Map 2 Do Touch'!AE38&gt;4,INDEX($AG$4:$AH$6,MATCH(INDEX($P$3:$S$6,MATCH(MOD('Map 2 Do Touch'!AE37,4),$O$3:$O$6,0),MATCH(MOD('Map 2 Do Touch'!AE38,4),$P$2:$S$2,0)),$AF$4:$AF$6,0),MATCH(IF('Map 2 Do Touch'!AE37&gt;4,"Water","Land"),'Map 3'!$AG$3:$AH$3,0)),INDEX($AK$4:$AL$6,MATCH(INDEX($P$3:$S$6,MATCH(MOD('Map 2 Do Touch'!AE37,4),$O$3:$O$6,0),MATCH(MOD('Map 2 Do Touch'!AE38,4),$P$2:$S$2,0)),'Map 3'!$AJ$4:$AJ$6,0),MATCH(IF('Map 2 Do Touch'!AE37&gt;4,"Water","Land"),'Map 3'!$AK$3:$AL$3,0))))</f>
        <v>Ocean</v>
      </c>
      <c r="AF42" s="3" t="str">
        <f ca="1">IF('Map 2 Do Touch'!AE37&lt;&gt;'Map 2 Do Touch'!AE38,IF('Map 2 Do Touch'!AF38&gt;4,INDEX($AG$4:$AH$6,MATCH(INDEX($I$3:$L$6,MATCH(MOD('Map 2 Do Touch'!AE38,4),$H$3:$H$6,0),MATCH(MOD('Map 2 Do Touch'!AF38,4),$I$2:$L$2,0)),$AF$4:$AF$6,0),MATCH(IF('Map 2 Do Touch'!AE38&gt;4,"Water","Land"),'Map 3'!$AG$3:$AH$3,0)),INDEX($AK$4:$AL$6,MATCH(INDEX($I$3:$L$6,MATCH(MOD('Map 2 Do Touch'!AE38,4),$H$3:$H$6,0),MATCH(MOD('Map 2 Do Touch'!AF38,4),$I$2:$L$2,0)),'Map 3'!$AJ$4:$AJ$6,0),MATCH(IF('Map 2 Do Touch'!AE38&gt;4,"Water","Land"),'Map 3'!$AK$3:$AL$3,0))),IF('Map 2 Do Touch'!AF38&gt;4,INDEX($AG$4:$AH$6,MATCH(INDEX($P$3:$S$6,MATCH(MOD('Map 2 Do Touch'!AF37,4),$O$3:$O$6,0),MATCH(MOD('Map 2 Do Touch'!AF38,4),$P$2:$S$2,0)),$AF$4:$AF$6,0),MATCH(IF('Map 2 Do Touch'!AF37&gt;4,"Water","Land"),'Map 3'!$AG$3:$AH$3,0)),INDEX($AK$4:$AL$6,MATCH(INDEX($P$3:$S$6,MATCH(MOD('Map 2 Do Touch'!AF37,4),$O$3:$O$6,0),MATCH(MOD('Map 2 Do Touch'!AF38,4),$P$2:$S$2,0)),'Map 3'!$AJ$4:$AJ$6,0),MATCH(IF('Map 2 Do Touch'!AF37&gt;4,"Water","Land"),'Map 3'!$AK$3:$AL$3,0))))</f>
        <v>Island</v>
      </c>
      <c r="AG42" s="3" t="str">
        <f ca="1">IF('Map 2 Do Touch'!AF37&lt;&gt;'Map 2 Do Touch'!AF38,IF('Map 2 Do Touch'!AG38&gt;4,INDEX($AG$4:$AH$6,MATCH(INDEX($I$3:$L$6,MATCH(MOD('Map 2 Do Touch'!AF38,4),$H$3:$H$6,0),MATCH(MOD('Map 2 Do Touch'!AG38,4),$I$2:$L$2,0)),$AF$4:$AF$6,0),MATCH(IF('Map 2 Do Touch'!AF38&gt;4,"Water","Land"),'Map 3'!$AG$3:$AH$3,0)),INDEX($AK$4:$AL$6,MATCH(INDEX($I$3:$L$6,MATCH(MOD('Map 2 Do Touch'!AF38,4),$H$3:$H$6,0),MATCH(MOD('Map 2 Do Touch'!AG38,4),$I$2:$L$2,0)),'Map 3'!$AJ$4:$AJ$6,0),MATCH(IF('Map 2 Do Touch'!AF38&gt;4,"Water","Land"),'Map 3'!$AK$3:$AL$3,0))),IF('Map 2 Do Touch'!AG38&gt;4,INDEX($AG$4:$AH$6,MATCH(INDEX($P$3:$S$6,MATCH(MOD('Map 2 Do Touch'!AG37,4),$O$3:$O$6,0),MATCH(MOD('Map 2 Do Touch'!AG38,4),$P$2:$S$2,0)),$AF$4:$AF$6,0),MATCH(IF('Map 2 Do Touch'!AG37&gt;4,"Water","Land"),'Map 3'!$AG$3:$AH$3,0)),INDEX($AK$4:$AL$6,MATCH(INDEX($P$3:$S$6,MATCH(MOD('Map 2 Do Touch'!AG37,4),$O$3:$O$6,0),MATCH(MOD('Map 2 Do Touch'!AG38,4),$P$2:$S$2,0)),'Map 3'!$AJ$4:$AJ$6,0),MATCH(IF('Map 2 Do Touch'!AG37&gt;4,"Water","Land"),'Map 3'!$AK$3:$AL$3,0))))</f>
        <v>Island</v>
      </c>
      <c r="AH42" s="3" t="str">
        <f ca="1">IF('Map 2 Do Touch'!AG37&lt;&gt;'Map 2 Do Touch'!AG38,IF('Map 2 Do Touch'!AH38&gt;4,INDEX($AG$4:$AH$6,MATCH(INDEX($I$3:$L$6,MATCH(MOD('Map 2 Do Touch'!AG38,4),$H$3:$H$6,0),MATCH(MOD('Map 2 Do Touch'!AH38,4),$I$2:$L$2,0)),$AF$4:$AF$6,0),MATCH(IF('Map 2 Do Touch'!AG38&gt;4,"Water","Land"),'Map 3'!$AG$3:$AH$3,0)),INDEX($AK$4:$AL$6,MATCH(INDEX($I$3:$L$6,MATCH(MOD('Map 2 Do Touch'!AG38,4),$H$3:$H$6,0),MATCH(MOD('Map 2 Do Touch'!AH38,4),$I$2:$L$2,0)),'Map 3'!$AJ$4:$AJ$6,0),MATCH(IF('Map 2 Do Touch'!AG38&gt;4,"Water","Land"),'Map 3'!$AK$3:$AL$3,0))),IF('Map 2 Do Touch'!AH38&gt;4,INDEX($AG$4:$AH$6,MATCH(INDEX($P$3:$S$6,MATCH(MOD('Map 2 Do Touch'!AH37,4),$O$3:$O$6,0),MATCH(MOD('Map 2 Do Touch'!AH38,4),$P$2:$S$2,0)),$AF$4:$AF$6,0),MATCH(IF('Map 2 Do Touch'!AH37&gt;4,"Water","Land"),'Map 3'!$AG$3:$AH$3,0)),INDEX($AK$4:$AL$6,MATCH(INDEX($P$3:$S$6,MATCH(MOD('Map 2 Do Touch'!AH37,4),$O$3:$O$6,0),MATCH(MOD('Map 2 Do Touch'!AH38,4),$P$2:$S$2,0)),'Map 3'!$AJ$4:$AJ$6,0),MATCH(IF('Map 2 Do Touch'!AH37&gt;4,"Water","Land"),'Map 3'!$AK$3:$AL$3,0))))</f>
        <v>Ocean</v>
      </c>
      <c r="AI42" s="3" t="str">
        <f ca="1">IF('Map 2 Do Touch'!AH37&lt;&gt;'Map 2 Do Touch'!AH38,IF('Map 2 Do Touch'!AI38&gt;4,INDEX($AG$4:$AH$6,MATCH(INDEX($I$3:$L$6,MATCH(MOD('Map 2 Do Touch'!AH38,4),$H$3:$H$6,0),MATCH(MOD('Map 2 Do Touch'!AI38,4),$I$2:$L$2,0)),$AF$4:$AF$6,0),MATCH(IF('Map 2 Do Touch'!AH38&gt;4,"Water","Land"),'Map 3'!$AG$3:$AH$3,0)),INDEX($AK$4:$AL$6,MATCH(INDEX($I$3:$L$6,MATCH(MOD('Map 2 Do Touch'!AH38,4),$H$3:$H$6,0),MATCH(MOD('Map 2 Do Touch'!AI38,4),$I$2:$L$2,0)),'Map 3'!$AJ$4:$AJ$6,0),MATCH(IF('Map 2 Do Touch'!AH38&gt;4,"Water","Land"),'Map 3'!$AK$3:$AL$3,0))),IF('Map 2 Do Touch'!AI38&gt;4,INDEX($AG$4:$AH$6,MATCH(INDEX($P$3:$S$6,MATCH(MOD('Map 2 Do Touch'!AI37,4),$O$3:$O$6,0),MATCH(MOD('Map 2 Do Touch'!AI38,4),$P$2:$S$2,0)),$AF$4:$AF$6,0),MATCH(IF('Map 2 Do Touch'!AI37&gt;4,"Water","Land"),'Map 3'!$AG$3:$AH$3,0)),INDEX($AK$4:$AL$6,MATCH(INDEX($P$3:$S$6,MATCH(MOD('Map 2 Do Touch'!AI37,4),$O$3:$O$6,0),MATCH(MOD('Map 2 Do Touch'!AI38,4),$P$2:$S$2,0)),'Map 3'!$AJ$4:$AJ$6,0),MATCH(IF('Map 2 Do Touch'!AI37&gt;4,"Water","Land"),'Map 3'!$AK$3:$AL$3,0))))</f>
        <v>Ocean</v>
      </c>
      <c r="AJ42" s="3" t="str">
        <f ca="1">IF('Map 2 Do Touch'!AI37&lt;&gt;'Map 2 Do Touch'!AI38,IF('Map 2 Do Touch'!AJ38&gt;4,INDEX($AG$4:$AH$6,MATCH(INDEX($I$3:$L$6,MATCH(MOD('Map 2 Do Touch'!AI38,4),$H$3:$H$6,0),MATCH(MOD('Map 2 Do Touch'!AJ38,4),$I$2:$L$2,0)),$AF$4:$AF$6,0),MATCH(IF('Map 2 Do Touch'!AI38&gt;4,"Water","Land"),'Map 3'!$AG$3:$AH$3,0)),INDEX($AK$4:$AL$6,MATCH(INDEX($I$3:$L$6,MATCH(MOD('Map 2 Do Touch'!AI38,4),$H$3:$H$6,0),MATCH(MOD('Map 2 Do Touch'!AJ38,4),$I$2:$L$2,0)),'Map 3'!$AJ$4:$AJ$6,0),MATCH(IF('Map 2 Do Touch'!AI38&gt;4,"Water","Land"),'Map 3'!$AK$3:$AL$3,0))),IF('Map 2 Do Touch'!AJ38&gt;4,INDEX($AG$4:$AH$6,MATCH(INDEX($P$3:$S$6,MATCH(MOD('Map 2 Do Touch'!AJ37,4),$O$3:$O$6,0),MATCH(MOD('Map 2 Do Touch'!AJ38,4),$P$2:$S$2,0)),$AF$4:$AF$6,0),MATCH(IF('Map 2 Do Touch'!AJ37&gt;4,"Water","Land"),'Map 3'!$AG$3:$AH$3,0)),INDEX($AK$4:$AL$6,MATCH(INDEX($P$3:$S$6,MATCH(MOD('Map 2 Do Touch'!AJ37,4),$O$3:$O$6,0),MATCH(MOD('Map 2 Do Touch'!AJ38,4),$P$2:$S$2,0)),'Map 3'!$AJ$4:$AJ$6,0),MATCH(IF('Map 2 Do Touch'!AJ37&gt;4,"Water","Land"),'Map 3'!$AK$3:$AL$3,0))))</f>
        <v>Island</v>
      </c>
      <c r="AK42" s="3" t="str">
        <f ca="1">IF('Map 2 Do Touch'!AJ37&lt;&gt;'Map 2 Do Touch'!AJ38,IF('Map 2 Do Touch'!AK38&gt;4,INDEX($AG$4:$AH$6,MATCH(INDEX($I$3:$L$6,MATCH(MOD('Map 2 Do Touch'!AJ38,4),$H$3:$H$6,0),MATCH(MOD('Map 2 Do Touch'!AK38,4),$I$2:$L$2,0)),$AF$4:$AF$6,0),MATCH(IF('Map 2 Do Touch'!AJ38&gt;4,"Water","Land"),'Map 3'!$AG$3:$AH$3,0)),INDEX($AK$4:$AL$6,MATCH(INDEX($I$3:$L$6,MATCH(MOD('Map 2 Do Touch'!AJ38,4),$H$3:$H$6,0),MATCH(MOD('Map 2 Do Touch'!AK38,4),$I$2:$L$2,0)),'Map 3'!$AJ$4:$AJ$6,0),MATCH(IF('Map 2 Do Touch'!AJ38&gt;4,"Water","Land"),'Map 3'!$AK$3:$AL$3,0))),IF('Map 2 Do Touch'!AK38&gt;4,INDEX($AG$4:$AH$6,MATCH(INDEX($P$3:$S$6,MATCH(MOD('Map 2 Do Touch'!AK37,4),$O$3:$O$6,0),MATCH(MOD('Map 2 Do Touch'!AK38,4),$P$2:$S$2,0)),$AF$4:$AF$6,0),MATCH(IF('Map 2 Do Touch'!AK37&gt;4,"Water","Land"),'Map 3'!$AG$3:$AH$3,0)),INDEX($AK$4:$AL$6,MATCH(INDEX($P$3:$S$6,MATCH(MOD('Map 2 Do Touch'!AK37,4),$O$3:$O$6,0),MATCH(MOD('Map 2 Do Touch'!AK38,4),$P$2:$S$2,0)),'Map 3'!$AJ$4:$AJ$6,0),MATCH(IF('Map 2 Do Touch'!AK37&gt;4,"Water","Land"),'Map 3'!$AK$3:$AL$3,0))))</f>
        <v>Ocean</v>
      </c>
      <c r="AL42" s="3" t="str">
        <f ca="1">IF('Map 2 Do Touch'!AK37&lt;&gt;'Map 2 Do Touch'!AK38,IF('Map 2 Do Touch'!AL38&gt;4,INDEX($AG$4:$AH$6,MATCH(INDEX($I$3:$L$6,MATCH(MOD('Map 2 Do Touch'!AK38,4),$H$3:$H$6,0),MATCH(MOD('Map 2 Do Touch'!AL38,4),$I$2:$L$2,0)),$AF$4:$AF$6,0),MATCH(IF('Map 2 Do Touch'!AK38&gt;4,"Water","Land"),'Map 3'!$AG$3:$AH$3,0)),INDEX($AK$4:$AL$6,MATCH(INDEX($I$3:$L$6,MATCH(MOD('Map 2 Do Touch'!AK38,4),$H$3:$H$6,0),MATCH(MOD('Map 2 Do Touch'!AL38,4),$I$2:$L$2,0)),'Map 3'!$AJ$4:$AJ$6,0),MATCH(IF('Map 2 Do Touch'!AK38&gt;4,"Water","Land"),'Map 3'!$AK$3:$AL$3,0))),IF('Map 2 Do Touch'!AL38&gt;4,INDEX($AG$4:$AH$6,MATCH(INDEX($P$3:$S$6,MATCH(MOD('Map 2 Do Touch'!AL37,4),$O$3:$O$6,0),MATCH(MOD('Map 2 Do Touch'!AL38,4),$P$2:$S$2,0)),$AF$4:$AF$6,0),MATCH(IF('Map 2 Do Touch'!AL37&gt;4,"Water","Land"),'Map 3'!$AG$3:$AH$3,0)),INDEX($AK$4:$AL$6,MATCH(INDEX($P$3:$S$6,MATCH(MOD('Map 2 Do Touch'!AL37,4),$O$3:$O$6,0),MATCH(MOD('Map 2 Do Touch'!AL38,4),$P$2:$S$2,0)),'Map 3'!$AJ$4:$AJ$6,0),MATCH(IF('Map 2 Do Touch'!AL37&gt;4,"Water","Land"),'Map 3'!$AK$3:$AL$3,0))))</f>
        <v>Ocean</v>
      </c>
      <c r="AM42" s="3" t="str">
        <f ca="1">IF('Map 2 Do Touch'!AL37&lt;&gt;'Map 2 Do Touch'!AL38,IF('Map 2 Do Touch'!AM38&gt;4,INDEX($AG$4:$AH$6,MATCH(INDEX($I$3:$L$6,MATCH(MOD('Map 2 Do Touch'!AL38,4),$H$3:$H$6,0),MATCH(MOD('Map 2 Do Touch'!AM38,4),$I$2:$L$2,0)),$AF$4:$AF$6,0),MATCH(IF('Map 2 Do Touch'!AL38&gt;4,"Water","Land"),'Map 3'!$AG$3:$AH$3,0)),INDEX($AK$4:$AL$6,MATCH(INDEX($I$3:$L$6,MATCH(MOD('Map 2 Do Touch'!AL38,4),$H$3:$H$6,0),MATCH(MOD('Map 2 Do Touch'!AM38,4),$I$2:$L$2,0)),'Map 3'!$AJ$4:$AJ$6,0),MATCH(IF('Map 2 Do Touch'!AL38&gt;4,"Water","Land"),'Map 3'!$AK$3:$AL$3,0))),IF('Map 2 Do Touch'!AM38&gt;4,INDEX($AG$4:$AH$6,MATCH(INDEX($P$3:$S$6,MATCH(MOD('Map 2 Do Touch'!AM37,4),$O$3:$O$6,0),MATCH(MOD('Map 2 Do Touch'!AM38,4),$P$2:$S$2,0)),$AF$4:$AF$6,0),MATCH(IF('Map 2 Do Touch'!AM37&gt;4,"Water","Land"),'Map 3'!$AG$3:$AH$3,0)),INDEX($AK$4:$AL$6,MATCH(INDEX($P$3:$S$6,MATCH(MOD('Map 2 Do Touch'!AM37,4),$O$3:$O$6,0),MATCH(MOD('Map 2 Do Touch'!AM38,4),$P$2:$S$2,0)),'Map 3'!$AJ$4:$AJ$6,0),MATCH(IF('Map 2 Do Touch'!AM37&gt;4,"Water","Land"),'Map 3'!$AK$3:$AL$3,0))))</f>
        <v>Island</v>
      </c>
      <c r="AN42" s="3" t="str">
        <f ca="1">IF('Map 2 Do Touch'!AM37&lt;&gt;'Map 2 Do Touch'!AM38,IF('Map 2 Do Touch'!AN38&gt;4,INDEX($AG$4:$AH$6,MATCH(INDEX($I$3:$L$6,MATCH(MOD('Map 2 Do Touch'!AM38,4),$H$3:$H$6,0),MATCH(MOD('Map 2 Do Touch'!AN38,4),$I$2:$L$2,0)),$AF$4:$AF$6,0),MATCH(IF('Map 2 Do Touch'!AM38&gt;4,"Water","Land"),'Map 3'!$AG$3:$AH$3,0)),INDEX($AK$4:$AL$6,MATCH(INDEX($I$3:$L$6,MATCH(MOD('Map 2 Do Touch'!AM38,4),$H$3:$H$6,0),MATCH(MOD('Map 2 Do Touch'!AN38,4),$I$2:$L$2,0)),'Map 3'!$AJ$4:$AJ$6,0),MATCH(IF('Map 2 Do Touch'!AM38&gt;4,"Water","Land"),'Map 3'!$AK$3:$AL$3,0))),IF('Map 2 Do Touch'!AN38&gt;4,INDEX($AG$4:$AH$6,MATCH(INDEX($P$3:$S$6,MATCH(MOD('Map 2 Do Touch'!AN37,4),$O$3:$O$6,0),MATCH(MOD('Map 2 Do Touch'!AN38,4),$P$2:$S$2,0)),$AF$4:$AF$6,0),MATCH(IF('Map 2 Do Touch'!AN37&gt;4,"Water","Land"),'Map 3'!$AG$3:$AH$3,0)),INDEX($AK$4:$AL$6,MATCH(INDEX($P$3:$S$6,MATCH(MOD('Map 2 Do Touch'!AN37,4),$O$3:$O$6,0),MATCH(MOD('Map 2 Do Touch'!AN38,4),$P$2:$S$2,0)),'Map 3'!$AJ$4:$AJ$6,0),MATCH(IF('Map 2 Do Touch'!AN37&gt;4,"Water","Land"),'Map 3'!$AK$3:$AL$3,0))))</f>
        <v>Ocean</v>
      </c>
      <c r="AO42" s="87" t="str">
        <f ca="1">IF('Map 2 Do Touch'!AN37&lt;&gt;'Map 2 Do Touch'!AN38,IF('Map 2 Do Touch'!AO38&gt;4,INDEX($AG$4:$AH$6,MATCH(INDEX($I$3:$L$6,MATCH(MOD('Map 2 Do Touch'!AN38,4),$H$3:$H$6,0),MATCH(MOD('Map 2 Do Touch'!AO38,4),$I$2:$L$2,0)),$AF$4:$AF$6,0),MATCH(IF('Map 2 Do Touch'!AN38&gt;4,"Water","Land"),'Map 3'!$AG$3:$AH$3,0)),INDEX($AK$4:$AL$6,MATCH(INDEX($I$3:$L$6,MATCH(MOD('Map 2 Do Touch'!AN38,4),$H$3:$H$6,0),MATCH(MOD('Map 2 Do Touch'!AO38,4),$I$2:$L$2,0)),'Map 3'!$AJ$4:$AJ$6,0),MATCH(IF('Map 2 Do Touch'!AN38&gt;4,"Water","Land"),'Map 3'!$AK$3:$AL$3,0))),IF('Map 2 Do Touch'!AO38&gt;4,INDEX($AG$4:$AH$6,MATCH(INDEX($P$3:$S$6,MATCH(MOD('Map 2 Do Touch'!AO37,4),$O$3:$O$6,0),MATCH(MOD('Map 2 Do Touch'!AO38,4),$P$2:$S$2,0)),$AF$4:$AF$6,0),MATCH(IF('Map 2 Do Touch'!AO37&gt;4,"Water","Land"),'Map 3'!$AG$3:$AH$3,0)),INDEX($AK$4:$AL$6,MATCH(INDEX($P$3:$S$6,MATCH(MOD('Map 2 Do Touch'!AO37,4),$O$3:$O$6,0),MATCH(MOD('Map 2 Do Touch'!AO38,4),$P$2:$S$2,0)),'Map 3'!$AJ$4:$AJ$6,0),MATCH(IF('Map 2 Do Touch'!AO37&gt;4,"Water","Land"),'Map 3'!$AK$3:$AL$3,0))))</f>
        <v>Mountain</v>
      </c>
      <c r="AP42" s="3"/>
    </row>
    <row r="43" spans="1:42" ht="37.5" customHeight="1">
      <c r="A43" s="3">
        <v>32</v>
      </c>
      <c r="B43" s="86" t="str">
        <f ca="1">IF('Map 2 Do Touch'!B38&lt;&gt;'Map 2 Do Touch'!B39,IF('Map 2 Do Touch'!B39&gt;4,INDEX($AG$4:$AH$6,MATCH(INDEX($I$3:$L$6,MATCH(MOD('Map 2 Do Touch'!AO39,4),$H$3:$H$6,0),MATCH(MOD('Map 2 Do Touch'!B39,4),$I$2:$L$2,0)),$AF$4:$AF$6,0),MATCH(IF('Map 2 Do Touch'!AO39&gt;4,"Water","Land"),'Map 3'!$AG$3:$AH$3,0)),INDEX($AK$4:$AL$6,MATCH(INDEX($I$3:$L$6,MATCH(MOD('Map 2 Do Touch'!A39,4),$H$3:$H$6,0),MATCH(MOD('Map 2 Do Touch'!B39,4),$I$2:$L$2,0)),'Map 3'!$AJ$4:$AJ$6,0),MATCH(IF('Map 2 Do Touch'!AO39&gt;4,"Water","Land"),'Map 3'!$AK$3:$AL$3,0))),IF('Map 2 Do Touch'!B39&gt;4,INDEX($AG$4:$AH$6,MATCH(INDEX($P$3:$S$6,MATCH(MOD('Map 2 Do Touch'!B38,4),$O$3:$O$6,0),MATCH(MOD('Map 2 Do Touch'!B39,4),$P$2:$S$2,0)),$AF$4:$AF$6,0),MATCH(IF('Map 2 Do Touch'!B38&gt;4,"Water","Land"),'Map 3'!$AG$3:$AH$3,0)),INDEX($AK$4:$AL$6,MATCH(INDEX($P$3:$S$6,MATCH(MOD('Map 2 Do Touch'!B38,4),$O$3:$O$6,0),MATCH(MOD('Map 2 Do Touch'!B39,4),$P$2:$S$2,0)),'Map 3'!$AJ$4:$AJ$6,0),MATCH(IF('Map 2 Do Touch'!B38&gt;4,"Water","Land"),'Map 3'!$AK$3:$AL$3,0))))</f>
        <v>Drop Off</v>
      </c>
      <c r="C43" s="3" t="str">
        <f ca="1">IF('Map 2 Do Touch'!B38&lt;&gt;'Map 2 Do Touch'!B39,IF('Map 2 Do Touch'!C39&gt;4,INDEX($AG$4:$AH$6,MATCH(INDEX($I$3:$L$6,MATCH(MOD('Map 2 Do Touch'!B39,4),$H$3:$H$6,0),MATCH(MOD('Map 2 Do Touch'!C39,4),$I$2:$L$2,0)),$AF$4:$AF$6,0),MATCH(IF('Map 2 Do Touch'!B39&gt;4,"Water","Land"),'Map 3'!$AG$3:$AH$3,0)),INDEX($AK$4:$AL$6,MATCH(INDEX($I$3:$L$6,MATCH(MOD('Map 2 Do Touch'!B39,4),$H$3:$H$6,0),MATCH(MOD('Map 2 Do Touch'!C39,4),$I$2:$L$2,0)),'Map 3'!$AJ$4:$AJ$6,0),MATCH(IF('Map 2 Do Touch'!B39&gt;4,"Water","Land"),'Map 3'!$AK$3:$AL$3,0))),IF('Map 2 Do Touch'!C39&gt;4,INDEX($AG$4:$AH$6,MATCH(INDEX($P$3:$S$6,MATCH(MOD('Map 2 Do Touch'!C38,4),$O$3:$O$6,0),MATCH(MOD('Map 2 Do Touch'!C39,4),$P$2:$S$2,0)),$AF$4:$AF$6,0),MATCH(IF('Map 2 Do Touch'!C38&gt;4,"Water","Land"),'Map 3'!$AG$3:$AH$3,0)),INDEX($AK$4:$AL$6,MATCH(INDEX($P$3:$S$6,MATCH(MOD('Map 2 Do Touch'!C38,4),$O$3:$O$6,0),MATCH(MOD('Map 2 Do Touch'!C39,4),$P$2:$S$2,0)),'Map 3'!$AJ$4:$AJ$6,0),MATCH(IF('Map 2 Do Touch'!C38&gt;4,"Water","Land"),'Map 3'!$AK$3:$AL$3,0))))</f>
        <v>Flatland</v>
      </c>
      <c r="D43" s="3" t="str">
        <f ca="1">IF('Map 2 Do Touch'!C38&lt;&gt;'Map 2 Do Touch'!C39,IF('Map 2 Do Touch'!D39&gt;4,INDEX($AG$4:$AH$6,MATCH(INDEX($I$3:$L$6,MATCH(MOD('Map 2 Do Touch'!C39,4),$H$3:$H$6,0),MATCH(MOD('Map 2 Do Touch'!D39,4),$I$2:$L$2,0)),$AF$4:$AF$6,0),MATCH(IF('Map 2 Do Touch'!C39&gt;4,"Water","Land"),'Map 3'!$AG$3:$AH$3,0)),INDEX($AK$4:$AL$6,MATCH(INDEX($I$3:$L$6,MATCH(MOD('Map 2 Do Touch'!C39,4),$H$3:$H$6,0),MATCH(MOD('Map 2 Do Touch'!D39,4),$I$2:$L$2,0)),'Map 3'!$AJ$4:$AJ$6,0),MATCH(IF('Map 2 Do Touch'!C39&gt;4,"Water","Land"),'Map 3'!$AK$3:$AL$3,0))),IF('Map 2 Do Touch'!D39&gt;4,INDEX($AG$4:$AH$6,MATCH(INDEX($P$3:$S$6,MATCH(MOD('Map 2 Do Touch'!D38,4),$O$3:$O$6,0),MATCH(MOD('Map 2 Do Touch'!D39,4),$P$2:$S$2,0)),$AF$4:$AF$6,0),MATCH(IF('Map 2 Do Touch'!D38&gt;4,"Water","Land"),'Map 3'!$AG$3:$AH$3,0)),INDEX($AK$4:$AL$6,MATCH(INDEX($P$3:$S$6,MATCH(MOD('Map 2 Do Touch'!D38,4),$O$3:$O$6,0),MATCH(MOD('Map 2 Do Touch'!D39,4),$P$2:$S$2,0)),'Map 3'!$AJ$4:$AJ$6,0),MATCH(IF('Map 2 Do Touch'!D38&gt;4,"Water","Land"),'Map 3'!$AK$3:$AL$3,0))))</f>
        <v>Drop Off</v>
      </c>
      <c r="E43" s="3" t="str">
        <f ca="1">IF('Map 2 Do Touch'!D38&lt;&gt;'Map 2 Do Touch'!D39,IF('Map 2 Do Touch'!E39&gt;4,INDEX($AG$4:$AH$6,MATCH(INDEX($I$3:$L$6,MATCH(MOD('Map 2 Do Touch'!D39,4),$H$3:$H$6,0),MATCH(MOD('Map 2 Do Touch'!E39,4),$I$2:$L$2,0)),$AF$4:$AF$6,0),MATCH(IF('Map 2 Do Touch'!D39&gt;4,"Water","Land"),'Map 3'!$AG$3:$AH$3,0)),INDEX($AK$4:$AL$6,MATCH(INDEX($I$3:$L$6,MATCH(MOD('Map 2 Do Touch'!D39,4),$H$3:$H$6,0),MATCH(MOD('Map 2 Do Touch'!E39,4),$I$2:$L$2,0)),'Map 3'!$AJ$4:$AJ$6,0),MATCH(IF('Map 2 Do Touch'!D39&gt;4,"Water","Land"),'Map 3'!$AK$3:$AL$3,0))),IF('Map 2 Do Touch'!E39&gt;4,INDEX($AG$4:$AH$6,MATCH(INDEX($P$3:$S$6,MATCH(MOD('Map 2 Do Touch'!E38,4),$O$3:$O$6,0),MATCH(MOD('Map 2 Do Touch'!E39,4),$P$2:$S$2,0)),$AF$4:$AF$6,0),MATCH(IF('Map 2 Do Touch'!E38&gt;4,"Water","Land"),'Map 3'!$AG$3:$AH$3,0)),INDEX($AK$4:$AL$6,MATCH(INDEX($P$3:$S$6,MATCH(MOD('Map 2 Do Touch'!E38,4),$O$3:$O$6,0),MATCH(MOD('Map 2 Do Touch'!E39,4),$P$2:$S$2,0)),'Map 3'!$AJ$4:$AJ$6,0),MATCH(IF('Map 2 Do Touch'!E38&gt;4,"Water","Land"),'Map 3'!$AK$3:$AL$3,0))))</f>
        <v>Coast</v>
      </c>
      <c r="F43" s="3" t="str">
        <f ca="1">IF('Map 2 Do Touch'!E38&lt;&gt;'Map 2 Do Touch'!E39,IF('Map 2 Do Touch'!F39&gt;4,INDEX($AG$4:$AH$6,MATCH(INDEX($I$3:$L$6,MATCH(MOD('Map 2 Do Touch'!E39,4),$H$3:$H$6,0),MATCH(MOD('Map 2 Do Touch'!F39,4),$I$2:$L$2,0)),$AF$4:$AF$6,0),MATCH(IF('Map 2 Do Touch'!E39&gt;4,"Water","Land"),'Map 3'!$AG$3:$AH$3,0)),INDEX($AK$4:$AL$6,MATCH(INDEX($I$3:$L$6,MATCH(MOD('Map 2 Do Touch'!E39,4),$H$3:$H$6,0),MATCH(MOD('Map 2 Do Touch'!F39,4),$I$2:$L$2,0)),'Map 3'!$AJ$4:$AJ$6,0),MATCH(IF('Map 2 Do Touch'!E39&gt;4,"Water","Land"),'Map 3'!$AK$3:$AL$3,0))),IF('Map 2 Do Touch'!F39&gt;4,INDEX($AG$4:$AH$6,MATCH(INDEX($P$3:$S$6,MATCH(MOD('Map 2 Do Touch'!F38,4),$O$3:$O$6,0),MATCH(MOD('Map 2 Do Touch'!F39,4),$P$2:$S$2,0)),$AF$4:$AF$6,0),MATCH(IF('Map 2 Do Touch'!F38&gt;4,"Water","Land"),'Map 3'!$AG$3:$AH$3,0)),INDEX($AK$4:$AL$6,MATCH(INDEX($P$3:$S$6,MATCH(MOD('Map 2 Do Touch'!F38,4),$O$3:$O$6,0),MATCH(MOD('Map 2 Do Touch'!F39,4),$P$2:$S$2,0)),'Map 3'!$AJ$4:$AJ$6,0),MATCH(IF('Map 2 Do Touch'!F38&gt;4,"Water","Land"),'Map 3'!$AK$3:$AL$3,0))))</f>
        <v>Flatland</v>
      </c>
      <c r="G43" s="3" t="str">
        <f ca="1">IF('Map 2 Do Touch'!F38&lt;&gt;'Map 2 Do Touch'!F39,IF('Map 2 Do Touch'!G39&gt;4,INDEX($AG$4:$AH$6,MATCH(INDEX($I$3:$L$6,MATCH(MOD('Map 2 Do Touch'!F39,4),$H$3:$H$6,0),MATCH(MOD('Map 2 Do Touch'!G39,4),$I$2:$L$2,0)),$AF$4:$AF$6,0),MATCH(IF('Map 2 Do Touch'!F39&gt;4,"Water","Land"),'Map 3'!$AG$3:$AH$3,0)),INDEX($AK$4:$AL$6,MATCH(INDEX($I$3:$L$6,MATCH(MOD('Map 2 Do Touch'!F39,4),$H$3:$H$6,0),MATCH(MOD('Map 2 Do Touch'!G39,4),$I$2:$L$2,0)),'Map 3'!$AJ$4:$AJ$6,0),MATCH(IF('Map 2 Do Touch'!F39&gt;4,"Water","Land"),'Map 3'!$AK$3:$AL$3,0))),IF('Map 2 Do Touch'!G39&gt;4,INDEX($AG$4:$AH$6,MATCH(INDEX($P$3:$S$6,MATCH(MOD('Map 2 Do Touch'!G38,4),$O$3:$O$6,0),MATCH(MOD('Map 2 Do Touch'!G39,4),$P$2:$S$2,0)),$AF$4:$AF$6,0),MATCH(IF('Map 2 Do Touch'!G38&gt;4,"Water","Land"),'Map 3'!$AG$3:$AH$3,0)),INDEX($AK$4:$AL$6,MATCH(INDEX($P$3:$S$6,MATCH(MOD('Map 2 Do Touch'!G38,4),$O$3:$O$6,0),MATCH(MOD('Map 2 Do Touch'!G39,4),$P$2:$S$2,0)),'Map 3'!$AJ$4:$AJ$6,0),MATCH(IF('Map 2 Do Touch'!G38&gt;4,"Water","Land"),'Map 3'!$AK$3:$AL$3,0))))</f>
        <v>Flatland</v>
      </c>
      <c r="H43" s="3" t="str">
        <f ca="1">IF('Map 2 Do Touch'!G38&lt;&gt;'Map 2 Do Touch'!G39,IF('Map 2 Do Touch'!H39&gt;4,INDEX($AG$4:$AH$6,MATCH(INDEX($I$3:$L$6,MATCH(MOD('Map 2 Do Touch'!G39,4),$H$3:$H$6,0),MATCH(MOD('Map 2 Do Touch'!H39,4),$I$2:$L$2,0)),$AF$4:$AF$6,0),MATCH(IF('Map 2 Do Touch'!G39&gt;4,"Water","Land"),'Map 3'!$AG$3:$AH$3,0)),INDEX($AK$4:$AL$6,MATCH(INDEX($I$3:$L$6,MATCH(MOD('Map 2 Do Touch'!G39,4),$H$3:$H$6,0),MATCH(MOD('Map 2 Do Touch'!H39,4),$I$2:$L$2,0)),'Map 3'!$AJ$4:$AJ$6,0),MATCH(IF('Map 2 Do Touch'!G39&gt;4,"Water","Land"),'Map 3'!$AK$3:$AL$3,0))),IF('Map 2 Do Touch'!H39&gt;4,INDEX($AG$4:$AH$6,MATCH(INDEX($P$3:$S$6,MATCH(MOD('Map 2 Do Touch'!H38,4),$O$3:$O$6,0),MATCH(MOD('Map 2 Do Touch'!H39,4),$P$2:$S$2,0)),$AF$4:$AF$6,0),MATCH(IF('Map 2 Do Touch'!H38&gt;4,"Water","Land"),'Map 3'!$AG$3:$AH$3,0)),INDEX($AK$4:$AL$6,MATCH(INDEX($P$3:$S$6,MATCH(MOD('Map 2 Do Touch'!H38,4),$O$3:$O$6,0),MATCH(MOD('Map 2 Do Touch'!H39,4),$P$2:$S$2,0)),'Map 3'!$AJ$4:$AJ$6,0),MATCH(IF('Map 2 Do Touch'!H38&gt;4,"Water","Land"),'Map 3'!$AK$3:$AL$3,0))))</f>
        <v>Flatland</v>
      </c>
      <c r="I43" s="3" t="str">
        <f ca="1">IF('Map 2 Do Touch'!H38&lt;&gt;'Map 2 Do Touch'!H39,IF('Map 2 Do Touch'!I39&gt;4,INDEX($AG$4:$AH$6,MATCH(INDEX($I$3:$L$6,MATCH(MOD('Map 2 Do Touch'!H39,4),$H$3:$H$6,0),MATCH(MOD('Map 2 Do Touch'!I39,4),$I$2:$L$2,0)),$AF$4:$AF$6,0),MATCH(IF('Map 2 Do Touch'!H39&gt;4,"Water","Land"),'Map 3'!$AG$3:$AH$3,0)),INDEX($AK$4:$AL$6,MATCH(INDEX($I$3:$L$6,MATCH(MOD('Map 2 Do Touch'!H39,4),$H$3:$H$6,0),MATCH(MOD('Map 2 Do Touch'!I39,4),$I$2:$L$2,0)),'Map 3'!$AJ$4:$AJ$6,0),MATCH(IF('Map 2 Do Touch'!H39&gt;4,"Water","Land"),'Map 3'!$AK$3:$AL$3,0))),IF('Map 2 Do Touch'!I39&gt;4,INDEX($AG$4:$AH$6,MATCH(INDEX($P$3:$S$6,MATCH(MOD('Map 2 Do Touch'!I38,4),$O$3:$O$6,0),MATCH(MOD('Map 2 Do Touch'!I39,4),$P$2:$S$2,0)),$AF$4:$AF$6,0),MATCH(IF('Map 2 Do Touch'!I38&gt;4,"Water","Land"),'Map 3'!$AG$3:$AH$3,0)),INDEX($AK$4:$AL$6,MATCH(INDEX($P$3:$S$6,MATCH(MOD('Map 2 Do Touch'!I38,4),$O$3:$O$6,0),MATCH(MOD('Map 2 Do Touch'!I39,4),$P$2:$S$2,0)),'Map 3'!$AJ$4:$AJ$6,0),MATCH(IF('Map 2 Do Touch'!I38&gt;4,"Water","Land"),'Map 3'!$AK$3:$AL$3,0))))</f>
        <v>Ocean</v>
      </c>
      <c r="J43" s="3" t="str">
        <f ca="1">IF('Map 2 Do Touch'!I38&lt;&gt;'Map 2 Do Touch'!I39,IF('Map 2 Do Touch'!J39&gt;4,INDEX($AG$4:$AH$6,MATCH(INDEX($I$3:$L$6,MATCH(MOD('Map 2 Do Touch'!I39,4),$H$3:$H$6,0),MATCH(MOD('Map 2 Do Touch'!J39,4),$I$2:$L$2,0)),$AF$4:$AF$6,0),MATCH(IF('Map 2 Do Touch'!I39&gt;4,"Water","Land"),'Map 3'!$AG$3:$AH$3,0)),INDEX($AK$4:$AL$6,MATCH(INDEX($I$3:$L$6,MATCH(MOD('Map 2 Do Touch'!I39,4),$H$3:$H$6,0),MATCH(MOD('Map 2 Do Touch'!J39,4),$I$2:$L$2,0)),'Map 3'!$AJ$4:$AJ$6,0),MATCH(IF('Map 2 Do Touch'!I39&gt;4,"Water","Land"),'Map 3'!$AK$3:$AL$3,0))),IF('Map 2 Do Touch'!J39&gt;4,INDEX($AG$4:$AH$6,MATCH(INDEX($P$3:$S$6,MATCH(MOD('Map 2 Do Touch'!J38,4),$O$3:$O$6,0),MATCH(MOD('Map 2 Do Touch'!J39,4),$P$2:$S$2,0)),$AF$4:$AF$6,0),MATCH(IF('Map 2 Do Touch'!J38&gt;4,"Water","Land"),'Map 3'!$AG$3:$AH$3,0)),INDEX($AK$4:$AL$6,MATCH(INDEX($P$3:$S$6,MATCH(MOD('Map 2 Do Touch'!J38,4),$O$3:$O$6,0),MATCH(MOD('Map 2 Do Touch'!J39,4),$P$2:$S$2,0)),'Map 3'!$AJ$4:$AJ$6,0),MATCH(IF('Map 2 Do Touch'!J38&gt;4,"Water","Land"),'Map 3'!$AK$3:$AL$3,0))))</f>
        <v>Coast</v>
      </c>
      <c r="K43" s="3" t="str">
        <f ca="1">IF('Map 2 Do Touch'!J38&lt;&gt;'Map 2 Do Touch'!J39,IF('Map 2 Do Touch'!K39&gt;4,INDEX($AG$4:$AH$6,MATCH(INDEX($I$3:$L$6,MATCH(MOD('Map 2 Do Touch'!J39,4),$H$3:$H$6,0),MATCH(MOD('Map 2 Do Touch'!K39,4),$I$2:$L$2,0)),$AF$4:$AF$6,0),MATCH(IF('Map 2 Do Touch'!J39&gt;4,"Water","Land"),'Map 3'!$AG$3:$AH$3,0)),INDEX($AK$4:$AL$6,MATCH(INDEX($I$3:$L$6,MATCH(MOD('Map 2 Do Touch'!J39,4),$H$3:$H$6,0),MATCH(MOD('Map 2 Do Touch'!K39,4),$I$2:$L$2,0)),'Map 3'!$AJ$4:$AJ$6,0),MATCH(IF('Map 2 Do Touch'!J39&gt;4,"Water","Land"),'Map 3'!$AK$3:$AL$3,0))),IF('Map 2 Do Touch'!K39&gt;4,INDEX($AG$4:$AH$6,MATCH(INDEX($P$3:$S$6,MATCH(MOD('Map 2 Do Touch'!K38,4),$O$3:$O$6,0),MATCH(MOD('Map 2 Do Touch'!K39,4),$P$2:$S$2,0)),$AF$4:$AF$6,0),MATCH(IF('Map 2 Do Touch'!K38&gt;4,"Water","Land"),'Map 3'!$AG$3:$AH$3,0)),INDEX($AK$4:$AL$6,MATCH(INDEX($P$3:$S$6,MATCH(MOD('Map 2 Do Touch'!K38,4),$O$3:$O$6,0),MATCH(MOD('Map 2 Do Touch'!K39,4),$P$2:$S$2,0)),'Map 3'!$AJ$4:$AJ$6,0),MATCH(IF('Map 2 Do Touch'!K38&gt;4,"Water","Land"),'Map 3'!$AK$3:$AL$3,0))))</f>
        <v>Ocean</v>
      </c>
      <c r="L43" s="3" t="str">
        <f ca="1">IF('Map 2 Do Touch'!K38&lt;&gt;'Map 2 Do Touch'!K39,IF('Map 2 Do Touch'!L39&gt;4,INDEX($AG$4:$AH$6,MATCH(INDEX($I$3:$L$6,MATCH(MOD('Map 2 Do Touch'!K39,4),$H$3:$H$6,0),MATCH(MOD('Map 2 Do Touch'!L39,4),$I$2:$L$2,0)),$AF$4:$AF$6,0),MATCH(IF('Map 2 Do Touch'!K39&gt;4,"Water","Land"),'Map 3'!$AG$3:$AH$3,0)),INDEX($AK$4:$AL$6,MATCH(INDEX($I$3:$L$6,MATCH(MOD('Map 2 Do Touch'!K39,4),$H$3:$H$6,0),MATCH(MOD('Map 2 Do Touch'!L39,4),$I$2:$L$2,0)),'Map 3'!$AJ$4:$AJ$6,0),MATCH(IF('Map 2 Do Touch'!K39&gt;4,"Water","Land"),'Map 3'!$AK$3:$AL$3,0))),IF('Map 2 Do Touch'!L39&gt;4,INDEX($AG$4:$AH$6,MATCH(INDEX($P$3:$S$6,MATCH(MOD('Map 2 Do Touch'!L38,4),$O$3:$O$6,0),MATCH(MOD('Map 2 Do Touch'!L39,4),$P$2:$S$2,0)),$AF$4:$AF$6,0),MATCH(IF('Map 2 Do Touch'!L38&gt;4,"Water","Land"),'Map 3'!$AG$3:$AH$3,0)),INDEX($AK$4:$AL$6,MATCH(INDEX($P$3:$S$6,MATCH(MOD('Map 2 Do Touch'!L38,4),$O$3:$O$6,0),MATCH(MOD('Map 2 Do Touch'!L39,4),$P$2:$S$2,0)),'Map 3'!$AJ$4:$AJ$6,0),MATCH(IF('Map 2 Do Touch'!L38&gt;4,"Water","Land"),'Map 3'!$AK$3:$AL$3,0))))</f>
        <v>Ocean</v>
      </c>
      <c r="M43" s="3" t="str">
        <f ca="1">IF('Map 2 Do Touch'!L38&lt;&gt;'Map 2 Do Touch'!L39,IF('Map 2 Do Touch'!M39&gt;4,INDEX($AG$4:$AH$6,MATCH(INDEX($I$3:$L$6,MATCH(MOD('Map 2 Do Touch'!L39,4),$H$3:$H$6,0),MATCH(MOD('Map 2 Do Touch'!M39,4),$I$2:$L$2,0)),$AF$4:$AF$6,0),MATCH(IF('Map 2 Do Touch'!L39&gt;4,"Water","Land"),'Map 3'!$AG$3:$AH$3,0)),INDEX($AK$4:$AL$6,MATCH(INDEX($I$3:$L$6,MATCH(MOD('Map 2 Do Touch'!L39,4),$H$3:$H$6,0),MATCH(MOD('Map 2 Do Touch'!M39,4),$I$2:$L$2,0)),'Map 3'!$AJ$4:$AJ$6,0),MATCH(IF('Map 2 Do Touch'!L39&gt;4,"Water","Land"),'Map 3'!$AK$3:$AL$3,0))),IF('Map 2 Do Touch'!M39&gt;4,INDEX($AG$4:$AH$6,MATCH(INDEX($P$3:$S$6,MATCH(MOD('Map 2 Do Touch'!M38,4),$O$3:$O$6,0),MATCH(MOD('Map 2 Do Touch'!M39,4),$P$2:$S$2,0)),$AF$4:$AF$6,0),MATCH(IF('Map 2 Do Touch'!M38&gt;4,"Water","Land"),'Map 3'!$AG$3:$AH$3,0)),INDEX($AK$4:$AL$6,MATCH(INDEX($P$3:$S$6,MATCH(MOD('Map 2 Do Touch'!M38,4),$O$3:$O$6,0),MATCH(MOD('Map 2 Do Touch'!M39,4),$P$2:$S$2,0)),'Map 3'!$AJ$4:$AJ$6,0),MATCH(IF('Map 2 Do Touch'!M38&gt;4,"Water","Land"),'Map 3'!$AK$3:$AL$3,0))))</f>
        <v>Trench</v>
      </c>
      <c r="N43" s="3" t="str">
        <f ca="1">IF('Map 2 Do Touch'!M38&lt;&gt;'Map 2 Do Touch'!M39,IF('Map 2 Do Touch'!N39&gt;4,INDEX($AG$4:$AH$6,MATCH(INDEX($I$3:$L$6,MATCH(MOD('Map 2 Do Touch'!M39,4),$H$3:$H$6,0),MATCH(MOD('Map 2 Do Touch'!N39,4),$I$2:$L$2,0)),$AF$4:$AF$6,0),MATCH(IF('Map 2 Do Touch'!M39&gt;4,"Water","Land"),'Map 3'!$AG$3:$AH$3,0)),INDEX($AK$4:$AL$6,MATCH(INDEX($I$3:$L$6,MATCH(MOD('Map 2 Do Touch'!M39,4),$H$3:$H$6,0),MATCH(MOD('Map 2 Do Touch'!N39,4),$I$2:$L$2,0)),'Map 3'!$AJ$4:$AJ$6,0),MATCH(IF('Map 2 Do Touch'!M39&gt;4,"Water","Land"),'Map 3'!$AK$3:$AL$3,0))),IF('Map 2 Do Touch'!N39&gt;4,INDEX($AG$4:$AH$6,MATCH(INDEX($P$3:$S$6,MATCH(MOD('Map 2 Do Touch'!N38,4),$O$3:$O$6,0),MATCH(MOD('Map 2 Do Touch'!N39,4),$P$2:$S$2,0)),$AF$4:$AF$6,0),MATCH(IF('Map 2 Do Touch'!N38&gt;4,"Water","Land"),'Map 3'!$AG$3:$AH$3,0)),INDEX($AK$4:$AL$6,MATCH(INDEX($P$3:$S$6,MATCH(MOD('Map 2 Do Touch'!N38,4),$O$3:$O$6,0),MATCH(MOD('Map 2 Do Touch'!N39,4),$P$2:$S$2,0)),'Map 3'!$AJ$4:$AJ$6,0),MATCH(IF('Map 2 Do Touch'!N38&gt;4,"Water","Land"),'Map 3'!$AK$3:$AL$3,0))))</f>
        <v>Coast</v>
      </c>
      <c r="O43" s="3" t="str">
        <f ca="1">IF('Map 2 Do Touch'!N38&lt;&gt;'Map 2 Do Touch'!N39,IF('Map 2 Do Touch'!O39&gt;4,INDEX($AG$4:$AH$6,MATCH(INDEX($I$3:$L$6,MATCH(MOD('Map 2 Do Touch'!N39,4),$H$3:$H$6,0),MATCH(MOD('Map 2 Do Touch'!O39,4),$I$2:$L$2,0)),$AF$4:$AF$6,0),MATCH(IF('Map 2 Do Touch'!N39&gt;4,"Water","Land"),'Map 3'!$AG$3:$AH$3,0)),INDEX($AK$4:$AL$6,MATCH(INDEX($I$3:$L$6,MATCH(MOD('Map 2 Do Touch'!N39,4),$H$3:$H$6,0),MATCH(MOD('Map 2 Do Touch'!O39,4),$I$2:$L$2,0)),'Map 3'!$AJ$4:$AJ$6,0),MATCH(IF('Map 2 Do Touch'!N39&gt;4,"Water","Land"),'Map 3'!$AK$3:$AL$3,0))),IF('Map 2 Do Touch'!O39&gt;4,INDEX($AG$4:$AH$6,MATCH(INDEX($P$3:$S$6,MATCH(MOD('Map 2 Do Touch'!O38,4),$O$3:$O$6,0),MATCH(MOD('Map 2 Do Touch'!O39,4),$P$2:$S$2,0)),$AF$4:$AF$6,0),MATCH(IF('Map 2 Do Touch'!O38&gt;4,"Water","Land"),'Map 3'!$AG$3:$AH$3,0)),INDEX($AK$4:$AL$6,MATCH(INDEX($P$3:$S$6,MATCH(MOD('Map 2 Do Touch'!O38,4),$O$3:$O$6,0),MATCH(MOD('Map 2 Do Touch'!O39,4),$P$2:$S$2,0)),'Map 3'!$AJ$4:$AJ$6,0),MATCH(IF('Map 2 Do Touch'!O38&gt;4,"Water","Land"),'Map 3'!$AK$3:$AL$3,0))))</f>
        <v>Coast</v>
      </c>
      <c r="P43" s="3" t="str">
        <f ca="1">IF('Map 2 Do Touch'!O38&lt;&gt;'Map 2 Do Touch'!O39,IF('Map 2 Do Touch'!P39&gt;4,INDEX($AG$4:$AH$6,MATCH(INDEX($I$3:$L$6,MATCH(MOD('Map 2 Do Touch'!O39,4),$H$3:$H$6,0),MATCH(MOD('Map 2 Do Touch'!P39,4),$I$2:$L$2,0)),$AF$4:$AF$6,0),MATCH(IF('Map 2 Do Touch'!O39&gt;4,"Water","Land"),'Map 3'!$AG$3:$AH$3,0)),INDEX($AK$4:$AL$6,MATCH(INDEX($I$3:$L$6,MATCH(MOD('Map 2 Do Touch'!O39,4),$H$3:$H$6,0),MATCH(MOD('Map 2 Do Touch'!P39,4),$I$2:$L$2,0)),'Map 3'!$AJ$4:$AJ$6,0),MATCH(IF('Map 2 Do Touch'!O39&gt;4,"Water","Land"),'Map 3'!$AK$3:$AL$3,0))),IF('Map 2 Do Touch'!P39&gt;4,INDEX($AG$4:$AH$6,MATCH(INDEX($P$3:$S$6,MATCH(MOD('Map 2 Do Touch'!P38,4),$O$3:$O$6,0),MATCH(MOD('Map 2 Do Touch'!P39,4),$P$2:$S$2,0)),$AF$4:$AF$6,0),MATCH(IF('Map 2 Do Touch'!P38&gt;4,"Water","Land"),'Map 3'!$AG$3:$AH$3,0)),INDEX($AK$4:$AL$6,MATCH(INDEX($P$3:$S$6,MATCH(MOD('Map 2 Do Touch'!P38,4),$O$3:$O$6,0),MATCH(MOD('Map 2 Do Touch'!P39,4),$P$2:$S$2,0)),'Map 3'!$AJ$4:$AJ$6,0),MATCH(IF('Map 2 Do Touch'!P38&gt;4,"Water","Land"),'Map 3'!$AK$3:$AL$3,0))))</f>
        <v>Coast</v>
      </c>
      <c r="Q43" s="3" t="str">
        <f ca="1">IF('Map 2 Do Touch'!P38&lt;&gt;'Map 2 Do Touch'!P39,IF('Map 2 Do Touch'!Q39&gt;4,INDEX($AG$4:$AH$6,MATCH(INDEX($I$3:$L$6,MATCH(MOD('Map 2 Do Touch'!P39,4),$H$3:$H$6,0),MATCH(MOD('Map 2 Do Touch'!Q39,4),$I$2:$L$2,0)),$AF$4:$AF$6,0),MATCH(IF('Map 2 Do Touch'!P39&gt;4,"Water","Land"),'Map 3'!$AG$3:$AH$3,0)),INDEX($AK$4:$AL$6,MATCH(INDEX($I$3:$L$6,MATCH(MOD('Map 2 Do Touch'!P39,4),$H$3:$H$6,0),MATCH(MOD('Map 2 Do Touch'!Q39,4),$I$2:$L$2,0)),'Map 3'!$AJ$4:$AJ$6,0),MATCH(IF('Map 2 Do Touch'!P39&gt;4,"Water","Land"),'Map 3'!$AK$3:$AL$3,0))),IF('Map 2 Do Touch'!Q39&gt;4,INDEX($AG$4:$AH$6,MATCH(INDEX($P$3:$S$6,MATCH(MOD('Map 2 Do Touch'!Q38,4),$O$3:$O$6,0),MATCH(MOD('Map 2 Do Touch'!Q39,4),$P$2:$S$2,0)),$AF$4:$AF$6,0),MATCH(IF('Map 2 Do Touch'!Q38&gt;4,"Water","Land"),'Map 3'!$AG$3:$AH$3,0)),INDEX($AK$4:$AL$6,MATCH(INDEX($P$3:$S$6,MATCH(MOD('Map 2 Do Touch'!Q38,4),$O$3:$O$6,0),MATCH(MOD('Map 2 Do Touch'!Q39,4),$P$2:$S$2,0)),'Map 3'!$AJ$4:$AJ$6,0),MATCH(IF('Map 2 Do Touch'!Q38&gt;4,"Water","Land"),'Map 3'!$AK$3:$AL$3,0))))</f>
        <v>Coast</v>
      </c>
      <c r="R43" s="3" t="str">
        <f ca="1">IF('Map 2 Do Touch'!Q38&lt;&gt;'Map 2 Do Touch'!Q39,IF('Map 2 Do Touch'!R39&gt;4,INDEX($AG$4:$AH$6,MATCH(INDEX($I$3:$L$6,MATCH(MOD('Map 2 Do Touch'!Q39,4),$H$3:$H$6,0),MATCH(MOD('Map 2 Do Touch'!R39,4),$I$2:$L$2,0)),$AF$4:$AF$6,0),MATCH(IF('Map 2 Do Touch'!Q39&gt;4,"Water","Land"),'Map 3'!$AG$3:$AH$3,0)),INDEX($AK$4:$AL$6,MATCH(INDEX($I$3:$L$6,MATCH(MOD('Map 2 Do Touch'!Q39,4),$H$3:$H$6,0),MATCH(MOD('Map 2 Do Touch'!R39,4),$I$2:$L$2,0)),'Map 3'!$AJ$4:$AJ$6,0),MATCH(IF('Map 2 Do Touch'!Q39&gt;4,"Water","Land"),'Map 3'!$AK$3:$AL$3,0))),IF('Map 2 Do Touch'!R39&gt;4,INDEX($AG$4:$AH$6,MATCH(INDEX($P$3:$S$6,MATCH(MOD('Map 2 Do Touch'!R38,4),$O$3:$O$6,0),MATCH(MOD('Map 2 Do Touch'!R39,4),$P$2:$S$2,0)),$AF$4:$AF$6,0),MATCH(IF('Map 2 Do Touch'!R38&gt;4,"Water","Land"),'Map 3'!$AG$3:$AH$3,0)),INDEX($AK$4:$AL$6,MATCH(INDEX($P$3:$S$6,MATCH(MOD('Map 2 Do Touch'!R38,4),$O$3:$O$6,0),MATCH(MOD('Map 2 Do Touch'!R39,4),$P$2:$S$2,0)),'Map 3'!$AJ$4:$AJ$6,0),MATCH(IF('Map 2 Do Touch'!R38&gt;4,"Water","Land"),'Map 3'!$AK$3:$AL$3,0))))</f>
        <v>Trench</v>
      </c>
      <c r="S43" s="3" t="str">
        <f ca="1">IF('Map 2 Do Touch'!R38&lt;&gt;'Map 2 Do Touch'!R39,IF('Map 2 Do Touch'!S39&gt;4,INDEX($AG$4:$AH$6,MATCH(INDEX($I$3:$L$6,MATCH(MOD('Map 2 Do Touch'!R39,4),$H$3:$H$6,0),MATCH(MOD('Map 2 Do Touch'!S39,4),$I$2:$L$2,0)),$AF$4:$AF$6,0),MATCH(IF('Map 2 Do Touch'!R39&gt;4,"Water","Land"),'Map 3'!$AG$3:$AH$3,0)),INDEX($AK$4:$AL$6,MATCH(INDEX($I$3:$L$6,MATCH(MOD('Map 2 Do Touch'!R39,4),$H$3:$H$6,0),MATCH(MOD('Map 2 Do Touch'!S39,4),$I$2:$L$2,0)),'Map 3'!$AJ$4:$AJ$6,0),MATCH(IF('Map 2 Do Touch'!R39&gt;4,"Water","Land"),'Map 3'!$AK$3:$AL$3,0))),IF('Map 2 Do Touch'!S39&gt;4,INDEX($AG$4:$AH$6,MATCH(INDEX($P$3:$S$6,MATCH(MOD('Map 2 Do Touch'!S38,4),$O$3:$O$6,0),MATCH(MOD('Map 2 Do Touch'!S39,4),$P$2:$S$2,0)),$AF$4:$AF$6,0),MATCH(IF('Map 2 Do Touch'!S38&gt;4,"Water","Land"),'Map 3'!$AG$3:$AH$3,0)),INDEX($AK$4:$AL$6,MATCH(INDEX($P$3:$S$6,MATCH(MOD('Map 2 Do Touch'!S38,4),$O$3:$O$6,0),MATCH(MOD('Map 2 Do Touch'!S39,4),$P$2:$S$2,0)),'Map 3'!$AJ$4:$AJ$6,0),MATCH(IF('Map 2 Do Touch'!S38&gt;4,"Water","Land"),'Map 3'!$AK$3:$AL$3,0))))</f>
        <v>Ocean</v>
      </c>
      <c r="T43" s="3" t="str">
        <f ca="1">IF('Map 2 Do Touch'!S38&lt;&gt;'Map 2 Do Touch'!S39,IF('Map 2 Do Touch'!T39&gt;4,INDEX($AG$4:$AH$6,MATCH(INDEX($I$3:$L$6,MATCH(MOD('Map 2 Do Touch'!S39,4),$H$3:$H$6,0),MATCH(MOD('Map 2 Do Touch'!T39,4),$I$2:$L$2,0)),$AF$4:$AF$6,0),MATCH(IF('Map 2 Do Touch'!S39&gt;4,"Water","Land"),'Map 3'!$AG$3:$AH$3,0)),INDEX($AK$4:$AL$6,MATCH(INDEX($I$3:$L$6,MATCH(MOD('Map 2 Do Touch'!S39,4),$H$3:$H$6,0),MATCH(MOD('Map 2 Do Touch'!T39,4),$I$2:$L$2,0)),'Map 3'!$AJ$4:$AJ$6,0),MATCH(IF('Map 2 Do Touch'!S39&gt;4,"Water","Land"),'Map 3'!$AK$3:$AL$3,0))),IF('Map 2 Do Touch'!T39&gt;4,INDEX($AG$4:$AH$6,MATCH(INDEX($P$3:$S$6,MATCH(MOD('Map 2 Do Touch'!T38,4),$O$3:$O$6,0),MATCH(MOD('Map 2 Do Touch'!T39,4),$P$2:$S$2,0)),$AF$4:$AF$6,0),MATCH(IF('Map 2 Do Touch'!T38&gt;4,"Water","Land"),'Map 3'!$AG$3:$AH$3,0)),INDEX($AK$4:$AL$6,MATCH(INDEX($P$3:$S$6,MATCH(MOD('Map 2 Do Touch'!T38,4),$O$3:$O$6,0),MATCH(MOD('Map 2 Do Touch'!T39,4),$P$2:$S$2,0)),'Map 3'!$AJ$4:$AJ$6,0),MATCH(IF('Map 2 Do Touch'!T38&gt;4,"Water","Land"),'Map 3'!$AK$3:$AL$3,0))))</f>
        <v>Ocean</v>
      </c>
      <c r="U43" s="3" t="str">
        <f ca="1">IF('Map 2 Do Touch'!T38&lt;&gt;'Map 2 Do Touch'!T39,IF('Map 2 Do Touch'!U39&gt;4,INDEX($AG$4:$AH$6,MATCH(INDEX($I$3:$L$6,MATCH(MOD('Map 2 Do Touch'!T39,4),$H$3:$H$6,0),MATCH(MOD('Map 2 Do Touch'!U39,4),$I$2:$L$2,0)),$AF$4:$AF$6,0),MATCH(IF('Map 2 Do Touch'!T39&gt;4,"Water","Land"),'Map 3'!$AG$3:$AH$3,0)),INDEX($AK$4:$AL$6,MATCH(INDEX($I$3:$L$6,MATCH(MOD('Map 2 Do Touch'!T39,4),$H$3:$H$6,0),MATCH(MOD('Map 2 Do Touch'!U39,4),$I$2:$L$2,0)),'Map 3'!$AJ$4:$AJ$6,0),MATCH(IF('Map 2 Do Touch'!T39&gt;4,"Water","Land"),'Map 3'!$AK$3:$AL$3,0))),IF('Map 2 Do Touch'!U39&gt;4,INDEX($AG$4:$AH$6,MATCH(INDEX($P$3:$S$6,MATCH(MOD('Map 2 Do Touch'!U38,4),$O$3:$O$6,0),MATCH(MOD('Map 2 Do Touch'!U39,4),$P$2:$S$2,0)),$AF$4:$AF$6,0),MATCH(IF('Map 2 Do Touch'!U38&gt;4,"Water","Land"),'Map 3'!$AG$3:$AH$3,0)),INDEX($AK$4:$AL$6,MATCH(INDEX($P$3:$S$6,MATCH(MOD('Map 2 Do Touch'!U38,4),$O$3:$O$6,0),MATCH(MOD('Map 2 Do Touch'!U39,4),$P$2:$S$2,0)),'Map 3'!$AJ$4:$AJ$6,0),MATCH(IF('Map 2 Do Touch'!U38&gt;4,"Water","Land"),'Map 3'!$AK$3:$AL$3,0))))</f>
        <v>Trench</v>
      </c>
      <c r="V43" s="3" t="str">
        <f ca="1">IF('Map 2 Do Touch'!U38&lt;&gt;'Map 2 Do Touch'!U39,IF('Map 2 Do Touch'!V39&gt;4,INDEX($AG$4:$AH$6,MATCH(INDEX($I$3:$L$6,MATCH(MOD('Map 2 Do Touch'!U39,4),$H$3:$H$6,0),MATCH(MOD('Map 2 Do Touch'!V39,4),$I$2:$L$2,0)),$AF$4:$AF$6,0),MATCH(IF('Map 2 Do Touch'!U39&gt;4,"Water","Land"),'Map 3'!$AG$3:$AH$3,0)),INDEX($AK$4:$AL$6,MATCH(INDEX($I$3:$L$6,MATCH(MOD('Map 2 Do Touch'!U39,4),$H$3:$H$6,0),MATCH(MOD('Map 2 Do Touch'!V39,4),$I$2:$L$2,0)),'Map 3'!$AJ$4:$AJ$6,0),MATCH(IF('Map 2 Do Touch'!U39&gt;4,"Water","Land"),'Map 3'!$AK$3:$AL$3,0))),IF('Map 2 Do Touch'!V39&gt;4,INDEX($AG$4:$AH$6,MATCH(INDEX($P$3:$S$6,MATCH(MOD('Map 2 Do Touch'!V38,4),$O$3:$O$6,0),MATCH(MOD('Map 2 Do Touch'!V39,4),$P$2:$S$2,0)),$AF$4:$AF$6,0),MATCH(IF('Map 2 Do Touch'!V38&gt;4,"Water","Land"),'Map 3'!$AG$3:$AH$3,0)),INDEX($AK$4:$AL$6,MATCH(INDEX($P$3:$S$6,MATCH(MOD('Map 2 Do Touch'!V38,4),$O$3:$O$6,0),MATCH(MOD('Map 2 Do Touch'!V39,4),$P$2:$S$2,0)),'Map 3'!$AJ$4:$AJ$6,0),MATCH(IF('Map 2 Do Touch'!V38&gt;4,"Water","Land"),'Map 3'!$AK$3:$AL$3,0))))</f>
        <v>Ocean</v>
      </c>
      <c r="W43" s="3" t="str">
        <f ca="1">IF('Map 2 Do Touch'!V38&lt;&gt;'Map 2 Do Touch'!V39,IF('Map 2 Do Touch'!W39&gt;4,INDEX($AG$4:$AH$6,MATCH(INDEX($I$3:$L$6,MATCH(MOD('Map 2 Do Touch'!V39,4),$H$3:$H$6,0),MATCH(MOD('Map 2 Do Touch'!W39,4),$I$2:$L$2,0)),$AF$4:$AF$6,0),MATCH(IF('Map 2 Do Touch'!V39&gt;4,"Water","Land"),'Map 3'!$AG$3:$AH$3,0)),INDEX($AK$4:$AL$6,MATCH(INDEX($I$3:$L$6,MATCH(MOD('Map 2 Do Touch'!V39,4),$H$3:$H$6,0),MATCH(MOD('Map 2 Do Touch'!W39,4),$I$2:$L$2,0)),'Map 3'!$AJ$4:$AJ$6,0),MATCH(IF('Map 2 Do Touch'!V39&gt;4,"Water","Land"),'Map 3'!$AK$3:$AL$3,0))),IF('Map 2 Do Touch'!W39&gt;4,INDEX($AG$4:$AH$6,MATCH(INDEX($P$3:$S$6,MATCH(MOD('Map 2 Do Touch'!W38,4),$O$3:$O$6,0),MATCH(MOD('Map 2 Do Touch'!W39,4),$P$2:$S$2,0)),$AF$4:$AF$6,0),MATCH(IF('Map 2 Do Touch'!W38&gt;4,"Water","Land"),'Map 3'!$AG$3:$AH$3,0)),INDEX($AK$4:$AL$6,MATCH(INDEX($P$3:$S$6,MATCH(MOD('Map 2 Do Touch'!W38,4),$O$3:$O$6,0),MATCH(MOD('Map 2 Do Touch'!W39,4),$P$2:$S$2,0)),'Map 3'!$AJ$4:$AJ$6,0),MATCH(IF('Map 2 Do Touch'!W38&gt;4,"Water","Land"),'Map 3'!$AK$3:$AL$3,0))))</f>
        <v>Ocean</v>
      </c>
      <c r="X43" s="3" t="str">
        <f ca="1">IF('Map 2 Do Touch'!W38&lt;&gt;'Map 2 Do Touch'!W39,IF('Map 2 Do Touch'!X39&gt;4,INDEX($AG$4:$AH$6,MATCH(INDEX($I$3:$L$6,MATCH(MOD('Map 2 Do Touch'!W39,4),$H$3:$H$6,0),MATCH(MOD('Map 2 Do Touch'!X39,4),$I$2:$L$2,0)),$AF$4:$AF$6,0),MATCH(IF('Map 2 Do Touch'!W39&gt;4,"Water","Land"),'Map 3'!$AG$3:$AH$3,0)),INDEX($AK$4:$AL$6,MATCH(INDEX($I$3:$L$6,MATCH(MOD('Map 2 Do Touch'!W39,4),$H$3:$H$6,0),MATCH(MOD('Map 2 Do Touch'!X39,4),$I$2:$L$2,0)),'Map 3'!$AJ$4:$AJ$6,0),MATCH(IF('Map 2 Do Touch'!W39&gt;4,"Water","Land"),'Map 3'!$AK$3:$AL$3,0))),IF('Map 2 Do Touch'!X39&gt;4,INDEX($AG$4:$AH$6,MATCH(INDEX($P$3:$S$6,MATCH(MOD('Map 2 Do Touch'!X38,4),$O$3:$O$6,0),MATCH(MOD('Map 2 Do Touch'!X39,4),$P$2:$S$2,0)),$AF$4:$AF$6,0),MATCH(IF('Map 2 Do Touch'!X38&gt;4,"Water","Land"),'Map 3'!$AG$3:$AH$3,0)),INDEX($AK$4:$AL$6,MATCH(INDEX($P$3:$S$6,MATCH(MOD('Map 2 Do Touch'!X38,4),$O$3:$O$6,0),MATCH(MOD('Map 2 Do Touch'!X39,4),$P$2:$S$2,0)),'Map 3'!$AJ$4:$AJ$6,0),MATCH(IF('Map 2 Do Touch'!X38&gt;4,"Water","Land"),'Map 3'!$AK$3:$AL$3,0))))</f>
        <v>Ocean</v>
      </c>
      <c r="Y43" s="3" t="str">
        <f ca="1">IF('Map 2 Do Touch'!X38&lt;&gt;'Map 2 Do Touch'!X39,IF('Map 2 Do Touch'!Y39&gt;4,INDEX($AG$4:$AH$6,MATCH(INDEX($I$3:$L$6,MATCH(MOD('Map 2 Do Touch'!X39,4),$H$3:$H$6,0),MATCH(MOD('Map 2 Do Touch'!Y39,4),$I$2:$L$2,0)),$AF$4:$AF$6,0),MATCH(IF('Map 2 Do Touch'!X39&gt;4,"Water","Land"),'Map 3'!$AG$3:$AH$3,0)),INDEX($AK$4:$AL$6,MATCH(INDEX($I$3:$L$6,MATCH(MOD('Map 2 Do Touch'!X39,4),$H$3:$H$6,0),MATCH(MOD('Map 2 Do Touch'!Y39,4),$I$2:$L$2,0)),'Map 3'!$AJ$4:$AJ$6,0),MATCH(IF('Map 2 Do Touch'!X39&gt;4,"Water","Land"),'Map 3'!$AK$3:$AL$3,0))),IF('Map 2 Do Touch'!Y39&gt;4,INDEX($AG$4:$AH$6,MATCH(INDEX($P$3:$S$6,MATCH(MOD('Map 2 Do Touch'!Y38,4),$O$3:$O$6,0),MATCH(MOD('Map 2 Do Touch'!Y39,4),$P$2:$S$2,0)),$AF$4:$AF$6,0),MATCH(IF('Map 2 Do Touch'!Y38&gt;4,"Water","Land"),'Map 3'!$AG$3:$AH$3,0)),INDEX($AK$4:$AL$6,MATCH(INDEX($P$3:$S$6,MATCH(MOD('Map 2 Do Touch'!Y38,4),$O$3:$O$6,0),MATCH(MOD('Map 2 Do Touch'!Y39,4),$P$2:$S$2,0)),'Map 3'!$AJ$4:$AJ$6,0),MATCH(IF('Map 2 Do Touch'!Y38&gt;4,"Water","Land"),'Map 3'!$AK$3:$AL$3,0))))</f>
        <v>Ocean</v>
      </c>
      <c r="Z43" s="3" t="str">
        <f ca="1">IF('Map 2 Do Touch'!Y38&lt;&gt;'Map 2 Do Touch'!Y39,IF('Map 2 Do Touch'!Z39&gt;4,INDEX($AG$4:$AH$6,MATCH(INDEX($I$3:$L$6,MATCH(MOD('Map 2 Do Touch'!Y39,4),$H$3:$H$6,0),MATCH(MOD('Map 2 Do Touch'!Z39,4),$I$2:$L$2,0)),$AF$4:$AF$6,0),MATCH(IF('Map 2 Do Touch'!Y39&gt;4,"Water","Land"),'Map 3'!$AG$3:$AH$3,0)),INDEX($AK$4:$AL$6,MATCH(INDEX($I$3:$L$6,MATCH(MOD('Map 2 Do Touch'!Y39,4),$H$3:$H$6,0),MATCH(MOD('Map 2 Do Touch'!Z39,4),$I$2:$L$2,0)),'Map 3'!$AJ$4:$AJ$6,0),MATCH(IF('Map 2 Do Touch'!Y39&gt;4,"Water","Land"),'Map 3'!$AK$3:$AL$3,0))),IF('Map 2 Do Touch'!Z39&gt;4,INDEX($AG$4:$AH$6,MATCH(INDEX($P$3:$S$6,MATCH(MOD('Map 2 Do Touch'!Z38,4),$O$3:$O$6,0),MATCH(MOD('Map 2 Do Touch'!Z39,4),$P$2:$S$2,0)),$AF$4:$AF$6,0),MATCH(IF('Map 2 Do Touch'!Z38&gt;4,"Water","Land"),'Map 3'!$AG$3:$AH$3,0)),INDEX($AK$4:$AL$6,MATCH(INDEX($P$3:$S$6,MATCH(MOD('Map 2 Do Touch'!Z38,4),$O$3:$O$6,0),MATCH(MOD('Map 2 Do Touch'!Z39,4),$P$2:$S$2,0)),'Map 3'!$AJ$4:$AJ$6,0),MATCH(IF('Map 2 Do Touch'!Z38&gt;4,"Water","Land"),'Map 3'!$AK$3:$AL$3,0))))</f>
        <v>Island</v>
      </c>
      <c r="AA43" s="3" t="str">
        <f ca="1">IF('Map 2 Do Touch'!Z38&lt;&gt;'Map 2 Do Touch'!Z39,IF('Map 2 Do Touch'!AA39&gt;4,INDEX($AG$4:$AH$6,MATCH(INDEX($I$3:$L$6,MATCH(MOD('Map 2 Do Touch'!Z39,4),$H$3:$H$6,0),MATCH(MOD('Map 2 Do Touch'!AA39,4),$I$2:$L$2,0)),$AF$4:$AF$6,0),MATCH(IF('Map 2 Do Touch'!Z39&gt;4,"Water","Land"),'Map 3'!$AG$3:$AH$3,0)),INDEX($AK$4:$AL$6,MATCH(INDEX($I$3:$L$6,MATCH(MOD('Map 2 Do Touch'!Z39,4),$H$3:$H$6,0),MATCH(MOD('Map 2 Do Touch'!AA39,4),$I$2:$L$2,0)),'Map 3'!$AJ$4:$AJ$6,0),MATCH(IF('Map 2 Do Touch'!Z39&gt;4,"Water","Land"),'Map 3'!$AK$3:$AL$3,0))),IF('Map 2 Do Touch'!AA39&gt;4,INDEX($AG$4:$AH$6,MATCH(INDEX($P$3:$S$6,MATCH(MOD('Map 2 Do Touch'!AA38,4),$O$3:$O$6,0),MATCH(MOD('Map 2 Do Touch'!AA39,4),$P$2:$S$2,0)),$AF$4:$AF$6,0),MATCH(IF('Map 2 Do Touch'!AA38&gt;4,"Water","Land"),'Map 3'!$AG$3:$AH$3,0)),INDEX($AK$4:$AL$6,MATCH(INDEX($P$3:$S$6,MATCH(MOD('Map 2 Do Touch'!AA38,4),$O$3:$O$6,0),MATCH(MOD('Map 2 Do Touch'!AA39,4),$P$2:$S$2,0)),'Map 3'!$AJ$4:$AJ$6,0),MATCH(IF('Map 2 Do Touch'!AA38&gt;4,"Water","Land"),'Map 3'!$AK$3:$AL$3,0))))</f>
        <v>Ocean</v>
      </c>
      <c r="AB43" s="3" t="str">
        <f ca="1">IF('Map 2 Do Touch'!AA38&lt;&gt;'Map 2 Do Touch'!AA39,IF('Map 2 Do Touch'!AB39&gt;4,INDEX($AG$4:$AH$6,MATCH(INDEX($I$3:$L$6,MATCH(MOD('Map 2 Do Touch'!AA39,4),$H$3:$H$6,0),MATCH(MOD('Map 2 Do Touch'!AB39,4),$I$2:$L$2,0)),$AF$4:$AF$6,0),MATCH(IF('Map 2 Do Touch'!AA39&gt;4,"Water","Land"),'Map 3'!$AG$3:$AH$3,0)),INDEX($AK$4:$AL$6,MATCH(INDEX($I$3:$L$6,MATCH(MOD('Map 2 Do Touch'!AA39,4),$H$3:$H$6,0),MATCH(MOD('Map 2 Do Touch'!AB39,4),$I$2:$L$2,0)),'Map 3'!$AJ$4:$AJ$6,0),MATCH(IF('Map 2 Do Touch'!AA39&gt;4,"Water","Land"),'Map 3'!$AK$3:$AL$3,0))),IF('Map 2 Do Touch'!AB39&gt;4,INDEX($AG$4:$AH$6,MATCH(INDEX($P$3:$S$6,MATCH(MOD('Map 2 Do Touch'!AB38,4),$O$3:$O$6,0),MATCH(MOD('Map 2 Do Touch'!AB39,4),$P$2:$S$2,0)),$AF$4:$AF$6,0),MATCH(IF('Map 2 Do Touch'!AB38&gt;4,"Water","Land"),'Map 3'!$AG$3:$AH$3,0)),INDEX($AK$4:$AL$6,MATCH(INDEX($P$3:$S$6,MATCH(MOD('Map 2 Do Touch'!AB38,4),$O$3:$O$6,0),MATCH(MOD('Map 2 Do Touch'!AB39,4),$P$2:$S$2,0)),'Map 3'!$AJ$4:$AJ$6,0),MATCH(IF('Map 2 Do Touch'!AB38&gt;4,"Water","Land"),'Map 3'!$AK$3:$AL$3,0))))</f>
        <v>Ocean</v>
      </c>
      <c r="AC43" s="3" t="str">
        <f ca="1">IF('Map 2 Do Touch'!AB38&lt;&gt;'Map 2 Do Touch'!AB39,IF('Map 2 Do Touch'!AC39&gt;4,INDEX($AG$4:$AH$6,MATCH(INDEX($I$3:$L$6,MATCH(MOD('Map 2 Do Touch'!AB39,4),$H$3:$H$6,0),MATCH(MOD('Map 2 Do Touch'!AC39,4),$I$2:$L$2,0)),$AF$4:$AF$6,0),MATCH(IF('Map 2 Do Touch'!AB39&gt;4,"Water","Land"),'Map 3'!$AG$3:$AH$3,0)),INDEX($AK$4:$AL$6,MATCH(INDEX($I$3:$L$6,MATCH(MOD('Map 2 Do Touch'!AB39,4),$H$3:$H$6,0),MATCH(MOD('Map 2 Do Touch'!AC39,4),$I$2:$L$2,0)),'Map 3'!$AJ$4:$AJ$6,0),MATCH(IF('Map 2 Do Touch'!AB39&gt;4,"Water","Land"),'Map 3'!$AK$3:$AL$3,0))),IF('Map 2 Do Touch'!AC39&gt;4,INDEX($AG$4:$AH$6,MATCH(INDEX($P$3:$S$6,MATCH(MOD('Map 2 Do Touch'!AC38,4),$O$3:$O$6,0),MATCH(MOD('Map 2 Do Touch'!AC39,4),$P$2:$S$2,0)),$AF$4:$AF$6,0),MATCH(IF('Map 2 Do Touch'!AC38&gt;4,"Water","Land"),'Map 3'!$AG$3:$AH$3,0)),INDEX($AK$4:$AL$6,MATCH(INDEX($P$3:$S$6,MATCH(MOD('Map 2 Do Touch'!AC38,4),$O$3:$O$6,0),MATCH(MOD('Map 2 Do Touch'!AC39,4),$P$2:$S$2,0)),'Map 3'!$AJ$4:$AJ$6,0),MATCH(IF('Map 2 Do Touch'!AC38&gt;4,"Water","Land"),'Map 3'!$AK$3:$AL$3,0))))</f>
        <v>Island</v>
      </c>
      <c r="AD43" s="3" t="str">
        <f ca="1">IF('Map 2 Do Touch'!AC38&lt;&gt;'Map 2 Do Touch'!AC39,IF('Map 2 Do Touch'!AD39&gt;4,INDEX($AG$4:$AH$6,MATCH(INDEX($I$3:$L$6,MATCH(MOD('Map 2 Do Touch'!AC39,4),$H$3:$H$6,0),MATCH(MOD('Map 2 Do Touch'!AD39,4),$I$2:$L$2,0)),$AF$4:$AF$6,0),MATCH(IF('Map 2 Do Touch'!AC39&gt;4,"Water","Land"),'Map 3'!$AG$3:$AH$3,0)),INDEX($AK$4:$AL$6,MATCH(INDEX($I$3:$L$6,MATCH(MOD('Map 2 Do Touch'!AC39,4),$H$3:$H$6,0),MATCH(MOD('Map 2 Do Touch'!AD39,4),$I$2:$L$2,0)),'Map 3'!$AJ$4:$AJ$6,0),MATCH(IF('Map 2 Do Touch'!AC39&gt;4,"Water","Land"),'Map 3'!$AK$3:$AL$3,0))),IF('Map 2 Do Touch'!AD39&gt;4,INDEX($AG$4:$AH$6,MATCH(INDEX($P$3:$S$6,MATCH(MOD('Map 2 Do Touch'!AD38,4),$O$3:$O$6,0),MATCH(MOD('Map 2 Do Touch'!AD39,4),$P$2:$S$2,0)),$AF$4:$AF$6,0),MATCH(IF('Map 2 Do Touch'!AD38&gt;4,"Water","Land"),'Map 3'!$AG$3:$AH$3,0)),INDEX($AK$4:$AL$6,MATCH(INDEX($P$3:$S$6,MATCH(MOD('Map 2 Do Touch'!AD38,4),$O$3:$O$6,0),MATCH(MOD('Map 2 Do Touch'!AD39,4),$P$2:$S$2,0)),'Map 3'!$AJ$4:$AJ$6,0),MATCH(IF('Map 2 Do Touch'!AD38&gt;4,"Water","Land"),'Map 3'!$AK$3:$AL$3,0))))</f>
        <v>Ocean</v>
      </c>
      <c r="AE43" s="3" t="str">
        <f ca="1">IF('Map 2 Do Touch'!AD38&lt;&gt;'Map 2 Do Touch'!AD39,IF('Map 2 Do Touch'!AE39&gt;4,INDEX($AG$4:$AH$6,MATCH(INDEX($I$3:$L$6,MATCH(MOD('Map 2 Do Touch'!AD39,4),$H$3:$H$6,0),MATCH(MOD('Map 2 Do Touch'!AE39,4),$I$2:$L$2,0)),$AF$4:$AF$6,0),MATCH(IF('Map 2 Do Touch'!AD39&gt;4,"Water","Land"),'Map 3'!$AG$3:$AH$3,0)),INDEX($AK$4:$AL$6,MATCH(INDEX($I$3:$L$6,MATCH(MOD('Map 2 Do Touch'!AD39,4),$H$3:$H$6,0),MATCH(MOD('Map 2 Do Touch'!AE39,4),$I$2:$L$2,0)),'Map 3'!$AJ$4:$AJ$6,0),MATCH(IF('Map 2 Do Touch'!AD39&gt;4,"Water","Land"),'Map 3'!$AK$3:$AL$3,0))),IF('Map 2 Do Touch'!AE39&gt;4,INDEX($AG$4:$AH$6,MATCH(INDEX($P$3:$S$6,MATCH(MOD('Map 2 Do Touch'!AE38,4),$O$3:$O$6,0),MATCH(MOD('Map 2 Do Touch'!AE39,4),$P$2:$S$2,0)),$AF$4:$AF$6,0),MATCH(IF('Map 2 Do Touch'!AE38&gt;4,"Water","Land"),'Map 3'!$AG$3:$AH$3,0)),INDEX($AK$4:$AL$6,MATCH(INDEX($P$3:$S$6,MATCH(MOD('Map 2 Do Touch'!AE38,4),$O$3:$O$6,0),MATCH(MOD('Map 2 Do Touch'!AE39,4),$P$2:$S$2,0)),'Map 3'!$AJ$4:$AJ$6,0),MATCH(IF('Map 2 Do Touch'!AE38&gt;4,"Water","Land"),'Map 3'!$AK$3:$AL$3,0))))</f>
        <v>Island</v>
      </c>
      <c r="AF43" s="3" t="str">
        <f ca="1">IF('Map 2 Do Touch'!AE38&lt;&gt;'Map 2 Do Touch'!AE39,IF('Map 2 Do Touch'!AF39&gt;4,INDEX($AG$4:$AH$6,MATCH(INDEX($I$3:$L$6,MATCH(MOD('Map 2 Do Touch'!AE39,4),$H$3:$H$6,0),MATCH(MOD('Map 2 Do Touch'!AF39,4),$I$2:$L$2,0)),$AF$4:$AF$6,0),MATCH(IF('Map 2 Do Touch'!AE39&gt;4,"Water","Land"),'Map 3'!$AG$3:$AH$3,0)),INDEX($AK$4:$AL$6,MATCH(INDEX($I$3:$L$6,MATCH(MOD('Map 2 Do Touch'!AE39,4),$H$3:$H$6,0),MATCH(MOD('Map 2 Do Touch'!AF39,4),$I$2:$L$2,0)),'Map 3'!$AJ$4:$AJ$6,0),MATCH(IF('Map 2 Do Touch'!AE39&gt;4,"Water","Land"),'Map 3'!$AK$3:$AL$3,0))),IF('Map 2 Do Touch'!AF39&gt;4,INDEX($AG$4:$AH$6,MATCH(INDEX($P$3:$S$6,MATCH(MOD('Map 2 Do Touch'!AF38,4),$O$3:$O$6,0),MATCH(MOD('Map 2 Do Touch'!AF39,4),$P$2:$S$2,0)),$AF$4:$AF$6,0),MATCH(IF('Map 2 Do Touch'!AF38&gt;4,"Water","Land"),'Map 3'!$AG$3:$AH$3,0)),INDEX($AK$4:$AL$6,MATCH(INDEX($P$3:$S$6,MATCH(MOD('Map 2 Do Touch'!AF38,4),$O$3:$O$6,0),MATCH(MOD('Map 2 Do Touch'!AF39,4),$P$2:$S$2,0)),'Map 3'!$AJ$4:$AJ$6,0),MATCH(IF('Map 2 Do Touch'!AF38&gt;4,"Water","Land"),'Map 3'!$AK$3:$AL$3,0))))</f>
        <v>Island</v>
      </c>
      <c r="AG43" s="3" t="str">
        <f ca="1">IF('Map 2 Do Touch'!AF38&lt;&gt;'Map 2 Do Touch'!AF39,IF('Map 2 Do Touch'!AG39&gt;4,INDEX($AG$4:$AH$6,MATCH(INDEX($I$3:$L$6,MATCH(MOD('Map 2 Do Touch'!AF39,4),$H$3:$H$6,0),MATCH(MOD('Map 2 Do Touch'!AG39,4),$I$2:$L$2,0)),$AF$4:$AF$6,0),MATCH(IF('Map 2 Do Touch'!AF39&gt;4,"Water","Land"),'Map 3'!$AG$3:$AH$3,0)),INDEX($AK$4:$AL$6,MATCH(INDEX($I$3:$L$6,MATCH(MOD('Map 2 Do Touch'!AF39,4),$H$3:$H$6,0),MATCH(MOD('Map 2 Do Touch'!AG39,4),$I$2:$L$2,0)),'Map 3'!$AJ$4:$AJ$6,0),MATCH(IF('Map 2 Do Touch'!AF39&gt;4,"Water","Land"),'Map 3'!$AK$3:$AL$3,0))),IF('Map 2 Do Touch'!AG39&gt;4,INDEX($AG$4:$AH$6,MATCH(INDEX($P$3:$S$6,MATCH(MOD('Map 2 Do Touch'!AG38,4),$O$3:$O$6,0),MATCH(MOD('Map 2 Do Touch'!AG39,4),$P$2:$S$2,0)),$AF$4:$AF$6,0),MATCH(IF('Map 2 Do Touch'!AG38&gt;4,"Water","Land"),'Map 3'!$AG$3:$AH$3,0)),INDEX($AK$4:$AL$6,MATCH(INDEX($P$3:$S$6,MATCH(MOD('Map 2 Do Touch'!AG38,4),$O$3:$O$6,0),MATCH(MOD('Map 2 Do Touch'!AG39,4),$P$2:$S$2,0)),'Map 3'!$AJ$4:$AJ$6,0),MATCH(IF('Map 2 Do Touch'!AG38&gt;4,"Water","Land"),'Map 3'!$AK$3:$AL$3,0))))</f>
        <v>Trench</v>
      </c>
      <c r="AH43" s="3" t="str">
        <f ca="1">IF('Map 2 Do Touch'!AG38&lt;&gt;'Map 2 Do Touch'!AG39,IF('Map 2 Do Touch'!AH39&gt;4,INDEX($AG$4:$AH$6,MATCH(INDEX($I$3:$L$6,MATCH(MOD('Map 2 Do Touch'!AG39,4),$H$3:$H$6,0),MATCH(MOD('Map 2 Do Touch'!AH39,4),$I$2:$L$2,0)),$AF$4:$AF$6,0),MATCH(IF('Map 2 Do Touch'!AG39&gt;4,"Water","Land"),'Map 3'!$AG$3:$AH$3,0)),INDEX($AK$4:$AL$6,MATCH(INDEX($I$3:$L$6,MATCH(MOD('Map 2 Do Touch'!AG39,4),$H$3:$H$6,0),MATCH(MOD('Map 2 Do Touch'!AH39,4),$I$2:$L$2,0)),'Map 3'!$AJ$4:$AJ$6,0),MATCH(IF('Map 2 Do Touch'!AG39&gt;4,"Water","Land"),'Map 3'!$AK$3:$AL$3,0))),IF('Map 2 Do Touch'!AH39&gt;4,INDEX($AG$4:$AH$6,MATCH(INDEX($P$3:$S$6,MATCH(MOD('Map 2 Do Touch'!AH38,4),$O$3:$O$6,0),MATCH(MOD('Map 2 Do Touch'!AH39,4),$P$2:$S$2,0)),$AF$4:$AF$6,0),MATCH(IF('Map 2 Do Touch'!AH38&gt;4,"Water","Land"),'Map 3'!$AG$3:$AH$3,0)),INDEX($AK$4:$AL$6,MATCH(INDEX($P$3:$S$6,MATCH(MOD('Map 2 Do Touch'!AH38,4),$O$3:$O$6,0),MATCH(MOD('Map 2 Do Touch'!AH39,4),$P$2:$S$2,0)),'Map 3'!$AJ$4:$AJ$6,0),MATCH(IF('Map 2 Do Touch'!AH38&gt;4,"Water","Land"),'Map 3'!$AK$3:$AL$3,0))))</f>
        <v>Ocean</v>
      </c>
      <c r="AI43" s="3" t="str">
        <f ca="1">IF('Map 2 Do Touch'!AH38&lt;&gt;'Map 2 Do Touch'!AH39,IF('Map 2 Do Touch'!AI39&gt;4,INDEX($AG$4:$AH$6,MATCH(INDEX($I$3:$L$6,MATCH(MOD('Map 2 Do Touch'!AH39,4),$H$3:$H$6,0),MATCH(MOD('Map 2 Do Touch'!AI39,4),$I$2:$L$2,0)),$AF$4:$AF$6,0),MATCH(IF('Map 2 Do Touch'!AH39&gt;4,"Water","Land"),'Map 3'!$AG$3:$AH$3,0)),INDEX($AK$4:$AL$6,MATCH(INDEX($I$3:$L$6,MATCH(MOD('Map 2 Do Touch'!AH39,4),$H$3:$H$6,0),MATCH(MOD('Map 2 Do Touch'!AI39,4),$I$2:$L$2,0)),'Map 3'!$AJ$4:$AJ$6,0),MATCH(IF('Map 2 Do Touch'!AH39&gt;4,"Water","Land"),'Map 3'!$AK$3:$AL$3,0))),IF('Map 2 Do Touch'!AI39&gt;4,INDEX($AG$4:$AH$6,MATCH(INDEX($P$3:$S$6,MATCH(MOD('Map 2 Do Touch'!AI38,4),$O$3:$O$6,0),MATCH(MOD('Map 2 Do Touch'!AI39,4),$P$2:$S$2,0)),$AF$4:$AF$6,0),MATCH(IF('Map 2 Do Touch'!AI38&gt;4,"Water","Land"),'Map 3'!$AG$3:$AH$3,0)),INDEX($AK$4:$AL$6,MATCH(INDEX($P$3:$S$6,MATCH(MOD('Map 2 Do Touch'!AI38,4),$O$3:$O$6,0),MATCH(MOD('Map 2 Do Touch'!AI39,4),$P$2:$S$2,0)),'Map 3'!$AJ$4:$AJ$6,0),MATCH(IF('Map 2 Do Touch'!AI38&gt;4,"Water","Land"),'Map 3'!$AK$3:$AL$3,0))))</f>
        <v>Ocean</v>
      </c>
      <c r="AJ43" s="3" t="str">
        <f ca="1">IF('Map 2 Do Touch'!AI38&lt;&gt;'Map 2 Do Touch'!AI39,IF('Map 2 Do Touch'!AJ39&gt;4,INDEX($AG$4:$AH$6,MATCH(INDEX($I$3:$L$6,MATCH(MOD('Map 2 Do Touch'!AI39,4),$H$3:$H$6,0),MATCH(MOD('Map 2 Do Touch'!AJ39,4),$I$2:$L$2,0)),$AF$4:$AF$6,0),MATCH(IF('Map 2 Do Touch'!AI39&gt;4,"Water","Land"),'Map 3'!$AG$3:$AH$3,0)),INDEX($AK$4:$AL$6,MATCH(INDEX($I$3:$L$6,MATCH(MOD('Map 2 Do Touch'!AI39,4),$H$3:$H$6,0),MATCH(MOD('Map 2 Do Touch'!AJ39,4),$I$2:$L$2,0)),'Map 3'!$AJ$4:$AJ$6,0),MATCH(IF('Map 2 Do Touch'!AI39&gt;4,"Water","Land"),'Map 3'!$AK$3:$AL$3,0))),IF('Map 2 Do Touch'!AJ39&gt;4,INDEX($AG$4:$AH$6,MATCH(INDEX($P$3:$S$6,MATCH(MOD('Map 2 Do Touch'!AJ38,4),$O$3:$O$6,0),MATCH(MOD('Map 2 Do Touch'!AJ39,4),$P$2:$S$2,0)),$AF$4:$AF$6,0),MATCH(IF('Map 2 Do Touch'!AJ38&gt;4,"Water","Land"),'Map 3'!$AG$3:$AH$3,0)),INDEX($AK$4:$AL$6,MATCH(INDEX($P$3:$S$6,MATCH(MOD('Map 2 Do Touch'!AJ38,4),$O$3:$O$6,0),MATCH(MOD('Map 2 Do Touch'!AJ39,4),$P$2:$S$2,0)),'Map 3'!$AJ$4:$AJ$6,0),MATCH(IF('Map 2 Do Touch'!AJ38&gt;4,"Water","Land"),'Map 3'!$AK$3:$AL$3,0))))</f>
        <v>Ocean</v>
      </c>
      <c r="AK43" s="3" t="str">
        <f ca="1">IF('Map 2 Do Touch'!AJ38&lt;&gt;'Map 2 Do Touch'!AJ39,IF('Map 2 Do Touch'!AK39&gt;4,INDEX($AG$4:$AH$6,MATCH(INDEX($I$3:$L$6,MATCH(MOD('Map 2 Do Touch'!AJ39,4),$H$3:$H$6,0),MATCH(MOD('Map 2 Do Touch'!AK39,4),$I$2:$L$2,0)),$AF$4:$AF$6,0),MATCH(IF('Map 2 Do Touch'!AJ39&gt;4,"Water","Land"),'Map 3'!$AG$3:$AH$3,0)),INDEX($AK$4:$AL$6,MATCH(INDEX($I$3:$L$6,MATCH(MOD('Map 2 Do Touch'!AJ39,4),$H$3:$H$6,0),MATCH(MOD('Map 2 Do Touch'!AK39,4),$I$2:$L$2,0)),'Map 3'!$AJ$4:$AJ$6,0),MATCH(IF('Map 2 Do Touch'!AJ39&gt;4,"Water","Land"),'Map 3'!$AK$3:$AL$3,0))),IF('Map 2 Do Touch'!AK39&gt;4,INDEX($AG$4:$AH$6,MATCH(INDEX($P$3:$S$6,MATCH(MOD('Map 2 Do Touch'!AK38,4),$O$3:$O$6,0),MATCH(MOD('Map 2 Do Touch'!AK39,4),$P$2:$S$2,0)),$AF$4:$AF$6,0),MATCH(IF('Map 2 Do Touch'!AK38&gt;4,"Water","Land"),'Map 3'!$AG$3:$AH$3,0)),INDEX($AK$4:$AL$6,MATCH(INDEX($P$3:$S$6,MATCH(MOD('Map 2 Do Touch'!AK38,4),$O$3:$O$6,0),MATCH(MOD('Map 2 Do Touch'!AK39,4),$P$2:$S$2,0)),'Map 3'!$AJ$4:$AJ$6,0),MATCH(IF('Map 2 Do Touch'!AK38&gt;4,"Water","Land"),'Map 3'!$AK$3:$AL$3,0))))</f>
        <v>Ocean</v>
      </c>
      <c r="AL43" s="3" t="str">
        <f ca="1">IF('Map 2 Do Touch'!AK38&lt;&gt;'Map 2 Do Touch'!AK39,IF('Map 2 Do Touch'!AL39&gt;4,INDEX($AG$4:$AH$6,MATCH(INDEX($I$3:$L$6,MATCH(MOD('Map 2 Do Touch'!AK39,4),$H$3:$H$6,0),MATCH(MOD('Map 2 Do Touch'!AL39,4),$I$2:$L$2,0)),$AF$4:$AF$6,0),MATCH(IF('Map 2 Do Touch'!AK39&gt;4,"Water","Land"),'Map 3'!$AG$3:$AH$3,0)),INDEX($AK$4:$AL$6,MATCH(INDEX($I$3:$L$6,MATCH(MOD('Map 2 Do Touch'!AK39,4),$H$3:$H$6,0),MATCH(MOD('Map 2 Do Touch'!AL39,4),$I$2:$L$2,0)),'Map 3'!$AJ$4:$AJ$6,0),MATCH(IF('Map 2 Do Touch'!AK39&gt;4,"Water","Land"),'Map 3'!$AK$3:$AL$3,0))),IF('Map 2 Do Touch'!AL39&gt;4,INDEX($AG$4:$AH$6,MATCH(INDEX($P$3:$S$6,MATCH(MOD('Map 2 Do Touch'!AL38,4),$O$3:$O$6,0),MATCH(MOD('Map 2 Do Touch'!AL39,4),$P$2:$S$2,0)),$AF$4:$AF$6,0),MATCH(IF('Map 2 Do Touch'!AL38&gt;4,"Water","Land"),'Map 3'!$AG$3:$AH$3,0)),INDEX($AK$4:$AL$6,MATCH(INDEX($P$3:$S$6,MATCH(MOD('Map 2 Do Touch'!AL38,4),$O$3:$O$6,0),MATCH(MOD('Map 2 Do Touch'!AL39,4),$P$2:$S$2,0)),'Map 3'!$AJ$4:$AJ$6,0),MATCH(IF('Map 2 Do Touch'!AL38&gt;4,"Water","Land"),'Map 3'!$AK$3:$AL$3,0))))</f>
        <v>Ocean</v>
      </c>
      <c r="AM43" s="3" t="str">
        <f ca="1">IF('Map 2 Do Touch'!AL38&lt;&gt;'Map 2 Do Touch'!AL39,IF('Map 2 Do Touch'!AM39&gt;4,INDEX($AG$4:$AH$6,MATCH(INDEX($I$3:$L$6,MATCH(MOD('Map 2 Do Touch'!AL39,4),$H$3:$H$6,0),MATCH(MOD('Map 2 Do Touch'!AM39,4),$I$2:$L$2,0)),$AF$4:$AF$6,0),MATCH(IF('Map 2 Do Touch'!AL39&gt;4,"Water","Land"),'Map 3'!$AG$3:$AH$3,0)),INDEX($AK$4:$AL$6,MATCH(INDEX($I$3:$L$6,MATCH(MOD('Map 2 Do Touch'!AL39,4),$H$3:$H$6,0),MATCH(MOD('Map 2 Do Touch'!AM39,4),$I$2:$L$2,0)),'Map 3'!$AJ$4:$AJ$6,0),MATCH(IF('Map 2 Do Touch'!AL39&gt;4,"Water","Land"),'Map 3'!$AK$3:$AL$3,0))),IF('Map 2 Do Touch'!AM39&gt;4,INDEX($AG$4:$AH$6,MATCH(INDEX($P$3:$S$6,MATCH(MOD('Map 2 Do Touch'!AM38,4),$O$3:$O$6,0),MATCH(MOD('Map 2 Do Touch'!AM39,4),$P$2:$S$2,0)),$AF$4:$AF$6,0),MATCH(IF('Map 2 Do Touch'!AM38&gt;4,"Water","Land"),'Map 3'!$AG$3:$AH$3,0)),INDEX($AK$4:$AL$6,MATCH(INDEX($P$3:$S$6,MATCH(MOD('Map 2 Do Touch'!AM38,4),$O$3:$O$6,0),MATCH(MOD('Map 2 Do Touch'!AM39,4),$P$2:$S$2,0)),'Map 3'!$AJ$4:$AJ$6,0),MATCH(IF('Map 2 Do Touch'!AM38&gt;4,"Water","Land"),'Map 3'!$AK$3:$AL$3,0))))</f>
        <v>Ocean</v>
      </c>
      <c r="AN43" s="3" t="str">
        <f ca="1">IF('Map 2 Do Touch'!AM38&lt;&gt;'Map 2 Do Touch'!AM39,IF('Map 2 Do Touch'!AN39&gt;4,INDEX($AG$4:$AH$6,MATCH(INDEX($I$3:$L$6,MATCH(MOD('Map 2 Do Touch'!AM39,4),$H$3:$H$6,0),MATCH(MOD('Map 2 Do Touch'!AN39,4),$I$2:$L$2,0)),$AF$4:$AF$6,0),MATCH(IF('Map 2 Do Touch'!AM39&gt;4,"Water","Land"),'Map 3'!$AG$3:$AH$3,0)),INDEX($AK$4:$AL$6,MATCH(INDEX($I$3:$L$6,MATCH(MOD('Map 2 Do Touch'!AM39,4),$H$3:$H$6,0),MATCH(MOD('Map 2 Do Touch'!AN39,4),$I$2:$L$2,0)),'Map 3'!$AJ$4:$AJ$6,0),MATCH(IF('Map 2 Do Touch'!AM39&gt;4,"Water","Land"),'Map 3'!$AK$3:$AL$3,0))),IF('Map 2 Do Touch'!AN39&gt;4,INDEX($AG$4:$AH$6,MATCH(INDEX($P$3:$S$6,MATCH(MOD('Map 2 Do Touch'!AN38,4),$O$3:$O$6,0),MATCH(MOD('Map 2 Do Touch'!AN39,4),$P$2:$S$2,0)),$AF$4:$AF$6,0),MATCH(IF('Map 2 Do Touch'!AN38&gt;4,"Water","Land"),'Map 3'!$AG$3:$AH$3,0)),INDEX($AK$4:$AL$6,MATCH(INDEX($P$3:$S$6,MATCH(MOD('Map 2 Do Touch'!AN38,4),$O$3:$O$6,0),MATCH(MOD('Map 2 Do Touch'!AN39,4),$P$2:$S$2,0)),'Map 3'!$AJ$4:$AJ$6,0),MATCH(IF('Map 2 Do Touch'!AN38&gt;4,"Water","Land"),'Map 3'!$AK$3:$AL$3,0))))</f>
        <v>Island</v>
      </c>
      <c r="AO43" s="87" t="str">
        <f ca="1">IF('Map 2 Do Touch'!AN38&lt;&gt;'Map 2 Do Touch'!AN39,IF('Map 2 Do Touch'!AO39&gt;4,INDEX($AG$4:$AH$6,MATCH(INDEX($I$3:$L$6,MATCH(MOD('Map 2 Do Touch'!AN39,4),$H$3:$H$6,0),MATCH(MOD('Map 2 Do Touch'!AO39,4),$I$2:$L$2,0)),$AF$4:$AF$6,0),MATCH(IF('Map 2 Do Touch'!AN39&gt;4,"Water","Land"),'Map 3'!$AG$3:$AH$3,0)),INDEX($AK$4:$AL$6,MATCH(INDEX($I$3:$L$6,MATCH(MOD('Map 2 Do Touch'!AN39,4),$H$3:$H$6,0),MATCH(MOD('Map 2 Do Touch'!AO39,4),$I$2:$L$2,0)),'Map 3'!$AJ$4:$AJ$6,0),MATCH(IF('Map 2 Do Touch'!AN39&gt;4,"Water","Land"),'Map 3'!$AK$3:$AL$3,0))),IF('Map 2 Do Touch'!AO39&gt;4,INDEX($AG$4:$AH$6,MATCH(INDEX($P$3:$S$6,MATCH(MOD('Map 2 Do Touch'!AO38,4),$O$3:$O$6,0),MATCH(MOD('Map 2 Do Touch'!AO39,4),$P$2:$S$2,0)),$AF$4:$AF$6,0),MATCH(IF('Map 2 Do Touch'!AO38&gt;4,"Water","Land"),'Map 3'!$AG$3:$AH$3,0)),INDEX($AK$4:$AL$6,MATCH(INDEX($P$3:$S$6,MATCH(MOD('Map 2 Do Touch'!AO38,4),$O$3:$O$6,0),MATCH(MOD('Map 2 Do Touch'!AO39,4),$P$2:$S$2,0)),'Map 3'!$AJ$4:$AJ$6,0),MATCH(IF('Map 2 Do Touch'!AO38&gt;4,"Water","Land"),'Map 3'!$AK$3:$AL$3,0))))</f>
        <v>Ocean</v>
      </c>
      <c r="AP43" s="3"/>
    </row>
    <row r="44" spans="1:42" ht="37.5" customHeight="1">
      <c r="A44" s="3">
        <v>33</v>
      </c>
      <c r="B44" s="86" t="str">
        <f ca="1">IF('Map 2 Do Touch'!B39&lt;&gt;'Map 2 Do Touch'!B40,IF('Map 2 Do Touch'!B40&gt;4,INDEX($AG$4:$AH$6,MATCH(INDEX($I$3:$L$6,MATCH(MOD('Map 2 Do Touch'!AO40,4),$H$3:$H$6,0),MATCH(MOD('Map 2 Do Touch'!B40,4),$I$2:$L$2,0)),$AF$4:$AF$6,0),MATCH(IF('Map 2 Do Touch'!AO40&gt;4,"Water","Land"),'Map 3'!$AG$3:$AH$3,0)),INDEX($AK$4:$AL$6,MATCH(INDEX($I$3:$L$6,MATCH(MOD('Map 2 Do Touch'!A40,4),$H$3:$H$6,0),MATCH(MOD('Map 2 Do Touch'!B40,4),$I$2:$L$2,0)),'Map 3'!$AJ$4:$AJ$6,0),MATCH(IF('Map 2 Do Touch'!AO40&gt;4,"Water","Land"),'Map 3'!$AK$3:$AL$3,0))),IF('Map 2 Do Touch'!B40&gt;4,INDEX($AG$4:$AH$6,MATCH(INDEX($P$3:$S$6,MATCH(MOD('Map 2 Do Touch'!B39,4),$O$3:$O$6,0),MATCH(MOD('Map 2 Do Touch'!B40,4),$P$2:$S$2,0)),$AF$4:$AF$6,0),MATCH(IF('Map 2 Do Touch'!B39&gt;4,"Water","Land"),'Map 3'!$AG$3:$AH$3,0)),INDEX($AK$4:$AL$6,MATCH(INDEX($P$3:$S$6,MATCH(MOD('Map 2 Do Touch'!B39,4),$O$3:$O$6,0),MATCH(MOD('Map 2 Do Touch'!B40,4),$P$2:$S$2,0)),'Map 3'!$AJ$4:$AJ$6,0),MATCH(IF('Map 2 Do Touch'!B39&gt;4,"Water","Land"),'Map 3'!$AK$3:$AL$3,0))))</f>
        <v>Ocean</v>
      </c>
      <c r="C44" s="3" t="str">
        <f ca="1">IF('Map 2 Do Touch'!B39&lt;&gt;'Map 2 Do Touch'!B40,IF('Map 2 Do Touch'!C40&gt;4,INDEX($AG$4:$AH$6,MATCH(INDEX($I$3:$L$6,MATCH(MOD('Map 2 Do Touch'!B40,4),$H$3:$H$6,0),MATCH(MOD('Map 2 Do Touch'!C40,4),$I$2:$L$2,0)),$AF$4:$AF$6,0),MATCH(IF('Map 2 Do Touch'!B40&gt;4,"Water","Land"),'Map 3'!$AG$3:$AH$3,0)),INDEX($AK$4:$AL$6,MATCH(INDEX($I$3:$L$6,MATCH(MOD('Map 2 Do Touch'!B40,4),$H$3:$H$6,0),MATCH(MOD('Map 2 Do Touch'!C40,4),$I$2:$L$2,0)),'Map 3'!$AJ$4:$AJ$6,0),MATCH(IF('Map 2 Do Touch'!B40&gt;4,"Water","Land"),'Map 3'!$AK$3:$AL$3,0))),IF('Map 2 Do Touch'!C40&gt;4,INDEX($AG$4:$AH$6,MATCH(INDEX($P$3:$S$6,MATCH(MOD('Map 2 Do Touch'!C39,4),$O$3:$O$6,0),MATCH(MOD('Map 2 Do Touch'!C40,4),$P$2:$S$2,0)),$AF$4:$AF$6,0),MATCH(IF('Map 2 Do Touch'!C39&gt;4,"Water","Land"),'Map 3'!$AG$3:$AH$3,0)),INDEX($AK$4:$AL$6,MATCH(INDEX($P$3:$S$6,MATCH(MOD('Map 2 Do Touch'!C39,4),$O$3:$O$6,0),MATCH(MOD('Map 2 Do Touch'!C40,4),$P$2:$S$2,0)),'Map 3'!$AJ$4:$AJ$6,0),MATCH(IF('Map 2 Do Touch'!C39&gt;4,"Water","Land"),'Map 3'!$AK$3:$AL$3,0))))</f>
        <v>Ocean</v>
      </c>
      <c r="D44" s="3" t="str">
        <f ca="1">IF('Map 2 Do Touch'!C39&lt;&gt;'Map 2 Do Touch'!C40,IF('Map 2 Do Touch'!D40&gt;4,INDEX($AG$4:$AH$6,MATCH(INDEX($I$3:$L$6,MATCH(MOD('Map 2 Do Touch'!C40,4),$H$3:$H$6,0),MATCH(MOD('Map 2 Do Touch'!D40,4),$I$2:$L$2,0)),$AF$4:$AF$6,0),MATCH(IF('Map 2 Do Touch'!C40&gt;4,"Water","Land"),'Map 3'!$AG$3:$AH$3,0)),INDEX($AK$4:$AL$6,MATCH(INDEX($I$3:$L$6,MATCH(MOD('Map 2 Do Touch'!C40,4),$H$3:$H$6,0),MATCH(MOD('Map 2 Do Touch'!D40,4),$I$2:$L$2,0)),'Map 3'!$AJ$4:$AJ$6,0),MATCH(IF('Map 2 Do Touch'!C40&gt;4,"Water","Land"),'Map 3'!$AK$3:$AL$3,0))),IF('Map 2 Do Touch'!D40&gt;4,INDEX($AG$4:$AH$6,MATCH(INDEX($P$3:$S$6,MATCH(MOD('Map 2 Do Touch'!D39,4),$O$3:$O$6,0),MATCH(MOD('Map 2 Do Touch'!D40,4),$P$2:$S$2,0)),$AF$4:$AF$6,0),MATCH(IF('Map 2 Do Touch'!D39&gt;4,"Water","Land"),'Map 3'!$AG$3:$AH$3,0)),INDEX($AK$4:$AL$6,MATCH(INDEX($P$3:$S$6,MATCH(MOD('Map 2 Do Touch'!D39,4),$O$3:$O$6,0),MATCH(MOD('Map 2 Do Touch'!D40,4),$P$2:$S$2,0)),'Map 3'!$AJ$4:$AJ$6,0),MATCH(IF('Map 2 Do Touch'!D39&gt;4,"Water","Land"),'Map 3'!$AK$3:$AL$3,0))))</f>
        <v>Coast</v>
      </c>
      <c r="E44" s="3" t="str">
        <f ca="1">IF('Map 2 Do Touch'!D39&lt;&gt;'Map 2 Do Touch'!D40,IF('Map 2 Do Touch'!E40&gt;4,INDEX($AG$4:$AH$6,MATCH(INDEX($I$3:$L$6,MATCH(MOD('Map 2 Do Touch'!D40,4),$H$3:$H$6,0),MATCH(MOD('Map 2 Do Touch'!E40,4),$I$2:$L$2,0)),$AF$4:$AF$6,0),MATCH(IF('Map 2 Do Touch'!D40&gt;4,"Water","Land"),'Map 3'!$AG$3:$AH$3,0)),INDEX($AK$4:$AL$6,MATCH(INDEX($I$3:$L$6,MATCH(MOD('Map 2 Do Touch'!D40,4),$H$3:$H$6,0),MATCH(MOD('Map 2 Do Touch'!E40,4),$I$2:$L$2,0)),'Map 3'!$AJ$4:$AJ$6,0),MATCH(IF('Map 2 Do Touch'!D40&gt;4,"Water","Land"),'Map 3'!$AK$3:$AL$3,0))),IF('Map 2 Do Touch'!E40&gt;4,INDEX($AG$4:$AH$6,MATCH(INDEX($P$3:$S$6,MATCH(MOD('Map 2 Do Touch'!E39,4),$O$3:$O$6,0),MATCH(MOD('Map 2 Do Touch'!E40,4),$P$2:$S$2,0)),$AF$4:$AF$6,0),MATCH(IF('Map 2 Do Touch'!E39&gt;4,"Water","Land"),'Map 3'!$AG$3:$AH$3,0)),INDEX($AK$4:$AL$6,MATCH(INDEX($P$3:$S$6,MATCH(MOD('Map 2 Do Touch'!E39,4),$O$3:$O$6,0),MATCH(MOD('Map 2 Do Touch'!E40,4),$P$2:$S$2,0)),'Map 3'!$AJ$4:$AJ$6,0),MATCH(IF('Map 2 Do Touch'!E39&gt;4,"Water","Land"),'Map 3'!$AK$3:$AL$3,0))))</f>
        <v>Flatland</v>
      </c>
      <c r="F44" s="3" t="str">
        <f ca="1">IF('Map 2 Do Touch'!E39&lt;&gt;'Map 2 Do Touch'!E40,IF('Map 2 Do Touch'!F40&gt;4,INDEX($AG$4:$AH$6,MATCH(INDEX($I$3:$L$6,MATCH(MOD('Map 2 Do Touch'!E40,4),$H$3:$H$6,0),MATCH(MOD('Map 2 Do Touch'!F40,4),$I$2:$L$2,0)),$AF$4:$AF$6,0),MATCH(IF('Map 2 Do Touch'!E40&gt;4,"Water","Land"),'Map 3'!$AG$3:$AH$3,0)),INDEX($AK$4:$AL$6,MATCH(INDEX($I$3:$L$6,MATCH(MOD('Map 2 Do Touch'!E40,4),$H$3:$H$6,0),MATCH(MOD('Map 2 Do Touch'!F40,4),$I$2:$L$2,0)),'Map 3'!$AJ$4:$AJ$6,0),MATCH(IF('Map 2 Do Touch'!E40&gt;4,"Water","Land"),'Map 3'!$AK$3:$AL$3,0))),IF('Map 2 Do Touch'!F40&gt;4,INDEX($AG$4:$AH$6,MATCH(INDEX($P$3:$S$6,MATCH(MOD('Map 2 Do Touch'!F39,4),$O$3:$O$6,0),MATCH(MOD('Map 2 Do Touch'!F40,4),$P$2:$S$2,0)),$AF$4:$AF$6,0),MATCH(IF('Map 2 Do Touch'!F39&gt;4,"Water","Land"),'Map 3'!$AG$3:$AH$3,0)),INDEX($AK$4:$AL$6,MATCH(INDEX($P$3:$S$6,MATCH(MOD('Map 2 Do Touch'!F39,4),$O$3:$O$6,0),MATCH(MOD('Map 2 Do Touch'!F40,4),$P$2:$S$2,0)),'Map 3'!$AJ$4:$AJ$6,0),MATCH(IF('Map 2 Do Touch'!F39&gt;4,"Water","Land"),'Map 3'!$AK$3:$AL$3,0))))</f>
        <v>Flatland</v>
      </c>
      <c r="G44" s="3" t="str">
        <f ca="1">IF('Map 2 Do Touch'!F39&lt;&gt;'Map 2 Do Touch'!F40,IF('Map 2 Do Touch'!G40&gt;4,INDEX($AG$4:$AH$6,MATCH(INDEX($I$3:$L$6,MATCH(MOD('Map 2 Do Touch'!F40,4),$H$3:$H$6,0),MATCH(MOD('Map 2 Do Touch'!G40,4),$I$2:$L$2,0)),$AF$4:$AF$6,0),MATCH(IF('Map 2 Do Touch'!F40&gt;4,"Water","Land"),'Map 3'!$AG$3:$AH$3,0)),INDEX($AK$4:$AL$6,MATCH(INDEX($I$3:$L$6,MATCH(MOD('Map 2 Do Touch'!F40,4),$H$3:$H$6,0),MATCH(MOD('Map 2 Do Touch'!G40,4),$I$2:$L$2,0)),'Map 3'!$AJ$4:$AJ$6,0),MATCH(IF('Map 2 Do Touch'!F40&gt;4,"Water","Land"),'Map 3'!$AK$3:$AL$3,0))),IF('Map 2 Do Touch'!G40&gt;4,INDEX($AG$4:$AH$6,MATCH(INDEX($P$3:$S$6,MATCH(MOD('Map 2 Do Touch'!G39,4),$O$3:$O$6,0),MATCH(MOD('Map 2 Do Touch'!G40,4),$P$2:$S$2,0)),$AF$4:$AF$6,0),MATCH(IF('Map 2 Do Touch'!G39&gt;4,"Water","Land"),'Map 3'!$AG$3:$AH$3,0)),INDEX($AK$4:$AL$6,MATCH(INDEX($P$3:$S$6,MATCH(MOD('Map 2 Do Touch'!G39,4),$O$3:$O$6,0),MATCH(MOD('Map 2 Do Touch'!G40,4),$P$2:$S$2,0)),'Map 3'!$AJ$4:$AJ$6,0),MATCH(IF('Map 2 Do Touch'!G39&gt;4,"Water","Land"),'Map 3'!$AK$3:$AL$3,0))))</f>
        <v>Flatland</v>
      </c>
      <c r="H44" s="3" t="str">
        <f ca="1">IF('Map 2 Do Touch'!G39&lt;&gt;'Map 2 Do Touch'!G40,IF('Map 2 Do Touch'!H40&gt;4,INDEX($AG$4:$AH$6,MATCH(INDEX($I$3:$L$6,MATCH(MOD('Map 2 Do Touch'!G40,4),$H$3:$H$6,0),MATCH(MOD('Map 2 Do Touch'!H40,4),$I$2:$L$2,0)),$AF$4:$AF$6,0),MATCH(IF('Map 2 Do Touch'!G40&gt;4,"Water","Land"),'Map 3'!$AG$3:$AH$3,0)),INDEX($AK$4:$AL$6,MATCH(INDEX($I$3:$L$6,MATCH(MOD('Map 2 Do Touch'!G40,4),$H$3:$H$6,0),MATCH(MOD('Map 2 Do Touch'!H40,4),$I$2:$L$2,0)),'Map 3'!$AJ$4:$AJ$6,0),MATCH(IF('Map 2 Do Touch'!G40&gt;4,"Water","Land"),'Map 3'!$AK$3:$AL$3,0))),IF('Map 2 Do Touch'!H40&gt;4,INDEX($AG$4:$AH$6,MATCH(INDEX($P$3:$S$6,MATCH(MOD('Map 2 Do Touch'!H39,4),$O$3:$O$6,0),MATCH(MOD('Map 2 Do Touch'!H40,4),$P$2:$S$2,0)),$AF$4:$AF$6,0),MATCH(IF('Map 2 Do Touch'!H39&gt;4,"Water","Land"),'Map 3'!$AG$3:$AH$3,0)),INDEX($AK$4:$AL$6,MATCH(INDEX($P$3:$S$6,MATCH(MOD('Map 2 Do Touch'!H39,4),$O$3:$O$6,0),MATCH(MOD('Map 2 Do Touch'!H40,4),$P$2:$S$2,0)),'Map 3'!$AJ$4:$AJ$6,0),MATCH(IF('Map 2 Do Touch'!H39&gt;4,"Water","Land"),'Map 3'!$AK$3:$AL$3,0))))</f>
        <v>Flatland</v>
      </c>
      <c r="I44" s="3" t="str">
        <f ca="1">IF('Map 2 Do Touch'!H39&lt;&gt;'Map 2 Do Touch'!H40,IF('Map 2 Do Touch'!I40&gt;4,INDEX($AG$4:$AH$6,MATCH(INDEX($I$3:$L$6,MATCH(MOD('Map 2 Do Touch'!H40,4),$H$3:$H$6,0),MATCH(MOD('Map 2 Do Touch'!I40,4),$I$2:$L$2,0)),$AF$4:$AF$6,0),MATCH(IF('Map 2 Do Touch'!H40&gt;4,"Water","Land"),'Map 3'!$AG$3:$AH$3,0)),INDEX($AK$4:$AL$6,MATCH(INDEX($I$3:$L$6,MATCH(MOD('Map 2 Do Touch'!H40,4),$H$3:$H$6,0),MATCH(MOD('Map 2 Do Touch'!I40,4),$I$2:$L$2,0)),'Map 3'!$AJ$4:$AJ$6,0),MATCH(IF('Map 2 Do Touch'!H40&gt;4,"Water","Land"),'Map 3'!$AK$3:$AL$3,0))),IF('Map 2 Do Touch'!I40&gt;4,INDEX($AG$4:$AH$6,MATCH(INDEX($P$3:$S$6,MATCH(MOD('Map 2 Do Touch'!I39,4),$O$3:$O$6,0),MATCH(MOD('Map 2 Do Touch'!I40,4),$P$2:$S$2,0)),$AF$4:$AF$6,0),MATCH(IF('Map 2 Do Touch'!I39&gt;4,"Water","Land"),'Map 3'!$AG$3:$AH$3,0)),INDEX($AK$4:$AL$6,MATCH(INDEX($P$3:$S$6,MATCH(MOD('Map 2 Do Touch'!I39,4),$O$3:$O$6,0),MATCH(MOD('Map 2 Do Touch'!I40,4),$P$2:$S$2,0)),'Map 3'!$AJ$4:$AJ$6,0),MATCH(IF('Map 2 Do Touch'!I39&gt;4,"Water","Land"),'Map 3'!$AK$3:$AL$3,0))))</f>
        <v>Ocean</v>
      </c>
      <c r="J44" s="3" t="str">
        <f ca="1">IF('Map 2 Do Touch'!I39&lt;&gt;'Map 2 Do Touch'!I40,IF('Map 2 Do Touch'!J40&gt;4,INDEX($AG$4:$AH$6,MATCH(INDEX($I$3:$L$6,MATCH(MOD('Map 2 Do Touch'!I40,4),$H$3:$H$6,0),MATCH(MOD('Map 2 Do Touch'!J40,4),$I$2:$L$2,0)),$AF$4:$AF$6,0),MATCH(IF('Map 2 Do Touch'!I40&gt;4,"Water","Land"),'Map 3'!$AG$3:$AH$3,0)),INDEX($AK$4:$AL$6,MATCH(INDEX($I$3:$L$6,MATCH(MOD('Map 2 Do Touch'!I40,4),$H$3:$H$6,0),MATCH(MOD('Map 2 Do Touch'!J40,4),$I$2:$L$2,0)),'Map 3'!$AJ$4:$AJ$6,0),MATCH(IF('Map 2 Do Touch'!I40&gt;4,"Water","Land"),'Map 3'!$AK$3:$AL$3,0))),IF('Map 2 Do Touch'!J40&gt;4,INDEX($AG$4:$AH$6,MATCH(INDEX($P$3:$S$6,MATCH(MOD('Map 2 Do Touch'!J39,4),$O$3:$O$6,0),MATCH(MOD('Map 2 Do Touch'!J40,4),$P$2:$S$2,0)),$AF$4:$AF$6,0),MATCH(IF('Map 2 Do Touch'!J39&gt;4,"Water","Land"),'Map 3'!$AG$3:$AH$3,0)),INDEX($AK$4:$AL$6,MATCH(INDEX($P$3:$S$6,MATCH(MOD('Map 2 Do Touch'!J39,4),$O$3:$O$6,0),MATCH(MOD('Map 2 Do Touch'!J40,4),$P$2:$S$2,0)),'Map 3'!$AJ$4:$AJ$6,0),MATCH(IF('Map 2 Do Touch'!J39&gt;4,"Water","Land"),'Map 3'!$AK$3:$AL$3,0))))</f>
        <v>Ocean</v>
      </c>
      <c r="K44" s="3" t="str">
        <f ca="1">IF('Map 2 Do Touch'!J39&lt;&gt;'Map 2 Do Touch'!J40,IF('Map 2 Do Touch'!K40&gt;4,INDEX($AG$4:$AH$6,MATCH(INDEX($I$3:$L$6,MATCH(MOD('Map 2 Do Touch'!J40,4),$H$3:$H$6,0),MATCH(MOD('Map 2 Do Touch'!K40,4),$I$2:$L$2,0)),$AF$4:$AF$6,0),MATCH(IF('Map 2 Do Touch'!J40&gt;4,"Water","Land"),'Map 3'!$AG$3:$AH$3,0)),INDEX($AK$4:$AL$6,MATCH(INDEX($I$3:$L$6,MATCH(MOD('Map 2 Do Touch'!J40,4),$H$3:$H$6,0),MATCH(MOD('Map 2 Do Touch'!K40,4),$I$2:$L$2,0)),'Map 3'!$AJ$4:$AJ$6,0),MATCH(IF('Map 2 Do Touch'!J40&gt;4,"Water","Land"),'Map 3'!$AK$3:$AL$3,0))),IF('Map 2 Do Touch'!K40&gt;4,INDEX($AG$4:$AH$6,MATCH(INDEX($P$3:$S$6,MATCH(MOD('Map 2 Do Touch'!K39,4),$O$3:$O$6,0),MATCH(MOD('Map 2 Do Touch'!K40,4),$P$2:$S$2,0)),$AF$4:$AF$6,0),MATCH(IF('Map 2 Do Touch'!K39&gt;4,"Water","Land"),'Map 3'!$AG$3:$AH$3,0)),INDEX($AK$4:$AL$6,MATCH(INDEX($P$3:$S$6,MATCH(MOD('Map 2 Do Touch'!K39,4),$O$3:$O$6,0),MATCH(MOD('Map 2 Do Touch'!K40,4),$P$2:$S$2,0)),'Map 3'!$AJ$4:$AJ$6,0),MATCH(IF('Map 2 Do Touch'!K39&gt;4,"Water","Land"),'Map 3'!$AK$3:$AL$3,0))))</f>
        <v>Coast</v>
      </c>
      <c r="L44" s="3" t="str">
        <f ca="1">IF('Map 2 Do Touch'!K39&lt;&gt;'Map 2 Do Touch'!K40,IF('Map 2 Do Touch'!L40&gt;4,INDEX($AG$4:$AH$6,MATCH(INDEX($I$3:$L$6,MATCH(MOD('Map 2 Do Touch'!K40,4),$H$3:$H$6,0),MATCH(MOD('Map 2 Do Touch'!L40,4),$I$2:$L$2,0)),$AF$4:$AF$6,0),MATCH(IF('Map 2 Do Touch'!K40&gt;4,"Water","Land"),'Map 3'!$AG$3:$AH$3,0)),INDEX($AK$4:$AL$6,MATCH(INDEX($I$3:$L$6,MATCH(MOD('Map 2 Do Touch'!K40,4),$H$3:$H$6,0),MATCH(MOD('Map 2 Do Touch'!L40,4),$I$2:$L$2,0)),'Map 3'!$AJ$4:$AJ$6,0),MATCH(IF('Map 2 Do Touch'!K40&gt;4,"Water","Land"),'Map 3'!$AK$3:$AL$3,0))),IF('Map 2 Do Touch'!L40&gt;4,INDEX($AG$4:$AH$6,MATCH(INDEX($P$3:$S$6,MATCH(MOD('Map 2 Do Touch'!L39,4),$O$3:$O$6,0),MATCH(MOD('Map 2 Do Touch'!L40,4),$P$2:$S$2,0)),$AF$4:$AF$6,0),MATCH(IF('Map 2 Do Touch'!L39&gt;4,"Water","Land"),'Map 3'!$AG$3:$AH$3,0)),INDEX($AK$4:$AL$6,MATCH(INDEX($P$3:$S$6,MATCH(MOD('Map 2 Do Touch'!L39,4),$O$3:$O$6,0),MATCH(MOD('Map 2 Do Touch'!L40,4),$P$2:$S$2,0)),'Map 3'!$AJ$4:$AJ$6,0),MATCH(IF('Map 2 Do Touch'!L39&gt;4,"Water","Land"),'Map 3'!$AK$3:$AL$3,0))))</f>
        <v>Coast</v>
      </c>
      <c r="M44" s="3" t="str">
        <f ca="1">IF('Map 2 Do Touch'!L39&lt;&gt;'Map 2 Do Touch'!L40,IF('Map 2 Do Touch'!M40&gt;4,INDEX($AG$4:$AH$6,MATCH(INDEX($I$3:$L$6,MATCH(MOD('Map 2 Do Touch'!L40,4),$H$3:$H$6,0),MATCH(MOD('Map 2 Do Touch'!M40,4),$I$2:$L$2,0)),$AF$4:$AF$6,0),MATCH(IF('Map 2 Do Touch'!L40&gt;4,"Water","Land"),'Map 3'!$AG$3:$AH$3,0)),INDEX($AK$4:$AL$6,MATCH(INDEX($I$3:$L$6,MATCH(MOD('Map 2 Do Touch'!L40,4),$H$3:$H$6,0),MATCH(MOD('Map 2 Do Touch'!M40,4),$I$2:$L$2,0)),'Map 3'!$AJ$4:$AJ$6,0),MATCH(IF('Map 2 Do Touch'!L40&gt;4,"Water","Land"),'Map 3'!$AK$3:$AL$3,0))),IF('Map 2 Do Touch'!M40&gt;4,INDEX($AG$4:$AH$6,MATCH(INDEX($P$3:$S$6,MATCH(MOD('Map 2 Do Touch'!M39,4),$O$3:$O$6,0),MATCH(MOD('Map 2 Do Touch'!M40,4),$P$2:$S$2,0)),$AF$4:$AF$6,0),MATCH(IF('Map 2 Do Touch'!M39&gt;4,"Water","Land"),'Map 3'!$AG$3:$AH$3,0)),INDEX($AK$4:$AL$6,MATCH(INDEX($P$3:$S$6,MATCH(MOD('Map 2 Do Touch'!M39,4),$O$3:$O$6,0),MATCH(MOD('Map 2 Do Touch'!M40,4),$P$2:$S$2,0)),'Map 3'!$AJ$4:$AJ$6,0),MATCH(IF('Map 2 Do Touch'!M39&gt;4,"Water","Land"),'Map 3'!$AK$3:$AL$3,0))))</f>
        <v>Ocean</v>
      </c>
      <c r="N44" s="3" t="str">
        <f ca="1">IF('Map 2 Do Touch'!M39&lt;&gt;'Map 2 Do Touch'!M40,IF('Map 2 Do Touch'!N40&gt;4,INDEX($AG$4:$AH$6,MATCH(INDEX($I$3:$L$6,MATCH(MOD('Map 2 Do Touch'!M40,4),$H$3:$H$6,0),MATCH(MOD('Map 2 Do Touch'!N40,4),$I$2:$L$2,0)),$AF$4:$AF$6,0),MATCH(IF('Map 2 Do Touch'!M40&gt;4,"Water","Land"),'Map 3'!$AG$3:$AH$3,0)),INDEX($AK$4:$AL$6,MATCH(INDEX($I$3:$L$6,MATCH(MOD('Map 2 Do Touch'!M40,4),$H$3:$H$6,0),MATCH(MOD('Map 2 Do Touch'!N40,4),$I$2:$L$2,0)),'Map 3'!$AJ$4:$AJ$6,0),MATCH(IF('Map 2 Do Touch'!M40&gt;4,"Water","Land"),'Map 3'!$AK$3:$AL$3,0))),IF('Map 2 Do Touch'!N40&gt;4,INDEX($AG$4:$AH$6,MATCH(INDEX($P$3:$S$6,MATCH(MOD('Map 2 Do Touch'!N39,4),$O$3:$O$6,0),MATCH(MOD('Map 2 Do Touch'!N40,4),$P$2:$S$2,0)),$AF$4:$AF$6,0),MATCH(IF('Map 2 Do Touch'!N39&gt;4,"Water","Land"),'Map 3'!$AG$3:$AH$3,0)),INDEX($AK$4:$AL$6,MATCH(INDEX($P$3:$S$6,MATCH(MOD('Map 2 Do Touch'!N39,4),$O$3:$O$6,0),MATCH(MOD('Map 2 Do Touch'!N40,4),$P$2:$S$2,0)),'Map 3'!$AJ$4:$AJ$6,0),MATCH(IF('Map 2 Do Touch'!N39&gt;4,"Water","Land"),'Map 3'!$AK$3:$AL$3,0))))</f>
        <v>Flatland</v>
      </c>
      <c r="O44" s="3" t="str">
        <f ca="1">IF('Map 2 Do Touch'!N39&lt;&gt;'Map 2 Do Touch'!N40,IF('Map 2 Do Touch'!O40&gt;4,INDEX($AG$4:$AH$6,MATCH(INDEX($I$3:$L$6,MATCH(MOD('Map 2 Do Touch'!N40,4),$H$3:$H$6,0),MATCH(MOD('Map 2 Do Touch'!O40,4),$I$2:$L$2,0)),$AF$4:$AF$6,0),MATCH(IF('Map 2 Do Touch'!N40&gt;4,"Water","Land"),'Map 3'!$AG$3:$AH$3,0)),INDEX($AK$4:$AL$6,MATCH(INDEX($I$3:$L$6,MATCH(MOD('Map 2 Do Touch'!N40,4),$H$3:$H$6,0),MATCH(MOD('Map 2 Do Touch'!O40,4),$I$2:$L$2,0)),'Map 3'!$AJ$4:$AJ$6,0),MATCH(IF('Map 2 Do Touch'!N40&gt;4,"Water","Land"),'Map 3'!$AK$3:$AL$3,0))),IF('Map 2 Do Touch'!O40&gt;4,INDEX($AG$4:$AH$6,MATCH(INDEX($P$3:$S$6,MATCH(MOD('Map 2 Do Touch'!O39,4),$O$3:$O$6,0),MATCH(MOD('Map 2 Do Touch'!O40,4),$P$2:$S$2,0)),$AF$4:$AF$6,0),MATCH(IF('Map 2 Do Touch'!O39&gt;4,"Water","Land"),'Map 3'!$AG$3:$AH$3,0)),INDEX($AK$4:$AL$6,MATCH(INDEX($P$3:$S$6,MATCH(MOD('Map 2 Do Touch'!O39,4),$O$3:$O$6,0),MATCH(MOD('Map 2 Do Touch'!O40,4),$P$2:$S$2,0)),'Map 3'!$AJ$4:$AJ$6,0),MATCH(IF('Map 2 Do Touch'!O39&gt;4,"Water","Land"),'Map 3'!$AK$3:$AL$3,0))))</f>
        <v>Coast</v>
      </c>
      <c r="P44" s="3" t="str">
        <f ca="1">IF('Map 2 Do Touch'!O39&lt;&gt;'Map 2 Do Touch'!O40,IF('Map 2 Do Touch'!P40&gt;4,INDEX($AG$4:$AH$6,MATCH(INDEX($I$3:$L$6,MATCH(MOD('Map 2 Do Touch'!O40,4),$H$3:$H$6,0),MATCH(MOD('Map 2 Do Touch'!P40,4),$I$2:$L$2,0)),$AF$4:$AF$6,0),MATCH(IF('Map 2 Do Touch'!O40&gt;4,"Water","Land"),'Map 3'!$AG$3:$AH$3,0)),INDEX($AK$4:$AL$6,MATCH(INDEX($I$3:$L$6,MATCH(MOD('Map 2 Do Touch'!O40,4),$H$3:$H$6,0),MATCH(MOD('Map 2 Do Touch'!P40,4),$I$2:$L$2,0)),'Map 3'!$AJ$4:$AJ$6,0),MATCH(IF('Map 2 Do Touch'!O40&gt;4,"Water","Land"),'Map 3'!$AK$3:$AL$3,0))),IF('Map 2 Do Touch'!P40&gt;4,INDEX($AG$4:$AH$6,MATCH(INDEX($P$3:$S$6,MATCH(MOD('Map 2 Do Touch'!P39,4),$O$3:$O$6,0),MATCH(MOD('Map 2 Do Touch'!P40,4),$P$2:$S$2,0)),$AF$4:$AF$6,0),MATCH(IF('Map 2 Do Touch'!P39&gt;4,"Water","Land"),'Map 3'!$AG$3:$AH$3,0)),INDEX($AK$4:$AL$6,MATCH(INDEX($P$3:$S$6,MATCH(MOD('Map 2 Do Touch'!P39,4),$O$3:$O$6,0),MATCH(MOD('Map 2 Do Touch'!P40,4),$P$2:$S$2,0)),'Map 3'!$AJ$4:$AJ$6,0),MATCH(IF('Map 2 Do Touch'!P39&gt;4,"Water","Land"),'Map 3'!$AK$3:$AL$3,0))))</f>
        <v>Flatland</v>
      </c>
      <c r="Q44" s="3" t="str">
        <f ca="1">IF('Map 2 Do Touch'!P39&lt;&gt;'Map 2 Do Touch'!P40,IF('Map 2 Do Touch'!Q40&gt;4,INDEX($AG$4:$AH$6,MATCH(INDEX($I$3:$L$6,MATCH(MOD('Map 2 Do Touch'!P40,4),$H$3:$H$6,0),MATCH(MOD('Map 2 Do Touch'!Q40,4),$I$2:$L$2,0)),$AF$4:$AF$6,0),MATCH(IF('Map 2 Do Touch'!P40&gt;4,"Water","Land"),'Map 3'!$AG$3:$AH$3,0)),INDEX($AK$4:$AL$6,MATCH(INDEX($I$3:$L$6,MATCH(MOD('Map 2 Do Touch'!P40,4),$H$3:$H$6,0),MATCH(MOD('Map 2 Do Touch'!Q40,4),$I$2:$L$2,0)),'Map 3'!$AJ$4:$AJ$6,0),MATCH(IF('Map 2 Do Touch'!P40&gt;4,"Water","Land"),'Map 3'!$AK$3:$AL$3,0))),IF('Map 2 Do Touch'!Q40&gt;4,INDEX($AG$4:$AH$6,MATCH(INDEX($P$3:$S$6,MATCH(MOD('Map 2 Do Touch'!Q39,4),$O$3:$O$6,0),MATCH(MOD('Map 2 Do Touch'!Q40,4),$P$2:$S$2,0)),$AF$4:$AF$6,0),MATCH(IF('Map 2 Do Touch'!Q39&gt;4,"Water","Land"),'Map 3'!$AG$3:$AH$3,0)),INDEX($AK$4:$AL$6,MATCH(INDEX($P$3:$S$6,MATCH(MOD('Map 2 Do Touch'!Q39,4),$O$3:$O$6,0),MATCH(MOD('Map 2 Do Touch'!Q40,4),$P$2:$S$2,0)),'Map 3'!$AJ$4:$AJ$6,0),MATCH(IF('Map 2 Do Touch'!Q39&gt;4,"Water","Land"),'Map 3'!$AK$3:$AL$3,0))))</f>
        <v>Coast</v>
      </c>
      <c r="R44" s="3" t="str">
        <f ca="1">IF('Map 2 Do Touch'!Q39&lt;&gt;'Map 2 Do Touch'!Q40,IF('Map 2 Do Touch'!R40&gt;4,INDEX($AG$4:$AH$6,MATCH(INDEX($I$3:$L$6,MATCH(MOD('Map 2 Do Touch'!Q40,4),$H$3:$H$6,0),MATCH(MOD('Map 2 Do Touch'!R40,4),$I$2:$L$2,0)),$AF$4:$AF$6,0),MATCH(IF('Map 2 Do Touch'!Q40&gt;4,"Water","Land"),'Map 3'!$AG$3:$AH$3,0)),INDEX($AK$4:$AL$6,MATCH(INDEX($I$3:$L$6,MATCH(MOD('Map 2 Do Touch'!Q40,4),$H$3:$H$6,0),MATCH(MOD('Map 2 Do Touch'!R40,4),$I$2:$L$2,0)),'Map 3'!$AJ$4:$AJ$6,0),MATCH(IF('Map 2 Do Touch'!Q40&gt;4,"Water","Land"),'Map 3'!$AK$3:$AL$3,0))),IF('Map 2 Do Touch'!R40&gt;4,INDEX($AG$4:$AH$6,MATCH(INDEX($P$3:$S$6,MATCH(MOD('Map 2 Do Touch'!R39,4),$O$3:$O$6,0),MATCH(MOD('Map 2 Do Touch'!R40,4),$P$2:$S$2,0)),$AF$4:$AF$6,0),MATCH(IF('Map 2 Do Touch'!R39&gt;4,"Water","Land"),'Map 3'!$AG$3:$AH$3,0)),INDEX($AK$4:$AL$6,MATCH(INDEX($P$3:$S$6,MATCH(MOD('Map 2 Do Touch'!R39,4),$O$3:$O$6,0),MATCH(MOD('Map 2 Do Touch'!R40,4),$P$2:$S$2,0)),'Map 3'!$AJ$4:$AJ$6,0),MATCH(IF('Map 2 Do Touch'!R39&gt;4,"Water","Land"),'Map 3'!$AK$3:$AL$3,0))))</f>
        <v>Coast</v>
      </c>
      <c r="S44" s="3" t="str">
        <f ca="1">IF('Map 2 Do Touch'!R39&lt;&gt;'Map 2 Do Touch'!R40,IF('Map 2 Do Touch'!S40&gt;4,INDEX($AG$4:$AH$6,MATCH(INDEX($I$3:$L$6,MATCH(MOD('Map 2 Do Touch'!R40,4),$H$3:$H$6,0),MATCH(MOD('Map 2 Do Touch'!S40,4),$I$2:$L$2,0)),$AF$4:$AF$6,0),MATCH(IF('Map 2 Do Touch'!R40&gt;4,"Water","Land"),'Map 3'!$AG$3:$AH$3,0)),INDEX($AK$4:$AL$6,MATCH(INDEX($I$3:$L$6,MATCH(MOD('Map 2 Do Touch'!R40,4),$H$3:$H$6,0),MATCH(MOD('Map 2 Do Touch'!S40,4),$I$2:$L$2,0)),'Map 3'!$AJ$4:$AJ$6,0),MATCH(IF('Map 2 Do Touch'!R40&gt;4,"Water","Land"),'Map 3'!$AK$3:$AL$3,0))),IF('Map 2 Do Touch'!S40&gt;4,INDEX($AG$4:$AH$6,MATCH(INDEX($P$3:$S$6,MATCH(MOD('Map 2 Do Touch'!S39,4),$O$3:$O$6,0),MATCH(MOD('Map 2 Do Touch'!S40,4),$P$2:$S$2,0)),$AF$4:$AF$6,0),MATCH(IF('Map 2 Do Touch'!S39&gt;4,"Water","Land"),'Map 3'!$AG$3:$AH$3,0)),INDEX($AK$4:$AL$6,MATCH(INDEX($P$3:$S$6,MATCH(MOD('Map 2 Do Touch'!S39,4),$O$3:$O$6,0),MATCH(MOD('Map 2 Do Touch'!S40,4),$P$2:$S$2,0)),'Map 3'!$AJ$4:$AJ$6,0),MATCH(IF('Map 2 Do Touch'!S39&gt;4,"Water","Land"),'Map 3'!$AK$3:$AL$3,0))))</f>
        <v>Ocean</v>
      </c>
      <c r="T44" s="3" t="str">
        <f ca="1">IF('Map 2 Do Touch'!S39&lt;&gt;'Map 2 Do Touch'!S40,IF('Map 2 Do Touch'!T40&gt;4,INDEX($AG$4:$AH$6,MATCH(INDEX($I$3:$L$6,MATCH(MOD('Map 2 Do Touch'!S40,4),$H$3:$H$6,0),MATCH(MOD('Map 2 Do Touch'!T40,4),$I$2:$L$2,0)),$AF$4:$AF$6,0),MATCH(IF('Map 2 Do Touch'!S40&gt;4,"Water","Land"),'Map 3'!$AG$3:$AH$3,0)),INDEX($AK$4:$AL$6,MATCH(INDEX($I$3:$L$6,MATCH(MOD('Map 2 Do Touch'!S40,4),$H$3:$H$6,0),MATCH(MOD('Map 2 Do Touch'!T40,4),$I$2:$L$2,0)),'Map 3'!$AJ$4:$AJ$6,0),MATCH(IF('Map 2 Do Touch'!S40&gt;4,"Water","Land"),'Map 3'!$AK$3:$AL$3,0))),IF('Map 2 Do Touch'!T40&gt;4,INDEX($AG$4:$AH$6,MATCH(INDEX($P$3:$S$6,MATCH(MOD('Map 2 Do Touch'!T39,4),$O$3:$O$6,0),MATCH(MOD('Map 2 Do Touch'!T40,4),$P$2:$S$2,0)),$AF$4:$AF$6,0),MATCH(IF('Map 2 Do Touch'!T39&gt;4,"Water","Land"),'Map 3'!$AG$3:$AH$3,0)),INDEX($AK$4:$AL$6,MATCH(INDEX($P$3:$S$6,MATCH(MOD('Map 2 Do Touch'!T39,4),$O$3:$O$6,0),MATCH(MOD('Map 2 Do Touch'!T40,4),$P$2:$S$2,0)),'Map 3'!$AJ$4:$AJ$6,0),MATCH(IF('Map 2 Do Touch'!T39&gt;4,"Water","Land"),'Map 3'!$AK$3:$AL$3,0))))</f>
        <v>Ocean</v>
      </c>
      <c r="U44" s="3" t="str">
        <f ca="1">IF('Map 2 Do Touch'!T39&lt;&gt;'Map 2 Do Touch'!T40,IF('Map 2 Do Touch'!U40&gt;4,INDEX($AG$4:$AH$6,MATCH(INDEX($I$3:$L$6,MATCH(MOD('Map 2 Do Touch'!T40,4),$H$3:$H$6,0),MATCH(MOD('Map 2 Do Touch'!U40,4),$I$2:$L$2,0)),$AF$4:$AF$6,0),MATCH(IF('Map 2 Do Touch'!T40&gt;4,"Water","Land"),'Map 3'!$AG$3:$AH$3,0)),INDEX($AK$4:$AL$6,MATCH(INDEX($I$3:$L$6,MATCH(MOD('Map 2 Do Touch'!T40,4),$H$3:$H$6,0),MATCH(MOD('Map 2 Do Touch'!U40,4),$I$2:$L$2,0)),'Map 3'!$AJ$4:$AJ$6,0),MATCH(IF('Map 2 Do Touch'!T40&gt;4,"Water","Land"),'Map 3'!$AK$3:$AL$3,0))),IF('Map 2 Do Touch'!U40&gt;4,INDEX($AG$4:$AH$6,MATCH(INDEX($P$3:$S$6,MATCH(MOD('Map 2 Do Touch'!U39,4),$O$3:$O$6,0),MATCH(MOD('Map 2 Do Touch'!U40,4),$P$2:$S$2,0)),$AF$4:$AF$6,0),MATCH(IF('Map 2 Do Touch'!U39&gt;4,"Water","Land"),'Map 3'!$AG$3:$AH$3,0)),INDEX($AK$4:$AL$6,MATCH(INDEX($P$3:$S$6,MATCH(MOD('Map 2 Do Touch'!U39,4),$O$3:$O$6,0),MATCH(MOD('Map 2 Do Touch'!U40,4),$P$2:$S$2,0)),'Map 3'!$AJ$4:$AJ$6,0),MATCH(IF('Map 2 Do Touch'!U39&gt;4,"Water","Land"),'Map 3'!$AK$3:$AL$3,0))))</f>
        <v>Ocean</v>
      </c>
      <c r="V44" s="3" t="str">
        <f ca="1">IF('Map 2 Do Touch'!U39&lt;&gt;'Map 2 Do Touch'!U40,IF('Map 2 Do Touch'!V40&gt;4,INDEX($AG$4:$AH$6,MATCH(INDEX($I$3:$L$6,MATCH(MOD('Map 2 Do Touch'!U40,4),$H$3:$H$6,0),MATCH(MOD('Map 2 Do Touch'!V40,4),$I$2:$L$2,0)),$AF$4:$AF$6,0),MATCH(IF('Map 2 Do Touch'!U40&gt;4,"Water","Land"),'Map 3'!$AG$3:$AH$3,0)),INDEX($AK$4:$AL$6,MATCH(INDEX($I$3:$L$6,MATCH(MOD('Map 2 Do Touch'!U40,4),$H$3:$H$6,0),MATCH(MOD('Map 2 Do Touch'!V40,4),$I$2:$L$2,0)),'Map 3'!$AJ$4:$AJ$6,0),MATCH(IF('Map 2 Do Touch'!U40&gt;4,"Water","Land"),'Map 3'!$AK$3:$AL$3,0))),IF('Map 2 Do Touch'!V40&gt;4,INDEX($AG$4:$AH$6,MATCH(INDEX($P$3:$S$6,MATCH(MOD('Map 2 Do Touch'!V39,4),$O$3:$O$6,0),MATCH(MOD('Map 2 Do Touch'!V40,4),$P$2:$S$2,0)),$AF$4:$AF$6,0),MATCH(IF('Map 2 Do Touch'!V39&gt;4,"Water","Land"),'Map 3'!$AG$3:$AH$3,0)),INDEX($AK$4:$AL$6,MATCH(INDEX($P$3:$S$6,MATCH(MOD('Map 2 Do Touch'!V39,4),$O$3:$O$6,0),MATCH(MOD('Map 2 Do Touch'!V40,4),$P$2:$S$2,0)),'Map 3'!$AJ$4:$AJ$6,0),MATCH(IF('Map 2 Do Touch'!V39&gt;4,"Water","Land"),'Map 3'!$AK$3:$AL$3,0))))</f>
        <v>Ocean</v>
      </c>
      <c r="W44" s="3" t="str">
        <f ca="1">IF('Map 2 Do Touch'!V39&lt;&gt;'Map 2 Do Touch'!V40,IF('Map 2 Do Touch'!W40&gt;4,INDEX($AG$4:$AH$6,MATCH(INDEX($I$3:$L$6,MATCH(MOD('Map 2 Do Touch'!V40,4),$H$3:$H$6,0),MATCH(MOD('Map 2 Do Touch'!W40,4),$I$2:$L$2,0)),$AF$4:$AF$6,0),MATCH(IF('Map 2 Do Touch'!V40&gt;4,"Water","Land"),'Map 3'!$AG$3:$AH$3,0)),INDEX($AK$4:$AL$6,MATCH(INDEX($I$3:$L$6,MATCH(MOD('Map 2 Do Touch'!V40,4),$H$3:$H$6,0),MATCH(MOD('Map 2 Do Touch'!W40,4),$I$2:$L$2,0)),'Map 3'!$AJ$4:$AJ$6,0),MATCH(IF('Map 2 Do Touch'!V40&gt;4,"Water","Land"),'Map 3'!$AK$3:$AL$3,0))),IF('Map 2 Do Touch'!W40&gt;4,INDEX($AG$4:$AH$6,MATCH(INDEX($P$3:$S$6,MATCH(MOD('Map 2 Do Touch'!W39,4),$O$3:$O$6,0),MATCH(MOD('Map 2 Do Touch'!W40,4),$P$2:$S$2,0)),$AF$4:$AF$6,0),MATCH(IF('Map 2 Do Touch'!W39&gt;4,"Water","Land"),'Map 3'!$AG$3:$AH$3,0)),INDEX($AK$4:$AL$6,MATCH(INDEX($P$3:$S$6,MATCH(MOD('Map 2 Do Touch'!W39,4),$O$3:$O$6,0),MATCH(MOD('Map 2 Do Touch'!W40,4),$P$2:$S$2,0)),'Map 3'!$AJ$4:$AJ$6,0),MATCH(IF('Map 2 Do Touch'!W39&gt;4,"Water","Land"),'Map 3'!$AK$3:$AL$3,0))))</f>
        <v>Ocean</v>
      </c>
      <c r="X44" s="3" t="str">
        <f ca="1">IF('Map 2 Do Touch'!W39&lt;&gt;'Map 2 Do Touch'!W40,IF('Map 2 Do Touch'!X40&gt;4,INDEX($AG$4:$AH$6,MATCH(INDEX($I$3:$L$6,MATCH(MOD('Map 2 Do Touch'!W40,4),$H$3:$H$6,0),MATCH(MOD('Map 2 Do Touch'!X40,4),$I$2:$L$2,0)),$AF$4:$AF$6,0),MATCH(IF('Map 2 Do Touch'!W40&gt;4,"Water","Land"),'Map 3'!$AG$3:$AH$3,0)),INDEX($AK$4:$AL$6,MATCH(INDEX($I$3:$L$6,MATCH(MOD('Map 2 Do Touch'!W40,4),$H$3:$H$6,0),MATCH(MOD('Map 2 Do Touch'!X40,4),$I$2:$L$2,0)),'Map 3'!$AJ$4:$AJ$6,0),MATCH(IF('Map 2 Do Touch'!W40&gt;4,"Water","Land"),'Map 3'!$AK$3:$AL$3,0))),IF('Map 2 Do Touch'!X40&gt;4,INDEX($AG$4:$AH$6,MATCH(INDEX($P$3:$S$6,MATCH(MOD('Map 2 Do Touch'!X39,4),$O$3:$O$6,0),MATCH(MOD('Map 2 Do Touch'!X40,4),$P$2:$S$2,0)),$AF$4:$AF$6,0),MATCH(IF('Map 2 Do Touch'!X39&gt;4,"Water","Land"),'Map 3'!$AG$3:$AH$3,0)),INDEX($AK$4:$AL$6,MATCH(INDEX($P$3:$S$6,MATCH(MOD('Map 2 Do Touch'!X39,4),$O$3:$O$6,0),MATCH(MOD('Map 2 Do Touch'!X40,4),$P$2:$S$2,0)),'Map 3'!$AJ$4:$AJ$6,0),MATCH(IF('Map 2 Do Touch'!X39&gt;4,"Water","Land"),'Map 3'!$AK$3:$AL$3,0))))</f>
        <v>Ocean</v>
      </c>
      <c r="Y44" s="3" t="str">
        <f ca="1">IF('Map 2 Do Touch'!X39&lt;&gt;'Map 2 Do Touch'!X40,IF('Map 2 Do Touch'!Y40&gt;4,INDEX($AG$4:$AH$6,MATCH(INDEX($I$3:$L$6,MATCH(MOD('Map 2 Do Touch'!X40,4),$H$3:$H$6,0),MATCH(MOD('Map 2 Do Touch'!Y40,4),$I$2:$L$2,0)),$AF$4:$AF$6,0),MATCH(IF('Map 2 Do Touch'!X40&gt;4,"Water","Land"),'Map 3'!$AG$3:$AH$3,0)),INDEX($AK$4:$AL$6,MATCH(INDEX($I$3:$L$6,MATCH(MOD('Map 2 Do Touch'!X40,4),$H$3:$H$6,0),MATCH(MOD('Map 2 Do Touch'!Y40,4),$I$2:$L$2,0)),'Map 3'!$AJ$4:$AJ$6,0),MATCH(IF('Map 2 Do Touch'!X40&gt;4,"Water","Land"),'Map 3'!$AK$3:$AL$3,0))),IF('Map 2 Do Touch'!Y40&gt;4,INDEX($AG$4:$AH$6,MATCH(INDEX($P$3:$S$6,MATCH(MOD('Map 2 Do Touch'!Y39,4),$O$3:$O$6,0),MATCH(MOD('Map 2 Do Touch'!Y40,4),$P$2:$S$2,0)),$AF$4:$AF$6,0),MATCH(IF('Map 2 Do Touch'!Y39&gt;4,"Water","Land"),'Map 3'!$AG$3:$AH$3,0)),INDEX($AK$4:$AL$6,MATCH(INDEX($P$3:$S$6,MATCH(MOD('Map 2 Do Touch'!Y39,4),$O$3:$O$6,0),MATCH(MOD('Map 2 Do Touch'!Y40,4),$P$2:$S$2,0)),'Map 3'!$AJ$4:$AJ$6,0),MATCH(IF('Map 2 Do Touch'!Y39&gt;4,"Water","Land"),'Map 3'!$AK$3:$AL$3,0))))</f>
        <v>Ocean</v>
      </c>
      <c r="Z44" s="3" t="str">
        <f ca="1">IF('Map 2 Do Touch'!Y39&lt;&gt;'Map 2 Do Touch'!Y40,IF('Map 2 Do Touch'!Z40&gt;4,INDEX($AG$4:$AH$6,MATCH(INDEX($I$3:$L$6,MATCH(MOD('Map 2 Do Touch'!Y40,4),$H$3:$H$6,0),MATCH(MOD('Map 2 Do Touch'!Z40,4),$I$2:$L$2,0)),$AF$4:$AF$6,0),MATCH(IF('Map 2 Do Touch'!Y40&gt;4,"Water","Land"),'Map 3'!$AG$3:$AH$3,0)),INDEX($AK$4:$AL$6,MATCH(INDEX($I$3:$L$6,MATCH(MOD('Map 2 Do Touch'!Y40,4),$H$3:$H$6,0),MATCH(MOD('Map 2 Do Touch'!Z40,4),$I$2:$L$2,0)),'Map 3'!$AJ$4:$AJ$6,0),MATCH(IF('Map 2 Do Touch'!Y40&gt;4,"Water","Land"),'Map 3'!$AK$3:$AL$3,0))),IF('Map 2 Do Touch'!Z40&gt;4,INDEX($AG$4:$AH$6,MATCH(INDEX($P$3:$S$6,MATCH(MOD('Map 2 Do Touch'!Z39,4),$O$3:$O$6,0),MATCH(MOD('Map 2 Do Touch'!Z40,4),$P$2:$S$2,0)),$AF$4:$AF$6,0),MATCH(IF('Map 2 Do Touch'!Z39&gt;4,"Water","Land"),'Map 3'!$AG$3:$AH$3,0)),INDEX($AK$4:$AL$6,MATCH(INDEX($P$3:$S$6,MATCH(MOD('Map 2 Do Touch'!Z39,4),$O$3:$O$6,0),MATCH(MOD('Map 2 Do Touch'!Z40,4),$P$2:$S$2,0)),'Map 3'!$AJ$4:$AJ$6,0),MATCH(IF('Map 2 Do Touch'!Z39&gt;4,"Water","Land"),'Map 3'!$AK$3:$AL$3,0))))</f>
        <v>Ocean</v>
      </c>
      <c r="AA44" s="3" t="str">
        <f ca="1">IF('Map 2 Do Touch'!Z39&lt;&gt;'Map 2 Do Touch'!Z40,IF('Map 2 Do Touch'!AA40&gt;4,INDEX($AG$4:$AH$6,MATCH(INDEX($I$3:$L$6,MATCH(MOD('Map 2 Do Touch'!Z40,4),$H$3:$H$6,0),MATCH(MOD('Map 2 Do Touch'!AA40,4),$I$2:$L$2,0)),$AF$4:$AF$6,0),MATCH(IF('Map 2 Do Touch'!Z40&gt;4,"Water","Land"),'Map 3'!$AG$3:$AH$3,0)),INDEX($AK$4:$AL$6,MATCH(INDEX($I$3:$L$6,MATCH(MOD('Map 2 Do Touch'!Z40,4),$H$3:$H$6,0),MATCH(MOD('Map 2 Do Touch'!AA40,4),$I$2:$L$2,0)),'Map 3'!$AJ$4:$AJ$6,0),MATCH(IF('Map 2 Do Touch'!Z40&gt;4,"Water","Land"),'Map 3'!$AK$3:$AL$3,0))),IF('Map 2 Do Touch'!AA40&gt;4,INDEX($AG$4:$AH$6,MATCH(INDEX($P$3:$S$6,MATCH(MOD('Map 2 Do Touch'!AA39,4),$O$3:$O$6,0),MATCH(MOD('Map 2 Do Touch'!AA40,4),$P$2:$S$2,0)),$AF$4:$AF$6,0),MATCH(IF('Map 2 Do Touch'!AA39&gt;4,"Water","Land"),'Map 3'!$AG$3:$AH$3,0)),INDEX($AK$4:$AL$6,MATCH(INDEX($P$3:$S$6,MATCH(MOD('Map 2 Do Touch'!AA39,4),$O$3:$O$6,0),MATCH(MOD('Map 2 Do Touch'!AA40,4),$P$2:$S$2,0)),'Map 3'!$AJ$4:$AJ$6,0),MATCH(IF('Map 2 Do Touch'!AA39&gt;4,"Water","Land"),'Map 3'!$AK$3:$AL$3,0))))</f>
        <v>Trench</v>
      </c>
      <c r="AB44" s="3" t="str">
        <f ca="1">IF('Map 2 Do Touch'!AA39&lt;&gt;'Map 2 Do Touch'!AA40,IF('Map 2 Do Touch'!AB40&gt;4,INDEX($AG$4:$AH$6,MATCH(INDEX($I$3:$L$6,MATCH(MOD('Map 2 Do Touch'!AA40,4),$H$3:$H$6,0),MATCH(MOD('Map 2 Do Touch'!AB40,4),$I$2:$L$2,0)),$AF$4:$AF$6,0),MATCH(IF('Map 2 Do Touch'!AA40&gt;4,"Water","Land"),'Map 3'!$AG$3:$AH$3,0)),INDEX($AK$4:$AL$6,MATCH(INDEX($I$3:$L$6,MATCH(MOD('Map 2 Do Touch'!AA40,4),$H$3:$H$6,0),MATCH(MOD('Map 2 Do Touch'!AB40,4),$I$2:$L$2,0)),'Map 3'!$AJ$4:$AJ$6,0),MATCH(IF('Map 2 Do Touch'!AA40&gt;4,"Water","Land"),'Map 3'!$AK$3:$AL$3,0))),IF('Map 2 Do Touch'!AB40&gt;4,INDEX($AG$4:$AH$6,MATCH(INDEX($P$3:$S$6,MATCH(MOD('Map 2 Do Touch'!AB39,4),$O$3:$O$6,0),MATCH(MOD('Map 2 Do Touch'!AB40,4),$P$2:$S$2,0)),$AF$4:$AF$6,0),MATCH(IF('Map 2 Do Touch'!AB39&gt;4,"Water","Land"),'Map 3'!$AG$3:$AH$3,0)),INDEX($AK$4:$AL$6,MATCH(INDEX($P$3:$S$6,MATCH(MOD('Map 2 Do Touch'!AB39,4),$O$3:$O$6,0),MATCH(MOD('Map 2 Do Touch'!AB40,4),$P$2:$S$2,0)),'Map 3'!$AJ$4:$AJ$6,0),MATCH(IF('Map 2 Do Touch'!AB39&gt;4,"Water","Land"),'Map 3'!$AK$3:$AL$3,0))))</f>
        <v>Island</v>
      </c>
      <c r="AC44" s="3" t="str">
        <f ca="1">IF('Map 2 Do Touch'!AB39&lt;&gt;'Map 2 Do Touch'!AB40,IF('Map 2 Do Touch'!AC40&gt;4,INDEX($AG$4:$AH$6,MATCH(INDEX($I$3:$L$6,MATCH(MOD('Map 2 Do Touch'!AB40,4),$H$3:$H$6,0),MATCH(MOD('Map 2 Do Touch'!AC40,4),$I$2:$L$2,0)),$AF$4:$AF$6,0),MATCH(IF('Map 2 Do Touch'!AB40&gt;4,"Water","Land"),'Map 3'!$AG$3:$AH$3,0)),INDEX($AK$4:$AL$6,MATCH(INDEX($I$3:$L$6,MATCH(MOD('Map 2 Do Touch'!AB40,4),$H$3:$H$6,0),MATCH(MOD('Map 2 Do Touch'!AC40,4),$I$2:$L$2,0)),'Map 3'!$AJ$4:$AJ$6,0),MATCH(IF('Map 2 Do Touch'!AB40&gt;4,"Water","Land"),'Map 3'!$AK$3:$AL$3,0))),IF('Map 2 Do Touch'!AC40&gt;4,INDEX($AG$4:$AH$6,MATCH(INDEX($P$3:$S$6,MATCH(MOD('Map 2 Do Touch'!AC39,4),$O$3:$O$6,0),MATCH(MOD('Map 2 Do Touch'!AC40,4),$P$2:$S$2,0)),$AF$4:$AF$6,0),MATCH(IF('Map 2 Do Touch'!AC39&gt;4,"Water","Land"),'Map 3'!$AG$3:$AH$3,0)),INDEX($AK$4:$AL$6,MATCH(INDEX($P$3:$S$6,MATCH(MOD('Map 2 Do Touch'!AC39,4),$O$3:$O$6,0),MATCH(MOD('Map 2 Do Touch'!AC40,4),$P$2:$S$2,0)),'Map 3'!$AJ$4:$AJ$6,0),MATCH(IF('Map 2 Do Touch'!AC39&gt;4,"Water","Land"),'Map 3'!$AK$3:$AL$3,0))))</f>
        <v>Ocean</v>
      </c>
      <c r="AD44" s="3" t="str">
        <f ca="1">IF('Map 2 Do Touch'!AC39&lt;&gt;'Map 2 Do Touch'!AC40,IF('Map 2 Do Touch'!AD40&gt;4,INDEX($AG$4:$AH$6,MATCH(INDEX($I$3:$L$6,MATCH(MOD('Map 2 Do Touch'!AC40,4),$H$3:$H$6,0),MATCH(MOD('Map 2 Do Touch'!AD40,4),$I$2:$L$2,0)),$AF$4:$AF$6,0),MATCH(IF('Map 2 Do Touch'!AC40&gt;4,"Water","Land"),'Map 3'!$AG$3:$AH$3,0)),INDEX($AK$4:$AL$6,MATCH(INDEX($I$3:$L$6,MATCH(MOD('Map 2 Do Touch'!AC40,4),$H$3:$H$6,0),MATCH(MOD('Map 2 Do Touch'!AD40,4),$I$2:$L$2,0)),'Map 3'!$AJ$4:$AJ$6,0),MATCH(IF('Map 2 Do Touch'!AC40&gt;4,"Water","Land"),'Map 3'!$AK$3:$AL$3,0))),IF('Map 2 Do Touch'!AD40&gt;4,INDEX($AG$4:$AH$6,MATCH(INDEX($P$3:$S$6,MATCH(MOD('Map 2 Do Touch'!AD39,4),$O$3:$O$6,0),MATCH(MOD('Map 2 Do Touch'!AD40,4),$P$2:$S$2,0)),$AF$4:$AF$6,0),MATCH(IF('Map 2 Do Touch'!AD39&gt;4,"Water","Land"),'Map 3'!$AG$3:$AH$3,0)),INDEX($AK$4:$AL$6,MATCH(INDEX($P$3:$S$6,MATCH(MOD('Map 2 Do Touch'!AD39,4),$O$3:$O$6,0),MATCH(MOD('Map 2 Do Touch'!AD40,4),$P$2:$S$2,0)),'Map 3'!$AJ$4:$AJ$6,0),MATCH(IF('Map 2 Do Touch'!AD39&gt;4,"Water","Land"),'Map 3'!$AK$3:$AL$3,0))))</f>
        <v>Ocean</v>
      </c>
      <c r="AE44" s="3" t="str">
        <f ca="1">IF('Map 2 Do Touch'!AD39&lt;&gt;'Map 2 Do Touch'!AD40,IF('Map 2 Do Touch'!AE40&gt;4,INDEX($AG$4:$AH$6,MATCH(INDEX($I$3:$L$6,MATCH(MOD('Map 2 Do Touch'!AD40,4),$H$3:$H$6,0),MATCH(MOD('Map 2 Do Touch'!AE40,4),$I$2:$L$2,0)),$AF$4:$AF$6,0),MATCH(IF('Map 2 Do Touch'!AD40&gt;4,"Water","Land"),'Map 3'!$AG$3:$AH$3,0)),INDEX($AK$4:$AL$6,MATCH(INDEX($I$3:$L$6,MATCH(MOD('Map 2 Do Touch'!AD40,4),$H$3:$H$6,0),MATCH(MOD('Map 2 Do Touch'!AE40,4),$I$2:$L$2,0)),'Map 3'!$AJ$4:$AJ$6,0),MATCH(IF('Map 2 Do Touch'!AD40&gt;4,"Water","Land"),'Map 3'!$AK$3:$AL$3,0))),IF('Map 2 Do Touch'!AE40&gt;4,INDEX($AG$4:$AH$6,MATCH(INDEX($P$3:$S$6,MATCH(MOD('Map 2 Do Touch'!AE39,4),$O$3:$O$6,0),MATCH(MOD('Map 2 Do Touch'!AE40,4),$P$2:$S$2,0)),$AF$4:$AF$6,0),MATCH(IF('Map 2 Do Touch'!AE39&gt;4,"Water","Land"),'Map 3'!$AG$3:$AH$3,0)),INDEX($AK$4:$AL$6,MATCH(INDEX($P$3:$S$6,MATCH(MOD('Map 2 Do Touch'!AE39,4),$O$3:$O$6,0),MATCH(MOD('Map 2 Do Touch'!AE40,4),$P$2:$S$2,0)),'Map 3'!$AJ$4:$AJ$6,0),MATCH(IF('Map 2 Do Touch'!AE39&gt;4,"Water","Land"),'Map 3'!$AK$3:$AL$3,0))))</f>
        <v>Trench</v>
      </c>
      <c r="AF44" s="3" t="str">
        <f ca="1">IF('Map 2 Do Touch'!AE39&lt;&gt;'Map 2 Do Touch'!AE40,IF('Map 2 Do Touch'!AF40&gt;4,INDEX($AG$4:$AH$6,MATCH(INDEX($I$3:$L$6,MATCH(MOD('Map 2 Do Touch'!AE40,4),$H$3:$H$6,0),MATCH(MOD('Map 2 Do Touch'!AF40,4),$I$2:$L$2,0)),$AF$4:$AF$6,0),MATCH(IF('Map 2 Do Touch'!AE40&gt;4,"Water","Land"),'Map 3'!$AG$3:$AH$3,0)),INDEX($AK$4:$AL$6,MATCH(INDEX($I$3:$L$6,MATCH(MOD('Map 2 Do Touch'!AE40,4),$H$3:$H$6,0),MATCH(MOD('Map 2 Do Touch'!AF40,4),$I$2:$L$2,0)),'Map 3'!$AJ$4:$AJ$6,0),MATCH(IF('Map 2 Do Touch'!AE40&gt;4,"Water","Land"),'Map 3'!$AK$3:$AL$3,0))),IF('Map 2 Do Touch'!AF40&gt;4,INDEX($AG$4:$AH$6,MATCH(INDEX($P$3:$S$6,MATCH(MOD('Map 2 Do Touch'!AF39,4),$O$3:$O$6,0),MATCH(MOD('Map 2 Do Touch'!AF40,4),$P$2:$S$2,0)),$AF$4:$AF$6,0),MATCH(IF('Map 2 Do Touch'!AF39&gt;4,"Water","Land"),'Map 3'!$AG$3:$AH$3,0)),INDEX($AK$4:$AL$6,MATCH(INDEX($P$3:$S$6,MATCH(MOD('Map 2 Do Touch'!AF39,4),$O$3:$O$6,0),MATCH(MOD('Map 2 Do Touch'!AF40,4),$P$2:$S$2,0)),'Map 3'!$AJ$4:$AJ$6,0),MATCH(IF('Map 2 Do Touch'!AF39&gt;4,"Water","Land"),'Map 3'!$AK$3:$AL$3,0))))</f>
        <v>Trench</v>
      </c>
      <c r="AG44" s="3" t="str">
        <f ca="1">IF('Map 2 Do Touch'!AF39&lt;&gt;'Map 2 Do Touch'!AF40,IF('Map 2 Do Touch'!AG40&gt;4,INDEX($AG$4:$AH$6,MATCH(INDEX($I$3:$L$6,MATCH(MOD('Map 2 Do Touch'!AF40,4),$H$3:$H$6,0),MATCH(MOD('Map 2 Do Touch'!AG40,4),$I$2:$L$2,0)),$AF$4:$AF$6,0),MATCH(IF('Map 2 Do Touch'!AF40&gt;4,"Water","Land"),'Map 3'!$AG$3:$AH$3,0)),INDEX($AK$4:$AL$6,MATCH(INDEX($I$3:$L$6,MATCH(MOD('Map 2 Do Touch'!AF40,4),$H$3:$H$6,0),MATCH(MOD('Map 2 Do Touch'!AG40,4),$I$2:$L$2,0)),'Map 3'!$AJ$4:$AJ$6,0),MATCH(IF('Map 2 Do Touch'!AF40&gt;4,"Water","Land"),'Map 3'!$AK$3:$AL$3,0))),IF('Map 2 Do Touch'!AG40&gt;4,INDEX($AG$4:$AH$6,MATCH(INDEX($P$3:$S$6,MATCH(MOD('Map 2 Do Touch'!AG39,4),$O$3:$O$6,0),MATCH(MOD('Map 2 Do Touch'!AG40,4),$P$2:$S$2,0)),$AF$4:$AF$6,0),MATCH(IF('Map 2 Do Touch'!AG39&gt;4,"Water","Land"),'Map 3'!$AG$3:$AH$3,0)),INDEX($AK$4:$AL$6,MATCH(INDEX($P$3:$S$6,MATCH(MOD('Map 2 Do Touch'!AG39,4),$O$3:$O$6,0),MATCH(MOD('Map 2 Do Touch'!AG40,4),$P$2:$S$2,0)),'Map 3'!$AJ$4:$AJ$6,0),MATCH(IF('Map 2 Do Touch'!AG39&gt;4,"Water","Land"),'Map 3'!$AK$3:$AL$3,0))))</f>
        <v>Ocean</v>
      </c>
      <c r="AH44" s="3" t="str">
        <f ca="1">IF('Map 2 Do Touch'!AG39&lt;&gt;'Map 2 Do Touch'!AG40,IF('Map 2 Do Touch'!AH40&gt;4,INDEX($AG$4:$AH$6,MATCH(INDEX($I$3:$L$6,MATCH(MOD('Map 2 Do Touch'!AG40,4),$H$3:$H$6,0),MATCH(MOD('Map 2 Do Touch'!AH40,4),$I$2:$L$2,0)),$AF$4:$AF$6,0),MATCH(IF('Map 2 Do Touch'!AG40&gt;4,"Water","Land"),'Map 3'!$AG$3:$AH$3,0)),INDEX($AK$4:$AL$6,MATCH(INDEX($I$3:$L$6,MATCH(MOD('Map 2 Do Touch'!AG40,4),$H$3:$H$6,0),MATCH(MOD('Map 2 Do Touch'!AH40,4),$I$2:$L$2,0)),'Map 3'!$AJ$4:$AJ$6,0),MATCH(IF('Map 2 Do Touch'!AG40&gt;4,"Water","Land"),'Map 3'!$AK$3:$AL$3,0))),IF('Map 2 Do Touch'!AH40&gt;4,INDEX($AG$4:$AH$6,MATCH(INDEX($P$3:$S$6,MATCH(MOD('Map 2 Do Touch'!AH39,4),$O$3:$O$6,0),MATCH(MOD('Map 2 Do Touch'!AH40,4),$P$2:$S$2,0)),$AF$4:$AF$6,0),MATCH(IF('Map 2 Do Touch'!AH39&gt;4,"Water","Land"),'Map 3'!$AG$3:$AH$3,0)),INDEX($AK$4:$AL$6,MATCH(INDEX($P$3:$S$6,MATCH(MOD('Map 2 Do Touch'!AH39,4),$O$3:$O$6,0),MATCH(MOD('Map 2 Do Touch'!AH40,4),$P$2:$S$2,0)),'Map 3'!$AJ$4:$AJ$6,0),MATCH(IF('Map 2 Do Touch'!AH39&gt;4,"Water","Land"),'Map 3'!$AK$3:$AL$3,0))))</f>
        <v>Ocean</v>
      </c>
      <c r="AI44" s="3" t="str">
        <f ca="1">IF('Map 2 Do Touch'!AH39&lt;&gt;'Map 2 Do Touch'!AH40,IF('Map 2 Do Touch'!AI40&gt;4,INDEX($AG$4:$AH$6,MATCH(INDEX($I$3:$L$6,MATCH(MOD('Map 2 Do Touch'!AH40,4),$H$3:$H$6,0),MATCH(MOD('Map 2 Do Touch'!AI40,4),$I$2:$L$2,0)),$AF$4:$AF$6,0),MATCH(IF('Map 2 Do Touch'!AH40&gt;4,"Water","Land"),'Map 3'!$AG$3:$AH$3,0)),INDEX($AK$4:$AL$6,MATCH(INDEX($I$3:$L$6,MATCH(MOD('Map 2 Do Touch'!AH40,4),$H$3:$H$6,0),MATCH(MOD('Map 2 Do Touch'!AI40,4),$I$2:$L$2,0)),'Map 3'!$AJ$4:$AJ$6,0),MATCH(IF('Map 2 Do Touch'!AH40&gt;4,"Water","Land"),'Map 3'!$AK$3:$AL$3,0))),IF('Map 2 Do Touch'!AI40&gt;4,INDEX($AG$4:$AH$6,MATCH(INDEX($P$3:$S$6,MATCH(MOD('Map 2 Do Touch'!AI39,4),$O$3:$O$6,0),MATCH(MOD('Map 2 Do Touch'!AI40,4),$P$2:$S$2,0)),$AF$4:$AF$6,0),MATCH(IF('Map 2 Do Touch'!AI39&gt;4,"Water","Land"),'Map 3'!$AG$3:$AH$3,0)),INDEX($AK$4:$AL$6,MATCH(INDEX($P$3:$S$6,MATCH(MOD('Map 2 Do Touch'!AI39,4),$O$3:$O$6,0),MATCH(MOD('Map 2 Do Touch'!AI40,4),$P$2:$S$2,0)),'Map 3'!$AJ$4:$AJ$6,0),MATCH(IF('Map 2 Do Touch'!AI39&gt;4,"Water","Land"),'Map 3'!$AK$3:$AL$3,0))))</f>
        <v>Ocean</v>
      </c>
      <c r="AJ44" s="3" t="str">
        <f ca="1">IF('Map 2 Do Touch'!AI39&lt;&gt;'Map 2 Do Touch'!AI40,IF('Map 2 Do Touch'!AJ40&gt;4,INDEX($AG$4:$AH$6,MATCH(INDEX($I$3:$L$6,MATCH(MOD('Map 2 Do Touch'!AI40,4),$H$3:$H$6,0),MATCH(MOD('Map 2 Do Touch'!AJ40,4),$I$2:$L$2,0)),$AF$4:$AF$6,0),MATCH(IF('Map 2 Do Touch'!AI40&gt;4,"Water","Land"),'Map 3'!$AG$3:$AH$3,0)),INDEX($AK$4:$AL$6,MATCH(INDEX($I$3:$L$6,MATCH(MOD('Map 2 Do Touch'!AI40,4),$H$3:$H$6,0),MATCH(MOD('Map 2 Do Touch'!AJ40,4),$I$2:$L$2,0)),'Map 3'!$AJ$4:$AJ$6,0),MATCH(IF('Map 2 Do Touch'!AI40&gt;4,"Water","Land"),'Map 3'!$AK$3:$AL$3,0))),IF('Map 2 Do Touch'!AJ40&gt;4,INDEX($AG$4:$AH$6,MATCH(INDEX($P$3:$S$6,MATCH(MOD('Map 2 Do Touch'!AJ39,4),$O$3:$O$6,0),MATCH(MOD('Map 2 Do Touch'!AJ40,4),$P$2:$S$2,0)),$AF$4:$AF$6,0),MATCH(IF('Map 2 Do Touch'!AJ39&gt;4,"Water","Land"),'Map 3'!$AG$3:$AH$3,0)),INDEX($AK$4:$AL$6,MATCH(INDEX($P$3:$S$6,MATCH(MOD('Map 2 Do Touch'!AJ39,4),$O$3:$O$6,0),MATCH(MOD('Map 2 Do Touch'!AJ40,4),$P$2:$S$2,0)),'Map 3'!$AJ$4:$AJ$6,0),MATCH(IF('Map 2 Do Touch'!AJ39&gt;4,"Water","Land"),'Map 3'!$AK$3:$AL$3,0))))</f>
        <v>Ocean</v>
      </c>
      <c r="AK44" s="3" t="str">
        <f ca="1">IF('Map 2 Do Touch'!AJ39&lt;&gt;'Map 2 Do Touch'!AJ40,IF('Map 2 Do Touch'!AK40&gt;4,INDEX($AG$4:$AH$6,MATCH(INDEX($I$3:$L$6,MATCH(MOD('Map 2 Do Touch'!AJ40,4),$H$3:$H$6,0),MATCH(MOD('Map 2 Do Touch'!AK40,4),$I$2:$L$2,0)),$AF$4:$AF$6,0),MATCH(IF('Map 2 Do Touch'!AJ40&gt;4,"Water","Land"),'Map 3'!$AG$3:$AH$3,0)),INDEX($AK$4:$AL$6,MATCH(INDEX($I$3:$L$6,MATCH(MOD('Map 2 Do Touch'!AJ40,4),$H$3:$H$6,0),MATCH(MOD('Map 2 Do Touch'!AK40,4),$I$2:$L$2,0)),'Map 3'!$AJ$4:$AJ$6,0),MATCH(IF('Map 2 Do Touch'!AJ40&gt;4,"Water","Land"),'Map 3'!$AK$3:$AL$3,0))),IF('Map 2 Do Touch'!AK40&gt;4,INDEX($AG$4:$AH$6,MATCH(INDEX($P$3:$S$6,MATCH(MOD('Map 2 Do Touch'!AK39,4),$O$3:$O$6,0),MATCH(MOD('Map 2 Do Touch'!AK40,4),$P$2:$S$2,0)),$AF$4:$AF$6,0),MATCH(IF('Map 2 Do Touch'!AK39&gt;4,"Water","Land"),'Map 3'!$AG$3:$AH$3,0)),INDEX($AK$4:$AL$6,MATCH(INDEX($P$3:$S$6,MATCH(MOD('Map 2 Do Touch'!AK39,4),$O$3:$O$6,0),MATCH(MOD('Map 2 Do Touch'!AK40,4),$P$2:$S$2,0)),'Map 3'!$AJ$4:$AJ$6,0),MATCH(IF('Map 2 Do Touch'!AK39&gt;4,"Water","Land"),'Map 3'!$AK$3:$AL$3,0))))</f>
        <v>Ocean</v>
      </c>
      <c r="AL44" s="3" t="str">
        <f ca="1">IF('Map 2 Do Touch'!AK39&lt;&gt;'Map 2 Do Touch'!AK40,IF('Map 2 Do Touch'!AL40&gt;4,INDEX($AG$4:$AH$6,MATCH(INDEX($I$3:$L$6,MATCH(MOD('Map 2 Do Touch'!AK40,4),$H$3:$H$6,0),MATCH(MOD('Map 2 Do Touch'!AL40,4),$I$2:$L$2,0)),$AF$4:$AF$6,0),MATCH(IF('Map 2 Do Touch'!AK40&gt;4,"Water","Land"),'Map 3'!$AG$3:$AH$3,0)),INDEX($AK$4:$AL$6,MATCH(INDEX($I$3:$L$6,MATCH(MOD('Map 2 Do Touch'!AK40,4),$H$3:$H$6,0),MATCH(MOD('Map 2 Do Touch'!AL40,4),$I$2:$L$2,0)),'Map 3'!$AJ$4:$AJ$6,0),MATCH(IF('Map 2 Do Touch'!AK40&gt;4,"Water","Land"),'Map 3'!$AK$3:$AL$3,0))),IF('Map 2 Do Touch'!AL40&gt;4,INDEX($AG$4:$AH$6,MATCH(INDEX($P$3:$S$6,MATCH(MOD('Map 2 Do Touch'!AL39,4),$O$3:$O$6,0),MATCH(MOD('Map 2 Do Touch'!AL40,4),$P$2:$S$2,0)),$AF$4:$AF$6,0),MATCH(IF('Map 2 Do Touch'!AL39&gt;4,"Water","Land"),'Map 3'!$AG$3:$AH$3,0)),INDEX($AK$4:$AL$6,MATCH(INDEX($P$3:$S$6,MATCH(MOD('Map 2 Do Touch'!AL39,4),$O$3:$O$6,0),MATCH(MOD('Map 2 Do Touch'!AL40,4),$P$2:$S$2,0)),'Map 3'!$AJ$4:$AJ$6,0),MATCH(IF('Map 2 Do Touch'!AL39&gt;4,"Water","Land"),'Map 3'!$AK$3:$AL$3,0))))</f>
        <v>Ocean</v>
      </c>
      <c r="AM44" s="3" t="str">
        <f ca="1">IF('Map 2 Do Touch'!AL39&lt;&gt;'Map 2 Do Touch'!AL40,IF('Map 2 Do Touch'!AM40&gt;4,INDEX($AG$4:$AH$6,MATCH(INDEX($I$3:$L$6,MATCH(MOD('Map 2 Do Touch'!AL40,4),$H$3:$H$6,0),MATCH(MOD('Map 2 Do Touch'!AM40,4),$I$2:$L$2,0)),$AF$4:$AF$6,0),MATCH(IF('Map 2 Do Touch'!AL40&gt;4,"Water","Land"),'Map 3'!$AG$3:$AH$3,0)),INDEX($AK$4:$AL$6,MATCH(INDEX($I$3:$L$6,MATCH(MOD('Map 2 Do Touch'!AL40,4),$H$3:$H$6,0),MATCH(MOD('Map 2 Do Touch'!AM40,4),$I$2:$L$2,0)),'Map 3'!$AJ$4:$AJ$6,0),MATCH(IF('Map 2 Do Touch'!AL40&gt;4,"Water","Land"),'Map 3'!$AK$3:$AL$3,0))),IF('Map 2 Do Touch'!AM40&gt;4,INDEX($AG$4:$AH$6,MATCH(INDEX($P$3:$S$6,MATCH(MOD('Map 2 Do Touch'!AM39,4),$O$3:$O$6,0),MATCH(MOD('Map 2 Do Touch'!AM40,4),$P$2:$S$2,0)),$AF$4:$AF$6,0),MATCH(IF('Map 2 Do Touch'!AM39&gt;4,"Water","Land"),'Map 3'!$AG$3:$AH$3,0)),INDEX($AK$4:$AL$6,MATCH(INDEX($P$3:$S$6,MATCH(MOD('Map 2 Do Touch'!AM39,4),$O$3:$O$6,0),MATCH(MOD('Map 2 Do Touch'!AM40,4),$P$2:$S$2,0)),'Map 3'!$AJ$4:$AJ$6,0),MATCH(IF('Map 2 Do Touch'!AM39&gt;4,"Water","Land"),'Map 3'!$AK$3:$AL$3,0))))</f>
        <v>Ocean</v>
      </c>
      <c r="AN44" s="3" t="str">
        <f ca="1">IF('Map 2 Do Touch'!AM39&lt;&gt;'Map 2 Do Touch'!AM40,IF('Map 2 Do Touch'!AN40&gt;4,INDEX($AG$4:$AH$6,MATCH(INDEX($I$3:$L$6,MATCH(MOD('Map 2 Do Touch'!AM40,4),$H$3:$H$6,0),MATCH(MOD('Map 2 Do Touch'!AN40,4),$I$2:$L$2,0)),$AF$4:$AF$6,0),MATCH(IF('Map 2 Do Touch'!AM40&gt;4,"Water","Land"),'Map 3'!$AG$3:$AH$3,0)),INDEX($AK$4:$AL$6,MATCH(INDEX($I$3:$L$6,MATCH(MOD('Map 2 Do Touch'!AM40,4),$H$3:$H$6,0),MATCH(MOD('Map 2 Do Touch'!AN40,4),$I$2:$L$2,0)),'Map 3'!$AJ$4:$AJ$6,0),MATCH(IF('Map 2 Do Touch'!AM40&gt;4,"Water","Land"),'Map 3'!$AK$3:$AL$3,0))),IF('Map 2 Do Touch'!AN40&gt;4,INDEX($AG$4:$AH$6,MATCH(INDEX($P$3:$S$6,MATCH(MOD('Map 2 Do Touch'!AN39,4),$O$3:$O$6,0),MATCH(MOD('Map 2 Do Touch'!AN40,4),$P$2:$S$2,0)),$AF$4:$AF$6,0),MATCH(IF('Map 2 Do Touch'!AN39&gt;4,"Water","Land"),'Map 3'!$AG$3:$AH$3,0)),INDEX($AK$4:$AL$6,MATCH(INDEX($P$3:$S$6,MATCH(MOD('Map 2 Do Touch'!AN39,4),$O$3:$O$6,0),MATCH(MOD('Map 2 Do Touch'!AN40,4),$P$2:$S$2,0)),'Map 3'!$AJ$4:$AJ$6,0),MATCH(IF('Map 2 Do Touch'!AN39&gt;4,"Water","Land"),'Map 3'!$AK$3:$AL$3,0))))</f>
        <v>Ocean</v>
      </c>
      <c r="AO44" s="87" t="str">
        <f ca="1">IF('Map 2 Do Touch'!AN39&lt;&gt;'Map 2 Do Touch'!AN40,IF('Map 2 Do Touch'!AO40&gt;4,INDEX($AG$4:$AH$6,MATCH(INDEX($I$3:$L$6,MATCH(MOD('Map 2 Do Touch'!AN40,4),$H$3:$H$6,0),MATCH(MOD('Map 2 Do Touch'!AO40,4),$I$2:$L$2,0)),$AF$4:$AF$6,0),MATCH(IF('Map 2 Do Touch'!AN40&gt;4,"Water","Land"),'Map 3'!$AG$3:$AH$3,0)),INDEX($AK$4:$AL$6,MATCH(INDEX($I$3:$L$6,MATCH(MOD('Map 2 Do Touch'!AN40,4),$H$3:$H$6,0),MATCH(MOD('Map 2 Do Touch'!AO40,4),$I$2:$L$2,0)),'Map 3'!$AJ$4:$AJ$6,0),MATCH(IF('Map 2 Do Touch'!AN40&gt;4,"Water","Land"),'Map 3'!$AK$3:$AL$3,0))),IF('Map 2 Do Touch'!AO40&gt;4,INDEX($AG$4:$AH$6,MATCH(INDEX($P$3:$S$6,MATCH(MOD('Map 2 Do Touch'!AO39,4),$O$3:$O$6,0),MATCH(MOD('Map 2 Do Touch'!AO40,4),$P$2:$S$2,0)),$AF$4:$AF$6,0),MATCH(IF('Map 2 Do Touch'!AO39&gt;4,"Water","Land"),'Map 3'!$AG$3:$AH$3,0)),INDEX($AK$4:$AL$6,MATCH(INDEX($P$3:$S$6,MATCH(MOD('Map 2 Do Touch'!AO39,4),$O$3:$O$6,0),MATCH(MOD('Map 2 Do Touch'!AO40,4),$P$2:$S$2,0)),'Map 3'!$AJ$4:$AJ$6,0),MATCH(IF('Map 2 Do Touch'!AO39&gt;4,"Water","Land"),'Map 3'!$AK$3:$AL$3,0))))</f>
        <v>Trench</v>
      </c>
      <c r="AP44" s="3"/>
    </row>
    <row r="45" spans="1:42" ht="37.5" customHeight="1">
      <c r="A45" s="3">
        <v>34</v>
      </c>
      <c r="B45" s="86" t="str">
        <f ca="1">IF('Map 2 Do Touch'!B40&lt;&gt;'Map 2 Do Touch'!B41,IF('Map 2 Do Touch'!B41&gt;4,INDEX($AG$4:$AH$6,MATCH(INDEX($I$3:$L$6,MATCH(MOD('Map 2 Do Touch'!AO41,4),$H$3:$H$6,0),MATCH(MOD('Map 2 Do Touch'!B41,4),$I$2:$L$2,0)),$AF$4:$AF$6,0),MATCH(IF('Map 2 Do Touch'!AO41&gt;4,"Water","Land"),'Map 3'!$AG$3:$AH$3,0)),INDEX($AK$4:$AL$6,MATCH(INDEX($I$3:$L$6,MATCH(MOD('Map 2 Do Touch'!A41,4),$H$3:$H$6,0),MATCH(MOD('Map 2 Do Touch'!B41,4),$I$2:$L$2,0)),'Map 3'!$AJ$4:$AJ$6,0),MATCH(IF('Map 2 Do Touch'!AO41&gt;4,"Water","Land"),'Map 3'!$AK$3:$AL$3,0))),IF('Map 2 Do Touch'!B41&gt;4,INDEX($AG$4:$AH$6,MATCH(INDEX($P$3:$S$6,MATCH(MOD('Map 2 Do Touch'!B40,4),$O$3:$O$6,0),MATCH(MOD('Map 2 Do Touch'!B41,4),$P$2:$S$2,0)),$AF$4:$AF$6,0),MATCH(IF('Map 2 Do Touch'!B40&gt;4,"Water","Land"),'Map 3'!$AG$3:$AH$3,0)),INDEX($AK$4:$AL$6,MATCH(INDEX($P$3:$S$6,MATCH(MOD('Map 2 Do Touch'!B40,4),$O$3:$O$6,0),MATCH(MOD('Map 2 Do Touch'!B41,4),$P$2:$S$2,0)),'Map 3'!$AJ$4:$AJ$6,0),MATCH(IF('Map 2 Do Touch'!B40&gt;4,"Water","Land"),'Map 3'!$AK$3:$AL$3,0))))</f>
        <v>Ocean</v>
      </c>
      <c r="C45" s="3" t="str">
        <f ca="1">IF('Map 2 Do Touch'!B40&lt;&gt;'Map 2 Do Touch'!B41,IF('Map 2 Do Touch'!C41&gt;4,INDEX($AG$4:$AH$6,MATCH(INDEX($I$3:$L$6,MATCH(MOD('Map 2 Do Touch'!B41,4),$H$3:$H$6,0),MATCH(MOD('Map 2 Do Touch'!C41,4),$I$2:$L$2,0)),$AF$4:$AF$6,0),MATCH(IF('Map 2 Do Touch'!B41&gt;4,"Water","Land"),'Map 3'!$AG$3:$AH$3,0)),INDEX($AK$4:$AL$6,MATCH(INDEX($I$3:$L$6,MATCH(MOD('Map 2 Do Touch'!B41,4),$H$3:$H$6,0),MATCH(MOD('Map 2 Do Touch'!C41,4),$I$2:$L$2,0)),'Map 3'!$AJ$4:$AJ$6,0),MATCH(IF('Map 2 Do Touch'!B41&gt;4,"Water","Land"),'Map 3'!$AK$3:$AL$3,0))),IF('Map 2 Do Touch'!C41&gt;4,INDEX($AG$4:$AH$6,MATCH(INDEX($P$3:$S$6,MATCH(MOD('Map 2 Do Touch'!C40,4),$O$3:$O$6,0),MATCH(MOD('Map 2 Do Touch'!C41,4),$P$2:$S$2,0)),$AF$4:$AF$6,0),MATCH(IF('Map 2 Do Touch'!C40&gt;4,"Water","Land"),'Map 3'!$AG$3:$AH$3,0)),INDEX($AK$4:$AL$6,MATCH(INDEX($P$3:$S$6,MATCH(MOD('Map 2 Do Touch'!C40,4),$O$3:$O$6,0),MATCH(MOD('Map 2 Do Touch'!C41,4),$P$2:$S$2,0)),'Map 3'!$AJ$4:$AJ$6,0),MATCH(IF('Map 2 Do Touch'!C40&gt;4,"Water","Land"),'Map 3'!$AK$3:$AL$3,0))))</f>
        <v>Ocean</v>
      </c>
      <c r="D45" s="3" t="str">
        <f ca="1">IF('Map 2 Do Touch'!C40&lt;&gt;'Map 2 Do Touch'!C41,IF('Map 2 Do Touch'!D41&gt;4,INDEX($AG$4:$AH$6,MATCH(INDEX($I$3:$L$6,MATCH(MOD('Map 2 Do Touch'!C41,4),$H$3:$H$6,0),MATCH(MOD('Map 2 Do Touch'!D41,4),$I$2:$L$2,0)),$AF$4:$AF$6,0),MATCH(IF('Map 2 Do Touch'!C41&gt;4,"Water","Land"),'Map 3'!$AG$3:$AH$3,0)),INDEX($AK$4:$AL$6,MATCH(INDEX($I$3:$L$6,MATCH(MOD('Map 2 Do Touch'!C41,4),$H$3:$H$6,0),MATCH(MOD('Map 2 Do Touch'!D41,4),$I$2:$L$2,0)),'Map 3'!$AJ$4:$AJ$6,0),MATCH(IF('Map 2 Do Touch'!C41&gt;4,"Water","Land"),'Map 3'!$AK$3:$AL$3,0))),IF('Map 2 Do Touch'!D41&gt;4,INDEX($AG$4:$AH$6,MATCH(INDEX($P$3:$S$6,MATCH(MOD('Map 2 Do Touch'!D40,4),$O$3:$O$6,0),MATCH(MOD('Map 2 Do Touch'!D41,4),$P$2:$S$2,0)),$AF$4:$AF$6,0),MATCH(IF('Map 2 Do Touch'!D40&gt;4,"Water","Land"),'Map 3'!$AG$3:$AH$3,0)),INDEX($AK$4:$AL$6,MATCH(INDEX($P$3:$S$6,MATCH(MOD('Map 2 Do Touch'!D40,4),$O$3:$O$6,0),MATCH(MOD('Map 2 Do Touch'!D41,4),$P$2:$S$2,0)),'Map 3'!$AJ$4:$AJ$6,0),MATCH(IF('Map 2 Do Touch'!D40&gt;4,"Water","Land"),'Map 3'!$AK$3:$AL$3,0))))</f>
        <v>Coast</v>
      </c>
      <c r="E45" s="3" t="str">
        <f ca="1">IF('Map 2 Do Touch'!D40&lt;&gt;'Map 2 Do Touch'!D41,IF('Map 2 Do Touch'!E41&gt;4,INDEX($AG$4:$AH$6,MATCH(INDEX($I$3:$L$6,MATCH(MOD('Map 2 Do Touch'!D41,4),$H$3:$H$6,0),MATCH(MOD('Map 2 Do Touch'!E41,4),$I$2:$L$2,0)),$AF$4:$AF$6,0),MATCH(IF('Map 2 Do Touch'!D41&gt;4,"Water","Land"),'Map 3'!$AG$3:$AH$3,0)),INDEX($AK$4:$AL$6,MATCH(INDEX($I$3:$L$6,MATCH(MOD('Map 2 Do Touch'!D41,4),$H$3:$H$6,0),MATCH(MOD('Map 2 Do Touch'!E41,4),$I$2:$L$2,0)),'Map 3'!$AJ$4:$AJ$6,0),MATCH(IF('Map 2 Do Touch'!D41&gt;4,"Water","Land"),'Map 3'!$AK$3:$AL$3,0))),IF('Map 2 Do Touch'!E41&gt;4,INDEX($AG$4:$AH$6,MATCH(INDEX($P$3:$S$6,MATCH(MOD('Map 2 Do Touch'!E40,4),$O$3:$O$6,0),MATCH(MOD('Map 2 Do Touch'!E41,4),$P$2:$S$2,0)),$AF$4:$AF$6,0),MATCH(IF('Map 2 Do Touch'!E40&gt;4,"Water","Land"),'Map 3'!$AG$3:$AH$3,0)),INDEX($AK$4:$AL$6,MATCH(INDEX($P$3:$S$6,MATCH(MOD('Map 2 Do Touch'!E40,4),$O$3:$O$6,0),MATCH(MOD('Map 2 Do Touch'!E41,4),$P$2:$S$2,0)),'Map 3'!$AJ$4:$AJ$6,0),MATCH(IF('Map 2 Do Touch'!E40&gt;4,"Water","Land"),'Map 3'!$AK$3:$AL$3,0))))</f>
        <v>Ocean</v>
      </c>
      <c r="F45" s="3" t="str">
        <f ca="1">IF('Map 2 Do Touch'!E40&lt;&gt;'Map 2 Do Touch'!E41,IF('Map 2 Do Touch'!F41&gt;4,INDEX($AG$4:$AH$6,MATCH(INDEX($I$3:$L$6,MATCH(MOD('Map 2 Do Touch'!E41,4),$H$3:$H$6,0),MATCH(MOD('Map 2 Do Touch'!F41,4),$I$2:$L$2,0)),$AF$4:$AF$6,0),MATCH(IF('Map 2 Do Touch'!E41&gt;4,"Water","Land"),'Map 3'!$AG$3:$AH$3,0)),INDEX($AK$4:$AL$6,MATCH(INDEX($I$3:$L$6,MATCH(MOD('Map 2 Do Touch'!E41,4),$H$3:$H$6,0),MATCH(MOD('Map 2 Do Touch'!F41,4),$I$2:$L$2,0)),'Map 3'!$AJ$4:$AJ$6,0),MATCH(IF('Map 2 Do Touch'!E41&gt;4,"Water","Land"),'Map 3'!$AK$3:$AL$3,0))),IF('Map 2 Do Touch'!F41&gt;4,INDEX($AG$4:$AH$6,MATCH(INDEX($P$3:$S$6,MATCH(MOD('Map 2 Do Touch'!F40,4),$O$3:$O$6,0),MATCH(MOD('Map 2 Do Touch'!F41,4),$P$2:$S$2,0)),$AF$4:$AF$6,0),MATCH(IF('Map 2 Do Touch'!F40&gt;4,"Water","Land"),'Map 3'!$AG$3:$AH$3,0)),INDEX($AK$4:$AL$6,MATCH(INDEX($P$3:$S$6,MATCH(MOD('Map 2 Do Touch'!F40,4),$O$3:$O$6,0),MATCH(MOD('Map 2 Do Touch'!F41,4),$P$2:$S$2,0)),'Map 3'!$AJ$4:$AJ$6,0),MATCH(IF('Map 2 Do Touch'!F40&gt;4,"Water","Land"),'Map 3'!$AK$3:$AL$3,0))))</f>
        <v>Ocean</v>
      </c>
      <c r="G45" s="3" t="str">
        <f ca="1">IF('Map 2 Do Touch'!F40&lt;&gt;'Map 2 Do Touch'!F41,IF('Map 2 Do Touch'!G41&gt;4,INDEX($AG$4:$AH$6,MATCH(INDEX($I$3:$L$6,MATCH(MOD('Map 2 Do Touch'!F41,4),$H$3:$H$6,0),MATCH(MOD('Map 2 Do Touch'!G41,4),$I$2:$L$2,0)),$AF$4:$AF$6,0),MATCH(IF('Map 2 Do Touch'!F41&gt;4,"Water","Land"),'Map 3'!$AG$3:$AH$3,0)),INDEX($AK$4:$AL$6,MATCH(INDEX($I$3:$L$6,MATCH(MOD('Map 2 Do Touch'!F41,4),$H$3:$H$6,0),MATCH(MOD('Map 2 Do Touch'!G41,4),$I$2:$L$2,0)),'Map 3'!$AJ$4:$AJ$6,0),MATCH(IF('Map 2 Do Touch'!F41&gt;4,"Water","Land"),'Map 3'!$AK$3:$AL$3,0))),IF('Map 2 Do Touch'!G41&gt;4,INDEX($AG$4:$AH$6,MATCH(INDEX($P$3:$S$6,MATCH(MOD('Map 2 Do Touch'!G40,4),$O$3:$O$6,0),MATCH(MOD('Map 2 Do Touch'!G41,4),$P$2:$S$2,0)),$AF$4:$AF$6,0),MATCH(IF('Map 2 Do Touch'!G40&gt;4,"Water","Land"),'Map 3'!$AG$3:$AH$3,0)),INDEX($AK$4:$AL$6,MATCH(INDEX($P$3:$S$6,MATCH(MOD('Map 2 Do Touch'!G40,4),$O$3:$O$6,0),MATCH(MOD('Map 2 Do Touch'!G41,4),$P$2:$S$2,0)),'Map 3'!$AJ$4:$AJ$6,0),MATCH(IF('Map 2 Do Touch'!G40&gt;4,"Water","Land"),'Map 3'!$AK$3:$AL$3,0))))</f>
        <v>Ocean</v>
      </c>
      <c r="H45" s="3" t="str">
        <f ca="1">IF('Map 2 Do Touch'!G40&lt;&gt;'Map 2 Do Touch'!G41,IF('Map 2 Do Touch'!H41&gt;4,INDEX($AG$4:$AH$6,MATCH(INDEX($I$3:$L$6,MATCH(MOD('Map 2 Do Touch'!G41,4),$H$3:$H$6,0),MATCH(MOD('Map 2 Do Touch'!H41,4),$I$2:$L$2,0)),$AF$4:$AF$6,0),MATCH(IF('Map 2 Do Touch'!G41&gt;4,"Water","Land"),'Map 3'!$AG$3:$AH$3,0)),INDEX($AK$4:$AL$6,MATCH(INDEX($I$3:$L$6,MATCH(MOD('Map 2 Do Touch'!G41,4),$H$3:$H$6,0),MATCH(MOD('Map 2 Do Touch'!H41,4),$I$2:$L$2,0)),'Map 3'!$AJ$4:$AJ$6,0),MATCH(IF('Map 2 Do Touch'!G41&gt;4,"Water","Land"),'Map 3'!$AK$3:$AL$3,0))),IF('Map 2 Do Touch'!H41&gt;4,INDEX($AG$4:$AH$6,MATCH(INDEX($P$3:$S$6,MATCH(MOD('Map 2 Do Touch'!H40,4),$O$3:$O$6,0),MATCH(MOD('Map 2 Do Touch'!H41,4),$P$2:$S$2,0)),$AF$4:$AF$6,0),MATCH(IF('Map 2 Do Touch'!H40&gt;4,"Water","Land"),'Map 3'!$AG$3:$AH$3,0)),INDEX($AK$4:$AL$6,MATCH(INDEX($P$3:$S$6,MATCH(MOD('Map 2 Do Touch'!H40,4),$O$3:$O$6,0),MATCH(MOD('Map 2 Do Touch'!H41,4),$P$2:$S$2,0)),'Map 3'!$AJ$4:$AJ$6,0),MATCH(IF('Map 2 Do Touch'!H40&gt;4,"Water","Land"),'Map 3'!$AK$3:$AL$3,0))))</f>
        <v>Ocean</v>
      </c>
      <c r="I45" s="3" t="str">
        <f ca="1">IF('Map 2 Do Touch'!H40&lt;&gt;'Map 2 Do Touch'!H41,IF('Map 2 Do Touch'!I41&gt;4,INDEX($AG$4:$AH$6,MATCH(INDEX($I$3:$L$6,MATCH(MOD('Map 2 Do Touch'!H41,4),$H$3:$H$6,0),MATCH(MOD('Map 2 Do Touch'!I41,4),$I$2:$L$2,0)),$AF$4:$AF$6,0),MATCH(IF('Map 2 Do Touch'!H41&gt;4,"Water","Land"),'Map 3'!$AG$3:$AH$3,0)),INDEX($AK$4:$AL$6,MATCH(INDEX($I$3:$L$6,MATCH(MOD('Map 2 Do Touch'!H41,4),$H$3:$H$6,0),MATCH(MOD('Map 2 Do Touch'!I41,4),$I$2:$L$2,0)),'Map 3'!$AJ$4:$AJ$6,0),MATCH(IF('Map 2 Do Touch'!H41&gt;4,"Water","Land"),'Map 3'!$AK$3:$AL$3,0))),IF('Map 2 Do Touch'!I41&gt;4,INDEX($AG$4:$AH$6,MATCH(INDEX($P$3:$S$6,MATCH(MOD('Map 2 Do Touch'!I40,4),$O$3:$O$6,0),MATCH(MOD('Map 2 Do Touch'!I41,4),$P$2:$S$2,0)),$AF$4:$AF$6,0),MATCH(IF('Map 2 Do Touch'!I40&gt;4,"Water","Land"),'Map 3'!$AG$3:$AH$3,0)),INDEX($AK$4:$AL$6,MATCH(INDEX($P$3:$S$6,MATCH(MOD('Map 2 Do Touch'!I40,4),$O$3:$O$6,0),MATCH(MOD('Map 2 Do Touch'!I41,4),$P$2:$S$2,0)),'Map 3'!$AJ$4:$AJ$6,0),MATCH(IF('Map 2 Do Touch'!I40&gt;4,"Water","Land"),'Map 3'!$AK$3:$AL$3,0))))</f>
        <v>Ocean</v>
      </c>
      <c r="J45" s="3" t="str">
        <f ca="1">IF('Map 2 Do Touch'!I40&lt;&gt;'Map 2 Do Touch'!I41,IF('Map 2 Do Touch'!J41&gt;4,INDEX($AG$4:$AH$6,MATCH(INDEX($I$3:$L$6,MATCH(MOD('Map 2 Do Touch'!I41,4),$H$3:$H$6,0),MATCH(MOD('Map 2 Do Touch'!J41,4),$I$2:$L$2,0)),$AF$4:$AF$6,0),MATCH(IF('Map 2 Do Touch'!I41&gt;4,"Water","Land"),'Map 3'!$AG$3:$AH$3,0)),INDEX($AK$4:$AL$6,MATCH(INDEX($I$3:$L$6,MATCH(MOD('Map 2 Do Touch'!I41,4),$H$3:$H$6,0),MATCH(MOD('Map 2 Do Touch'!J41,4),$I$2:$L$2,0)),'Map 3'!$AJ$4:$AJ$6,0),MATCH(IF('Map 2 Do Touch'!I41&gt;4,"Water","Land"),'Map 3'!$AK$3:$AL$3,0))),IF('Map 2 Do Touch'!J41&gt;4,INDEX($AG$4:$AH$6,MATCH(INDEX($P$3:$S$6,MATCH(MOD('Map 2 Do Touch'!J40,4),$O$3:$O$6,0),MATCH(MOD('Map 2 Do Touch'!J41,4),$P$2:$S$2,0)),$AF$4:$AF$6,0),MATCH(IF('Map 2 Do Touch'!J40&gt;4,"Water","Land"),'Map 3'!$AG$3:$AH$3,0)),INDEX($AK$4:$AL$6,MATCH(INDEX($P$3:$S$6,MATCH(MOD('Map 2 Do Touch'!J40,4),$O$3:$O$6,0),MATCH(MOD('Map 2 Do Touch'!J41,4),$P$2:$S$2,0)),'Map 3'!$AJ$4:$AJ$6,0),MATCH(IF('Map 2 Do Touch'!J40&gt;4,"Water","Land"),'Map 3'!$AK$3:$AL$3,0))))</f>
        <v>Coast</v>
      </c>
      <c r="K45" s="3" t="str">
        <f ca="1">IF('Map 2 Do Touch'!J40&lt;&gt;'Map 2 Do Touch'!J41,IF('Map 2 Do Touch'!K41&gt;4,INDEX($AG$4:$AH$6,MATCH(INDEX($I$3:$L$6,MATCH(MOD('Map 2 Do Touch'!J41,4),$H$3:$H$6,0),MATCH(MOD('Map 2 Do Touch'!K41,4),$I$2:$L$2,0)),$AF$4:$AF$6,0),MATCH(IF('Map 2 Do Touch'!J41&gt;4,"Water","Land"),'Map 3'!$AG$3:$AH$3,0)),INDEX($AK$4:$AL$6,MATCH(INDEX($I$3:$L$6,MATCH(MOD('Map 2 Do Touch'!J41,4),$H$3:$H$6,0),MATCH(MOD('Map 2 Do Touch'!K41,4),$I$2:$L$2,0)),'Map 3'!$AJ$4:$AJ$6,0),MATCH(IF('Map 2 Do Touch'!J41&gt;4,"Water","Land"),'Map 3'!$AK$3:$AL$3,0))),IF('Map 2 Do Touch'!K41&gt;4,INDEX($AG$4:$AH$6,MATCH(INDEX($P$3:$S$6,MATCH(MOD('Map 2 Do Touch'!K40,4),$O$3:$O$6,0),MATCH(MOD('Map 2 Do Touch'!K41,4),$P$2:$S$2,0)),$AF$4:$AF$6,0),MATCH(IF('Map 2 Do Touch'!K40&gt;4,"Water","Land"),'Map 3'!$AG$3:$AH$3,0)),INDEX($AK$4:$AL$6,MATCH(INDEX($P$3:$S$6,MATCH(MOD('Map 2 Do Touch'!K40,4),$O$3:$O$6,0),MATCH(MOD('Map 2 Do Touch'!K41,4),$P$2:$S$2,0)),'Map 3'!$AJ$4:$AJ$6,0),MATCH(IF('Map 2 Do Touch'!K40&gt;4,"Water","Land"),'Map 3'!$AK$3:$AL$3,0))))</f>
        <v>Flatland</v>
      </c>
      <c r="L45" s="3" t="str">
        <f ca="1">IF('Map 2 Do Touch'!K40&lt;&gt;'Map 2 Do Touch'!K41,IF('Map 2 Do Touch'!L41&gt;4,INDEX($AG$4:$AH$6,MATCH(INDEX($I$3:$L$6,MATCH(MOD('Map 2 Do Touch'!K41,4),$H$3:$H$6,0),MATCH(MOD('Map 2 Do Touch'!L41,4),$I$2:$L$2,0)),$AF$4:$AF$6,0),MATCH(IF('Map 2 Do Touch'!K41&gt;4,"Water","Land"),'Map 3'!$AG$3:$AH$3,0)),INDEX($AK$4:$AL$6,MATCH(INDEX($I$3:$L$6,MATCH(MOD('Map 2 Do Touch'!K41,4),$H$3:$H$6,0),MATCH(MOD('Map 2 Do Touch'!L41,4),$I$2:$L$2,0)),'Map 3'!$AJ$4:$AJ$6,0),MATCH(IF('Map 2 Do Touch'!K41&gt;4,"Water","Land"),'Map 3'!$AK$3:$AL$3,0))),IF('Map 2 Do Touch'!L41&gt;4,INDEX($AG$4:$AH$6,MATCH(INDEX($P$3:$S$6,MATCH(MOD('Map 2 Do Touch'!L40,4),$O$3:$O$6,0),MATCH(MOD('Map 2 Do Touch'!L41,4),$P$2:$S$2,0)),$AF$4:$AF$6,0),MATCH(IF('Map 2 Do Touch'!L40&gt;4,"Water","Land"),'Map 3'!$AG$3:$AH$3,0)),INDEX($AK$4:$AL$6,MATCH(INDEX($P$3:$S$6,MATCH(MOD('Map 2 Do Touch'!L40,4),$O$3:$O$6,0),MATCH(MOD('Map 2 Do Touch'!L41,4),$P$2:$S$2,0)),'Map 3'!$AJ$4:$AJ$6,0),MATCH(IF('Map 2 Do Touch'!L40&gt;4,"Water","Land"),'Map 3'!$AK$3:$AL$3,0))))</f>
        <v>Coast</v>
      </c>
      <c r="M45" s="3" t="str">
        <f ca="1">IF('Map 2 Do Touch'!L40&lt;&gt;'Map 2 Do Touch'!L41,IF('Map 2 Do Touch'!M41&gt;4,INDEX($AG$4:$AH$6,MATCH(INDEX($I$3:$L$6,MATCH(MOD('Map 2 Do Touch'!L41,4),$H$3:$H$6,0),MATCH(MOD('Map 2 Do Touch'!M41,4),$I$2:$L$2,0)),$AF$4:$AF$6,0),MATCH(IF('Map 2 Do Touch'!L41&gt;4,"Water","Land"),'Map 3'!$AG$3:$AH$3,0)),INDEX($AK$4:$AL$6,MATCH(INDEX($I$3:$L$6,MATCH(MOD('Map 2 Do Touch'!L41,4),$H$3:$H$6,0),MATCH(MOD('Map 2 Do Touch'!M41,4),$I$2:$L$2,0)),'Map 3'!$AJ$4:$AJ$6,0),MATCH(IF('Map 2 Do Touch'!L41&gt;4,"Water","Land"),'Map 3'!$AK$3:$AL$3,0))),IF('Map 2 Do Touch'!M41&gt;4,INDEX($AG$4:$AH$6,MATCH(INDEX($P$3:$S$6,MATCH(MOD('Map 2 Do Touch'!M40,4),$O$3:$O$6,0),MATCH(MOD('Map 2 Do Touch'!M41,4),$P$2:$S$2,0)),$AF$4:$AF$6,0),MATCH(IF('Map 2 Do Touch'!M40&gt;4,"Water","Land"),'Map 3'!$AG$3:$AH$3,0)),INDEX($AK$4:$AL$6,MATCH(INDEX($P$3:$S$6,MATCH(MOD('Map 2 Do Touch'!M40,4),$O$3:$O$6,0),MATCH(MOD('Map 2 Do Touch'!M41,4),$P$2:$S$2,0)),'Map 3'!$AJ$4:$AJ$6,0),MATCH(IF('Map 2 Do Touch'!M40&gt;4,"Water","Land"),'Map 3'!$AK$3:$AL$3,0))))</f>
        <v>Flatland</v>
      </c>
      <c r="N45" s="3" t="str">
        <f ca="1">IF('Map 2 Do Touch'!M40&lt;&gt;'Map 2 Do Touch'!M41,IF('Map 2 Do Touch'!N41&gt;4,INDEX($AG$4:$AH$6,MATCH(INDEX($I$3:$L$6,MATCH(MOD('Map 2 Do Touch'!M41,4),$H$3:$H$6,0),MATCH(MOD('Map 2 Do Touch'!N41,4),$I$2:$L$2,0)),$AF$4:$AF$6,0),MATCH(IF('Map 2 Do Touch'!M41&gt;4,"Water","Land"),'Map 3'!$AG$3:$AH$3,0)),INDEX($AK$4:$AL$6,MATCH(INDEX($I$3:$L$6,MATCH(MOD('Map 2 Do Touch'!M41,4),$H$3:$H$6,0),MATCH(MOD('Map 2 Do Touch'!N41,4),$I$2:$L$2,0)),'Map 3'!$AJ$4:$AJ$6,0),MATCH(IF('Map 2 Do Touch'!M41&gt;4,"Water","Land"),'Map 3'!$AK$3:$AL$3,0))),IF('Map 2 Do Touch'!N41&gt;4,INDEX($AG$4:$AH$6,MATCH(INDEX($P$3:$S$6,MATCH(MOD('Map 2 Do Touch'!N40,4),$O$3:$O$6,0),MATCH(MOD('Map 2 Do Touch'!N41,4),$P$2:$S$2,0)),$AF$4:$AF$6,0),MATCH(IF('Map 2 Do Touch'!N40&gt;4,"Water","Land"),'Map 3'!$AG$3:$AH$3,0)),INDEX($AK$4:$AL$6,MATCH(INDEX($P$3:$S$6,MATCH(MOD('Map 2 Do Touch'!N40,4),$O$3:$O$6,0),MATCH(MOD('Map 2 Do Touch'!N41,4),$P$2:$S$2,0)),'Map 3'!$AJ$4:$AJ$6,0),MATCH(IF('Map 2 Do Touch'!N40&gt;4,"Water","Land"),'Map 3'!$AK$3:$AL$3,0))))</f>
        <v>Flatland</v>
      </c>
      <c r="O45" s="3" t="str">
        <f ca="1">IF('Map 2 Do Touch'!N40&lt;&gt;'Map 2 Do Touch'!N41,IF('Map 2 Do Touch'!O41&gt;4,INDEX($AG$4:$AH$6,MATCH(INDEX($I$3:$L$6,MATCH(MOD('Map 2 Do Touch'!N41,4),$H$3:$H$6,0),MATCH(MOD('Map 2 Do Touch'!O41,4),$I$2:$L$2,0)),$AF$4:$AF$6,0),MATCH(IF('Map 2 Do Touch'!N41&gt;4,"Water","Land"),'Map 3'!$AG$3:$AH$3,0)),INDEX($AK$4:$AL$6,MATCH(INDEX($I$3:$L$6,MATCH(MOD('Map 2 Do Touch'!N41,4),$H$3:$H$6,0),MATCH(MOD('Map 2 Do Touch'!O41,4),$I$2:$L$2,0)),'Map 3'!$AJ$4:$AJ$6,0),MATCH(IF('Map 2 Do Touch'!N41&gt;4,"Water","Land"),'Map 3'!$AK$3:$AL$3,0))),IF('Map 2 Do Touch'!O41&gt;4,INDEX($AG$4:$AH$6,MATCH(INDEX($P$3:$S$6,MATCH(MOD('Map 2 Do Touch'!O40,4),$O$3:$O$6,0),MATCH(MOD('Map 2 Do Touch'!O41,4),$P$2:$S$2,0)),$AF$4:$AF$6,0),MATCH(IF('Map 2 Do Touch'!O40&gt;4,"Water","Land"),'Map 3'!$AG$3:$AH$3,0)),INDEX($AK$4:$AL$6,MATCH(INDEX($P$3:$S$6,MATCH(MOD('Map 2 Do Touch'!O40,4),$O$3:$O$6,0),MATCH(MOD('Map 2 Do Touch'!O41,4),$P$2:$S$2,0)),'Map 3'!$AJ$4:$AJ$6,0),MATCH(IF('Map 2 Do Touch'!O40&gt;4,"Water","Land"),'Map 3'!$AK$3:$AL$3,0))))</f>
        <v>Flatland</v>
      </c>
      <c r="P45" s="3" t="str">
        <f ca="1">IF('Map 2 Do Touch'!O40&lt;&gt;'Map 2 Do Touch'!O41,IF('Map 2 Do Touch'!P41&gt;4,INDEX($AG$4:$AH$6,MATCH(INDEX($I$3:$L$6,MATCH(MOD('Map 2 Do Touch'!O41,4),$H$3:$H$6,0),MATCH(MOD('Map 2 Do Touch'!P41,4),$I$2:$L$2,0)),$AF$4:$AF$6,0),MATCH(IF('Map 2 Do Touch'!O41&gt;4,"Water","Land"),'Map 3'!$AG$3:$AH$3,0)),INDEX($AK$4:$AL$6,MATCH(INDEX($I$3:$L$6,MATCH(MOD('Map 2 Do Touch'!O41,4),$H$3:$H$6,0),MATCH(MOD('Map 2 Do Touch'!P41,4),$I$2:$L$2,0)),'Map 3'!$AJ$4:$AJ$6,0),MATCH(IF('Map 2 Do Touch'!O41&gt;4,"Water","Land"),'Map 3'!$AK$3:$AL$3,0))),IF('Map 2 Do Touch'!P41&gt;4,INDEX($AG$4:$AH$6,MATCH(INDEX($P$3:$S$6,MATCH(MOD('Map 2 Do Touch'!P40,4),$O$3:$O$6,0),MATCH(MOD('Map 2 Do Touch'!P41,4),$P$2:$S$2,0)),$AF$4:$AF$6,0),MATCH(IF('Map 2 Do Touch'!P40&gt;4,"Water","Land"),'Map 3'!$AG$3:$AH$3,0)),INDEX($AK$4:$AL$6,MATCH(INDEX($P$3:$S$6,MATCH(MOD('Map 2 Do Touch'!P40,4),$O$3:$O$6,0),MATCH(MOD('Map 2 Do Touch'!P41,4),$P$2:$S$2,0)),'Map 3'!$AJ$4:$AJ$6,0),MATCH(IF('Map 2 Do Touch'!P40&gt;4,"Water","Land"),'Map 3'!$AK$3:$AL$3,0))))</f>
        <v>Flatland</v>
      </c>
      <c r="Q45" s="3" t="str">
        <f ca="1">IF('Map 2 Do Touch'!P40&lt;&gt;'Map 2 Do Touch'!P41,IF('Map 2 Do Touch'!Q41&gt;4,INDEX($AG$4:$AH$6,MATCH(INDEX($I$3:$L$6,MATCH(MOD('Map 2 Do Touch'!P41,4),$H$3:$H$6,0),MATCH(MOD('Map 2 Do Touch'!Q41,4),$I$2:$L$2,0)),$AF$4:$AF$6,0),MATCH(IF('Map 2 Do Touch'!P41&gt;4,"Water","Land"),'Map 3'!$AG$3:$AH$3,0)),INDEX($AK$4:$AL$6,MATCH(INDEX($I$3:$L$6,MATCH(MOD('Map 2 Do Touch'!P41,4),$H$3:$H$6,0),MATCH(MOD('Map 2 Do Touch'!Q41,4),$I$2:$L$2,0)),'Map 3'!$AJ$4:$AJ$6,0),MATCH(IF('Map 2 Do Touch'!P41&gt;4,"Water","Land"),'Map 3'!$AK$3:$AL$3,0))),IF('Map 2 Do Touch'!Q41&gt;4,INDEX($AG$4:$AH$6,MATCH(INDEX($P$3:$S$6,MATCH(MOD('Map 2 Do Touch'!Q40,4),$O$3:$O$6,0),MATCH(MOD('Map 2 Do Touch'!Q41,4),$P$2:$S$2,0)),$AF$4:$AF$6,0),MATCH(IF('Map 2 Do Touch'!Q40&gt;4,"Water","Land"),'Map 3'!$AG$3:$AH$3,0)),INDEX($AK$4:$AL$6,MATCH(INDEX($P$3:$S$6,MATCH(MOD('Map 2 Do Touch'!Q40,4),$O$3:$O$6,0),MATCH(MOD('Map 2 Do Touch'!Q41,4),$P$2:$S$2,0)),'Map 3'!$AJ$4:$AJ$6,0),MATCH(IF('Map 2 Do Touch'!Q40&gt;4,"Water","Land"),'Map 3'!$AK$3:$AL$3,0))))</f>
        <v>Coast</v>
      </c>
      <c r="R45" s="3" t="str">
        <f ca="1">IF('Map 2 Do Touch'!Q40&lt;&gt;'Map 2 Do Touch'!Q41,IF('Map 2 Do Touch'!R41&gt;4,INDEX($AG$4:$AH$6,MATCH(INDEX($I$3:$L$6,MATCH(MOD('Map 2 Do Touch'!Q41,4),$H$3:$H$6,0),MATCH(MOD('Map 2 Do Touch'!R41,4),$I$2:$L$2,0)),$AF$4:$AF$6,0),MATCH(IF('Map 2 Do Touch'!Q41&gt;4,"Water","Land"),'Map 3'!$AG$3:$AH$3,0)),INDEX($AK$4:$AL$6,MATCH(INDEX($I$3:$L$6,MATCH(MOD('Map 2 Do Touch'!Q41,4),$H$3:$H$6,0),MATCH(MOD('Map 2 Do Touch'!R41,4),$I$2:$L$2,0)),'Map 3'!$AJ$4:$AJ$6,0),MATCH(IF('Map 2 Do Touch'!Q41&gt;4,"Water","Land"),'Map 3'!$AK$3:$AL$3,0))),IF('Map 2 Do Touch'!R41&gt;4,INDEX($AG$4:$AH$6,MATCH(INDEX($P$3:$S$6,MATCH(MOD('Map 2 Do Touch'!R40,4),$O$3:$O$6,0),MATCH(MOD('Map 2 Do Touch'!R41,4),$P$2:$S$2,0)),$AF$4:$AF$6,0),MATCH(IF('Map 2 Do Touch'!R40&gt;4,"Water","Land"),'Map 3'!$AG$3:$AH$3,0)),INDEX($AK$4:$AL$6,MATCH(INDEX($P$3:$S$6,MATCH(MOD('Map 2 Do Touch'!R40,4),$O$3:$O$6,0),MATCH(MOD('Map 2 Do Touch'!R41,4),$P$2:$S$2,0)),'Map 3'!$AJ$4:$AJ$6,0),MATCH(IF('Map 2 Do Touch'!R40&gt;4,"Water","Land"),'Map 3'!$AK$3:$AL$3,0))))</f>
        <v>Ocean</v>
      </c>
      <c r="S45" s="3" t="str">
        <f ca="1">IF('Map 2 Do Touch'!R40&lt;&gt;'Map 2 Do Touch'!R41,IF('Map 2 Do Touch'!S41&gt;4,INDEX($AG$4:$AH$6,MATCH(INDEX($I$3:$L$6,MATCH(MOD('Map 2 Do Touch'!R41,4),$H$3:$H$6,0),MATCH(MOD('Map 2 Do Touch'!S41,4),$I$2:$L$2,0)),$AF$4:$AF$6,0),MATCH(IF('Map 2 Do Touch'!R41&gt;4,"Water","Land"),'Map 3'!$AG$3:$AH$3,0)),INDEX($AK$4:$AL$6,MATCH(INDEX($I$3:$L$6,MATCH(MOD('Map 2 Do Touch'!R41,4),$H$3:$H$6,0),MATCH(MOD('Map 2 Do Touch'!S41,4),$I$2:$L$2,0)),'Map 3'!$AJ$4:$AJ$6,0),MATCH(IF('Map 2 Do Touch'!R41&gt;4,"Water","Land"),'Map 3'!$AK$3:$AL$3,0))),IF('Map 2 Do Touch'!S41&gt;4,INDEX($AG$4:$AH$6,MATCH(INDEX($P$3:$S$6,MATCH(MOD('Map 2 Do Touch'!S40,4),$O$3:$O$6,0),MATCH(MOD('Map 2 Do Touch'!S41,4),$P$2:$S$2,0)),$AF$4:$AF$6,0),MATCH(IF('Map 2 Do Touch'!S40&gt;4,"Water","Land"),'Map 3'!$AG$3:$AH$3,0)),INDEX($AK$4:$AL$6,MATCH(INDEX($P$3:$S$6,MATCH(MOD('Map 2 Do Touch'!S40,4),$O$3:$O$6,0),MATCH(MOD('Map 2 Do Touch'!S41,4),$P$2:$S$2,0)),'Map 3'!$AJ$4:$AJ$6,0),MATCH(IF('Map 2 Do Touch'!S40&gt;4,"Water","Land"),'Map 3'!$AK$3:$AL$3,0))))</f>
        <v>Ocean</v>
      </c>
      <c r="T45" s="3" t="str">
        <f ca="1">IF('Map 2 Do Touch'!S40&lt;&gt;'Map 2 Do Touch'!S41,IF('Map 2 Do Touch'!T41&gt;4,INDEX($AG$4:$AH$6,MATCH(INDEX($I$3:$L$6,MATCH(MOD('Map 2 Do Touch'!S41,4),$H$3:$H$6,0),MATCH(MOD('Map 2 Do Touch'!T41,4),$I$2:$L$2,0)),$AF$4:$AF$6,0),MATCH(IF('Map 2 Do Touch'!S41&gt;4,"Water","Land"),'Map 3'!$AG$3:$AH$3,0)),INDEX($AK$4:$AL$6,MATCH(INDEX($I$3:$L$6,MATCH(MOD('Map 2 Do Touch'!S41,4),$H$3:$H$6,0),MATCH(MOD('Map 2 Do Touch'!T41,4),$I$2:$L$2,0)),'Map 3'!$AJ$4:$AJ$6,0),MATCH(IF('Map 2 Do Touch'!S41&gt;4,"Water","Land"),'Map 3'!$AK$3:$AL$3,0))),IF('Map 2 Do Touch'!T41&gt;4,INDEX($AG$4:$AH$6,MATCH(INDEX($P$3:$S$6,MATCH(MOD('Map 2 Do Touch'!T40,4),$O$3:$O$6,0),MATCH(MOD('Map 2 Do Touch'!T41,4),$P$2:$S$2,0)),$AF$4:$AF$6,0),MATCH(IF('Map 2 Do Touch'!T40&gt;4,"Water","Land"),'Map 3'!$AG$3:$AH$3,0)),INDEX($AK$4:$AL$6,MATCH(INDEX($P$3:$S$6,MATCH(MOD('Map 2 Do Touch'!T40,4),$O$3:$O$6,0),MATCH(MOD('Map 2 Do Touch'!T41,4),$P$2:$S$2,0)),'Map 3'!$AJ$4:$AJ$6,0),MATCH(IF('Map 2 Do Touch'!T40&gt;4,"Water","Land"),'Map 3'!$AK$3:$AL$3,0))))</f>
        <v>Ocean</v>
      </c>
      <c r="U45" s="3" t="str">
        <f ca="1">IF('Map 2 Do Touch'!T40&lt;&gt;'Map 2 Do Touch'!T41,IF('Map 2 Do Touch'!U41&gt;4,INDEX($AG$4:$AH$6,MATCH(INDEX($I$3:$L$6,MATCH(MOD('Map 2 Do Touch'!T41,4),$H$3:$H$6,0),MATCH(MOD('Map 2 Do Touch'!U41,4),$I$2:$L$2,0)),$AF$4:$AF$6,0),MATCH(IF('Map 2 Do Touch'!T41&gt;4,"Water","Land"),'Map 3'!$AG$3:$AH$3,0)),INDEX($AK$4:$AL$6,MATCH(INDEX($I$3:$L$6,MATCH(MOD('Map 2 Do Touch'!T41,4),$H$3:$H$6,0),MATCH(MOD('Map 2 Do Touch'!U41,4),$I$2:$L$2,0)),'Map 3'!$AJ$4:$AJ$6,0),MATCH(IF('Map 2 Do Touch'!T41&gt;4,"Water","Land"),'Map 3'!$AK$3:$AL$3,0))),IF('Map 2 Do Touch'!U41&gt;4,INDEX($AG$4:$AH$6,MATCH(INDEX($P$3:$S$6,MATCH(MOD('Map 2 Do Touch'!U40,4),$O$3:$O$6,0),MATCH(MOD('Map 2 Do Touch'!U41,4),$P$2:$S$2,0)),$AF$4:$AF$6,0),MATCH(IF('Map 2 Do Touch'!U40&gt;4,"Water","Land"),'Map 3'!$AG$3:$AH$3,0)),INDEX($AK$4:$AL$6,MATCH(INDEX($P$3:$S$6,MATCH(MOD('Map 2 Do Touch'!U40,4),$O$3:$O$6,0),MATCH(MOD('Map 2 Do Touch'!U41,4),$P$2:$S$2,0)),'Map 3'!$AJ$4:$AJ$6,0),MATCH(IF('Map 2 Do Touch'!U40&gt;4,"Water","Land"),'Map 3'!$AK$3:$AL$3,0))))</f>
        <v>Ocean</v>
      </c>
      <c r="V45" s="3" t="str">
        <f ca="1">IF('Map 2 Do Touch'!U40&lt;&gt;'Map 2 Do Touch'!U41,IF('Map 2 Do Touch'!V41&gt;4,INDEX($AG$4:$AH$6,MATCH(INDEX($I$3:$L$6,MATCH(MOD('Map 2 Do Touch'!U41,4),$H$3:$H$6,0),MATCH(MOD('Map 2 Do Touch'!V41,4),$I$2:$L$2,0)),$AF$4:$AF$6,0),MATCH(IF('Map 2 Do Touch'!U41&gt;4,"Water","Land"),'Map 3'!$AG$3:$AH$3,0)),INDEX($AK$4:$AL$6,MATCH(INDEX($I$3:$L$6,MATCH(MOD('Map 2 Do Touch'!U41,4),$H$3:$H$6,0),MATCH(MOD('Map 2 Do Touch'!V41,4),$I$2:$L$2,0)),'Map 3'!$AJ$4:$AJ$6,0),MATCH(IF('Map 2 Do Touch'!U41&gt;4,"Water","Land"),'Map 3'!$AK$3:$AL$3,0))),IF('Map 2 Do Touch'!V41&gt;4,INDEX($AG$4:$AH$6,MATCH(INDEX($P$3:$S$6,MATCH(MOD('Map 2 Do Touch'!V40,4),$O$3:$O$6,0),MATCH(MOD('Map 2 Do Touch'!V41,4),$P$2:$S$2,0)),$AF$4:$AF$6,0),MATCH(IF('Map 2 Do Touch'!V40&gt;4,"Water","Land"),'Map 3'!$AG$3:$AH$3,0)),INDEX($AK$4:$AL$6,MATCH(INDEX($P$3:$S$6,MATCH(MOD('Map 2 Do Touch'!V40,4),$O$3:$O$6,0),MATCH(MOD('Map 2 Do Touch'!V41,4),$P$2:$S$2,0)),'Map 3'!$AJ$4:$AJ$6,0),MATCH(IF('Map 2 Do Touch'!V40&gt;4,"Water","Land"),'Map 3'!$AK$3:$AL$3,0))))</f>
        <v>Ocean</v>
      </c>
      <c r="W45" s="3" t="str">
        <f ca="1">IF('Map 2 Do Touch'!V40&lt;&gt;'Map 2 Do Touch'!V41,IF('Map 2 Do Touch'!W41&gt;4,INDEX($AG$4:$AH$6,MATCH(INDEX($I$3:$L$6,MATCH(MOD('Map 2 Do Touch'!V41,4),$H$3:$H$6,0),MATCH(MOD('Map 2 Do Touch'!W41,4),$I$2:$L$2,0)),$AF$4:$AF$6,0),MATCH(IF('Map 2 Do Touch'!V41&gt;4,"Water","Land"),'Map 3'!$AG$3:$AH$3,0)),INDEX($AK$4:$AL$6,MATCH(INDEX($I$3:$L$6,MATCH(MOD('Map 2 Do Touch'!V41,4),$H$3:$H$6,0),MATCH(MOD('Map 2 Do Touch'!W41,4),$I$2:$L$2,0)),'Map 3'!$AJ$4:$AJ$6,0),MATCH(IF('Map 2 Do Touch'!V41&gt;4,"Water","Land"),'Map 3'!$AK$3:$AL$3,0))),IF('Map 2 Do Touch'!W41&gt;4,INDEX($AG$4:$AH$6,MATCH(INDEX($P$3:$S$6,MATCH(MOD('Map 2 Do Touch'!W40,4),$O$3:$O$6,0),MATCH(MOD('Map 2 Do Touch'!W41,4),$P$2:$S$2,0)),$AF$4:$AF$6,0),MATCH(IF('Map 2 Do Touch'!W40&gt;4,"Water","Land"),'Map 3'!$AG$3:$AH$3,0)),INDEX($AK$4:$AL$6,MATCH(INDEX($P$3:$S$6,MATCH(MOD('Map 2 Do Touch'!W40,4),$O$3:$O$6,0),MATCH(MOD('Map 2 Do Touch'!W41,4),$P$2:$S$2,0)),'Map 3'!$AJ$4:$AJ$6,0),MATCH(IF('Map 2 Do Touch'!W40&gt;4,"Water","Land"),'Map 3'!$AK$3:$AL$3,0))))</f>
        <v>Ocean</v>
      </c>
      <c r="X45" s="3" t="str">
        <f ca="1">IF('Map 2 Do Touch'!W40&lt;&gt;'Map 2 Do Touch'!W41,IF('Map 2 Do Touch'!X41&gt;4,INDEX($AG$4:$AH$6,MATCH(INDEX($I$3:$L$6,MATCH(MOD('Map 2 Do Touch'!W41,4),$H$3:$H$6,0),MATCH(MOD('Map 2 Do Touch'!X41,4),$I$2:$L$2,0)),$AF$4:$AF$6,0),MATCH(IF('Map 2 Do Touch'!W41&gt;4,"Water","Land"),'Map 3'!$AG$3:$AH$3,0)),INDEX($AK$4:$AL$6,MATCH(INDEX($I$3:$L$6,MATCH(MOD('Map 2 Do Touch'!W41,4),$H$3:$H$6,0),MATCH(MOD('Map 2 Do Touch'!X41,4),$I$2:$L$2,0)),'Map 3'!$AJ$4:$AJ$6,0),MATCH(IF('Map 2 Do Touch'!W41&gt;4,"Water","Land"),'Map 3'!$AK$3:$AL$3,0))),IF('Map 2 Do Touch'!X41&gt;4,INDEX($AG$4:$AH$6,MATCH(INDEX($P$3:$S$6,MATCH(MOD('Map 2 Do Touch'!X40,4),$O$3:$O$6,0),MATCH(MOD('Map 2 Do Touch'!X41,4),$P$2:$S$2,0)),$AF$4:$AF$6,0),MATCH(IF('Map 2 Do Touch'!X40&gt;4,"Water","Land"),'Map 3'!$AG$3:$AH$3,0)),INDEX($AK$4:$AL$6,MATCH(INDEX($P$3:$S$6,MATCH(MOD('Map 2 Do Touch'!X40,4),$O$3:$O$6,0),MATCH(MOD('Map 2 Do Touch'!X41,4),$P$2:$S$2,0)),'Map 3'!$AJ$4:$AJ$6,0),MATCH(IF('Map 2 Do Touch'!X40&gt;4,"Water","Land"),'Map 3'!$AK$3:$AL$3,0))))</f>
        <v>Ocean</v>
      </c>
      <c r="Y45" s="3" t="str">
        <f ca="1">IF('Map 2 Do Touch'!X40&lt;&gt;'Map 2 Do Touch'!X41,IF('Map 2 Do Touch'!Y41&gt;4,INDEX($AG$4:$AH$6,MATCH(INDEX($I$3:$L$6,MATCH(MOD('Map 2 Do Touch'!X41,4),$H$3:$H$6,0),MATCH(MOD('Map 2 Do Touch'!Y41,4),$I$2:$L$2,0)),$AF$4:$AF$6,0),MATCH(IF('Map 2 Do Touch'!X41&gt;4,"Water","Land"),'Map 3'!$AG$3:$AH$3,0)),INDEX($AK$4:$AL$6,MATCH(INDEX($I$3:$L$6,MATCH(MOD('Map 2 Do Touch'!X41,4),$H$3:$H$6,0),MATCH(MOD('Map 2 Do Touch'!Y41,4),$I$2:$L$2,0)),'Map 3'!$AJ$4:$AJ$6,0),MATCH(IF('Map 2 Do Touch'!X41&gt;4,"Water","Land"),'Map 3'!$AK$3:$AL$3,0))),IF('Map 2 Do Touch'!Y41&gt;4,INDEX($AG$4:$AH$6,MATCH(INDEX($P$3:$S$6,MATCH(MOD('Map 2 Do Touch'!Y40,4),$O$3:$O$6,0),MATCH(MOD('Map 2 Do Touch'!Y41,4),$P$2:$S$2,0)),$AF$4:$AF$6,0),MATCH(IF('Map 2 Do Touch'!Y40&gt;4,"Water","Land"),'Map 3'!$AG$3:$AH$3,0)),INDEX($AK$4:$AL$6,MATCH(INDEX($P$3:$S$6,MATCH(MOD('Map 2 Do Touch'!Y40,4),$O$3:$O$6,0),MATCH(MOD('Map 2 Do Touch'!Y41,4),$P$2:$S$2,0)),'Map 3'!$AJ$4:$AJ$6,0),MATCH(IF('Map 2 Do Touch'!Y40&gt;4,"Water","Land"),'Map 3'!$AK$3:$AL$3,0))))</f>
        <v>Ocean</v>
      </c>
      <c r="Z45" s="3" t="str">
        <f ca="1">IF('Map 2 Do Touch'!Y40&lt;&gt;'Map 2 Do Touch'!Y41,IF('Map 2 Do Touch'!Z41&gt;4,INDEX($AG$4:$AH$6,MATCH(INDEX($I$3:$L$6,MATCH(MOD('Map 2 Do Touch'!Y41,4),$H$3:$H$6,0),MATCH(MOD('Map 2 Do Touch'!Z41,4),$I$2:$L$2,0)),$AF$4:$AF$6,0),MATCH(IF('Map 2 Do Touch'!Y41&gt;4,"Water","Land"),'Map 3'!$AG$3:$AH$3,0)),INDEX($AK$4:$AL$6,MATCH(INDEX($I$3:$L$6,MATCH(MOD('Map 2 Do Touch'!Y41,4),$H$3:$H$6,0),MATCH(MOD('Map 2 Do Touch'!Z41,4),$I$2:$L$2,0)),'Map 3'!$AJ$4:$AJ$6,0),MATCH(IF('Map 2 Do Touch'!Y41&gt;4,"Water","Land"),'Map 3'!$AK$3:$AL$3,0))),IF('Map 2 Do Touch'!Z41&gt;4,INDEX($AG$4:$AH$6,MATCH(INDEX($P$3:$S$6,MATCH(MOD('Map 2 Do Touch'!Z40,4),$O$3:$O$6,0),MATCH(MOD('Map 2 Do Touch'!Z41,4),$P$2:$S$2,0)),$AF$4:$AF$6,0),MATCH(IF('Map 2 Do Touch'!Z40&gt;4,"Water","Land"),'Map 3'!$AG$3:$AH$3,0)),INDEX($AK$4:$AL$6,MATCH(INDEX($P$3:$S$6,MATCH(MOD('Map 2 Do Touch'!Z40,4),$O$3:$O$6,0),MATCH(MOD('Map 2 Do Touch'!Z41,4),$P$2:$S$2,0)),'Map 3'!$AJ$4:$AJ$6,0),MATCH(IF('Map 2 Do Touch'!Z40&gt;4,"Water","Land"),'Map 3'!$AK$3:$AL$3,0))))</f>
        <v>Trench</v>
      </c>
      <c r="AA45" s="3" t="str">
        <f ca="1">IF('Map 2 Do Touch'!Z40&lt;&gt;'Map 2 Do Touch'!Z41,IF('Map 2 Do Touch'!AA41&gt;4,INDEX($AG$4:$AH$6,MATCH(INDEX($I$3:$L$6,MATCH(MOD('Map 2 Do Touch'!Z41,4),$H$3:$H$6,0),MATCH(MOD('Map 2 Do Touch'!AA41,4),$I$2:$L$2,0)),$AF$4:$AF$6,0),MATCH(IF('Map 2 Do Touch'!Z41&gt;4,"Water","Land"),'Map 3'!$AG$3:$AH$3,0)),INDEX($AK$4:$AL$6,MATCH(INDEX($I$3:$L$6,MATCH(MOD('Map 2 Do Touch'!Z41,4),$H$3:$H$6,0),MATCH(MOD('Map 2 Do Touch'!AA41,4),$I$2:$L$2,0)),'Map 3'!$AJ$4:$AJ$6,0),MATCH(IF('Map 2 Do Touch'!Z41&gt;4,"Water","Land"),'Map 3'!$AK$3:$AL$3,0))),IF('Map 2 Do Touch'!AA41&gt;4,INDEX($AG$4:$AH$6,MATCH(INDEX($P$3:$S$6,MATCH(MOD('Map 2 Do Touch'!AA40,4),$O$3:$O$6,0),MATCH(MOD('Map 2 Do Touch'!AA41,4),$P$2:$S$2,0)),$AF$4:$AF$6,0),MATCH(IF('Map 2 Do Touch'!AA40&gt;4,"Water","Land"),'Map 3'!$AG$3:$AH$3,0)),INDEX($AK$4:$AL$6,MATCH(INDEX($P$3:$S$6,MATCH(MOD('Map 2 Do Touch'!AA40,4),$O$3:$O$6,0),MATCH(MOD('Map 2 Do Touch'!AA41,4),$P$2:$S$2,0)),'Map 3'!$AJ$4:$AJ$6,0),MATCH(IF('Map 2 Do Touch'!AA40&gt;4,"Water","Land"),'Map 3'!$AK$3:$AL$3,0))))</f>
        <v>Island</v>
      </c>
      <c r="AB45" s="3" t="str">
        <f ca="1">IF('Map 2 Do Touch'!AA40&lt;&gt;'Map 2 Do Touch'!AA41,IF('Map 2 Do Touch'!AB41&gt;4,INDEX($AG$4:$AH$6,MATCH(INDEX($I$3:$L$6,MATCH(MOD('Map 2 Do Touch'!AA41,4),$H$3:$H$6,0),MATCH(MOD('Map 2 Do Touch'!AB41,4),$I$2:$L$2,0)),$AF$4:$AF$6,0),MATCH(IF('Map 2 Do Touch'!AA41&gt;4,"Water","Land"),'Map 3'!$AG$3:$AH$3,0)),INDEX($AK$4:$AL$6,MATCH(INDEX($I$3:$L$6,MATCH(MOD('Map 2 Do Touch'!AA41,4),$H$3:$H$6,0),MATCH(MOD('Map 2 Do Touch'!AB41,4),$I$2:$L$2,0)),'Map 3'!$AJ$4:$AJ$6,0),MATCH(IF('Map 2 Do Touch'!AA41&gt;4,"Water","Land"),'Map 3'!$AK$3:$AL$3,0))),IF('Map 2 Do Touch'!AB41&gt;4,INDEX($AG$4:$AH$6,MATCH(INDEX($P$3:$S$6,MATCH(MOD('Map 2 Do Touch'!AB40,4),$O$3:$O$6,0),MATCH(MOD('Map 2 Do Touch'!AB41,4),$P$2:$S$2,0)),$AF$4:$AF$6,0),MATCH(IF('Map 2 Do Touch'!AB40&gt;4,"Water","Land"),'Map 3'!$AG$3:$AH$3,0)),INDEX($AK$4:$AL$6,MATCH(INDEX($P$3:$S$6,MATCH(MOD('Map 2 Do Touch'!AB40,4),$O$3:$O$6,0),MATCH(MOD('Map 2 Do Touch'!AB41,4),$P$2:$S$2,0)),'Map 3'!$AJ$4:$AJ$6,0),MATCH(IF('Map 2 Do Touch'!AB40&gt;4,"Water","Land"),'Map 3'!$AK$3:$AL$3,0))))</f>
        <v>Ocean</v>
      </c>
      <c r="AC45" s="3" t="str">
        <f ca="1">IF('Map 2 Do Touch'!AB40&lt;&gt;'Map 2 Do Touch'!AB41,IF('Map 2 Do Touch'!AC41&gt;4,INDEX($AG$4:$AH$6,MATCH(INDEX($I$3:$L$6,MATCH(MOD('Map 2 Do Touch'!AB41,4),$H$3:$H$6,0),MATCH(MOD('Map 2 Do Touch'!AC41,4),$I$2:$L$2,0)),$AF$4:$AF$6,0),MATCH(IF('Map 2 Do Touch'!AB41&gt;4,"Water","Land"),'Map 3'!$AG$3:$AH$3,0)),INDEX($AK$4:$AL$6,MATCH(INDEX($I$3:$L$6,MATCH(MOD('Map 2 Do Touch'!AB41,4),$H$3:$H$6,0),MATCH(MOD('Map 2 Do Touch'!AC41,4),$I$2:$L$2,0)),'Map 3'!$AJ$4:$AJ$6,0),MATCH(IF('Map 2 Do Touch'!AB41&gt;4,"Water","Land"),'Map 3'!$AK$3:$AL$3,0))),IF('Map 2 Do Touch'!AC41&gt;4,INDEX($AG$4:$AH$6,MATCH(INDEX($P$3:$S$6,MATCH(MOD('Map 2 Do Touch'!AC40,4),$O$3:$O$6,0),MATCH(MOD('Map 2 Do Touch'!AC41,4),$P$2:$S$2,0)),$AF$4:$AF$6,0),MATCH(IF('Map 2 Do Touch'!AC40&gt;4,"Water","Land"),'Map 3'!$AG$3:$AH$3,0)),INDEX($AK$4:$AL$6,MATCH(INDEX($P$3:$S$6,MATCH(MOD('Map 2 Do Touch'!AC40,4),$O$3:$O$6,0),MATCH(MOD('Map 2 Do Touch'!AC41,4),$P$2:$S$2,0)),'Map 3'!$AJ$4:$AJ$6,0),MATCH(IF('Map 2 Do Touch'!AC40&gt;4,"Water","Land"),'Map 3'!$AK$3:$AL$3,0))))</f>
        <v>Ocean</v>
      </c>
      <c r="AD45" s="3" t="str">
        <f ca="1">IF('Map 2 Do Touch'!AC40&lt;&gt;'Map 2 Do Touch'!AC41,IF('Map 2 Do Touch'!AD41&gt;4,INDEX($AG$4:$AH$6,MATCH(INDEX($I$3:$L$6,MATCH(MOD('Map 2 Do Touch'!AC41,4),$H$3:$H$6,0),MATCH(MOD('Map 2 Do Touch'!AD41,4),$I$2:$L$2,0)),$AF$4:$AF$6,0),MATCH(IF('Map 2 Do Touch'!AC41&gt;4,"Water","Land"),'Map 3'!$AG$3:$AH$3,0)),INDEX($AK$4:$AL$6,MATCH(INDEX($I$3:$L$6,MATCH(MOD('Map 2 Do Touch'!AC41,4),$H$3:$H$6,0),MATCH(MOD('Map 2 Do Touch'!AD41,4),$I$2:$L$2,0)),'Map 3'!$AJ$4:$AJ$6,0),MATCH(IF('Map 2 Do Touch'!AC41&gt;4,"Water","Land"),'Map 3'!$AK$3:$AL$3,0))),IF('Map 2 Do Touch'!AD41&gt;4,INDEX($AG$4:$AH$6,MATCH(INDEX($P$3:$S$6,MATCH(MOD('Map 2 Do Touch'!AD40,4),$O$3:$O$6,0),MATCH(MOD('Map 2 Do Touch'!AD41,4),$P$2:$S$2,0)),$AF$4:$AF$6,0),MATCH(IF('Map 2 Do Touch'!AD40&gt;4,"Water","Land"),'Map 3'!$AG$3:$AH$3,0)),INDEX($AK$4:$AL$6,MATCH(INDEX($P$3:$S$6,MATCH(MOD('Map 2 Do Touch'!AD40,4),$O$3:$O$6,0),MATCH(MOD('Map 2 Do Touch'!AD41,4),$P$2:$S$2,0)),'Map 3'!$AJ$4:$AJ$6,0),MATCH(IF('Map 2 Do Touch'!AD40&gt;4,"Water","Land"),'Map 3'!$AK$3:$AL$3,0))))</f>
        <v>Ocean</v>
      </c>
      <c r="AE45" s="3" t="str">
        <f ca="1">IF('Map 2 Do Touch'!AD40&lt;&gt;'Map 2 Do Touch'!AD41,IF('Map 2 Do Touch'!AE41&gt;4,INDEX($AG$4:$AH$6,MATCH(INDEX($I$3:$L$6,MATCH(MOD('Map 2 Do Touch'!AD41,4),$H$3:$H$6,0),MATCH(MOD('Map 2 Do Touch'!AE41,4),$I$2:$L$2,0)),$AF$4:$AF$6,0),MATCH(IF('Map 2 Do Touch'!AD41&gt;4,"Water","Land"),'Map 3'!$AG$3:$AH$3,0)),INDEX($AK$4:$AL$6,MATCH(INDEX($I$3:$L$6,MATCH(MOD('Map 2 Do Touch'!AD41,4),$H$3:$H$6,0),MATCH(MOD('Map 2 Do Touch'!AE41,4),$I$2:$L$2,0)),'Map 3'!$AJ$4:$AJ$6,0),MATCH(IF('Map 2 Do Touch'!AD41&gt;4,"Water","Land"),'Map 3'!$AK$3:$AL$3,0))),IF('Map 2 Do Touch'!AE41&gt;4,INDEX($AG$4:$AH$6,MATCH(INDEX($P$3:$S$6,MATCH(MOD('Map 2 Do Touch'!AE40,4),$O$3:$O$6,0),MATCH(MOD('Map 2 Do Touch'!AE41,4),$P$2:$S$2,0)),$AF$4:$AF$6,0),MATCH(IF('Map 2 Do Touch'!AE40&gt;4,"Water","Land"),'Map 3'!$AG$3:$AH$3,0)),INDEX($AK$4:$AL$6,MATCH(INDEX($P$3:$S$6,MATCH(MOD('Map 2 Do Touch'!AE40,4),$O$3:$O$6,0),MATCH(MOD('Map 2 Do Touch'!AE41,4),$P$2:$S$2,0)),'Map 3'!$AJ$4:$AJ$6,0),MATCH(IF('Map 2 Do Touch'!AE40&gt;4,"Water","Land"),'Map 3'!$AK$3:$AL$3,0))))</f>
        <v>Ocean</v>
      </c>
      <c r="AF45" s="3" t="str">
        <f ca="1">IF('Map 2 Do Touch'!AE40&lt;&gt;'Map 2 Do Touch'!AE41,IF('Map 2 Do Touch'!AF41&gt;4,INDEX($AG$4:$AH$6,MATCH(INDEX($I$3:$L$6,MATCH(MOD('Map 2 Do Touch'!AE41,4),$H$3:$H$6,0),MATCH(MOD('Map 2 Do Touch'!AF41,4),$I$2:$L$2,0)),$AF$4:$AF$6,0),MATCH(IF('Map 2 Do Touch'!AE41&gt;4,"Water","Land"),'Map 3'!$AG$3:$AH$3,0)),INDEX($AK$4:$AL$6,MATCH(INDEX($I$3:$L$6,MATCH(MOD('Map 2 Do Touch'!AE41,4),$H$3:$H$6,0),MATCH(MOD('Map 2 Do Touch'!AF41,4),$I$2:$L$2,0)),'Map 3'!$AJ$4:$AJ$6,0),MATCH(IF('Map 2 Do Touch'!AE41&gt;4,"Water","Land"),'Map 3'!$AK$3:$AL$3,0))),IF('Map 2 Do Touch'!AF41&gt;4,INDEX($AG$4:$AH$6,MATCH(INDEX($P$3:$S$6,MATCH(MOD('Map 2 Do Touch'!AF40,4),$O$3:$O$6,0),MATCH(MOD('Map 2 Do Touch'!AF41,4),$P$2:$S$2,0)),$AF$4:$AF$6,0),MATCH(IF('Map 2 Do Touch'!AF40&gt;4,"Water","Land"),'Map 3'!$AG$3:$AH$3,0)),INDEX($AK$4:$AL$6,MATCH(INDEX($P$3:$S$6,MATCH(MOD('Map 2 Do Touch'!AF40,4),$O$3:$O$6,0),MATCH(MOD('Map 2 Do Touch'!AF41,4),$P$2:$S$2,0)),'Map 3'!$AJ$4:$AJ$6,0),MATCH(IF('Map 2 Do Touch'!AF40&gt;4,"Water","Land"),'Map 3'!$AK$3:$AL$3,0))))</f>
        <v>Ocean</v>
      </c>
      <c r="AG45" s="3" t="str">
        <f ca="1">IF('Map 2 Do Touch'!AF40&lt;&gt;'Map 2 Do Touch'!AF41,IF('Map 2 Do Touch'!AG41&gt;4,INDEX($AG$4:$AH$6,MATCH(INDEX($I$3:$L$6,MATCH(MOD('Map 2 Do Touch'!AF41,4),$H$3:$H$6,0),MATCH(MOD('Map 2 Do Touch'!AG41,4),$I$2:$L$2,0)),$AF$4:$AF$6,0),MATCH(IF('Map 2 Do Touch'!AF41&gt;4,"Water","Land"),'Map 3'!$AG$3:$AH$3,0)),INDEX($AK$4:$AL$6,MATCH(INDEX($I$3:$L$6,MATCH(MOD('Map 2 Do Touch'!AF41,4),$H$3:$H$6,0),MATCH(MOD('Map 2 Do Touch'!AG41,4),$I$2:$L$2,0)),'Map 3'!$AJ$4:$AJ$6,0),MATCH(IF('Map 2 Do Touch'!AF41&gt;4,"Water","Land"),'Map 3'!$AK$3:$AL$3,0))),IF('Map 2 Do Touch'!AG41&gt;4,INDEX($AG$4:$AH$6,MATCH(INDEX($P$3:$S$6,MATCH(MOD('Map 2 Do Touch'!AG40,4),$O$3:$O$6,0),MATCH(MOD('Map 2 Do Touch'!AG41,4),$P$2:$S$2,0)),$AF$4:$AF$6,0),MATCH(IF('Map 2 Do Touch'!AG40&gt;4,"Water","Land"),'Map 3'!$AG$3:$AH$3,0)),INDEX($AK$4:$AL$6,MATCH(INDEX($P$3:$S$6,MATCH(MOD('Map 2 Do Touch'!AG40,4),$O$3:$O$6,0),MATCH(MOD('Map 2 Do Touch'!AG41,4),$P$2:$S$2,0)),'Map 3'!$AJ$4:$AJ$6,0),MATCH(IF('Map 2 Do Touch'!AG40&gt;4,"Water","Land"),'Map 3'!$AK$3:$AL$3,0))))</f>
        <v>Ocean</v>
      </c>
      <c r="AH45" s="3" t="str">
        <f ca="1">IF('Map 2 Do Touch'!AG40&lt;&gt;'Map 2 Do Touch'!AG41,IF('Map 2 Do Touch'!AH41&gt;4,INDEX($AG$4:$AH$6,MATCH(INDEX($I$3:$L$6,MATCH(MOD('Map 2 Do Touch'!AG41,4),$H$3:$H$6,0),MATCH(MOD('Map 2 Do Touch'!AH41,4),$I$2:$L$2,0)),$AF$4:$AF$6,0),MATCH(IF('Map 2 Do Touch'!AG41&gt;4,"Water","Land"),'Map 3'!$AG$3:$AH$3,0)),INDEX($AK$4:$AL$6,MATCH(INDEX($I$3:$L$6,MATCH(MOD('Map 2 Do Touch'!AG41,4),$H$3:$H$6,0),MATCH(MOD('Map 2 Do Touch'!AH41,4),$I$2:$L$2,0)),'Map 3'!$AJ$4:$AJ$6,0),MATCH(IF('Map 2 Do Touch'!AG41&gt;4,"Water","Land"),'Map 3'!$AK$3:$AL$3,0))),IF('Map 2 Do Touch'!AH41&gt;4,INDEX($AG$4:$AH$6,MATCH(INDEX($P$3:$S$6,MATCH(MOD('Map 2 Do Touch'!AH40,4),$O$3:$O$6,0),MATCH(MOD('Map 2 Do Touch'!AH41,4),$P$2:$S$2,0)),$AF$4:$AF$6,0),MATCH(IF('Map 2 Do Touch'!AH40&gt;4,"Water","Land"),'Map 3'!$AG$3:$AH$3,0)),INDEX($AK$4:$AL$6,MATCH(INDEX($P$3:$S$6,MATCH(MOD('Map 2 Do Touch'!AH40,4),$O$3:$O$6,0),MATCH(MOD('Map 2 Do Touch'!AH41,4),$P$2:$S$2,0)),'Map 3'!$AJ$4:$AJ$6,0),MATCH(IF('Map 2 Do Touch'!AH40&gt;4,"Water","Land"),'Map 3'!$AK$3:$AL$3,0))))</f>
        <v>Ocean</v>
      </c>
      <c r="AI45" s="3" t="str">
        <f ca="1">IF('Map 2 Do Touch'!AH40&lt;&gt;'Map 2 Do Touch'!AH41,IF('Map 2 Do Touch'!AI41&gt;4,INDEX($AG$4:$AH$6,MATCH(INDEX($I$3:$L$6,MATCH(MOD('Map 2 Do Touch'!AH41,4),$H$3:$H$6,0),MATCH(MOD('Map 2 Do Touch'!AI41,4),$I$2:$L$2,0)),$AF$4:$AF$6,0),MATCH(IF('Map 2 Do Touch'!AH41&gt;4,"Water","Land"),'Map 3'!$AG$3:$AH$3,0)),INDEX($AK$4:$AL$6,MATCH(INDEX($I$3:$L$6,MATCH(MOD('Map 2 Do Touch'!AH41,4),$H$3:$H$6,0),MATCH(MOD('Map 2 Do Touch'!AI41,4),$I$2:$L$2,0)),'Map 3'!$AJ$4:$AJ$6,0),MATCH(IF('Map 2 Do Touch'!AH41&gt;4,"Water","Land"),'Map 3'!$AK$3:$AL$3,0))),IF('Map 2 Do Touch'!AI41&gt;4,INDEX($AG$4:$AH$6,MATCH(INDEX($P$3:$S$6,MATCH(MOD('Map 2 Do Touch'!AI40,4),$O$3:$O$6,0),MATCH(MOD('Map 2 Do Touch'!AI41,4),$P$2:$S$2,0)),$AF$4:$AF$6,0),MATCH(IF('Map 2 Do Touch'!AI40&gt;4,"Water","Land"),'Map 3'!$AG$3:$AH$3,0)),INDEX($AK$4:$AL$6,MATCH(INDEX($P$3:$S$6,MATCH(MOD('Map 2 Do Touch'!AI40,4),$O$3:$O$6,0),MATCH(MOD('Map 2 Do Touch'!AI41,4),$P$2:$S$2,0)),'Map 3'!$AJ$4:$AJ$6,0),MATCH(IF('Map 2 Do Touch'!AI40&gt;4,"Water","Land"),'Map 3'!$AK$3:$AL$3,0))))</f>
        <v>Ocean</v>
      </c>
      <c r="AJ45" s="3" t="str">
        <f ca="1">IF('Map 2 Do Touch'!AI40&lt;&gt;'Map 2 Do Touch'!AI41,IF('Map 2 Do Touch'!AJ41&gt;4,INDEX($AG$4:$AH$6,MATCH(INDEX($I$3:$L$6,MATCH(MOD('Map 2 Do Touch'!AI41,4),$H$3:$H$6,0),MATCH(MOD('Map 2 Do Touch'!AJ41,4),$I$2:$L$2,0)),$AF$4:$AF$6,0),MATCH(IF('Map 2 Do Touch'!AI41&gt;4,"Water","Land"),'Map 3'!$AG$3:$AH$3,0)),INDEX($AK$4:$AL$6,MATCH(INDEX($I$3:$L$6,MATCH(MOD('Map 2 Do Touch'!AI41,4),$H$3:$H$6,0),MATCH(MOD('Map 2 Do Touch'!AJ41,4),$I$2:$L$2,0)),'Map 3'!$AJ$4:$AJ$6,0),MATCH(IF('Map 2 Do Touch'!AI41&gt;4,"Water","Land"),'Map 3'!$AK$3:$AL$3,0))),IF('Map 2 Do Touch'!AJ41&gt;4,INDEX($AG$4:$AH$6,MATCH(INDEX($P$3:$S$6,MATCH(MOD('Map 2 Do Touch'!AJ40,4),$O$3:$O$6,0),MATCH(MOD('Map 2 Do Touch'!AJ41,4),$P$2:$S$2,0)),$AF$4:$AF$6,0),MATCH(IF('Map 2 Do Touch'!AJ40&gt;4,"Water","Land"),'Map 3'!$AG$3:$AH$3,0)),INDEX($AK$4:$AL$6,MATCH(INDEX($P$3:$S$6,MATCH(MOD('Map 2 Do Touch'!AJ40,4),$O$3:$O$6,0),MATCH(MOD('Map 2 Do Touch'!AJ41,4),$P$2:$S$2,0)),'Map 3'!$AJ$4:$AJ$6,0),MATCH(IF('Map 2 Do Touch'!AJ40&gt;4,"Water","Land"),'Map 3'!$AK$3:$AL$3,0))))</f>
        <v>Ocean</v>
      </c>
      <c r="AK45" s="3" t="str">
        <f ca="1">IF('Map 2 Do Touch'!AJ40&lt;&gt;'Map 2 Do Touch'!AJ41,IF('Map 2 Do Touch'!AK41&gt;4,INDEX($AG$4:$AH$6,MATCH(INDEX($I$3:$L$6,MATCH(MOD('Map 2 Do Touch'!AJ41,4),$H$3:$H$6,0),MATCH(MOD('Map 2 Do Touch'!AK41,4),$I$2:$L$2,0)),$AF$4:$AF$6,0),MATCH(IF('Map 2 Do Touch'!AJ41&gt;4,"Water","Land"),'Map 3'!$AG$3:$AH$3,0)),INDEX($AK$4:$AL$6,MATCH(INDEX($I$3:$L$6,MATCH(MOD('Map 2 Do Touch'!AJ41,4),$H$3:$H$6,0),MATCH(MOD('Map 2 Do Touch'!AK41,4),$I$2:$L$2,0)),'Map 3'!$AJ$4:$AJ$6,0),MATCH(IF('Map 2 Do Touch'!AJ41&gt;4,"Water","Land"),'Map 3'!$AK$3:$AL$3,0))),IF('Map 2 Do Touch'!AK41&gt;4,INDEX($AG$4:$AH$6,MATCH(INDEX($P$3:$S$6,MATCH(MOD('Map 2 Do Touch'!AK40,4),$O$3:$O$6,0),MATCH(MOD('Map 2 Do Touch'!AK41,4),$P$2:$S$2,0)),$AF$4:$AF$6,0),MATCH(IF('Map 2 Do Touch'!AK40&gt;4,"Water","Land"),'Map 3'!$AG$3:$AH$3,0)),INDEX($AK$4:$AL$6,MATCH(INDEX($P$3:$S$6,MATCH(MOD('Map 2 Do Touch'!AK40,4),$O$3:$O$6,0),MATCH(MOD('Map 2 Do Touch'!AK41,4),$P$2:$S$2,0)),'Map 3'!$AJ$4:$AJ$6,0),MATCH(IF('Map 2 Do Touch'!AK40&gt;4,"Water","Land"),'Map 3'!$AK$3:$AL$3,0))))</f>
        <v>Ocean</v>
      </c>
      <c r="AL45" s="3" t="str">
        <f ca="1">IF('Map 2 Do Touch'!AK40&lt;&gt;'Map 2 Do Touch'!AK41,IF('Map 2 Do Touch'!AL41&gt;4,INDEX($AG$4:$AH$6,MATCH(INDEX($I$3:$L$6,MATCH(MOD('Map 2 Do Touch'!AK41,4),$H$3:$H$6,0),MATCH(MOD('Map 2 Do Touch'!AL41,4),$I$2:$L$2,0)),$AF$4:$AF$6,0),MATCH(IF('Map 2 Do Touch'!AK41&gt;4,"Water","Land"),'Map 3'!$AG$3:$AH$3,0)),INDEX($AK$4:$AL$6,MATCH(INDEX($I$3:$L$6,MATCH(MOD('Map 2 Do Touch'!AK41,4),$H$3:$H$6,0),MATCH(MOD('Map 2 Do Touch'!AL41,4),$I$2:$L$2,0)),'Map 3'!$AJ$4:$AJ$6,0),MATCH(IF('Map 2 Do Touch'!AK41&gt;4,"Water","Land"),'Map 3'!$AK$3:$AL$3,0))),IF('Map 2 Do Touch'!AL41&gt;4,INDEX($AG$4:$AH$6,MATCH(INDEX($P$3:$S$6,MATCH(MOD('Map 2 Do Touch'!AL40,4),$O$3:$O$6,0),MATCH(MOD('Map 2 Do Touch'!AL41,4),$P$2:$S$2,0)),$AF$4:$AF$6,0),MATCH(IF('Map 2 Do Touch'!AL40&gt;4,"Water","Land"),'Map 3'!$AG$3:$AH$3,0)),INDEX($AK$4:$AL$6,MATCH(INDEX($P$3:$S$6,MATCH(MOD('Map 2 Do Touch'!AL40,4),$O$3:$O$6,0),MATCH(MOD('Map 2 Do Touch'!AL41,4),$P$2:$S$2,0)),'Map 3'!$AJ$4:$AJ$6,0),MATCH(IF('Map 2 Do Touch'!AL40&gt;4,"Water","Land"),'Map 3'!$AK$3:$AL$3,0))))</f>
        <v>Ocean</v>
      </c>
      <c r="AM45" s="3" t="str">
        <f ca="1">IF('Map 2 Do Touch'!AL40&lt;&gt;'Map 2 Do Touch'!AL41,IF('Map 2 Do Touch'!AM41&gt;4,INDEX($AG$4:$AH$6,MATCH(INDEX($I$3:$L$6,MATCH(MOD('Map 2 Do Touch'!AL41,4),$H$3:$H$6,0),MATCH(MOD('Map 2 Do Touch'!AM41,4),$I$2:$L$2,0)),$AF$4:$AF$6,0),MATCH(IF('Map 2 Do Touch'!AL41&gt;4,"Water","Land"),'Map 3'!$AG$3:$AH$3,0)),INDEX($AK$4:$AL$6,MATCH(INDEX($I$3:$L$6,MATCH(MOD('Map 2 Do Touch'!AL41,4),$H$3:$H$6,0),MATCH(MOD('Map 2 Do Touch'!AM41,4),$I$2:$L$2,0)),'Map 3'!$AJ$4:$AJ$6,0),MATCH(IF('Map 2 Do Touch'!AL41&gt;4,"Water","Land"),'Map 3'!$AK$3:$AL$3,0))),IF('Map 2 Do Touch'!AM41&gt;4,INDEX($AG$4:$AH$6,MATCH(INDEX($P$3:$S$6,MATCH(MOD('Map 2 Do Touch'!AM40,4),$O$3:$O$6,0),MATCH(MOD('Map 2 Do Touch'!AM41,4),$P$2:$S$2,0)),$AF$4:$AF$6,0),MATCH(IF('Map 2 Do Touch'!AM40&gt;4,"Water","Land"),'Map 3'!$AG$3:$AH$3,0)),INDEX($AK$4:$AL$6,MATCH(INDEX($P$3:$S$6,MATCH(MOD('Map 2 Do Touch'!AM40,4),$O$3:$O$6,0),MATCH(MOD('Map 2 Do Touch'!AM41,4),$P$2:$S$2,0)),'Map 3'!$AJ$4:$AJ$6,0),MATCH(IF('Map 2 Do Touch'!AM40&gt;4,"Water","Land"),'Map 3'!$AK$3:$AL$3,0))))</f>
        <v>Ocean</v>
      </c>
      <c r="AN45" s="3" t="str">
        <f ca="1">IF('Map 2 Do Touch'!AM40&lt;&gt;'Map 2 Do Touch'!AM41,IF('Map 2 Do Touch'!AN41&gt;4,INDEX($AG$4:$AH$6,MATCH(INDEX($I$3:$L$6,MATCH(MOD('Map 2 Do Touch'!AM41,4),$H$3:$H$6,0),MATCH(MOD('Map 2 Do Touch'!AN41,4),$I$2:$L$2,0)),$AF$4:$AF$6,0),MATCH(IF('Map 2 Do Touch'!AM41&gt;4,"Water","Land"),'Map 3'!$AG$3:$AH$3,0)),INDEX($AK$4:$AL$6,MATCH(INDEX($I$3:$L$6,MATCH(MOD('Map 2 Do Touch'!AM41,4),$H$3:$H$6,0),MATCH(MOD('Map 2 Do Touch'!AN41,4),$I$2:$L$2,0)),'Map 3'!$AJ$4:$AJ$6,0),MATCH(IF('Map 2 Do Touch'!AM41&gt;4,"Water","Land"),'Map 3'!$AK$3:$AL$3,0))),IF('Map 2 Do Touch'!AN41&gt;4,INDEX($AG$4:$AH$6,MATCH(INDEX($P$3:$S$6,MATCH(MOD('Map 2 Do Touch'!AN40,4),$O$3:$O$6,0),MATCH(MOD('Map 2 Do Touch'!AN41,4),$P$2:$S$2,0)),$AF$4:$AF$6,0),MATCH(IF('Map 2 Do Touch'!AN40&gt;4,"Water","Land"),'Map 3'!$AG$3:$AH$3,0)),INDEX($AK$4:$AL$6,MATCH(INDEX($P$3:$S$6,MATCH(MOD('Map 2 Do Touch'!AN40,4),$O$3:$O$6,0),MATCH(MOD('Map 2 Do Touch'!AN41,4),$P$2:$S$2,0)),'Map 3'!$AJ$4:$AJ$6,0),MATCH(IF('Map 2 Do Touch'!AN40&gt;4,"Water","Land"),'Map 3'!$AK$3:$AL$3,0))))</f>
        <v>Ocean</v>
      </c>
      <c r="AO45" s="87" t="str">
        <f ca="1">IF('Map 2 Do Touch'!AN40&lt;&gt;'Map 2 Do Touch'!AN41,IF('Map 2 Do Touch'!AO41&gt;4,INDEX($AG$4:$AH$6,MATCH(INDEX($I$3:$L$6,MATCH(MOD('Map 2 Do Touch'!AN41,4),$H$3:$H$6,0),MATCH(MOD('Map 2 Do Touch'!AO41,4),$I$2:$L$2,0)),$AF$4:$AF$6,0),MATCH(IF('Map 2 Do Touch'!AN41&gt;4,"Water","Land"),'Map 3'!$AG$3:$AH$3,0)),INDEX($AK$4:$AL$6,MATCH(INDEX($I$3:$L$6,MATCH(MOD('Map 2 Do Touch'!AN41,4),$H$3:$H$6,0),MATCH(MOD('Map 2 Do Touch'!AO41,4),$I$2:$L$2,0)),'Map 3'!$AJ$4:$AJ$6,0),MATCH(IF('Map 2 Do Touch'!AN41&gt;4,"Water","Land"),'Map 3'!$AK$3:$AL$3,0))),IF('Map 2 Do Touch'!AO41&gt;4,INDEX($AG$4:$AH$6,MATCH(INDEX($P$3:$S$6,MATCH(MOD('Map 2 Do Touch'!AO40,4),$O$3:$O$6,0),MATCH(MOD('Map 2 Do Touch'!AO41,4),$P$2:$S$2,0)),$AF$4:$AF$6,0),MATCH(IF('Map 2 Do Touch'!AO40&gt;4,"Water","Land"),'Map 3'!$AG$3:$AH$3,0)),INDEX($AK$4:$AL$6,MATCH(INDEX($P$3:$S$6,MATCH(MOD('Map 2 Do Touch'!AO40,4),$O$3:$O$6,0),MATCH(MOD('Map 2 Do Touch'!AO41,4),$P$2:$S$2,0)),'Map 3'!$AJ$4:$AJ$6,0),MATCH(IF('Map 2 Do Touch'!AO40&gt;4,"Water","Land"),'Map 3'!$AK$3:$AL$3,0))))</f>
        <v>Ocean</v>
      </c>
      <c r="AP45" s="3"/>
    </row>
    <row r="46" spans="1:42" ht="37.5" customHeight="1">
      <c r="A46" s="3">
        <v>35</v>
      </c>
      <c r="B46" s="86" t="str">
        <f ca="1">IF('Map 2 Do Touch'!B41&lt;&gt;'Map 2 Do Touch'!B42,IF('Map 2 Do Touch'!B42&gt;4,INDEX($AG$4:$AH$6,MATCH(INDEX($I$3:$L$6,MATCH(MOD('Map 2 Do Touch'!AO42,4),$H$3:$H$6,0),MATCH(MOD('Map 2 Do Touch'!B42,4),$I$2:$L$2,0)),$AF$4:$AF$6,0),MATCH(IF('Map 2 Do Touch'!AO42&gt;4,"Water","Land"),'Map 3'!$AG$3:$AH$3,0)),INDEX($AK$4:$AL$6,MATCH(INDEX($I$3:$L$6,MATCH(MOD('Map 2 Do Touch'!A42,4),$H$3:$H$6,0),MATCH(MOD('Map 2 Do Touch'!B42,4),$I$2:$L$2,0)),'Map 3'!$AJ$4:$AJ$6,0),MATCH(IF('Map 2 Do Touch'!AO42&gt;4,"Water","Land"),'Map 3'!$AK$3:$AL$3,0))),IF('Map 2 Do Touch'!B42&gt;4,INDEX($AG$4:$AH$6,MATCH(INDEX($P$3:$S$6,MATCH(MOD('Map 2 Do Touch'!B41,4),$O$3:$O$6,0),MATCH(MOD('Map 2 Do Touch'!B42,4),$P$2:$S$2,0)),$AF$4:$AF$6,0),MATCH(IF('Map 2 Do Touch'!B41&gt;4,"Water","Land"),'Map 3'!$AG$3:$AH$3,0)),INDEX($AK$4:$AL$6,MATCH(INDEX($P$3:$S$6,MATCH(MOD('Map 2 Do Touch'!B41,4),$O$3:$O$6,0),MATCH(MOD('Map 2 Do Touch'!B42,4),$P$2:$S$2,0)),'Map 3'!$AJ$4:$AJ$6,0),MATCH(IF('Map 2 Do Touch'!B41&gt;4,"Water","Land"),'Map 3'!$AK$3:$AL$3,0))))</f>
        <v>Ocean</v>
      </c>
      <c r="C46" s="3" t="str">
        <f ca="1">IF('Map 2 Do Touch'!B41&lt;&gt;'Map 2 Do Touch'!B42,IF('Map 2 Do Touch'!C42&gt;4,INDEX($AG$4:$AH$6,MATCH(INDEX($I$3:$L$6,MATCH(MOD('Map 2 Do Touch'!B42,4),$H$3:$H$6,0),MATCH(MOD('Map 2 Do Touch'!C42,4),$I$2:$L$2,0)),$AF$4:$AF$6,0),MATCH(IF('Map 2 Do Touch'!B42&gt;4,"Water","Land"),'Map 3'!$AG$3:$AH$3,0)),INDEX($AK$4:$AL$6,MATCH(INDEX($I$3:$L$6,MATCH(MOD('Map 2 Do Touch'!B42,4),$H$3:$H$6,0),MATCH(MOD('Map 2 Do Touch'!C42,4),$I$2:$L$2,0)),'Map 3'!$AJ$4:$AJ$6,0),MATCH(IF('Map 2 Do Touch'!B42&gt;4,"Water","Land"),'Map 3'!$AK$3:$AL$3,0))),IF('Map 2 Do Touch'!C42&gt;4,INDEX($AG$4:$AH$6,MATCH(INDEX($P$3:$S$6,MATCH(MOD('Map 2 Do Touch'!C41,4),$O$3:$O$6,0),MATCH(MOD('Map 2 Do Touch'!C42,4),$P$2:$S$2,0)),$AF$4:$AF$6,0),MATCH(IF('Map 2 Do Touch'!C41&gt;4,"Water","Land"),'Map 3'!$AG$3:$AH$3,0)),INDEX($AK$4:$AL$6,MATCH(INDEX($P$3:$S$6,MATCH(MOD('Map 2 Do Touch'!C41,4),$O$3:$O$6,0),MATCH(MOD('Map 2 Do Touch'!C42,4),$P$2:$S$2,0)),'Map 3'!$AJ$4:$AJ$6,0),MATCH(IF('Map 2 Do Touch'!C41&gt;4,"Water","Land"),'Map 3'!$AK$3:$AL$3,0))))</f>
        <v>Ocean</v>
      </c>
      <c r="D46" s="3" t="str">
        <f ca="1">IF('Map 2 Do Touch'!C41&lt;&gt;'Map 2 Do Touch'!C42,IF('Map 2 Do Touch'!D42&gt;4,INDEX($AG$4:$AH$6,MATCH(INDEX($I$3:$L$6,MATCH(MOD('Map 2 Do Touch'!C42,4),$H$3:$H$6,0),MATCH(MOD('Map 2 Do Touch'!D42,4),$I$2:$L$2,0)),$AF$4:$AF$6,0),MATCH(IF('Map 2 Do Touch'!C42&gt;4,"Water","Land"),'Map 3'!$AG$3:$AH$3,0)),INDEX($AK$4:$AL$6,MATCH(INDEX($I$3:$L$6,MATCH(MOD('Map 2 Do Touch'!C42,4),$H$3:$H$6,0),MATCH(MOD('Map 2 Do Touch'!D42,4),$I$2:$L$2,0)),'Map 3'!$AJ$4:$AJ$6,0),MATCH(IF('Map 2 Do Touch'!C42&gt;4,"Water","Land"),'Map 3'!$AK$3:$AL$3,0))),IF('Map 2 Do Touch'!D42&gt;4,INDEX($AG$4:$AH$6,MATCH(INDEX($P$3:$S$6,MATCH(MOD('Map 2 Do Touch'!D41,4),$O$3:$O$6,0),MATCH(MOD('Map 2 Do Touch'!D42,4),$P$2:$S$2,0)),$AF$4:$AF$6,0),MATCH(IF('Map 2 Do Touch'!D41&gt;4,"Water","Land"),'Map 3'!$AG$3:$AH$3,0)),INDEX($AK$4:$AL$6,MATCH(INDEX($P$3:$S$6,MATCH(MOD('Map 2 Do Touch'!D41,4),$O$3:$O$6,0),MATCH(MOD('Map 2 Do Touch'!D42,4),$P$2:$S$2,0)),'Map 3'!$AJ$4:$AJ$6,0),MATCH(IF('Map 2 Do Touch'!D41&gt;4,"Water","Land"),'Map 3'!$AK$3:$AL$3,0))))</f>
        <v>Ocean</v>
      </c>
      <c r="E46" s="3" t="str">
        <f ca="1">IF('Map 2 Do Touch'!D41&lt;&gt;'Map 2 Do Touch'!D42,IF('Map 2 Do Touch'!E42&gt;4,INDEX($AG$4:$AH$6,MATCH(INDEX($I$3:$L$6,MATCH(MOD('Map 2 Do Touch'!D42,4),$H$3:$H$6,0),MATCH(MOD('Map 2 Do Touch'!E42,4),$I$2:$L$2,0)),$AF$4:$AF$6,0),MATCH(IF('Map 2 Do Touch'!D42&gt;4,"Water","Land"),'Map 3'!$AG$3:$AH$3,0)),INDEX($AK$4:$AL$6,MATCH(INDEX($I$3:$L$6,MATCH(MOD('Map 2 Do Touch'!D42,4),$H$3:$H$6,0),MATCH(MOD('Map 2 Do Touch'!E42,4),$I$2:$L$2,0)),'Map 3'!$AJ$4:$AJ$6,0),MATCH(IF('Map 2 Do Touch'!D42&gt;4,"Water","Land"),'Map 3'!$AK$3:$AL$3,0))),IF('Map 2 Do Touch'!E42&gt;4,INDEX($AG$4:$AH$6,MATCH(INDEX($P$3:$S$6,MATCH(MOD('Map 2 Do Touch'!E41,4),$O$3:$O$6,0),MATCH(MOD('Map 2 Do Touch'!E42,4),$P$2:$S$2,0)),$AF$4:$AF$6,0),MATCH(IF('Map 2 Do Touch'!E41&gt;4,"Water","Land"),'Map 3'!$AG$3:$AH$3,0)),INDEX($AK$4:$AL$6,MATCH(INDEX($P$3:$S$6,MATCH(MOD('Map 2 Do Touch'!E41,4),$O$3:$O$6,0),MATCH(MOD('Map 2 Do Touch'!E42,4),$P$2:$S$2,0)),'Map 3'!$AJ$4:$AJ$6,0),MATCH(IF('Map 2 Do Touch'!E41&gt;4,"Water","Land"),'Map 3'!$AK$3:$AL$3,0))))</f>
        <v>Ocean</v>
      </c>
      <c r="F46" s="3" t="str">
        <f ca="1">IF('Map 2 Do Touch'!E41&lt;&gt;'Map 2 Do Touch'!E42,IF('Map 2 Do Touch'!F42&gt;4,INDEX($AG$4:$AH$6,MATCH(INDEX($I$3:$L$6,MATCH(MOD('Map 2 Do Touch'!E42,4),$H$3:$H$6,0),MATCH(MOD('Map 2 Do Touch'!F42,4),$I$2:$L$2,0)),$AF$4:$AF$6,0),MATCH(IF('Map 2 Do Touch'!E42&gt;4,"Water","Land"),'Map 3'!$AG$3:$AH$3,0)),INDEX($AK$4:$AL$6,MATCH(INDEX($I$3:$L$6,MATCH(MOD('Map 2 Do Touch'!E42,4),$H$3:$H$6,0),MATCH(MOD('Map 2 Do Touch'!F42,4),$I$2:$L$2,0)),'Map 3'!$AJ$4:$AJ$6,0),MATCH(IF('Map 2 Do Touch'!E42&gt;4,"Water","Land"),'Map 3'!$AK$3:$AL$3,0))),IF('Map 2 Do Touch'!F42&gt;4,INDEX($AG$4:$AH$6,MATCH(INDEX($P$3:$S$6,MATCH(MOD('Map 2 Do Touch'!F41,4),$O$3:$O$6,0),MATCH(MOD('Map 2 Do Touch'!F42,4),$P$2:$S$2,0)),$AF$4:$AF$6,0),MATCH(IF('Map 2 Do Touch'!F41&gt;4,"Water","Land"),'Map 3'!$AG$3:$AH$3,0)),INDEX($AK$4:$AL$6,MATCH(INDEX($P$3:$S$6,MATCH(MOD('Map 2 Do Touch'!F41,4),$O$3:$O$6,0),MATCH(MOD('Map 2 Do Touch'!F42,4),$P$2:$S$2,0)),'Map 3'!$AJ$4:$AJ$6,0),MATCH(IF('Map 2 Do Touch'!F41&gt;4,"Water","Land"),'Map 3'!$AK$3:$AL$3,0))))</f>
        <v>Ocean</v>
      </c>
      <c r="G46" s="3" t="str">
        <f ca="1">IF('Map 2 Do Touch'!F41&lt;&gt;'Map 2 Do Touch'!F42,IF('Map 2 Do Touch'!G42&gt;4,INDEX($AG$4:$AH$6,MATCH(INDEX($I$3:$L$6,MATCH(MOD('Map 2 Do Touch'!F42,4),$H$3:$H$6,0),MATCH(MOD('Map 2 Do Touch'!G42,4),$I$2:$L$2,0)),$AF$4:$AF$6,0),MATCH(IF('Map 2 Do Touch'!F42&gt;4,"Water","Land"),'Map 3'!$AG$3:$AH$3,0)),INDEX($AK$4:$AL$6,MATCH(INDEX($I$3:$L$6,MATCH(MOD('Map 2 Do Touch'!F42,4),$H$3:$H$6,0),MATCH(MOD('Map 2 Do Touch'!G42,4),$I$2:$L$2,0)),'Map 3'!$AJ$4:$AJ$6,0),MATCH(IF('Map 2 Do Touch'!F42&gt;4,"Water","Land"),'Map 3'!$AK$3:$AL$3,0))),IF('Map 2 Do Touch'!G42&gt;4,INDEX($AG$4:$AH$6,MATCH(INDEX($P$3:$S$6,MATCH(MOD('Map 2 Do Touch'!G41,4),$O$3:$O$6,0),MATCH(MOD('Map 2 Do Touch'!G42,4),$P$2:$S$2,0)),$AF$4:$AF$6,0),MATCH(IF('Map 2 Do Touch'!G41&gt;4,"Water","Land"),'Map 3'!$AG$3:$AH$3,0)),INDEX($AK$4:$AL$6,MATCH(INDEX($P$3:$S$6,MATCH(MOD('Map 2 Do Touch'!G41,4),$O$3:$O$6,0),MATCH(MOD('Map 2 Do Touch'!G42,4),$P$2:$S$2,0)),'Map 3'!$AJ$4:$AJ$6,0),MATCH(IF('Map 2 Do Touch'!G41&gt;4,"Water","Land"),'Map 3'!$AK$3:$AL$3,0))))</f>
        <v>Ocean</v>
      </c>
      <c r="H46" s="3" t="str">
        <f ca="1">IF('Map 2 Do Touch'!G41&lt;&gt;'Map 2 Do Touch'!G42,IF('Map 2 Do Touch'!H42&gt;4,INDEX($AG$4:$AH$6,MATCH(INDEX($I$3:$L$6,MATCH(MOD('Map 2 Do Touch'!G42,4),$H$3:$H$6,0),MATCH(MOD('Map 2 Do Touch'!H42,4),$I$2:$L$2,0)),$AF$4:$AF$6,0),MATCH(IF('Map 2 Do Touch'!G42&gt;4,"Water","Land"),'Map 3'!$AG$3:$AH$3,0)),INDEX($AK$4:$AL$6,MATCH(INDEX($I$3:$L$6,MATCH(MOD('Map 2 Do Touch'!G42,4),$H$3:$H$6,0),MATCH(MOD('Map 2 Do Touch'!H42,4),$I$2:$L$2,0)),'Map 3'!$AJ$4:$AJ$6,0),MATCH(IF('Map 2 Do Touch'!G42&gt;4,"Water","Land"),'Map 3'!$AK$3:$AL$3,0))),IF('Map 2 Do Touch'!H42&gt;4,INDEX($AG$4:$AH$6,MATCH(INDEX($P$3:$S$6,MATCH(MOD('Map 2 Do Touch'!H41,4),$O$3:$O$6,0),MATCH(MOD('Map 2 Do Touch'!H42,4),$P$2:$S$2,0)),$AF$4:$AF$6,0),MATCH(IF('Map 2 Do Touch'!H41&gt;4,"Water","Land"),'Map 3'!$AG$3:$AH$3,0)),INDEX($AK$4:$AL$6,MATCH(INDEX($P$3:$S$6,MATCH(MOD('Map 2 Do Touch'!H41,4),$O$3:$O$6,0),MATCH(MOD('Map 2 Do Touch'!H42,4),$P$2:$S$2,0)),'Map 3'!$AJ$4:$AJ$6,0),MATCH(IF('Map 2 Do Touch'!H41&gt;4,"Water","Land"),'Map 3'!$AK$3:$AL$3,0))))</f>
        <v>Ocean</v>
      </c>
      <c r="I46" s="3" t="str">
        <f ca="1">IF('Map 2 Do Touch'!H41&lt;&gt;'Map 2 Do Touch'!H42,IF('Map 2 Do Touch'!I42&gt;4,INDEX($AG$4:$AH$6,MATCH(INDEX($I$3:$L$6,MATCH(MOD('Map 2 Do Touch'!H42,4),$H$3:$H$6,0),MATCH(MOD('Map 2 Do Touch'!I42,4),$I$2:$L$2,0)),$AF$4:$AF$6,0),MATCH(IF('Map 2 Do Touch'!H42&gt;4,"Water","Land"),'Map 3'!$AG$3:$AH$3,0)),INDEX($AK$4:$AL$6,MATCH(INDEX($I$3:$L$6,MATCH(MOD('Map 2 Do Touch'!H42,4),$H$3:$H$6,0),MATCH(MOD('Map 2 Do Touch'!I42,4),$I$2:$L$2,0)),'Map 3'!$AJ$4:$AJ$6,0),MATCH(IF('Map 2 Do Touch'!H42&gt;4,"Water","Land"),'Map 3'!$AK$3:$AL$3,0))),IF('Map 2 Do Touch'!I42&gt;4,INDEX($AG$4:$AH$6,MATCH(INDEX($P$3:$S$6,MATCH(MOD('Map 2 Do Touch'!I41,4),$O$3:$O$6,0),MATCH(MOD('Map 2 Do Touch'!I42,4),$P$2:$S$2,0)),$AF$4:$AF$6,0),MATCH(IF('Map 2 Do Touch'!I41&gt;4,"Water","Land"),'Map 3'!$AG$3:$AH$3,0)),INDEX($AK$4:$AL$6,MATCH(INDEX($P$3:$S$6,MATCH(MOD('Map 2 Do Touch'!I41,4),$O$3:$O$6,0),MATCH(MOD('Map 2 Do Touch'!I42,4),$P$2:$S$2,0)),'Map 3'!$AJ$4:$AJ$6,0),MATCH(IF('Map 2 Do Touch'!I41&gt;4,"Water","Land"),'Map 3'!$AK$3:$AL$3,0))))</f>
        <v>Ocean</v>
      </c>
      <c r="J46" s="3" t="str">
        <f ca="1">IF('Map 2 Do Touch'!I41&lt;&gt;'Map 2 Do Touch'!I42,IF('Map 2 Do Touch'!J42&gt;4,INDEX($AG$4:$AH$6,MATCH(INDEX($I$3:$L$6,MATCH(MOD('Map 2 Do Touch'!I42,4),$H$3:$H$6,0),MATCH(MOD('Map 2 Do Touch'!J42,4),$I$2:$L$2,0)),$AF$4:$AF$6,0),MATCH(IF('Map 2 Do Touch'!I42&gt;4,"Water","Land"),'Map 3'!$AG$3:$AH$3,0)),INDEX($AK$4:$AL$6,MATCH(INDEX($I$3:$L$6,MATCH(MOD('Map 2 Do Touch'!I42,4),$H$3:$H$6,0),MATCH(MOD('Map 2 Do Touch'!J42,4),$I$2:$L$2,0)),'Map 3'!$AJ$4:$AJ$6,0),MATCH(IF('Map 2 Do Touch'!I42&gt;4,"Water","Land"),'Map 3'!$AK$3:$AL$3,0))),IF('Map 2 Do Touch'!J42&gt;4,INDEX($AG$4:$AH$6,MATCH(INDEX($P$3:$S$6,MATCH(MOD('Map 2 Do Touch'!J41,4),$O$3:$O$6,0),MATCH(MOD('Map 2 Do Touch'!J42,4),$P$2:$S$2,0)),$AF$4:$AF$6,0),MATCH(IF('Map 2 Do Touch'!J41&gt;4,"Water","Land"),'Map 3'!$AG$3:$AH$3,0)),INDEX($AK$4:$AL$6,MATCH(INDEX($P$3:$S$6,MATCH(MOD('Map 2 Do Touch'!J41,4),$O$3:$O$6,0),MATCH(MOD('Map 2 Do Touch'!J42,4),$P$2:$S$2,0)),'Map 3'!$AJ$4:$AJ$6,0),MATCH(IF('Map 2 Do Touch'!J41&gt;4,"Water","Land"),'Map 3'!$AK$3:$AL$3,0))))</f>
        <v>Coast</v>
      </c>
      <c r="K46" s="3" t="str">
        <f ca="1">IF('Map 2 Do Touch'!J41&lt;&gt;'Map 2 Do Touch'!J42,IF('Map 2 Do Touch'!K42&gt;4,INDEX($AG$4:$AH$6,MATCH(INDEX($I$3:$L$6,MATCH(MOD('Map 2 Do Touch'!J42,4),$H$3:$H$6,0),MATCH(MOD('Map 2 Do Touch'!K42,4),$I$2:$L$2,0)),$AF$4:$AF$6,0),MATCH(IF('Map 2 Do Touch'!J42&gt;4,"Water","Land"),'Map 3'!$AG$3:$AH$3,0)),INDEX($AK$4:$AL$6,MATCH(INDEX($I$3:$L$6,MATCH(MOD('Map 2 Do Touch'!J42,4),$H$3:$H$6,0),MATCH(MOD('Map 2 Do Touch'!K42,4),$I$2:$L$2,0)),'Map 3'!$AJ$4:$AJ$6,0),MATCH(IF('Map 2 Do Touch'!J42&gt;4,"Water","Land"),'Map 3'!$AK$3:$AL$3,0))),IF('Map 2 Do Touch'!K42&gt;4,INDEX($AG$4:$AH$6,MATCH(INDEX($P$3:$S$6,MATCH(MOD('Map 2 Do Touch'!K41,4),$O$3:$O$6,0),MATCH(MOD('Map 2 Do Touch'!K42,4),$P$2:$S$2,0)),$AF$4:$AF$6,0),MATCH(IF('Map 2 Do Touch'!K41&gt;4,"Water","Land"),'Map 3'!$AG$3:$AH$3,0)),INDEX($AK$4:$AL$6,MATCH(INDEX($P$3:$S$6,MATCH(MOD('Map 2 Do Touch'!K41,4),$O$3:$O$6,0),MATCH(MOD('Map 2 Do Touch'!K42,4),$P$2:$S$2,0)),'Map 3'!$AJ$4:$AJ$6,0),MATCH(IF('Map 2 Do Touch'!K41&gt;4,"Water","Land"),'Map 3'!$AK$3:$AL$3,0))))</f>
        <v>Coast</v>
      </c>
      <c r="L46" s="3" t="str">
        <f ca="1">IF('Map 2 Do Touch'!K41&lt;&gt;'Map 2 Do Touch'!K42,IF('Map 2 Do Touch'!L42&gt;4,INDEX($AG$4:$AH$6,MATCH(INDEX($I$3:$L$6,MATCH(MOD('Map 2 Do Touch'!K42,4),$H$3:$H$6,0),MATCH(MOD('Map 2 Do Touch'!L42,4),$I$2:$L$2,0)),$AF$4:$AF$6,0),MATCH(IF('Map 2 Do Touch'!K42&gt;4,"Water","Land"),'Map 3'!$AG$3:$AH$3,0)),INDEX($AK$4:$AL$6,MATCH(INDEX($I$3:$L$6,MATCH(MOD('Map 2 Do Touch'!K42,4),$H$3:$H$6,0),MATCH(MOD('Map 2 Do Touch'!L42,4),$I$2:$L$2,0)),'Map 3'!$AJ$4:$AJ$6,0),MATCH(IF('Map 2 Do Touch'!K42&gt;4,"Water","Land"),'Map 3'!$AK$3:$AL$3,0))),IF('Map 2 Do Touch'!L42&gt;4,INDEX($AG$4:$AH$6,MATCH(INDEX($P$3:$S$6,MATCH(MOD('Map 2 Do Touch'!L41,4),$O$3:$O$6,0),MATCH(MOD('Map 2 Do Touch'!L42,4),$P$2:$S$2,0)),$AF$4:$AF$6,0),MATCH(IF('Map 2 Do Touch'!L41&gt;4,"Water","Land"),'Map 3'!$AG$3:$AH$3,0)),INDEX($AK$4:$AL$6,MATCH(INDEX($P$3:$S$6,MATCH(MOD('Map 2 Do Touch'!L41,4),$O$3:$O$6,0),MATCH(MOD('Map 2 Do Touch'!L42,4),$P$2:$S$2,0)),'Map 3'!$AJ$4:$AJ$6,0),MATCH(IF('Map 2 Do Touch'!L41&gt;4,"Water","Land"),'Map 3'!$AK$3:$AL$3,0))))</f>
        <v>Flatland</v>
      </c>
      <c r="M46" s="3" t="str">
        <f ca="1">IF('Map 2 Do Touch'!L41&lt;&gt;'Map 2 Do Touch'!L42,IF('Map 2 Do Touch'!M42&gt;4,INDEX($AG$4:$AH$6,MATCH(INDEX($I$3:$L$6,MATCH(MOD('Map 2 Do Touch'!L42,4),$H$3:$H$6,0),MATCH(MOD('Map 2 Do Touch'!M42,4),$I$2:$L$2,0)),$AF$4:$AF$6,0),MATCH(IF('Map 2 Do Touch'!L42&gt;4,"Water","Land"),'Map 3'!$AG$3:$AH$3,0)),INDEX($AK$4:$AL$6,MATCH(INDEX($I$3:$L$6,MATCH(MOD('Map 2 Do Touch'!L42,4),$H$3:$H$6,0),MATCH(MOD('Map 2 Do Touch'!M42,4),$I$2:$L$2,0)),'Map 3'!$AJ$4:$AJ$6,0),MATCH(IF('Map 2 Do Touch'!L42&gt;4,"Water","Land"),'Map 3'!$AK$3:$AL$3,0))),IF('Map 2 Do Touch'!M42&gt;4,INDEX($AG$4:$AH$6,MATCH(INDEX($P$3:$S$6,MATCH(MOD('Map 2 Do Touch'!M41,4),$O$3:$O$6,0),MATCH(MOD('Map 2 Do Touch'!M42,4),$P$2:$S$2,0)),$AF$4:$AF$6,0),MATCH(IF('Map 2 Do Touch'!M41&gt;4,"Water","Land"),'Map 3'!$AG$3:$AH$3,0)),INDEX($AK$4:$AL$6,MATCH(INDEX($P$3:$S$6,MATCH(MOD('Map 2 Do Touch'!M41,4),$O$3:$O$6,0),MATCH(MOD('Map 2 Do Touch'!M42,4),$P$2:$S$2,0)),'Map 3'!$AJ$4:$AJ$6,0),MATCH(IF('Map 2 Do Touch'!M41&gt;4,"Water","Land"),'Map 3'!$AK$3:$AL$3,0))))</f>
        <v>Flatland</v>
      </c>
      <c r="N46" s="3" t="str">
        <f ca="1">IF('Map 2 Do Touch'!M41&lt;&gt;'Map 2 Do Touch'!M42,IF('Map 2 Do Touch'!N42&gt;4,INDEX($AG$4:$AH$6,MATCH(INDEX($I$3:$L$6,MATCH(MOD('Map 2 Do Touch'!M42,4),$H$3:$H$6,0),MATCH(MOD('Map 2 Do Touch'!N42,4),$I$2:$L$2,0)),$AF$4:$AF$6,0),MATCH(IF('Map 2 Do Touch'!M42&gt;4,"Water","Land"),'Map 3'!$AG$3:$AH$3,0)),INDEX($AK$4:$AL$6,MATCH(INDEX($I$3:$L$6,MATCH(MOD('Map 2 Do Touch'!M42,4),$H$3:$H$6,0),MATCH(MOD('Map 2 Do Touch'!N42,4),$I$2:$L$2,0)),'Map 3'!$AJ$4:$AJ$6,0),MATCH(IF('Map 2 Do Touch'!M42&gt;4,"Water","Land"),'Map 3'!$AK$3:$AL$3,0))),IF('Map 2 Do Touch'!N42&gt;4,INDEX($AG$4:$AH$6,MATCH(INDEX($P$3:$S$6,MATCH(MOD('Map 2 Do Touch'!N41,4),$O$3:$O$6,0),MATCH(MOD('Map 2 Do Touch'!N42,4),$P$2:$S$2,0)),$AF$4:$AF$6,0),MATCH(IF('Map 2 Do Touch'!N41&gt;4,"Water","Land"),'Map 3'!$AG$3:$AH$3,0)),INDEX($AK$4:$AL$6,MATCH(INDEX($P$3:$S$6,MATCH(MOD('Map 2 Do Touch'!N41,4),$O$3:$O$6,0),MATCH(MOD('Map 2 Do Touch'!N42,4),$P$2:$S$2,0)),'Map 3'!$AJ$4:$AJ$6,0),MATCH(IF('Map 2 Do Touch'!N41&gt;4,"Water","Land"),'Map 3'!$AK$3:$AL$3,0))))</f>
        <v>Flatland</v>
      </c>
      <c r="O46" s="3" t="str">
        <f ca="1">IF('Map 2 Do Touch'!N41&lt;&gt;'Map 2 Do Touch'!N42,IF('Map 2 Do Touch'!O42&gt;4,INDEX($AG$4:$AH$6,MATCH(INDEX($I$3:$L$6,MATCH(MOD('Map 2 Do Touch'!N42,4),$H$3:$H$6,0),MATCH(MOD('Map 2 Do Touch'!O42,4),$I$2:$L$2,0)),$AF$4:$AF$6,0),MATCH(IF('Map 2 Do Touch'!N42&gt;4,"Water","Land"),'Map 3'!$AG$3:$AH$3,0)),INDEX($AK$4:$AL$6,MATCH(INDEX($I$3:$L$6,MATCH(MOD('Map 2 Do Touch'!N42,4),$H$3:$H$6,0),MATCH(MOD('Map 2 Do Touch'!O42,4),$I$2:$L$2,0)),'Map 3'!$AJ$4:$AJ$6,0),MATCH(IF('Map 2 Do Touch'!N42&gt;4,"Water","Land"),'Map 3'!$AK$3:$AL$3,0))),IF('Map 2 Do Touch'!O42&gt;4,INDEX($AG$4:$AH$6,MATCH(INDEX($P$3:$S$6,MATCH(MOD('Map 2 Do Touch'!O41,4),$O$3:$O$6,0),MATCH(MOD('Map 2 Do Touch'!O42,4),$P$2:$S$2,0)),$AF$4:$AF$6,0),MATCH(IF('Map 2 Do Touch'!O41&gt;4,"Water","Land"),'Map 3'!$AG$3:$AH$3,0)),INDEX($AK$4:$AL$6,MATCH(INDEX($P$3:$S$6,MATCH(MOD('Map 2 Do Touch'!O41,4),$O$3:$O$6,0),MATCH(MOD('Map 2 Do Touch'!O42,4),$P$2:$S$2,0)),'Map 3'!$AJ$4:$AJ$6,0),MATCH(IF('Map 2 Do Touch'!O41&gt;4,"Water","Land"),'Map 3'!$AK$3:$AL$3,0))))</f>
        <v>Flatland</v>
      </c>
      <c r="P46" s="3" t="str">
        <f ca="1">IF('Map 2 Do Touch'!O41&lt;&gt;'Map 2 Do Touch'!O42,IF('Map 2 Do Touch'!P42&gt;4,INDEX($AG$4:$AH$6,MATCH(INDEX($I$3:$L$6,MATCH(MOD('Map 2 Do Touch'!O42,4),$H$3:$H$6,0),MATCH(MOD('Map 2 Do Touch'!P42,4),$I$2:$L$2,0)),$AF$4:$AF$6,0),MATCH(IF('Map 2 Do Touch'!O42&gt;4,"Water","Land"),'Map 3'!$AG$3:$AH$3,0)),INDEX($AK$4:$AL$6,MATCH(INDEX($I$3:$L$6,MATCH(MOD('Map 2 Do Touch'!O42,4),$H$3:$H$6,0),MATCH(MOD('Map 2 Do Touch'!P42,4),$I$2:$L$2,0)),'Map 3'!$AJ$4:$AJ$6,0),MATCH(IF('Map 2 Do Touch'!O42&gt;4,"Water","Land"),'Map 3'!$AK$3:$AL$3,0))),IF('Map 2 Do Touch'!P42&gt;4,INDEX($AG$4:$AH$6,MATCH(INDEX($P$3:$S$6,MATCH(MOD('Map 2 Do Touch'!P41,4),$O$3:$O$6,0),MATCH(MOD('Map 2 Do Touch'!P42,4),$P$2:$S$2,0)),$AF$4:$AF$6,0),MATCH(IF('Map 2 Do Touch'!P41&gt;4,"Water","Land"),'Map 3'!$AG$3:$AH$3,0)),INDEX($AK$4:$AL$6,MATCH(INDEX($P$3:$S$6,MATCH(MOD('Map 2 Do Touch'!P41,4),$O$3:$O$6,0),MATCH(MOD('Map 2 Do Touch'!P42,4),$P$2:$S$2,0)),'Map 3'!$AJ$4:$AJ$6,0),MATCH(IF('Map 2 Do Touch'!P41&gt;4,"Water","Land"),'Map 3'!$AK$3:$AL$3,0))))</f>
        <v>Flatland</v>
      </c>
      <c r="Q46" s="3" t="str">
        <f ca="1">IF('Map 2 Do Touch'!P41&lt;&gt;'Map 2 Do Touch'!P42,IF('Map 2 Do Touch'!Q42&gt;4,INDEX($AG$4:$AH$6,MATCH(INDEX($I$3:$L$6,MATCH(MOD('Map 2 Do Touch'!P42,4),$H$3:$H$6,0),MATCH(MOD('Map 2 Do Touch'!Q42,4),$I$2:$L$2,0)),$AF$4:$AF$6,0),MATCH(IF('Map 2 Do Touch'!P42&gt;4,"Water","Land"),'Map 3'!$AG$3:$AH$3,0)),INDEX($AK$4:$AL$6,MATCH(INDEX($I$3:$L$6,MATCH(MOD('Map 2 Do Touch'!P42,4),$H$3:$H$6,0),MATCH(MOD('Map 2 Do Touch'!Q42,4),$I$2:$L$2,0)),'Map 3'!$AJ$4:$AJ$6,0),MATCH(IF('Map 2 Do Touch'!P42&gt;4,"Water","Land"),'Map 3'!$AK$3:$AL$3,0))),IF('Map 2 Do Touch'!Q42&gt;4,INDEX($AG$4:$AH$6,MATCH(INDEX($P$3:$S$6,MATCH(MOD('Map 2 Do Touch'!Q41,4),$O$3:$O$6,0),MATCH(MOD('Map 2 Do Touch'!Q42,4),$P$2:$S$2,0)),$AF$4:$AF$6,0),MATCH(IF('Map 2 Do Touch'!Q41&gt;4,"Water","Land"),'Map 3'!$AG$3:$AH$3,0)),INDEX($AK$4:$AL$6,MATCH(INDEX($P$3:$S$6,MATCH(MOD('Map 2 Do Touch'!Q41,4),$O$3:$O$6,0),MATCH(MOD('Map 2 Do Touch'!Q42,4),$P$2:$S$2,0)),'Map 3'!$AJ$4:$AJ$6,0),MATCH(IF('Map 2 Do Touch'!Q41&gt;4,"Water","Land"),'Map 3'!$AK$3:$AL$3,0))))</f>
        <v>Coast</v>
      </c>
      <c r="R46" s="3" t="str">
        <f ca="1">IF('Map 2 Do Touch'!Q41&lt;&gt;'Map 2 Do Touch'!Q42,IF('Map 2 Do Touch'!R42&gt;4,INDEX($AG$4:$AH$6,MATCH(INDEX($I$3:$L$6,MATCH(MOD('Map 2 Do Touch'!Q42,4),$H$3:$H$6,0),MATCH(MOD('Map 2 Do Touch'!R42,4),$I$2:$L$2,0)),$AF$4:$AF$6,0),MATCH(IF('Map 2 Do Touch'!Q42&gt;4,"Water","Land"),'Map 3'!$AG$3:$AH$3,0)),INDEX($AK$4:$AL$6,MATCH(INDEX($I$3:$L$6,MATCH(MOD('Map 2 Do Touch'!Q42,4),$H$3:$H$6,0),MATCH(MOD('Map 2 Do Touch'!R42,4),$I$2:$L$2,0)),'Map 3'!$AJ$4:$AJ$6,0),MATCH(IF('Map 2 Do Touch'!Q42&gt;4,"Water","Land"),'Map 3'!$AK$3:$AL$3,0))),IF('Map 2 Do Touch'!R42&gt;4,INDEX($AG$4:$AH$6,MATCH(INDEX($P$3:$S$6,MATCH(MOD('Map 2 Do Touch'!R41,4),$O$3:$O$6,0),MATCH(MOD('Map 2 Do Touch'!R42,4),$P$2:$S$2,0)),$AF$4:$AF$6,0),MATCH(IF('Map 2 Do Touch'!R41&gt;4,"Water","Land"),'Map 3'!$AG$3:$AH$3,0)),INDEX($AK$4:$AL$6,MATCH(INDEX($P$3:$S$6,MATCH(MOD('Map 2 Do Touch'!R41,4),$O$3:$O$6,0),MATCH(MOD('Map 2 Do Touch'!R42,4),$P$2:$S$2,0)),'Map 3'!$AJ$4:$AJ$6,0),MATCH(IF('Map 2 Do Touch'!R41&gt;4,"Water","Land"),'Map 3'!$AK$3:$AL$3,0))))</f>
        <v>Cliff</v>
      </c>
      <c r="S46" s="3" t="str">
        <f ca="1">IF('Map 2 Do Touch'!R41&lt;&gt;'Map 2 Do Touch'!R42,IF('Map 2 Do Touch'!S42&gt;4,INDEX($AG$4:$AH$6,MATCH(INDEX($I$3:$L$6,MATCH(MOD('Map 2 Do Touch'!R42,4),$H$3:$H$6,0),MATCH(MOD('Map 2 Do Touch'!S42,4),$I$2:$L$2,0)),$AF$4:$AF$6,0),MATCH(IF('Map 2 Do Touch'!R42&gt;4,"Water","Land"),'Map 3'!$AG$3:$AH$3,0)),INDEX($AK$4:$AL$6,MATCH(INDEX($I$3:$L$6,MATCH(MOD('Map 2 Do Touch'!R42,4),$H$3:$H$6,0),MATCH(MOD('Map 2 Do Touch'!S42,4),$I$2:$L$2,0)),'Map 3'!$AJ$4:$AJ$6,0),MATCH(IF('Map 2 Do Touch'!R42&gt;4,"Water","Land"),'Map 3'!$AK$3:$AL$3,0))),IF('Map 2 Do Touch'!S42&gt;4,INDEX($AG$4:$AH$6,MATCH(INDEX($P$3:$S$6,MATCH(MOD('Map 2 Do Touch'!S41,4),$O$3:$O$6,0),MATCH(MOD('Map 2 Do Touch'!S42,4),$P$2:$S$2,0)),$AF$4:$AF$6,0),MATCH(IF('Map 2 Do Touch'!S41&gt;4,"Water","Land"),'Map 3'!$AG$3:$AH$3,0)),INDEX($AK$4:$AL$6,MATCH(INDEX($P$3:$S$6,MATCH(MOD('Map 2 Do Touch'!S41,4),$O$3:$O$6,0),MATCH(MOD('Map 2 Do Touch'!S42,4),$P$2:$S$2,0)),'Map 3'!$AJ$4:$AJ$6,0),MATCH(IF('Map 2 Do Touch'!S41&gt;4,"Water","Land"),'Map 3'!$AK$3:$AL$3,0))))</f>
        <v>Trench</v>
      </c>
      <c r="T46" s="3" t="str">
        <f ca="1">IF('Map 2 Do Touch'!S41&lt;&gt;'Map 2 Do Touch'!S42,IF('Map 2 Do Touch'!T42&gt;4,INDEX($AG$4:$AH$6,MATCH(INDEX($I$3:$L$6,MATCH(MOD('Map 2 Do Touch'!S42,4),$H$3:$H$6,0),MATCH(MOD('Map 2 Do Touch'!T42,4),$I$2:$L$2,0)),$AF$4:$AF$6,0),MATCH(IF('Map 2 Do Touch'!S42&gt;4,"Water","Land"),'Map 3'!$AG$3:$AH$3,0)),INDEX($AK$4:$AL$6,MATCH(INDEX($I$3:$L$6,MATCH(MOD('Map 2 Do Touch'!S42,4),$H$3:$H$6,0),MATCH(MOD('Map 2 Do Touch'!T42,4),$I$2:$L$2,0)),'Map 3'!$AJ$4:$AJ$6,0),MATCH(IF('Map 2 Do Touch'!S42&gt;4,"Water","Land"),'Map 3'!$AK$3:$AL$3,0))),IF('Map 2 Do Touch'!T42&gt;4,INDEX($AG$4:$AH$6,MATCH(INDEX($P$3:$S$6,MATCH(MOD('Map 2 Do Touch'!T41,4),$O$3:$O$6,0),MATCH(MOD('Map 2 Do Touch'!T42,4),$P$2:$S$2,0)),$AF$4:$AF$6,0),MATCH(IF('Map 2 Do Touch'!T41&gt;4,"Water","Land"),'Map 3'!$AG$3:$AH$3,0)),INDEX($AK$4:$AL$6,MATCH(INDEX($P$3:$S$6,MATCH(MOD('Map 2 Do Touch'!T41,4),$O$3:$O$6,0),MATCH(MOD('Map 2 Do Touch'!T42,4),$P$2:$S$2,0)),'Map 3'!$AJ$4:$AJ$6,0),MATCH(IF('Map 2 Do Touch'!T41&gt;4,"Water","Land"),'Map 3'!$AK$3:$AL$3,0))))</f>
        <v>Ocean</v>
      </c>
      <c r="U46" s="3" t="str">
        <f ca="1">IF('Map 2 Do Touch'!T41&lt;&gt;'Map 2 Do Touch'!T42,IF('Map 2 Do Touch'!U42&gt;4,INDEX($AG$4:$AH$6,MATCH(INDEX($I$3:$L$6,MATCH(MOD('Map 2 Do Touch'!T42,4),$H$3:$H$6,0),MATCH(MOD('Map 2 Do Touch'!U42,4),$I$2:$L$2,0)),$AF$4:$AF$6,0),MATCH(IF('Map 2 Do Touch'!T42&gt;4,"Water","Land"),'Map 3'!$AG$3:$AH$3,0)),INDEX($AK$4:$AL$6,MATCH(INDEX($I$3:$L$6,MATCH(MOD('Map 2 Do Touch'!T42,4),$H$3:$H$6,0),MATCH(MOD('Map 2 Do Touch'!U42,4),$I$2:$L$2,0)),'Map 3'!$AJ$4:$AJ$6,0),MATCH(IF('Map 2 Do Touch'!T42&gt;4,"Water","Land"),'Map 3'!$AK$3:$AL$3,0))),IF('Map 2 Do Touch'!U42&gt;4,INDEX($AG$4:$AH$6,MATCH(INDEX($P$3:$S$6,MATCH(MOD('Map 2 Do Touch'!U41,4),$O$3:$O$6,0),MATCH(MOD('Map 2 Do Touch'!U42,4),$P$2:$S$2,0)),$AF$4:$AF$6,0),MATCH(IF('Map 2 Do Touch'!U41&gt;4,"Water","Land"),'Map 3'!$AG$3:$AH$3,0)),INDEX($AK$4:$AL$6,MATCH(INDEX($P$3:$S$6,MATCH(MOD('Map 2 Do Touch'!U41,4),$O$3:$O$6,0),MATCH(MOD('Map 2 Do Touch'!U42,4),$P$2:$S$2,0)),'Map 3'!$AJ$4:$AJ$6,0),MATCH(IF('Map 2 Do Touch'!U41&gt;4,"Water","Land"),'Map 3'!$AK$3:$AL$3,0))))</f>
        <v>Ocean</v>
      </c>
      <c r="V46" s="3" t="str">
        <f ca="1">IF('Map 2 Do Touch'!U41&lt;&gt;'Map 2 Do Touch'!U42,IF('Map 2 Do Touch'!V42&gt;4,INDEX($AG$4:$AH$6,MATCH(INDEX($I$3:$L$6,MATCH(MOD('Map 2 Do Touch'!U42,4),$H$3:$H$6,0),MATCH(MOD('Map 2 Do Touch'!V42,4),$I$2:$L$2,0)),$AF$4:$AF$6,0),MATCH(IF('Map 2 Do Touch'!U42&gt;4,"Water","Land"),'Map 3'!$AG$3:$AH$3,0)),INDEX($AK$4:$AL$6,MATCH(INDEX($I$3:$L$6,MATCH(MOD('Map 2 Do Touch'!U42,4),$H$3:$H$6,0),MATCH(MOD('Map 2 Do Touch'!V42,4),$I$2:$L$2,0)),'Map 3'!$AJ$4:$AJ$6,0),MATCH(IF('Map 2 Do Touch'!U42&gt;4,"Water","Land"),'Map 3'!$AK$3:$AL$3,0))),IF('Map 2 Do Touch'!V42&gt;4,INDEX($AG$4:$AH$6,MATCH(INDEX($P$3:$S$6,MATCH(MOD('Map 2 Do Touch'!V41,4),$O$3:$O$6,0),MATCH(MOD('Map 2 Do Touch'!V42,4),$P$2:$S$2,0)),$AF$4:$AF$6,0),MATCH(IF('Map 2 Do Touch'!V41&gt;4,"Water","Land"),'Map 3'!$AG$3:$AH$3,0)),INDEX($AK$4:$AL$6,MATCH(INDEX($P$3:$S$6,MATCH(MOD('Map 2 Do Touch'!V41,4),$O$3:$O$6,0),MATCH(MOD('Map 2 Do Touch'!V42,4),$P$2:$S$2,0)),'Map 3'!$AJ$4:$AJ$6,0),MATCH(IF('Map 2 Do Touch'!V41&gt;4,"Water","Land"),'Map 3'!$AK$3:$AL$3,0))))</f>
        <v>Ocean</v>
      </c>
      <c r="W46" s="3" t="str">
        <f ca="1">IF('Map 2 Do Touch'!V41&lt;&gt;'Map 2 Do Touch'!V42,IF('Map 2 Do Touch'!W42&gt;4,INDEX($AG$4:$AH$6,MATCH(INDEX($I$3:$L$6,MATCH(MOD('Map 2 Do Touch'!V42,4),$H$3:$H$6,0),MATCH(MOD('Map 2 Do Touch'!W42,4),$I$2:$L$2,0)),$AF$4:$AF$6,0),MATCH(IF('Map 2 Do Touch'!V42&gt;4,"Water","Land"),'Map 3'!$AG$3:$AH$3,0)),INDEX($AK$4:$AL$6,MATCH(INDEX($I$3:$L$6,MATCH(MOD('Map 2 Do Touch'!V42,4),$H$3:$H$6,0),MATCH(MOD('Map 2 Do Touch'!W42,4),$I$2:$L$2,0)),'Map 3'!$AJ$4:$AJ$6,0),MATCH(IF('Map 2 Do Touch'!V42&gt;4,"Water","Land"),'Map 3'!$AK$3:$AL$3,0))),IF('Map 2 Do Touch'!W42&gt;4,INDEX($AG$4:$AH$6,MATCH(INDEX($P$3:$S$6,MATCH(MOD('Map 2 Do Touch'!W41,4),$O$3:$O$6,0),MATCH(MOD('Map 2 Do Touch'!W42,4),$P$2:$S$2,0)),$AF$4:$AF$6,0),MATCH(IF('Map 2 Do Touch'!W41&gt;4,"Water","Land"),'Map 3'!$AG$3:$AH$3,0)),INDEX($AK$4:$AL$6,MATCH(INDEX($P$3:$S$6,MATCH(MOD('Map 2 Do Touch'!W41,4),$O$3:$O$6,0),MATCH(MOD('Map 2 Do Touch'!W42,4),$P$2:$S$2,0)),'Map 3'!$AJ$4:$AJ$6,0),MATCH(IF('Map 2 Do Touch'!W41&gt;4,"Water","Land"),'Map 3'!$AK$3:$AL$3,0))))</f>
        <v>Ocean</v>
      </c>
      <c r="X46" s="3" t="str">
        <f ca="1">IF('Map 2 Do Touch'!W41&lt;&gt;'Map 2 Do Touch'!W42,IF('Map 2 Do Touch'!X42&gt;4,INDEX($AG$4:$AH$6,MATCH(INDEX($I$3:$L$6,MATCH(MOD('Map 2 Do Touch'!W42,4),$H$3:$H$6,0),MATCH(MOD('Map 2 Do Touch'!X42,4),$I$2:$L$2,0)),$AF$4:$AF$6,0),MATCH(IF('Map 2 Do Touch'!W42&gt;4,"Water","Land"),'Map 3'!$AG$3:$AH$3,0)),INDEX($AK$4:$AL$6,MATCH(INDEX($I$3:$L$6,MATCH(MOD('Map 2 Do Touch'!W42,4),$H$3:$H$6,0),MATCH(MOD('Map 2 Do Touch'!X42,4),$I$2:$L$2,0)),'Map 3'!$AJ$4:$AJ$6,0),MATCH(IF('Map 2 Do Touch'!W42&gt;4,"Water","Land"),'Map 3'!$AK$3:$AL$3,0))),IF('Map 2 Do Touch'!X42&gt;4,INDEX($AG$4:$AH$6,MATCH(INDEX($P$3:$S$6,MATCH(MOD('Map 2 Do Touch'!X41,4),$O$3:$O$6,0),MATCH(MOD('Map 2 Do Touch'!X42,4),$P$2:$S$2,0)),$AF$4:$AF$6,0),MATCH(IF('Map 2 Do Touch'!X41&gt;4,"Water","Land"),'Map 3'!$AG$3:$AH$3,0)),INDEX($AK$4:$AL$6,MATCH(INDEX($P$3:$S$6,MATCH(MOD('Map 2 Do Touch'!X41,4),$O$3:$O$6,0),MATCH(MOD('Map 2 Do Touch'!X42,4),$P$2:$S$2,0)),'Map 3'!$AJ$4:$AJ$6,0),MATCH(IF('Map 2 Do Touch'!X41&gt;4,"Water","Land"),'Map 3'!$AK$3:$AL$3,0))))</f>
        <v>Ocean</v>
      </c>
      <c r="Y46" s="3" t="str">
        <f ca="1">IF('Map 2 Do Touch'!X41&lt;&gt;'Map 2 Do Touch'!X42,IF('Map 2 Do Touch'!Y42&gt;4,INDEX($AG$4:$AH$6,MATCH(INDEX($I$3:$L$6,MATCH(MOD('Map 2 Do Touch'!X42,4),$H$3:$H$6,0),MATCH(MOD('Map 2 Do Touch'!Y42,4),$I$2:$L$2,0)),$AF$4:$AF$6,0),MATCH(IF('Map 2 Do Touch'!X42&gt;4,"Water","Land"),'Map 3'!$AG$3:$AH$3,0)),INDEX($AK$4:$AL$6,MATCH(INDEX($I$3:$L$6,MATCH(MOD('Map 2 Do Touch'!X42,4),$H$3:$H$6,0),MATCH(MOD('Map 2 Do Touch'!Y42,4),$I$2:$L$2,0)),'Map 3'!$AJ$4:$AJ$6,0),MATCH(IF('Map 2 Do Touch'!X42&gt;4,"Water","Land"),'Map 3'!$AK$3:$AL$3,0))),IF('Map 2 Do Touch'!Y42&gt;4,INDEX($AG$4:$AH$6,MATCH(INDEX($P$3:$S$6,MATCH(MOD('Map 2 Do Touch'!Y41,4),$O$3:$O$6,0),MATCH(MOD('Map 2 Do Touch'!Y42,4),$P$2:$S$2,0)),$AF$4:$AF$6,0),MATCH(IF('Map 2 Do Touch'!Y41&gt;4,"Water","Land"),'Map 3'!$AG$3:$AH$3,0)),INDEX($AK$4:$AL$6,MATCH(INDEX($P$3:$S$6,MATCH(MOD('Map 2 Do Touch'!Y41,4),$O$3:$O$6,0),MATCH(MOD('Map 2 Do Touch'!Y42,4),$P$2:$S$2,0)),'Map 3'!$AJ$4:$AJ$6,0),MATCH(IF('Map 2 Do Touch'!Y41&gt;4,"Water","Land"),'Map 3'!$AK$3:$AL$3,0))))</f>
        <v>Ocean</v>
      </c>
      <c r="Z46" s="3" t="str">
        <f ca="1">IF('Map 2 Do Touch'!Y41&lt;&gt;'Map 2 Do Touch'!Y42,IF('Map 2 Do Touch'!Z42&gt;4,INDEX($AG$4:$AH$6,MATCH(INDEX($I$3:$L$6,MATCH(MOD('Map 2 Do Touch'!Y42,4),$H$3:$H$6,0),MATCH(MOD('Map 2 Do Touch'!Z42,4),$I$2:$L$2,0)),$AF$4:$AF$6,0),MATCH(IF('Map 2 Do Touch'!Y42&gt;4,"Water","Land"),'Map 3'!$AG$3:$AH$3,0)),INDEX($AK$4:$AL$6,MATCH(INDEX($I$3:$L$6,MATCH(MOD('Map 2 Do Touch'!Y42,4),$H$3:$H$6,0),MATCH(MOD('Map 2 Do Touch'!Z42,4),$I$2:$L$2,0)),'Map 3'!$AJ$4:$AJ$6,0),MATCH(IF('Map 2 Do Touch'!Y42&gt;4,"Water","Land"),'Map 3'!$AK$3:$AL$3,0))),IF('Map 2 Do Touch'!Z42&gt;4,INDEX($AG$4:$AH$6,MATCH(INDEX($P$3:$S$6,MATCH(MOD('Map 2 Do Touch'!Z41,4),$O$3:$O$6,0),MATCH(MOD('Map 2 Do Touch'!Z42,4),$P$2:$S$2,0)),$AF$4:$AF$6,0),MATCH(IF('Map 2 Do Touch'!Z41&gt;4,"Water","Land"),'Map 3'!$AG$3:$AH$3,0)),INDEX($AK$4:$AL$6,MATCH(INDEX($P$3:$S$6,MATCH(MOD('Map 2 Do Touch'!Z41,4),$O$3:$O$6,0),MATCH(MOD('Map 2 Do Touch'!Z42,4),$P$2:$S$2,0)),'Map 3'!$AJ$4:$AJ$6,0),MATCH(IF('Map 2 Do Touch'!Z41&gt;4,"Water","Land"),'Map 3'!$AK$3:$AL$3,0))))</f>
        <v>Ocean</v>
      </c>
      <c r="AA46" s="3" t="str">
        <f ca="1">IF('Map 2 Do Touch'!Z41&lt;&gt;'Map 2 Do Touch'!Z42,IF('Map 2 Do Touch'!AA42&gt;4,INDEX($AG$4:$AH$6,MATCH(INDEX($I$3:$L$6,MATCH(MOD('Map 2 Do Touch'!Z42,4),$H$3:$H$6,0),MATCH(MOD('Map 2 Do Touch'!AA42,4),$I$2:$L$2,0)),$AF$4:$AF$6,0),MATCH(IF('Map 2 Do Touch'!Z42&gt;4,"Water","Land"),'Map 3'!$AG$3:$AH$3,0)),INDEX($AK$4:$AL$6,MATCH(INDEX($I$3:$L$6,MATCH(MOD('Map 2 Do Touch'!Z42,4),$H$3:$H$6,0),MATCH(MOD('Map 2 Do Touch'!AA42,4),$I$2:$L$2,0)),'Map 3'!$AJ$4:$AJ$6,0),MATCH(IF('Map 2 Do Touch'!Z42&gt;4,"Water","Land"),'Map 3'!$AK$3:$AL$3,0))),IF('Map 2 Do Touch'!AA42&gt;4,INDEX($AG$4:$AH$6,MATCH(INDEX($P$3:$S$6,MATCH(MOD('Map 2 Do Touch'!AA41,4),$O$3:$O$6,0),MATCH(MOD('Map 2 Do Touch'!AA42,4),$P$2:$S$2,0)),$AF$4:$AF$6,0),MATCH(IF('Map 2 Do Touch'!AA41&gt;4,"Water","Land"),'Map 3'!$AG$3:$AH$3,0)),INDEX($AK$4:$AL$6,MATCH(INDEX($P$3:$S$6,MATCH(MOD('Map 2 Do Touch'!AA41,4),$O$3:$O$6,0),MATCH(MOD('Map 2 Do Touch'!AA42,4),$P$2:$S$2,0)),'Map 3'!$AJ$4:$AJ$6,0),MATCH(IF('Map 2 Do Touch'!AA41&gt;4,"Water","Land"),'Map 3'!$AK$3:$AL$3,0))))</f>
        <v>Ocean</v>
      </c>
      <c r="AB46" s="3" t="str">
        <f ca="1">IF('Map 2 Do Touch'!AA41&lt;&gt;'Map 2 Do Touch'!AA42,IF('Map 2 Do Touch'!AB42&gt;4,INDEX($AG$4:$AH$6,MATCH(INDEX($I$3:$L$6,MATCH(MOD('Map 2 Do Touch'!AA42,4),$H$3:$H$6,0),MATCH(MOD('Map 2 Do Touch'!AB42,4),$I$2:$L$2,0)),$AF$4:$AF$6,0),MATCH(IF('Map 2 Do Touch'!AA42&gt;4,"Water","Land"),'Map 3'!$AG$3:$AH$3,0)),INDEX($AK$4:$AL$6,MATCH(INDEX($I$3:$L$6,MATCH(MOD('Map 2 Do Touch'!AA42,4),$H$3:$H$6,0),MATCH(MOD('Map 2 Do Touch'!AB42,4),$I$2:$L$2,0)),'Map 3'!$AJ$4:$AJ$6,0),MATCH(IF('Map 2 Do Touch'!AA42&gt;4,"Water","Land"),'Map 3'!$AK$3:$AL$3,0))),IF('Map 2 Do Touch'!AB42&gt;4,INDEX($AG$4:$AH$6,MATCH(INDEX($P$3:$S$6,MATCH(MOD('Map 2 Do Touch'!AB41,4),$O$3:$O$6,0),MATCH(MOD('Map 2 Do Touch'!AB42,4),$P$2:$S$2,0)),$AF$4:$AF$6,0),MATCH(IF('Map 2 Do Touch'!AB41&gt;4,"Water","Land"),'Map 3'!$AG$3:$AH$3,0)),INDEX($AK$4:$AL$6,MATCH(INDEX($P$3:$S$6,MATCH(MOD('Map 2 Do Touch'!AB41,4),$O$3:$O$6,0),MATCH(MOD('Map 2 Do Touch'!AB42,4),$P$2:$S$2,0)),'Map 3'!$AJ$4:$AJ$6,0),MATCH(IF('Map 2 Do Touch'!AB41&gt;4,"Water","Land"),'Map 3'!$AK$3:$AL$3,0))))</f>
        <v>Ocean</v>
      </c>
      <c r="AC46" s="3" t="str">
        <f ca="1">IF('Map 2 Do Touch'!AB41&lt;&gt;'Map 2 Do Touch'!AB42,IF('Map 2 Do Touch'!AC42&gt;4,INDEX($AG$4:$AH$6,MATCH(INDEX($I$3:$L$6,MATCH(MOD('Map 2 Do Touch'!AB42,4),$H$3:$H$6,0),MATCH(MOD('Map 2 Do Touch'!AC42,4),$I$2:$L$2,0)),$AF$4:$AF$6,0),MATCH(IF('Map 2 Do Touch'!AB42&gt;4,"Water","Land"),'Map 3'!$AG$3:$AH$3,0)),INDEX($AK$4:$AL$6,MATCH(INDEX($I$3:$L$6,MATCH(MOD('Map 2 Do Touch'!AB42,4),$H$3:$H$6,0),MATCH(MOD('Map 2 Do Touch'!AC42,4),$I$2:$L$2,0)),'Map 3'!$AJ$4:$AJ$6,0),MATCH(IF('Map 2 Do Touch'!AB42&gt;4,"Water","Land"),'Map 3'!$AK$3:$AL$3,0))),IF('Map 2 Do Touch'!AC42&gt;4,INDEX($AG$4:$AH$6,MATCH(INDEX($P$3:$S$6,MATCH(MOD('Map 2 Do Touch'!AC41,4),$O$3:$O$6,0),MATCH(MOD('Map 2 Do Touch'!AC42,4),$P$2:$S$2,0)),$AF$4:$AF$6,0),MATCH(IF('Map 2 Do Touch'!AC41&gt;4,"Water","Land"),'Map 3'!$AG$3:$AH$3,0)),INDEX($AK$4:$AL$6,MATCH(INDEX($P$3:$S$6,MATCH(MOD('Map 2 Do Touch'!AC41,4),$O$3:$O$6,0),MATCH(MOD('Map 2 Do Touch'!AC42,4),$P$2:$S$2,0)),'Map 3'!$AJ$4:$AJ$6,0),MATCH(IF('Map 2 Do Touch'!AC41&gt;4,"Water","Land"),'Map 3'!$AK$3:$AL$3,0))))</f>
        <v>Ocean</v>
      </c>
      <c r="AD46" s="3" t="str">
        <f ca="1">IF('Map 2 Do Touch'!AC41&lt;&gt;'Map 2 Do Touch'!AC42,IF('Map 2 Do Touch'!AD42&gt;4,INDEX($AG$4:$AH$6,MATCH(INDEX($I$3:$L$6,MATCH(MOD('Map 2 Do Touch'!AC42,4),$H$3:$H$6,0),MATCH(MOD('Map 2 Do Touch'!AD42,4),$I$2:$L$2,0)),$AF$4:$AF$6,0),MATCH(IF('Map 2 Do Touch'!AC42&gt;4,"Water","Land"),'Map 3'!$AG$3:$AH$3,0)),INDEX($AK$4:$AL$6,MATCH(INDEX($I$3:$L$6,MATCH(MOD('Map 2 Do Touch'!AC42,4),$H$3:$H$6,0),MATCH(MOD('Map 2 Do Touch'!AD42,4),$I$2:$L$2,0)),'Map 3'!$AJ$4:$AJ$6,0),MATCH(IF('Map 2 Do Touch'!AC42&gt;4,"Water","Land"),'Map 3'!$AK$3:$AL$3,0))),IF('Map 2 Do Touch'!AD42&gt;4,INDEX($AG$4:$AH$6,MATCH(INDEX($P$3:$S$6,MATCH(MOD('Map 2 Do Touch'!AD41,4),$O$3:$O$6,0),MATCH(MOD('Map 2 Do Touch'!AD42,4),$P$2:$S$2,0)),$AF$4:$AF$6,0),MATCH(IF('Map 2 Do Touch'!AD41&gt;4,"Water","Land"),'Map 3'!$AG$3:$AH$3,0)),INDEX($AK$4:$AL$6,MATCH(INDEX($P$3:$S$6,MATCH(MOD('Map 2 Do Touch'!AD41,4),$O$3:$O$6,0),MATCH(MOD('Map 2 Do Touch'!AD42,4),$P$2:$S$2,0)),'Map 3'!$AJ$4:$AJ$6,0),MATCH(IF('Map 2 Do Touch'!AD41&gt;4,"Water","Land"),'Map 3'!$AK$3:$AL$3,0))))</f>
        <v>Ocean</v>
      </c>
      <c r="AE46" s="3" t="str">
        <f ca="1">IF('Map 2 Do Touch'!AD41&lt;&gt;'Map 2 Do Touch'!AD42,IF('Map 2 Do Touch'!AE42&gt;4,INDEX($AG$4:$AH$6,MATCH(INDEX($I$3:$L$6,MATCH(MOD('Map 2 Do Touch'!AD42,4),$H$3:$H$6,0),MATCH(MOD('Map 2 Do Touch'!AE42,4),$I$2:$L$2,0)),$AF$4:$AF$6,0),MATCH(IF('Map 2 Do Touch'!AD42&gt;4,"Water","Land"),'Map 3'!$AG$3:$AH$3,0)),INDEX($AK$4:$AL$6,MATCH(INDEX($I$3:$L$6,MATCH(MOD('Map 2 Do Touch'!AD42,4),$H$3:$H$6,0),MATCH(MOD('Map 2 Do Touch'!AE42,4),$I$2:$L$2,0)),'Map 3'!$AJ$4:$AJ$6,0),MATCH(IF('Map 2 Do Touch'!AD42&gt;4,"Water","Land"),'Map 3'!$AK$3:$AL$3,0))),IF('Map 2 Do Touch'!AE42&gt;4,INDEX($AG$4:$AH$6,MATCH(INDEX($P$3:$S$6,MATCH(MOD('Map 2 Do Touch'!AE41,4),$O$3:$O$6,0),MATCH(MOD('Map 2 Do Touch'!AE42,4),$P$2:$S$2,0)),$AF$4:$AF$6,0),MATCH(IF('Map 2 Do Touch'!AE41&gt;4,"Water","Land"),'Map 3'!$AG$3:$AH$3,0)),INDEX($AK$4:$AL$6,MATCH(INDEX($P$3:$S$6,MATCH(MOD('Map 2 Do Touch'!AE41,4),$O$3:$O$6,0),MATCH(MOD('Map 2 Do Touch'!AE42,4),$P$2:$S$2,0)),'Map 3'!$AJ$4:$AJ$6,0),MATCH(IF('Map 2 Do Touch'!AE41&gt;4,"Water","Land"),'Map 3'!$AK$3:$AL$3,0))))</f>
        <v>Island</v>
      </c>
      <c r="AF46" s="3" t="str">
        <f ca="1">IF('Map 2 Do Touch'!AE41&lt;&gt;'Map 2 Do Touch'!AE42,IF('Map 2 Do Touch'!AF42&gt;4,INDEX($AG$4:$AH$6,MATCH(INDEX($I$3:$L$6,MATCH(MOD('Map 2 Do Touch'!AE42,4),$H$3:$H$6,0),MATCH(MOD('Map 2 Do Touch'!AF42,4),$I$2:$L$2,0)),$AF$4:$AF$6,0),MATCH(IF('Map 2 Do Touch'!AE42&gt;4,"Water","Land"),'Map 3'!$AG$3:$AH$3,0)),INDEX($AK$4:$AL$6,MATCH(INDEX($I$3:$L$6,MATCH(MOD('Map 2 Do Touch'!AE42,4),$H$3:$H$6,0),MATCH(MOD('Map 2 Do Touch'!AF42,4),$I$2:$L$2,0)),'Map 3'!$AJ$4:$AJ$6,0),MATCH(IF('Map 2 Do Touch'!AE42&gt;4,"Water","Land"),'Map 3'!$AK$3:$AL$3,0))),IF('Map 2 Do Touch'!AF42&gt;4,INDEX($AG$4:$AH$6,MATCH(INDEX($P$3:$S$6,MATCH(MOD('Map 2 Do Touch'!AF41,4),$O$3:$O$6,0),MATCH(MOD('Map 2 Do Touch'!AF42,4),$P$2:$S$2,0)),$AF$4:$AF$6,0),MATCH(IF('Map 2 Do Touch'!AF41&gt;4,"Water","Land"),'Map 3'!$AG$3:$AH$3,0)),INDEX($AK$4:$AL$6,MATCH(INDEX($P$3:$S$6,MATCH(MOD('Map 2 Do Touch'!AF41,4),$O$3:$O$6,0),MATCH(MOD('Map 2 Do Touch'!AF42,4),$P$2:$S$2,0)),'Map 3'!$AJ$4:$AJ$6,0),MATCH(IF('Map 2 Do Touch'!AF41&gt;4,"Water","Land"),'Map 3'!$AK$3:$AL$3,0))))</f>
        <v>Island</v>
      </c>
      <c r="AG46" s="3" t="str">
        <f ca="1">IF('Map 2 Do Touch'!AF41&lt;&gt;'Map 2 Do Touch'!AF42,IF('Map 2 Do Touch'!AG42&gt;4,INDEX($AG$4:$AH$6,MATCH(INDEX($I$3:$L$6,MATCH(MOD('Map 2 Do Touch'!AF42,4),$H$3:$H$6,0),MATCH(MOD('Map 2 Do Touch'!AG42,4),$I$2:$L$2,0)),$AF$4:$AF$6,0),MATCH(IF('Map 2 Do Touch'!AF42&gt;4,"Water","Land"),'Map 3'!$AG$3:$AH$3,0)),INDEX($AK$4:$AL$6,MATCH(INDEX($I$3:$L$6,MATCH(MOD('Map 2 Do Touch'!AF42,4),$H$3:$H$6,0),MATCH(MOD('Map 2 Do Touch'!AG42,4),$I$2:$L$2,0)),'Map 3'!$AJ$4:$AJ$6,0),MATCH(IF('Map 2 Do Touch'!AF42&gt;4,"Water","Land"),'Map 3'!$AK$3:$AL$3,0))),IF('Map 2 Do Touch'!AG42&gt;4,INDEX($AG$4:$AH$6,MATCH(INDEX($P$3:$S$6,MATCH(MOD('Map 2 Do Touch'!AG41,4),$O$3:$O$6,0),MATCH(MOD('Map 2 Do Touch'!AG42,4),$P$2:$S$2,0)),$AF$4:$AF$6,0),MATCH(IF('Map 2 Do Touch'!AG41&gt;4,"Water","Land"),'Map 3'!$AG$3:$AH$3,0)),INDEX($AK$4:$AL$6,MATCH(INDEX($P$3:$S$6,MATCH(MOD('Map 2 Do Touch'!AG41,4),$O$3:$O$6,0),MATCH(MOD('Map 2 Do Touch'!AG42,4),$P$2:$S$2,0)),'Map 3'!$AJ$4:$AJ$6,0),MATCH(IF('Map 2 Do Touch'!AG41&gt;4,"Water","Land"),'Map 3'!$AK$3:$AL$3,0))))</f>
        <v>Trench</v>
      </c>
      <c r="AH46" s="3" t="str">
        <f ca="1">IF('Map 2 Do Touch'!AG41&lt;&gt;'Map 2 Do Touch'!AG42,IF('Map 2 Do Touch'!AH42&gt;4,INDEX($AG$4:$AH$6,MATCH(INDEX($I$3:$L$6,MATCH(MOD('Map 2 Do Touch'!AG42,4),$H$3:$H$6,0),MATCH(MOD('Map 2 Do Touch'!AH42,4),$I$2:$L$2,0)),$AF$4:$AF$6,0),MATCH(IF('Map 2 Do Touch'!AG42&gt;4,"Water","Land"),'Map 3'!$AG$3:$AH$3,0)),INDEX($AK$4:$AL$6,MATCH(INDEX($I$3:$L$6,MATCH(MOD('Map 2 Do Touch'!AG42,4),$H$3:$H$6,0),MATCH(MOD('Map 2 Do Touch'!AH42,4),$I$2:$L$2,0)),'Map 3'!$AJ$4:$AJ$6,0),MATCH(IF('Map 2 Do Touch'!AG42&gt;4,"Water","Land"),'Map 3'!$AK$3:$AL$3,0))),IF('Map 2 Do Touch'!AH42&gt;4,INDEX($AG$4:$AH$6,MATCH(INDEX($P$3:$S$6,MATCH(MOD('Map 2 Do Touch'!AH41,4),$O$3:$O$6,0),MATCH(MOD('Map 2 Do Touch'!AH42,4),$P$2:$S$2,0)),$AF$4:$AF$6,0),MATCH(IF('Map 2 Do Touch'!AH41&gt;4,"Water","Land"),'Map 3'!$AG$3:$AH$3,0)),INDEX($AK$4:$AL$6,MATCH(INDEX($P$3:$S$6,MATCH(MOD('Map 2 Do Touch'!AH41,4),$O$3:$O$6,0),MATCH(MOD('Map 2 Do Touch'!AH42,4),$P$2:$S$2,0)),'Map 3'!$AJ$4:$AJ$6,0),MATCH(IF('Map 2 Do Touch'!AH41&gt;4,"Water","Land"),'Map 3'!$AK$3:$AL$3,0))))</f>
        <v>Ocean</v>
      </c>
      <c r="AI46" s="3" t="str">
        <f ca="1">IF('Map 2 Do Touch'!AH41&lt;&gt;'Map 2 Do Touch'!AH42,IF('Map 2 Do Touch'!AI42&gt;4,INDEX($AG$4:$AH$6,MATCH(INDEX($I$3:$L$6,MATCH(MOD('Map 2 Do Touch'!AH42,4),$H$3:$H$6,0),MATCH(MOD('Map 2 Do Touch'!AI42,4),$I$2:$L$2,0)),$AF$4:$AF$6,0),MATCH(IF('Map 2 Do Touch'!AH42&gt;4,"Water","Land"),'Map 3'!$AG$3:$AH$3,0)),INDEX($AK$4:$AL$6,MATCH(INDEX($I$3:$L$6,MATCH(MOD('Map 2 Do Touch'!AH42,4),$H$3:$H$6,0),MATCH(MOD('Map 2 Do Touch'!AI42,4),$I$2:$L$2,0)),'Map 3'!$AJ$4:$AJ$6,0),MATCH(IF('Map 2 Do Touch'!AH42&gt;4,"Water","Land"),'Map 3'!$AK$3:$AL$3,0))),IF('Map 2 Do Touch'!AI42&gt;4,INDEX($AG$4:$AH$6,MATCH(INDEX($P$3:$S$6,MATCH(MOD('Map 2 Do Touch'!AI41,4),$O$3:$O$6,0),MATCH(MOD('Map 2 Do Touch'!AI42,4),$P$2:$S$2,0)),$AF$4:$AF$6,0),MATCH(IF('Map 2 Do Touch'!AI41&gt;4,"Water","Land"),'Map 3'!$AG$3:$AH$3,0)),INDEX($AK$4:$AL$6,MATCH(INDEX($P$3:$S$6,MATCH(MOD('Map 2 Do Touch'!AI41,4),$O$3:$O$6,0),MATCH(MOD('Map 2 Do Touch'!AI42,4),$P$2:$S$2,0)),'Map 3'!$AJ$4:$AJ$6,0),MATCH(IF('Map 2 Do Touch'!AI41&gt;4,"Water","Land"),'Map 3'!$AK$3:$AL$3,0))))</f>
        <v>Ocean</v>
      </c>
      <c r="AJ46" s="3" t="str">
        <f ca="1">IF('Map 2 Do Touch'!AI41&lt;&gt;'Map 2 Do Touch'!AI42,IF('Map 2 Do Touch'!AJ42&gt;4,INDEX($AG$4:$AH$6,MATCH(INDEX($I$3:$L$6,MATCH(MOD('Map 2 Do Touch'!AI42,4),$H$3:$H$6,0),MATCH(MOD('Map 2 Do Touch'!AJ42,4),$I$2:$L$2,0)),$AF$4:$AF$6,0),MATCH(IF('Map 2 Do Touch'!AI42&gt;4,"Water","Land"),'Map 3'!$AG$3:$AH$3,0)),INDEX($AK$4:$AL$6,MATCH(INDEX($I$3:$L$6,MATCH(MOD('Map 2 Do Touch'!AI42,4),$H$3:$H$6,0),MATCH(MOD('Map 2 Do Touch'!AJ42,4),$I$2:$L$2,0)),'Map 3'!$AJ$4:$AJ$6,0),MATCH(IF('Map 2 Do Touch'!AI42&gt;4,"Water","Land"),'Map 3'!$AK$3:$AL$3,0))),IF('Map 2 Do Touch'!AJ42&gt;4,INDEX($AG$4:$AH$6,MATCH(INDEX($P$3:$S$6,MATCH(MOD('Map 2 Do Touch'!AJ41,4),$O$3:$O$6,0),MATCH(MOD('Map 2 Do Touch'!AJ42,4),$P$2:$S$2,0)),$AF$4:$AF$6,0),MATCH(IF('Map 2 Do Touch'!AJ41&gt;4,"Water","Land"),'Map 3'!$AG$3:$AH$3,0)),INDEX($AK$4:$AL$6,MATCH(INDEX($P$3:$S$6,MATCH(MOD('Map 2 Do Touch'!AJ41,4),$O$3:$O$6,0),MATCH(MOD('Map 2 Do Touch'!AJ42,4),$P$2:$S$2,0)),'Map 3'!$AJ$4:$AJ$6,0),MATCH(IF('Map 2 Do Touch'!AJ41&gt;4,"Water","Land"),'Map 3'!$AK$3:$AL$3,0))))</f>
        <v>Ocean</v>
      </c>
      <c r="AK46" s="3" t="str">
        <f ca="1">IF('Map 2 Do Touch'!AJ41&lt;&gt;'Map 2 Do Touch'!AJ42,IF('Map 2 Do Touch'!AK42&gt;4,INDEX($AG$4:$AH$6,MATCH(INDEX($I$3:$L$6,MATCH(MOD('Map 2 Do Touch'!AJ42,4),$H$3:$H$6,0),MATCH(MOD('Map 2 Do Touch'!AK42,4),$I$2:$L$2,0)),$AF$4:$AF$6,0),MATCH(IF('Map 2 Do Touch'!AJ42&gt;4,"Water","Land"),'Map 3'!$AG$3:$AH$3,0)),INDEX($AK$4:$AL$6,MATCH(INDEX($I$3:$L$6,MATCH(MOD('Map 2 Do Touch'!AJ42,4),$H$3:$H$6,0),MATCH(MOD('Map 2 Do Touch'!AK42,4),$I$2:$L$2,0)),'Map 3'!$AJ$4:$AJ$6,0),MATCH(IF('Map 2 Do Touch'!AJ42&gt;4,"Water","Land"),'Map 3'!$AK$3:$AL$3,0))),IF('Map 2 Do Touch'!AK42&gt;4,INDEX($AG$4:$AH$6,MATCH(INDEX($P$3:$S$6,MATCH(MOD('Map 2 Do Touch'!AK41,4),$O$3:$O$6,0),MATCH(MOD('Map 2 Do Touch'!AK42,4),$P$2:$S$2,0)),$AF$4:$AF$6,0),MATCH(IF('Map 2 Do Touch'!AK41&gt;4,"Water","Land"),'Map 3'!$AG$3:$AH$3,0)),INDEX($AK$4:$AL$6,MATCH(INDEX($P$3:$S$6,MATCH(MOD('Map 2 Do Touch'!AK41,4),$O$3:$O$6,0),MATCH(MOD('Map 2 Do Touch'!AK42,4),$P$2:$S$2,0)),'Map 3'!$AJ$4:$AJ$6,0),MATCH(IF('Map 2 Do Touch'!AK41&gt;4,"Water","Land"),'Map 3'!$AK$3:$AL$3,0))))</f>
        <v>Ocean</v>
      </c>
      <c r="AL46" s="3" t="str">
        <f ca="1">IF('Map 2 Do Touch'!AK41&lt;&gt;'Map 2 Do Touch'!AK42,IF('Map 2 Do Touch'!AL42&gt;4,INDEX($AG$4:$AH$6,MATCH(INDEX($I$3:$L$6,MATCH(MOD('Map 2 Do Touch'!AK42,4),$H$3:$H$6,0),MATCH(MOD('Map 2 Do Touch'!AL42,4),$I$2:$L$2,0)),$AF$4:$AF$6,0),MATCH(IF('Map 2 Do Touch'!AK42&gt;4,"Water","Land"),'Map 3'!$AG$3:$AH$3,0)),INDEX($AK$4:$AL$6,MATCH(INDEX($I$3:$L$6,MATCH(MOD('Map 2 Do Touch'!AK42,4),$H$3:$H$6,0),MATCH(MOD('Map 2 Do Touch'!AL42,4),$I$2:$L$2,0)),'Map 3'!$AJ$4:$AJ$6,0),MATCH(IF('Map 2 Do Touch'!AK42&gt;4,"Water","Land"),'Map 3'!$AK$3:$AL$3,0))),IF('Map 2 Do Touch'!AL42&gt;4,INDEX($AG$4:$AH$6,MATCH(INDEX($P$3:$S$6,MATCH(MOD('Map 2 Do Touch'!AL41,4),$O$3:$O$6,0),MATCH(MOD('Map 2 Do Touch'!AL42,4),$P$2:$S$2,0)),$AF$4:$AF$6,0),MATCH(IF('Map 2 Do Touch'!AL41&gt;4,"Water","Land"),'Map 3'!$AG$3:$AH$3,0)),INDEX($AK$4:$AL$6,MATCH(INDEX($P$3:$S$6,MATCH(MOD('Map 2 Do Touch'!AL41,4),$O$3:$O$6,0),MATCH(MOD('Map 2 Do Touch'!AL42,4),$P$2:$S$2,0)),'Map 3'!$AJ$4:$AJ$6,0),MATCH(IF('Map 2 Do Touch'!AL41&gt;4,"Water","Land"),'Map 3'!$AK$3:$AL$3,0))))</f>
        <v>Ocean</v>
      </c>
      <c r="AM46" s="3" t="str">
        <f ca="1">IF('Map 2 Do Touch'!AL41&lt;&gt;'Map 2 Do Touch'!AL42,IF('Map 2 Do Touch'!AM42&gt;4,INDEX($AG$4:$AH$6,MATCH(INDEX($I$3:$L$6,MATCH(MOD('Map 2 Do Touch'!AL42,4),$H$3:$H$6,0),MATCH(MOD('Map 2 Do Touch'!AM42,4),$I$2:$L$2,0)),$AF$4:$AF$6,0),MATCH(IF('Map 2 Do Touch'!AL42&gt;4,"Water","Land"),'Map 3'!$AG$3:$AH$3,0)),INDEX($AK$4:$AL$6,MATCH(INDEX($I$3:$L$6,MATCH(MOD('Map 2 Do Touch'!AL42,4),$H$3:$H$6,0),MATCH(MOD('Map 2 Do Touch'!AM42,4),$I$2:$L$2,0)),'Map 3'!$AJ$4:$AJ$6,0),MATCH(IF('Map 2 Do Touch'!AL42&gt;4,"Water","Land"),'Map 3'!$AK$3:$AL$3,0))),IF('Map 2 Do Touch'!AM42&gt;4,INDEX($AG$4:$AH$6,MATCH(INDEX($P$3:$S$6,MATCH(MOD('Map 2 Do Touch'!AM41,4),$O$3:$O$6,0),MATCH(MOD('Map 2 Do Touch'!AM42,4),$P$2:$S$2,0)),$AF$4:$AF$6,0),MATCH(IF('Map 2 Do Touch'!AM41&gt;4,"Water","Land"),'Map 3'!$AG$3:$AH$3,0)),INDEX($AK$4:$AL$6,MATCH(INDEX($P$3:$S$6,MATCH(MOD('Map 2 Do Touch'!AM41,4),$O$3:$O$6,0),MATCH(MOD('Map 2 Do Touch'!AM42,4),$P$2:$S$2,0)),'Map 3'!$AJ$4:$AJ$6,0),MATCH(IF('Map 2 Do Touch'!AM41&gt;4,"Water","Land"),'Map 3'!$AK$3:$AL$3,0))))</f>
        <v>Trench</v>
      </c>
      <c r="AN46" s="3" t="str">
        <f ca="1">IF('Map 2 Do Touch'!AM41&lt;&gt;'Map 2 Do Touch'!AM42,IF('Map 2 Do Touch'!AN42&gt;4,INDEX($AG$4:$AH$6,MATCH(INDEX($I$3:$L$6,MATCH(MOD('Map 2 Do Touch'!AM42,4),$H$3:$H$6,0),MATCH(MOD('Map 2 Do Touch'!AN42,4),$I$2:$L$2,0)),$AF$4:$AF$6,0),MATCH(IF('Map 2 Do Touch'!AM42&gt;4,"Water","Land"),'Map 3'!$AG$3:$AH$3,0)),INDEX($AK$4:$AL$6,MATCH(INDEX($I$3:$L$6,MATCH(MOD('Map 2 Do Touch'!AM42,4),$H$3:$H$6,0),MATCH(MOD('Map 2 Do Touch'!AN42,4),$I$2:$L$2,0)),'Map 3'!$AJ$4:$AJ$6,0),MATCH(IF('Map 2 Do Touch'!AM42&gt;4,"Water","Land"),'Map 3'!$AK$3:$AL$3,0))),IF('Map 2 Do Touch'!AN42&gt;4,INDEX($AG$4:$AH$6,MATCH(INDEX($P$3:$S$6,MATCH(MOD('Map 2 Do Touch'!AN41,4),$O$3:$O$6,0),MATCH(MOD('Map 2 Do Touch'!AN42,4),$P$2:$S$2,0)),$AF$4:$AF$6,0),MATCH(IF('Map 2 Do Touch'!AN41&gt;4,"Water","Land"),'Map 3'!$AG$3:$AH$3,0)),INDEX($AK$4:$AL$6,MATCH(INDEX($P$3:$S$6,MATCH(MOD('Map 2 Do Touch'!AN41,4),$O$3:$O$6,0),MATCH(MOD('Map 2 Do Touch'!AN42,4),$P$2:$S$2,0)),'Map 3'!$AJ$4:$AJ$6,0),MATCH(IF('Map 2 Do Touch'!AN41&gt;4,"Water","Land"),'Map 3'!$AK$3:$AL$3,0))))</f>
        <v>Ocean</v>
      </c>
      <c r="AO46" s="87" t="str">
        <f ca="1">IF('Map 2 Do Touch'!AN41&lt;&gt;'Map 2 Do Touch'!AN42,IF('Map 2 Do Touch'!AO42&gt;4,INDEX($AG$4:$AH$6,MATCH(INDEX($I$3:$L$6,MATCH(MOD('Map 2 Do Touch'!AN42,4),$H$3:$H$6,0),MATCH(MOD('Map 2 Do Touch'!AO42,4),$I$2:$L$2,0)),$AF$4:$AF$6,0),MATCH(IF('Map 2 Do Touch'!AN42&gt;4,"Water","Land"),'Map 3'!$AG$3:$AH$3,0)),INDEX($AK$4:$AL$6,MATCH(INDEX($I$3:$L$6,MATCH(MOD('Map 2 Do Touch'!AN42,4),$H$3:$H$6,0),MATCH(MOD('Map 2 Do Touch'!AO42,4),$I$2:$L$2,0)),'Map 3'!$AJ$4:$AJ$6,0),MATCH(IF('Map 2 Do Touch'!AN42&gt;4,"Water","Land"),'Map 3'!$AK$3:$AL$3,0))),IF('Map 2 Do Touch'!AO42&gt;4,INDEX($AG$4:$AH$6,MATCH(INDEX($P$3:$S$6,MATCH(MOD('Map 2 Do Touch'!AO41,4),$O$3:$O$6,0),MATCH(MOD('Map 2 Do Touch'!AO42,4),$P$2:$S$2,0)),$AF$4:$AF$6,0),MATCH(IF('Map 2 Do Touch'!AO41&gt;4,"Water","Land"),'Map 3'!$AG$3:$AH$3,0)),INDEX($AK$4:$AL$6,MATCH(INDEX($P$3:$S$6,MATCH(MOD('Map 2 Do Touch'!AO41,4),$O$3:$O$6,0),MATCH(MOD('Map 2 Do Touch'!AO42,4),$P$2:$S$2,0)),'Map 3'!$AJ$4:$AJ$6,0),MATCH(IF('Map 2 Do Touch'!AO41&gt;4,"Water","Land"),'Map 3'!$AK$3:$AL$3,0))))</f>
        <v>Ocean</v>
      </c>
      <c r="AP46" s="3"/>
    </row>
    <row r="47" spans="1:42" ht="37.5" customHeight="1">
      <c r="A47" s="3">
        <v>36</v>
      </c>
      <c r="B47" s="86" t="str">
        <f ca="1">IF('Map 2 Do Touch'!B42&lt;&gt;'Map 2 Do Touch'!B43,IF('Map 2 Do Touch'!B43&gt;4,INDEX($AG$4:$AH$6,MATCH(INDEX($I$3:$L$6,MATCH(MOD('Map 2 Do Touch'!AO43,4),$H$3:$H$6,0),MATCH(MOD('Map 2 Do Touch'!B43,4),$I$2:$L$2,0)),$AF$4:$AF$6,0),MATCH(IF('Map 2 Do Touch'!AO43&gt;4,"Water","Land"),'Map 3'!$AG$3:$AH$3,0)),INDEX($AK$4:$AL$6,MATCH(INDEX($I$3:$L$6,MATCH(MOD('Map 2 Do Touch'!A43,4),$H$3:$H$6,0),MATCH(MOD('Map 2 Do Touch'!B43,4),$I$2:$L$2,0)),'Map 3'!$AJ$4:$AJ$6,0),MATCH(IF('Map 2 Do Touch'!AO43&gt;4,"Water","Land"),'Map 3'!$AK$3:$AL$3,0))),IF('Map 2 Do Touch'!B43&gt;4,INDEX($AG$4:$AH$6,MATCH(INDEX($P$3:$S$6,MATCH(MOD('Map 2 Do Touch'!B42,4),$O$3:$O$6,0),MATCH(MOD('Map 2 Do Touch'!B43,4),$P$2:$S$2,0)),$AF$4:$AF$6,0),MATCH(IF('Map 2 Do Touch'!B42&gt;4,"Water","Land"),'Map 3'!$AG$3:$AH$3,0)),INDEX($AK$4:$AL$6,MATCH(INDEX($P$3:$S$6,MATCH(MOD('Map 2 Do Touch'!B42,4),$O$3:$O$6,0),MATCH(MOD('Map 2 Do Touch'!B43,4),$P$2:$S$2,0)),'Map 3'!$AJ$4:$AJ$6,0),MATCH(IF('Map 2 Do Touch'!B42&gt;4,"Water","Land"),'Map 3'!$AK$3:$AL$3,0))))</f>
        <v>Ocean</v>
      </c>
      <c r="C47" s="3" t="str">
        <f ca="1">IF('Map 2 Do Touch'!B42&lt;&gt;'Map 2 Do Touch'!B43,IF('Map 2 Do Touch'!C43&gt;4,INDEX($AG$4:$AH$6,MATCH(INDEX($I$3:$L$6,MATCH(MOD('Map 2 Do Touch'!B43,4),$H$3:$H$6,0),MATCH(MOD('Map 2 Do Touch'!C43,4),$I$2:$L$2,0)),$AF$4:$AF$6,0),MATCH(IF('Map 2 Do Touch'!B43&gt;4,"Water","Land"),'Map 3'!$AG$3:$AH$3,0)),INDEX($AK$4:$AL$6,MATCH(INDEX($I$3:$L$6,MATCH(MOD('Map 2 Do Touch'!B43,4),$H$3:$H$6,0),MATCH(MOD('Map 2 Do Touch'!C43,4),$I$2:$L$2,0)),'Map 3'!$AJ$4:$AJ$6,0),MATCH(IF('Map 2 Do Touch'!B43&gt;4,"Water","Land"),'Map 3'!$AK$3:$AL$3,0))),IF('Map 2 Do Touch'!C43&gt;4,INDEX($AG$4:$AH$6,MATCH(INDEX($P$3:$S$6,MATCH(MOD('Map 2 Do Touch'!C42,4),$O$3:$O$6,0),MATCH(MOD('Map 2 Do Touch'!C43,4),$P$2:$S$2,0)),$AF$4:$AF$6,0),MATCH(IF('Map 2 Do Touch'!C42&gt;4,"Water","Land"),'Map 3'!$AG$3:$AH$3,0)),INDEX($AK$4:$AL$6,MATCH(INDEX($P$3:$S$6,MATCH(MOD('Map 2 Do Touch'!C42,4),$O$3:$O$6,0),MATCH(MOD('Map 2 Do Touch'!C43,4),$P$2:$S$2,0)),'Map 3'!$AJ$4:$AJ$6,0),MATCH(IF('Map 2 Do Touch'!C42&gt;4,"Water","Land"),'Map 3'!$AK$3:$AL$3,0))))</f>
        <v>Ocean</v>
      </c>
      <c r="D47" s="3" t="str">
        <f ca="1">IF('Map 2 Do Touch'!C42&lt;&gt;'Map 2 Do Touch'!C43,IF('Map 2 Do Touch'!D43&gt;4,INDEX($AG$4:$AH$6,MATCH(INDEX($I$3:$L$6,MATCH(MOD('Map 2 Do Touch'!C43,4),$H$3:$H$6,0),MATCH(MOD('Map 2 Do Touch'!D43,4),$I$2:$L$2,0)),$AF$4:$AF$6,0),MATCH(IF('Map 2 Do Touch'!C43&gt;4,"Water","Land"),'Map 3'!$AG$3:$AH$3,0)),INDEX($AK$4:$AL$6,MATCH(INDEX($I$3:$L$6,MATCH(MOD('Map 2 Do Touch'!C43,4),$H$3:$H$6,0),MATCH(MOD('Map 2 Do Touch'!D43,4),$I$2:$L$2,0)),'Map 3'!$AJ$4:$AJ$6,0),MATCH(IF('Map 2 Do Touch'!C43&gt;4,"Water","Land"),'Map 3'!$AK$3:$AL$3,0))),IF('Map 2 Do Touch'!D43&gt;4,INDEX($AG$4:$AH$6,MATCH(INDEX($P$3:$S$6,MATCH(MOD('Map 2 Do Touch'!D42,4),$O$3:$O$6,0),MATCH(MOD('Map 2 Do Touch'!D43,4),$P$2:$S$2,0)),$AF$4:$AF$6,0),MATCH(IF('Map 2 Do Touch'!D42&gt;4,"Water","Land"),'Map 3'!$AG$3:$AH$3,0)),INDEX($AK$4:$AL$6,MATCH(INDEX($P$3:$S$6,MATCH(MOD('Map 2 Do Touch'!D42,4),$O$3:$O$6,0),MATCH(MOD('Map 2 Do Touch'!D43,4),$P$2:$S$2,0)),'Map 3'!$AJ$4:$AJ$6,0),MATCH(IF('Map 2 Do Touch'!D42&gt;4,"Water","Land"),'Map 3'!$AK$3:$AL$3,0))))</f>
        <v>Ocean</v>
      </c>
      <c r="E47" s="3" t="str">
        <f ca="1">IF('Map 2 Do Touch'!D42&lt;&gt;'Map 2 Do Touch'!D43,IF('Map 2 Do Touch'!E43&gt;4,INDEX($AG$4:$AH$6,MATCH(INDEX($I$3:$L$6,MATCH(MOD('Map 2 Do Touch'!D43,4),$H$3:$H$6,0),MATCH(MOD('Map 2 Do Touch'!E43,4),$I$2:$L$2,0)),$AF$4:$AF$6,0),MATCH(IF('Map 2 Do Touch'!D43&gt;4,"Water","Land"),'Map 3'!$AG$3:$AH$3,0)),INDEX($AK$4:$AL$6,MATCH(INDEX($I$3:$L$6,MATCH(MOD('Map 2 Do Touch'!D43,4),$H$3:$H$6,0),MATCH(MOD('Map 2 Do Touch'!E43,4),$I$2:$L$2,0)),'Map 3'!$AJ$4:$AJ$6,0),MATCH(IF('Map 2 Do Touch'!D43&gt;4,"Water","Land"),'Map 3'!$AK$3:$AL$3,0))),IF('Map 2 Do Touch'!E43&gt;4,INDEX($AG$4:$AH$6,MATCH(INDEX($P$3:$S$6,MATCH(MOD('Map 2 Do Touch'!E42,4),$O$3:$O$6,0),MATCH(MOD('Map 2 Do Touch'!E43,4),$P$2:$S$2,0)),$AF$4:$AF$6,0),MATCH(IF('Map 2 Do Touch'!E42&gt;4,"Water","Land"),'Map 3'!$AG$3:$AH$3,0)),INDEX($AK$4:$AL$6,MATCH(INDEX($P$3:$S$6,MATCH(MOD('Map 2 Do Touch'!E42,4),$O$3:$O$6,0),MATCH(MOD('Map 2 Do Touch'!E43,4),$P$2:$S$2,0)),'Map 3'!$AJ$4:$AJ$6,0),MATCH(IF('Map 2 Do Touch'!E42&gt;4,"Water","Land"),'Map 3'!$AK$3:$AL$3,0))))</f>
        <v>Coast</v>
      </c>
      <c r="F47" s="3" t="str">
        <f ca="1">IF('Map 2 Do Touch'!E42&lt;&gt;'Map 2 Do Touch'!E43,IF('Map 2 Do Touch'!F43&gt;4,INDEX($AG$4:$AH$6,MATCH(INDEX($I$3:$L$6,MATCH(MOD('Map 2 Do Touch'!E43,4),$H$3:$H$6,0),MATCH(MOD('Map 2 Do Touch'!F43,4),$I$2:$L$2,0)),$AF$4:$AF$6,0),MATCH(IF('Map 2 Do Touch'!E43&gt;4,"Water","Land"),'Map 3'!$AG$3:$AH$3,0)),INDEX($AK$4:$AL$6,MATCH(INDEX($I$3:$L$6,MATCH(MOD('Map 2 Do Touch'!E43,4),$H$3:$H$6,0),MATCH(MOD('Map 2 Do Touch'!F43,4),$I$2:$L$2,0)),'Map 3'!$AJ$4:$AJ$6,0),MATCH(IF('Map 2 Do Touch'!E43&gt;4,"Water","Land"),'Map 3'!$AK$3:$AL$3,0))),IF('Map 2 Do Touch'!F43&gt;4,INDEX($AG$4:$AH$6,MATCH(INDEX($P$3:$S$6,MATCH(MOD('Map 2 Do Touch'!F42,4),$O$3:$O$6,0),MATCH(MOD('Map 2 Do Touch'!F43,4),$P$2:$S$2,0)),$AF$4:$AF$6,0),MATCH(IF('Map 2 Do Touch'!F42&gt;4,"Water","Land"),'Map 3'!$AG$3:$AH$3,0)),INDEX($AK$4:$AL$6,MATCH(INDEX($P$3:$S$6,MATCH(MOD('Map 2 Do Touch'!F42,4),$O$3:$O$6,0),MATCH(MOD('Map 2 Do Touch'!F43,4),$P$2:$S$2,0)),'Map 3'!$AJ$4:$AJ$6,0),MATCH(IF('Map 2 Do Touch'!F42&gt;4,"Water","Land"),'Map 3'!$AK$3:$AL$3,0))))</f>
        <v>Coast</v>
      </c>
      <c r="G47" s="3" t="str">
        <f ca="1">IF('Map 2 Do Touch'!F42&lt;&gt;'Map 2 Do Touch'!F43,IF('Map 2 Do Touch'!G43&gt;4,INDEX($AG$4:$AH$6,MATCH(INDEX($I$3:$L$6,MATCH(MOD('Map 2 Do Touch'!F43,4),$H$3:$H$6,0),MATCH(MOD('Map 2 Do Touch'!G43,4),$I$2:$L$2,0)),$AF$4:$AF$6,0),MATCH(IF('Map 2 Do Touch'!F43&gt;4,"Water","Land"),'Map 3'!$AG$3:$AH$3,0)),INDEX($AK$4:$AL$6,MATCH(INDEX($I$3:$L$6,MATCH(MOD('Map 2 Do Touch'!F43,4),$H$3:$H$6,0),MATCH(MOD('Map 2 Do Touch'!G43,4),$I$2:$L$2,0)),'Map 3'!$AJ$4:$AJ$6,0),MATCH(IF('Map 2 Do Touch'!F43&gt;4,"Water","Land"),'Map 3'!$AK$3:$AL$3,0))),IF('Map 2 Do Touch'!G43&gt;4,INDEX($AG$4:$AH$6,MATCH(INDEX($P$3:$S$6,MATCH(MOD('Map 2 Do Touch'!G42,4),$O$3:$O$6,0),MATCH(MOD('Map 2 Do Touch'!G43,4),$P$2:$S$2,0)),$AF$4:$AF$6,0),MATCH(IF('Map 2 Do Touch'!G42&gt;4,"Water","Land"),'Map 3'!$AG$3:$AH$3,0)),INDEX($AK$4:$AL$6,MATCH(INDEX($P$3:$S$6,MATCH(MOD('Map 2 Do Touch'!G42,4),$O$3:$O$6,0),MATCH(MOD('Map 2 Do Touch'!G43,4),$P$2:$S$2,0)),'Map 3'!$AJ$4:$AJ$6,0),MATCH(IF('Map 2 Do Touch'!G42&gt;4,"Water","Land"),'Map 3'!$AK$3:$AL$3,0))))</f>
        <v>Coast</v>
      </c>
      <c r="H47" s="3" t="str">
        <f ca="1">IF('Map 2 Do Touch'!G42&lt;&gt;'Map 2 Do Touch'!G43,IF('Map 2 Do Touch'!H43&gt;4,INDEX($AG$4:$AH$6,MATCH(INDEX($I$3:$L$6,MATCH(MOD('Map 2 Do Touch'!G43,4),$H$3:$H$6,0),MATCH(MOD('Map 2 Do Touch'!H43,4),$I$2:$L$2,0)),$AF$4:$AF$6,0),MATCH(IF('Map 2 Do Touch'!G43&gt;4,"Water","Land"),'Map 3'!$AG$3:$AH$3,0)),INDEX($AK$4:$AL$6,MATCH(INDEX($I$3:$L$6,MATCH(MOD('Map 2 Do Touch'!G43,4),$H$3:$H$6,0),MATCH(MOD('Map 2 Do Touch'!H43,4),$I$2:$L$2,0)),'Map 3'!$AJ$4:$AJ$6,0),MATCH(IF('Map 2 Do Touch'!G43&gt;4,"Water","Land"),'Map 3'!$AK$3:$AL$3,0))),IF('Map 2 Do Touch'!H43&gt;4,INDEX($AG$4:$AH$6,MATCH(INDEX($P$3:$S$6,MATCH(MOD('Map 2 Do Touch'!H42,4),$O$3:$O$6,0),MATCH(MOD('Map 2 Do Touch'!H43,4),$P$2:$S$2,0)),$AF$4:$AF$6,0),MATCH(IF('Map 2 Do Touch'!H42&gt;4,"Water","Land"),'Map 3'!$AG$3:$AH$3,0)),INDEX($AK$4:$AL$6,MATCH(INDEX($P$3:$S$6,MATCH(MOD('Map 2 Do Touch'!H42,4),$O$3:$O$6,0),MATCH(MOD('Map 2 Do Touch'!H43,4),$P$2:$S$2,0)),'Map 3'!$AJ$4:$AJ$6,0),MATCH(IF('Map 2 Do Touch'!H42&gt;4,"Water","Land"),'Map 3'!$AK$3:$AL$3,0))))</f>
        <v>Coast</v>
      </c>
      <c r="I47" s="3" t="str">
        <f ca="1">IF('Map 2 Do Touch'!H42&lt;&gt;'Map 2 Do Touch'!H43,IF('Map 2 Do Touch'!I43&gt;4,INDEX($AG$4:$AH$6,MATCH(INDEX($I$3:$L$6,MATCH(MOD('Map 2 Do Touch'!H43,4),$H$3:$H$6,0),MATCH(MOD('Map 2 Do Touch'!I43,4),$I$2:$L$2,0)),$AF$4:$AF$6,0),MATCH(IF('Map 2 Do Touch'!H43&gt;4,"Water","Land"),'Map 3'!$AG$3:$AH$3,0)),INDEX($AK$4:$AL$6,MATCH(INDEX($I$3:$L$6,MATCH(MOD('Map 2 Do Touch'!H43,4),$H$3:$H$6,0),MATCH(MOD('Map 2 Do Touch'!I43,4),$I$2:$L$2,0)),'Map 3'!$AJ$4:$AJ$6,0),MATCH(IF('Map 2 Do Touch'!H43&gt;4,"Water","Land"),'Map 3'!$AK$3:$AL$3,0))),IF('Map 2 Do Touch'!I43&gt;4,INDEX($AG$4:$AH$6,MATCH(INDEX($P$3:$S$6,MATCH(MOD('Map 2 Do Touch'!I42,4),$O$3:$O$6,0),MATCH(MOD('Map 2 Do Touch'!I43,4),$P$2:$S$2,0)),$AF$4:$AF$6,0),MATCH(IF('Map 2 Do Touch'!I42&gt;4,"Water","Land"),'Map 3'!$AG$3:$AH$3,0)),INDEX($AK$4:$AL$6,MATCH(INDEX($P$3:$S$6,MATCH(MOD('Map 2 Do Touch'!I42,4),$O$3:$O$6,0),MATCH(MOD('Map 2 Do Touch'!I43,4),$P$2:$S$2,0)),'Map 3'!$AJ$4:$AJ$6,0),MATCH(IF('Map 2 Do Touch'!I42&gt;4,"Water","Land"),'Map 3'!$AK$3:$AL$3,0))))</f>
        <v>Ocean</v>
      </c>
      <c r="J47" s="3" t="str">
        <f ca="1">IF('Map 2 Do Touch'!I42&lt;&gt;'Map 2 Do Touch'!I43,IF('Map 2 Do Touch'!J43&gt;4,INDEX($AG$4:$AH$6,MATCH(INDEX($I$3:$L$6,MATCH(MOD('Map 2 Do Touch'!I43,4),$H$3:$H$6,0),MATCH(MOD('Map 2 Do Touch'!J43,4),$I$2:$L$2,0)),$AF$4:$AF$6,0),MATCH(IF('Map 2 Do Touch'!I43&gt;4,"Water","Land"),'Map 3'!$AG$3:$AH$3,0)),INDEX($AK$4:$AL$6,MATCH(INDEX($I$3:$L$6,MATCH(MOD('Map 2 Do Touch'!I43,4),$H$3:$H$6,0),MATCH(MOD('Map 2 Do Touch'!J43,4),$I$2:$L$2,0)),'Map 3'!$AJ$4:$AJ$6,0),MATCH(IF('Map 2 Do Touch'!I43&gt;4,"Water","Land"),'Map 3'!$AK$3:$AL$3,0))),IF('Map 2 Do Touch'!J43&gt;4,INDEX($AG$4:$AH$6,MATCH(INDEX($P$3:$S$6,MATCH(MOD('Map 2 Do Touch'!J42,4),$O$3:$O$6,0),MATCH(MOD('Map 2 Do Touch'!J43,4),$P$2:$S$2,0)),$AF$4:$AF$6,0),MATCH(IF('Map 2 Do Touch'!J42&gt;4,"Water","Land"),'Map 3'!$AG$3:$AH$3,0)),INDEX($AK$4:$AL$6,MATCH(INDEX($P$3:$S$6,MATCH(MOD('Map 2 Do Touch'!J42,4),$O$3:$O$6,0),MATCH(MOD('Map 2 Do Touch'!J43,4),$P$2:$S$2,0)),'Map 3'!$AJ$4:$AJ$6,0),MATCH(IF('Map 2 Do Touch'!J42&gt;4,"Water","Land"),'Map 3'!$AK$3:$AL$3,0))))</f>
        <v>Coast</v>
      </c>
      <c r="K47" s="3" t="str">
        <f ca="1">IF('Map 2 Do Touch'!J42&lt;&gt;'Map 2 Do Touch'!J43,IF('Map 2 Do Touch'!K43&gt;4,INDEX($AG$4:$AH$6,MATCH(INDEX($I$3:$L$6,MATCH(MOD('Map 2 Do Touch'!J43,4),$H$3:$H$6,0),MATCH(MOD('Map 2 Do Touch'!K43,4),$I$2:$L$2,0)),$AF$4:$AF$6,0),MATCH(IF('Map 2 Do Touch'!J43&gt;4,"Water","Land"),'Map 3'!$AG$3:$AH$3,0)),INDEX($AK$4:$AL$6,MATCH(INDEX($I$3:$L$6,MATCH(MOD('Map 2 Do Touch'!J43,4),$H$3:$H$6,0),MATCH(MOD('Map 2 Do Touch'!K43,4),$I$2:$L$2,0)),'Map 3'!$AJ$4:$AJ$6,0),MATCH(IF('Map 2 Do Touch'!J43&gt;4,"Water","Land"),'Map 3'!$AK$3:$AL$3,0))),IF('Map 2 Do Touch'!K43&gt;4,INDEX($AG$4:$AH$6,MATCH(INDEX($P$3:$S$6,MATCH(MOD('Map 2 Do Touch'!K42,4),$O$3:$O$6,0),MATCH(MOD('Map 2 Do Touch'!K43,4),$P$2:$S$2,0)),$AF$4:$AF$6,0),MATCH(IF('Map 2 Do Touch'!K42&gt;4,"Water","Land"),'Map 3'!$AG$3:$AH$3,0)),INDEX($AK$4:$AL$6,MATCH(INDEX($P$3:$S$6,MATCH(MOD('Map 2 Do Touch'!K42,4),$O$3:$O$6,0),MATCH(MOD('Map 2 Do Touch'!K43,4),$P$2:$S$2,0)),'Map 3'!$AJ$4:$AJ$6,0),MATCH(IF('Map 2 Do Touch'!K42&gt;4,"Water","Land"),'Map 3'!$AK$3:$AL$3,0))))</f>
        <v>Flatland</v>
      </c>
      <c r="L47" s="3" t="str">
        <f ca="1">IF('Map 2 Do Touch'!K42&lt;&gt;'Map 2 Do Touch'!K43,IF('Map 2 Do Touch'!L43&gt;4,INDEX($AG$4:$AH$6,MATCH(INDEX($I$3:$L$6,MATCH(MOD('Map 2 Do Touch'!K43,4),$H$3:$H$6,0),MATCH(MOD('Map 2 Do Touch'!L43,4),$I$2:$L$2,0)),$AF$4:$AF$6,0),MATCH(IF('Map 2 Do Touch'!K43&gt;4,"Water","Land"),'Map 3'!$AG$3:$AH$3,0)),INDEX($AK$4:$AL$6,MATCH(INDEX($I$3:$L$6,MATCH(MOD('Map 2 Do Touch'!K43,4),$H$3:$H$6,0),MATCH(MOD('Map 2 Do Touch'!L43,4),$I$2:$L$2,0)),'Map 3'!$AJ$4:$AJ$6,0),MATCH(IF('Map 2 Do Touch'!K43&gt;4,"Water","Land"),'Map 3'!$AK$3:$AL$3,0))),IF('Map 2 Do Touch'!L43&gt;4,INDEX($AG$4:$AH$6,MATCH(INDEX($P$3:$S$6,MATCH(MOD('Map 2 Do Touch'!L42,4),$O$3:$O$6,0),MATCH(MOD('Map 2 Do Touch'!L43,4),$P$2:$S$2,0)),$AF$4:$AF$6,0),MATCH(IF('Map 2 Do Touch'!L42&gt;4,"Water","Land"),'Map 3'!$AG$3:$AH$3,0)),INDEX($AK$4:$AL$6,MATCH(INDEX($P$3:$S$6,MATCH(MOD('Map 2 Do Touch'!L42,4),$O$3:$O$6,0),MATCH(MOD('Map 2 Do Touch'!L43,4),$P$2:$S$2,0)),'Map 3'!$AJ$4:$AJ$6,0),MATCH(IF('Map 2 Do Touch'!L42&gt;4,"Water","Land"),'Map 3'!$AK$3:$AL$3,0))))</f>
        <v>Coast</v>
      </c>
      <c r="M47" s="3" t="str">
        <f ca="1">IF('Map 2 Do Touch'!L42&lt;&gt;'Map 2 Do Touch'!L43,IF('Map 2 Do Touch'!M43&gt;4,INDEX($AG$4:$AH$6,MATCH(INDEX($I$3:$L$6,MATCH(MOD('Map 2 Do Touch'!L43,4),$H$3:$H$6,0),MATCH(MOD('Map 2 Do Touch'!M43,4),$I$2:$L$2,0)),$AF$4:$AF$6,0),MATCH(IF('Map 2 Do Touch'!L43&gt;4,"Water","Land"),'Map 3'!$AG$3:$AH$3,0)),INDEX($AK$4:$AL$6,MATCH(INDEX($I$3:$L$6,MATCH(MOD('Map 2 Do Touch'!L43,4),$H$3:$H$6,0),MATCH(MOD('Map 2 Do Touch'!M43,4),$I$2:$L$2,0)),'Map 3'!$AJ$4:$AJ$6,0),MATCH(IF('Map 2 Do Touch'!L43&gt;4,"Water","Land"),'Map 3'!$AK$3:$AL$3,0))),IF('Map 2 Do Touch'!M43&gt;4,INDEX($AG$4:$AH$6,MATCH(INDEX($P$3:$S$6,MATCH(MOD('Map 2 Do Touch'!M42,4),$O$3:$O$6,0),MATCH(MOD('Map 2 Do Touch'!M43,4),$P$2:$S$2,0)),$AF$4:$AF$6,0),MATCH(IF('Map 2 Do Touch'!M42&gt;4,"Water","Land"),'Map 3'!$AG$3:$AH$3,0)),INDEX($AK$4:$AL$6,MATCH(INDEX($P$3:$S$6,MATCH(MOD('Map 2 Do Touch'!M42,4),$O$3:$O$6,0),MATCH(MOD('Map 2 Do Touch'!M43,4),$P$2:$S$2,0)),'Map 3'!$AJ$4:$AJ$6,0),MATCH(IF('Map 2 Do Touch'!M42&gt;4,"Water","Land"),'Map 3'!$AK$3:$AL$3,0))))</f>
        <v>Coast</v>
      </c>
      <c r="N47" s="3" t="str">
        <f ca="1">IF('Map 2 Do Touch'!M42&lt;&gt;'Map 2 Do Touch'!M43,IF('Map 2 Do Touch'!N43&gt;4,INDEX($AG$4:$AH$6,MATCH(INDEX($I$3:$L$6,MATCH(MOD('Map 2 Do Touch'!M43,4),$H$3:$H$6,0),MATCH(MOD('Map 2 Do Touch'!N43,4),$I$2:$L$2,0)),$AF$4:$AF$6,0),MATCH(IF('Map 2 Do Touch'!M43&gt;4,"Water","Land"),'Map 3'!$AG$3:$AH$3,0)),INDEX($AK$4:$AL$6,MATCH(INDEX($I$3:$L$6,MATCH(MOD('Map 2 Do Touch'!M43,4),$H$3:$H$6,0),MATCH(MOD('Map 2 Do Touch'!N43,4),$I$2:$L$2,0)),'Map 3'!$AJ$4:$AJ$6,0),MATCH(IF('Map 2 Do Touch'!M43&gt;4,"Water","Land"),'Map 3'!$AK$3:$AL$3,0))),IF('Map 2 Do Touch'!N43&gt;4,INDEX($AG$4:$AH$6,MATCH(INDEX($P$3:$S$6,MATCH(MOD('Map 2 Do Touch'!N42,4),$O$3:$O$6,0),MATCH(MOD('Map 2 Do Touch'!N43,4),$P$2:$S$2,0)),$AF$4:$AF$6,0),MATCH(IF('Map 2 Do Touch'!N42&gt;4,"Water","Land"),'Map 3'!$AG$3:$AH$3,0)),INDEX($AK$4:$AL$6,MATCH(INDEX($P$3:$S$6,MATCH(MOD('Map 2 Do Touch'!N42,4),$O$3:$O$6,0),MATCH(MOD('Map 2 Do Touch'!N43,4),$P$2:$S$2,0)),'Map 3'!$AJ$4:$AJ$6,0),MATCH(IF('Map 2 Do Touch'!N42&gt;4,"Water","Land"),'Map 3'!$AK$3:$AL$3,0))))</f>
        <v>Flatland</v>
      </c>
      <c r="O47" s="3" t="str">
        <f ca="1">IF('Map 2 Do Touch'!N42&lt;&gt;'Map 2 Do Touch'!N43,IF('Map 2 Do Touch'!O43&gt;4,INDEX($AG$4:$AH$6,MATCH(INDEX($I$3:$L$6,MATCH(MOD('Map 2 Do Touch'!N43,4),$H$3:$H$6,0),MATCH(MOD('Map 2 Do Touch'!O43,4),$I$2:$L$2,0)),$AF$4:$AF$6,0),MATCH(IF('Map 2 Do Touch'!N43&gt;4,"Water","Land"),'Map 3'!$AG$3:$AH$3,0)),INDEX($AK$4:$AL$6,MATCH(INDEX($I$3:$L$6,MATCH(MOD('Map 2 Do Touch'!N43,4),$H$3:$H$6,0),MATCH(MOD('Map 2 Do Touch'!O43,4),$I$2:$L$2,0)),'Map 3'!$AJ$4:$AJ$6,0),MATCH(IF('Map 2 Do Touch'!N43&gt;4,"Water","Land"),'Map 3'!$AK$3:$AL$3,0))),IF('Map 2 Do Touch'!O43&gt;4,INDEX($AG$4:$AH$6,MATCH(INDEX($P$3:$S$6,MATCH(MOD('Map 2 Do Touch'!O42,4),$O$3:$O$6,0),MATCH(MOD('Map 2 Do Touch'!O43,4),$P$2:$S$2,0)),$AF$4:$AF$6,0),MATCH(IF('Map 2 Do Touch'!O42&gt;4,"Water","Land"),'Map 3'!$AG$3:$AH$3,0)),INDEX($AK$4:$AL$6,MATCH(INDEX($P$3:$S$6,MATCH(MOD('Map 2 Do Touch'!O42,4),$O$3:$O$6,0),MATCH(MOD('Map 2 Do Touch'!O43,4),$P$2:$S$2,0)),'Map 3'!$AJ$4:$AJ$6,0),MATCH(IF('Map 2 Do Touch'!O42&gt;4,"Water","Land"),'Map 3'!$AK$3:$AL$3,0))))</f>
        <v>Flatland</v>
      </c>
      <c r="P47" s="3" t="str">
        <f ca="1">IF('Map 2 Do Touch'!O42&lt;&gt;'Map 2 Do Touch'!O43,IF('Map 2 Do Touch'!P43&gt;4,INDEX($AG$4:$AH$6,MATCH(INDEX($I$3:$L$6,MATCH(MOD('Map 2 Do Touch'!O43,4),$H$3:$H$6,0),MATCH(MOD('Map 2 Do Touch'!P43,4),$I$2:$L$2,0)),$AF$4:$AF$6,0),MATCH(IF('Map 2 Do Touch'!O43&gt;4,"Water","Land"),'Map 3'!$AG$3:$AH$3,0)),INDEX($AK$4:$AL$6,MATCH(INDEX($I$3:$L$6,MATCH(MOD('Map 2 Do Touch'!O43,4),$H$3:$H$6,0),MATCH(MOD('Map 2 Do Touch'!P43,4),$I$2:$L$2,0)),'Map 3'!$AJ$4:$AJ$6,0),MATCH(IF('Map 2 Do Touch'!O43&gt;4,"Water","Land"),'Map 3'!$AK$3:$AL$3,0))),IF('Map 2 Do Touch'!P43&gt;4,INDEX($AG$4:$AH$6,MATCH(INDEX($P$3:$S$6,MATCH(MOD('Map 2 Do Touch'!P42,4),$O$3:$O$6,0),MATCH(MOD('Map 2 Do Touch'!P43,4),$P$2:$S$2,0)),$AF$4:$AF$6,0),MATCH(IF('Map 2 Do Touch'!P42&gt;4,"Water","Land"),'Map 3'!$AG$3:$AH$3,0)),INDEX($AK$4:$AL$6,MATCH(INDEX($P$3:$S$6,MATCH(MOD('Map 2 Do Touch'!P42,4),$O$3:$O$6,0),MATCH(MOD('Map 2 Do Touch'!P43,4),$P$2:$S$2,0)),'Map 3'!$AJ$4:$AJ$6,0),MATCH(IF('Map 2 Do Touch'!P42&gt;4,"Water","Land"),'Map 3'!$AK$3:$AL$3,0))))</f>
        <v>Flatland</v>
      </c>
      <c r="Q47" s="3" t="str">
        <f ca="1">IF('Map 2 Do Touch'!P42&lt;&gt;'Map 2 Do Touch'!P43,IF('Map 2 Do Touch'!Q43&gt;4,INDEX($AG$4:$AH$6,MATCH(INDEX($I$3:$L$6,MATCH(MOD('Map 2 Do Touch'!P43,4),$H$3:$H$6,0),MATCH(MOD('Map 2 Do Touch'!Q43,4),$I$2:$L$2,0)),$AF$4:$AF$6,0),MATCH(IF('Map 2 Do Touch'!P43&gt;4,"Water","Land"),'Map 3'!$AG$3:$AH$3,0)),INDEX($AK$4:$AL$6,MATCH(INDEX($I$3:$L$6,MATCH(MOD('Map 2 Do Touch'!P43,4),$H$3:$H$6,0),MATCH(MOD('Map 2 Do Touch'!Q43,4),$I$2:$L$2,0)),'Map 3'!$AJ$4:$AJ$6,0),MATCH(IF('Map 2 Do Touch'!P43&gt;4,"Water","Land"),'Map 3'!$AK$3:$AL$3,0))),IF('Map 2 Do Touch'!Q43&gt;4,INDEX($AG$4:$AH$6,MATCH(INDEX($P$3:$S$6,MATCH(MOD('Map 2 Do Touch'!Q42,4),$O$3:$O$6,0),MATCH(MOD('Map 2 Do Touch'!Q43,4),$P$2:$S$2,0)),$AF$4:$AF$6,0),MATCH(IF('Map 2 Do Touch'!Q42&gt;4,"Water","Land"),'Map 3'!$AG$3:$AH$3,0)),INDEX($AK$4:$AL$6,MATCH(INDEX($P$3:$S$6,MATCH(MOD('Map 2 Do Touch'!Q42,4),$O$3:$O$6,0),MATCH(MOD('Map 2 Do Touch'!Q43,4),$P$2:$S$2,0)),'Map 3'!$AJ$4:$AJ$6,0),MATCH(IF('Map 2 Do Touch'!Q42&gt;4,"Water","Land"),'Map 3'!$AK$3:$AL$3,0))))</f>
        <v>Flatland</v>
      </c>
      <c r="R47" s="3" t="str">
        <f ca="1">IF('Map 2 Do Touch'!Q42&lt;&gt;'Map 2 Do Touch'!Q43,IF('Map 2 Do Touch'!R43&gt;4,INDEX($AG$4:$AH$6,MATCH(INDEX($I$3:$L$6,MATCH(MOD('Map 2 Do Touch'!Q43,4),$H$3:$H$6,0),MATCH(MOD('Map 2 Do Touch'!R43,4),$I$2:$L$2,0)),$AF$4:$AF$6,0),MATCH(IF('Map 2 Do Touch'!Q43&gt;4,"Water","Land"),'Map 3'!$AG$3:$AH$3,0)),INDEX($AK$4:$AL$6,MATCH(INDEX($I$3:$L$6,MATCH(MOD('Map 2 Do Touch'!Q43,4),$H$3:$H$6,0),MATCH(MOD('Map 2 Do Touch'!R43,4),$I$2:$L$2,0)),'Map 3'!$AJ$4:$AJ$6,0),MATCH(IF('Map 2 Do Touch'!Q43&gt;4,"Water","Land"),'Map 3'!$AK$3:$AL$3,0))),IF('Map 2 Do Touch'!R43&gt;4,INDEX($AG$4:$AH$6,MATCH(INDEX($P$3:$S$6,MATCH(MOD('Map 2 Do Touch'!R42,4),$O$3:$O$6,0),MATCH(MOD('Map 2 Do Touch'!R43,4),$P$2:$S$2,0)),$AF$4:$AF$6,0),MATCH(IF('Map 2 Do Touch'!R42&gt;4,"Water","Land"),'Map 3'!$AG$3:$AH$3,0)),INDEX($AK$4:$AL$6,MATCH(INDEX($P$3:$S$6,MATCH(MOD('Map 2 Do Touch'!R42,4),$O$3:$O$6,0),MATCH(MOD('Map 2 Do Touch'!R43,4),$P$2:$S$2,0)),'Map 3'!$AJ$4:$AJ$6,0),MATCH(IF('Map 2 Do Touch'!R42&gt;4,"Water","Land"),'Map 3'!$AK$3:$AL$3,0))))</f>
        <v>Coast</v>
      </c>
      <c r="S47" s="3" t="str">
        <f ca="1">IF('Map 2 Do Touch'!R42&lt;&gt;'Map 2 Do Touch'!R43,IF('Map 2 Do Touch'!S43&gt;4,INDEX($AG$4:$AH$6,MATCH(INDEX($I$3:$L$6,MATCH(MOD('Map 2 Do Touch'!R43,4),$H$3:$H$6,0),MATCH(MOD('Map 2 Do Touch'!S43,4),$I$2:$L$2,0)),$AF$4:$AF$6,0),MATCH(IF('Map 2 Do Touch'!R43&gt;4,"Water","Land"),'Map 3'!$AG$3:$AH$3,0)),INDEX($AK$4:$AL$6,MATCH(INDEX($I$3:$L$6,MATCH(MOD('Map 2 Do Touch'!R43,4),$H$3:$H$6,0),MATCH(MOD('Map 2 Do Touch'!S43,4),$I$2:$L$2,0)),'Map 3'!$AJ$4:$AJ$6,0),MATCH(IF('Map 2 Do Touch'!R43&gt;4,"Water","Land"),'Map 3'!$AK$3:$AL$3,0))),IF('Map 2 Do Touch'!S43&gt;4,INDEX($AG$4:$AH$6,MATCH(INDEX($P$3:$S$6,MATCH(MOD('Map 2 Do Touch'!S42,4),$O$3:$O$6,0),MATCH(MOD('Map 2 Do Touch'!S43,4),$P$2:$S$2,0)),$AF$4:$AF$6,0),MATCH(IF('Map 2 Do Touch'!S42&gt;4,"Water","Land"),'Map 3'!$AG$3:$AH$3,0)),INDEX($AK$4:$AL$6,MATCH(INDEX($P$3:$S$6,MATCH(MOD('Map 2 Do Touch'!S42,4),$O$3:$O$6,0),MATCH(MOD('Map 2 Do Touch'!S43,4),$P$2:$S$2,0)),'Map 3'!$AJ$4:$AJ$6,0),MATCH(IF('Map 2 Do Touch'!S42&gt;4,"Water","Land"),'Map 3'!$AK$3:$AL$3,0))))</f>
        <v>Coast</v>
      </c>
      <c r="T47" s="3" t="str">
        <f ca="1">IF('Map 2 Do Touch'!S42&lt;&gt;'Map 2 Do Touch'!S43,IF('Map 2 Do Touch'!T43&gt;4,INDEX($AG$4:$AH$6,MATCH(INDEX($I$3:$L$6,MATCH(MOD('Map 2 Do Touch'!S43,4),$H$3:$H$6,0),MATCH(MOD('Map 2 Do Touch'!T43,4),$I$2:$L$2,0)),$AF$4:$AF$6,0),MATCH(IF('Map 2 Do Touch'!S43&gt;4,"Water","Land"),'Map 3'!$AG$3:$AH$3,0)),INDEX($AK$4:$AL$6,MATCH(INDEX($I$3:$L$6,MATCH(MOD('Map 2 Do Touch'!S43,4),$H$3:$H$6,0),MATCH(MOD('Map 2 Do Touch'!T43,4),$I$2:$L$2,0)),'Map 3'!$AJ$4:$AJ$6,0),MATCH(IF('Map 2 Do Touch'!S43&gt;4,"Water","Land"),'Map 3'!$AK$3:$AL$3,0))),IF('Map 2 Do Touch'!T43&gt;4,INDEX($AG$4:$AH$6,MATCH(INDEX($P$3:$S$6,MATCH(MOD('Map 2 Do Touch'!T42,4),$O$3:$O$6,0),MATCH(MOD('Map 2 Do Touch'!T43,4),$P$2:$S$2,0)),$AF$4:$AF$6,0),MATCH(IF('Map 2 Do Touch'!T42&gt;4,"Water","Land"),'Map 3'!$AG$3:$AH$3,0)),INDEX($AK$4:$AL$6,MATCH(INDEX($P$3:$S$6,MATCH(MOD('Map 2 Do Touch'!T42,4),$O$3:$O$6,0),MATCH(MOD('Map 2 Do Touch'!T43,4),$P$2:$S$2,0)),'Map 3'!$AJ$4:$AJ$6,0),MATCH(IF('Map 2 Do Touch'!T42&gt;4,"Water","Land"),'Map 3'!$AK$3:$AL$3,0))))</f>
        <v>Ocean</v>
      </c>
      <c r="U47" s="3" t="str">
        <f ca="1">IF('Map 2 Do Touch'!T42&lt;&gt;'Map 2 Do Touch'!T43,IF('Map 2 Do Touch'!U43&gt;4,INDEX($AG$4:$AH$6,MATCH(INDEX($I$3:$L$6,MATCH(MOD('Map 2 Do Touch'!T43,4),$H$3:$H$6,0),MATCH(MOD('Map 2 Do Touch'!U43,4),$I$2:$L$2,0)),$AF$4:$AF$6,0),MATCH(IF('Map 2 Do Touch'!T43&gt;4,"Water","Land"),'Map 3'!$AG$3:$AH$3,0)),INDEX($AK$4:$AL$6,MATCH(INDEX($I$3:$L$6,MATCH(MOD('Map 2 Do Touch'!T43,4),$H$3:$H$6,0),MATCH(MOD('Map 2 Do Touch'!U43,4),$I$2:$L$2,0)),'Map 3'!$AJ$4:$AJ$6,0),MATCH(IF('Map 2 Do Touch'!T43&gt;4,"Water","Land"),'Map 3'!$AK$3:$AL$3,0))),IF('Map 2 Do Touch'!U43&gt;4,INDEX($AG$4:$AH$6,MATCH(INDEX($P$3:$S$6,MATCH(MOD('Map 2 Do Touch'!U42,4),$O$3:$O$6,0),MATCH(MOD('Map 2 Do Touch'!U43,4),$P$2:$S$2,0)),$AF$4:$AF$6,0),MATCH(IF('Map 2 Do Touch'!U42&gt;4,"Water","Land"),'Map 3'!$AG$3:$AH$3,0)),INDEX($AK$4:$AL$6,MATCH(INDEX($P$3:$S$6,MATCH(MOD('Map 2 Do Touch'!U42,4),$O$3:$O$6,0),MATCH(MOD('Map 2 Do Touch'!U43,4),$P$2:$S$2,0)),'Map 3'!$AJ$4:$AJ$6,0),MATCH(IF('Map 2 Do Touch'!U42&gt;4,"Water","Land"),'Map 3'!$AK$3:$AL$3,0))))</f>
        <v>Ocean</v>
      </c>
      <c r="V47" s="3" t="str">
        <f ca="1">IF('Map 2 Do Touch'!U42&lt;&gt;'Map 2 Do Touch'!U43,IF('Map 2 Do Touch'!V43&gt;4,INDEX($AG$4:$AH$6,MATCH(INDEX($I$3:$L$6,MATCH(MOD('Map 2 Do Touch'!U43,4),$H$3:$H$6,0),MATCH(MOD('Map 2 Do Touch'!V43,4),$I$2:$L$2,0)),$AF$4:$AF$6,0),MATCH(IF('Map 2 Do Touch'!U43&gt;4,"Water","Land"),'Map 3'!$AG$3:$AH$3,0)),INDEX($AK$4:$AL$6,MATCH(INDEX($I$3:$L$6,MATCH(MOD('Map 2 Do Touch'!U43,4),$H$3:$H$6,0),MATCH(MOD('Map 2 Do Touch'!V43,4),$I$2:$L$2,0)),'Map 3'!$AJ$4:$AJ$6,0),MATCH(IF('Map 2 Do Touch'!U43&gt;4,"Water","Land"),'Map 3'!$AK$3:$AL$3,0))),IF('Map 2 Do Touch'!V43&gt;4,INDEX($AG$4:$AH$6,MATCH(INDEX($P$3:$S$6,MATCH(MOD('Map 2 Do Touch'!V42,4),$O$3:$O$6,0),MATCH(MOD('Map 2 Do Touch'!V43,4),$P$2:$S$2,0)),$AF$4:$AF$6,0),MATCH(IF('Map 2 Do Touch'!V42&gt;4,"Water","Land"),'Map 3'!$AG$3:$AH$3,0)),INDEX($AK$4:$AL$6,MATCH(INDEX($P$3:$S$6,MATCH(MOD('Map 2 Do Touch'!V42,4),$O$3:$O$6,0),MATCH(MOD('Map 2 Do Touch'!V43,4),$P$2:$S$2,0)),'Map 3'!$AJ$4:$AJ$6,0),MATCH(IF('Map 2 Do Touch'!V42&gt;4,"Water","Land"),'Map 3'!$AK$3:$AL$3,0))))</f>
        <v>Trench</v>
      </c>
      <c r="W47" s="3" t="str">
        <f ca="1">IF('Map 2 Do Touch'!V42&lt;&gt;'Map 2 Do Touch'!V43,IF('Map 2 Do Touch'!W43&gt;4,INDEX($AG$4:$AH$6,MATCH(INDEX($I$3:$L$6,MATCH(MOD('Map 2 Do Touch'!V43,4),$H$3:$H$6,0),MATCH(MOD('Map 2 Do Touch'!W43,4),$I$2:$L$2,0)),$AF$4:$AF$6,0),MATCH(IF('Map 2 Do Touch'!V43&gt;4,"Water","Land"),'Map 3'!$AG$3:$AH$3,0)),INDEX($AK$4:$AL$6,MATCH(INDEX($I$3:$L$6,MATCH(MOD('Map 2 Do Touch'!V43,4),$H$3:$H$6,0),MATCH(MOD('Map 2 Do Touch'!W43,4),$I$2:$L$2,0)),'Map 3'!$AJ$4:$AJ$6,0),MATCH(IF('Map 2 Do Touch'!V43&gt;4,"Water","Land"),'Map 3'!$AK$3:$AL$3,0))),IF('Map 2 Do Touch'!W43&gt;4,INDEX($AG$4:$AH$6,MATCH(INDEX($P$3:$S$6,MATCH(MOD('Map 2 Do Touch'!W42,4),$O$3:$O$6,0),MATCH(MOD('Map 2 Do Touch'!W43,4),$P$2:$S$2,0)),$AF$4:$AF$6,0),MATCH(IF('Map 2 Do Touch'!W42&gt;4,"Water","Land"),'Map 3'!$AG$3:$AH$3,0)),INDEX($AK$4:$AL$6,MATCH(INDEX($P$3:$S$6,MATCH(MOD('Map 2 Do Touch'!W42,4),$O$3:$O$6,0),MATCH(MOD('Map 2 Do Touch'!W43,4),$P$2:$S$2,0)),'Map 3'!$AJ$4:$AJ$6,0),MATCH(IF('Map 2 Do Touch'!W42&gt;4,"Water","Land"),'Map 3'!$AK$3:$AL$3,0))))</f>
        <v>Ocean</v>
      </c>
      <c r="X47" s="3" t="str">
        <f ca="1">IF('Map 2 Do Touch'!W42&lt;&gt;'Map 2 Do Touch'!W43,IF('Map 2 Do Touch'!X43&gt;4,INDEX($AG$4:$AH$6,MATCH(INDEX($I$3:$L$6,MATCH(MOD('Map 2 Do Touch'!W43,4),$H$3:$H$6,0),MATCH(MOD('Map 2 Do Touch'!X43,4),$I$2:$L$2,0)),$AF$4:$AF$6,0),MATCH(IF('Map 2 Do Touch'!W43&gt;4,"Water","Land"),'Map 3'!$AG$3:$AH$3,0)),INDEX($AK$4:$AL$6,MATCH(INDEX($I$3:$L$6,MATCH(MOD('Map 2 Do Touch'!W43,4),$H$3:$H$6,0),MATCH(MOD('Map 2 Do Touch'!X43,4),$I$2:$L$2,0)),'Map 3'!$AJ$4:$AJ$6,0),MATCH(IF('Map 2 Do Touch'!W43&gt;4,"Water","Land"),'Map 3'!$AK$3:$AL$3,0))),IF('Map 2 Do Touch'!X43&gt;4,INDEX($AG$4:$AH$6,MATCH(INDEX($P$3:$S$6,MATCH(MOD('Map 2 Do Touch'!X42,4),$O$3:$O$6,0),MATCH(MOD('Map 2 Do Touch'!X43,4),$P$2:$S$2,0)),$AF$4:$AF$6,0),MATCH(IF('Map 2 Do Touch'!X42&gt;4,"Water","Land"),'Map 3'!$AG$3:$AH$3,0)),INDEX($AK$4:$AL$6,MATCH(INDEX($P$3:$S$6,MATCH(MOD('Map 2 Do Touch'!X42,4),$O$3:$O$6,0),MATCH(MOD('Map 2 Do Touch'!X43,4),$P$2:$S$2,0)),'Map 3'!$AJ$4:$AJ$6,0),MATCH(IF('Map 2 Do Touch'!X42&gt;4,"Water","Land"),'Map 3'!$AK$3:$AL$3,0))))</f>
        <v>Ocean</v>
      </c>
      <c r="Y47" s="3" t="str">
        <f ca="1">IF('Map 2 Do Touch'!X42&lt;&gt;'Map 2 Do Touch'!X43,IF('Map 2 Do Touch'!Y43&gt;4,INDEX($AG$4:$AH$6,MATCH(INDEX($I$3:$L$6,MATCH(MOD('Map 2 Do Touch'!X43,4),$H$3:$H$6,0),MATCH(MOD('Map 2 Do Touch'!Y43,4),$I$2:$L$2,0)),$AF$4:$AF$6,0),MATCH(IF('Map 2 Do Touch'!X43&gt;4,"Water","Land"),'Map 3'!$AG$3:$AH$3,0)),INDEX($AK$4:$AL$6,MATCH(INDEX($I$3:$L$6,MATCH(MOD('Map 2 Do Touch'!X43,4),$H$3:$H$6,0),MATCH(MOD('Map 2 Do Touch'!Y43,4),$I$2:$L$2,0)),'Map 3'!$AJ$4:$AJ$6,0),MATCH(IF('Map 2 Do Touch'!X43&gt;4,"Water","Land"),'Map 3'!$AK$3:$AL$3,0))),IF('Map 2 Do Touch'!Y43&gt;4,INDEX($AG$4:$AH$6,MATCH(INDEX($P$3:$S$6,MATCH(MOD('Map 2 Do Touch'!Y42,4),$O$3:$O$6,0),MATCH(MOD('Map 2 Do Touch'!Y43,4),$P$2:$S$2,0)),$AF$4:$AF$6,0),MATCH(IF('Map 2 Do Touch'!Y42&gt;4,"Water","Land"),'Map 3'!$AG$3:$AH$3,0)),INDEX($AK$4:$AL$6,MATCH(INDEX($P$3:$S$6,MATCH(MOD('Map 2 Do Touch'!Y42,4),$O$3:$O$6,0),MATCH(MOD('Map 2 Do Touch'!Y43,4),$P$2:$S$2,0)),'Map 3'!$AJ$4:$AJ$6,0),MATCH(IF('Map 2 Do Touch'!Y42&gt;4,"Water","Land"),'Map 3'!$AK$3:$AL$3,0))))</f>
        <v>Ocean</v>
      </c>
      <c r="Z47" s="3" t="str">
        <f ca="1">IF('Map 2 Do Touch'!Y42&lt;&gt;'Map 2 Do Touch'!Y43,IF('Map 2 Do Touch'!Z43&gt;4,INDEX($AG$4:$AH$6,MATCH(INDEX($I$3:$L$6,MATCH(MOD('Map 2 Do Touch'!Y43,4),$H$3:$H$6,0),MATCH(MOD('Map 2 Do Touch'!Z43,4),$I$2:$L$2,0)),$AF$4:$AF$6,0),MATCH(IF('Map 2 Do Touch'!Y43&gt;4,"Water","Land"),'Map 3'!$AG$3:$AH$3,0)),INDEX($AK$4:$AL$6,MATCH(INDEX($I$3:$L$6,MATCH(MOD('Map 2 Do Touch'!Y43,4),$H$3:$H$6,0),MATCH(MOD('Map 2 Do Touch'!Z43,4),$I$2:$L$2,0)),'Map 3'!$AJ$4:$AJ$6,0),MATCH(IF('Map 2 Do Touch'!Y43&gt;4,"Water","Land"),'Map 3'!$AK$3:$AL$3,0))),IF('Map 2 Do Touch'!Z43&gt;4,INDEX($AG$4:$AH$6,MATCH(INDEX($P$3:$S$6,MATCH(MOD('Map 2 Do Touch'!Z42,4),$O$3:$O$6,0),MATCH(MOD('Map 2 Do Touch'!Z43,4),$P$2:$S$2,0)),$AF$4:$AF$6,0),MATCH(IF('Map 2 Do Touch'!Z42&gt;4,"Water","Land"),'Map 3'!$AG$3:$AH$3,0)),INDEX($AK$4:$AL$6,MATCH(INDEX($P$3:$S$6,MATCH(MOD('Map 2 Do Touch'!Z42,4),$O$3:$O$6,0),MATCH(MOD('Map 2 Do Touch'!Z43,4),$P$2:$S$2,0)),'Map 3'!$AJ$4:$AJ$6,0),MATCH(IF('Map 2 Do Touch'!Z42&gt;4,"Water","Land"),'Map 3'!$AK$3:$AL$3,0))))</f>
        <v>Island</v>
      </c>
      <c r="AA47" s="3" t="str">
        <f ca="1">IF('Map 2 Do Touch'!Z42&lt;&gt;'Map 2 Do Touch'!Z43,IF('Map 2 Do Touch'!AA43&gt;4,INDEX($AG$4:$AH$6,MATCH(INDEX($I$3:$L$6,MATCH(MOD('Map 2 Do Touch'!Z43,4),$H$3:$H$6,0),MATCH(MOD('Map 2 Do Touch'!AA43,4),$I$2:$L$2,0)),$AF$4:$AF$6,0),MATCH(IF('Map 2 Do Touch'!Z43&gt;4,"Water","Land"),'Map 3'!$AG$3:$AH$3,0)),INDEX($AK$4:$AL$6,MATCH(INDEX($I$3:$L$6,MATCH(MOD('Map 2 Do Touch'!Z43,4),$H$3:$H$6,0),MATCH(MOD('Map 2 Do Touch'!AA43,4),$I$2:$L$2,0)),'Map 3'!$AJ$4:$AJ$6,0),MATCH(IF('Map 2 Do Touch'!Z43&gt;4,"Water","Land"),'Map 3'!$AK$3:$AL$3,0))),IF('Map 2 Do Touch'!AA43&gt;4,INDEX($AG$4:$AH$6,MATCH(INDEX($P$3:$S$6,MATCH(MOD('Map 2 Do Touch'!AA42,4),$O$3:$O$6,0),MATCH(MOD('Map 2 Do Touch'!AA43,4),$P$2:$S$2,0)),$AF$4:$AF$6,0),MATCH(IF('Map 2 Do Touch'!AA42&gt;4,"Water","Land"),'Map 3'!$AG$3:$AH$3,0)),INDEX($AK$4:$AL$6,MATCH(INDEX($P$3:$S$6,MATCH(MOD('Map 2 Do Touch'!AA42,4),$O$3:$O$6,0),MATCH(MOD('Map 2 Do Touch'!AA43,4),$P$2:$S$2,0)),'Map 3'!$AJ$4:$AJ$6,0),MATCH(IF('Map 2 Do Touch'!AA42&gt;4,"Water","Land"),'Map 3'!$AK$3:$AL$3,0))))</f>
        <v>Ocean</v>
      </c>
      <c r="AB47" s="3" t="str">
        <f ca="1">IF('Map 2 Do Touch'!AA42&lt;&gt;'Map 2 Do Touch'!AA43,IF('Map 2 Do Touch'!AB43&gt;4,INDEX($AG$4:$AH$6,MATCH(INDEX($I$3:$L$6,MATCH(MOD('Map 2 Do Touch'!AA43,4),$H$3:$H$6,0),MATCH(MOD('Map 2 Do Touch'!AB43,4),$I$2:$L$2,0)),$AF$4:$AF$6,0),MATCH(IF('Map 2 Do Touch'!AA43&gt;4,"Water","Land"),'Map 3'!$AG$3:$AH$3,0)),INDEX($AK$4:$AL$6,MATCH(INDEX($I$3:$L$6,MATCH(MOD('Map 2 Do Touch'!AA43,4),$H$3:$H$6,0),MATCH(MOD('Map 2 Do Touch'!AB43,4),$I$2:$L$2,0)),'Map 3'!$AJ$4:$AJ$6,0),MATCH(IF('Map 2 Do Touch'!AA43&gt;4,"Water","Land"),'Map 3'!$AK$3:$AL$3,0))),IF('Map 2 Do Touch'!AB43&gt;4,INDEX($AG$4:$AH$6,MATCH(INDEX($P$3:$S$6,MATCH(MOD('Map 2 Do Touch'!AB42,4),$O$3:$O$6,0),MATCH(MOD('Map 2 Do Touch'!AB43,4),$P$2:$S$2,0)),$AF$4:$AF$6,0),MATCH(IF('Map 2 Do Touch'!AB42&gt;4,"Water","Land"),'Map 3'!$AG$3:$AH$3,0)),INDEX($AK$4:$AL$6,MATCH(INDEX($P$3:$S$6,MATCH(MOD('Map 2 Do Touch'!AB42,4),$O$3:$O$6,0),MATCH(MOD('Map 2 Do Touch'!AB43,4),$P$2:$S$2,0)),'Map 3'!$AJ$4:$AJ$6,0),MATCH(IF('Map 2 Do Touch'!AB42&gt;4,"Water","Land"),'Map 3'!$AK$3:$AL$3,0))))</f>
        <v>Ocean</v>
      </c>
      <c r="AC47" s="3" t="str">
        <f ca="1">IF('Map 2 Do Touch'!AB42&lt;&gt;'Map 2 Do Touch'!AB43,IF('Map 2 Do Touch'!AC43&gt;4,INDEX($AG$4:$AH$6,MATCH(INDEX($I$3:$L$6,MATCH(MOD('Map 2 Do Touch'!AB43,4),$H$3:$H$6,0),MATCH(MOD('Map 2 Do Touch'!AC43,4),$I$2:$L$2,0)),$AF$4:$AF$6,0),MATCH(IF('Map 2 Do Touch'!AB43&gt;4,"Water","Land"),'Map 3'!$AG$3:$AH$3,0)),INDEX($AK$4:$AL$6,MATCH(INDEX($I$3:$L$6,MATCH(MOD('Map 2 Do Touch'!AB43,4),$H$3:$H$6,0),MATCH(MOD('Map 2 Do Touch'!AC43,4),$I$2:$L$2,0)),'Map 3'!$AJ$4:$AJ$6,0),MATCH(IF('Map 2 Do Touch'!AB43&gt;4,"Water","Land"),'Map 3'!$AK$3:$AL$3,0))),IF('Map 2 Do Touch'!AC43&gt;4,INDEX($AG$4:$AH$6,MATCH(INDEX($P$3:$S$6,MATCH(MOD('Map 2 Do Touch'!AC42,4),$O$3:$O$6,0),MATCH(MOD('Map 2 Do Touch'!AC43,4),$P$2:$S$2,0)),$AF$4:$AF$6,0),MATCH(IF('Map 2 Do Touch'!AC42&gt;4,"Water","Land"),'Map 3'!$AG$3:$AH$3,0)),INDEX($AK$4:$AL$6,MATCH(INDEX($P$3:$S$6,MATCH(MOD('Map 2 Do Touch'!AC42,4),$O$3:$O$6,0),MATCH(MOD('Map 2 Do Touch'!AC43,4),$P$2:$S$2,0)),'Map 3'!$AJ$4:$AJ$6,0),MATCH(IF('Map 2 Do Touch'!AC42&gt;4,"Water","Land"),'Map 3'!$AK$3:$AL$3,0))))</f>
        <v>Ocean</v>
      </c>
      <c r="AD47" s="3" t="str">
        <f ca="1">IF('Map 2 Do Touch'!AC42&lt;&gt;'Map 2 Do Touch'!AC43,IF('Map 2 Do Touch'!AD43&gt;4,INDEX($AG$4:$AH$6,MATCH(INDEX($I$3:$L$6,MATCH(MOD('Map 2 Do Touch'!AC43,4),$H$3:$H$6,0),MATCH(MOD('Map 2 Do Touch'!AD43,4),$I$2:$L$2,0)),$AF$4:$AF$6,0),MATCH(IF('Map 2 Do Touch'!AC43&gt;4,"Water","Land"),'Map 3'!$AG$3:$AH$3,0)),INDEX($AK$4:$AL$6,MATCH(INDEX($I$3:$L$6,MATCH(MOD('Map 2 Do Touch'!AC43,4),$H$3:$H$6,0),MATCH(MOD('Map 2 Do Touch'!AD43,4),$I$2:$L$2,0)),'Map 3'!$AJ$4:$AJ$6,0),MATCH(IF('Map 2 Do Touch'!AC43&gt;4,"Water","Land"),'Map 3'!$AK$3:$AL$3,0))),IF('Map 2 Do Touch'!AD43&gt;4,INDEX($AG$4:$AH$6,MATCH(INDEX($P$3:$S$6,MATCH(MOD('Map 2 Do Touch'!AD42,4),$O$3:$O$6,0),MATCH(MOD('Map 2 Do Touch'!AD43,4),$P$2:$S$2,0)),$AF$4:$AF$6,0),MATCH(IF('Map 2 Do Touch'!AD42&gt;4,"Water","Land"),'Map 3'!$AG$3:$AH$3,0)),INDEX($AK$4:$AL$6,MATCH(INDEX($P$3:$S$6,MATCH(MOD('Map 2 Do Touch'!AD42,4),$O$3:$O$6,0),MATCH(MOD('Map 2 Do Touch'!AD43,4),$P$2:$S$2,0)),'Map 3'!$AJ$4:$AJ$6,0),MATCH(IF('Map 2 Do Touch'!AD42&gt;4,"Water","Land"),'Map 3'!$AK$3:$AL$3,0))))</f>
        <v>Ocean</v>
      </c>
      <c r="AE47" s="3" t="str">
        <f ca="1">IF('Map 2 Do Touch'!AD42&lt;&gt;'Map 2 Do Touch'!AD43,IF('Map 2 Do Touch'!AE43&gt;4,INDEX($AG$4:$AH$6,MATCH(INDEX($I$3:$L$6,MATCH(MOD('Map 2 Do Touch'!AD43,4),$H$3:$H$6,0),MATCH(MOD('Map 2 Do Touch'!AE43,4),$I$2:$L$2,0)),$AF$4:$AF$6,0),MATCH(IF('Map 2 Do Touch'!AD43&gt;4,"Water","Land"),'Map 3'!$AG$3:$AH$3,0)),INDEX($AK$4:$AL$6,MATCH(INDEX($I$3:$L$6,MATCH(MOD('Map 2 Do Touch'!AD43,4),$H$3:$H$6,0),MATCH(MOD('Map 2 Do Touch'!AE43,4),$I$2:$L$2,0)),'Map 3'!$AJ$4:$AJ$6,0),MATCH(IF('Map 2 Do Touch'!AD43&gt;4,"Water","Land"),'Map 3'!$AK$3:$AL$3,0))),IF('Map 2 Do Touch'!AE43&gt;4,INDEX($AG$4:$AH$6,MATCH(INDEX($P$3:$S$6,MATCH(MOD('Map 2 Do Touch'!AE42,4),$O$3:$O$6,0),MATCH(MOD('Map 2 Do Touch'!AE43,4),$P$2:$S$2,0)),$AF$4:$AF$6,0),MATCH(IF('Map 2 Do Touch'!AE42&gt;4,"Water","Land"),'Map 3'!$AG$3:$AH$3,0)),INDEX($AK$4:$AL$6,MATCH(INDEX($P$3:$S$6,MATCH(MOD('Map 2 Do Touch'!AE42,4),$O$3:$O$6,0),MATCH(MOD('Map 2 Do Touch'!AE43,4),$P$2:$S$2,0)),'Map 3'!$AJ$4:$AJ$6,0),MATCH(IF('Map 2 Do Touch'!AE42&gt;4,"Water","Land"),'Map 3'!$AK$3:$AL$3,0))))</f>
        <v>Trench</v>
      </c>
      <c r="AF47" s="3" t="str">
        <f ca="1">IF('Map 2 Do Touch'!AE42&lt;&gt;'Map 2 Do Touch'!AE43,IF('Map 2 Do Touch'!AF43&gt;4,INDEX($AG$4:$AH$6,MATCH(INDEX($I$3:$L$6,MATCH(MOD('Map 2 Do Touch'!AE43,4),$H$3:$H$6,0),MATCH(MOD('Map 2 Do Touch'!AF43,4),$I$2:$L$2,0)),$AF$4:$AF$6,0),MATCH(IF('Map 2 Do Touch'!AE43&gt;4,"Water","Land"),'Map 3'!$AG$3:$AH$3,0)),INDEX($AK$4:$AL$6,MATCH(INDEX($I$3:$L$6,MATCH(MOD('Map 2 Do Touch'!AE43,4),$H$3:$H$6,0),MATCH(MOD('Map 2 Do Touch'!AF43,4),$I$2:$L$2,0)),'Map 3'!$AJ$4:$AJ$6,0),MATCH(IF('Map 2 Do Touch'!AE43&gt;4,"Water","Land"),'Map 3'!$AK$3:$AL$3,0))),IF('Map 2 Do Touch'!AF43&gt;4,INDEX($AG$4:$AH$6,MATCH(INDEX($P$3:$S$6,MATCH(MOD('Map 2 Do Touch'!AF42,4),$O$3:$O$6,0),MATCH(MOD('Map 2 Do Touch'!AF43,4),$P$2:$S$2,0)),$AF$4:$AF$6,0),MATCH(IF('Map 2 Do Touch'!AF42&gt;4,"Water","Land"),'Map 3'!$AG$3:$AH$3,0)),INDEX($AK$4:$AL$6,MATCH(INDEX($P$3:$S$6,MATCH(MOD('Map 2 Do Touch'!AF42,4),$O$3:$O$6,0),MATCH(MOD('Map 2 Do Touch'!AF43,4),$P$2:$S$2,0)),'Map 3'!$AJ$4:$AJ$6,0),MATCH(IF('Map 2 Do Touch'!AF42&gt;4,"Water","Land"),'Map 3'!$AK$3:$AL$3,0))))</f>
        <v>Trench</v>
      </c>
      <c r="AG47" s="3" t="str">
        <f ca="1">IF('Map 2 Do Touch'!AF42&lt;&gt;'Map 2 Do Touch'!AF43,IF('Map 2 Do Touch'!AG43&gt;4,INDEX($AG$4:$AH$6,MATCH(INDEX($I$3:$L$6,MATCH(MOD('Map 2 Do Touch'!AF43,4),$H$3:$H$6,0),MATCH(MOD('Map 2 Do Touch'!AG43,4),$I$2:$L$2,0)),$AF$4:$AF$6,0),MATCH(IF('Map 2 Do Touch'!AF43&gt;4,"Water","Land"),'Map 3'!$AG$3:$AH$3,0)),INDEX($AK$4:$AL$6,MATCH(INDEX($I$3:$L$6,MATCH(MOD('Map 2 Do Touch'!AF43,4),$H$3:$H$6,0),MATCH(MOD('Map 2 Do Touch'!AG43,4),$I$2:$L$2,0)),'Map 3'!$AJ$4:$AJ$6,0),MATCH(IF('Map 2 Do Touch'!AF43&gt;4,"Water","Land"),'Map 3'!$AK$3:$AL$3,0))),IF('Map 2 Do Touch'!AG43&gt;4,INDEX($AG$4:$AH$6,MATCH(INDEX($P$3:$S$6,MATCH(MOD('Map 2 Do Touch'!AG42,4),$O$3:$O$6,0),MATCH(MOD('Map 2 Do Touch'!AG43,4),$P$2:$S$2,0)),$AF$4:$AF$6,0),MATCH(IF('Map 2 Do Touch'!AG42&gt;4,"Water","Land"),'Map 3'!$AG$3:$AH$3,0)),INDEX($AK$4:$AL$6,MATCH(INDEX($P$3:$S$6,MATCH(MOD('Map 2 Do Touch'!AG42,4),$O$3:$O$6,0),MATCH(MOD('Map 2 Do Touch'!AG43,4),$P$2:$S$2,0)),'Map 3'!$AJ$4:$AJ$6,0),MATCH(IF('Map 2 Do Touch'!AG42&gt;4,"Water","Land"),'Map 3'!$AK$3:$AL$3,0))))</f>
        <v>Island</v>
      </c>
      <c r="AH47" s="3" t="str">
        <f ca="1">IF('Map 2 Do Touch'!AG42&lt;&gt;'Map 2 Do Touch'!AG43,IF('Map 2 Do Touch'!AH43&gt;4,INDEX($AG$4:$AH$6,MATCH(INDEX($I$3:$L$6,MATCH(MOD('Map 2 Do Touch'!AG43,4),$H$3:$H$6,0),MATCH(MOD('Map 2 Do Touch'!AH43,4),$I$2:$L$2,0)),$AF$4:$AF$6,0),MATCH(IF('Map 2 Do Touch'!AG43&gt;4,"Water","Land"),'Map 3'!$AG$3:$AH$3,0)),INDEX($AK$4:$AL$6,MATCH(INDEX($I$3:$L$6,MATCH(MOD('Map 2 Do Touch'!AG43,4),$H$3:$H$6,0),MATCH(MOD('Map 2 Do Touch'!AH43,4),$I$2:$L$2,0)),'Map 3'!$AJ$4:$AJ$6,0),MATCH(IF('Map 2 Do Touch'!AG43&gt;4,"Water","Land"),'Map 3'!$AK$3:$AL$3,0))),IF('Map 2 Do Touch'!AH43&gt;4,INDEX($AG$4:$AH$6,MATCH(INDEX($P$3:$S$6,MATCH(MOD('Map 2 Do Touch'!AH42,4),$O$3:$O$6,0),MATCH(MOD('Map 2 Do Touch'!AH43,4),$P$2:$S$2,0)),$AF$4:$AF$6,0),MATCH(IF('Map 2 Do Touch'!AH42&gt;4,"Water","Land"),'Map 3'!$AG$3:$AH$3,0)),INDEX($AK$4:$AL$6,MATCH(INDEX($P$3:$S$6,MATCH(MOD('Map 2 Do Touch'!AH42,4),$O$3:$O$6,0),MATCH(MOD('Map 2 Do Touch'!AH43,4),$P$2:$S$2,0)),'Map 3'!$AJ$4:$AJ$6,0),MATCH(IF('Map 2 Do Touch'!AH42&gt;4,"Water","Land"),'Map 3'!$AK$3:$AL$3,0))))</f>
        <v>Ocean</v>
      </c>
      <c r="AI47" s="3" t="str">
        <f ca="1">IF('Map 2 Do Touch'!AH42&lt;&gt;'Map 2 Do Touch'!AH43,IF('Map 2 Do Touch'!AI43&gt;4,INDEX($AG$4:$AH$6,MATCH(INDEX($I$3:$L$6,MATCH(MOD('Map 2 Do Touch'!AH43,4),$H$3:$H$6,0),MATCH(MOD('Map 2 Do Touch'!AI43,4),$I$2:$L$2,0)),$AF$4:$AF$6,0),MATCH(IF('Map 2 Do Touch'!AH43&gt;4,"Water","Land"),'Map 3'!$AG$3:$AH$3,0)),INDEX($AK$4:$AL$6,MATCH(INDEX($I$3:$L$6,MATCH(MOD('Map 2 Do Touch'!AH43,4),$H$3:$H$6,0),MATCH(MOD('Map 2 Do Touch'!AI43,4),$I$2:$L$2,0)),'Map 3'!$AJ$4:$AJ$6,0),MATCH(IF('Map 2 Do Touch'!AH43&gt;4,"Water","Land"),'Map 3'!$AK$3:$AL$3,0))),IF('Map 2 Do Touch'!AI43&gt;4,INDEX($AG$4:$AH$6,MATCH(INDEX($P$3:$S$6,MATCH(MOD('Map 2 Do Touch'!AI42,4),$O$3:$O$6,0),MATCH(MOD('Map 2 Do Touch'!AI43,4),$P$2:$S$2,0)),$AF$4:$AF$6,0),MATCH(IF('Map 2 Do Touch'!AI42&gt;4,"Water","Land"),'Map 3'!$AG$3:$AH$3,0)),INDEX($AK$4:$AL$6,MATCH(INDEX($P$3:$S$6,MATCH(MOD('Map 2 Do Touch'!AI42,4),$O$3:$O$6,0),MATCH(MOD('Map 2 Do Touch'!AI43,4),$P$2:$S$2,0)),'Map 3'!$AJ$4:$AJ$6,0),MATCH(IF('Map 2 Do Touch'!AI42&gt;4,"Water","Land"),'Map 3'!$AK$3:$AL$3,0))))</f>
        <v>Ocean</v>
      </c>
      <c r="AJ47" s="3" t="str">
        <f ca="1">IF('Map 2 Do Touch'!AI42&lt;&gt;'Map 2 Do Touch'!AI43,IF('Map 2 Do Touch'!AJ43&gt;4,INDEX($AG$4:$AH$6,MATCH(INDEX($I$3:$L$6,MATCH(MOD('Map 2 Do Touch'!AI43,4),$H$3:$H$6,0),MATCH(MOD('Map 2 Do Touch'!AJ43,4),$I$2:$L$2,0)),$AF$4:$AF$6,0),MATCH(IF('Map 2 Do Touch'!AI43&gt;4,"Water","Land"),'Map 3'!$AG$3:$AH$3,0)),INDEX($AK$4:$AL$6,MATCH(INDEX($I$3:$L$6,MATCH(MOD('Map 2 Do Touch'!AI43,4),$H$3:$H$6,0),MATCH(MOD('Map 2 Do Touch'!AJ43,4),$I$2:$L$2,0)),'Map 3'!$AJ$4:$AJ$6,0),MATCH(IF('Map 2 Do Touch'!AI43&gt;4,"Water","Land"),'Map 3'!$AK$3:$AL$3,0))),IF('Map 2 Do Touch'!AJ43&gt;4,INDEX($AG$4:$AH$6,MATCH(INDEX($P$3:$S$6,MATCH(MOD('Map 2 Do Touch'!AJ42,4),$O$3:$O$6,0),MATCH(MOD('Map 2 Do Touch'!AJ43,4),$P$2:$S$2,0)),$AF$4:$AF$6,0),MATCH(IF('Map 2 Do Touch'!AJ42&gt;4,"Water","Land"),'Map 3'!$AG$3:$AH$3,0)),INDEX($AK$4:$AL$6,MATCH(INDEX($P$3:$S$6,MATCH(MOD('Map 2 Do Touch'!AJ42,4),$O$3:$O$6,0),MATCH(MOD('Map 2 Do Touch'!AJ43,4),$P$2:$S$2,0)),'Map 3'!$AJ$4:$AJ$6,0),MATCH(IF('Map 2 Do Touch'!AJ42&gt;4,"Water","Land"),'Map 3'!$AK$3:$AL$3,0))))</f>
        <v>Ocean</v>
      </c>
      <c r="AK47" s="3" t="str">
        <f ca="1">IF('Map 2 Do Touch'!AJ42&lt;&gt;'Map 2 Do Touch'!AJ43,IF('Map 2 Do Touch'!AK43&gt;4,INDEX($AG$4:$AH$6,MATCH(INDEX($I$3:$L$6,MATCH(MOD('Map 2 Do Touch'!AJ43,4),$H$3:$H$6,0),MATCH(MOD('Map 2 Do Touch'!AK43,4),$I$2:$L$2,0)),$AF$4:$AF$6,0),MATCH(IF('Map 2 Do Touch'!AJ43&gt;4,"Water","Land"),'Map 3'!$AG$3:$AH$3,0)),INDEX($AK$4:$AL$6,MATCH(INDEX($I$3:$L$6,MATCH(MOD('Map 2 Do Touch'!AJ43,4),$H$3:$H$6,0),MATCH(MOD('Map 2 Do Touch'!AK43,4),$I$2:$L$2,0)),'Map 3'!$AJ$4:$AJ$6,0),MATCH(IF('Map 2 Do Touch'!AJ43&gt;4,"Water","Land"),'Map 3'!$AK$3:$AL$3,0))),IF('Map 2 Do Touch'!AK43&gt;4,INDEX($AG$4:$AH$6,MATCH(INDEX($P$3:$S$6,MATCH(MOD('Map 2 Do Touch'!AK42,4),$O$3:$O$6,0),MATCH(MOD('Map 2 Do Touch'!AK43,4),$P$2:$S$2,0)),$AF$4:$AF$6,0),MATCH(IF('Map 2 Do Touch'!AK42&gt;4,"Water","Land"),'Map 3'!$AG$3:$AH$3,0)),INDEX($AK$4:$AL$6,MATCH(INDEX($P$3:$S$6,MATCH(MOD('Map 2 Do Touch'!AK42,4),$O$3:$O$6,0),MATCH(MOD('Map 2 Do Touch'!AK43,4),$P$2:$S$2,0)),'Map 3'!$AJ$4:$AJ$6,0),MATCH(IF('Map 2 Do Touch'!AK42&gt;4,"Water","Land"),'Map 3'!$AK$3:$AL$3,0))))</f>
        <v>Trench</v>
      </c>
      <c r="AL47" s="3" t="str">
        <f ca="1">IF('Map 2 Do Touch'!AK42&lt;&gt;'Map 2 Do Touch'!AK43,IF('Map 2 Do Touch'!AL43&gt;4,INDEX($AG$4:$AH$6,MATCH(INDEX($I$3:$L$6,MATCH(MOD('Map 2 Do Touch'!AK43,4),$H$3:$H$6,0),MATCH(MOD('Map 2 Do Touch'!AL43,4),$I$2:$L$2,0)),$AF$4:$AF$6,0),MATCH(IF('Map 2 Do Touch'!AK43&gt;4,"Water","Land"),'Map 3'!$AG$3:$AH$3,0)),INDEX($AK$4:$AL$6,MATCH(INDEX($I$3:$L$6,MATCH(MOD('Map 2 Do Touch'!AK43,4),$H$3:$H$6,0),MATCH(MOD('Map 2 Do Touch'!AL43,4),$I$2:$L$2,0)),'Map 3'!$AJ$4:$AJ$6,0),MATCH(IF('Map 2 Do Touch'!AK43&gt;4,"Water","Land"),'Map 3'!$AK$3:$AL$3,0))),IF('Map 2 Do Touch'!AL43&gt;4,INDEX($AG$4:$AH$6,MATCH(INDEX($P$3:$S$6,MATCH(MOD('Map 2 Do Touch'!AL42,4),$O$3:$O$6,0),MATCH(MOD('Map 2 Do Touch'!AL43,4),$P$2:$S$2,0)),$AF$4:$AF$6,0),MATCH(IF('Map 2 Do Touch'!AL42&gt;4,"Water","Land"),'Map 3'!$AG$3:$AH$3,0)),INDEX($AK$4:$AL$6,MATCH(INDEX($P$3:$S$6,MATCH(MOD('Map 2 Do Touch'!AL42,4),$O$3:$O$6,0),MATCH(MOD('Map 2 Do Touch'!AL43,4),$P$2:$S$2,0)),'Map 3'!$AJ$4:$AJ$6,0),MATCH(IF('Map 2 Do Touch'!AL42&gt;4,"Water","Land"),'Map 3'!$AK$3:$AL$3,0))))</f>
        <v>Trench</v>
      </c>
      <c r="AM47" s="3" t="str">
        <f ca="1">IF('Map 2 Do Touch'!AL42&lt;&gt;'Map 2 Do Touch'!AL43,IF('Map 2 Do Touch'!AM43&gt;4,INDEX($AG$4:$AH$6,MATCH(INDEX($I$3:$L$6,MATCH(MOD('Map 2 Do Touch'!AL43,4),$H$3:$H$6,0),MATCH(MOD('Map 2 Do Touch'!AM43,4),$I$2:$L$2,0)),$AF$4:$AF$6,0),MATCH(IF('Map 2 Do Touch'!AL43&gt;4,"Water","Land"),'Map 3'!$AG$3:$AH$3,0)),INDEX($AK$4:$AL$6,MATCH(INDEX($I$3:$L$6,MATCH(MOD('Map 2 Do Touch'!AL43,4),$H$3:$H$6,0),MATCH(MOD('Map 2 Do Touch'!AM43,4),$I$2:$L$2,0)),'Map 3'!$AJ$4:$AJ$6,0),MATCH(IF('Map 2 Do Touch'!AL43&gt;4,"Water","Land"),'Map 3'!$AK$3:$AL$3,0))),IF('Map 2 Do Touch'!AM43&gt;4,INDEX($AG$4:$AH$6,MATCH(INDEX($P$3:$S$6,MATCH(MOD('Map 2 Do Touch'!AM42,4),$O$3:$O$6,0),MATCH(MOD('Map 2 Do Touch'!AM43,4),$P$2:$S$2,0)),$AF$4:$AF$6,0),MATCH(IF('Map 2 Do Touch'!AM42&gt;4,"Water","Land"),'Map 3'!$AG$3:$AH$3,0)),INDEX($AK$4:$AL$6,MATCH(INDEX($P$3:$S$6,MATCH(MOD('Map 2 Do Touch'!AM42,4),$O$3:$O$6,0),MATCH(MOD('Map 2 Do Touch'!AM43,4),$P$2:$S$2,0)),'Map 3'!$AJ$4:$AJ$6,0),MATCH(IF('Map 2 Do Touch'!AM42&gt;4,"Water","Land"),'Map 3'!$AK$3:$AL$3,0))))</f>
        <v>Ocean</v>
      </c>
      <c r="AN47" s="3" t="str">
        <f ca="1">IF('Map 2 Do Touch'!AM42&lt;&gt;'Map 2 Do Touch'!AM43,IF('Map 2 Do Touch'!AN43&gt;4,INDEX($AG$4:$AH$6,MATCH(INDEX($I$3:$L$6,MATCH(MOD('Map 2 Do Touch'!AM43,4),$H$3:$H$6,0),MATCH(MOD('Map 2 Do Touch'!AN43,4),$I$2:$L$2,0)),$AF$4:$AF$6,0),MATCH(IF('Map 2 Do Touch'!AM43&gt;4,"Water","Land"),'Map 3'!$AG$3:$AH$3,0)),INDEX($AK$4:$AL$6,MATCH(INDEX($I$3:$L$6,MATCH(MOD('Map 2 Do Touch'!AM43,4),$H$3:$H$6,0),MATCH(MOD('Map 2 Do Touch'!AN43,4),$I$2:$L$2,0)),'Map 3'!$AJ$4:$AJ$6,0),MATCH(IF('Map 2 Do Touch'!AM43&gt;4,"Water","Land"),'Map 3'!$AK$3:$AL$3,0))),IF('Map 2 Do Touch'!AN43&gt;4,INDEX($AG$4:$AH$6,MATCH(INDEX($P$3:$S$6,MATCH(MOD('Map 2 Do Touch'!AN42,4),$O$3:$O$6,0),MATCH(MOD('Map 2 Do Touch'!AN43,4),$P$2:$S$2,0)),$AF$4:$AF$6,0),MATCH(IF('Map 2 Do Touch'!AN42&gt;4,"Water","Land"),'Map 3'!$AG$3:$AH$3,0)),INDEX($AK$4:$AL$6,MATCH(INDEX($P$3:$S$6,MATCH(MOD('Map 2 Do Touch'!AN42,4),$O$3:$O$6,0),MATCH(MOD('Map 2 Do Touch'!AN43,4),$P$2:$S$2,0)),'Map 3'!$AJ$4:$AJ$6,0),MATCH(IF('Map 2 Do Touch'!AN42&gt;4,"Water","Land"),'Map 3'!$AK$3:$AL$3,0))))</f>
        <v>Ocean</v>
      </c>
      <c r="AO47" s="87" t="str">
        <f ca="1">IF('Map 2 Do Touch'!AN42&lt;&gt;'Map 2 Do Touch'!AN43,IF('Map 2 Do Touch'!AO43&gt;4,INDEX($AG$4:$AH$6,MATCH(INDEX($I$3:$L$6,MATCH(MOD('Map 2 Do Touch'!AN43,4),$H$3:$H$6,0),MATCH(MOD('Map 2 Do Touch'!AO43,4),$I$2:$L$2,0)),$AF$4:$AF$6,0),MATCH(IF('Map 2 Do Touch'!AN43&gt;4,"Water","Land"),'Map 3'!$AG$3:$AH$3,0)),INDEX($AK$4:$AL$6,MATCH(INDEX($I$3:$L$6,MATCH(MOD('Map 2 Do Touch'!AN43,4),$H$3:$H$6,0),MATCH(MOD('Map 2 Do Touch'!AO43,4),$I$2:$L$2,0)),'Map 3'!$AJ$4:$AJ$6,0),MATCH(IF('Map 2 Do Touch'!AN43&gt;4,"Water","Land"),'Map 3'!$AK$3:$AL$3,0))),IF('Map 2 Do Touch'!AO43&gt;4,INDEX($AG$4:$AH$6,MATCH(INDEX($P$3:$S$6,MATCH(MOD('Map 2 Do Touch'!AO42,4),$O$3:$O$6,0),MATCH(MOD('Map 2 Do Touch'!AO43,4),$P$2:$S$2,0)),$AF$4:$AF$6,0),MATCH(IF('Map 2 Do Touch'!AO42&gt;4,"Water","Land"),'Map 3'!$AG$3:$AH$3,0)),INDEX($AK$4:$AL$6,MATCH(INDEX($P$3:$S$6,MATCH(MOD('Map 2 Do Touch'!AO42,4),$O$3:$O$6,0),MATCH(MOD('Map 2 Do Touch'!AO43,4),$P$2:$S$2,0)),'Map 3'!$AJ$4:$AJ$6,0),MATCH(IF('Map 2 Do Touch'!AO42&gt;4,"Water","Land"),'Map 3'!$AK$3:$AL$3,0))))</f>
        <v>Ocean</v>
      </c>
      <c r="AP47" s="3"/>
    </row>
    <row r="48" spans="1:42" ht="37.5" customHeight="1">
      <c r="A48" s="3">
        <v>37</v>
      </c>
      <c r="B48" s="86" t="str">
        <f ca="1">IF('Map 2 Do Touch'!B43&lt;&gt;'Map 2 Do Touch'!B44,IF('Map 2 Do Touch'!B44&gt;4,INDEX($AG$4:$AH$6,MATCH(INDEX($I$3:$L$6,MATCH(MOD('Map 2 Do Touch'!AO44,4),$H$3:$H$6,0),MATCH(MOD('Map 2 Do Touch'!B44,4),$I$2:$L$2,0)),$AF$4:$AF$6,0),MATCH(IF('Map 2 Do Touch'!AO44&gt;4,"Water","Land"),'Map 3'!$AG$3:$AH$3,0)),INDEX($AK$4:$AL$6,MATCH(INDEX($I$3:$L$6,MATCH(MOD('Map 2 Do Touch'!A44,4),$H$3:$H$6,0),MATCH(MOD('Map 2 Do Touch'!B44,4),$I$2:$L$2,0)),'Map 3'!$AJ$4:$AJ$6,0),MATCH(IF('Map 2 Do Touch'!AO44&gt;4,"Water","Land"),'Map 3'!$AK$3:$AL$3,0))),IF('Map 2 Do Touch'!B44&gt;4,INDEX($AG$4:$AH$6,MATCH(INDEX($P$3:$S$6,MATCH(MOD('Map 2 Do Touch'!B43,4),$O$3:$O$6,0),MATCH(MOD('Map 2 Do Touch'!B44,4),$P$2:$S$2,0)),$AF$4:$AF$6,0),MATCH(IF('Map 2 Do Touch'!B43&gt;4,"Water","Land"),'Map 3'!$AG$3:$AH$3,0)),INDEX($AK$4:$AL$6,MATCH(INDEX($P$3:$S$6,MATCH(MOD('Map 2 Do Touch'!B43,4),$O$3:$O$6,0),MATCH(MOD('Map 2 Do Touch'!B44,4),$P$2:$S$2,0)),'Map 3'!$AJ$4:$AJ$6,0),MATCH(IF('Map 2 Do Touch'!B43&gt;4,"Water","Land"),'Map 3'!$AK$3:$AL$3,0))))</f>
        <v>Ocean</v>
      </c>
      <c r="C48" s="3" t="str">
        <f ca="1">IF('Map 2 Do Touch'!B43&lt;&gt;'Map 2 Do Touch'!B44,IF('Map 2 Do Touch'!C44&gt;4,INDEX($AG$4:$AH$6,MATCH(INDEX($I$3:$L$6,MATCH(MOD('Map 2 Do Touch'!B44,4),$H$3:$H$6,0),MATCH(MOD('Map 2 Do Touch'!C44,4),$I$2:$L$2,0)),$AF$4:$AF$6,0),MATCH(IF('Map 2 Do Touch'!B44&gt;4,"Water","Land"),'Map 3'!$AG$3:$AH$3,0)),INDEX($AK$4:$AL$6,MATCH(INDEX($I$3:$L$6,MATCH(MOD('Map 2 Do Touch'!B44,4),$H$3:$H$6,0),MATCH(MOD('Map 2 Do Touch'!C44,4),$I$2:$L$2,0)),'Map 3'!$AJ$4:$AJ$6,0),MATCH(IF('Map 2 Do Touch'!B44&gt;4,"Water","Land"),'Map 3'!$AK$3:$AL$3,0))),IF('Map 2 Do Touch'!C44&gt;4,INDEX($AG$4:$AH$6,MATCH(INDEX($P$3:$S$6,MATCH(MOD('Map 2 Do Touch'!C43,4),$O$3:$O$6,0),MATCH(MOD('Map 2 Do Touch'!C44,4),$P$2:$S$2,0)),$AF$4:$AF$6,0),MATCH(IF('Map 2 Do Touch'!C43&gt;4,"Water","Land"),'Map 3'!$AG$3:$AH$3,0)),INDEX($AK$4:$AL$6,MATCH(INDEX($P$3:$S$6,MATCH(MOD('Map 2 Do Touch'!C43,4),$O$3:$O$6,0),MATCH(MOD('Map 2 Do Touch'!C44,4),$P$2:$S$2,0)),'Map 3'!$AJ$4:$AJ$6,0),MATCH(IF('Map 2 Do Touch'!C43&gt;4,"Water","Land"),'Map 3'!$AK$3:$AL$3,0))))</f>
        <v>Ocean</v>
      </c>
      <c r="D48" s="3" t="str">
        <f ca="1">IF('Map 2 Do Touch'!C43&lt;&gt;'Map 2 Do Touch'!C44,IF('Map 2 Do Touch'!D44&gt;4,INDEX($AG$4:$AH$6,MATCH(INDEX($I$3:$L$6,MATCH(MOD('Map 2 Do Touch'!C44,4),$H$3:$H$6,0),MATCH(MOD('Map 2 Do Touch'!D44,4),$I$2:$L$2,0)),$AF$4:$AF$6,0),MATCH(IF('Map 2 Do Touch'!C44&gt;4,"Water","Land"),'Map 3'!$AG$3:$AH$3,0)),INDEX($AK$4:$AL$6,MATCH(INDEX($I$3:$L$6,MATCH(MOD('Map 2 Do Touch'!C44,4),$H$3:$H$6,0),MATCH(MOD('Map 2 Do Touch'!D44,4),$I$2:$L$2,0)),'Map 3'!$AJ$4:$AJ$6,0),MATCH(IF('Map 2 Do Touch'!C44&gt;4,"Water","Land"),'Map 3'!$AK$3:$AL$3,0))),IF('Map 2 Do Touch'!D44&gt;4,INDEX($AG$4:$AH$6,MATCH(INDEX($P$3:$S$6,MATCH(MOD('Map 2 Do Touch'!D43,4),$O$3:$O$6,0),MATCH(MOD('Map 2 Do Touch'!D44,4),$P$2:$S$2,0)),$AF$4:$AF$6,0),MATCH(IF('Map 2 Do Touch'!D43&gt;4,"Water","Land"),'Map 3'!$AG$3:$AH$3,0)),INDEX($AK$4:$AL$6,MATCH(INDEX($P$3:$S$6,MATCH(MOD('Map 2 Do Touch'!D43,4),$O$3:$O$6,0),MATCH(MOD('Map 2 Do Touch'!D44,4),$P$2:$S$2,0)),'Map 3'!$AJ$4:$AJ$6,0),MATCH(IF('Map 2 Do Touch'!D43&gt;4,"Water","Land"),'Map 3'!$AK$3:$AL$3,0))))</f>
        <v>Ocean</v>
      </c>
      <c r="E48" s="3" t="str">
        <f ca="1">IF('Map 2 Do Touch'!D43&lt;&gt;'Map 2 Do Touch'!D44,IF('Map 2 Do Touch'!E44&gt;4,INDEX($AG$4:$AH$6,MATCH(INDEX($I$3:$L$6,MATCH(MOD('Map 2 Do Touch'!D44,4),$H$3:$H$6,0),MATCH(MOD('Map 2 Do Touch'!E44,4),$I$2:$L$2,0)),$AF$4:$AF$6,0),MATCH(IF('Map 2 Do Touch'!D44&gt;4,"Water","Land"),'Map 3'!$AG$3:$AH$3,0)),INDEX($AK$4:$AL$6,MATCH(INDEX($I$3:$L$6,MATCH(MOD('Map 2 Do Touch'!D44,4),$H$3:$H$6,0),MATCH(MOD('Map 2 Do Touch'!E44,4),$I$2:$L$2,0)),'Map 3'!$AJ$4:$AJ$6,0),MATCH(IF('Map 2 Do Touch'!D44&gt;4,"Water","Land"),'Map 3'!$AK$3:$AL$3,0))),IF('Map 2 Do Touch'!E44&gt;4,INDEX($AG$4:$AH$6,MATCH(INDEX($P$3:$S$6,MATCH(MOD('Map 2 Do Touch'!E43,4),$O$3:$O$6,0),MATCH(MOD('Map 2 Do Touch'!E44,4),$P$2:$S$2,0)),$AF$4:$AF$6,0),MATCH(IF('Map 2 Do Touch'!E43&gt;4,"Water","Land"),'Map 3'!$AG$3:$AH$3,0)),INDEX($AK$4:$AL$6,MATCH(INDEX($P$3:$S$6,MATCH(MOD('Map 2 Do Touch'!E43,4),$O$3:$O$6,0),MATCH(MOD('Map 2 Do Touch'!E44,4),$P$2:$S$2,0)),'Map 3'!$AJ$4:$AJ$6,0),MATCH(IF('Map 2 Do Touch'!E43&gt;4,"Water","Land"),'Map 3'!$AK$3:$AL$3,0))))</f>
        <v>Ocean</v>
      </c>
      <c r="F48" s="3" t="str">
        <f ca="1">IF('Map 2 Do Touch'!E43&lt;&gt;'Map 2 Do Touch'!E44,IF('Map 2 Do Touch'!F44&gt;4,INDEX($AG$4:$AH$6,MATCH(INDEX($I$3:$L$6,MATCH(MOD('Map 2 Do Touch'!E44,4),$H$3:$H$6,0),MATCH(MOD('Map 2 Do Touch'!F44,4),$I$2:$L$2,0)),$AF$4:$AF$6,0),MATCH(IF('Map 2 Do Touch'!E44&gt;4,"Water","Land"),'Map 3'!$AG$3:$AH$3,0)),INDEX($AK$4:$AL$6,MATCH(INDEX($I$3:$L$6,MATCH(MOD('Map 2 Do Touch'!E44,4),$H$3:$H$6,0),MATCH(MOD('Map 2 Do Touch'!F44,4),$I$2:$L$2,0)),'Map 3'!$AJ$4:$AJ$6,0),MATCH(IF('Map 2 Do Touch'!E44&gt;4,"Water","Land"),'Map 3'!$AK$3:$AL$3,0))),IF('Map 2 Do Touch'!F44&gt;4,INDEX($AG$4:$AH$6,MATCH(INDEX($P$3:$S$6,MATCH(MOD('Map 2 Do Touch'!F43,4),$O$3:$O$6,0),MATCH(MOD('Map 2 Do Touch'!F44,4),$P$2:$S$2,0)),$AF$4:$AF$6,0),MATCH(IF('Map 2 Do Touch'!F43&gt;4,"Water","Land"),'Map 3'!$AG$3:$AH$3,0)),INDEX($AK$4:$AL$6,MATCH(INDEX($P$3:$S$6,MATCH(MOD('Map 2 Do Touch'!F43,4),$O$3:$O$6,0),MATCH(MOD('Map 2 Do Touch'!F44,4),$P$2:$S$2,0)),'Map 3'!$AJ$4:$AJ$6,0),MATCH(IF('Map 2 Do Touch'!F43&gt;4,"Water","Land"),'Map 3'!$AK$3:$AL$3,0))))</f>
        <v>Coast</v>
      </c>
      <c r="G48" s="3" t="str">
        <f ca="1">IF('Map 2 Do Touch'!F43&lt;&gt;'Map 2 Do Touch'!F44,IF('Map 2 Do Touch'!G44&gt;4,INDEX($AG$4:$AH$6,MATCH(INDEX($I$3:$L$6,MATCH(MOD('Map 2 Do Touch'!F44,4),$H$3:$H$6,0),MATCH(MOD('Map 2 Do Touch'!G44,4),$I$2:$L$2,0)),$AF$4:$AF$6,0),MATCH(IF('Map 2 Do Touch'!F44&gt;4,"Water","Land"),'Map 3'!$AG$3:$AH$3,0)),INDEX($AK$4:$AL$6,MATCH(INDEX($I$3:$L$6,MATCH(MOD('Map 2 Do Touch'!F44,4),$H$3:$H$6,0),MATCH(MOD('Map 2 Do Touch'!G44,4),$I$2:$L$2,0)),'Map 3'!$AJ$4:$AJ$6,0),MATCH(IF('Map 2 Do Touch'!F44&gt;4,"Water","Land"),'Map 3'!$AK$3:$AL$3,0))),IF('Map 2 Do Touch'!G44&gt;4,INDEX($AG$4:$AH$6,MATCH(INDEX($P$3:$S$6,MATCH(MOD('Map 2 Do Touch'!G43,4),$O$3:$O$6,0),MATCH(MOD('Map 2 Do Touch'!G44,4),$P$2:$S$2,0)),$AF$4:$AF$6,0),MATCH(IF('Map 2 Do Touch'!G43&gt;4,"Water","Land"),'Map 3'!$AG$3:$AH$3,0)),INDEX($AK$4:$AL$6,MATCH(INDEX($P$3:$S$6,MATCH(MOD('Map 2 Do Touch'!G43,4),$O$3:$O$6,0),MATCH(MOD('Map 2 Do Touch'!G44,4),$P$2:$S$2,0)),'Map 3'!$AJ$4:$AJ$6,0),MATCH(IF('Map 2 Do Touch'!G43&gt;4,"Water","Land"),'Map 3'!$AK$3:$AL$3,0))))</f>
        <v>Flatland</v>
      </c>
      <c r="H48" s="3" t="str">
        <f ca="1">IF('Map 2 Do Touch'!G43&lt;&gt;'Map 2 Do Touch'!G44,IF('Map 2 Do Touch'!H44&gt;4,INDEX($AG$4:$AH$6,MATCH(INDEX($I$3:$L$6,MATCH(MOD('Map 2 Do Touch'!G44,4),$H$3:$H$6,0),MATCH(MOD('Map 2 Do Touch'!H44,4),$I$2:$L$2,0)),$AF$4:$AF$6,0),MATCH(IF('Map 2 Do Touch'!G44&gt;4,"Water","Land"),'Map 3'!$AG$3:$AH$3,0)),INDEX($AK$4:$AL$6,MATCH(INDEX($I$3:$L$6,MATCH(MOD('Map 2 Do Touch'!G44,4),$H$3:$H$6,0),MATCH(MOD('Map 2 Do Touch'!H44,4),$I$2:$L$2,0)),'Map 3'!$AJ$4:$AJ$6,0),MATCH(IF('Map 2 Do Touch'!G44&gt;4,"Water","Land"),'Map 3'!$AK$3:$AL$3,0))),IF('Map 2 Do Touch'!H44&gt;4,INDEX($AG$4:$AH$6,MATCH(INDEX($P$3:$S$6,MATCH(MOD('Map 2 Do Touch'!H43,4),$O$3:$O$6,0),MATCH(MOD('Map 2 Do Touch'!H44,4),$P$2:$S$2,0)),$AF$4:$AF$6,0),MATCH(IF('Map 2 Do Touch'!H43&gt;4,"Water","Land"),'Map 3'!$AG$3:$AH$3,0)),INDEX($AK$4:$AL$6,MATCH(INDEX($P$3:$S$6,MATCH(MOD('Map 2 Do Touch'!H43,4),$O$3:$O$6,0),MATCH(MOD('Map 2 Do Touch'!H44,4),$P$2:$S$2,0)),'Map 3'!$AJ$4:$AJ$6,0),MATCH(IF('Map 2 Do Touch'!H43&gt;4,"Water","Land"),'Map 3'!$AK$3:$AL$3,0))))</f>
        <v>Coast</v>
      </c>
      <c r="I48" s="3" t="str">
        <f ca="1">IF('Map 2 Do Touch'!H43&lt;&gt;'Map 2 Do Touch'!H44,IF('Map 2 Do Touch'!I44&gt;4,INDEX($AG$4:$AH$6,MATCH(INDEX($I$3:$L$6,MATCH(MOD('Map 2 Do Touch'!H44,4),$H$3:$H$6,0),MATCH(MOD('Map 2 Do Touch'!I44,4),$I$2:$L$2,0)),$AF$4:$AF$6,0),MATCH(IF('Map 2 Do Touch'!H44&gt;4,"Water","Land"),'Map 3'!$AG$3:$AH$3,0)),INDEX($AK$4:$AL$6,MATCH(INDEX($I$3:$L$6,MATCH(MOD('Map 2 Do Touch'!H44,4),$H$3:$H$6,0),MATCH(MOD('Map 2 Do Touch'!I44,4),$I$2:$L$2,0)),'Map 3'!$AJ$4:$AJ$6,0),MATCH(IF('Map 2 Do Touch'!H44&gt;4,"Water","Land"),'Map 3'!$AK$3:$AL$3,0))),IF('Map 2 Do Touch'!I44&gt;4,INDEX($AG$4:$AH$6,MATCH(INDEX($P$3:$S$6,MATCH(MOD('Map 2 Do Touch'!I43,4),$O$3:$O$6,0),MATCH(MOD('Map 2 Do Touch'!I44,4),$P$2:$S$2,0)),$AF$4:$AF$6,0),MATCH(IF('Map 2 Do Touch'!I43&gt;4,"Water","Land"),'Map 3'!$AG$3:$AH$3,0)),INDEX($AK$4:$AL$6,MATCH(INDEX($P$3:$S$6,MATCH(MOD('Map 2 Do Touch'!I43,4),$O$3:$O$6,0),MATCH(MOD('Map 2 Do Touch'!I44,4),$P$2:$S$2,0)),'Map 3'!$AJ$4:$AJ$6,0),MATCH(IF('Map 2 Do Touch'!I43&gt;4,"Water","Land"),'Map 3'!$AK$3:$AL$3,0))))</f>
        <v>Coast</v>
      </c>
      <c r="J48" s="3" t="str">
        <f ca="1">IF('Map 2 Do Touch'!I43&lt;&gt;'Map 2 Do Touch'!I44,IF('Map 2 Do Touch'!J44&gt;4,INDEX($AG$4:$AH$6,MATCH(INDEX($I$3:$L$6,MATCH(MOD('Map 2 Do Touch'!I44,4),$H$3:$H$6,0),MATCH(MOD('Map 2 Do Touch'!J44,4),$I$2:$L$2,0)),$AF$4:$AF$6,0),MATCH(IF('Map 2 Do Touch'!I44&gt;4,"Water","Land"),'Map 3'!$AG$3:$AH$3,0)),INDEX($AK$4:$AL$6,MATCH(INDEX($I$3:$L$6,MATCH(MOD('Map 2 Do Touch'!I44,4),$H$3:$H$6,0),MATCH(MOD('Map 2 Do Touch'!J44,4),$I$2:$L$2,0)),'Map 3'!$AJ$4:$AJ$6,0),MATCH(IF('Map 2 Do Touch'!I44&gt;4,"Water","Land"),'Map 3'!$AK$3:$AL$3,0))),IF('Map 2 Do Touch'!J44&gt;4,INDEX($AG$4:$AH$6,MATCH(INDEX($P$3:$S$6,MATCH(MOD('Map 2 Do Touch'!J43,4),$O$3:$O$6,0),MATCH(MOD('Map 2 Do Touch'!J44,4),$P$2:$S$2,0)),$AF$4:$AF$6,0),MATCH(IF('Map 2 Do Touch'!J43&gt;4,"Water","Land"),'Map 3'!$AG$3:$AH$3,0)),INDEX($AK$4:$AL$6,MATCH(INDEX($P$3:$S$6,MATCH(MOD('Map 2 Do Touch'!J43,4),$O$3:$O$6,0),MATCH(MOD('Map 2 Do Touch'!J44,4),$P$2:$S$2,0)),'Map 3'!$AJ$4:$AJ$6,0),MATCH(IF('Map 2 Do Touch'!J43&gt;4,"Water","Land"),'Map 3'!$AK$3:$AL$3,0))))</f>
        <v>Flatland</v>
      </c>
      <c r="K48" s="3" t="str">
        <f ca="1">IF('Map 2 Do Touch'!J43&lt;&gt;'Map 2 Do Touch'!J44,IF('Map 2 Do Touch'!K44&gt;4,INDEX($AG$4:$AH$6,MATCH(INDEX($I$3:$L$6,MATCH(MOD('Map 2 Do Touch'!J44,4),$H$3:$H$6,0),MATCH(MOD('Map 2 Do Touch'!K44,4),$I$2:$L$2,0)),$AF$4:$AF$6,0),MATCH(IF('Map 2 Do Touch'!J44&gt;4,"Water","Land"),'Map 3'!$AG$3:$AH$3,0)),INDEX($AK$4:$AL$6,MATCH(INDEX($I$3:$L$6,MATCH(MOD('Map 2 Do Touch'!J44,4),$H$3:$H$6,0),MATCH(MOD('Map 2 Do Touch'!K44,4),$I$2:$L$2,0)),'Map 3'!$AJ$4:$AJ$6,0),MATCH(IF('Map 2 Do Touch'!J44&gt;4,"Water","Land"),'Map 3'!$AK$3:$AL$3,0))),IF('Map 2 Do Touch'!K44&gt;4,INDEX($AG$4:$AH$6,MATCH(INDEX($P$3:$S$6,MATCH(MOD('Map 2 Do Touch'!K43,4),$O$3:$O$6,0),MATCH(MOD('Map 2 Do Touch'!K44,4),$P$2:$S$2,0)),$AF$4:$AF$6,0),MATCH(IF('Map 2 Do Touch'!K43&gt;4,"Water","Land"),'Map 3'!$AG$3:$AH$3,0)),INDEX($AK$4:$AL$6,MATCH(INDEX($P$3:$S$6,MATCH(MOD('Map 2 Do Touch'!K43,4),$O$3:$O$6,0),MATCH(MOD('Map 2 Do Touch'!K44,4),$P$2:$S$2,0)),'Map 3'!$AJ$4:$AJ$6,0),MATCH(IF('Map 2 Do Touch'!K43&gt;4,"Water","Land"),'Map 3'!$AK$3:$AL$3,0))))</f>
        <v>Coast</v>
      </c>
      <c r="L48" s="3" t="str">
        <f ca="1">IF('Map 2 Do Touch'!K43&lt;&gt;'Map 2 Do Touch'!K44,IF('Map 2 Do Touch'!L44&gt;4,INDEX($AG$4:$AH$6,MATCH(INDEX($I$3:$L$6,MATCH(MOD('Map 2 Do Touch'!K44,4),$H$3:$H$6,0),MATCH(MOD('Map 2 Do Touch'!L44,4),$I$2:$L$2,0)),$AF$4:$AF$6,0),MATCH(IF('Map 2 Do Touch'!K44&gt;4,"Water","Land"),'Map 3'!$AG$3:$AH$3,0)),INDEX($AK$4:$AL$6,MATCH(INDEX($I$3:$L$6,MATCH(MOD('Map 2 Do Touch'!K44,4),$H$3:$H$6,0),MATCH(MOD('Map 2 Do Touch'!L44,4),$I$2:$L$2,0)),'Map 3'!$AJ$4:$AJ$6,0),MATCH(IF('Map 2 Do Touch'!K44&gt;4,"Water","Land"),'Map 3'!$AK$3:$AL$3,0))),IF('Map 2 Do Touch'!L44&gt;4,INDEX($AG$4:$AH$6,MATCH(INDEX($P$3:$S$6,MATCH(MOD('Map 2 Do Touch'!L43,4),$O$3:$O$6,0),MATCH(MOD('Map 2 Do Touch'!L44,4),$P$2:$S$2,0)),$AF$4:$AF$6,0),MATCH(IF('Map 2 Do Touch'!L43&gt;4,"Water","Land"),'Map 3'!$AG$3:$AH$3,0)),INDEX($AK$4:$AL$6,MATCH(INDEX($P$3:$S$6,MATCH(MOD('Map 2 Do Touch'!L43,4),$O$3:$O$6,0),MATCH(MOD('Map 2 Do Touch'!L44,4),$P$2:$S$2,0)),'Map 3'!$AJ$4:$AJ$6,0),MATCH(IF('Map 2 Do Touch'!L43&gt;4,"Water","Land"),'Map 3'!$AK$3:$AL$3,0))))</f>
        <v>Ocean</v>
      </c>
      <c r="M48" s="3" t="str">
        <f ca="1">IF('Map 2 Do Touch'!L43&lt;&gt;'Map 2 Do Touch'!L44,IF('Map 2 Do Touch'!M44&gt;4,INDEX($AG$4:$AH$6,MATCH(INDEX($I$3:$L$6,MATCH(MOD('Map 2 Do Touch'!L44,4),$H$3:$H$6,0),MATCH(MOD('Map 2 Do Touch'!M44,4),$I$2:$L$2,0)),$AF$4:$AF$6,0),MATCH(IF('Map 2 Do Touch'!L44&gt;4,"Water","Land"),'Map 3'!$AG$3:$AH$3,0)),INDEX($AK$4:$AL$6,MATCH(INDEX($I$3:$L$6,MATCH(MOD('Map 2 Do Touch'!L44,4),$H$3:$H$6,0),MATCH(MOD('Map 2 Do Touch'!M44,4),$I$2:$L$2,0)),'Map 3'!$AJ$4:$AJ$6,0),MATCH(IF('Map 2 Do Touch'!L44&gt;4,"Water","Land"),'Map 3'!$AK$3:$AL$3,0))),IF('Map 2 Do Touch'!M44&gt;4,INDEX($AG$4:$AH$6,MATCH(INDEX($P$3:$S$6,MATCH(MOD('Map 2 Do Touch'!M43,4),$O$3:$O$6,0),MATCH(MOD('Map 2 Do Touch'!M44,4),$P$2:$S$2,0)),$AF$4:$AF$6,0),MATCH(IF('Map 2 Do Touch'!M43&gt;4,"Water","Land"),'Map 3'!$AG$3:$AH$3,0)),INDEX($AK$4:$AL$6,MATCH(INDEX($P$3:$S$6,MATCH(MOD('Map 2 Do Touch'!M43,4),$O$3:$O$6,0),MATCH(MOD('Map 2 Do Touch'!M44,4),$P$2:$S$2,0)),'Map 3'!$AJ$4:$AJ$6,0),MATCH(IF('Map 2 Do Touch'!M43&gt;4,"Water","Land"),'Map 3'!$AK$3:$AL$3,0))))</f>
        <v>Flatland</v>
      </c>
      <c r="N48" s="3" t="str">
        <f ca="1">IF('Map 2 Do Touch'!M43&lt;&gt;'Map 2 Do Touch'!M44,IF('Map 2 Do Touch'!N44&gt;4,INDEX($AG$4:$AH$6,MATCH(INDEX($I$3:$L$6,MATCH(MOD('Map 2 Do Touch'!M44,4),$H$3:$H$6,0),MATCH(MOD('Map 2 Do Touch'!N44,4),$I$2:$L$2,0)),$AF$4:$AF$6,0),MATCH(IF('Map 2 Do Touch'!M44&gt;4,"Water","Land"),'Map 3'!$AG$3:$AH$3,0)),INDEX($AK$4:$AL$6,MATCH(INDEX($I$3:$L$6,MATCH(MOD('Map 2 Do Touch'!M44,4),$H$3:$H$6,0),MATCH(MOD('Map 2 Do Touch'!N44,4),$I$2:$L$2,0)),'Map 3'!$AJ$4:$AJ$6,0),MATCH(IF('Map 2 Do Touch'!M44&gt;4,"Water","Land"),'Map 3'!$AK$3:$AL$3,0))),IF('Map 2 Do Touch'!N44&gt;4,INDEX($AG$4:$AH$6,MATCH(INDEX($P$3:$S$6,MATCH(MOD('Map 2 Do Touch'!N43,4),$O$3:$O$6,0),MATCH(MOD('Map 2 Do Touch'!N44,4),$P$2:$S$2,0)),$AF$4:$AF$6,0),MATCH(IF('Map 2 Do Touch'!N43&gt;4,"Water","Land"),'Map 3'!$AG$3:$AH$3,0)),INDEX($AK$4:$AL$6,MATCH(INDEX($P$3:$S$6,MATCH(MOD('Map 2 Do Touch'!N43,4),$O$3:$O$6,0),MATCH(MOD('Map 2 Do Touch'!N44,4),$P$2:$S$2,0)),'Map 3'!$AJ$4:$AJ$6,0),MATCH(IF('Map 2 Do Touch'!N43&gt;4,"Water","Land"),'Map 3'!$AK$3:$AL$3,0))))</f>
        <v>Coast</v>
      </c>
      <c r="O48" s="3" t="str">
        <f ca="1">IF('Map 2 Do Touch'!N43&lt;&gt;'Map 2 Do Touch'!N44,IF('Map 2 Do Touch'!O44&gt;4,INDEX($AG$4:$AH$6,MATCH(INDEX($I$3:$L$6,MATCH(MOD('Map 2 Do Touch'!N44,4),$H$3:$H$6,0),MATCH(MOD('Map 2 Do Touch'!O44,4),$I$2:$L$2,0)),$AF$4:$AF$6,0),MATCH(IF('Map 2 Do Touch'!N44&gt;4,"Water","Land"),'Map 3'!$AG$3:$AH$3,0)),INDEX($AK$4:$AL$6,MATCH(INDEX($I$3:$L$6,MATCH(MOD('Map 2 Do Touch'!N44,4),$H$3:$H$6,0),MATCH(MOD('Map 2 Do Touch'!O44,4),$I$2:$L$2,0)),'Map 3'!$AJ$4:$AJ$6,0),MATCH(IF('Map 2 Do Touch'!N44&gt;4,"Water","Land"),'Map 3'!$AK$3:$AL$3,0))),IF('Map 2 Do Touch'!O44&gt;4,INDEX($AG$4:$AH$6,MATCH(INDEX($P$3:$S$6,MATCH(MOD('Map 2 Do Touch'!O43,4),$O$3:$O$6,0),MATCH(MOD('Map 2 Do Touch'!O44,4),$P$2:$S$2,0)),$AF$4:$AF$6,0),MATCH(IF('Map 2 Do Touch'!O43&gt;4,"Water","Land"),'Map 3'!$AG$3:$AH$3,0)),INDEX($AK$4:$AL$6,MATCH(INDEX($P$3:$S$6,MATCH(MOD('Map 2 Do Touch'!O43,4),$O$3:$O$6,0),MATCH(MOD('Map 2 Do Touch'!O44,4),$P$2:$S$2,0)),'Map 3'!$AJ$4:$AJ$6,0),MATCH(IF('Map 2 Do Touch'!O43&gt;4,"Water","Land"),'Map 3'!$AK$3:$AL$3,0))))</f>
        <v>Coast</v>
      </c>
      <c r="P48" s="3" t="str">
        <f ca="1">IF('Map 2 Do Touch'!O43&lt;&gt;'Map 2 Do Touch'!O44,IF('Map 2 Do Touch'!P44&gt;4,INDEX($AG$4:$AH$6,MATCH(INDEX($I$3:$L$6,MATCH(MOD('Map 2 Do Touch'!O44,4),$H$3:$H$6,0),MATCH(MOD('Map 2 Do Touch'!P44,4),$I$2:$L$2,0)),$AF$4:$AF$6,0),MATCH(IF('Map 2 Do Touch'!O44&gt;4,"Water","Land"),'Map 3'!$AG$3:$AH$3,0)),INDEX($AK$4:$AL$6,MATCH(INDEX($I$3:$L$6,MATCH(MOD('Map 2 Do Touch'!O44,4),$H$3:$H$6,0),MATCH(MOD('Map 2 Do Touch'!P44,4),$I$2:$L$2,0)),'Map 3'!$AJ$4:$AJ$6,0),MATCH(IF('Map 2 Do Touch'!O44&gt;4,"Water","Land"),'Map 3'!$AK$3:$AL$3,0))),IF('Map 2 Do Touch'!P44&gt;4,INDEX($AG$4:$AH$6,MATCH(INDEX($P$3:$S$6,MATCH(MOD('Map 2 Do Touch'!P43,4),$O$3:$O$6,0),MATCH(MOD('Map 2 Do Touch'!P44,4),$P$2:$S$2,0)),$AF$4:$AF$6,0),MATCH(IF('Map 2 Do Touch'!P43&gt;4,"Water","Land"),'Map 3'!$AG$3:$AH$3,0)),INDEX($AK$4:$AL$6,MATCH(INDEX($P$3:$S$6,MATCH(MOD('Map 2 Do Touch'!P43,4),$O$3:$O$6,0),MATCH(MOD('Map 2 Do Touch'!P44,4),$P$2:$S$2,0)),'Map 3'!$AJ$4:$AJ$6,0),MATCH(IF('Map 2 Do Touch'!P43&gt;4,"Water","Land"),'Map 3'!$AK$3:$AL$3,0))))</f>
        <v>Mountain</v>
      </c>
      <c r="Q48" s="3" t="str">
        <f ca="1">IF('Map 2 Do Touch'!P43&lt;&gt;'Map 2 Do Touch'!P44,IF('Map 2 Do Touch'!Q44&gt;4,INDEX($AG$4:$AH$6,MATCH(INDEX($I$3:$L$6,MATCH(MOD('Map 2 Do Touch'!P44,4),$H$3:$H$6,0),MATCH(MOD('Map 2 Do Touch'!Q44,4),$I$2:$L$2,0)),$AF$4:$AF$6,0),MATCH(IF('Map 2 Do Touch'!P44&gt;4,"Water","Land"),'Map 3'!$AG$3:$AH$3,0)),INDEX($AK$4:$AL$6,MATCH(INDEX($I$3:$L$6,MATCH(MOD('Map 2 Do Touch'!P44,4),$H$3:$H$6,0),MATCH(MOD('Map 2 Do Touch'!Q44,4),$I$2:$L$2,0)),'Map 3'!$AJ$4:$AJ$6,0),MATCH(IF('Map 2 Do Touch'!P44&gt;4,"Water","Land"),'Map 3'!$AK$3:$AL$3,0))),IF('Map 2 Do Touch'!Q44&gt;4,INDEX($AG$4:$AH$6,MATCH(INDEX($P$3:$S$6,MATCH(MOD('Map 2 Do Touch'!Q43,4),$O$3:$O$6,0),MATCH(MOD('Map 2 Do Touch'!Q44,4),$P$2:$S$2,0)),$AF$4:$AF$6,0),MATCH(IF('Map 2 Do Touch'!Q43&gt;4,"Water","Land"),'Map 3'!$AG$3:$AH$3,0)),INDEX($AK$4:$AL$6,MATCH(INDEX($P$3:$S$6,MATCH(MOD('Map 2 Do Touch'!Q43,4),$O$3:$O$6,0),MATCH(MOD('Map 2 Do Touch'!Q44,4),$P$2:$S$2,0)),'Map 3'!$AJ$4:$AJ$6,0),MATCH(IF('Map 2 Do Touch'!Q43&gt;4,"Water","Land"),'Map 3'!$AK$3:$AL$3,0))))</f>
        <v>Flatland</v>
      </c>
      <c r="R48" s="3" t="str">
        <f ca="1">IF('Map 2 Do Touch'!Q43&lt;&gt;'Map 2 Do Touch'!Q44,IF('Map 2 Do Touch'!R44&gt;4,INDEX($AG$4:$AH$6,MATCH(INDEX($I$3:$L$6,MATCH(MOD('Map 2 Do Touch'!Q44,4),$H$3:$H$6,0),MATCH(MOD('Map 2 Do Touch'!R44,4),$I$2:$L$2,0)),$AF$4:$AF$6,0),MATCH(IF('Map 2 Do Touch'!Q44&gt;4,"Water","Land"),'Map 3'!$AG$3:$AH$3,0)),INDEX($AK$4:$AL$6,MATCH(INDEX($I$3:$L$6,MATCH(MOD('Map 2 Do Touch'!Q44,4),$H$3:$H$6,0),MATCH(MOD('Map 2 Do Touch'!R44,4),$I$2:$L$2,0)),'Map 3'!$AJ$4:$AJ$6,0),MATCH(IF('Map 2 Do Touch'!Q44&gt;4,"Water","Land"),'Map 3'!$AK$3:$AL$3,0))),IF('Map 2 Do Touch'!R44&gt;4,INDEX($AG$4:$AH$6,MATCH(INDEX($P$3:$S$6,MATCH(MOD('Map 2 Do Touch'!R43,4),$O$3:$O$6,0),MATCH(MOD('Map 2 Do Touch'!R44,4),$P$2:$S$2,0)),$AF$4:$AF$6,0),MATCH(IF('Map 2 Do Touch'!R43&gt;4,"Water","Land"),'Map 3'!$AG$3:$AH$3,0)),INDEX($AK$4:$AL$6,MATCH(INDEX($P$3:$S$6,MATCH(MOD('Map 2 Do Touch'!R43,4),$O$3:$O$6,0),MATCH(MOD('Map 2 Do Touch'!R44,4),$P$2:$S$2,0)),'Map 3'!$AJ$4:$AJ$6,0),MATCH(IF('Map 2 Do Touch'!R43&gt;4,"Water","Land"),'Map 3'!$AK$3:$AL$3,0))))</f>
        <v>Flatland</v>
      </c>
      <c r="S48" s="3" t="str">
        <f ca="1">IF('Map 2 Do Touch'!R43&lt;&gt;'Map 2 Do Touch'!R44,IF('Map 2 Do Touch'!S44&gt;4,INDEX($AG$4:$AH$6,MATCH(INDEX($I$3:$L$6,MATCH(MOD('Map 2 Do Touch'!R44,4),$H$3:$H$6,0),MATCH(MOD('Map 2 Do Touch'!S44,4),$I$2:$L$2,0)),$AF$4:$AF$6,0),MATCH(IF('Map 2 Do Touch'!R44&gt;4,"Water","Land"),'Map 3'!$AG$3:$AH$3,0)),INDEX($AK$4:$AL$6,MATCH(INDEX($I$3:$L$6,MATCH(MOD('Map 2 Do Touch'!R44,4),$H$3:$H$6,0),MATCH(MOD('Map 2 Do Touch'!S44,4),$I$2:$L$2,0)),'Map 3'!$AJ$4:$AJ$6,0),MATCH(IF('Map 2 Do Touch'!R44&gt;4,"Water","Land"),'Map 3'!$AK$3:$AL$3,0))),IF('Map 2 Do Touch'!S44&gt;4,INDEX($AG$4:$AH$6,MATCH(INDEX($P$3:$S$6,MATCH(MOD('Map 2 Do Touch'!S43,4),$O$3:$O$6,0),MATCH(MOD('Map 2 Do Touch'!S44,4),$P$2:$S$2,0)),$AF$4:$AF$6,0),MATCH(IF('Map 2 Do Touch'!S43&gt;4,"Water","Land"),'Map 3'!$AG$3:$AH$3,0)),INDEX($AK$4:$AL$6,MATCH(INDEX($P$3:$S$6,MATCH(MOD('Map 2 Do Touch'!S43,4),$O$3:$O$6,0),MATCH(MOD('Map 2 Do Touch'!S44,4),$P$2:$S$2,0)),'Map 3'!$AJ$4:$AJ$6,0),MATCH(IF('Map 2 Do Touch'!S43&gt;4,"Water","Land"),'Map 3'!$AK$3:$AL$3,0))))</f>
        <v>Ocean</v>
      </c>
      <c r="T48" s="3" t="str">
        <f ca="1">IF('Map 2 Do Touch'!S43&lt;&gt;'Map 2 Do Touch'!S44,IF('Map 2 Do Touch'!T44&gt;4,INDEX($AG$4:$AH$6,MATCH(INDEX($I$3:$L$6,MATCH(MOD('Map 2 Do Touch'!S44,4),$H$3:$H$6,0),MATCH(MOD('Map 2 Do Touch'!T44,4),$I$2:$L$2,0)),$AF$4:$AF$6,0),MATCH(IF('Map 2 Do Touch'!S44&gt;4,"Water","Land"),'Map 3'!$AG$3:$AH$3,0)),INDEX($AK$4:$AL$6,MATCH(INDEX($I$3:$L$6,MATCH(MOD('Map 2 Do Touch'!S44,4),$H$3:$H$6,0),MATCH(MOD('Map 2 Do Touch'!T44,4),$I$2:$L$2,0)),'Map 3'!$AJ$4:$AJ$6,0),MATCH(IF('Map 2 Do Touch'!S44&gt;4,"Water","Land"),'Map 3'!$AK$3:$AL$3,0))),IF('Map 2 Do Touch'!T44&gt;4,INDEX($AG$4:$AH$6,MATCH(INDEX($P$3:$S$6,MATCH(MOD('Map 2 Do Touch'!T43,4),$O$3:$O$6,0),MATCH(MOD('Map 2 Do Touch'!T44,4),$P$2:$S$2,0)),$AF$4:$AF$6,0),MATCH(IF('Map 2 Do Touch'!T43&gt;4,"Water","Land"),'Map 3'!$AG$3:$AH$3,0)),INDEX($AK$4:$AL$6,MATCH(INDEX($P$3:$S$6,MATCH(MOD('Map 2 Do Touch'!T43,4),$O$3:$O$6,0),MATCH(MOD('Map 2 Do Touch'!T44,4),$P$2:$S$2,0)),'Map 3'!$AJ$4:$AJ$6,0),MATCH(IF('Map 2 Do Touch'!T43&gt;4,"Water","Land"),'Map 3'!$AK$3:$AL$3,0))))</f>
        <v>Coast</v>
      </c>
      <c r="U48" s="3" t="str">
        <f ca="1">IF('Map 2 Do Touch'!T43&lt;&gt;'Map 2 Do Touch'!T44,IF('Map 2 Do Touch'!U44&gt;4,INDEX($AG$4:$AH$6,MATCH(INDEX($I$3:$L$6,MATCH(MOD('Map 2 Do Touch'!T44,4),$H$3:$H$6,0),MATCH(MOD('Map 2 Do Touch'!U44,4),$I$2:$L$2,0)),$AF$4:$AF$6,0),MATCH(IF('Map 2 Do Touch'!T44&gt;4,"Water","Land"),'Map 3'!$AG$3:$AH$3,0)),INDEX($AK$4:$AL$6,MATCH(INDEX($I$3:$L$6,MATCH(MOD('Map 2 Do Touch'!T44,4),$H$3:$H$6,0),MATCH(MOD('Map 2 Do Touch'!U44,4),$I$2:$L$2,0)),'Map 3'!$AJ$4:$AJ$6,0),MATCH(IF('Map 2 Do Touch'!T44&gt;4,"Water","Land"),'Map 3'!$AK$3:$AL$3,0))),IF('Map 2 Do Touch'!U44&gt;4,INDEX($AG$4:$AH$6,MATCH(INDEX($P$3:$S$6,MATCH(MOD('Map 2 Do Touch'!U43,4),$O$3:$O$6,0),MATCH(MOD('Map 2 Do Touch'!U44,4),$P$2:$S$2,0)),$AF$4:$AF$6,0),MATCH(IF('Map 2 Do Touch'!U43&gt;4,"Water","Land"),'Map 3'!$AG$3:$AH$3,0)),INDEX($AK$4:$AL$6,MATCH(INDEX($P$3:$S$6,MATCH(MOD('Map 2 Do Touch'!U43,4),$O$3:$O$6,0),MATCH(MOD('Map 2 Do Touch'!U44,4),$P$2:$S$2,0)),'Map 3'!$AJ$4:$AJ$6,0),MATCH(IF('Map 2 Do Touch'!U43&gt;4,"Water","Land"),'Map 3'!$AK$3:$AL$3,0))))</f>
        <v>Coast</v>
      </c>
      <c r="V48" s="3" t="str">
        <f ca="1">IF('Map 2 Do Touch'!U43&lt;&gt;'Map 2 Do Touch'!U44,IF('Map 2 Do Touch'!V44&gt;4,INDEX($AG$4:$AH$6,MATCH(INDEX($I$3:$L$6,MATCH(MOD('Map 2 Do Touch'!U44,4),$H$3:$H$6,0),MATCH(MOD('Map 2 Do Touch'!V44,4),$I$2:$L$2,0)),$AF$4:$AF$6,0),MATCH(IF('Map 2 Do Touch'!U44&gt;4,"Water","Land"),'Map 3'!$AG$3:$AH$3,0)),INDEX($AK$4:$AL$6,MATCH(INDEX($I$3:$L$6,MATCH(MOD('Map 2 Do Touch'!U44,4),$H$3:$H$6,0),MATCH(MOD('Map 2 Do Touch'!V44,4),$I$2:$L$2,0)),'Map 3'!$AJ$4:$AJ$6,0),MATCH(IF('Map 2 Do Touch'!U44&gt;4,"Water","Land"),'Map 3'!$AK$3:$AL$3,0))),IF('Map 2 Do Touch'!V44&gt;4,INDEX($AG$4:$AH$6,MATCH(INDEX($P$3:$S$6,MATCH(MOD('Map 2 Do Touch'!V43,4),$O$3:$O$6,0),MATCH(MOD('Map 2 Do Touch'!V44,4),$P$2:$S$2,0)),$AF$4:$AF$6,0),MATCH(IF('Map 2 Do Touch'!V43&gt;4,"Water","Land"),'Map 3'!$AG$3:$AH$3,0)),INDEX($AK$4:$AL$6,MATCH(INDEX($P$3:$S$6,MATCH(MOD('Map 2 Do Touch'!V43,4),$O$3:$O$6,0),MATCH(MOD('Map 2 Do Touch'!V44,4),$P$2:$S$2,0)),'Map 3'!$AJ$4:$AJ$6,0),MATCH(IF('Map 2 Do Touch'!V43&gt;4,"Water","Land"),'Map 3'!$AK$3:$AL$3,0))))</f>
        <v>Island</v>
      </c>
      <c r="W48" s="3" t="str">
        <f ca="1">IF('Map 2 Do Touch'!V43&lt;&gt;'Map 2 Do Touch'!V44,IF('Map 2 Do Touch'!W44&gt;4,INDEX($AG$4:$AH$6,MATCH(INDEX($I$3:$L$6,MATCH(MOD('Map 2 Do Touch'!V44,4),$H$3:$H$6,0),MATCH(MOD('Map 2 Do Touch'!W44,4),$I$2:$L$2,0)),$AF$4:$AF$6,0),MATCH(IF('Map 2 Do Touch'!V44&gt;4,"Water","Land"),'Map 3'!$AG$3:$AH$3,0)),INDEX($AK$4:$AL$6,MATCH(INDEX($I$3:$L$6,MATCH(MOD('Map 2 Do Touch'!V44,4),$H$3:$H$6,0),MATCH(MOD('Map 2 Do Touch'!W44,4),$I$2:$L$2,0)),'Map 3'!$AJ$4:$AJ$6,0),MATCH(IF('Map 2 Do Touch'!V44&gt;4,"Water","Land"),'Map 3'!$AK$3:$AL$3,0))),IF('Map 2 Do Touch'!W44&gt;4,INDEX($AG$4:$AH$6,MATCH(INDEX($P$3:$S$6,MATCH(MOD('Map 2 Do Touch'!W43,4),$O$3:$O$6,0),MATCH(MOD('Map 2 Do Touch'!W44,4),$P$2:$S$2,0)),$AF$4:$AF$6,0),MATCH(IF('Map 2 Do Touch'!W43&gt;4,"Water","Land"),'Map 3'!$AG$3:$AH$3,0)),INDEX($AK$4:$AL$6,MATCH(INDEX($P$3:$S$6,MATCH(MOD('Map 2 Do Touch'!W43,4),$O$3:$O$6,0),MATCH(MOD('Map 2 Do Touch'!W44,4),$P$2:$S$2,0)),'Map 3'!$AJ$4:$AJ$6,0),MATCH(IF('Map 2 Do Touch'!W43&gt;4,"Water","Land"),'Map 3'!$AK$3:$AL$3,0))))</f>
        <v>Trench</v>
      </c>
      <c r="X48" s="3" t="str">
        <f ca="1">IF('Map 2 Do Touch'!W43&lt;&gt;'Map 2 Do Touch'!W44,IF('Map 2 Do Touch'!X44&gt;4,INDEX($AG$4:$AH$6,MATCH(INDEX($I$3:$L$6,MATCH(MOD('Map 2 Do Touch'!W44,4),$H$3:$H$6,0),MATCH(MOD('Map 2 Do Touch'!X44,4),$I$2:$L$2,0)),$AF$4:$AF$6,0),MATCH(IF('Map 2 Do Touch'!W44&gt;4,"Water","Land"),'Map 3'!$AG$3:$AH$3,0)),INDEX($AK$4:$AL$6,MATCH(INDEX($I$3:$L$6,MATCH(MOD('Map 2 Do Touch'!W44,4),$H$3:$H$6,0),MATCH(MOD('Map 2 Do Touch'!X44,4),$I$2:$L$2,0)),'Map 3'!$AJ$4:$AJ$6,0),MATCH(IF('Map 2 Do Touch'!W44&gt;4,"Water","Land"),'Map 3'!$AK$3:$AL$3,0))),IF('Map 2 Do Touch'!X44&gt;4,INDEX($AG$4:$AH$6,MATCH(INDEX($P$3:$S$6,MATCH(MOD('Map 2 Do Touch'!X43,4),$O$3:$O$6,0),MATCH(MOD('Map 2 Do Touch'!X44,4),$P$2:$S$2,0)),$AF$4:$AF$6,0),MATCH(IF('Map 2 Do Touch'!X43&gt;4,"Water","Land"),'Map 3'!$AG$3:$AH$3,0)),INDEX($AK$4:$AL$6,MATCH(INDEX($P$3:$S$6,MATCH(MOD('Map 2 Do Touch'!X43,4),$O$3:$O$6,0),MATCH(MOD('Map 2 Do Touch'!X44,4),$P$2:$S$2,0)),'Map 3'!$AJ$4:$AJ$6,0),MATCH(IF('Map 2 Do Touch'!X43&gt;4,"Water","Land"),'Map 3'!$AK$3:$AL$3,0))))</f>
        <v>Ocean</v>
      </c>
      <c r="Y48" s="3" t="str">
        <f ca="1">IF('Map 2 Do Touch'!X43&lt;&gt;'Map 2 Do Touch'!X44,IF('Map 2 Do Touch'!Y44&gt;4,INDEX($AG$4:$AH$6,MATCH(INDEX($I$3:$L$6,MATCH(MOD('Map 2 Do Touch'!X44,4),$H$3:$H$6,0),MATCH(MOD('Map 2 Do Touch'!Y44,4),$I$2:$L$2,0)),$AF$4:$AF$6,0),MATCH(IF('Map 2 Do Touch'!X44&gt;4,"Water","Land"),'Map 3'!$AG$3:$AH$3,0)),INDEX($AK$4:$AL$6,MATCH(INDEX($I$3:$L$6,MATCH(MOD('Map 2 Do Touch'!X44,4),$H$3:$H$6,0),MATCH(MOD('Map 2 Do Touch'!Y44,4),$I$2:$L$2,0)),'Map 3'!$AJ$4:$AJ$6,0),MATCH(IF('Map 2 Do Touch'!X44&gt;4,"Water","Land"),'Map 3'!$AK$3:$AL$3,0))),IF('Map 2 Do Touch'!Y44&gt;4,INDEX($AG$4:$AH$6,MATCH(INDEX($P$3:$S$6,MATCH(MOD('Map 2 Do Touch'!Y43,4),$O$3:$O$6,0),MATCH(MOD('Map 2 Do Touch'!Y44,4),$P$2:$S$2,0)),$AF$4:$AF$6,0),MATCH(IF('Map 2 Do Touch'!Y43&gt;4,"Water","Land"),'Map 3'!$AG$3:$AH$3,0)),INDEX($AK$4:$AL$6,MATCH(INDEX($P$3:$S$6,MATCH(MOD('Map 2 Do Touch'!Y43,4),$O$3:$O$6,0),MATCH(MOD('Map 2 Do Touch'!Y44,4),$P$2:$S$2,0)),'Map 3'!$AJ$4:$AJ$6,0),MATCH(IF('Map 2 Do Touch'!Y43&gt;4,"Water","Land"),'Map 3'!$AK$3:$AL$3,0))))</f>
        <v>Ocean</v>
      </c>
      <c r="Z48" s="3" t="str">
        <f ca="1">IF('Map 2 Do Touch'!Y43&lt;&gt;'Map 2 Do Touch'!Y44,IF('Map 2 Do Touch'!Z44&gt;4,INDEX($AG$4:$AH$6,MATCH(INDEX($I$3:$L$6,MATCH(MOD('Map 2 Do Touch'!Y44,4),$H$3:$H$6,0),MATCH(MOD('Map 2 Do Touch'!Z44,4),$I$2:$L$2,0)),$AF$4:$AF$6,0),MATCH(IF('Map 2 Do Touch'!Y44&gt;4,"Water","Land"),'Map 3'!$AG$3:$AH$3,0)),INDEX($AK$4:$AL$6,MATCH(INDEX($I$3:$L$6,MATCH(MOD('Map 2 Do Touch'!Y44,4),$H$3:$H$6,0),MATCH(MOD('Map 2 Do Touch'!Z44,4),$I$2:$L$2,0)),'Map 3'!$AJ$4:$AJ$6,0),MATCH(IF('Map 2 Do Touch'!Y44&gt;4,"Water","Land"),'Map 3'!$AK$3:$AL$3,0))),IF('Map 2 Do Touch'!Z44&gt;4,INDEX($AG$4:$AH$6,MATCH(INDEX($P$3:$S$6,MATCH(MOD('Map 2 Do Touch'!Z43,4),$O$3:$O$6,0),MATCH(MOD('Map 2 Do Touch'!Z44,4),$P$2:$S$2,0)),$AF$4:$AF$6,0),MATCH(IF('Map 2 Do Touch'!Z43&gt;4,"Water","Land"),'Map 3'!$AG$3:$AH$3,0)),INDEX($AK$4:$AL$6,MATCH(INDEX($P$3:$S$6,MATCH(MOD('Map 2 Do Touch'!Z43,4),$O$3:$O$6,0),MATCH(MOD('Map 2 Do Touch'!Z44,4),$P$2:$S$2,0)),'Map 3'!$AJ$4:$AJ$6,0),MATCH(IF('Map 2 Do Touch'!Z43&gt;4,"Water","Land"),'Map 3'!$AK$3:$AL$3,0))))</f>
        <v>Trench</v>
      </c>
      <c r="AA48" s="3" t="str">
        <f ca="1">IF('Map 2 Do Touch'!Z43&lt;&gt;'Map 2 Do Touch'!Z44,IF('Map 2 Do Touch'!AA44&gt;4,INDEX($AG$4:$AH$6,MATCH(INDEX($I$3:$L$6,MATCH(MOD('Map 2 Do Touch'!Z44,4),$H$3:$H$6,0),MATCH(MOD('Map 2 Do Touch'!AA44,4),$I$2:$L$2,0)),$AF$4:$AF$6,0),MATCH(IF('Map 2 Do Touch'!Z44&gt;4,"Water","Land"),'Map 3'!$AG$3:$AH$3,0)),INDEX($AK$4:$AL$6,MATCH(INDEX($I$3:$L$6,MATCH(MOD('Map 2 Do Touch'!Z44,4),$H$3:$H$6,0),MATCH(MOD('Map 2 Do Touch'!AA44,4),$I$2:$L$2,0)),'Map 3'!$AJ$4:$AJ$6,0),MATCH(IF('Map 2 Do Touch'!Z44&gt;4,"Water","Land"),'Map 3'!$AK$3:$AL$3,0))),IF('Map 2 Do Touch'!AA44&gt;4,INDEX($AG$4:$AH$6,MATCH(INDEX($P$3:$S$6,MATCH(MOD('Map 2 Do Touch'!AA43,4),$O$3:$O$6,0),MATCH(MOD('Map 2 Do Touch'!AA44,4),$P$2:$S$2,0)),$AF$4:$AF$6,0),MATCH(IF('Map 2 Do Touch'!AA43&gt;4,"Water","Land"),'Map 3'!$AG$3:$AH$3,0)),INDEX($AK$4:$AL$6,MATCH(INDEX($P$3:$S$6,MATCH(MOD('Map 2 Do Touch'!AA43,4),$O$3:$O$6,0),MATCH(MOD('Map 2 Do Touch'!AA44,4),$P$2:$S$2,0)),'Map 3'!$AJ$4:$AJ$6,0),MATCH(IF('Map 2 Do Touch'!AA43&gt;4,"Water","Land"),'Map 3'!$AK$3:$AL$3,0))))</f>
        <v>Ocean</v>
      </c>
      <c r="AB48" s="3" t="str">
        <f ca="1">IF('Map 2 Do Touch'!AA43&lt;&gt;'Map 2 Do Touch'!AA44,IF('Map 2 Do Touch'!AB44&gt;4,INDEX($AG$4:$AH$6,MATCH(INDEX($I$3:$L$6,MATCH(MOD('Map 2 Do Touch'!AA44,4),$H$3:$H$6,0),MATCH(MOD('Map 2 Do Touch'!AB44,4),$I$2:$L$2,0)),$AF$4:$AF$6,0),MATCH(IF('Map 2 Do Touch'!AA44&gt;4,"Water","Land"),'Map 3'!$AG$3:$AH$3,0)),INDEX($AK$4:$AL$6,MATCH(INDEX($I$3:$L$6,MATCH(MOD('Map 2 Do Touch'!AA44,4),$H$3:$H$6,0),MATCH(MOD('Map 2 Do Touch'!AB44,4),$I$2:$L$2,0)),'Map 3'!$AJ$4:$AJ$6,0),MATCH(IF('Map 2 Do Touch'!AA44&gt;4,"Water","Land"),'Map 3'!$AK$3:$AL$3,0))),IF('Map 2 Do Touch'!AB44&gt;4,INDEX($AG$4:$AH$6,MATCH(INDEX($P$3:$S$6,MATCH(MOD('Map 2 Do Touch'!AB43,4),$O$3:$O$6,0),MATCH(MOD('Map 2 Do Touch'!AB44,4),$P$2:$S$2,0)),$AF$4:$AF$6,0),MATCH(IF('Map 2 Do Touch'!AB43&gt;4,"Water","Land"),'Map 3'!$AG$3:$AH$3,0)),INDEX($AK$4:$AL$6,MATCH(INDEX($P$3:$S$6,MATCH(MOD('Map 2 Do Touch'!AB43,4),$O$3:$O$6,0),MATCH(MOD('Map 2 Do Touch'!AB44,4),$P$2:$S$2,0)),'Map 3'!$AJ$4:$AJ$6,0),MATCH(IF('Map 2 Do Touch'!AB43&gt;4,"Water","Land"),'Map 3'!$AK$3:$AL$3,0))))</f>
        <v>Island</v>
      </c>
      <c r="AC48" s="3" t="str">
        <f ca="1">IF('Map 2 Do Touch'!AB43&lt;&gt;'Map 2 Do Touch'!AB44,IF('Map 2 Do Touch'!AC44&gt;4,INDEX($AG$4:$AH$6,MATCH(INDEX($I$3:$L$6,MATCH(MOD('Map 2 Do Touch'!AB44,4),$H$3:$H$6,0),MATCH(MOD('Map 2 Do Touch'!AC44,4),$I$2:$L$2,0)),$AF$4:$AF$6,0),MATCH(IF('Map 2 Do Touch'!AB44&gt;4,"Water","Land"),'Map 3'!$AG$3:$AH$3,0)),INDEX($AK$4:$AL$6,MATCH(INDEX($I$3:$L$6,MATCH(MOD('Map 2 Do Touch'!AB44,4),$H$3:$H$6,0),MATCH(MOD('Map 2 Do Touch'!AC44,4),$I$2:$L$2,0)),'Map 3'!$AJ$4:$AJ$6,0),MATCH(IF('Map 2 Do Touch'!AB44&gt;4,"Water","Land"),'Map 3'!$AK$3:$AL$3,0))),IF('Map 2 Do Touch'!AC44&gt;4,INDEX($AG$4:$AH$6,MATCH(INDEX($P$3:$S$6,MATCH(MOD('Map 2 Do Touch'!AC43,4),$O$3:$O$6,0),MATCH(MOD('Map 2 Do Touch'!AC44,4),$P$2:$S$2,0)),$AF$4:$AF$6,0),MATCH(IF('Map 2 Do Touch'!AC43&gt;4,"Water","Land"),'Map 3'!$AG$3:$AH$3,0)),INDEX($AK$4:$AL$6,MATCH(INDEX($P$3:$S$6,MATCH(MOD('Map 2 Do Touch'!AC43,4),$O$3:$O$6,0),MATCH(MOD('Map 2 Do Touch'!AC44,4),$P$2:$S$2,0)),'Map 3'!$AJ$4:$AJ$6,0),MATCH(IF('Map 2 Do Touch'!AC43&gt;4,"Water","Land"),'Map 3'!$AK$3:$AL$3,0))))</f>
        <v>Ocean</v>
      </c>
      <c r="AD48" s="3" t="str">
        <f ca="1">IF('Map 2 Do Touch'!AC43&lt;&gt;'Map 2 Do Touch'!AC44,IF('Map 2 Do Touch'!AD44&gt;4,INDEX($AG$4:$AH$6,MATCH(INDEX($I$3:$L$6,MATCH(MOD('Map 2 Do Touch'!AC44,4),$H$3:$H$6,0),MATCH(MOD('Map 2 Do Touch'!AD44,4),$I$2:$L$2,0)),$AF$4:$AF$6,0),MATCH(IF('Map 2 Do Touch'!AC44&gt;4,"Water","Land"),'Map 3'!$AG$3:$AH$3,0)),INDEX($AK$4:$AL$6,MATCH(INDEX($I$3:$L$6,MATCH(MOD('Map 2 Do Touch'!AC44,4),$H$3:$H$6,0),MATCH(MOD('Map 2 Do Touch'!AD44,4),$I$2:$L$2,0)),'Map 3'!$AJ$4:$AJ$6,0),MATCH(IF('Map 2 Do Touch'!AC44&gt;4,"Water","Land"),'Map 3'!$AK$3:$AL$3,0))),IF('Map 2 Do Touch'!AD44&gt;4,INDEX($AG$4:$AH$6,MATCH(INDEX($P$3:$S$6,MATCH(MOD('Map 2 Do Touch'!AD43,4),$O$3:$O$6,0),MATCH(MOD('Map 2 Do Touch'!AD44,4),$P$2:$S$2,0)),$AF$4:$AF$6,0),MATCH(IF('Map 2 Do Touch'!AD43&gt;4,"Water","Land"),'Map 3'!$AG$3:$AH$3,0)),INDEX($AK$4:$AL$6,MATCH(INDEX($P$3:$S$6,MATCH(MOD('Map 2 Do Touch'!AD43,4),$O$3:$O$6,0),MATCH(MOD('Map 2 Do Touch'!AD44,4),$P$2:$S$2,0)),'Map 3'!$AJ$4:$AJ$6,0),MATCH(IF('Map 2 Do Touch'!AD43&gt;4,"Water","Land"),'Map 3'!$AK$3:$AL$3,0))))</f>
        <v>Ocean</v>
      </c>
      <c r="AE48" s="3" t="str">
        <f ca="1">IF('Map 2 Do Touch'!AD43&lt;&gt;'Map 2 Do Touch'!AD44,IF('Map 2 Do Touch'!AE44&gt;4,INDEX($AG$4:$AH$6,MATCH(INDEX($I$3:$L$6,MATCH(MOD('Map 2 Do Touch'!AD44,4),$H$3:$H$6,0),MATCH(MOD('Map 2 Do Touch'!AE44,4),$I$2:$L$2,0)),$AF$4:$AF$6,0),MATCH(IF('Map 2 Do Touch'!AD44&gt;4,"Water","Land"),'Map 3'!$AG$3:$AH$3,0)),INDEX($AK$4:$AL$6,MATCH(INDEX($I$3:$L$6,MATCH(MOD('Map 2 Do Touch'!AD44,4),$H$3:$H$6,0),MATCH(MOD('Map 2 Do Touch'!AE44,4),$I$2:$L$2,0)),'Map 3'!$AJ$4:$AJ$6,0),MATCH(IF('Map 2 Do Touch'!AD44&gt;4,"Water","Land"),'Map 3'!$AK$3:$AL$3,0))),IF('Map 2 Do Touch'!AE44&gt;4,INDEX($AG$4:$AH$6,MATCH(INDEX($P$3:$S$6,MATCH(MOD('Map 2 Do Touch'!AE43,4),$O$3:$O$6,0),MATCH(MOD('Map 2 Do Touch'!AE44,4),$P$2:$S$2,0)),$AF$4:$AF$6,0),MATCH(IF('Map 2 Do Touch'!AE43&gt;4,"Water","Land"),'Map 3'!$AG$3:$AH$3,0)),INDEX($AK$4:$AL$6,MATCH(INDEX($P$3:$S$6,MATCH(MOD('Map 2 Do Touch'!AE43,4),$O$3:$O$6,0),MATCH(MOD('Map 2 Do Touch'!AE44,4),$P$2:$S$2,0)),'Map 3'!$AJ$4:$AJ$6,0),MATCH(IF('Map 2 Do Touch'!AE43&gt;4,"Water","Land"),'Map 3'!$AK$3:$AL$3,0))))</f>
        <v>Ocean</v>
      </c>
      <c r="AF48" s="3" t="str">
        <f ca="1">IF('Map 2 Do Touch'!AE43&lt;&gt;'Map 2 Do Touch'!AE44,IF('Map 2 Do Touch'!AF44&gt;4,INDEX($AG$4:$AH$6,MATCH(INDEX($I$3:$L$6,MATCH(MOD('Map 2 Do Touch'!AE44,4),$H$3:$H$6,0),MATCH(MOD('Map 2 Do Touch'!AF44,4),$I$2:$L$2,0)),$AF$4:$AF$6,0),MATCH(IF('Map 2 Do Touch'!AE44&gt;4,"Water","Land"),'Map 3'!$AG$3:$AH$3,0)),INDEX($AK$4:$AL$6,MATCH(INDEX($I$3:$L$6,MATCH(MOD('Map 2 Do Touch'!AE44,4),$H$3:$H$6,0),MATCH(MOD('Map 2 Do Touch'!AF44,4),$I$2:$L$2,0)),'Map 3'!$AJ$4:$AJ$6,0),MATCH(IF('Map 2 Do Touch'!AE44&gt;4,"Water","Land"),'Map 3'!$AK$3:$AL$3,0))),IF('Map 2 Do Touch'!AF44&gt;4,INDEX($AG$4:$AH$6,MATCH(INDEX($P$3:$S$6,MATCH(MOD('Map 2 Do Touch'!AF43,4),$O$3:$O$6,0),MATCH(MOD('Map 2 Do Touch'!AF44,4),$P$2:$S$2,0)),$AF$4:$AF$6,0),MATCH(IF('Map 2 Do Touch'!AF43&gt;4,"Water","Land"),'Map 3'!$AG$3:$AH$3,0)),INDEX($AK$4:$AL$6,MATCH(INDEX($P$3:$S$6,MATCH(MOD('Map 2 Do Touch'!AF43,4),$O$3:$O$6,0),MATCH(MOD('Map 2 Do Touch'!AF44,4),$P$2:$S$2,0)),'Map 3'!$AJ$4:$AJ$6,0),MATCH(IF('Map 2 Do Touch'!AF43&gt;4,"Water","Land"),'Map 3'!$AK$3:$AL$3,0))))</f>
        <v>Trench</v>
      </c>
      <c r="AG48" s="3" t="str">
        <f ca="1">IF('Map 2 Do Touch'!AF43&lt;&gt;'Map 2 Do Touch'!AF44,IF('Map 2 Do Touch'!AG44&gt;4,INDEX($AG$4:$AH$6,MATCH(INDEX($I$3:$L$6,MATCH(MOD('Map 2 Do Touch'!AF44,4),$H$3:$H$6,0),MATCH(MOD('Map 2 Do Touch'!AG44,4),$I$2:$L$2,0)),$AF$4:$AF$6,0),MATCH(IF('Map 2 Do Touch'!AF44&gt;4,"Water","Land"),'Map 3'!$AG$3:$AH$3,0)),INDEX($AK$4:$AL$6,MATCH(INDEX($I$3:$L$6,MATCH(MOD('Map 2 Do Touch'!AF44,4),$H$3:$H$6,0),MATCH(MOD('Map 2 Do Touch'!AG44,4),$I$2:$L$2,0)),'Map 3'!$AJ$4:$AJ$6,0),MATCH(IF('Map 2 Do Touch'!AF44&gt;4,"Water","Land"),'Map 3'!$AK$3:$AL$3,0))),IF('Map 2 Do Touch'!AG44&gt;4,INDEX($AG$4:$AH$6,MATCH(INDEX($P$3:$S$6,MATCH(MOD('Map 2 Do Touch'!AG43,4),$O$3:$O$6,0),MATCH(MOD('Map 2 Do Touch'!AG44,4),$P$2:$S$2,0)),$AF$4:$AF$6,0),MATCH(IF('Map 2 Do Touch'!AG43&gt;4,"Water","Land"),'Map 3'!$AG$3:$AH$3,0)),INDEX($AK$4:$AL$6,MATCH(INDEX($P$3:$S$6,MATCH(MOD('Map 2 Do Touch'!AG43,4),$O$3:$O$6,0),MATCH(MOD('Map 2 Do Touch'!AG44,4),$P$2:$S$2,0)),'Map 3'!$AJ$4:$AJ$6,0),MATCH(IF('Map 2 Do Touch'!AG43&gt;4,"Water","Land"),'Map 3'!$AK$3:$AL$3,0))))</f>
        <v>Ocean</v>
      </c>
      <c r="AH48" s="3" t="str">
        <f ca="1">IF('Map 2 Do Touch'!AG43&lt;&gt;'Map 2 Do Touch'!AG44,IF('Map 2 Do Touch'!AH44&gt;4,INDEX($AG$4:$AH$6,MATCH(INDEX($I$3:$L$6,MATCH(MOD('Map 2 Do Touch'!AG44,4),$H$3:$H$6,0),MATCH(MOD('Map 2 Do Touch'!AH44,4),$I$2:$L$2,0)),$AF$4:$AF$6,0),MATCH(IF('Map 2 Do Touch'!AG44&gt;4,"Water","Land"),'Map 3'!$AG$3:$AH$3,0)),INDEX($AK$4:$AL$6,MATCH(INDEX($I$3:$L$6,MATCH(MOD('Map 2 Do Touch'!AG44,4),$H$3:$H$6,0),MATCH(MOD('Map 2 Do Touch'!AH44,4),$I$2:$L$2,0)),'Map 3'!$AJ$4:$AJ$6,0),MATCH(IF('Map 2 Do Touch'!AG44&gt;4,"Water","Land"),'Map 3'!$AK$3:$AL$3,0))),IF('Map 2 Do Touch'!AH44&gt;4,INDEX($AG$4:$AH$6,MATCH(INDEX($P$3:$S$6,MATCH(MOD('Map 2 Do Touch'!AH43,4),$O$3:$O$6,0),MATCH(MOD('Map 2 Do Touch'!AH44,4),$P$2:$S$2,0)),$AF$4:$AF$6,0),MATCH(IF('Map 2 Do Touch'!AH43&gt;4,"Water","Land"),'Map 3'!$AG$3:$AH$3,0)),INDEX($AK$4:$AL$6,MATCH(INDEX($P$3:$S$6,MATCH(MOD('Map 2 Do Touch'!AH43,4),$O$3:$O$6,0),MATCH(MOD('Map 2 Do Touch'!AH44,4),$P$2:$S$2,0)),'Map 3'!$AJ$4:$AJ$6,0),MATCH(IF('Map 2 Do Touch'!AH43&gt;4,"Water","Land"),'Map 3'!$AK$3:$AL$3,0))))</f>
        <v>Ocean</v>
      </c>
      <c r="AI48" s="3" t="str">
        <f ca="1">IF('Map 2 Do Touch'!AH43&lt;&gt;'Map 2 Do Touch'!AH44,IF('Map 2 Do Touch'!AI44&gt;4,INDEX($AG$4:$AH$6,MATCH(INDEX($I$3:$L$6,MATCH(MOD('Map 2 Do Touch'!AH44,4),$H$3:$H$6,0),MATCH(MOD('Map 2 Do Touch'!AI44,4),$I$2:$L$2,0)),$AF$4:$AF$6,0),MATCH(IF('Map 2 Do Touch'!AH44&gt;4,"Water","Land"),'Map 3'!$AG$3:$AH$3,0)),INDEX($AK$4:$AL$6,MATCH(INDEX($I$3:$L$6,MATCH(MOD('Map 2 Do Touch'!AH44,4),$H$3:$H$6,0),MATCH(MOD('Map 2 Do Touch'!AI44,4),$I$2:$L$2,0)),'Map 3'!$AJ$4:$AJ$6,0),MATCH(IF('Map 2 Do Touch'!AH44&gt;4,"Water","Land"),'Map 3'!$AK$3:$AL$3,0))),IF('Map 2 Do Touch'!AI44&gt;4,INDEX($AG$4:$AH$6,MATCH(INDEX($P$3:$S$6,MATCH(MOD('Map 2 Do Touch'!AI43,4),$O$3:$O$6,0),MATCH(MOD('Map 2 Do Touch'!AI44,4),$P$2:$S$2,0)),$AF$4:$AF$6,0),MATCH(IF('Map 2 Do Touch'!AI43&gt;4,"Water","Land"),'Map 3'!$AG$3:$AH$3,0)),INDEX($AK$4:$AL$6,MATCH(INDEX($P$3:$S$6,MATCH(MOD('Map 2 Do Touch'!AI43,4),$O$3:$O$6,0),MATCH(MOD('Map 2 Do Touch'!AI44,4),$P$2:$S$2,0)),'Map 3'!$AJ$4:$AJ$6,0),MATCH(IF('Map 2 Do Touch'!AI43&gt;4,"Water","Land"),'Map 3'!$AK$3:$AL$3,0))))</f>
        <v>Ocean</v>
      </c>
      <c r="AJ48" s="3" t="str">
        <f ca="1">IF('Map 2 Do Touch'!AI43&lt;&gt;'Map 2 Do Touch'!AI44,IF('Map 2 Do Touch'!AJ44&gt;4,INDEX($AG$4:$AH$6,MATCH(INDEX($I$3:$L$6,MATCH(MOD('Map 2 Do Touch'!AI44,4),$H$3:$H$6,0),MATCH(MOD('Map 2 Do Touch'!AJ44,4),$I$2:$L$2,0)),$AF$4:$AF$6,0),MATCH(IF('Map 2 Do Touch'!AI44&gt;4,"Water","Land"),'Map 3'!$AG$3:$AH$3,0)),INDEX($AK$4:$AL$6,MATCH(INDEX($I$3:$L$6,MATCH(MOD('Map 2 Do Touch'!AI44,4),$H$3:$H$6,0),MATCH(MOD('Map 2 Do Touch'!AJ44,4),$I$2:$L$2,0)),'Map 3'!$AJ$4:$AJ$6,0),MATCH(IF('Map 2 Do Touch'!AI44&gt;4,"Water","Land"),'Map 3'!$AK$3:$AL$3,0))),IF('Map 2 Do Touch'!AJ44&gt;4,INDEX($AG$4:$AH$6,MATCH(INDEX($P$3:$S$6,MATCH(MOD('Map 2 Do Touch'!AJ43,4),$O$3:$O$6,0),MATCH(MOD('Map 2 Do Touch'!AJ44,4),$P$2:$S$2,0)),$AF$4:$AF$6,0),MATCH(IF('Map 2 Do Touch'!AJ43&gt;4,"Water","Land"),'Map 3'!$AG$3:$AH$3,0)),INDEX($AK$4:$AL$6,MATCH(INDEX($P$3:$S$6,MATCH(MOD('Map 2 Do Touch'!AJ43,4),$O$3:$O$6,0),MATCH(MOD('Map 2 Do Touch'!AJ44,4),$P$2:$S$2,0)),'Map 3'!$AJ$4:$AJ$6,0),MATCH(IF('Map 2 Do Touch'!AJ43&gt;4,"Water","Land"),'Map 3'!$AK$3:$AL$3,0))))</f>
        <v>Ocean</v>
      </c>
      <c r="AK48" s="3" t="str">
        <f ca="1">IF('Map 2 Do Touch'!AJ43&lt;&gt;'Map 2 Do Touch'!AJ44,IF('Map 2 Do Touch'!AK44&gt;4,INDEX($AG$4:$AH$6,MATCH(INDEX($I$3:$L$6,MATCH(MOD('Map 2 Do Touch'!AJ44,4),$H$3:$H$6,0),MATCH(MOD('Map 2 Do Touch'!AK44,4),$I$2:$L$2,0)),$AF$4:$AF$6,0),MATCH(IF('Map 2 Do Touch'!AJ44&gt;4,"Water","Land"),'Map 3'!$AG$3:$AH$3,0)),INDEX($AK$4:$AL$6,MATCH(INDEX($I$3:$L$6,MATCH(MOD('Map 2 Do Touch'!AJ44,4),$H$3:$H$6,0),MATCH(MOD('Map 2 Do Touch'!AK44,4),$I$2:$L$2,0)),'Map 3'!$AJ$4:$AJ$6,0),MATCH(IF('Map 2 Do Touch'!AJ44&gt;4,"Water","Land"),'Map 3'!$AK$3:$AL$3,0))),IF('Map 2 Do Touch'!AK44&gt;4,INDEX($AG$4:$AH$6,MATCH(INDEX($P$3:$S$6,MATCH(MOD('Map 2 Do Touch'!AK43,4),$O$3:$O$6,0),MATCH(MOD('Map 2 Do Touch'!AK44,4),$P$2:$S$2,0)),$AF$4:$AF$6,0),MATCH(IF('Map 2 Do Touch'!AK43&gt;4,"Water","Land"),'Map 3'!$AG$3:$AH$3,0)),INDEX($AK$4:$AL$6,MATCH(INDEX($P$3:$S$6,MATCH(MOD('Map 2 Do Touch'!AK43,4),$O$3:$O$6,0),MATCH(MOD('Map 2 Do Touch'!AK44,4),$P$2:$S$2,0)),'Map 3'!$AJ$4:$AJ$6,0),MATCH(IF('Map 2 Do Touch'!AK43&gt;4,"Water","Land"),'Map 3'!$AK$3:$AL$3,0))))</f>
        <v>Trench</v>
      </c>
      <c r="AL48" s="3" t="str">
        <f ca="1">IF('Map 2 Do Touch'!AK43&lt;&gt;'Map 2 Do Touch'!AK44,IF('Map 2 Do Touch'!AL44&gt;4,INDEX($AG$4:$AH$6,MATCH(INDEX($I$3:$L$6,MATCH(MOD('Map 2 Do Touch'!AK44,4),$H$3:$H$6,0),MATCH(MOD('Map 2 Do Touch'!AL44,4),$I$2:$L$2,0)),$AF$4:$AF$6,0),MATCH(IF('Map 2 Do Touch'!AK44&gt;4,"Water","Land"),'Map 3'!$AG$3:$AH$3,0)),INDEX($AK$4:$AL$6,MATCH(INDEX($I$3:$L$6,MATCH(MOD('Map 2 Do Touch'!AK44,4),$H$3:$H$6,0),MATCH(MOD('Map 2 Do Touch'!AL44,4),$I$2:$L$2,0)),'Map 3'!$AJ$4:$AJ$6,0),MATCH(IF('Map 2 Do Touch'!AK44&gt;4,"Water","Land"),'Map 3'!$AK$3:$AL$3,0))),IF('Map 2 Do Touch'!AL44&gt;4,INDEX($AG$4:$AH$6,MATCH(INDEX($P$3:$S$6,MATCH(MOD('Map 2 Do Touch'!AL43,4),$O$3:$O$6,0),MATCH(MOD('Map 2 Do Touch'!AL44,4),$P$2:$S$2,0)),$AF$4:$AF$6,0),MATCH(IF('Map 2 Do Touch'!AL43&gt;4,"Water","Land"),'Map 3'!$AG$3:$AH$3,0)),INDEX($AK$4:$AL$6,MATCH(INDEX($P$3:$S$6,MATCH(MOD('Map 2 Do Touch'!AL43,4),$O$3:$O$6,0),MATCH(MOD('Map 2 Do Touch'!AL44,4),$P$2:$S$2,0)),'Map 3'!$AJ$4:$AJ$6,0),MATCH(IF('Map 2 Do Touch'!AL43&gt;4,"Water","Land"),'Map 3'!$AK$3:$AL$3,0))))</f>
        <v>Ocean</v>
      </c>
      <c r="AM48" s="3" t="str">
        <f ca="1">IF('Map 2 Do Touch'!AL43&lt;&gt;'Map 2 Do Touch'!AL44,IF('Map 2 Do Touch'!AM44&gt;4,INDEX($AG$4:$AH$6,MATCH(INDEX($I$3:$L$6,MATCH(MOD('Map 2 Do Touch'!AL44,4),$H$3:$H$6,0),MATCH(MOD('Map 2 Do Touch'!AM44,4),$I$2:$L$2,0)),$AF$4:$AF$6,0),MATCH(IF('Map 2 Do Touch'!AL44&gt;4,"Water","Land"),'Map 3'!$AG$3:$AH$3,0)),INDEX($AK$4:$AL$6,MATCH(INDEX($I$3:$L$6,MATCH(MOD('Map 2 Do Touch'!AL44,4),$H$3:$H$6,0),MATCH(MOD('Map 2 Do Touch'!AM44,4),$I$2:$L$2,0)),'Map 3'!$AJ$4:$AJ$6,0),MATCH(IF('Map 2 Do Touch'!AL44&gt;4,"Water","Land"),'Map 3'!$AK$3:$AL$3,0))),IF('Map 2 Do Touch'!AM44&gt;4,INDEX($AG$4:$AH$6,MATCH(INDEX($P$3:$S$6,MATCH(MOD('Map 2 Do Touch'!AM43,4),$O$3:$O$6,0),MATCH(MOD('Map 2 Do Touch'!AM44,4),$P$2:$S$2,0)),$AF$4:$AF$6,0),MATCH(IF('Map 2 Do Touch'!AM43&gt;4,"Water","Land"),'Map 3'!$AG$3:$AH$3,0)),INDEX($AK$4:$AL$6,MATCH(INDEX($P$3:$S$6,MATCH(MOD('Map 2 Do Touch'!AM43,4),$O$3:$O$6,0),MATCH(MOD('Map 2 Do Touch'!AM44,4),$P$2:$S$2,0)),'Map 3'!$AJ$4:$AJ$6,0),MATCH(IF('Map 2 Do Touch'!AM43&gt;4,"Water","Land"),'Map 3'!$AK$3:$AL$3,0))))</f>
        <v>Ocean</v>
      </c>
      <c r="AN48" s="3" t="str">
        <f ca="1">IF('Map 2 Do Touch'!AM43&lt;&gt;'Map 2 Do Touch'!AM44,IF('Map 2 Do Touch'!AN44&gt;4,INDEX($AG$4:$AH$6,MATCH(INDEX($I$3:$L$6,MATCH(MOD('Map 2 Do Touch'!AM44,4),$H$3:$H$6,0),MATCH(MOD('Map 2 Do Touch'!AN44,4),$I$2:$L$2,0)),$AF$4:$AF$6,0),MATCH(IF('Map 2 Do Touch'!AM44&gt;4,"Water","Land"),'Map 3'!$AG$3:$AH$3,0)),INDEX($AK$4:$AL$6,MATCH(INDEX($I$3:$L$6,MATCH(MOD('Map 2 Do Touch'!AM44,4),$H$3:$H$6,0),MATCH(MOD('Map 2 Do Touch'!AN44,4),$I$2:$L$2,0)),'Map 3'!$AJ$4:$AJ$6,0),MATCH(IF('Map 2 Do Touch'!AM44&gt;4,"Water","Land"),'Map 3'!$AK$3:$AL$3,0))),IF('Map 2 Do Touch'!AN44&gt;4,INDEX($AG$4:$AH$6,MATCH(INDEX($P$3:$S$6,MATCH(MOD('Map 2 Do Touch'!AN43,4),$O$3:$O$6,0),MATCH(MOD('Map 2 Do Touch'!AN44,4),$P$2:$S$2,0)),$AF$4:$AF$6,0),MATCH(IF('Map 2 Do Touch'!AN43&gt;4,"Water","Land"),'Map 3'!$AG$3:$AH$3,0)),INDEX($AK$4:$AL$6,MATCH(INDEX($P$3:$S$6,MATCH(MOD('Map 2 Do Touch'!AN43,4),$O$3:$O$6,0),MATCH(MOD('Map 2 Do Touch'!AN44,4),$P$2:$S$2,0)),'Map 3'!$AJ$4:$AJ$6,0),MATCH(IF('Map 2 Do Touch'!AN43&gt;4,"Water","Land"),'Map 3'!$AK$3:$AL$3,0))))</f>
        <v>Trench</v>
      </c>
      <c r="AO48" s="87" t="str">
        <f ca="1">IF('Map 2 Do Touch'!AN43&lt;&gt;'Map 2 Do Touch'!AN44,IF('Map 2 Do Touch'!AO44&gt;4,INDEX($AG$4:$AH$6,MATCH(INDEX($I$3:$L$6,MATCH(MOD('Map 2 Do Touch'!AN44,4),$H$3:$H$6,0),MATCH(MOD('Map 2 Do Touch'!AO44,4),$I$2:$L$2,0)),$AF$4:$AF$6,0),MATCH(IF('Map 2 Do Touch'!AN44&gt;4,"Water","Land"),'Map 3'!$AG$3:$AH$3,0)),INDEX($AK$4:$AL$6,MATCH(INDEX($I$3:$L$6,MATCH(MOD('Map 2 Do Touch'!AN44,4),$H$3:$H$6,0),MATCH(MOD('Map 2 Do Touch'!AO44,4),$I$2:$L$2,0)),'Map 3'!$AJ$4:$AJ$6,0),MATCH(IF('Map 2 Do Touch'!AN44&gt;4,"Water","Land"),'Map 3'!$AK$3:$AL$3,0))),IF('Map 2 Do Touch'!AO44&gt;4,INDEX($AG$4:$AH$6,MATCH(INDEX($P$3:$S$6,MATCH(MOD('Map 2 Do Touch'!AO43,4),$O$3:$O$6,0),MATCH(MOD('Map 2 Do Touch'!AO44,4),$P$2:$S$2,0)),$AF$4:$AF$6,0),MATCH(IF('Map 2 Do Touch'!AO43&gt;4,"Water","Land"),'Map 3'!$AG$3:$AH$3,0)),INDEX($AK$4:$AL$6,MATCH(INDEX($P$3:$S$6,MATCH(MOD('Map 2 Do Touch'!AO43,4),$O$3:$O$6,0),MATCH(MOD('Map 2 Do Touch'!AO44,4),$P$2:$S$2,0)),'Map 3'!$AJ$4:$AJ$6,0),MATCH(IF('Map 2 Do Touch'!AO43&gt;4,"Water","Land"),'Map 3'!$AK$3:$AL$3,0))))</f>
        <v>Ocean</v>
      </c>
      <c r="AP48" s="3"/>
    </row>
    <row r="49" spans="1:42" ht="37.5" customHeight="1">
      <c r="A49" s="3">
        <v>38</v>
      </c>
      <c r="B49" s="86" t="str">
        <f ca="1">IF('Map 2 Do Touch'!B44&lt;&gt;'Map 2 Do Touch'!B45,IF('Map 2 Do Touch'!B45&gt;4,INDEX($AG$4:$AH$6,MATCH(INDEX($I$3:$L$6,MATCH(MOD('Map 2 Do Touch'!AO45,4),$H$3:$H$6,0),MATCH(MOD('Map 2 Do Touch'!B45,4),$I$2:$L$2,0)),$AF$4:$AF$6,0),MATCH(IF('Map 2 Do Touch'!AO45&gt;4,"Water","Land"),'Map 3'!$AG$3:$AH$3,0)),INDEX($AK$4:$AL$6,MATCH(INDEX($I$3:$L$6,MATCH(MOD('Map 2 Do Touch'!A45,4),$H$3:$H$6,0),MATCH(MOD('Map 2 Do Touch'!B45,4),$I$2:$L$2,0)),'Map 3'!$AJ$4:$AJ$6,0),MATCH(IF('Map 2 Do Touch'!AO45&gt;4,"Water","Land"),'Map 3'!$AK$3:$AL$3,0))),IF('Map 2 Do Touch'!B45&gt;4,INDEX($AG$4:$AH$6,MATCH(INDEX($P$3:$S$6,MATCH(MOD('Map 2 Do Touch'!B44,4),$O$3:$O$6,0),MATCH(MOD('Map 2 Do Touch'!B45,4),$P$2:$S$2,0)),$AF$4:$AF$6,0),MATCH(IF('Map 2 Do Touch'!B44&gt;4,"Water","Land"),'Map 3'!$AG$3:$AH$3,0)),INDEX($AK$4:$AL$6,MATCH(INDEX($P$3:$S$6,MATCH(MOD('Map 2 Do Touch'!B44,4),$O$3:$O$6,0),MATCH(MOD('Map 2 Do Touch'!B45,4),$P$2:$S$2,0)),'Map 3'!$AJ$4:$AJ$6,0),MATCH(IF('Map 2 Do Touch'!B44&gt;4,"Water","Land"),'Map 3'!$AK$3:$AL$3,0))))</f>
        <v>Ocean</v>
      </c>
      <c r="C49" s="3" t="str">
        <f ca="1">IF('Map 2 Do Touch'!B44&lt;&gt;'Map 2 Do Touch'!B45,IF('Map 2 Do Touch'!C45&gt;4,INDEX($AG$4:$AH$6,MATCH(INDEX($I$3:$L$6,MATCH(MOD('Map 2 Do Touch'!B45,4),$H$3:$H$6,0),MATCH(MOD('Map 2 Do Touch'!C45,4),$I$2:$L$2,0)),$AF$4:$AF$6,0),MATCH(IF('Map 2 Do Touch'!B45&gt;4,"Water","Land"),'Map 3'!$AG$3:$AH$3,0)),INDEX($AK$4:$AL$6,MATCH(INDEX($I$3:$L$6,MATCH(MOD('Map 2 Do Touch'!B45,4),$H$3:$H$6,0),MATCH(MOD('Map 2 Do Touch'!C45,4),$I$2:$L$2,0)),'Map 3'!$AJ$4:$AJ$6,0),MATCH(IF('Map 2 Do Touch'!B45&gt;4,"Water","Land"),'Map 3'!$AK$3:$AL$3,0))),IF('Map 2 Do Touch'!C45&gt;4,INDEX($AG$4:$AH$6,MATCH(INDEX($P$3:$S$6,MATCH(MOD('Map 2 Do Touch'!C44,4),$O$3:$O$6,0),MATCH(MOD('Map 2 Do Touch'!C45,4),$P$2:$S$2,0)),$AF$4:$AF$6,0),MATCH(IF('Map 2 Do Touch'!C44&gt;4,"Water","Land"),'Map 3'!$AG$3:$AH$3,0)),INDEX($AK$4:$AL$6,MATCH(INDEX($P$3:$S$6,MATCH(MOD('Map 2 Do Touch'!C44,4),$O$3:$O$6,0),MATCH(MOD('Map 2 Do Touch'!C45,4),$P$2:$S$2,0)),'Map 3'!$AJ$4:$AJ$6,0),MATCH(IF('Map 2 Do Touch'!C44&gt;4,"Water","Land"),'Map 3'!$AK$3:$AL$3,0))))</f>
        <v>Ocean</v>
      </c>
      <c r="D49" s="3" t="str">
        <f ca="1">IF('Map 2 Do Touch'!C44&lt;&gt;'Map 2 Do Touch'!C45,IF('Map 2 Do Touch'!D45&gt;4,INDEX($AG$4:$AH$6,MATCH(INDEX($I$3:$L$6,MATCH(MOD('Map 2 Do Touch'!C45,4),$H$3:$H$6,0),MATCH(MOD('Map 2 Do Touch'!D45,4),$I$2:$L$2,0)),$AF$4:$AF$6,0),MATCH(IF('Map 2 Do Touch'!C45&gt;4,"Water","Land"),'Map 3'!$AG$3:$AH$3,0)),INDEX($AK$4:$AL$6,MATCH(INDEX($I$3:$L$6,MATCH(MOD('Map 2 Do Touch'!C45,4),$H$3:$H$6,0),MATCH(MOD('Map 2 Do Touch'!D45,4),$I$2:$L$2,0)),'Map 3'!$AJ$4:$AJ$6,0),MATCH(IF('Map 2 Do Touch'!C45&gt;4,"Water","Land"),'Map 3'!$AK$3:$AL$3,0))),IF('Map 2 Do Touch'!D45&gt;4,INDEX($AG$4:$AH$6,MATCH(INDEX($P$3:$S$6,MATCH(MOD('Map 2 Do Touch'!D44,4),$O$3:$O$6,0),MATCH(MOD('Map 2 Do Touch'!D45,4),$P$2:$S$2,0)),$AF$4:$AF$6,0),MATCH(IF('Map 2 Do Touch'!D44&gt;4,"Water","Land"),'Map 3'!$AG$3:$AH$3,0)),INDEX($AK$4:$AL$6,MATCH(INDEX($P$3:$S$6,MATCH(MOD('Map 2 Do Touch'!D44,4),$O$3:$O$6,0),MATCH(MOD('Map 2 Do Touch'!D45,4),$P$2:$S$2,0)),'Map 3'!$AJ$4:$AJ$6,0),MATCH(IF('Map 2 Do Touch'!D44&gt;4,"Water","Land"),'Map 3'!$AK$3:$AL$3,0))))</f>
        <v>Ocean</v>
      </c>
      <c r="E49" s="3" t="str">
        <f ca="1">IF('Map 2 Do Touch'!D44&lt;&gt;'Map 2 Do Touch'!D45,IF('Map 2 Do Touch'!E45&gt;4,INDEX($AG$4:$AH$6,MATCH(INDEX($I$3:$L$6,MATCH(MOD('Map 2 Do Touch'!D45,4),$H$3:$H$6,0),MATCH(MOD('Map 2 Do Touch'!E45,4),$I$2:$L$2,0)),$AF$4:$AF$6,0),MATCH(IF('Map 2 Do Touch'!D45&gt;4,"Water","Land"),'Map 3'!$AG$3:$AH$3,0)),INDEX($AK$4:$AL$6,MATCH(INDEX($I$3:$L$6,MATCH(MOD('Map 2 Do Touch'!D45,4),$H$3:$H$6,0),MATCH(MOD('Map 2 Do Touch'!E45,4),$I$2:$L$2,0)),'Map 3'!$AJ$4:$AJ$6,0),MATCH(IF('Map 2 Do Touch'!D45&gt;4,"Water","Land"),'Map 3'!$AK$3:$AL$3,0))),IF('Map 2 Do Touch'!E45&gt;4,INDEX($AG$4:$AH$6,MATCH(INDEX($P$3:$S$6,MATCH(MOD('Map 2 Do Touch'!E44,4),$O$3:$O$6,0),MATCH(MOD('Map 2 Do Touch'!E45,4),$P$2:$S$2,0)),$AF$4:$AF$6,0),MATCH(IF('Map 2 Do Touch'!E44&gt;4,"Water","Land"),'Map 3'!$AG$3:$AH$3,0)),INDEX($AK$4:$AL$6,MATCH(INDEX($P$3:$S$6,MATCH(MOD('Map 2 Do Touch'!E44,4),$O$3:$O$6,0),MATCH(MOD('Map 2 Do Touch'!E45,4),$P$2:$S$2,0)),'Map 3'!$AJ$4:$AJ$6,0),MATCH(IF('Map 2 Do Touch'!E44&gt;4,"Water","Land"),'Map 3'!$AK$3:$AL$3,0))))</f>
        <v>Ocean</v>
      </c>
      <c r="F49" s="3" t="str">
        <f ca="1">IF('Map 2 Do Touch'!E44&lt;&gt;'Map 2 Do Touch'!E45,IF('Map 2 Do Touch'!F45&gt;4,INDEX($AG$4:$AH$6,MATCH(INDEX($I$3:$L$6,MATCH(MOD('Map 2 Do Touch'!E45,4),$H$3:$H$6,0),MATCH(MOD('Map 2 Do Touch'!F45,4),$I$2:$L$2,0)),$AF$4:$AF$6,0),MATCH(IF('Map 2 Do Touch'!E45&gt;4,"Water","Land"),'Map 3'!$AG$3:$AH$3,0)),INDEX($AK$4:$AL$6,MATCH(INDEX($I$3:$L$6,MATCH(MOD('Map 2 Do Touch'!E45,4),$H$3:$H$6,0),MATCH(MOD('Map 2 Do Touch'!F45,4),$I$2:$L$2,0)),'Map 3'!$AJ$4:$AJ$6,0),MATCH(IF('Map 2 Do Touch'!E45&gt;4,"Water","Land"),'Map 3'!$AK$3:$AL$3,0))),IF('Map 2 Do Touch'!F45&gt;4,INDEX($AG$4:$AH$6,MATCH(INDEX($P$3:$S$6,MATCH(MOD('Map 2 Do Touch'!F44,4),$O$3:$O$6,0),MATCH(MOD('Map 2 Do Touch'!F45,4),$P$2:$S$2,0)),$AF$4:$AF$6,0),MATCH(IF('Map 2 Do Touch'!F44&gt;4,"Water","Land"),'Map 3'!$AG$3:$AH$3,0)),INDEX($AK$4:$AL$6,MATCH(INDEX($P$3:$S$6,MATCH(MOD('Map 2 Do Touch'!F44,4),$O$3:$O$6,0),MATCH(MOD('Map 2 Do Touch'!F45,4),$P$2:$S$2,0)),'Map 3'!$AJ$4:$AJ$6,0),MATCH(IF('Map 2 Do Touch'!F44&gt;4,"Water","Land"),'Map 3'!$AK$3:$AL$3,0))))</f>
        <v>Cliff</v>
      </c>
      <c r="G49" s="3" t="str">
        <f ca="1">IF('Map 2 Do Touch'!F44&lt;&gt;'Map 2 Do Touch'!F45,IF('Map 2 Do Touch'!G45&gt;4,INDEX($AG$4:$AH$6,MATCH(INDEX($I$3:$L$6,MATCH(MOD('Map 2 Do Touch'!F45,4),$H$3:$H$6,0),MATCH(MOD('Map 2 Do Touch'!G45,4),$I$2:$L$2,0)),$AF$4:$AF$6,0),MATCH(IF('Map 2 Do Touch'!F45&gt;4,"Water","Land"),'Map 3'!$AG$3:$AH$3,0)),INDEX($AK$4:$AL$6,MATCH(INDEX($I$3:$L$6,MATCH(MOD('Map 2 Do Touch'!F45,4),$H$3:$H$6,0),MATCH(MOD('Map 2 Do Touch'!G45,4),$I$2:$L$2,0)),'Map 3'!$AJ$4:$AJ$6,0),MATCH(IF('Map 2 Do Touch'!F45&gt;4,"Water","Land"),'Map 3'!$AK$3:$AL$3,0))),IF('Map 2 Do Touch'!G45&gt;4,INDEX($AG$4:$AH$6,MATCH(INDEX($P$3:$S$6,MATCH(MOD('Map 2 Do Touch'!G44,4),$O$3:$O$6,0),MATCH(MOD('Map 2 Do Touch'!G45,4),$P$2:$S$2,0)),$AF$4:$AF$6,0),MATCH(IF('Map 2 Do Touch'!G44&gt;4,"Water","Land"),'Map 3'!$AG$3:$AH$3,0)),INDEX($AK$4:$AL$6,MATCH(INDEX($P$3:$S$6,MATCH(MOD('Map 2 Do Touch'!G44,4),$O$3:$O$6,0),MATCH(MOD('Map 2 Do Touch'!G45,4),$P$2:$S$2,0)),'Map 3'!$AJ$4:$AJ$6,0),MATCH(IF('Map 2 Do Touch'!G44&gt;4,"Water","Land"),'Map 3'!$AK$3:$AL$3,0))))</f>
        <v>Coast</v>
      </c>
      <c r="H49" s="3" t="str">
        <f ca="1">IF('Map 2 Do Touch'!G44&lt;&gt;'Map 2 Do Touch'!G45,IF('Map 2 Do Touch'!H45&gt;4,INDEX($AG$4:$AH$6,MATCH(INDEX($I$3:$L$6,MATCH(MOD('Map 2 Do Touch'!G45,4),$H$3:$H$6,0),MATCH(MOD('Map 2 Do Touch'!H45,4),$I$2:$L$2,0)),$AF$4:$AF$6,0),MATCH(IF('Map 2 Do Touch'!G45&gt;4,"Water","Land"),'Map 3'!$AG$3:$AH$3,0)),INDEX($AK$4:$AL$6,MATCH(INDEX($I$3:$L$6,MATCH(MOD('Map 2 Do Touch'!G45,4),$H$3:$H$6,0),MATCH(MOD('Map 2 Do Touch'!H45,4),$I$2:$L$2,0)),'Map 3'!$AJ$4:$AJ$6,0),MATCH(IF('Map 2 Do Touch'!G45&gt;4,"Water","Land"),'Map 3'!$AK$3:$AL$3,0))),IF('Map 2 Do Touch'!H45&gt;4,INDEX($AG$4:$AH$6,MATCH(INDEX($P$3:$S$6,MATCH(MOD('Map 2 Do Touch'!H44,4),$O$3:$O$6,0),MATCH(MOD('Map 2 Do Touch'!H45,4),$P$2:$S$2,0)),$AF$4:$AF$6,0),MATCH(IF('Map 2 Do Touch'!H44&gt;4,"Water","Land"),'Map 3'!$AG$3:$AH$3,0)),INDEX($AK$4:$AL$6,MATCH(INDEX($P$3:$S$6,MATCH(MOD('Map 2 Do Touch'!H44,4),$O$3:$O$6,0),MATCH(MOD('Map 2 Do Touch'!H45,4),$P$2:$S$2,0)),'Map 3'!$AJ$4:$AJ$6,0),MATCH(IF('Map 2 Do Touch'!H44&gt;4,"Water","Land"),'Map 3'!$AK$3:$AL$3,0))))</f>
        <v>Flatland</v>
      </c>
      <c r="I49" s="3" t="str">
        <f ca="1">IF('Map 2 Do Touch'!H44&lt;&gt;'Map 2 Do Touch'!H45,IF('Map 2 Do Touch'!I45&gt;4,INDEX($AG$4:$AH$6,MATCH(INDEX($I$3:$L$6,MATCH(MOD('Map 2 Do Touch'!H45,4),$H$3:$H$6,0),MATCH(MOD('Map 2 Do Touch'!I45,4),$I$2:$L$2,0)),$AF$4:$AF$6,0),MATCH(IF('Map 2 Do Touch'!H45&gt;4,"Water","Land"),'Map 3'!$AG$3:$AH$3,0)),INDEX($AK$4:$AL$6,MATCH(INDEX($I$3:$L$6,MATCH(MOD('Map 2 Do Touch'!H45,4),$H$3:$H$6,0),MATCH(MOD('Map 2 Do Touch'!I45,4),$I$2:$L$2,0)),'Map 3'!$AJ$4:$AJ$6,0),MATCH(IF('Map 2 Do Touch'!H45&gt;4,"Water","Land"),'Map 3'!$AK$3:$AL$3,0))),IF('Map 2 Do Touch'!I45&gt;4,INDEX($AG$4:$AH$6,MATCH(INDEX($P$3:$S$6,MATCH(MOD('Map 2 Do Touch'!I44,4),$O$3:$O$6,0),MATCH(MOD('Map 2 Do Touch'!I45,4),$P$2:$S$2,0)),$AF$4:$AF$6,0),MATCH(IF('Map 2 Do Touch'!I44&gt;4,"Water","Land"),'Map 3'!$AG$3:$AH$3,0)),INDEX($AK$4:$AL$6,MATCH(INDEX($P$3:$S$6,MATCH(MOD('Map 2 Do Touch'!I44,4),$O$3:$O$6,0),MATCH(MOD('Map 2 Do Touch'!I45,4),$P$2:$S$2,0)),'Map 3'!$AJ$4:$AJ$6,0),MATCH(IF('Map 2 Do Touch'!I44&gt;4,"Water","Land"),'Map 3'!$AK$3:$AL$3,0))))</f>
        <v>Flatland</v>
      </c>
      <c r="J49" s="3" t="str">
        <f ca="1">IF('Map 2 Do Touch'!I44&lt;&gt;'Map 2 Do Touch'!I45,IF('Map 2 Do Touch'!J45&gt;4,INDEX($AG$4:$AH$6,MATCH(INDEX($I$3:$L$6,MATCH(MOD('Map 2 Do Touch'!I45,4),$H$3:$H$6,0),MATCH(MOD('Map 2 Do Touch'!J45,4),$I$2:$L$2,0)),$AF$4:$AF$6,0),MATCH(IF('Map 2 Do Touch'!I45&gt;4,"Water","Land"),'Map 3'!$AG$3:$AH$3,0)),INDEX($AK$4:$AL$6,MATCH(INDEX($I$3:$L$6,MATCH(MOD('Map 2 Do Touch'!I45,4),$H$3:$H$6,0),MATCH(MOD('Map 2 Do Touch'!J45,4),$I$2:$L$2,0)),'Map 3'!$AJ$4:$AJ$6,0),MATCH(IF('Map 2 Do Touch'!I45&gt;4,"Water","Land"),'Map 3'!$AK$3:$AL$3,0))),IF('Map 2 Do Touch'!J45&gt;4,INDEX($AG$4:$AH$6,MATCH(INDEX($P$3:$S$6,MATCH(MOD('Map 2 Do Touch'!J44,4),$O$3:$O$6,0),MATCH(MOD('Map 2 Do Touch'!J45,4),$P$2:$S$2,0)),$AF$4:$AF$6,0),MATCH(IF('Map 2 Do Touch'!J44&gt;4,"Water","Land"),'Map 3'!$AG$3:$AH$3,0)),INDEX($AK$4:$AL$6,MATCH(INDEX($P$3:$S$6,MATCH(MOD('Map 2 Do Touch'!J44,4),$O$3:$O$6,0),MATCH(MOD('Map 2 Do Touch'!J45,4),$P$2:$S$2,0)),'Map 3'!$AJ$4:$AJ$6,0),MATCH(IF('Map 2 Do Touch'!J44&gt;4,"Water","Land"),'Map 3'!$AK$3:$AL$3,0))))</f>
        <v>Flatland</v>
      </c>
      <c r="K49" s="3" t="str">
        <f ca="1">IF('Map 2 Do Touch'!J44&lt;&gt;'Map 2 Do Touch'!J45,IF('Map 2 Do Touch'!K45&gt;4,INDEX($AG$4:$AH$6,MATCH(INDEX($I$3:$L$6,MATCH(MOD('Map 2 Do Touch'!J45,4),$H$3:$H$6,0),MATCH(MOD('Map 2 Do Touch'!K45,4),$I$2:$L$2,0)),$AF$4:$AF$6,0),MATCH(IF('Map 2 Do Touch'!J45&gt;4,"Water","Land"),'Map 3'!$AG$3:$AH$3,0)),INDEX($AK$4:$AL$6,MATCH(INDEX($I$3:$L$6,MATCH(MOD('Map 2 Do Touch'!J45,4),$H$3:$H$6,0),MATCH(MOD('Map 2 Do Touch'!K45,4),$I$2:$L$2,0)),'Map 3'!$AJ$4:$AJ$6,0),MATCH(IF('Map 2 Do Touch'!J45&gt;4,"Water","Land"),'Map 3'!$AK$3:$AL$3,0))),IF('Map 2 Do Touch'!K45&gt;4,INDEX($AG$4:$AH$6,MATCH(INDEX($P$3:$S$6,MATCH(MOD('Map 2 Do Touch'!K44,4),$O$3:$O$6,0),MATCH(MOD('Map 2 Do Touch'!K45,4),$P$2:$S$2,0)),$AF$4:$AF$6,0),MATCH(IF('Map 2 Do Touch'!K44&gt;4,"Water","Land"),'Map 3'!$AG$3:$AH$3,0)),INDEX($AK$4:$AL$6,MATCH(INDEX($P$3:$S$6,MATCH(MOD('Map 2 Do Touch'!K44,4),$O$3:$O$6,0),MATCH(MOD('Map 2 Do Touch'!K45,4),$P$2:$S$2,0)),'Map 3'!$AJ$4:$AJ$6,0),MATCH(IF('Map 2 Do Touch'!K44&gt;4,"Water","Land"),'Map 3'!$AK$3:$AL$3,0))))</f>
        <v>Ocean</v>
      </c>
      <c r="L49" s="3" t="str">
        <f ca="1">IF('Map 2 Do Touch'!K44&lt;&gt;'Map 2 Do Touch'!K45,IF('Map 2 Do Touch'!L45&gt;4,INDEX($AG$4:$AH$6,MATCH(INDEX($I$3:$L$6,MATCH(MOD('Map 2 Do Touch'!K45,4),$H$3:$H$6,0),MATCH(MOD('Map 2 Do Touch'!L45,4),$I$2:$L$2,0)),$AF$4:$AF$6,0),MATCH(IF('Map 2 Do Touch'!K45&gt;4,"Water","Land"),'Map 3'!$AG$3:$AH$3,0)),INDEX($AK$4:$AL$6,MATCH(INDEX($I$3:$L$6,MATCH(MOD('Map 2 Do Touch'!K45,4),$H$3:$H$6,0),MATCH(MOD('Map 2 Do Touch'!L45,4),$I$2:$L$2,0)),'Map 3'!$AJ$4:$AJ$6,0),MATCH(IF('Map 2 Do Touch'!K45&gt;4,"Water","Land"),'Map 3'!$AK$3:$AL$3,0))),IF('Map 2 Do Touch'!L45&gt;4,INDEX($AG$4:$AH$6,MATCH(INDEX($P$3:$S$6,MATCH(MOD('Map 2 Do Touch'!L44,4),$O$3:$O$6,0),MATCH(MOD('Map 2 Do Touch'!L45,4),$P$2:$S$2,0)),$AF$4:$AF$6,0),MATCH(IF('Map 2 Do Touch'!L44&gt;4,"Water","Land"),'Map 3'!$AG$3:$AH$3,0)),INDEX($AK$4:$AL$6,MATCH(INDEX($P$3:$S$6,MATCH(MOD('Map 2 Do Touch'!L44,4),$O$3:$O$6,0),MATCH(MOD('Map 2 Do Touch'!L45,4),$P$2:$S$2,0)),'Map 3'!$AJ$4:$AJ$6,0),MATCH(IF('Map 2 Do Touch'!L44&gt;4,"Water","Land"),'Map 3'!$AK$3:$AL$3,0))))</f>
        <v>Ocean</v>
      </c>
      <c r="M49" s="3" t="str">
        <f ca="1">IF('Map 2 Do Touch'!L44&lt;&gt;'Map 2 Do Touch'!L45,IF('Map 2 Do Touch'!M45&gt;4,INDEX($AG$4:$AH$6,MATCH(INDEX($I$3:$L$6,MATCH(MOD('Map 2 Do Touch'!L45,4),$H$3:$H$6,0),MATCH(MOD('Map 2 Do Touch'!M45,4),$I$2:$L$2,0)),$AF$4:$AF$6,0),MATCH(IF('Map 2 Do Touch'!L45&gt;4,"Water","Land"),'Map 3'!$AG$3:$AH$3,0)),INDEX($AK$4:$AL$6,MATCH(INDEX($I$3:$L$6,MATCH(MOD('Map 2 Do Touch'!L45,4),$H$3:$H$6,0),MATCH(MOD('Map 2 Do Touch'!M45,4),$I$2:$L$2,0)),'Map 3'!$AJ$4:$AJ$6,0),MATCH(IF('Map 2 Do Touch'!L45&gt;4,"Water","Land"),'Map 3'!$AK$3:$AL$3,0))),IF('Map 2 Do Touch'!M45&gt;4,INDEX($AG$4:$AH$6,MATCH(INDEX($P$3:$S$6,MATCH(MOD('Map 2 Do Touch'!M44,4),$O$3:$O$6,0),MATCH(MOD('Map 2 Do Touch'!M45,4),$P$2:$S$2,0)),$AF$4:$AF$6,0),MATCH(IF('Map 2 Do Touch'!M44&gt;4,"Water","Land"),'Map 3'!$AG$3:$AH$3,0)),INDEX($AK$4:$AL$6,MATCH(INDEX($P$3:$S$6,MATCH(MOD('Map 2 Do Touch'!M44,4),$O$3:$O$6,0),MATCH(MOD('Map 2 Do Touch'!M45,4),$P$2:$S$2,0)),'Map 3'!$AJ$4:$AJ$6,0),MATCH(IF('Map 2 Do Touch'!M44&gt;4,"Water","Land"),'Map 3'!$AK$3:$AL$3,0))))</f>
        <v>Coast</v>
      </c>
      <c r="N49" s="3" t="str">
        <f ca="1">IF('Map 2 Do Touch'!M44&lt;&gt;'Map 2 Do Touch'!M45,IF('Map 2 Do Touch'!N45&gt;4,INDEX($AG$4:$AH$6,MATCH(INDEX($I$3:$L$6,MATCH(MOD('Map 2 Do Touch'!M45,4),$H$3:$H$6,0),MATCH(MOD('Map 2 Do Touch'!N45,4),$I$2:$L$2,0)),$AF$4:$AF$6,0),MATCH(IF('Map 2 Do Touch'!M45&gt;4,"Water","Land"),'Map 3'!$AG$3:$AH$3,0)),INDEX($AK$4:$AL$6,MATCH(INDEX($I$3:$L$6,MATCH(MOD('Map 2 Do Touch'!M45,4),$H$3:$H$6,0),MATCH(MOD('Map 2 Do Touch'!N45,4),$I$2:$L$2,0)),'Map 3'!$AJ$4:$AJ$6,0),MATCH(IF('Map 2 Do Touch'!M45&gt;4,"Water","Land"),'Map 3'!$AK$3:$AL$3,0))),IF('Map 2 Do Touch'!N45&gt;4,INDEX($AG$4:$AH$6,MATCH(INDEX($P$3:$S$6,MATCH(MOD('Map 2 Do Touch'!N44,4),$O$3:$O$6,0),MATCH(MOD('Map 2 Do Touch'!N45,4),$P$2:$S$2,0)),$AF$4:$AF$6,0),MATCH(IF('Map 2 Do Touch'!N44&gt;4,"Water","Land"),'Map 3'!$AG$3:$AH$3,0)),INDEX($AK$4:$AL$6,MATCH(INDEX($P$3:$S$6,MATCH(MOD('Map 2 Do Touch'!N44,4),$O$3:$O$6,0),MATCH(MOD('Map 2 Do Touch'!N45,4),$P$2:$S$2,0)),'Map 3'!$AJ$4:$AJ$6,0),MATCH(IF('Map 2 Do Touch'!N44&gt;4,"Water","Land"),'Map 3'!$AK$3:$AL$3,0))))</f>
        <v>Coast</v>
      </c>
      <c r="O49" s="3" t="str">
        <f ca="1">IF('Map 2 Do Touch'!N44&lt;&gt;'Map 2 Do Touch'!N45,IF('Map 2 Do Touch'!O45&gt;4,INDEX($AG$4:$AH$6,MATCH(INDEX($I$3:$L$6,MATCH(MOD('Map 2 Do Touch'!N45,4),$H$3:$H$6,0),MATCH(MOD('Map 2 Do Touch'!O45,4),$I$2:$L$2,0)),$AF$4:$AF$6,0),MATCH(IF('Map 2 Do Touch'!N45&gt;4,"Water","Land"),'Map 3'!$AG$3:$AH$3,0)),INDEX($AK$4:$AL$6,MATCH(INDEX($I$3:$L$6,MATCH(MOD('Map 2 Do Touch'!N45,4),$H$3:$H$6,0),MATCH(MOD('Map 2 Do Touch'!O45,4),$I$2:$L$2,0)),'Map 3'!$AJ$4:$AJ$6,0),MATCH(IF('Map 2 Do Touch'!N45&gt;4,"Water","Land"),'Map 3'!$AK$3:$AL$3,0))),IF('Map 2 Do Touch'!O45&gt;4,INDEX($AG$4:$AH$6,MATCH(INDEX($P$3:$S$6,MATCH(MOD('Map 2 Do Touch'!O44,4),$O$3:$O$6,0),MATCH(MOD('Map 2 Do Touch'!O45,4),$P$2:$S$2,0)),$AF$4:$AF$6,0),MATCH(IF('Map 2 Do Touch'!O44&gt;4,"Water","Land"),'Map 3'!$AG$3:$AH$3,0)),INDEX($AK$4:$AL$6,MATCH(INDEX($P$3:$S$6,MATCH(MOD('Map 2 Do Touch'!O44,4),$O$3:$O$6,0),MATCH(MOD('Map 2 Do Touch'!O45,4),$P$2:$S$2,0)),'Map 3'!$AJ$4:$AJ$6,0),MATCH(IF('Map 2 Do Touch'!O44&gt;4,"Water","Land"),'Map 3'!$AK$3:$AL$3,0))))</f>
        <v>Flatland</v>
      </c>
      <c r="P49" s="3" t="str">
        <f ca="1">IF('Map 2 Do Touch'!O44&lt;&gt;'Map 2 Do Touch'!O45,IF('Map 2 Do Touch'!P45&gt;4,INDEX($AG$4:$AH$6,MATCH(INDEX($I$3:$L$6,MATCH(MOD('Map 2 Do Touch'!O45,4),$H$3:$H$6,0),MATCH(MOD('Map 2 Do Touch'!P45,4),$I$2:$L$2,0)),$AF$4:$AF$6,0),MATCH(IF('Map 2 Do Touch'!O45&gt;4,"Water","Land"),'Map 3'!$AG$3:$AH$3,0)),INDEX($AK$4:$AL$6,MATCH(INDEX($I$3:$L$6,MATCH(MOD('Map 2 Do Touch'!O45,4),$H$3:$H$6,0),MATCH(MOD('Map 2 Do Touch'!P45,4),$I$2:$L$2,0)),'Map 3'!$AJ$4:$AJ$6,0),MATCH(IF('Map 2 Do Touch'!O45&gt;4,"Water","Land"),'Map 3'!$AK$3:$AL$3,0))),IF('Map 2 Do Touch'!P45&gt;4,INDEX($AG$4:$AH$6,MATCH(INDEX($P$3:$S$6,MATCH(MOD('Map 2 Do Touch'!P44,4),$O$3:$O$6,0),MATCH(MOD('Map 2 Do Touch'!P45,4),$P$2:$S$2,0)),$AF$4:$AF$6,0),MATCH(IF('Map 2 Do Touch'!P44&gt;4,"Water","Land"),'Map 3'!$AG$3:$AH$3,0)),INDEX($AK$4:$AL$6,MATCH(INDEX($P$3:$S$6,MATCH(MOD('Map 2 Do Touch'!P44,4),$O$3:$O$6,0),MATCH(MOD('Map 2 Do Touch'!P45,4),$P$2:$S$2,0)),'Map 3'!$AJ$4:$AJ$6,0),MATCH(IF('Map 2 Do Touch'!P44&gt;4,"Water","Land"),'Map 3'!$AK$3:$AL$3,0))))</f>
        <v>Flatland</v>
      </c>
      <c r="Q49" s="3" t="str">
        <f ca="1">IF('Map 2 Do Touch'!P44&lt;&gt;'Map 2 Do Touch'!P45,IF('Map 2 Do Touch'!Q45&gt;4,INDEX($AG$4:$AH$6,MATCH(INDEX($I$3:$L$6,MATCH(MOD('Map 2 Do Touch'!P45,4),$H$3:$H$6,0),MATCH(MOD('Map 2 Do Touch'!Q45,4),$I$2:$L$2,0)),$AF$4:$AF$6,0),MATCH(IF('Map 2 Do Touch'!P45&gt;4,"Water","Land"),'Map 3'!$AG$3:$AH$3,0)),INDEX($AK$4:$AL$6,MATCH(INDEX($I$3:$L$6,MATCH(MOD('Map 2 Do Touch'!P45,4),$H$3:$H$6,0),MATCH(MOD('Map 2 Do Touch'!Q45,4),$I$2:$L$2,0)),'Map 3'!$AJ$4:$AJ$6,0),MATCH(IF('Map 2 Do Touch'!P45&gt;4,"Water","Land"),'Map 3'!$AK$3:$AL$3,0))),IF('Map 2 Do Touch'!Q45&gt;4,INDEX($AG$4:$AH$6,MATCH(INDEX($P$3:$S$6,MATCH(MOD('Map 2 Do Touch'!Q44,4),$O$3:$O$6,0),MATCH(MOD('Map 2 Do Touch'!Q45,4),$P$2:$S$2,0)),$AF$4:$AF$6,0),MATCH(IF('Map 2 Do Touch'!Q44&gt;4,"Water","Land"),'Map 3'!$AG$3:$AH$3,0)),INDEX($AK$4:$AL$6,MATCH(INDEX($P$3:$S$6,MATCH(MOD('Map 2 Do Touch'!Q44,4),$O$3:$O$6,0),MATCH(MOD('Map 2 Do Touch'!Q45,4),$P$2:$S$2,0)),'Map 3'!$AJ$4:$AJ$6,0),MATCH(IF('Map 2 Do Touch'!Q44&gt;4,"Water","Land"),'Map 3'!$AK$3:$AL$3,0))))</f>
        <v>Valley</v>
      </c>
      <c r="R49" s="3" t="str">
        <f ca="1">IF('Map 2 Do Touch'!Q44&lt;&gt;'Map 2 Do Touch'!Q45,IF('Map 2 Do Touch'!R45&gt;4,INDEX($AG$4:$AH$6,MATCH(INDEX($I$3:$L$6,MATCH(MOD('Map 2 Do Touch'!Q45,4),$H$3:$H$6,0),MATCH(MOD('Map 2 Do Touch'!R45,4),$I$2:$L$2,0)),$AF$4:$AF$6,0),MATCH(IF('Map 2 Do Touch'!Q45&gt;4,"Water","Land"),'Map 3'!$AG$3:$AH$3,0)),INDEX($AK$4:$AL$6,MATCH(INDEX($I$3:$L$6,MATCH(MOD('Map 2 Do Touch'!Q45,4),$H$3:$H$6,0),MATCH(MOD('Map 2 Do Touch'!R45,4),$I$2:$L$2,0)),'Map 3'!$AJ$4:$AJ$6,0),MATCH(IF('Map 2 Do Touch'!Q45&gt;4,"Water","Land"),'Map 3'!$AK$3:$AL$3,0))),IF('Map 2 Do Touch'!R45&gt;4,INDEX($AG$4:$AH$6,MATCH(INDEX($P$3:$S$6,MATCH(MOD('Map 2 Do Touch'!R44,4),$O$3:$O$6,0),MATCH(MOD('Map 2 Do Touch'!R45,4),$P$2:$S$2,0)),$AF$4:$AF$6,0),MATCH(IF('Map 2 Do Touch'!R44&gt;4,"Water","Land"),'Map 3'!$AG$3:$AH$3,0)),INDEX($AK$4:$AL$6,MATCH(INDEX($P$3:$S$6,MATCH(MOD('Map 2 Do Touch'!R44,4),$O$3:$O$6,0),MATCH(MOD('Map 2 Do Touch'!R45,4),$P$2:$S$2,0)),'Map 3'!$AJ$4:$AJ$6,0),MATCH(IF('Map 2 Do Touch'!R44&gt;4,"Water","Land"),'Map 3'!$AK$3:$AL$3,0))))</f>
        <v>Mountain</v>
      </c>
      <c r="S49" s="3" t="str">
        <f ca="1">IF('Map 2 Do Touch'!R44&lt;&gt;'Map 2 Do Touch'!R45,IF('Map 2 Do Touch'!S45&gt;4,INDEX($AG$4:$AH$6,MATCH(INDEX($I$3:$L$6,MATCH(MOD('Map 2 Do Touch'!R45,4),$H$3:$H$6,0),MATCH(MOD('Map 2 Do Touch'!S45,4),$I$2:$L$2,0)),$AF$4:$AF$6,0),MATCH(IF('Map 2 Do Touch'!R45&gt;4,"Water","Land"),'Map 3'!$AG$3:$AH$3,0)),INDEX($AK$4:$AL$6,MATCH(INDEX($I$3:$L$6,MATCH(MOD('Map 2 Do Touch'!R45,4),$H$3:$H$6,0),MATCH(MOD('Map 2 Do Touch'!S45,4),$I$2:$L$2,0)),'Map 3'!$AJ$4:$AJ$6,0),MATCH(IF('Map 2 Do Touch'!R45&gt;4,"Water","Land"),'Map 3'!$AK$3:$AL$3,0))),IF('Map 2 Do Touch'!S45&gt;4,INDEX($AG$4:$AH$6,MATCH(INDEX($P$3:$S$6,MATCH(MOD('Map 2 Do Touch'!S44,4),$O$3:$O$6,0),MATCH(MOD('Map 2 Do Touch'!S45,4),$P$2:$S$2,0)),$AF$4:$AF$6,0),MATCH(IF('Map 2 Do Touch'!S44&gt;4,"Water","Land"),'Map 3'!$AG$3:$AH$3,0)),INDEX($AK$4:$AL$6,MATCH(INDEX($P$3:$S$6,MATCH(MOD('Map 2 Do Touch'!S44,4),$O$3:$O$6,0),MATCH(MOD('Map 2 Do Touch'!S45,4),$P$2:$S$2,0)),'Map 3'!$AJ$4:$AJ$6,0),MATCH(IF('Map 2 Do Touch'!S44&gt;4,"Water","Land"),'Map 3'!$AK$3:$AL$3,0))))</f>
        <v>Coast</v>
      </c>
      <c r="T49" s="3" t="str">
        <f ca="1">IF('Map 2 Do Touch'!S44&lt;&gt;'Map 2 Do Touch'!S45,IF('Map 2 Do Touch'!T45&gt;4,INDEX($AG$4:$AH$6,MATCH(INDEX($I$3:$L$6,MATCH(MOD('Map 2 Do Touch'!S45,4),$H$3:$H$6,0),MATCH(MOD('Map 2 Do Touch'!T45,4),$I$2:$L$2,0)),$AF$4:$AF$6,0),MATCH(IF('Map 2 Do Touch'!S45&gt;4,"Water","Land"),'Map 3'!$AG$3:$AH$3,0)),INDEX($AK$4:$AL$6,MATCH(INDEX($I$3:$L$6,MATCH(MOD('Map 2 Do Touch'!S45,4),$H$3:$H$6,0),MATCH(MOD('Map 2 Do Touch'!T45,4),$I$2:$L$2,0)),'Map 3'!$AJ$4:$AJ$6,0),MATCH(IF('Map 2 Do Touch'!S45&gt;4,"Water","Land"),'Map 3'!$AK$3:$AL$3,0))),IF('Map 2 Do Touch'!T45&gt;4,INDEX($AG$4:$AH$6,MATCH(INDEX($P$3:$S$6,MATCH(MOD('Map 2 Do Touch'!T44,4),$O$3:$O$6,0),MATCH(MOD('Map 2 Do Touch'!T45,4),$P$2:$S$2,0)),$AF$4:$AF$6,0),MATCH(IF('Map 2 Do Touch'!T44&gt;4,"Water","Land"),'Map 3'!$AG$3:$AH$3,0)),INDEX($AK$4:$AL$6,MATCH(INDEX($P$3:$S$6,MATCH(MOD('Map 2 Do Touch'!T44,4),$O$3:$O$6,0),MATCH(MOD('Map 2 Do Touch'!T45,4),$P$2:$S$2,0)),'Map 3'!$AJ$4:$AJ$6,0),MATCH(IF('Map 2 Do Touch'!T44&gt;4,"Water","Land"),'Map 3'!$AK$3:$AL$3,0))))</f>
        <v>Flatland</v>
      </c>
      <c r="U49" s="3" t="str">
        <f ca="1">IF('Map 2 Do Touch'!T44&lt;&gt;'Map 2 Do Touch'!T45,IF('Map 2 Do Touch'!U45&gt;4,INDEX($AG$4:$AH$6,MATCH(INDEX($I$3:$L$6,MATCH(MOD('Map 2 Do Touch'!T45,4),$H$3:$H$6,0),MATCH(MOD('Map 2 Do Touch'!U45,4),$I$2:$L$2,0)),$AF$4:$AF$6,0),MATCH(IF('Map 2 Do Touch'!T45&gt;4,"Water","Land"),'Map 3'!$AG$3:$AH$3,0)),INDEX($AK$4:$AL$6,MATCH(INDEX($I$3:$L$6,MATCH(MOD('Map 2 Do Touch'!T45,4),$H$3:$H$6,0),MATCH(MOD('Map 2 Do Touch'!U45,4),$I$2:$L$2,0)),'Map 3'!$AJ$4:$AJ$6,0),MATCH(IF('Map 2 Do Touch'!T45&gt;4,"Water","Land"),'Map 3'!$AK$3:$AL$3,0))),IF('Map 2 Do Touch'!U45&gt;4,INDEX($AG$4:$AH$6,MATCH(INDEX($P$3:$S$6,MATCH(MOD('Map 2 Do Touch'!U44,4),$O$3:$O$6,0),MATCH(MOD('Map 2 Do Touch'!U45,4),$P$2:$S$2,0)),$AF$4:$AF$6,0),MATCH(IF('Map 2 Do Touch'!U44&gt;4,"Water","Land"),'Map 3'!$AG$3:$AH$3,0)),INDEX($AK$4:$AL$6,MATCH(INDEX($P$3:$S$6,MATCH(MOD('Map 2 Do Touch'!U44,4),$O$3:$O$6,0),MATCH(MOD('Map 2 Do Touch'!U45,4),$P$2:$S$2,0)),'Map 3'!$AJ$4:$AJ$6,0),MATCH(IF('Map 2 Do Touch'!U44&gt;4,"Water","Land"),'Map 3'!$AK$3:$AL$3,0))))</f>
        <v>Coast</v>
      </c>
      <c r="V49" s="3" t="str">
        <f ca="1">IF('Map 2 Do Touch'!U44&lt;&gt;'Map 2 Do Touch'!U45,IF('Map 2 Do Touch'!V45&gt;4,INDEX($AG$4:$AH$6,MATCH(INDEX($I$3:$L$6,MATCH(MOD('Map 2 Do Touch'!U45,4),$H$3:$H$6,0),MATCH(MOD('Map 2 Do Touch'!V45,4),$I$2:$L$2,0)),$AF$4:$AF$6,0),MATCH(IF('Map 2 Do Touch'!U45&gt;4,"Water","Land"),'Map 3'!$AG$3:$AH$3,0)),INDEX($AK$4:$AL$6,MATCH(INDEX($I$3:$L$6,MATCH(MOD('Map 2 Do Touch'!U45,4),$H$3:$H$6,0),MATCH(MOD('Map 2 Do Touch'!V45,4),$I$2:$L$2,0)),'Map 3'!$AJ$4:$AJ$6,0),MATCH(IF('Map 2 Do Touch'!U45&gt;4,"Water","Land"),'Map 3'!$AK$3:$AL$3,0))),IF('Map 2 Do Touch'!V45&gt;4,INDEX($AG$4:$AH$6,MATCH(INDEX($P$3:$S$6,MATCH(MOD('Map 2 Do Touch'!V44,4),$O$3:$O$6,0),MATCH(MOD('Map 2 Do Touch'!V45,4),$P$2:$S$2,0)),$AF$4:$AF$6,0),MATCH(IF('Map 2 Do Touch'!V44&gt;4,"Water","Land"),'Map 3'!$AG$3:$AH$3,0)),INDEX($AK$4:$AL$6,MATCH(INDEX($P$3:$S$6,MATCH(MOD('Map 2 Do Touch'!V44,4),$O$3:$O$6,0),MATCH(MOD('Map 2 Do Touch'!V45,4),$P$2:$S$2,0)),'Map 3'!$AJ$4:$AJ$6,0),MATCH(IF('Map 2 Do Touch'!V44&gt;4,"Water","Land"),'Map 3'!$AK$3:$AL$3,0))))</f>
        <v>Coast</v>
      </c>
      <c r="W49" s="3" t="str">
        <f ca="1">IF('Map 2 Do Touch'!V44&lt;&gt;'Map 2 Do Touch'!V45,IF('Map 2 Do Touch'!W45&gt;4,INDEX($AG$4:$AH$6,MATCH(INDEX($I$3:$L$6,MATCH(MOD('Map 2 Do Touch'!V45,4),$H$3:$H$6,0),MATCH(MOD('Map 2 Do Touch'!W45,4),$I$2:$L$2,0)),$AF$4:$AF$6,0),MATCH(IF('Map 2 Do Touch'!V45&gt;4,"Water","Land"),'Map 3'!$AG$3:$AH$3,0)),INDEX($AK$4:$AL$6,MATCH(INDEX($I$3:$L$6,MATCH(MOD('Map 2 Do Touch'!V45,4),$H$3:$H$6,0),MATCH(MOD('Map 2 Do Touch'!W45,4),$I$2:$L$2,0)),'Map 3'!$AJ$4:$AJ$6,0),MATCH(IF('Map 2 Do Touch'!V45&gt;4,"Water","Land"),'Map 3'!$AK$3:$AL$3,0))),IF('Map 2 Do Touch'!W45&gt;4,INDEX($AG$4:$AH$6,MATCH(INDEX($P$3:$S$6,MATCH(MOD('Map 2 Do Touch'!W44,4),$O$3:$O$6,0),MATCH(MOD('Map 2 Do Touch'!W45,4),$P$2:$S$2,0)),$AF$4:$AF$6,0),MATCH(IF('Map 2 Do Touch'!W44&gt;4,"Water","Land"),'Map 3'!$AG$3:$AH$3,0)),INDEX($AK$4:$AL$6,MATCH(INDEX($P$3:$S$6,MATCH(MOD('Map 2 Do Touch'!W44,4),$O$3:$O$6,0),MATCH(MOD('Map 2 Do Touch'!W45,4),$P$2:$S$2,0)),'Map 3'!$AJ$4:$AJ$6,0),MATCH(IF('Map 2 Do Touch'!W44&gt;4,"Water","Land"),'Map 3'!$AK$3:$AL$3,0))))</f>
        <v>Ocean</v>
      </c>
      <c r="X49" s="3" t="str">
        <f ca="1">IF('Map 2 Do Touch'!W44&lt;&gt;'Map 2 Do Touch'!W45,IF('Map 2 Do Touch'!X45&gt;4,INDEX($AG$4:$AH$6,MATCH(INDEX($I$3:$L$6,MATCH(MOD('Map 2 Do Touch'!W45,4),$H$3:$H$6,0),MATCH(MOD('Map 2 Do Touch'!X45,4),$I$2:$L$2,0)),$AF$4:$AF$6,0),MATCH(IF('Map 2 Do Touch'!W45&gt;4,"Water","Land"),'Map 3'!$AG$3:$AH$3,0)),INDEX($AK$4:$AL$6,MATCH(INDEX($I$3:$L$6,MATCH(MOD('Map 2 Do Touch'!W45,4),$H$3:$H$6,0),MATCH(MOD('Map 2 Do Touch'!X45,4),$I$2:$L$2,0)),'Map 3'!$AJ$4:$AJ$6,0),MATCH(IF('Map 2 Do Touch'!W45&gt;4,"Water","Land"),'Map 3'!$AK$3:$AL$3,0))),IF('Map 2 Do Touch'!X45&gt;4,INDEX($AG$4:$AH$6,MATCH(INDEX($P$3:$S$6,MATCH(MOD('Map 2 Do Touch'!X44,4),$O$3:$O$6,0),MATCH(MOD('Map 2 Do Touch'!X45,4),$P$2:$S$2,0)),$AF$4:$AF$6,0),MATCH(IF('Map 2 Do Touch'!X44&gt;4,"Water","Land"),'Map 3'!$AG$3:$AH$3,0)),INDEX($AK$4:$AL$6,MATCH(INDEX($P$3:$S$6,MATCH(MOD('Map 2 Do Touch'!X44,4),$O$3:$O$6,0),MATCH(MOD('Map 2 Do Touch'!X45,4),$P$2:$S$2,0)),'Map 3'!$AJ$4:$AJ$6,0),MATCH(IF('Map 2 Do Touch'!X44&gt;4,"Water","Land"),'Map 3'!$AK$3:$AL$3,0))))</f>
        <v>Ocean</v>
      </c>
      <c r="Y49" s="3" t="str">
        <f ca="1">IF('Map 2 Do Touch'!X44&lt;&gt;'Map 2 Do Touch'!X45,IF('Map 2 Do Touch'!Y45&gt;4,INDEX($AG$4:$AH$6,MATCH(INDEX($I$3:$L$6,MATCH(MOD('Map 2 Do Touch'!X45,4),$H$3:$H$6,0),MATCH(MOD('Map 2 Do Touch'!Y45,4),$I$2:$L$2,0)),$AF$4:$AF$6,0),MATCH(IF('Map 2 Do Touch'!X45&gt;4,"Water","Land"),'Map 3'!$AG$3:$AH$3,0)),INDEX($AK$4:$AL$6,MATCH(INDEX($I$3:$L$6,MATCH(MOD('Map 2 Do Touch'!X45,4),$H$3:$H$6,0),MATCH(MOD('Map 2 Do Touch'!Y45,4),$I$2:$L$2,0)),'Map 3'!$AJ$4:$AJ$6,0),MATCH(IF('Map 2 Do Touch'!X45&gt;4,"Water","Land"),'Map 3'!$AK$3:$AL$3,0))),IF('Map 2 Do Touch'!Y45&gt;4,INDEX($AG$4:$AH$6,MATCH(INDEX($P$3:$S$6,MATCH(MOD('Map 2 Do Touch'!Y44,4),$O$3:$O$6,0),MATCH(MOD('Map 2 Do Touch'!Y45,4),$P$2:$S$2,0)),$AF$4:$AF$6,0),MATCH(IF('Map 2 Do Touch'!Y44&gt;4,"Water","Land"),'Map 3'!$AG$3:$AH$3,0)),INDEX($AK$4:$AL$6,MATCH(INDEX($P$3:$S$6,MATCH(MOD('Map 2 Do Touch'!Y44,4),$O$3:$O$6,0),MATCH(MOD('Map 2 Do Touch'!Y45,4),$P$2:$S$2,0)),'Map 3'!$AJ$4:$AJ$6,0),MATCH(IF('Map 2 Do Touch'!Y44&gt;4,"Water","Land"),'Map 3'!$AK$3:$AL$3,0))))</f>
        <v>Ocean</v>
      </c>
      <c r="Z49" s="3" t="str">
        <f ca="1">IF('Map 2 Do Touch'!Y44&lt;&gt;'Map 2 Do Touch'!Y45,IF('Map 2 Do Touch'!Z45&gt;4,INDEX($AG$4:$AH$6,MATCH(INDEX($I$3:$L$6,MATCH(MOD('Map 2 Do Touch'!Y45,4),$H$3:$H$6,0),MATCH(MOD('Map 2 Do Touch'!Z45,4),$I$2:$L$2,0)),$AF$4:$AF$6,0),MATCH(IF('Map 2 Do Touch'!Y45&gt;4,"Water","Land"),'Map 3'!$AG$3:$AH$3,0)),INDEX($AK$4:$AL$6,MATCH(INDEX($I$3:$L$6,MATCH(MOD('Map 2 Do Touch'!Y45,4),$H$3:$H$6,0),MATCH(MOD('Map 2 Do Touch'!Z45,4),$I$2:$L$2,0)),'Map 3'!$AJ$4:$AJ$6,0),MATCH(IF('Map 2 Do Touch'!Y45&gt;4,"Water","Land"),'Map 3'!$AK$3:$AL$3,0))),IF('Map 2 Do Touch'!Z45&gt;4,INDEX($AG$4:$AH$6,MATCH(INDEX($P$3:$S$6,MATCH(MOD('Map 2 Do Touch'!Z44,4),$O$3:$O$6,0),MATCH(MOD('Map 2 Do Touch'!Z45,4),$P$2:$S$2,0)),$AF$4:$AF$6,0),MATCH(IF('Map 2 Do Touch'!Z44&gt;4,"Water","Land"),'Map 3'!$AG$3:$AH$3,0)),INDEX($AK$4:$AL$6,MATCH(INDEX($P$3:$S$6,MATCH(MOD('Map 2 Do Touch'!Z44,4),$O$3:$O$6,0),MATCH(MOD('Map 2 Do Touch'!Z45,4),$P$2:$S$2,0)),'Map 3'!$AJ$4:$AJ$6,0),MATCH(IF('Map 2 Do Touch'!Z44&gt;4,"Water","Land"),'Map 3'!$AK$3:$AL$3,0))))</f>
        <v>Ocean</v>
      </c>
      <c r="AA49" s="3" t="str">
        <f ca="1">IF('Map 2 Do Touch'!Z44&lt;&gt;'Map 2 Do Touch'!Z45,IF('Map 2 Do Touch'!AA45&gt;4,INDEX($AG$4:$AH$6,MATCH(INDEX($I$3:$L$6,MATCH(MOD('Map 2 Do Touch'!Z45,4),$H$3:$H$6,0),MATCH(MOD('Map 2 Do Touch'!AA45,4),$I$2:$L$2,0)),$AF$4:$AF$6,0),MATCH(IF('Map 2 Do Touch'!Z45&gt;4,"Water","Land"),'Map 3'!$AG$3:$AH$3,0)),INDEX($AK$4:$AL$6,MATCH(INDEX($I$3:$L$6,MATCH(MOD('Map 2 Do Touch'!Z45,4),$H$3:$H$6,0),MATCH(MOD('Map 2 Do Touch'!AA45,4),$I$2:$L$2,0)),'Map 3'!$AJ$4:$AJ$6,0),MATCH(IF('Map 2 Do Touch'!Z45&gt;4,"Water","Land"),'Map 3'!$AK$3:$AL$3,0))),IF('Map 2 Do Touch'!AA45&gt;4,INDEX($AG$4:$AH$6,MATCH(INDEX($P$3:$S$6,MATCH(MOD('Map 2 Do Touch'!AA44,4),$O$3:$O$6,0),MATCH(MOD('Map 2 Do Touch'!AA45,4),$P$2:$S$2,0)),$AF$4:$AF$6,0),MATCH(IF('Map 2 Do Touch'!AA44&gt;4,"Water","Land"),'Map 3'!$AG$3:$AH$3,0)),INDEX($AK$4:$AL$6,MATCH(INDEX($P$3:$S$6,MATCH(MOD('Map 2 Do Touch'!AA44,4),$O$3:$O$6,0),MATCH(MOD('Map 2 Do Touch'!AA45,4),$P$2:$S$2,0)),'Map 3'!$AJ$4:$AJ$6,0),MATCH(IF('Map 2 Do Touch'!AA44&gt;4,"Water","Land"),'Map 3'!$AK$3:$AL$3,0))))</f>
        <v>Ocean</v>
      </c>
      <c r="AB49" s="3" t="str">
        <f ca="1">IF('Map 2 Do Touch'!AA44&lt;&gt;'Map 2 Do Touch'!AA45,IF('Map 2 Do Touch'!AB45&gt;4,INDEX($AG$4:$AH$6,MATCH(INDEX($I$3:$L$6,MATCH(MOD('Map 2 Do Touch'!AA45,4),$H$3:$H$6,0),MATCH(MOD('Map 2 Do Touch'!AB45,4),$I$2:$L$2,0)),$AF$4:$AF$6,0),MATCH(IF('Map 2 Do Touch'!AA45&gt;4,"Water","Land"),'Map 3'!$AG$3:$AH$3,0)),INDEX($AK$4:$AL$6,MATCH(INDEX($I$3:$L$6,MATCH(MOD('Map 2 Do Touch'!AA45,4),$H$3:$H$6,0),MATCH(MOD('Map 2 Do Touch'!AB45,4),$I$2:$L$2,0)),'Map 3'!$AJ$4:$AJ$6,0),MATCH(IF('Map 2 Do Touch'!AA45&gt;4,"Water","Land"),'Map 3'!$AK$3:$AL$3,0))),IF('Map 2 Do Touch'!AB45&gt;4,INDEX($AG$4:$AH$6,MATCH(INDEX($P$3:$S$6,MATCH(MOD('Map 2 Do Touch'!AB44,4),$O$3:$O$6,0),MATCH(MOD('Map 2 Do Touch'!AB45,4),$P$2:$S$2,0)),$AF$4:$AF$6,0),MATCH(IF('Map 2 Do Touch'!AB44&gt;4,"Water","Land"),'Map 3'!$AG$3:$AH$3,0)),INDEX($AK$4:$AL$6,MATCH(INDEX($P$3:$S$6,MATCH(MOD('Map 2 Do Touch'!AB44,4),$O$3:$O$6,0),MATCH(MOD('Map 2 Do Touch'!AB45,4),$P$2:$S$2,0)),'Map 3'!$AJ$4:$AJ$6,0),MATCH(IF('Map 2 Do Touch'!AB44&gt;4,"Water","Land"),'Map 3'!$AK$3:$AL$3,0))))</f>
        <v>Ocean</v>
      </c>
      <c r="AC49" s="3" t="str">
        <f ca="1">IF('Map 2 Do Touch'!AB44&lt;&gt;'Map 2 Do Touch'!AB45,IF('Map 2 Do Touch'!AC45&gt;4,INDEX($AG$4:$AH$6,MATCH(INDEX($I$3:$L$6,MATCH(MOD('Map 2 Do Touch'!AB45,4),$H$3:$H$6,0),MATCH(MOD('Map 2 Do Touch'!AC45,4),$I$2:$L$2,0)),$AF$4:$AF$6,0),MATCH(IF('Map 2 Do Touch'!AB45&gt;4,"Water","Land"),'Map 3'!$AG$3:$AH$3,0)),INDEX($AK$4:$AL$6,MATCH(INDEX($I$3:$L$6,MATCH(MOD('Map 2 Do Touch'!AB45,4),$H$3:$H$6,0),MATCH(MOD('Map 2 Do Touch'!AC45,4),$I$2:$L$2,0)),'Map 3'!$AJ$4:$AJ$6,0),MATCH(IF('Map 2 Do Touch'!AB45&gt;4,"Water","Land"),'Map 3'!$AK$3:$AL$3,0))),IF('Map 2 Do Touch'!AC45&gt;4,INDEX($AG$4:$AH$6,MATCH(INDEX($P$3:$S$6,MATCH(MOD('Map 2 Do Touch'!AC44,4),$O$3:$O$6,0),MATCH(MOD('Map 2 Do Touch'!AC45,4),$P$2:$S$2,0)),$AF$4:$AF$6,0),MATCH(IF('Map 2 Do Touch'!AC44&gt;4,"Water","Land"),'Map 3'!$AG$3:$AH$3,0)),INDEX($AK$4:$AL$6,MATCH(INDEX($P$3:$S$6,MATCH(MOD('Map 2 Do Touch'!AC44,4),$O$3:$O$6,0),MATCH(MOD('Map 2 Do Touch'!AC45,4),$P$2:$S$2,0)),'Map 3'!$AJ$4:$AJ$6,0),MATCH(IF('Map 2 Do Touch'!AC44&gt;4,"Water","Land"),'Map 3'!$AK$3:$AL$3,0))))</f>
        <v>Ocean</v>
      </c>
      <c r="AD49" s="3" t="str">
        <f ca="1">IF('Map 2 Do Touch'!AC44&lt;&gt;'Map 2 Do Touch'!AC45,IF('Map 2 Do Touch'!AD45&gt;4,INDEX($AG$4:$AH$6,MATCH(INDEX($I$3:$L$6,MATCH(MOD('Map 2 Do Touch'!AC45,4),$H$3:$H$6,0),MATCH(MOD('Map 2 Do Touch'!AD45,4),$I$2:$L$2,0)),$AF$4:$AF$6,0),MATCH(IF('Map 2 Do Touch'!AC45&gt;4,"Water","Land"),'Map 3'!$AG$3:$AH$3,0)),INDEX($AK$4:$AL$6,MATCH(INDEX($I$3:$L$6,MATCH(MOD('Map 2 Do Touch'!AC45,4),$H$3:$H$6,0),MATCH(MOD('Map 2 Do Touch'!AD45,4),$I$2:$L$2,0)),'Map 3'!$AJ$4:$AJ$6,0),MATCH(IF('Map 2 Do Touch'!AC45&gt;4,"Water","Land"),'Map 3'!$AK$3:$AL$3,0))),IF('Map 2 Do Touch'!AD45&gt;4,INDEX($AG$4:$AH$6,MATCH(INDEX($P$3:$S$6,MATCH(MOD('Map 2 Do Touch'!AD44,4),$O$3:$O$6,0),MATCH(MOD('Map 2 Do Touch'!AD45,4),$P$2:$S$2,0)),$AF$4:$AF$6,0),MATCH(IF('Map 2 Do Touch'!AD44&gt;4,"Water","Land"),'Map 3'!$AG$3:$AH$3,0)),INDEX($AK$4:$AL$6,MATCH(INDEX($P$3:$S$6,MATCH(MOD('Map 2 Do Touch'!AD44,4),$O$3:$O$6,0),MATCH(MOD('Map 2 Do Touch'!AD45,4),$P$2:$S$2,0)),'Map 3'!$AJ$4:$AJ$6,0),MATCH(IF('Map 2 Do Touch'!AD44&gt;4,"Water","Land"),'Map 3'!$AK$3:$AL$3,0))))</f>
        <v>Ocean</v>
      </c>
      <c r="AE49" s="3" t="str">
        <f ca="1">IF('Map 2 Do Touch'!AD44&lt;&gt;'Map 2 Do Touch'!AD45,IF('Map 2 Do Touch'!AE45&gt;4,INDEX($AG$4:$AH$6,MATCH(INDEX($I$3:$L$6,MATCH(MOD('Map 2 Do Touch'!AD45,4),$H$3:$H$6,0),MATCH(MOD('Map 2 Do Touch'!AE45,4),$I$2:$L$2,0)),$AF$4:$AF$6,0),MATCH(IF('Map 2 Do Touch'!AD45&gt;4,"Water","Land"),'Map 3'!$AG$3:$AH$3,0)),INDEX($AK$4:$AL$6,MATCH(INDEX($I$3:$L$6,MATCH(MOD('Map 2 Do Touch'!AD45,4),$H$3:$H$6,0),MATCH(MOD('Map 2 Do Touch'!AE45,4),$I$2:$L$2,0)),'Map 3'!$AJ$4:$AJ$6,0),MATCH(IF('Map 2 Do Touch'!AD45&gt;4,"Water","Land"),'Map 3'!$AK$3:$AL$3,0))),IF('Map 2 Do Touch'!AE45&gt;4,INDEX($AG$4:$AH$6,MATCH(INDEX($P$3:$S$6,MATCH(MOD('Map 2 Do Touch'!AE44,4),$O$3:$O$6,0),MATCH(MOD('Map 2 Do Touch'!AE45,4),$P$2:$S$2,0)),$AF$4:$AF$6,0),MATCH(IF('Map 2 Do Touch'!AE44&gt;4,"Water","Land"),'Map 3'!$AG$3:$AH$3,0)),INDEX($AK$4:$AL$6,MATCH(INDEX($P$3:$S$6,MATCH(MOD('Map 2 Do Touch'!AE44,4),$O$3:$O$6,0),MATCH(MOD('Map 2 Do Touch'!AE45,4),$P$2:$S$2,0)),'Map 3'!$AJ$4:$AJ$6,0),MATCH(IF('Map 2 Do Touch'!AE44&gt;4,"Water","Land"),'Map 3'!$AK$3:$AL$3,0))))</f>
        <v>Ocean</v>
      </c>
      <c r="AF49" s="3" t="str">
        <f ca="1">IF('Map 2 Do Touch'!AE44&lt;&gt;'Map 2 Do Touch'!AE45,IF('Map 2 Do Touch'!AF45&gt;4,INDEX($AG$4:$AH$6,MATCH(INDEX($I$3:$L$6,MATCH(MOD('Map 2 Do Touch'!AE45,4),$H$3:$H$6,0),MATCH(MOD('Map 2 Do Touch'!AF45,4),$I$2:$L$2,0)),$AF$4:$AF$6,0),MATCH(IF('Map 2 Do Touch'!AE45&gt;4,"Water","Land"),'Map 3'!$AG$3:$AH$3,0)),INDEX($AK$4:$AL$6,MATCH(INDEX($I$3:$L$6,MATCH(MOD('Map 2 Do Touch'!AE45,4),$H$3:$H$6,0),MATCH(MOD('Map 2 Do Touch'!AF45,4),$I$2:$L$2,0)),'Map 3'!$AJ$4:$AJ$6,0),MATCH(IF('Map 2 Do Touch'!AE45&gt;4,"Water","Land"),'Map 3'!$AK$3:$AL$3,0))),IF('Map 2 Do Touch'!AF45&gt;4,INDEX($AG$4:$AH$6,MATCH(INDEX($P$3:$S$6,MATCH(MOD('Map 2 Do Touch'!AF44,4),$O$3:$O$6,0),MATCH(MOD('Map 2 Do Touch'!AF45,4),$P$2:$S$2,0)),$AF$4:$AF$6,0),MATCH(IF('Map 2 Do Touch'!AF44&gt;4,"Water","Land"),'Map 3'!$AG$3:$AH$3,0)),INDEX($AK$4:$AL$6,MATCH(INDEX($P$3:$S$6,MATCH(MOD('Map 2 Do Touch'!AF44,4),$O$3:$O$6,0),MATCH(MOD('Map 2 Do Touch'!AF45,4),$P$2:$S$2,0)),'Map 3'!$AJ$4:$AJ$6,0),MATCH(IF('Map 2 Do Touch'!AF44&gt;4,"Water","Land"),'Map 3'!$AK$3:$AL$3,0))))</f>
        <v>Ocean</v>
      </c>
      <c r="AG49" s="3" t="str">
        <f ca="1">IF('Map 2 Do Touch'!AF44&lt;&gt;'Map 2 Do Touch'!AF45,IF('Map 2 Do Touch'!AG45&gt;4,INDEX($AG$4:$AH$6,MATCH(INDEX($I$3:$L$6,MATCH(MOD('Map 2 Do Touch'!AF45,4),$H$3:$H$6,0),MATCH(MOD('Map 2 Do Touch'!AG45,4),$I$2:$L$2,0)),$AF$4:$AF$6,0),MATCH(IF('Map 2 Do Touch'!AF45&gt;4,"Water","Land"),'Map 3'!$AG$3:$AH$3,0)),INDEX($AK$4:$AL$6,MATCH(INDEX($I$3:$L$6,MATCH(MOD('Map 2 Do Touch'!AF45,4),$H$3:$H$6,0),MATCH(MOD('Map 2 Do Touch'!AG45,4),$I$2:$L$2,0)),'Map 3'!$AJ$4:$AJ$6,0),MATCH(IF('Map 2 Do Touch'!AF45&gt;4,"Water","Land"),'Map 3'!$AK$3:$AL$3,0))),IF('Map 2 Do Touch'!AG45&gt;4,INDEX($AG$4:$AH$6,MATCH(INDEX($P$3:$S$6,MATCH(MOD('Map 2 Do Touch'!AG44,4),$O$3:$O$6,0),MATCH(MOD('Map 2 Do Touch'!AG45,4),$P$2:$S$2,0)),$AF$4:$AF$6,0),MATCH(IF('Map 2 Do Touch'!AG44&gt;4,"Water","Land"),'Map 3'!$AG$3:$AH$3,0)),INDEX($AK$4:$AL$6,MATCH(INDEX($P$3:$S$6,MATCH(MOD('Map 2 Do Touch'!AG44,4),$O$3:$O$6,0),MATCH(MOD('Map 2 Do Touch'!AG45,4),$P$2:$S$2,0)),'Map 3'!$AJ$4:$AJ$6,0),MATCH(IF('Map 2 Do Touch'!AG44&gt;4,"Water","Land"),'Map 3'!$AK$3:$AL$3,0))))</f>
        <v>Ocean</v>
      </c>
      <c r="AH49" s="3" t="str">
        <f ca="1">IF('Map 2 Do Touch'!AG44&lt;&gt;'Map 2 Do Touch'!AG45,IF('Map 2 Do Touch'!AH45&gt;4,INDEX($AG$4:$AH$6,MATCH(INDEX($I$3:$L$6,MATCH(MOD('Map 2 Do Touch'!AG45,4),$H$3:$H$6,0),MATCH(MOD('Map 2 Do Touch'!AH45,4),$I$2:$L$2,0)),$AF$4:$AF$6,0),MATCH(IF('Map 2 Do Touch'!AG45&gt;4,"Water","Land"),'Map 3'!$AG$3:$AH$3,0)),INDEX($AK$4:$AL$6,MATCH(INDEX($I$3:$L$6,MATCH(MOD('Map 2 Do Touch'!AG45,4),$H$3:$H$6,0),MATCH(MOD('Map 2 Do Touch'!AH45,4),$I$2:$L$2,0)),'Map 3'!$AJ$4:$AJ$6,0),MATCH(IF('Map 2 Do Touch'!AG45&gt;4,"Water","Land"),'Map 3'!$AK$3:$AL$3,0))),IF('Map 2 Do Touch'!AH45&gt;4,INDEX($AG$4:$AH$6,MATCH(INDEX($P$3:$S$6,MATCH(MOD('Map 2 Do Touch'!AH44,4),$O$3:$O$6,0),MATCH(MOD('Map 2 Do Touch'!AH45,4),$P$2:$S$2,0)),$AF$4:$AF$6,0),MATCH(IF('Map 2 Do Touch'!AH44&gt;4,"Water","Land"),'Map 3'!$AG$3:$AH$3,0)),INDEX($AK$4:$AL$6,MATCH(INDEX($P$3:$S$6,MATCH(MOD('Map 2 Do Touch'!AH44,4),$O$3:$O$6,0),MATCH(MOD('Map 2 Do Touch'!AH45,4),$P$2:$S$2,0)),'Map 3'!$AJ$4:$AJ$6,0),MATCH(IF('Map 2 Do Touch'!AH44&gt;4,"Water","Land"),'Map 3'!$AK$3:$AL$3,0))))</f>
        <v>Ocean</v>
      </c>
      <c r="AI49" s="3" t="str">
        <f ca="1">IF('Map 2 Do Touch'!AH44&lt;&gt;'Map 2 Do Touch'!AH45,IF('Map 2 Do Touch'!AI45&gt;4,INDEX($AG$4:$AH$6,MATCH(INDEX($I$3:$L$6,MATCH(MOD('Map 2 Do Touch'!AH45,4),$H$3:$H$6,0),MATCH(MOD('Map 2 Do Touch'!AI45,4),$I$2:$L$2,0)),$AF$4:$AF$6,0),MATCH(IF('Map 2 Do Touch'!AH45&gt;4,"Water","Land"),'Map 3'!$AG$3:$AH$3,0)),INDEX($AK$4:$AL$6,MATCH(INDEX($I$3:$L$6,MATCH(MOD('Map 2 Do Touch'!AH45,4),$H$3:$H$6,0),MATCH(MOD('Map 2 Do Touch'!AI45,4),$I$2:$L$2,0)),'Map 3'!$AJ$4:$AJ$6,0),MATCH(IF('Map 2 Do Touch'!AH45&gt;4,"Water","Land"),'Map 3'!$AK$3:$AL$3,0))),IF('Map 2 Do Touch'!AI45&gt;4,INDEX($AG$4:$AH$6,MATCH(INDEX($P$3:$S$6,MATCH(MOD('Map 2 Do Touch'!AI44,4),$O$3:$O$6,0),MATCH(MOD('Map 2 Do Touch'!AI45,4),$P$2:$S$2,0)),$AF$4:$AF$6,0),MATCH(IF('Map 2 Do Touch'!AI44&gt;4,"Water","Land"),'Map 3'!$AG$3:$AH$3,0)),INDEX($AK$4:$AL$6,MATCH(INDEX($P$3:$S$6,MATCH(MOD('Map 2 Do Touch'!AI44,4),$O$3:$O$6,0),MATCH(MOD('Map 2 Do Touch'!AI45,4),$P$2:$S$2,0)),'Map 3'!$AJ$4:$AJ$6,0),MATCH(IF('Map 2 Do Touch'!AI44&gt;4,"Water","Land"),'Map 3'!$AK$3:$AL$3,0))))</f>
        <v>Ocean</v>
      </c>
      <c r="AJ49" s="3" t="str">
        <f ca="1">IF('Map 2 Do Touch'!AI44&lt;&gt;'Map 2 Do Touch'!AI45,IF('Map 2 Do Touch'!AJ45&gt;4,INDEX($AG$4:$AH$6,MATCH(INDEX($I$3:$L$6,MATCH(MOD('Map 2 Do Touch'!AI45,4),$H$3:$H$6,0),MATCH(MOD('Map 2 Do Touch'!AJ45,4),$I$2:$L$2,0)),$AF$4:$AF$6,0),MATCH(IF('Map 2 Do Touch'!AI45&gt;4,"Water","Land"),'Map 3'!$AG$3:$AH$3,0)),INDEX($AK$4:$AL$6,MATCH(INDEX($I$3:$L$6,MATCH(MOD('Map 2 Do Touch'!AI45,4),$H$3:$H$6,0),MATCH(MOD('Map 2 Do Touch'!AJ45,4),$I$2:$L$2,0)),'Map 3'!$AJ$4:$AJ$6,0),MATCH(IF('Map 2 Do Touch'!AI45&gt;4,"Water","Land"),'Map 3'!$AK$3:$AL$3,0))),IF('Map 2 Do Touch'!AJ45&gt;4,INDEX($AG$4:$AH$6,MATCH(INDEX($P$3:$S$6,MATCH(MOD('Map 2 Do Touch'!AJ44,4),$O$3:$O$6,0),MATCH(MOD('Map 2 Do Touch'!AJ45,4),$P$2:$S$2,0)),$AF$4:$AF$6,0),MATCH(IF('Map 2 Do Touch'!AJ44&gt;4,"Water","Land"),'Map 3'!$AG$3:$AH$3,0)),INDEX($AK$4:$AL$6,MATCH(INDEX($P$3:$S$6,MATCH(MOD('Map 2 Do Touch'!AJ44,4),$O$3:$O$6,0),MATCH(MOD('Map 2 Do Touch'!AJ45,4),$P$2:$S$2,0)),'Map 3'!$AJ$4:$AJ$6,0),MATCH(IF('Map 2 Do Touch'!AJ44&gt;4,"Water","Land"),'Map 3'!$AK$3:$AL$3,0))))</f>
        <v>Ocean</v>
      </c>
      <c r="AK49" s="3" t="str">
        <f ca="1">IF('Map 2 Do Touch'!AJ44&lt;&gt;'Map 2 Do Touch'!AJ45,IF('Map 2 Do Touch'!AK45&gt;4,INDEX($AG$4:$AH$6,MATCH(INDEX($I$3:$L$6,MATCH(MOD('Map 2 Do Touch'!AJ45,4),$H$3:$H$6,0),MATCH(MOD('Map 2 Do Touch'!AK45,4),$I$2:$L$2,0)),$AF$4:$AF$6,0),MATCH(IF('Map 2 Do Touch'!AJ45&gt;4,"Water","Land"),'Map 3'!$AG$3:$AH$3,0)),INDEX($AK$4:$AL$6,MATCH(INDEX($I$3:$L$6,MATCH(MOD('Map 2 Do Touch'!AJ45,4),$H$3:$H$6,0),MATCH(MOD('Map 2 Do Touch'!AK45,4),$I$2:$L$2,0)),'Map 3'!$AJ$4:$AJ$6,0),MATCH(IF('Map 2 Do Touch'!AJ45&gt;4,"Water","Land"),'Map 3'!$AK$3:$AL$3,0))),IF('Map 2 Do Touch'!AK45&gt;4,INDEX($AG$4:$AH$6,MATCH(INDEX($P$3:$S$6,MATCH(MOD('Map 2 Do Touch'!AK44,4),$O$3:$O$6,0),MATCH(MOD('Map 2 Do Touch'!AK45,4),$P$2:$S$2,0)),$AF$4:$AF$6,0),MATCH(IF('Map 2 Do Touch'!AK44&gt;4,"Water","Land"),'Map 3'!$AG$3:$AH$3,0)),INDEX($AK$4:$AL$6,MATCH(INDEX($P$3:$S$6,MATCH(MOD('Map 2 Do Touch'!AK44,4),$O$3:$O$6,0),MATCH(MOD('Map 2 Do Touch'!AK45,4),$P$2:$S$2,0)),'Map 3'!$AJ$4:$AJ$6,0),MATCH(IF('Map 2 Do Touch'!AK44&gt;4,"Water","Land"),'Map 3'!$AK$3:$AL$3,0))))</f>
        <v>Ocean</v>
      </c>
      <c r="AL49" s="3" t="str">
        <f ca="1">IF('Map 2 Do Touch'!AK44&lt;&gt;'Map 2 Do Touch'!AK45,IF('Map 2 Do Touch'!AL45&gt;4,INDEX($AG$4:$AH$6,MATCH(INDEX($I$3:$L$6,MATCH(MOD('Map 2 Do Touch'!AK45,4),$H$3:$H$6,0),MATCH(MOD('Map 2 Do Touch'!AL45,4),$I$2:$L$2,0)),$AF$4:$AF$6,0),MATCH(IF('Map 2 Do Touch'!AK45&gt;4,"Water","Land"),'Map 3'!$AG$3:$AH$3,0)),INDEX($AK$4:$AL$6,MATCH(INDEX($I$3:$L$6,MATCH(MOD('Map 2 Do Touch'!AK45,4),$H$3:$H$6,0),MATCH(MOD('Map 2 Do Touch'!AL45,4),$I$2:$L$2,0)),'Map 3'!$AJ$4:$AJ$6,0),MATCH(IF('Map 2 Do Touch'!AK45&gt;4,"Water","Land"),'Map 3'!$AK$3:$AL$3,0))),IF('Map 2 Do Touch'!AL45&gt;4,INDEX($AG$4:$AH$6,MATCH(INDEX($P$3:$S$6,MATCH(MOD('Map 2 Do Touch'!AL44,4),$O$3:$O$6,0),MATCH(MOD('Map 2 Do Touch'!AL45,4),$P$2:$S$2,0)),$AF$4:$AF$6,0),MATCH(IF('Map 2 Do Touch'!AL44&gt;4,"Water","Land"),'Map 3'!$AG$3:$AH$3,0)),INDEX($AK$4:$AL$6,MATCH(INDEX($P$3:$S$6,MATCH(MOD('Map 2 Do Touch'!AL44,4),$O$3:$O$6,0),MATCH(MOD('Map 2 Do Touch'!AL45,4),$P$2:$S$2,0)),'Map 3'!$AJ$4:$AJ$6,0),MATCH(IF('Map 2 Do Touch'!AL44&gt;4,"Water","Land"),'Map 3'!$AK$3:$AL$3,0))))</f>
        <v>Ocean</v>
      </c>
      <c r="AM49" s="3" t="str">
        <f ca="1">IF('Map 2 Do Touch'!AL44&lt;&gt;'Map 2 Do Touch'!AL45,IF('Map 2 Do Touch'!AM45&gt;4,INDEX($AG$4:$AH$6,MATCH(INDEX($I$3:$L$6,MATCH(MOD('Map 2 Do Touch'!AL45,4),$H$3:$H$6,0),MATCH(MOD('Map 2 Do Touch'!AM45,4),$I$2:$L$2,0)),$AF$4:$AF$6,0),MATCH(IF('Map 2 Do Touch'!AL45&gt;4,"Water","Land"),'Map 3'!$AG$3:$AH$3,0)),INDEX($AK$4:$AL$6,MATCH(INDEX($I$3:$L$6,MATCH(MOD('Map 2 Do Touch'!AL45,4),$H$3:$H$6,0),MATCH(MOD('Map 2 Do Touch'!AM45,4),$I$2:$L$2,0)),'Map 3'!$AJ$4:$AJ$6,0),MATCH(IF('Map 2 Do Touch'!AL45&gt;4,"Water","Land"),'Map 3'!$AK$3:$AL$3,0))),IF('Map 2 Do Touch'!AM45&gt;4,INDEX($AG$4:$AH$6,MATCH(INDEX($P$3:$S$6,MATCH(MOD('Map 2 Do Touch'!AM44,4),$O$3:$O$6,0),MATCH(MOD('Map 2 Do Touch'!AM45,4),$P$2:$S$2,0)),$AF$4:$AF$6,0),MATCH(IF('Map 2 Do Touch'!AM44&gt;4,"Water","Land"),'Map 3'!$AG$3:$AH$3,0)),INDEX($AK$4:$AL$6,MATCH(INDEX($P$3:$S$6,MATCH(MOD('Map 2 Do Touch'!AM44,4),$O$3:$O$6,0),MATCH(MOD('Map 2 Do Touch'!AM45,4),$P$2:$S$2,0)),'Map 3'!$AJ$4:$AJ$6,0),MATCH(IF('Map 2 Do Touch'!AM44&gt;4,"Water","Land"),'Map 3'!$AK$3:$AL$3,0))))</f>
        <v>Ocean</v>
      </c>
      <c r="AN49" s="3" t="str">
        <f ca="1">IF('Map 2 Do Touch'!AM44&lt;&gt;'Map 2 Do Touch'!AM45,IF('Map 2 Do Touch'!AN45&gt;4,INDEX($AG$4:$AH$6,MATCH(INDEX($I$3:$L$6,MATCH(MOD('Map 2 Do Touch'!AM45,4),$H$3:$H$6,0),MATCH(MOD('Map 2 Do Touch'!AN45,4),$I$2:$L$2,0)),$AF$4:$AF$6,0),MATCH(IF('Map 2 Do Touch'!AM45&gt;4,"Water","Land"),'Map 3'!$AG$3:$AH$3,0)),INDEX($AK$4:$AL$6,MATCH(INDEX($I$3:$L$6,MATCH(MOD('Map 2 Do Touch'!AM45,4),$H$3:$H$6,0),MATCH(MOD('Map 2 Do Touch'!AN45,4),$I$2:$L$2,0)),'Map 3'!$AJ$4:$AJ$6,0),MATCH(IF('Map 2 Do Touch'!AM45&gt;4,"Water","Land"),'Map 3'!$AK$3:$AL$3,0))),IF('Map 2 Do Touch'!AN45&gt;4,INDEX($AG$4:$AH$6,MATCH(INDEX($P$3:$S$6,MATCH(MOD('Map 2 Do Touch'!AN44,4),$O$3:$O$6,0),MATCH(MOD('Map 2 Do Touch'!AN45,4),$P$2:$S$2,0)),$AF$4:$AF$6,0),MATCH(IF('Map 2 Do Touch'!AN44&gt;4,"Water","Land"),'Map 3'!$AG$3:$AH$3,0)),INDEX($AK$4:$AL$6,MATCH(INDEX($P$3:$S$6,MATCH(MOD('Map 2 Do Touch'!AN44,4),$O$3:$O$6,0),MATCH(MOD('Map 2 Do Touch'!AN45,4),$P$2:$S$2,0)),'Map 3'!$AJ$4:$AJ$6,0),MATCH(IF('Map 2 Do Touch'!AN44&gt;4,"Water","Land"),'Map 3'!$AK$3:$AL$3,0))))</f>
        <v>Ocean</v>
      </c>
      <c r="AO49" s="87" t="str">
        <f ca="1">IF('Map 2 Do Touch'!AN44&lt;&gt;'Map 2 Do Touch'!AN45,IF('Map 2 Do Touch'!AO45&gt;4,INDEX($AG$4:$AH$6,MATCH(INDEX($I$3:$L$6,MATCH(MOD('Map 2 Do Touch'!AN45,4),$H$3:$H$6,0),MATCH(MOD('Map 2 Do Touch'!AO45,4),$I$2:$L$2,0)),$AF$4:$AF$6,0),MATCH(IF('Map 2 Do Touch'!AN45&gt;4,"Water","Land"),'Map 3'!$AG$3:$AH$3,0)),INDEX($AK$4:$AL$6,MATCH(INDEX($I$3:$L$6,MATCH(MOD('Map 2 Do Touch'!AN45,4),$H$3:$H$6,0),MATCH(MOD('Map 2 Do Touch'!AO45,4),$I$2:$L$2,0)),'Map 3'!$AJ$4:$AJ$6,0),MATCH(IF('Map 2 Do Touch'!AN45&gt;4,"Water","Land"),'Map 3'!$AK$3:$AL$3,0))),IF('Map 2 Do Touch'!AO45&gt;4,INDEX($AG$4:$AH$6,MATCH(INDEX($P$3:$S$6,MATCH(MOD('Map 2 Do Touch'!AO44,4),$O$3:$O$6,0),MATCH(MOD('Map 2 Do Touch'!AO45,4),$P$2:$S$2,0)),$AF$4:$AF$6,0),MATCH(IF('Map 2 Do Touch'!AO44&gt;4,"Water","Land"),'Map 3'!$AG$3:$AH$3,0)),INDEX($AK$4:$AL$6,MATCH(INDEX($P$3:$S$6,MATCH(MOD('Map 2 Do Touch'!AO44,4),$O$3:$O$6,0),MATCH(MOD('Map 2 Do Touch'!AO45,4),$P$2:$S$2,0)),'Map 3'!$AJ$4:$AJ$6,0),MATCH(IF('Map 2 Do Touch'!AO44&gt;4,"Water","Land"),'Map 3'!$AK$3:$AL$3,0))))</f>
        <v>Trench</v>
      </c>
      <c r="AP49" s="3"/>
    </row>
    <row r="50" spans="1:42" ht="37.5" customHeight="1">
      <c r="A50" s="3">
        <v>39</v>
      </c>
      <c r="B50" s="86" t="str">
        <f ca="1">IF('Map 2 Do Touch'!B45&lt;&gt;'Map 2 Do Touch'!B46,IF('Map 2 Do Touch'!B46&gt;4,INDEX($AG$4:$AH$6,MATCH(INDEX($I$3:$L$6,MATCH(MOD('Map 2 Do Touch'!AO46,4),$H$3:$H$6,0),MATCH(MOD('Map 2 Do Touch'!B46,4),$I$2:$L$2,0)),$AF$4:$AF$6,0),MATCH(IF('Map 2 Do Touch'!AO46&gt;4,"Water","Land"),'Map 3'!$AG$3:$AH$3,0)),INDEX($AK$4:$AL$6,MATCH(INDEX($I$3:$L$6,MATCH(MOD('Map 2 Do Touch'!A46,4),$H$3:$H$6,0),MATCH(MOD('Map 2 Do Touch'!B46,4),$I$2:$L$2,0)),'Map 3'!$AJ$4:$AJ$6,0),MATCH(IF('Map 2 Do Touch'!AO46&gt;4,"Water","Land"),'Map 3'!$AK$3:$AL$3,0))),IF('Map 2 Do Touch'!B46&gt;4,INDEX($AG$4:$AH$6,MATCH(INDEX($P$3:$S$6,MATCH(MOD('Map 2 Do Touch'!B45,4),$O$3:$O$6,0),MATCH(MOD('Map 2 Do Touch'!B46,4),$P$2:$S$2,0)),$AF$4:$AF$6,0),MATCH(IF('Map 2 Do Touch'!B45&gt;4,"Water","Land"),'Map 3'!$AG$3:$AH$3,0)),INDEX($AK$4:$AL$6,MATCH(INDEX($P$3:$S$6,MATCH(MOD('Map 2 Do Touch'!B45,4),$O$3:$O$6,0),MATCH(MOD('Map 2 Do Touch'!B46,4),$P$2:$S$2,0)),'Map 3'!$AJ$4:$AJ$6,0),MATCH(IF('Map 2 Do Touch'!B45&gt;4,"Water","Land"),'Map 3'!$AK$3:$AL$3,0))))</f>
        <v>Ocean</v>
      </c>
      <c r="C50" s="3" t="str">
        <f ca="1">IF('Map 2 Do Touch'!B45&lt;&gt;'Map 2 Do Touch'!B46,IF('Map 2 Do Touch'!C46&gt;4,INDEX($AG$4:$AH$6,MATCH(INDEX($I$3:$L$6,MATCH(MOD('Map 2 Do Touch'!B46,4),$H$3:$H$6,0),MATCH(MOD('Map 2 Do Touch'!C46,4),$I$2:$L$2,0)),$AF$4:$AF$6,0),MATCH(IF('Map 2 Do Touch'!B46&gt;4,"Water","Land"),'Map 3'!$AG$3:$AH$3,0)),INDEX($AK$4:$AL$6,MATCH(INDEX($I$3:$L$6,MATCH(MOD('Map 2 Do Touch'!B46,4),$H$3:$H$6,0),MATCH(MOD('Map 2 Do Touch'!C46,4),$I$2:$L$2,0)),'Map 3'!$AJ$4:$AJ$6,0),MATCH(IF('Map 2 Do Touch'!B46&gt;4,"Water","Land"),'Map 3'!$AK$3:$AL$3,0))),IF('Map 2 Do Touch'!C46&gt;4,INDEX($AG$4:$AH$6,MATCH(INDEX($P$3:$S$6,MATCH(MOD('Map 2 Do Touch'!C45,4),$O$3:$O$6,0),MATCH(MOD('Map 2 Do Touch'!C46,4),$P$2:$S$2,0)),$AF$4:$AF$6,0),MATCH(IF('Map 2 Do Touch'!C45&gt;4,"Water","Land"),'Map 3'!$AG$3:$AH$3,0)),INDEX($AK$4:$AL$6,MATCH(INDEX($P$3:$S$6,MATCH(MOD('Map 2 Do Touch'!C45,4),$O$3:$O$6,0),MATCH(MOD('Map 2 Do Touch'!C46,4),$P$2:$S$2,0)),'Map 3'!$AJ$4:$AJ$6,0),MATCH(IF('Map 2 Do Touch'!C45&gt;4,"Water","Land"),'Map 3'!$AK$3:$AL$3,0))))</f>
        <v>Ocean</v>
      </c>
      <c r="D50" s="3" t="str">
        <f ca="1">IF('Map 2 Do Touch'!C45&lt;&gt;'Map 2 Do Touch'!C46,IF('Map 2 Do Touch'!D46&gt;4,INDEX($AG$4:$AH$6,MATCH(INDEX($I$3:$L$6,MATCH(MOD('Map 2 Do Touch'!C46,4),$H$3:$H$6,0),MATCH(MOD('Map 2 Do Touch'!D46,4),$I$2:$L$2,0)),$AF$4:$AF$6,0),MATCH(IF('Map 2 Do Touch'!C46&gt;4,"Water","Land"),'Map 3'!$AG$3:$AH$3,0)),INDEX($AK$4:$AL$6,MATCH(INDEX($I$3:$L$6,MATCH(MOD('Map 2 Do Touch'!C46,4),$H$3:$H$6,0),MATCH(MOD('Map 2 Do Touch'!D46,4),$I$2:$L$2,0)),'Map 3'!$AJ$4:$AJ$6,0),MATCH(IF('Map 2 Do Touch'!C46&gt;4,"Water","Land"),'Map 3'!$AK$3:$AL$3,0))),IF('Map 2 Do Touch'!D46&gt;4,INDEX($AG$4:$AH$6,MATCH(INDEX($P$3:$S$6,MATCH(MOD('Map 2 Do Touch'!D45,4),$O$3:$O$6,0),MATCH(MOD('Map 2 Do Touch'!D46,4),$P$2:$S$2,0)),$AF$4:$AF$6,0),MATCH(IF('Map 2 Do Touch'!D45&gt;4,"Water","Land"),'Map 3'!$AG$3:$AH$3,0)),INDEX($AK$4:$AL$6,MATCH(INDEX($P$3:$S$6,MATCH(MOD('Map 2 Do Touch'!D45,4),$O$3:$O$6,0),MATCH(MOD('Map 2 Do Touch'!D46,4),$P$2:$S$2,0)),'Map 3'!$AJ$4:$AJ$6,0),MATCH(IF('Map 2 Do Touch'!D45&gt;4,"Water","Land"),'Map 3'!$AK$3:$AL$3,0))))</f>
        <v>Ocean</v>
      </c>
      <c r="E50" s="3" t="str">
        <f ca="1">IF('Map 2 Do Touch'!D45&lt;&gt;'Map 2 Do Touch'!D46,IF('Map 2 Do Touch'!E46&gt;4,INDEX($AG$4:$AH$6,MATCH(INDEX($I$3:$L$6,MATCH(MOD('Map 2 Do Touch'!D46,4),$H$3:$H$6,0),MATCH(MOD('Map 2 Do Touch'!E46,4),$I$2:$L$2,0)),$AF$4:$AF$6,0),MATCH(IF('Map 2 Do Touch'!D46&gt;4,"Water","Land"),'Map 3'!$AG$3:$AH$3,0)),INDEX($AK$4:$AL$6,MATCH(INDEX($I$3:$L$6,MATCH(MOD('Map 2 Do Touch'!D46,4),$H$3:$H$6,0),MATCH(MOD('Map 2 Do Touch'!E46,4),$I$2:$L$2,0)),'Map 3'!$AJ$4:$AJ$6,0),MATCH(IF('Map 2 Do Touch'!D46&gt;4,"Water","Land"),'Map 3'!$AK$3:$AL$3,0))),IF('Map 2 Do Touch'!E46&gt;4,INDEX($AG$4:$AH$6,MATCH(INDEX($P$3:$S$6,MATCH(MOD('Map 2 Do Touch'!E45,4),$O$3:$O$6,0),MATCH(MOD('Map 2 Do Touch'!E46,4),$P$2:$S$2,0)),$AF$4:$AF$6,0),MATCH(IF('Map 2 Do Touch'!E45&gt;4,"Water","Land"),'Map 3'!$AG$3:$AH$3,0)),INDEX($AK$4:$AL$6,MATCH(INDEX($P$3:$S$6,MATCH(MOD('Map 2 Do Touch'!E45,4),$O$3:$O$6,0),MATCH(MOD('Map 2 Do Touch'!E46,4),$P$2:$S$2,0)),'Map 3'!$AJ$4:$AJ$6,0),MATCH(IF('Map 2 Do Touch'!E45&gt;4,"Water","Land"),'Map 3'!$AK$3:$AL$3,0))))</f>
        <v>Ocean</v>
      </c>
      <c r="F50" s="3" t="str">
        <f ca="1">IF('Map 2 Do Touch'!E45&lt;&gt;'Map 2 Do Touch'!E46,IF('Map 2 Do Touch'!F46&gt;4,INDEX($AG$4:$AH$6,MATCH(INDEX($I$3:$L$6,MATCH(MOD('Map 2 Do Touch'!E46,4),$H$3:$H$6,0),MATCH(MOD('Map 2 Do Touch'!F46,4),$I$2:$L$2,0)),$AF$4:$AF$6,0),MATCH(IF('Map 2 Do Touch'!E46&gt;4,"Water","Land"),'Map 3'!$AG$3:$AH$3,0)),INDEX($AK$4:$AL$6,MATCH(INDEX($I$3:$L$6,MATCH(MOD('Map 2 Do Touch'!E46,4),$H$3:$H$6,0),MATCH(MOD('Map 2 Do Touch'!F46,4),$I$2:$L$2,0)),'Map 3'!$AJ$4:$AJ$6,0),MATCH(IF('Map 2 Do Touch'!E46&gt;4,"Water","Land"),'Map 3'!$AK$3:$AL$3,0))),IF('Map 2 Do Touch'!F46&gt;4,INDEX($AG$4:$AH$6,MATCH(INDEX($P$3:$S$6,MATCH(MOD('Map 2 Do Touch'!F45,4),$O$3:$O$6,0),MATCH(MOD('Map 2 Do Touch'!F46,4),$P$2:$S$2,0)),$AF$4:$AF$6,0),MATCH(IF('Map 2 Do Touch'!F45&gt;4,"Water","Land"),'Map 3'!$AG$3:$AH$3,0)),INDEX($AK$4:$AL$6,MATCH(INDEX($P$3:$S$6,MATCH(MOD('Map 2 Do Touch'!F45,4),$O$3:$O$6,0),MATCH(MOD('Map 2 Do Touch'!F46,4),$P$2:$S$2,0)),'Map 3'!$AJ$4:$AJ$6,0),MATCH(IF('Map 2 Do Touch'!F45&gt;4,"Water","Land"),'Map 3'!$AK$3:$AL$3,0))))</f>
        <v>Drop Off</v>
      </c>
      <c r="G50" s="3" t="str">
        <f ca="1">IF('Map 2 Do Touch'!F45&lt;&gt;'Map 2 Do Touch'!F46,IF('Map 2 Do Touch'!G46&gt;4,INDEX($AG$4:$AH$6,MATCH(INDEX($I$3:$L$6,MATCH(MOD('Map 2 Do Touch'!F46,4),$H$3:$H$6,0),MATCH(MOD('Map 2 Do Touch'!G46,4),$I$2:$L$2,0)),$AF$4:$AF$6,0),MATCH(IF('Map 2 Do Touch'!F46&gt;4,"Water","Land"),'Map 3'!$AG$3:$AH$3,0)),INDEX($AK$4:$AL$6,MATCH(INDEX($I$3:$L$6,MATCH(MOD('Map 2 Do Touch'!F46,4),$H$3:$H$6,0),MATCH(MOD('Map 2 Do Touch'!G46,4),$I$2:$L$2,0)),'Map 3'!$AJ$4:$AJ$6,0),MATCH(IF('Map 2 Do Touch'!F46&gt;4,"Water","Land"),'Map 3'!$AK$3:$AL$3,0))),IF('Map 2 Do Touch'!G46&gt;4,INDEX($AG$4:$AH$6,MATCH(INDEX($P$3:$S$6,MATCH(MOD('Map 2 Do Touch'!G45,4),$O$3:$O$6,0),MATCH(MOD('Map 2 Do Touch'!G46,4),$P$2:$S$2,0)),$AF$4:$AF$6,0),MATCH(IF('Map 2 Do Touch'!G45&gt;4,"Water","Land"),'Map 3'!$AG$3:$AH$3,0)),INDEX($AK$4:$AL$6,MATCH(INDEX($P$3:$S$6,MATCH(MOD('Map 2 Do Touch'!G45,4),$O$3:$O$6,0),MATCH(MOD('Map 2 Do Touch'!G46,4),$P$2:$S$2,0)),'Map 3'!$AJ$4:$AJ$6,0),MATCH(IF('Map 2 Do Touch'!G45&gt;4,"Water","Land"),'Map 3'!$AK$3:$AL$3,0))))</f>
        <v>Flatland</v>
      </c>
      <c r="H50" s="3" t="str">
        <f ca="1">IF('Map 2 Do Touch'!G45&lt;&gt;'Map 2 Do Touch'!G46,IF('Map 2 Do Touch'!H46&gt;4,INDEX($AG$4:$AH$6,MATCH(INDEX($I$3:$L$6,MATCH(MOD('Map 2 Do Touch'!G46,4),$H$3:$H$6,0),MATCH(MOD('Map 2 Do Touch'!H46,4),$I$2:$L$2,0)),$AF$4:$AF$6,0),MATCH(IF('Map 2 Do Touch'!G46&gt;4,"Water","Land"),'Map 3'!$AG$3:$AH$3,0)),INDEX($AK$4:$AL$6,MATCH(INDEX($I$3:$L$6,MATCH(MOD('Map 2 Do Touch'!G46,4),$H$3:$H$6,0),MATCH(MOD('Map 2 Do Touch'!H46,4),$I$2:$L$2,0)),'Map 3'!$AJ$4:$AJ$6,0),MATCH(IF('Map 2 Do Touch'!G46&gt;4,"Water","Land"),'Map 3'!$AK$3:$AL$3,0))),IF('Map 2 Do Touch'!H46&gt;4,INDEX($AG$4:$AH$6,MATCH(INDEX($P$3:$S$6,MATCH(MOD('Map 2 Do Touch'!H45,4),$O$3:$O$6,0),MATCH(MOD('Map 2 Do Touch'!H46,4),$P$2:$S$2,0)),$AF$4:$AF$6,0),MATCH(IF('Map 2 Do Touch'!H45&gt;4,"Water","Land"),'Map 3'!$AG$3:$AH$3,0)),INDEX($AK$4:$AL$6,MATCH(INDEX($P$3:$S$6,MATCH(MOD('Map 2 Do Touch'!H45,4),$O$3:$O$6,0),MATCH(MOD('Map 2 Do Touch'!H46,4),$P$2:$S$2,0)),'Map 3'!$AJ$4:$AJ$6,0),MATCH(IF('Map 2 Do Touch'!H45&gt;4,"Water","Land"),'Map 3'!$AK$3:$AL$3,0))))</f>
        <v>Flatland</v>
      </c>
      <c r="I50" s="3" t="str">
        <f ca="1">IF('Map 2 Do Touch'!H45&lt;&gt;'Map 2 Do Touch'!H46,IF('Map 2 Do Touch'!I46&gt;4,INDEX($AG$4:$AH$6,MATCH(INDEX($I$3:$L$6,MATCH(MOD('Map 2 Do Touch'!H46,4),$H$3:$H$6,0),MATCH(MOD('Map 2 Do Touch'!I46,4),$I$2:$L$2,0)),$AF$4:$AF$6,0),MATCH(IF('Map 2 Do Touch'!H46&gt;4,"Water","Land"),'Map 3'!$AG$3:$AH$3,0)),INDEX($AK$4:$AL$6,MATCH(INDEX($I$3:$L$6,MATCH(MOD('Map 2 Do Touch'!H46,4),$H$3:$H$6,0),MATCH(MOD('Map 2 Do Touch'!I46,4),$I$2:$L$2,0)),'Map 3'!$AJ$4:$AJ$6,0),MATCH(IF('Map 2 Do Touch'!H46&gt;4,"Water","Land"),'Map 3'!$AK$3:$AL$3,0))),IF('Map 2 Do Touch'!I46&gt;4,INDEX($AG$4:$AH$6,MATCH(INDEX($P$3:$S$6,MATCH(MOD('Map 2 Do Touch'!I45,4),$O$3:$O$6,0),MATCH(MOD('Map 2 Do Touch'!I46,4),$P$2:$S$2,0)),$AF$4:$AF$6,0),MATCH(IF('Map 2 Do Touch'!I45&gt;4,"Water","Land"),'Map 3'!$AG$3:$AH$3,0)),INDEX($AK$4:$AL$6,MATCH(INDEX($P$3:$S$6,MATCH(MOD('Map 2 Do Touch'!I45,4),$O$3:$O$6,0),MATCH(MOD('Map 2 Do Touch'!I46,4),$P$2:$S$2,0)),'Map 3'!$AJ$4:$AJ$6,0),MATCH(IF('Map 2 Do Touch'!I45&gt;4,"Water","Land"),'Map 3'!$AK$3:$AL$3,0))))</f>
        <v>Flatland</v>
      </c>
      <c r="J50" s="3" t="str">
        <f ca="1">IF('Map 2 Do Touch'!I45&lt;&gt;'Map 2 Do Touch'!I46,IF('Map 2 Do Touch'!J46&gt;4,INDEX($AG$4:$AH$6,MATCH(INDEX($I$3:$L$6,MATCH(MOD('Map 2 Do Touch'!I46,4),$H$3:$H$6,0),MATCH(MOD('Map 2 Do Touch'!J46,4),$I$2:$L$2,0)),$AF$4:$AF$6,0),MATCH(IF('Map 2 Do Touch'!I46&gt;4,"Water","Land"),'Map 3'!$AG$3:$AH$3,0)),INDEX($AK$4:$AL$6,MATCH(INDEX($I$3:$L$6,MATCH(MOD('Map 2 Do Touch'!I46,4),$H$3:$H$6,0),MATCH(MOD('Map 2 Do Touch'!J46,4),$I$2:$L$2,0)),'Map 3'!$AJ$4:$AJ$6,0),MATCH(IF('Map 2 Do Touch'!I46&gt;4,"Water","Land"),'Map 3'!$AK$3:$AL$3,0))),IF('Map 2 Do Touch'!J46&gt;4,INDEX($AG$4:$AH$6,MATCH(INDEX($P$3:$S$6,MATCH(MOD('Map 2 Do Touch'!J45,4),$O$3:$O$6,0),MATCH(MOD('Map 2 Do Touch'!J46,4),$P$2:$S$2,0)),$AF$4:$AF$6,0),MATCH(IF('Map 2 Do Touch'!J45&gt;4,"Water","Land"),'Map 3'!$AG$3:$AH$3,0)),INDEX($AK$4:$AL$6,MATCH(INDEX($P$3:$S$6,MATCH(MOD('Map 2 Do Touch'!J45,4),$O$3:$O$6,0),MATCH(MOD('Map 2 Do Touch'!J46,4),$P$2:$S$2,0)),'Map 3'!$AJ$4:$AJ$6,0),MATCH(IF('Map 2 Do Touch'!J45&gt;4,"Water","Land"),'Map 3'!$AK$3:$AL$3,0))))</f>
        <v>Coast</v>
      </c>
      <c r="K50" s="3" t="str">
        <f ca="1">IF('Map 2 Do Touch'!J45&lt;&gt;'Map 2 Do Touch'!J46,IF('Map 2 Do Touch'!K46&gt;4,INDEX($AG$4:$AH$6,MATCH(INDEX($I$3:$L$6,MATCH(MOD('Map 2 Do Touch'!J46,4),$H$3:$H$6,0),MATCH(MOD('Map 2 Do Touch'!K46,4),$I$2:$L$2,0)),$AF$4:$AF$6,0),MATCH(IF('Map 2 Do Touch'!J46&gt;4,"Water","Land"),'Map 3'!$AG$3:$AH$3,0)),INDEX($AK$4:$AL$6,MATCH(INDEX($I$3:$L$6,MATCH(MOD('Map 2 Do Touch'!J46,4),$H$3:$H$6,0),MATCH(MOD('Map 2 Do Touch'!K46,4),$I$2:$L$2,0)),'Map 3'!$AJ$4:$AJ$6,0),MATCH(IF('Map 2 Do Touch'!J46&gt;4,"Water","Land"),'Map 3'!$AK$3:$AL$3,0))),IF('Map 2 Do Touch'!K46&gt;4,INDEX($AG$4:$AH$6,MATCH(INDEX($P$3:$S$6,MATCH(MOD('Map 2 Do Touch'!K45,4),$O$3:$O$6,0),MATCH(MOD('Map 2 Do Touch'!K46,4),$P$2:$S$2,0)),$AF$4:$AF$6,0),MATCH(IF('Map 2 Do Touch'!K45&gt;4,"Water","Land"),'Map 3'!$AG$3:$AH$3,0)),INDEX($AK$4:$AL$6,MATCH(INDEX($P$3:$S$6,MATCH(MOD('Map 2 Do Touch'!K45,4),$O$3:$O$6,0),MATCH(MOD('Map 2 Do Touch'!K46,4),$P$2:$S$2,0)),'Map 3'!$AJ$4:$AJ$6,0),MATCH(IF('Map 2 Do Touch'!K45&gt;4,"Water","Land"),'Map 3'!$AK$3:$AL$3,0))))</f>
        <v>Ocean</v>
      </c>
      <c r="L50" s="3" t="str">
        <f ca="1">IF('Map 2 Do Touch'!K45&lt;&gt;'Map 2 Do Touch'!K46,IF('Map 2 Do Touch'!L46&gt;4,INDEX($AG$4:$AH$6,MATCH(INDEX($I$3:$L$6,MATCH(MOD('Map 2 Do Touch'!K46,4),$H$3:$H$6,0),MATCH(MOD('Map 2 Do Touch'!L46,4),$I$2:$L$2,0)),$AF$4:$AF$6,0),MATCH(IF('Map 2 Do Touch'!K46&gt;4,"Water","Land"),'Map 3'!$AG$3:$AH$3,0)),INDEX($AK$4:$AL$6,MATCH(INDEX($I$3:$L$6,MATCH(MOD('Map 2 Do Touch'!K46,4),$H$3:$H$6,0),MATCH(MOD('Map 2 Do Touch'!L46,4),$I$2:$L$2,0)),'Map 3'!$AJ$4:$AJ$6,0),MATCH(IF('Map 2 Do Touch'!K46&gt;4,"Water","Land"),'Map 3'!$AK$3:$AL$3,0))),IF('Map 2 Do Touch'!L46&gt;4,INDEX($AG$4:$AH$6,MATCH(INDEX($P$3:$S$6,MATCH(MOD('Map 2 Do Touch'!L45,4),$O$3:$O$6,0),MATCH(MOD('Map 2 Do Touch'!L46,4),$P$2:$S$2,0)),$AF$4:$AF$6,0),MATCH(IF('Map 2 Do Touch'!L45&gt;4,"Water","Land"),'Map 3'!$AG$3:$AH$3,0)),INDEX($AK$4:$AL$6,MATCH(INDEX($P$3:$S$6,MATCH(MOD('Map 2 Do Touch'!L45,4),$O$3:$O$6,0),MATCH(MOD('Map 2 Do Touch'!L46,4),$P$2:$S$2,0)),'Map 3'!$AJ$4:$AJ$6,0),MATCH(IF('Map 2 Do Touch'!L45&gt;4,"Water","Land"),'Map 3'!$AK$3:$AL$3,0))))</f>
        <v>Ocean</v>
      </c>
      <c r="M50" s="3" t="str">
        <f ca="1">IF('Map 2 Do Touch'!L45&lt;&gt;'Map 2 Do Touch'!L46,IF('Map 2 Do Touch'!M46&gt;4,INDEX($AG$4:$AH$6,MATCH(INDEX($I$3:$L$6,MATCH(MOD('Map 2 Do Touch'!L46,4),$H$3:$H$6,0),MATCH(MOD('Map 2 Do Touch'!M46,4),$I$2:$L$2,0)),$AF$4:$AF$6,0),MATCH(IF('Map 2 Do Touch'!L46&gt;4,"Water","Land"),'Map 3'!$AG$3:$AH$3,0)),INDEX($AK$4:$AL$6,MATCH(INDEX($I$3:$L$6,MATCH(MOD('Map 2 Do Touch'!L46,4),$H$3:$H$6,0),MATCH(MOD('Map 2 Do Touch'!M46,4),$I$2:$L$2,0)),'Map 3'!$AJ$4:$AJ$6,0),MATCH(IF('Map 2 Do Touch'!L46&gt;4,"Water","Land"),'Map 3'!$AK$3:$AL$3,0))),IF('Map 2 Do Touch'!M46&gt;4,INDEX($AG$4:$AH$6,MATCH(INDEX($P$3:$S$6,MATCH(MOD('Map 2 Do Touch'!M45,4),$O$3:$O$6,0),MATCH(MOD('Map 2 Do Touch'!M46,4),$P$2:$S$2,0)),$AF$4:$AF$6,0),MATCH(IF('Map 2 Do Touch'!M45&gt;4,"Water","Land"),'Map 3'!$AG$3:$AH$3,0)),INDEX($AK$4:$AL$6,MATCH(INDEX($P$3:$S$6,MATCH(MOD('Map 2 Do Touch'!M45,4),$O$3:$O$6,0),MATCH(MOD('Map 2 Do Touch'!M46,4),$P$2:$S$2,0)),'Map 3'!$AJ$4:$AJ$6,0),MATCH(IF('Map 2 Do Touch'!M45&gt;4,"Water","Land"),'Map 3'!$AK$3:$AL$3,0))))</f>
        <v>Ocean</v>
      </c>
      <c r="N50" s="3" t="str">
        <f ca="1">IF('Map 2 Do Touch'!M45&lt;&gt;'Map 2 Do Touch'!M46,IF('Map 2 Do Touch'!N46&gt;4,INDEX($AG$4:$AH$6,MATCH(INDEX($I$3:$L$6,MATCH(MOD('Map 2 Do Touch'!M46,4),$H$3:$H$6,0),MATCH(MOD('Map 2 Do Touch'!N46,4),$I$2:$L$2,0)),$AF$4:$AF$6,0),MATCH(IF('Map 2 Do Touch'!M46&gt;4,"Water","Land"),'Map 3'!$AG$3:$AH$3,0)),INDEX($AK$4:$AL$6,MATCH(INDEX($I$3:$L$6,MATCH(MOD('Map 2 Do Touch'!M46,4),$H$3:$H$6,0),MATCH(MOD('Map 2 Do Touch'!N46,4),$I$2:$L$2,0)),'Map 3'!$AJ$4:$AJ$6,0),MATCH(IF('Map 2 Do Touch'!M46&gt;4,"Water","Land"),'Map 3'!$AK$3:$AL$3,0))),IF('Map 2 Do Touch'!N46&gt;4,INDEX($AG$4:$AH$6,MATCH(INDEX($P$3:$S$6,MATCH(MOD('Map 2 Do Touch'!N45,4),$O$3:$O$6,0),MATCH(MOD('Map 2 Do Touch'!N46,4),$P$2:$S$2,0)),$AF$4:$AF$6,0),MATCH(IF('Map 2 Do Touch'!N45&gt;4,"Water","Land"),'Map 3'!$AG$3:$AH$3,0)),INDEX($AK$4:$AL$6,MATCH(INDEX($P$3:$S$6,MATCH(MOD('Map 2 Do Touch'!N45,4),$O$3:$O$6,0),MATCH(MOD('Map 2 Do Touch'!N46,4),$P$2:$S$2,0)),'Map 3'!$AJ$4:$AJ$6,0),MATCH(IF('Map 2 Do Touch'!N45&gt;4,"Water","Land"),'Map 3'!$AK$3:$AL$3,0))))</f>
        <v>Coast</v>
      </c>
      <c r="O50" s="3" t="str">
        <f ca="1">IF('Map 2 Do Touch'!N45&lt;&gt;'Map 2 Do Touch'!N46,IF('Map 2 Do Touch'!O46&gt;4,INDEX($AG$4:$AH$6,MATCH(INDEX($I$3:$L$6,MATCH(MOD('Map 2 Do Touch'!N46,4),$H$3:$H$6,0),MATCH(MOD('Map 2 Do Touch'!O46,4),$I$2:$L$2,0)),$AF$4:$AF$6,0),MATCH(IF('Map 2 Do Touch'!N46&gt;4,"Water","Land"),'Map 3'!$AG$3:$AH$3,0)),INDEX($AK$4:$AL$6,MATCH(INDEX($I$3:$L$6,MATCH(MOD('Map 2 Do Touch'!N46,4),$H$3:$H$6,0),MATCH(MOD('Map 2 Do Touch'!O46,4),$I$2:$L$2,0)),'Map 3'!$AJ$4:$AJ$6,0),MATCH(IF('Map 2 Do Touch'!N46&gt;4,"Water","Land"),'Map 3'!$AK$3:$AL$3,0))),IF('Map 2 Do Touch'!O46&gt;4,INDEX($AG$4:$AH$6,MATCH(INDEX($P$3:$S$6,MATCH(MOD('Map 2 Do Touch'!O45,4),$O$3:$O$6,0),MATCH(MOD('Map 2 Do Touch'!O46,4),$P$2:$S$2,0)),$AF$4:$AF$6,0),MATCH(IF('Map 2 Do Touch'!O45&gt;4,"Water","Land"),'Map 3'!$AG$3:$AH$3,0)),INDEX($AK$4:$AL$6,MATCH(INDEX($P$3:$S$6,MATCH(MOD('Map 2 Do Touch'!O45,4),$O$3:$O$6,0),MATCH(MOD('Map 2 Do Touch'!O46,4),$P$2:$S$2,0)),'Map 3'!$AJ$4:$AJ$6,0),MATCH(IF('Map 2 Do Touch'!O45&gt;4,"Water","Land"),'Map 3'!$AK$3:$AL$3,0))))</f>
        <v>Coast</v>
      </c>
      <c r="P50" s="3" t="str">
        <f ca="1">IF('Map 2 Do Touch'!O45&lt;&gt;'Map 2 Do Touch'!O46,IF('Map 2 Do Touch'!P46&gt;4,INDEX($AG$4:$AH$6,MATCH(INDEX($I$3:$L$6,MATCH(MOD('Map 2 Do Touch'!O46,4),$H$3:$H$6,0),MATCH(MOD('Map 2 Do Touch'!P46,4),$I$2:$L$2,0)),$AF$4:$AF$6,0),MATCH(IF('Map 2 Do Touch'!O46&gt;4,"Water","Land"),'Map 3'!$AG$3:$AH$3,0)),INDEX($AK$4:$AL$6,MATCH(INDEX($I$3:$L$6,MATCH(MOD('Map 2 Do Touch'!O46,4),$H$3:$H$6,0),MATCH(MOD('Map 2 Do Touch'!P46,4),$I$2:$L$2,0)),'Map 3'!$AJ$4:$AJ$6,0),MATCH(IF('Map 2 Do Touch'!O46&gt;4,"Water","Land"),'Map 3'!$AK$3:$AL$3,0))),IF('Map 2 Do Touch'!P46&gt;4,INDEX($AG$4:$AH$6,MATCH(INDEX($P$3:$S$6,MATCH(MOD('Map 2 Do Touch'!P45,4),$O$3:$O$6,0),MATCH(MOD('Map 2 Do Touch'!P46,4),$P$2:$S$2,0)),$AF$4:$AF$6,0),MATCH(IF('Map 2 Do Touch'!P45&gt;4,"Water","Land"),'Map 3'!$AG$3:$AH$3,0)),INDEX($AK$4:$AL$6,MATCH(INDEX($P$3:$S$6,MATCH(MOD('Map 2 Do Touch'!P45,4),$O$3:$O$6,0),MATCH(MOD('Map 2 Do Touch'!P46,4),$P$2:$S$2,0)),'Map 3'!$AJ$4:$AJ$6,0),MATCH(IF('Map 2 Do Touch'!P45&gt;4,"Water","Land"),'Map 3'!$AK$3:$AL$3,0))))</f>
        <v>Valley</v>
      </c>
      <c r="Q50" s="3" t="str">
        <f ca="1">IF('Map 2 Do Touch'!P45&lt;&gt;'Map 2 Do Touch'!P46,IF('Map 2 Do Touch'!Q46&gt;4,INDEX($AG$4:$AH$6,MATCH(INDEX($I$3:$L$6,MATCH(MOD('Map 2 Do Touch'!P46,4),$H$3:$H$6,0),MATCH(MOD('Map 2 Do Touch'!Q46,4),$I$2:$L$2,0)),$AF$4:$AF$6,0),MATCH(IF('Map 2 Do Touch'!P46&gt;4,"Water","Land"),'Map 3'!$AG$3:$AH$3,0)),INDEX($AK$4:$AL$6,MATCH(INDEX($I$3:$L$6,MATCH(MOD('Map 2 Do Touch'!P46,4),$H$3:$H$6,0),MATCH(MOD('Map 2 Do Touch'!Q46,4),$I$2:$L$2,0)),'Map 3'!$AJ$4:$AJ$6,0),MATCH(IF('Map 2 Do Touch'!P46&gt;4,"Water","Land"),'Map 3'!$AK$3:$AL$3,0))),IF('Map 2 Do Touch'!Q46&gt;4,INDEX($AG$4:$AH$6,MATCH(INDEX($P$3:$S$6,MATCH(MOD('Map 2 Do Touch'!Q45,4),$O$3:$O$6,0),MATCH(MOD('Map 2 Do Touch'!Q46,4),$P$2:$S$2,0)),$AF$4:$AF$6,0),MATCH(IF('Map 2 Do Touch'!Q45&gt;4,"Water","Land"),'Map 3'!$AG$3:$AH$3,0)),INDEX($AK$4:$AL$6,MATCH(INDEX($P$3:$S$6,MATCH(MOD('Map 2 Do Touch'!Q45,4),$O$3:$O$6,0),MATCH(MOD('Map 2 Do Touch'!Q46,4),$P$2:$S$2,0)),'Map 3'!$AJ$4:$AJ$6,0),MATCH(IF('Map 2 Do Touch'!Q45&gt;4,"Water","Land"),'Map 3'!$AK$3:$AL$3,0))))</f>
        <v>Flatland</v>
      </c>
      <c r="R50" s="3" t="str">
        <f ca="1">IF('Map 2 Do Touch'!Q45&lt;&gt;'Map 2 Do Touch'!Q46,IF('Map 2 Do Touch'!R46&gt;4,INDEX($AG$4:$AH$6,MATCH(INDEX($I$3:$L$6,MATCH(MOD('Map 2 Do Touch'!Q46,4),$H$3:$H$6,0),MATCH(MOD('Map 2 Do Touch'!R46,4),$I$2:$L$2,0)),$AF$4:$AF$6,0),MATCH(IF('Map 2 Do Touch'!Q46&gt;4,"Water","Land"),'Map 3'!$AG$3:$AH$3,0)),INDEX($AK$4:$AL$6,MATCH(INDEX($I$3:$L$6,MATCH(MOD('Map 2 Do Touch'!Q46,4),$H$3:$H$6,0),MATCH(MOD('Map 2 Do Touch'!R46,4),$I$2:$L$2,0)),'Map 3'!$AJ$4:$AJ$6,0),MATCH(IF('Map 2 Do Touch'!Q46&gt;4,"Water","Land"),'Map 3'!$AK$3:$AL$3,0))),IF('Map 2 Do Touch'!R46&gt;4,INDEX($AG$4:$AH$6,MATCH(INDEX($P$3:$S$6,MATCH(MOD('Map 2 Do Touch'!R45,4),$O$3:$O$6,0),MATCH(MOD('Map 2 Do Touch'!R46,4),$P$2:$S$2,0)),$AF$4:$AF$6,0),MATCH(IF('Map 2 Do Touch'!R45&gt;4,"Water","Land"),'Map 3'!$AG$3:$AH$3,0)),INDEX($AK$4:$AL$6,MATCH(INDEX($P$3:$S$6,MATCH(MOD('Map 2 Do Touch'!R45,4),$O$3:$O$6,0),MATCH(MOD('Map 2 Do Touch'!R46,4),$P$2:$S$2,0)),'Map 3'!$AJ$4:$AJ$6,0),MATCH(IF('Map 2 Do Touch'!R45&gt;4,"Water","Land"),'Map 3'!$AK$3:$AL$3,0))))</f>
        <v>Flatland</v>
      </c>
      <c r="S50" s="3" t="str">
        <f ca="1">IF('Map 2 Do Touch'!R45&lt;&gt;'Map 2 Do Touch'!R46,IF('Map 2 Do Touch'!S46&gt;4,INDEX($AG$4:$AH$6,MATCH(INDEX($I$3:$L$6,MATCH(MOD('Map 2 Do Touch'!R46,4),$H$3:$H$6,0),MATCH(MOD('Map 2 Do Touch'!S46,4),$I$2:$L$2,0)),$AF$4:$AF$6,0),MATCH(IF('Map 2 Do Touch'!R46&gt;4,"Water","Land"),'Map 3'!$AG$3:$AH$3,0)),INDEX($AK$4:$AL$6,MATCH(INDEX($I$3:$L$6,MATCH(MOD('Map 2 Do Touch'!R46,4),$H$3:$H$6,0),MATCH(MOD('Map 2 Do Touch'!S46,4),$I$2:$L$2,0)),'Map 3'!$AJ$4:$AJ$6,0),MATCH(IF('Map 2 Do Touch'!R46&gt;4,"Water","Land"),'Map 3'!$AK$3:$AL$3,0))),IF('Map 2 Do Touch'!S46&gt;4,INDEX($AG$4:$AH$6,MATCH(INDEX($P$3:$S$6,MATCH(MOD('Map 2 Do Touch'!S45,4),$O$3:$O$6,0),MATCH(MOD('Map 2 Do Touch'!S46,4),$P$2:$S$2,0)),$AF$4:$AF$6,0),MATCH(IF('Map 2 Do Touch'!S45&gt;4,"Water","Land"),'Map 3'!$AG$3:$AH$3,0)),INDEX($AK$4:$AL$6,MATCH(INDEX($P$3:$S$6,MATCH(MOD('Map 2 Do Touch'!S45,4),$O$3:$O$6,0),MATCH(MOD('Map 2 Do Touch'!S46,4),$P$2:$S$2,0)),'Map 3'!$AJ$4:$AJ$6,0),MATCH(IF('Map 2 Do Touch'!S45&gt;4,"Water","Land"),'Map 3'!$AK$3:$AL$3,0))))</f>
        <v>Flatland</v>
      </c>
      <c r="T50" s="3" t="str">
        <f ca="1">IF('Map 2 Do Touch'!S45&lt;&gt;'Map 2 Do Touch'!S46,IF('Map 2 Do Touch'!T46&gt;4,INDEX($AG$4:$AH$6,MATCH(INDEX($I$3:$L$6,MATCH(MOD('Map 2 Do Touch'!S46,4),$H$3:$H$6,0),MATCH(MOD('Map 2 Do Touch'!T46,4),$I$2:$L$2,0)),$AF$4:$AF$6,0),MATCH(IF('Map 2 Do Touch'!S46&gt;4,"Water","Land"),'Map 3'!$AG$3:$AH$3,0)),INDEX($AK$4:$AL$6,MATCH(INDEX($I$3:$L$6,MATCH(MOD('Map 2 Do Touch'!S46,4),$H$3:$H$6,0),MATCH(MOD('Map 2 Do Touch'!T46,4),$I$2:$L$2,0)),'Map 3'!$AJ$4:$AJ$6,0),MATCH(IF('Map 2 Do Touch'!S46&gt;4,"Water","Land"),'Map 3'!$AK$3:$AL$3,0))),IF('Map 2 Do Touch'!T46&gt;4,INDEX($AG$4:$AH$6,MATCH(INDEX($P$3:$S$6,MATCH(MOD('Map 2 Do Touch'!T45,4),$O$3:$O$6,0),MATCH(MOD('Map 2 Do Touch'!T46,4),$P$2:$S$2,0)),$AF$4:$AF$6,0),MATCH(IF('Map 2 Do Touch'!T45&gt;4,"Water","Land"),'Map 3'!$AG$3:$AH$3,0)),INDEX($AK$4:$AL$6,MATCH(INDEX($P$3:$S$6,MATCH(MOD('Map 2 Do Touch'!T45,4),$O$3:$O$6,0),MATCH(MOD('Map 2 Do Touch'!T46,4),$P$2:$S$2,0)),'Map 3'!$AJ$4:$AJ$6,0),MATCH(IF('Map 2 Do Touch'!T45&gt;4,"Water","Land"),'Map 3'!$AK$3:$AL$3,0))))</f>
        <v>Flatland</v>
      </c>
      <c r="U50" s="3" t="str">
        <f ca="1">IF('Map 2 Do Touch'!T45&lt;&gt;'Map 2 Do Touch'!T46,IF('Map 2 Do Touch'!U46&gt;4,INDEX($AG$4:$AH$6,MATCH(INDEX($I$3:$L$6,MATCH(MOD('Map 2 Do Touch'!T46,4),$H$3:$H$6,0),MATCH(MOD('Map 2 Do Touch'!U46,4),$I$2:$L$2,0)),$AF$4:$AF$6,0),MATCH(IF('Map 2 Do Touch'!T46&gt;4,"Water","Land"),'Map 3'!$AG$3:$AH$3,0)),INDEX($AK$4:$AL$6,MATCH(INDEX($I$3:$L$6,MATCH(MOD('Map 2 Do Touch'!T46,4),$H$3:$H$6,0),MATCH(MOD('Map 2 Do Touch'!U46,4),$I$2:$L$2,0)),'Map 3'!$AJ$4:$AJ$6,0),MATCH(IF('Map 2 Do Touch'!T46&gt;4,"Water","Land"),'Map 3'!$AK$3:$AL$3,0))),IF('Map 2 Do Touch'!U46&gt;4,INDEX($AG$4:$AH$6,MATCH(INDEX($P$3:$S$6,MATCH(MOD('Map 2 Do Touch'!U45,4),$O$3:$O$6,0),MATCH(MOD('Map 2 Do Touch'!U46,4),$P$2:$S$2,0)),$AF$4:$AF$6,0),MATCH(IF('Map 2 Do Touch'!U45&gt;4,"Water","Land"),'Map 3'!$AG$3:$AH$3,0)),INDEX($AK$4:$AL$6,MATCH(INDEX($P$3:$S$6,MATCH(MOD('Map 2 Do Touch'!U45,4),$O$3:$O$6,0),MATCH(MOD('Map 2 Do Touch'!U46,4),$P$2:$S$2,0)),'Map 3'!$AJ$4:$AJ$6,0),MATCH(IF('Map 2 Do Touch'!U45&gt;4,"Water","Land"),'Map 3'!$AK$3:$AL$3,0))))</f>
        <v>Valley</v>
      </c>
      <c r="V50" s="3" t="str">
        <f ca="1">IF('Map 2 Do Touch'!U45&lt;&gt;'Map 2 Do Touch'!U46,IF('Map 2 Do Touch'!V46&gt;4,INDEX($AG$4:$AH$6,MATCH(INDEX($I$3:$L$6,MATCH(MOD('Map 2 Do Touch'!U46,4),$H$3:$H$6,0),MATCH(MOD('Map 2 Do Touch'!V46,4),$I$2:$L$2,0)),$AF$4:$AF$6,0),MATCH(IF('Map 2 Do Touch'!U46&gt;4,"Water","Land"),'Map 3'!$AG$3:$AH$3,0)),INDEX($AK$4:$AL$6,MATCH(INDEX($I$3:$L$6,MATCH(MOD('Map 2 Do Touch'!U46,4),$H$3:$H$6,0),MATCH(MOD('Map 2 Do Touch'!V46,4),$I$2:$L$2,0)),'Map 3'!$AJ$4:$AJ$6,0),MATCH(IF('Map 2 Do Touch'!U46&gt;4,"Water","Land"),'Map 3'!$AK$3:$AL$3,0))),IF('Map 2 Do Touch'!V46&gt;4,INDEX($AG$4:$AH$6,MATCH(INDEX($P$3:$S$6,MATCH(MOD('Map 2 Do Touch'!V45,4),$O$3:$O$6,0),MATCH(MOD('Map 2 Do Touch'!V46,4),$P$2:$S$2,0)),$AF$4:$AF$6,0),MATCH(IF('Map 2 Do Touch'!V45&gt;4,"Water","Land"),'Map 3'!$AG$3:$AH$3,0)),INDEX($AK$4:$AL$6,MATCH(INDEX($P$3:$S$6,MATCH(MOD('Map 2 Do Touch'!V45,4),$O$3:$O$6,0),MATCH(MOD('Map 2 Do Touch'!V46,4),$P$2:$S$2,0)),'Map 3'!$AJ$4:$AJ$6,0),MATCH(IF('Map 2 Do Touch'!V45&gt;4,"Water","Land"),'Map 3'!$AK$3:$AL$3,0))))</f>
        <v>Coast</v>
      </c>
      <c r="W50" s="3" t="str">
        <f ca="1">IF('Map 2 Do Touch'!V45&lt;&gt;'Map 2 Do Touch'!V46,IF('Map 2 Do Touch'!W46&gt;4,INDEX($AG$4:$AH$6,MATCH(INDEX($I$3:$L$6,MATCH(MOD('Map 2 Do Touch'!V46,4),$H$3:$H$6,0),MATCH(MOD('Map 2 Do Touch'!W46,4),$I$2:$L$2,0)),$AF$4:$AF$6,0),MATCH(IF('Map 2 Do Touch'!V46&gt;4,"Water","Land"),'Map 3'!$AG$3:$AH$3,0)),INDEX($AK$4:$AL$6,MATCH(INDEX($I$3:$L$6,MATCH(MOD('Map 2 Do Touch'!V46,4),$H$3:$H$6,0),MATCH(MOD('Map 2 Do Touch'!W46,4),$I$2:$L$2,0)),'Map 3'!$AJ$4:$AJ$6,0),MATCH(IF('Map 2 Do Touch'!V46&gt;4,"Water","Land"),'Map 3'!$AK$3:$AL$3,0))),IF('Map 2 Do Touch'!W46&gt;4,INDEX($AG$4:$AH$6,MATCH(INDEX($P$3:$S$6,MATCH(MOD('Map 2 Do Touch'!W45,4),$O$3:$O$6,0),MATCH(MOD('Map 2 Do Touch'!W46,4),$P$2:$S$2,0)),$AF$4:$AF$6,0),MATCH(IF('Map 2 Do Touch'!W45&gt;4,"Water","Land"),'Map 3'!$AG$3:$AH$3,0)),INDEX($AK$4:$AL$6,MATCH(INDEX($P$3:$S$6,MATCH(MOD('Map 2 Do Touch'!W45,4),$O$3:$O$6,0),MATCH(MOD('Map 2 Do Touch'!W46,4),$P$2:$S$2,0)),'Map 3'!$AJ$4:$AJ$6,0),MATCH(IF('Map 2 Do Touch'!W45&gt;4,"Water","Land"),'Map 3'!$AK$3:$AL$3,0))))</f>
        <v>Ocean</v>
      </c>
      <c r="X50" s="3" t="str">
        <f ca="1">IF('Map 2 Do Touch'!W45&lt;&gt;'Map 2 Do Touch'!W46,IF('Map 2 Do Touch'!X46&gt;4,INDEX($AG$4:$AH$6,MATCH(INDEX($I$3:$L$6,MATCH(MOD('Map 2 Do Touch'!W46,4),$H$3:$H$6,0),MATCH(MOD('Map 2 Do Touch'!X46,4),$I$2:$L$2,0)),$AF$4:$AF$6,0),MATCH(IF('Map 2 Do Touch'!W46&gt;4,"Water","Land"),'Map 3'!$AG$3:$AH$3,0)),INDEX($AK$4:$AL$6,MATCH(INDEX($I$3:$L$6,MATCH(MOD('Map 2 Do Touch'!W46,4),$H$3:$H$6,0),MATCH(MOD('Map 2 Do Touch'!X46,4),$I$2:$L$2,0)),'Map 3'!$AJ$4:$AJ$6,0),MATCH(IF('Map 2 Do Touch'!W46&gt;4,"Water","Land"),'Map 3'!$AK$3:$AL$3,0))),IF('Map 2 Do Touch'!X46&gt;4,INDEX($AG$4:$AH$6,MATCH(INDEX($P$3:$S$6,MATCH(MOD('Map 2 Do Touch'!X45,4),$O$3:$O$6,0),MATCH(MOD('Map 2 Do Touch'!X46,4),$P$2:$S$2,0)),$AF$4:$AF$6,0),MATCH(IF('Map 2 Do Touch'!X45&gt;4,"Water","Land"),'Map 3'!$AG$3:$AH$3,0)),INDEX($AK$4:$AL$6,MATCH(INDEX($P$3:$S$6,MATCH(MOD('Map 2 Do Touch'!X45,4),$O$3:$O$6,0),MATCH(MOD('Map 2 Do Touch'!X46,4),$P$2:$S$2,0)),'Map 3'!$AJ$4:$AJ$6,0),MATCH(IF('Map 2 Do Touch'!X45&gt;4,"Water","Land"),'Map 3'!$AK$3:$AL$3,0))))</f>
        <v>Ocean</v>
      </c>
      <c r="Y50" s="3" t="str">
        <f ca="1">IF('Map 2 Do Touch'!X45&lt;&gt;'Map 2 Do Touch'!X46,IF('Map 2 Do Touch'!Y46&gt;4,INDEX($AG$4:$AH$6,MATCH(INDEX($I$3:$L$6,MATCH(MOD('Map 2 Do Touch'!X46,4),$H$3:$H$6,0),MATCH(MOD('Map 2 Do Touch'!Y46,4),$I$2:$L$2,0)),$AF$4:$AF$6,0),MATCH(IF('Map 2 Do Touch'!X46&gt;4,"Water","Land"),'Map 3'!$AG$3:$AH$3,0)),INDEX($AK$4:$AL$6,MATCH(INDEX($I$3:$L$6,MATCH(MOD('Map 2 Do Touch'!X46,4),$H$3:$H$6,0),MATCH(MOD('Map 2 Do Touch'!Y46,4),$I$2:$L$2,0)),'Map 3'!$AJ$4:$AJ$6,0),MATCH(IF('Map 2 Do Touch'!X46&gt;4,"Water","Land"),'Map 3'!$AK$3:$AL$3,0))),IF('Map 2 Do Touch'!Y46&gt;4,INDEX($AG$4:$AH$6,MATCH(INDEX($P$3:$S$6,MATCH(MOD('Map 2 Do Touch'!Y45,4),$O$3:$O$6,0),MATCH(MOD('Map 2 Do Touch'!Y46,4),$P$2:$S$2,0)),$AF$4:$AF$6,0),MATCH(IF('Map 2 Do Touch'!Y45&gt;4,"Water","Land"),'Map 3'!$AG$3:$AH$3,0)),INDEX($AK$4:$AL$6,MATCH(INDEX($P$3:$S$6,MATCH(MOD('Map 2 Do Touch'!Y45,4),$O$3:$O$6,0),MATCH(MOD('Map 2 Do Touch'!Y46,4),$P$2:$S$2,0)),'Map 3'!$AJ$4:$AJ$6,0),MATCH(IF('Map 2 Do Touch'!Y45&gt;4,"Water","Land"),'Map 3'!$AK$3:$AL$3,0))))</f>
        <v>Ocean</v>
      </c>
      <c r="Z50" s="3" t="str">
        <f ca="1">IF('Map 2 Do Touch'!Y45&lt;&gt;'Map 2 Do Touch'!Y46,IF('Map 2 Do Touch'!Z46&gt;4,INDEX($AG$4:$AH$6,MATCH(INDEX($I$3:$L$6,MATCH(MOD('Map 2 Do Touch'!Y46,4),$H$3:$H$6,0),MATCH(MOD('Map 2 Do Touch'!Z46,4),$I$2:$L$2,0)),$AF$4:$AF$6,0),MATCH(IF('Map 2 Do Touch'!Y46&gt;4,"Water","Land"),'Map 3'!$AG$3:$AH$3,0)),INDEX($AK$4:$AL$6,MATCH(INDEX($I$3:$L$6,MATCH(MOD('Map 2 Do Touch'!Y46,4),$H$3:$H$6,0),MATCH(MOD('Map 2 Do Touch'!Z46,4),$I$2:$L$2,0)),'Map 3'!$AJ$4:$AJ$6,0),MATCH(IF('Map 2 Do Touch'!Y46&gt;4,"Water","Land"),'Map 3'!$AK$3:$AL$3,0))),IF('Map 2 Do Touch'!Z46&gt;4,INDEX($AG$4:$AH$6,MATCH(INDEX($P$3:$S$6,MATCH(MOD('Map 2 Do Touch'!Z45,4),$O$3:$O$6,0),MATCH(MOD('Map 2 Do Touch'!Z46,4),$P$2:$S$2,0)),$AF$4:$AF$6,0),MATCH(IF('Map 2 Do Touch'!Z45&gt;4,"Water","Land"),'Map 3'!$AG$3:$AH$3,0)),INDEX($AK$4:$AL$6,MATCH(INDEX($P$3:$S$6,MATCH(MOD('Map 2 Do Touch'!Z45,4),$O$3:$O$6,0),MATCH(MOD('Map 2 Do Touch'!Z46,4),$P$2:$S$2,0)),'Map 3'!$AJ$4:$AJ$6,0),MATCH(IF('Map 2 Do Touch'!Z45&gt;4,"Water","Land"),'Map 3'!$AK$3:$AL$3,0))))</f>
        <v>Ocean</v>
      </c>
      <c r="AA50" s="3" t="str">
        <f ca="1">IF('Map 2 Do Touch'!Z45&lt;&gt;'Map 2 Do Touch'!Z46,IF('Map 2 Do Touch'!AA46&gt;4,INDEX($AG$4:$AH$6,MATCH(INDEX($I$3:$L$6,MATCH(MOD('Map 2 Do Touch'!Z46,4),$H$3:$H$6,0),MATCH(MOD('Map 2 Do Touch'!AA46,4),$I$2:$L$2,0)),$AF$4:$AF$6,0),MATCH(IF('Map 2 Do Touch'!Z46&gt;4,"Water","Land"),'Map 3'!$AG$3:$AH$3,0)),INDEX($AK$4:$AL$6,MATCH(INDEX($I$3:$L$6,MATCH(MOD('Map 2 Do Touch'!Z46,4),$H$3:$H$6,0),MATCH(MOD('Map 2 Do Touch'!AA46,4),$I$2:$L$2,0)),'Map 3'!$AJ$4:$AJ$6,0),MATCH(IF('Map 2 Do Touch'!Z46&gt;4,"Water","Land"),'Map 3'!$AK$3:$AL$3,0))),IF('Map 2 Do Touch'!AA46&gt;4,INDEX($AG$4:$AH$6,MATCH(INDEX($P$3:$S$6,MATCH(MOD('Map 2 Do Touch'!AA45,4),$O$3:$O$6,0),MATCH(MOD('Map 2 Do Touch'!AA46,4),$P$2:$S$2,0)),$AF$4:$AF$6,0),MATCH(IF('Map 2 Do Touch'!AA45&gt;4,"Water","Land"),'Map 3'!$AG$3:$AH$3,0)),INDEX($AK$4:$AL$6,MATCH(INDEX($P$3:$S$6,MATCH(MOD('Map 2 Do Touch'!AA45,4),$O$3:$O$6,0),MATCH(MOD('Map 2 Do Touch'!AA46,4),$P$2:$S$2,0)),'Map 3'!$AJ$4:$AJ$6,0),MATCH(IF('Map 2 Do Touch'!AA45&gt;4,"Water","Land"),'Map 3'!$AK$3:$AL$3,0))))</f>
        <v>Ocean</v>
      </c>
      <c r="AB50" s="3" t="str">
        <f ca="1">IF('Map 2 Do Touch'!AA45&lt;&gt;'Map 2 Do Touch'!AA46,IF('Map 2 Do Touch'!AB46&gt;4,INDEX($AG$4:$AH$6,MATCH(INDEX($I$3:$L$6,MATCH(MOD('Map 2 Do Touch'!AA46,4),$H$3:$H$6,0),MATCH(MOD('Map 2 Do Touch'!AB46,4),$I$2:$L$2,0)),$AF$4:$AF$6,0),MATCH(IF('Map 2 Do Touch'!AA46&gt;4,"Water","Land"),'Map 3'!$AG$3:$AH$3,0)),INDEX($AK$4:$AL$6,MATCH(INDEX($I$3:$L$6,MATCH(MOD('Map 2 Do Touch'!AA46,4),$H$3:$H$6,0),MATCH(MOD('Map 2 Do Touch'!AB46,4),$I$2:$L$2,0)),'Map 3'!$AJ$4:$AJ$6,0),MATCH(IF('Map 2 Do Touch'!AA46&gt;4,"Water","Land"),'Map 3'!$AK$3:$AL$3,0))),IF('Map 2 Do Touch'!AB46&gt;4,INDEX($AG$4:$AH$6,MATCH(INDEX($P$3:$S$6,MATCH(MOD('Map 2 Do Touch'!AB45,4),$O$3:$O$6,0),MATCH(MOD('Map 2 Do Touch'!AB46,4),$P$2:$S$2,0)),$AF$4:$AF$6,0),MATCH(IF('Map 2 Do Touch'!AB45&gt;4,"Water","Land"),'Map 3'!$AG$3:$AH$3,0)),INDEX($AK$4:$AL$6,MATCH(INDEX($P$3:$S$6,MATCH(MOD('Map 2 Do Touch'!AB45,4),$O$3:$O$6,0),MATCH(MOD('Map 2 Do Touch'!AB46,4),$P$2:$S$2,0)),'Map 3'!$AJ$4:$AJ$6,0),MATCH(IF('Map 2 Do Touch'!AB45&gt;4,"Water","Land"),'Map 3'!$AK$3:$AL$3,0))))</f>
        <v>Ocean</v>
      </c>
      <c r="AC50" s="3" t="str">
        <f ca="1">IF('Map 2 Do Touch'!AB45&lt;&gt;'Map 2 Do Touch'!AB46,IF('Map 2 Do Touch'!AC46&gt;4,INDEX($AG$4:$AH$6,MATCH(INDEX($I$3:$L$6,MATCH(MOD('Map 2 Do Touch'!AB46,4),$H$3:$H$6,0),MATCH(MOD('Map 2 Do Touch'!AC46,4),$I$2:$L$2,0)),$AF$4:$AF$6,0),MATCH(IF('Map 2 Do Touch'!AB46&gt;4,"Water","Land"),'Map 3'!$AG$3:$AH$3,0)),INDEX($AK$4:$AL$6,MATCH(INDEX($I$3:$L$6,MATCH(MOD('Map 2 Do Touch'!AB46,4),$H$3:$H$6,0),MATCH(MOD('Map 2 Do Touch'!AC46,4),$I$2:$L$2,0)),'Map 3'!$AJ$4:$AJ$6,0),MATCH(IF('Map 2 Do Touch'!AB46&gt;4,"Water","Land"),'Map 3'!$AK$3:$AL$3,0))),IF('Map 2 Do Touch'!AC46&gt;4,INDEX($AG$4:$AH$6,MATCH(INDEX($P$3:$S$6,MATCH(MOD('Map 2 Do Touch'!AC45,4),$O$3:$O$6,0),MATCH(MOD('Map 2 Do Touch'!AC46,4),$P$2:$S$2,0)),$AF$4:$AF$6,0),MATCH(IF('Map 2 Do Touch'!AC45&gt;4,"Water","Land"),'Map 3'!$AG$3:$AH$3,0)),INDEX($AK$4:$AL$6,MATCH(INDEX($P$3:$S$6,MATCH(MOD('Map 2 Do Touch'!AC45,4),$O$3:$O$6,0),MATCH(MOD('Map 2 Do Touch'!AC46,4),$P$2:$S$2,0)),'Map 3'!$AJ$4:$AJ$6,0),MATCH(IF('Map 2 Do Touch'!AC45&gt;4,"Water","Land"),'Map 3'!$AK$3:$AL$3,0))))</f>
        <v>Ocean</v>
      </c>
      <c r="AD50" s="3" t="str">
        <f ca="1">IF('Map 2 Do Touch'!AC45&lt;&gt;'Map 2 Do Touch'!AC46,IF('Map 2 Do Touch'!AD46&gt;4,INDEX($AG$4:$AH$6,MATCH(INDEX($I$3:$L$6,MATCH(MOD('Map 2 Do Touch'!AC46,4),$H$3:$H$6,0),MATCH(MOD('Map 2 Do Touch'!AD46,4),$I$2:$L$2,0)),$AF$4:$AF$6,0),MATCH(IF('Map 2 Do Touch'!AC46&gt;4,"Water","Land"),'Map 3'!$AG$3:$AH$3,0)),INDEX($AK$4:$AL$6,MATCH(INDEX($I$3:$L$6,MATCH(MOD('Map 2 Do Touch'!AC46,4),$H$3:$H$6,0),MATCH(MOD('Map 2 Do Touch'!AD46,4),$I$2:$L$2,0)),'Map 3'!$AJ$4:$AJ$6,0),MATCH(IF('Map 2 Do Touch'!AC46&gt;4,"Water","Land"),'Map 3'!$AK$3:$AL$3,0))),IF('Map 2 Do Touch'!AD46&gt;4,INDEX($AG$4:$AH$6,MATCH(INDEX($P$3:$S$6,MATCH(MOD('Map 2 Do Touch'!AD45,4),$O$3:$O$6,0),MATCH(MOD('Map 2 Do Touch'!AD46,4),$P$2:$S$2,0)),$AF$4:$AF$6,0),MATCH(IF('Map 2 Do Touch'!AD45&gt;4,"Water","Land"),'Map 3'!$AG$3:$AH$3,0)),INDEX($AK$4:$AL$6,MATCH(INDEX($P$3:$S$6,MATCH(MOD('Map 2 Do Touch'!AD45,4),$O$3:$O$6,0),MATCH(MOD('Map 2 Do Touch'!AD46,4),$P$2:$S$2,0)),'Map 3'!$AJ$4:$AJ$6,0),MATCH(IF('Map 2 Do Touch'!AD45&gt;4,"Water","Land"),'Map 3'!$AK$3:$AL$3,0))))</f>
        <v>Ocean</v>
      </c>
      <c r="AE50" s="3" t="str">
        <f ca="1">IF('Map 2 Do Touch'!AD45&lt;&gt;'Map 2 Do Touch'!AD46,IF('Map 2 Do Touch'!AE46&gt;4,INDEX($AG$4:$AH$6,MATCH(INDEX($I$3:$L$6,MATCH(MOD('Map 2 Do Touch'!AD46,4),$H$3:$H$6,0),MATCH(MOD('Map 2 Do Touch'!AE46,4),$I$2:$L$2,0)),$AF$4:$AF$6,0),MATCH(IF('Map 2 Do Touch'!AD46&gt;4,"Water","Land"),'Map 3'!$AG$3:$AH$3,0)),INDEX($AK$4:$AL$6,MATCH(INDEX($I$3:$L$6,MATCH(MOD('Map 2 Do Touch'!AD46,4),$H$3:$H$6,0),MATCH(MOD('Map 2 Do Touch'!AE46,4),$I$2:$L$2,0)),'Map 3'!$AJ$4:$AJ$6,0),MATCH(IF('Map 2 Do Touch'!AD46&gt;4,"Water","Land"),'Map 3'!$AK$3:$AL$3,0))),IF('Map 2 Do Touch'!AE46&gt;4,INDEX($AG$4:$AH$6,MATCH(INDEX($P$3:$S$6,MATCH(MOD('Map 2 Do Touch'!AE45,4),$O$3:$O$6,0),MATCH(MOD('Map 2 Do Touch'!AE46,4),$P$2:$S$2,0)),$AF$4:$AF$6,0),MATCH(IF('Map 2 Do Touch'!AE45&gt;4,"Water","Land"),'Map 3'!$AG$3:$AH$3,0)),INDEX($AK$4:$AL$6,MATCH(INDEX($P$3:$S$6,MATCH(MOD('Map 2 Do Touch'!AE45,4),$O$3:$O$6,0),MATCH(MOD('Map 2 Do Touch'!AE46,4),$P$2:$S$2,0)),'Map 3'!$AJ$4:$AJ$6,0),MATCH(IF('Map 2 Do Touch'!AE45&gt;4,"Water","Land"),'Map 3'!$AK$3:$AL$3,0))))</f>
        <v>Ocean</v>
      </c>
      <c r="AF50" s="3" t="str">
        <f ca="1">IF('Map 2 Do Touch'!AE45&lt;&gt;'Map 2 Do Touch'!AE46,IF('Map 2 Do Touch'!AF46&gt;4,INDEX($AG$4:$AH$6,MATCH(INDEX($I$3:$L$6,MATCH(MOD('Map 2 Do Touch'!AE46,4),$H$3:$H$6,0),MATCH(MOD('Map 2 Do Touch'!AF46,4),$I$2:$L$2,0)),$AF$4:$AF$6,0),MATCH(IF('Map 2 Do Touch'!AE46&gt;4,"Water","Land"),'Map 3'!$AG$3:$AH$3,0)),INDEX($AK$4:$AL$6,MATCH(INDEX($I$3:$L$6,MATCH(MOD('Map 2 Do Touch'!AE46,4),$H$3:$H$6,0),MATCH(MOD('Map 2 Do Touch'!AF46,4),$I$2:$L$2,0)),'Map 3'!$AJ$4:$AJ$6,0),MATCH(IF('Map 2 Do Touch'!AE46&gt;4,"Water","Land"),'Map 3'!$AK$3:$AL$3,0))),IF('Map 2 Do Touch'!AF46&gt;4,INDEX($AG$4:$AH$6,MATCH(INDEX($P$3:$S$6,MATCH(MOD('Map 2 Do Touch'!AF45,4),$O$3:$O$6,0),MATCH(MOD('Map 2 Do Touch'!AF46,4),$P$2:$S$2,0)),$AF$4:$AF$6,0),MATCH(IF('Map 2 Do Touch'!AF45&gt;4,"Water","Land"),'Map 3'!$AG$3:$AH$3,0)),INDEX($AK$4:$AL$6,MATCH(INDEX($P$3:$S$6,MATCH(MOD('Map 2 Do Touch'!AF45,4),$O$3:$O$6,0),MATCH(MOD('Map 2 Do Touch'!AF46,4),$P$2:$S$2,0)),'Map 3'!$AJ$4:$AJ$6,0),MATCH(IF('Map 2 Do Touch'!AF45&gt;4,"Water","Land"),'Map 3'!$AK$3:$AL$3,0))))</f>
        <v>Ocean</v>
      </c>
      <c r="AG50" s="3" t="str">
        <f ca="1">IF('Map 2 Do Touch'!AF45&lt;&gt;'Map 2 Do Touch'!AF46,IF('Map 2 Do Touch'!AG46&gt;4,INDEX($AG$4:$AH$6,MATCH(INDEX($I$3:$L$6,MATCH(MOD('Map 2 Do Touch'!AF46,4),$H$3:$H$6,0),MATCH(MOD('Map 2 Do Touch'!AG46,4),$I$2:$L$2,0)),$AF$4:$AF$6,0),MATCH(IF('Map 2 Do Touch'!AF46&gt;4,"Water","Land"),'Map 3'!$AG$3:$AH$3,0)),INDEX($AK$4:$AL$6,MATCH(INDEX($I$3:$L$6,MATCH(MOD('Map 2 Do Touch'!AF46,4),$H$3:$H$6,0),MATCH(MOD('Map 2 Do Touch'!AG46,4),$I$2:$L$2,0)),'Map 3'!$AJ$4:$AJ$6,0),MATCH(IF('Map 2 Do Touch'!AF46&gt;4,"Water","Land"),'Map 3'!$AK$3:$AL$3,0))),IF('Map 2 Do Touch'!AG46&gt;4,INDEX($AG$4:$AH$6,MATCH(INDEX($P$3:$S$6,MATCH(MOD('Map 2 Do Touch'!AG45,4),$O$3:$O$6,0),MATCH(MOD('Map 2 Do Touch'!AG46,4),$P$2:$S$2,0)),$AF$4:$AF$6,0),MATCH(IF('Map 2 Do Touch'!AG45&gt;4,"Water","Land"),'Map 3'!$AG$3:$AH$3,0)),INDEX($AK$4:$AL$6,MATCH(INDEX($P$3:$S$6,MATCH(MOD('Map 2 Do Touch'!AG45,4),$O$3:$O$6,0),MATCH(MOD('Map 2 Do Touch'!AG46,4),$P$2:$S$2,0)),'Map 3'!$AJ$4:$AJ$6,0),MATCH(IF('Map 2 Do Touch'!AG45&gt;4,"Water","Land"),'Map 3'!$AK$3:$AL$3,0))))</f>
        <v>Ocean</v>
      </c>
      <c r="AH50" s="3" t="str">
        <f ca="1">IF('Map 2 Do Touch'!AG45&lt;&gt;'Map 2 Do Touch'!AG46,IF('Map 2 Do Touch'!AH46&gt;4,INDEX($AG$4:$AH$6,MATCH(INDEX($I$3:$L$6,MATCH(MOD('Map 2 Do Touch'!AG46,4),$H$3:$H$6,0),MATCH(MOD('Map 2 Do Touch'!AH46,4),$I$2:$L$2,0)),$AF$4:$AF$6,0),MATCH(IF('Map 2 Do Touch'!AG46&gt;4,"Water","Land"),'Map 3'!$AG$3:$AH$3,0)),INDEX($AK$4:$AL$6,MATCH(INDEX($I$3:$L$6,MATCH(MOD('Map 2 Do Touch'!AG46,4),$H$3:$H$6,0),MATCH(MOD('Map 2 Do Touch'!AH46,4),$I$2:$L$2,0)),'Map 3'!$AJ$4:$AJ$6,0),MATCH(IF('Map 2 Do Touch'!AG46&gt;4,"Water","Land"),'Map 3'!$AK$3:$AL$3,0))),IF('Map 2 Do Touch'!AH46&gt;4,INDEX($AG$4:$AH$6,MATCH(INDEX($P$3:$S$6,MATCH(MOD('Map 2 Do Touch'!AH45,4),$O$3:$O$6,0),MATCH(MOD('Map 2 Do Touch'!AH46,4),$P$2:$S$2,0)),$AF$4:$AF$6,0),MATCH(IF('Map 2 Do Touch'!AH45&gt;4,"Water","Land"),'Map 3'!$AG$3:$AH$3,0)),INDEX($AK$4:$AL$6,MATCH(INDEX($P$3:$S$6,MATCH(MOD('Map 2 Do Touch'!AH45,4),$O$3:$O$6,0),MATCH(MOD('Map 2 Do Touch'!AH46,4),$P$2:$S$2,0)),'Map 3'!$AJ$4:$AJ$6,0),MATCH(IF('Map 2 Do Touch'!AH45&gt;4,"Water","Land"),'Map 3'!$AK$3:$AL$3,0))))</f>
        <v>Ocean</v>
      </c>
      <c r="AI50" s="3" t="str">
        <f ca="1">IF('Map 2 Do Touch'!AH45&lt;&gt;'Map 2 Do Touch'!AH46,IF('Map 2 Do Touch'!AI46&gt;4,INDEX($AG$4:$AH$6,MATCH(INDEX($I$3:$L$6,MATCH(MOD('Map 2 Do Touch'!AH46,4),$H$3:$H$6,0),MATCH(MOD('Map 2 Do Touch'!AI46,4),$I$2:$L$2,0)),$AF$4:$AF$6,0),MATCH(IF('Map 2 Do Touch'!AH46&gt;4,"Water","Land"),'Map 3'!$AG$3:$AH$3,0)),INDEX($AK$4:$AL$6,MATCH(INDEX($I$3:$L$6,MATCH(MOD('Map 2 Do Touch'!AH46,4),$H$3:$H$6,0),MATCH(MOD('Map 2 Do Touch'!AI46,4),$I$2:$L$2,0)),'Map 3'!$AJ$4:$AJ$6,0),MATCH(IF('Map 2 Do Touch'!AH46&gt;4,"Water","Land"),'Map 3'!$AK$3:$AL$3,0))),IF('Map 2 Do Touch'!AI46&gt;4,INDEX($AG$4:$AH$6,MATCH(INDEX($P$3:$S$6,MATCH(MOD('Map 2 Do Touch'!AI45,4),$O$3:$O$6,0),MATCH(MOD('Map 2 Do Touch'!AI46,4),$P$2:$S$2,0)),$AF$4:$AF$6,0),MATCH(IF('Map 2 Do Touch'!AI45&gt;4,"Water","Land"),'Map 3'!$AG$3:$AH$3,0)),INDEX($AK$4:$AL$6,MATCH(INDEX($P$3:$S$6,MATCH(MOD('Map 2 Do Touch'!AI45,4),$O$3:$O$6,0),MATCH(MOD('Map 2 Do Touch'!AI46,4),$P$2:$S$2,0)),'Map 3'!$AJ$4:$AJ$6,0),MATCH(IF('Map 2 Do Touch'!AI45&gt;4,"Water","Land"),'Map 3'!$AK$3:$AL$3,0))))</f>
        <v>Ocean</v>
      </c>
      <c r="AJ50" s="3" t="str">
        <f ca="1">IF('Map 2 Do Touch'!AI45&lt;&gt;'Map 2 Do Touch'!AI46,IF('Map 2 Do Touch'!AJ46&gt;4,INDEX($AG$4:$AH$6,MATCH(INDEX($I$3:$L$6,MATCH(MOD('Map 2 Do Touch'!AI46,4),$H$3:$H$6,0),MATCH(MOD('Map 2 Do Touch'!AJ46,4),$I$2:$L$2,0)),$AF$4:$AF$6,0),MATCH(IF('Map 2 Do Touch'!AI46&gt;4,"Water","Land"),'Map 3'!$AG$3:$AH$3,0)),INDEX($AK$4:$AL$6,MATCH(INDEX($I$3:$L$6,MATCH(MOD('Map 2 Do Touch'!AI46,4),$H$3:$H$6,0),MATCH(MOD('Map 2 Do Touch'!AJ46,4),$I$2:$L$2,0)),'Map 3'!$AJ$4:$AJ$6,0),MATCH(IF('Map 2 Do Touch'!AI46&gt;4,"Water","Land"),'Map 3'!$AK$3:$AL$3,0))),IF('Map 2 Do Touch'!AJ46&gt;4,INDEX($AG$4:$AH$6,MATCH(INDEX($P$3:$S$6,MATCH(MOD('Map 2 Do Touch'!AJ45,4),$O$3:$O$6,0),MATCH(MOD('Map 2 Do Touch'!AJ46,4),$P$2:$S$2,0)),$AF$4:$AF$6,0),MATCH(IF('Map 2 Do Touch'!AJ45&gt;4,"Water","Land"),'Map 3'!$AG$3:$AH$3,0)),INDEX($AK$4:$AL$6,MATCH(INDEX($P$3:$S$6,MATCH(MOD('Map 2 Do Touch'!AJ45,4),$O$3:$O$6,0),MATCH(MOD('Map 2 Do Touch'!AJ46,4),$P$2:$S$2,0)),'Map 3'!$AJ$4:$AJ$6,0),MATCH(IF('Map 2 Do Touch'!AJ45&gt;4,"Water","Land"),'Map 3'!$AK$3:$AL$3,0))))</f>
        <v>Ocean</v>
      </c>
      <c r="AK50" s="3" t="str">
        <f ca="1">IF('Map 2 Do Touch'!AJ45&lt;&gt;'Map 2 Do Touch'!AJ46,IF('Map 2 Do Touch'!AK46&gt;4,INDEX($AG$4:$AH$6,MATCH(INDEX($I$3:$L$6,MATCH(MOD('Map 2 Do Touch'!AJ46,4),$H$3:$H$6,0),MATCH(MOD('Map 2 Do Touch'!AK46,4),$I$2:$L$2,0)),$AF$4:$AF$6,0),MATCH(IF('Map 2 Do Touch'!AJ46&gt;4,"Water","Land"),'Map 3'!$AG$3:$AH$3,0)),INDEX($AK$4:$AL$6,MATCH(INDEX($I$3:$L$6,MATCH(MOD('Map 2 Do Touch'!AJ46,4),$H$3:$H$6,0),MATCH(MOD('Map 2 Do Touch'!AK46,4),$I$2:$L$2,0)),'Map 3'!$AJ$4:$AJ$6,0),MATCH(IF('Map 2 Do Touch'!AJ46&gt;4,"Water","Land"),'Map 3'!$AK$3:$AL$3,0))),IF('Map 2 Do Touch'!AK46&gt;4,INDEX($AG$4:$AH$6,MATCH(INDEX($P$3:$S$6,MATCH(MOD('Map 2 Do Touch'!AK45,4),$O$3:$O$6,0),MATCH(MOD('Map 2 Do Touch'!AK46,4),$P$2:$S$2,0)),$AF$4:$AF$6,0),MATCH(IF('Map 2 Do Touch'!AK45&gt;4,"Water","Land"),'Map 3'!$AG$3:$AH$3,0)),INDEX($AK$4:$AL$6,MATCH(INDEX($P$3:$S$6,MATCH(MOD('Map 2 Do Touch'!AK45,4),$O$3:$O$6,0),MATCH(MOD('Map 2 Do Touch'!AK46,4),$P$2:$S$2,0)),'Map 3'!$AJ$4:$AJ$6,0),MATCH(IF('Map 2 Do Touch'!AK45&gt;4,"Water","Land"),'Map 3'!$AK$3:$AL$3,0))))</f>
        <v>Island</v>
      </c>
      <c r="AL50" s="3" t="str">
        <f ca="1">IF('Map 2 Do Touch'!AK45&lt;&gt;'Map 2 Do Touch'!AK46,IF('Map 2 Do Touch'!AL46&gt;4,INDEX($AG$4:$AH$6,MATCH(INDEX($I$3:$L$6,MATCH(MOD('Map 2 Do Touch'!AK46,4),$H$3:$H$6,0),MATCH(MOD('Map 2 Do Touch'!AL46,4),$I$2:$L$2,0)),$AF$4:$AF$6,0),MATCH(IF('Map 2 Do Touch'!AK46&gt;4,"Water","Land"),'Map 3'!$AG$3:$AH$3,0)),INDEX($AK$4:$AL$6,MATCH(INDEX($I$3:$L$6,MATCH(MOD('Map 2 Do Touch'!AK46,4),$H$3:$H$6,0),MATCH(MOD('Map 2 Do Touch'!AL46,4),$I$2:$L$2,0)),'Map 3'!$AJ$4:$AJ$6,0),MATCH(IF('Map 2 Do Touch'!AK46&gt;4,"Water","Land"),'Map 3'!$AK$3:$AL$3,0))),IF('Map 2 Do Touch'!AL46&gt;4,INDEX($AG$4:$AH$6,MATCH(INDEX($P$3:$S$6,MATCH(MOD('Map 2 Do Touch'!AL45,4),$O$3:$O$6,0),MATCH(MOD('Map 2 Do Touch'!AL46,4),$P$2:$S$2,0)),$AF$4:$AF$6,0),MATCH(IF('Map 2 Do Touch'!AL45&gt;4,"Water","Land"),'Map 3'!$AG$3:$AH$3,0)),INDEX($AK$4:$AL$6,MATCH(INDEX($P$3:$S$6,MATCH(MOD('Map 2 Do Touch'!AL45,4),$O$3:$O$6,0),MATCH(MOD('Map 2 Do Touch'!AL46,4),$P$2:$S$2,0)),'Map 3'!$AJ$4:$AJ$6,0),MATCH(IF('Map 2 Do Touch'!AL45&gt;4,"Water","Land"),'Map 3'!$AK$3:$AL$3,0))))</f>
        <v>Trench</v>
      </c>
      <c r="AM50" s="3" t="str">
        <f ca="1">IF('Map 2 Do Touch'!AL45&lt;&gt;'Map 2 Do Touch'!AL46,IF('Map 2 Do Touch'!AM46&gt;4,INDEX($AG$4:$AH$6,MATCH(INDEX($I$3:$L$6,MATCH(MOD('Map 2 Do Touch'!AL46,4),$H$3:$H$6,0),MATCH(MOD('Map 2 Do Touch'!AM46,4),$I$2:$L$2,0)),$AF$4:$AF$6,0),MATCH(IF('Map 2 Do Touch'!AL46&gt;4,"Water","Land"),'Map 3'!$AG$3:$AH$3,0)),INDEX($AK$4:$AL$6,MATCH(INDEX($I$3:$L$6,MATCH(MOD('Map 2 Do Touch'!AL46,4),$H$3:$H$6,0),MATCH(MOD('Map 2 Do Touch'!AM46,4),$I$2:$L$2,0)),'Map 3'!$AJ$4:$AJ$6,0),MATCH(IF('Map 2 Do Touch'!AL46&gt;4,"Water","Land"),'Map 3'!$AK$3:$AL$3,0))),IF('Map 2 Do Touch'!AM46&gt;4,INDEX($AG$4:$AH$6,MATCH(INDEX($P$3:$S$6,MATCH(MOD('Map 2 Do Touch'!AM45,4),$O$3:$O$6,0),MATCH(MOD('Map 2 Do Touch'!AM46,4),$P$2:$S$2,0)),$AF$4:$AF$6,0),MATCH(IF('Map 2 Do Touch'!AM45&gt;4,"Water","Land"),'Map 3'!$AG$3:$AH$3,0)),INDEX($AK$4:$AL$6,MATCH(INDEX($P$3:$S$6,MATCH(MOD('Map 2 Do Touch'!AM45,4),$O$3:$O$6,0),MATCH(MOD('Map 2 Do Touch'!AM46,4),$P$2:$S$2,0)),'Map 3'!$AJ$4:$AJ$6,0),MATCH(IF('Map 2 Do Touch'!AM45&gt;4,"Water","Land"),'Map 3'!$AK$3:$AL$3,0))))</f>
        <v>Ocean</v>
      </c>
      <c r="AN50" s="3" t="str">
        <f ca="1">IF('Map 2 Do Touch'!AM45&lt;&gt;'Map 2 Do Touch'!AM46,IF('Map 2 Do Touch'!AN46&gt;4,INDEX($AG$4:$AH$6,MATCH(INDEX($I$3:$L$6,MATCH(MOD('Map 2 Do Touch'!AM46,4),$H$3:$H$6,0),MATCH(MOD('Map 2 Do Touch'!AN46,4),$I$2:$L$2,0)),$AF$4:$AF$6,0),MATCH(IF('Map 2 Do Touch'!AM46&gt;4,"Water","Land"),'Map 3'!$AG$3:$AH$3,0)),INDEX($AK$4:$AL$6,MATCH(INDEX($I$3:$L$6,MATCH(MOD('Map 2 Do Touch'!AM46,4),$H$3:$H$6,0),MATCH(MOD('Map 2 Do Touch'!AN46,4),$I$2:$L$2,0)),'Map 3'!$AJ$4:$AJ$6,0),MATCH(IF('Map 2 Do Touch'!AM46&gt;4,"Water","Land"),'Map 3'!$AK$3:$AL$3,0))),IF('Map 2 Do Touch'!AN46&gt;4,INDEX($AG$4:$AH$6,MATCH(INDEX($P$3:$S$6,MATCH(MOD('Map 2 Do Touch'!AN45,4),$O$3:$O$6,0),MATCH(MOD('Map 2 Do Touch'!AN46,4),$P$2:$S$2,0)),$AF$4:$AF$6,0),MATCH(IF('Map 2 Do Touch'!AN45&gt;4,"Water","Land"),'Map 3'!$AG$3:$AH$3,0)),INDEX($AK$4:$AL$6,MATCH(INDEX($P$3:$S$6,MATCH(MOD('Map 2 Do Touch'!AN45,4),$O$3:$O$6,0),MATCH(MOD('Map 2 Do Touch'!AN46,4),$P$2:$S$2,0)),'Map 3'!$AJ$4:$AJ$6,0),MATCH(IF('Map 2 Do Touch'!AN45&gt;4,"Water","Land"),'Map 3'!$AK$3:$AL$3,0))))</f>
        <v>Ocean</v>
      </c>
      <c r="AO50" s="87" t="str">
        <f ca="1">IF('Map 2 Do Touch'!AN45&lt;&gt;'Map 2 Do Touch'!AN46,IF('Map 2 Do Touch'!AO46&gt;4,INDEX($AG$4:$AH$6,MATCH(INDEX($I$3:$L$6,MATCH(MOD('Map 2 Do Touch'!AN46,4),$H$3:$H$6,0),MATCH(MOD('Map 2 Do Touch'!AO46,4),$I$2:$L$2,0)),$AF$4:$AF$6,0),MATCH(IF('Map 2 Do Touch'!AN46&gt;4,"Water","Land"),'Map 3'!$AG$3:$AH$3,0)),INDEX($AK$4:$AL$6,MATCH(INDEX($I$3:$L$6,MATCH(MOD('Map 2 Do Touch'!AN46,4),$H$3:$H$6,0),MATCH(MOD('Map 2 Do Touch'!AO46,4),$I$2:$L$2,0)),'Map 3'!$AJ$4:$AJ$6,0),MATCH(IF('Map 2 Do Touch'!AN46&gt;4,"Water","Land"),'Map 3'!$AK$3:$AL$3,0))),IF('Map 2 Do Touch'!AO46&gt;4,INDEX($AG$4:$AH$6,MATCH(INDEX($P$3:$S$6,MATCH(MOD('Map 2 Do Touch'!AO45,4),$O$3:$O$6,0),MATCH(MOD('Map 2 Do Touch'!AO46,4),$P$2:$S$2,0)),$AF$4:$AF$6,0),MATCH(IF('Map 2 Do Touch'!AO45&gt;4,"Water","Land"),'Map 3'!$AG$3:$AH$3,0)),INDEX($AK$4:$AL$6,MATCH(INDEX($P$3:$S$6,MATCH(MOD('Map 2 Do Touch'!AO45,4),$O$3:$O$6,0),MATCH(MOD('Map 2 Do Touch'!AO46,4),$P$2:$S$2,0)),'Map 3'!$AJ$4:$AJ$6,0),MATCH(IF('Map 2 Do Touch'!AO45&gt;4,"Water","Land"),'Map 3'!$AK$3:$AL$3,0))))</f>
        <v>Ocean</v>
      </c>
      <c r="AP50" s="3"/>
    </row>
    <row r="51" spans="1:42" ht="37.5" customHeight="1">
      <c r="A51" s="3">
        <v>40</v>
      </c>
      <c r="B51" s="88" t="str">
        <f ca="1">IF('Map 2 Do Touch'!B46&lt;&gt;'Map 2 Do Touch'!B47,IF('Map 2 Do Touch'!B47&gt;4,INDEX($AG$4:$AH$6,MATCH(INDEX($I$3:$L$6,MATCH(MOD('Map 2 Do Touch'!AO47,4),$H$3:$H$6,0),MATCH(MOD('Map 2 Do Touch'!B47,4),$I$2:$L$2,0)),$AF$4:$AF$6,0),MATCH(IF('Map 2 Do Touch'!AO47&gt;4,"Water","Land"),'Map 3'!$AG$3:$AH$3,0)),INDEX($AK$4:$AL$6,MATCH(INDEX($I$3:$L$6,MATCH(MOD('Map 2 Do Touch'!A47,4),$H$3:$H$6,0),MATCH(MOD('Map 2 Do Touch'!B47,4),$I$2:$L$2,0)),'Map 3'!$AJ$4:$AJ$6,0),MATCH(IF('Map 2 Do Touch'!AO47&gt;4,"Water","Land"),'Map 3'!$AK$3:$AL$3,0))),IF('Map 2 Do Touch'!B47&gt;4,INDEX($AG$4:$AH$6,MATCH(INDEX($P$3:$S$6,MATCH(MOD('Map 2 Do Touch'!B46,4),$O$3:$O$6,0),MATCH(MOD('Map 2 Do Touch'!B47,4),$P$2:$S$2,0)),$AF$4:$AF$6,0),MATCH(IF('Map 2 Do Touch'!B46&gt;4,"Water","Land"),'Map 3'!$AG$3:$AH$3,0)),INDEX($AK$4:$AL$6,MATCH(INDEX($P$3:$S$6,MATCH(MOD('Map 2 Do Touch'!B46,4),$O$3:$O$6,0),MATCH(MOD('Map 2 Do Touch'!B47,4),$P$2:$S$2,0)),'Map 3'!$AJ$4:$AJ$6,0),MATCH(IF('Map 2 Do Touch'!B46&gt;4,"Water","Land"),'Map 3'!$AK$3:$AL$3,0))))</f>
        <v>Ocean</v>
      </c>
      <c r="C51" s="89" t="str">
        <f ca="1">IF('Map 2 Do Touch'!B46&lt;&gt;'Map 2 Do Touch'!B47,IF('Map 2 Do Touch'!C47&gt;4,INDEX($AG$4:$AH$6,MATCH(INDEX($I$3:$L$6,MATCH(MOD('Map 2 Do Touch'!B47,4),$H$3:$H$6,0),MATCH(MOD('Map 2 Do Touch'!C47,4),$I$2:$L$2,0)),$AF$4:$AF$6,0),MATCH(IF('Map 2 Do Touch'!B47&gt;4,"Water","Land"),'Map 3'!$AG$3:$AH$3,0)),INDEX($AK$4:$AL$6,MATCH(INDEX($I$3:$L$6,MATCH(MOD('Map 2 Do Touch'!B47,4),$H$3:$H$6,0),MATCH(MOD('Map 2 Do Touch'!C47,4),$I$2:$L$2,0)),'Map 3'!$AJ$4:$AJ$6,0),MATCH(IF('Map 2 Do Touch'!B47&gt;4,"Water","Land"),'Map 3'!$AK$3:$AL$3,0))),IF('Map 2 Do Touch'!C47&gt;4,INDEX($AG$4:$AH$6,MATCH(INDEX($P$3:$S$6,MATCH(MOD('Map 2 Do Touch'!C46,4),$O$3:$O$6,0),MATCH(MOD('Map 2 Do Touch'!C47,4),$P$2:$S$2,0)),$AF$4:$AF$6,0),MATCH(IF('Map 2 Do Touch'!C46&gt;4,"Water","Land"),'Map 3'!$AG$3:$AH$3,0)),INDEX($AK$4:$AL$6,MATCH(INDEX($P$3:$S$6,MATCH(MOD('Map 2 Do Touch'!C46,4),$O$3:$O$6,0),MATCH(MOD('Map 2 Do Touch'!C47,4),$P$2:$S$2,0)),'Map 3'!$AJ$4:$AJ$6,0),MATCH(IF('Map 2 Do Touch'!C46&gt;4,"Water","Land"),'Map 3'!$AK$3:$AL$3,0))))</f>
        <v>Ocean</v>
      </c>
      <c r="D51" s="89" t="str">
        <f ca="1">IF('Map 2 Do Touch'!C46&lt;&gt;'Map 2 Do Touch'!C47,IF('Map 2 Do Touch'!D47&gt;4,INDEX($AG$4:$AH$6,MATCH(INDEX($I$3:$L$6,MATCH(MOD('Map 2 Do Touch'!C47,4),$H$3:$H$6,0),MATCH(MOD('Map 2 Do Touch'!D47,4),$I$2:$L$2,0)),$AF$4:$AF$6,0),MATCH(IF('Map 2 Do Touch'!C47&gt;4,"Water","Land"),'Map 3'!$AG$3:$AH$3,0)),INDEX($AK$4:$AL$6,MATCH(INDEX($I$3:$L$6,MATCH(MOD('Map 2 Do Touch'!C47,4),$H$3:$H$6,0),MATCH(MOD('Map 2 Do Touch'!D47,4),$I$2:$L$2,0)),'Map 3'!$AJ$4:$AJ$6,0),MATCH(IF('Map 2 Do Touch'!C47&gt;4,"Water","Land"),'Map 3'!$AK$3:$AL$3,0))),IF('Map 2 Do Touch'!D47&gt;4,INDEX($AG$4:$AH$6,MATCH(INDEX($P$3:$S$6,MATCH(MOD('Map 2 Do Touch'!D46,4),$O$3:$O$6,0),MATCH(MOD('Map 2 Do Touch'!D47,4),$P$2:$S$2,0)),$AF$4:$AF$6,0),MATCH(IF('Map 2 Do Touch'!D46&gt;4,"Water","Land"),'Map 3'!$AG$3:$AH$3,0)),INDEX($AK$4:$AL$6,MATCH(INDEX($P$3:$S$6,MATCH(MOD('Map 2 Do Touch'!D46,4),$O$3:$O$6,0),MATCH(MOD('Map 2 Do Touch'!D47,4),$P$2:$S$2,0)),'Map 3'!$AJ$4:$AJ$6,0),MATCH(IF('Map 2 Do Touch'!D46&gt;4,"Water","Land"),'Map 3'!$AK$3:$AL$3,0))))</f>
        <v>Ocean</v>
      </c>
      <c r="E51" s="89" t="str">
        <f ca="1">IF('Map 2 Do Touch'!D46&lt;&gt;'Map 2 Do Touch'!D47,IF('Map 2 Do Touch'!E47&gt;4,INDEX($AG$4:$AH$6,MATCH(INDEX($I$3:$L$6,MATCH(MOD('Map 2 Do Touch'!D47,4),$H$3:$H$6,0),MATCH(MOD('Map 2 Do Touch'!E47,4),$I$2:$L$2,0)),$AF$4:$AF$6,0),MATCH(IF('Map 2 Do Touch'!D47&gt;4,"Water","Land"),'Map 3'!$AG$3:$AH$3,0)),INDEX($AK$4:$AL$6,MATCH(INDEX($I$3:$L$6,MATCH(MOD('Map 2 Do Touch'!D47,4),$H$3:$H$6,0),MATCH(MOD('Map 2 Do Touch'!E47,4),$I$2:$L$2,0)),'Map 3'!$AJ$4:$AJ$6,0),MATCH(IF('Map 2 Do Touch'!D47&gt;4,"Water","Land"),'Map 3'!$AK$3:$AL$3,0))),IF('Map 2 Do Touch'!E47&gt;4,INDEX($AG$4:$AH$6,MATCH(INDEX($P$3:$S$6,MATCH(MOD('Map 2 Do Touch'!E46,4),$O$3:$O$6,0),MATCH(MOD('Map 2 Do Touch'!E47,4),$P$2:$S$2,0)),$AF$4:$AF$6,0),MATCH(IF('Map 2 Do Touch'!E46&gt;4,"Water","Land"),'Map 3'!$AG$3:$AH$3,0)),INDEX($AK$4:$AL$6,MATCH(INDEX($P$3:$S$6,MATCH(MOD('Map 2 Do Touch'!E46,4),$O$3:$O$6,0),MATCH(MOD('Map 2 Do Touch'!E47,4),$P$2:$S$2,0)),'Map 3'!$AJ$4:$AJ$6,0),MATCH(IF('Map 2 Do Touch'!E46&gt;4,"Water","Land"),'Map 3'!$AK$3:$AL$3,0))))</f>
        <v>Ocean</v>
      </c>
      <c r="F51" s="89" t="str">
        <f ca="1">IF('Map 2 Do Touch'!E46&lt;&gt;'Map 2 Do Touch'!E47,IF('Map 2 Do Touch'!F47&gt;4,INDEX($AG$4:$AH$6,MATCH(INDEX($I$3:$L$6,MATCH(MOD('Map 2 Do Touch'!E47,4),$H$3:$H$6,0),MATCH(MOD('Map 2 Do Touch'!F47,4),$I$2:$L$2,0)),$AF$4:$AF$6,0),MATCH(IF('Map 2 Do Touch'!E47&gt;4,"Water","Land"),'Map 3'!$AG$3:$AH$3,0)),INDEX($AK$4:$AL$6,MATCH(INDEX($I$3:$L$6,MATCH(MOD('Map 2 Do Touch'!E47,4),$H$3:$H$6,0),MATCH(MOD('Map 2 Do Touch'!F47,4),$I$2:$L$2,0)),'Map 3'!$AJ$4:$AJ$6,0),MATCH(IF('Map 2 Do Touch'!E47&gt;4,"Water","Land"),'Map 3'!$AK$3:$AL$3,0))),IF('Map 2 Do Touch'!F47&gt;4,INDEX($AG$4:$AH$6,MATCH(INDEX($P$3:$S$6,MATCH(MOD('Map 2 Do Touch'!F46,4),$O$3:$O$6,0),MATCH(MOD('Map 2 Do Touch'!F47,4),$P$2:$S$2,0)),$AF$4:$AF$6,0),MATCH(IF('Map 2 Do Touch'!F46&gt;4,"Water","Land"),'Map 3'!$AG$3:$AH$3,0)),INDEX($AK$4:$AL$6,MATCH(INDEX($P$3:$S$6,MATCH(MOD('Map 2 Do Touch'!F46,4),$O$3:$O$6,0),MATCH(MOD('Map 2 Do Touch'!F47,4),$P$2:$S$2,0)),'Map 3'!$AJ$4:$AJ$6,0),MATCH(IF('Map 2 Do Touch'!F46&gt;4,"Water","Land"),'Map 3'!$AK$3:$AL$3,0))))</f>
        <v>Cliff</v>
      </c>
      <c r="G51" s="89" t="str">
        <f ca="1">IF('Map 2 Do Touch'!F46&lt;&gt;'Map 2 Do Touch'!F47,IF('Map 2 Do Touch'!G47&gt;4,INDEX($AG$4:$AH$6,MATCH(INDEX($I$3:$L$6,MATCH(MOD('Map 2 Do Touch'!F47,4),$H$3:$H$6,0),MATCH(MOD('Map 2 Do Touch'!G47,4),$I$2:$L$2,0)),$AF$4:$AF$6,0),MATCH(IF('Map 2 Do Touch'!F47&gt;4,"Water","Land"),'Map 3'!$AG$3:$AH$3,0)),INDEX($AK$4:$AL$6,MATCH(INDEX($I$3:$L$6,MATCH(MOD('Map 2 Do Touch'!F47,4),$H$3:$H$6,0),MATCH(MOD('Map 2 Do Touch'!G47,4),$I$2:$L$2,0)),'Map 3'!$AJ$4:$AJ$6,0),MATCH(IF('Map 2 Do Touch'!F47&gt;4,"Water","Land"),'Map 3'!$AK$3:$AL$3,0))),IF('Map 2 Do Touch'!G47&gt;4,INDEX($AG$4:$AH$6,MATCH(INDEX($P$3:$S$6,MATCH(MOD('Map 2 Do Touch'!G46,4),$O$3:$O$6,0),MATCH(MOD('Map 2 Do Touch'!G47,4),$P$2:$S$2,0)),$AF$4:$AF$6,0),MATCH(IF('Map 2 Do Touch'!G46&gt;4,"Water","Land"),'Map 3'!$AG$3:$AH$3,0)),INDEX($AK$4:$AL$6,MATCH(INDEX($P$3:$S$6,MATCH(MOD('Map 2 Do Touch'!G46,4),$O$3:$O$6,0),MATCH(MOD('Map 2 Do Touch'!G47,4),$P$2:$S$2,0)),'Map 3'!$AJ$4:$AJ$6,0),MATCH(IF('Map 2 Do Touch'!G46&gt;4,"Water","Land"),'Map 3'!$AK$3:$AL$3,0))))</f>
        <v>Coast</v>
      </c>
      <c r="H51" s="89" t="str">
        <f ca="1">IF('Map 2 Do Touch'!G46&lt;&gt;'Map 2 Do Touch'!G47,IF('Map 2 Do Touch'!H47&gt;4,INDEX($AG$4:$AH$6,MATCH(INDEX($I$3:$L$6,MATCH(MOD('Map 2 Do Touch'!G47,4),$H$3:$H$6,0),MATCH(MOD('Map 2 Do Touch'!H47,4),$I$2:$L$2,0)),$AF$4:$AF$6,0),MATCH(IF('Map 2 Do Touch'!G47&gt;4,"Water","Land"),'Map 3'!$AG$3:$AH$3,0)),INDEX($AK$4:$AL$6,MATCH(INDEX($I$3:$L$6,MATCH(MOD('Map 2 Do Touch'!G47,4),$H$3:$H$6,0),MATCH(MOD('Map 2 Do Touch'!H47,4),$I$2:$L$2,0)),'Map 3'!$AJ$4:$AJ$6,0),MATCH(IF('Map 2 Do Touch'!G47&gt;4,"Water","Land"),'Map 3'!$AK$3:$AL$3,0))),IF('Map 2 Do Touch'!H47&gt;4,INDEX($AG$4:$AH$6,MATCH(INDEX($P$3:$S$6,MATCH(MOD('Map 2 Do Touch'!H46,4),$O$3:$O$6,0),MATCH(MOD('Map 2 Do Touch'!H47,4),$P$2:$S$2,0)),$AF$4:$AF$6,0),MATCH(IF('Map 2 Do Touch'!H46&gt;4,"Water","Land"),'Map 3'!$AG$3:$AH$3,0)),INDEX($AK$4:$AL$6,MATCH(INDEX($P$3:$S$6,MATCH(MOD('Map 2 Do Touch'!H46,4),$O$3:$O$6,0),MATCH(MOD('Map 2 Do Touch'!H47,4),$P$2:$S$2,0)),'Map 3'!$AJ$4:$AJ$6,0),MATCH(IF('Map 2 Do Touch'!H46&gt;4,"Water","Land"),'Map 3'!$AK$3:$AL$3,0))))</f>
        <v>Flatland</v>
      </c>
      <c r="I51" s="89" t="str">
        <f ca="1">IF('Map 2 Do Touch'!H46&lt;&gt;'Map 2 Do Touch'!H47,IF('Map 2 Do Touch'!I47&gt;4,INDEX($AG$4:$AH$6,MATCH(INDEX($I$3:$L$6,MATCH(MOD('Map 2 Do Touch'!H47,4),$H$3:$H$6,0),MATCH(MOD('Map 2 Do Touch'!I47,4),$I$2:$L$2,0)),$AF$4:$AF$6,0),MATCH(IF('Map 2 Do Touch'!H47&gt;4,"Water","Land"),'Map 3'!$AG$3:$AH$3,0)),INDEX($AK$4:$AL$6,MATCH(INDEX($I$3:$L$6,MATCH(MOD('Map 2 Do Touch'!H47,4),$H$3:$H$6,0),MATCH(MOD('Map 2 Do Touch'!I47,4),$I$2:$L$2,0)),'Map 3'!$AJ$4:$AJ$6,0),MATCH(IF('Map 2 Do Touch'!H47&gt;4,"Water","Land"),'Map 3'!$AK$3:$AL$3,0))),IF('Map 2 Do Touch'!I47&gt;4,INDEX($AG$4:$AH$6,MATCH(INDEX($P$3:$S$6,MATCH(MOD('Map 2 Do Touch'!I46,4),$O$3:$O$6,0),MATCH(MOD('Map 2 Do Touch'!I47,4),$P$2:$S$2,0)),$AF$4:$AF$6,0),MATCH(IF('Map 2 Do Touch'!I46&gt;4,"Water","Land"),'Map 3'!$AG$3:$AH$3,0)),INDEX($AK$4:$AL$6,MATCH(INDEX($P$3:$S$6,MATCH(MOD('Map 2 Do Touch'!I46,4),$O$3:$O$6,0),MATCH(MOD('Map 2 Do Touch'!I47,4),$P$2:$S$2,0)),'Map 3'!$AJ$4:$AJ$6,0),MATCH(IF('Map 2 Do Touch'!I46&gt;4,"Water","Land"),'Map 3'!$AK$3:$AL$3,0))))</f>
        <v>Flatland</v>
      </c>
      <c r="J51" s="89" t="str">
        <f ca="1">IF('Map 2 Do Touch'!I46&lt;&gt;'Map 2 Do Touch'!I47,IF('Map 2 Do Touch'!J47&gt;4,INDEX($AG$4:$AH$6,MATCH(INDEX($I$3:$L$6,MATCH(MOD('Map 2 Do Touch'!I47,4),$H$3:$H$6,0),MATCH(MOD('Map 2 Do Touch'!J47,4),$I$2:$L$2,0)),$AF$4:$AF$6,0),MATCH(IF('Map 2 Do Touch'!I47&gt;4,"Water","Land"),'Map 3'!$AG$3:$AH$3,0)),INDEX($AK$4:$AL$6,MATCH(INDEX($I$3:$L$6,MATCH(MOD('Map 2 Do Touch'!I47,4),$H$3:$H$6,0),MATCH(MOD('Map 2 Do Touch'!J47,4),$I$2:$L$2,0)),'Map 3'!$AJ$4:$AJ$6,0),MATCH(IF('Map 2 Do Touch'!I47&gt;4,"Water","Land"),'Map 3'!$AK$3:$AL$3,0))),IF('Map 2 Do Touch'!J47&gt;4,INDEX($AG$4:$AH$6,MATCH(INDEX($P$3:$S$6,MATCH(MOD('Map 2 Do Touch'!J46,4),$O$3:$O$6,0),MATCH(MOD('Map 2 Do Touch'!J47,4),$P$2:$S$2,0)),$AF$4:$AF$6,0),MATCH(IF('Map 2 Do Touch'!J46&gt;4,"Water","Land"),'Map 3'!$AG$3:$AH$3,0)),INDEX($AK$4:$AL$6,MATCH(INDEX($P$3:$S$6,MATCH(MOD('Map 2 Do Touch'!J46,4),$O$3:$O$6,0),MATCH(MOD('Map 2 Do Touch'!J47,4),$P$2:$S$2,0)),'Map 3'!$AJ$4:$AJ$6,0),MATCH(IF('Map 2 Do Touch'!J46&gt;4,"Water","Land"),'Map 3'!$AK$3:$AL$3,0))))</f>
        <v>Ocean</v>
      </c>
      <c r="K51" s="89" t="str">
        <f ca="1">IF('Map 2 Do Touch'!J46&lt;&gt;'Map 2 Do Touch'!J47,IF('Map 2 Do Touch'!K47&gt;4,INDEX($AG$4:$AH$6,MATCH(INDEX($I$3:$L$6,MATCH(MOD('Map 2 Do Touch'!J47,4),$H$3:$H$6,0),MATCH(MOD('Map 2 Do Touch'!K47,4),$I$2:$L$2,0)),$AF$4:$AF$6,0),MATCH(IF('Map 2 Do Touch'!J47&gt;4,"Water","Land"),'Map 3'!$AG$3:$AH$3,0)),INDEX($AK$4:$AL$6,MATCH(INDEX($I$3:$L$6,MATCH(MOD('Map 2 Do Touch'!J47,4),$H$3:$H$6,0),MATCH(MOD('Map 2 Do Touch'!K47,4),$I$2:$L$2,0)),'Map 3'!$AJ$4:$AJ$6,0),MATCH(IF('Map 2 Do Touch'!J47&gt;4,"Water","Land"),'Map 3'!$AK$3:$AL$3,0))),IF('Map 2 Do Touch'!K47&gt;4,INDEX($AG$4:$AH$6,MATCH(INDEX($P$3:$S$6,MATCH(MOD('Map 2 Do Touch'!K46,4),$O$3:$O$6,0),MATCH(MOD('Map 2 Do Touch'!K47,4),$P$2:$S$2,0)),$AF$4:$AF$6,0),MATCH(IF('Map 2 Do Touch'!K46&gt;4,"Water","Land"),'Map 3'!$AG$3:$AH$3,0)),INDEX($AK$4:$AL$6,MATCH(INDEX($P$3:$S$6,MATCH(MOD('Map 2 Do Touch'!K46,4),$O$3:$O$6,0),MATCH(MOD('Map 2 Do Touch'!K47,4),$P$2:$S$2,0)),'Map 3'!$AJ$4:$AJ$6,0),MATCH(IF('Map 2 Do Touch'!K46&gt;4,"Water","Land"),'Map 3'!$AK$3:$AL$3,0))))</f>
        <v>Ocean</v>
      </c>
      <c r="L51" s="89" t="str">
        <f ca="1">IF('Map 2 Do Touch'!K46&lt;&gt;'Map 2 Do Touch'!K47,IF('Map 2 Do Touch'!L47&gt;4,INDEX($AG$4:$AH$6,MATCH(INDEX($I$3:$L$6,MATCH(MOD('Map 2 Do Touch'!K47,4),$H$3:$H$6,0),MATCH(MOD('Map 2 Do Touch'!L47,4),$I$2:$L$2,0)),$AF$4:$AF$6,0),MATCH(IF('Map 2 Do Touch'!K47&gt;4,"Water","Land"),'Map 3'!$AG$3:$AH$3,0)),INDEX($AK$4:$AL$6,MATCH(INDEX($I$3:$L$6,MATCH(MOD('Map 2 Do Touch'!K47,4),$H$3:$H$6,0),MATCH(MOD('Map 2 Do Touch'!L47,4),$I$2:$L$2,0)),'Map 3'!$AJ$4:$AJ$6,0),MATCH(IF('Map 2 Do Touch'!K47&gt;4,"Water","Land"),'Map 3'!$AK$3:$AL$3,0))),IF('Map 2 Do Touch'!L47&gt;4,INDEX($AG$4:$AH$6,MATCH(INDEX($P$3:$S$6,MATCH(MOD('Map 2 Do Touch'!L46,4),$O$3:$O$6,0),MATCH(MOD('Map 2 Do Touch'!L47,4),$P$2:$S$2,0)),$AF$4:$AF$6,0),MATCH(IF('Map 2 Do Touch'!L46&gt;4,"Water","Land"),'Map 3'!$AG$3:$AH$3,0)),INDEX($AK$4:$AL$6,MATCH(INDEX($P$3:$S$6,MATCH(MOD('Map 2 Do Touch'!L46,4),$O$3:$O$6,0),MATCH(MOD('Map 2 Do Touch'!L47,4),$P$2:$S$2,0)),'Map 3'!$AJ$4:$AJ$6,0),MATCH(IF('Map 2 Do Touch'!L46&gt;4,"Water","Land"),'Map 3'!$AK$3:$AL$3,0))))</f>
        <v>Ocean</v>
      </c>
      <c r="M51" s="89" t="str">
        <f ca="1">IF('Map 2 Do Touch'!L46&lt;&gt;'Map 2 Do Touch'!L47,IF('Map 2 Do Touch'!M47&gt;4,INDEX($AG$4:$AH$6,MATCH(INDEX($I$3:$L$6,MATCH(MOD('Map 2 Do Touch'!L47,4),$H$3:$H$6,0),MATCH(MOD('Map 2 Do Touch'!M47,4),$I$2:$L$2,0)),$AF$4:$AF$6,0),MATCH(IF('Map 2 Do Touch'!L47&gt;4,"Water","Land"),'Map 3'!$AG$3:$AH$3,0)),INDEX($AK$4:$AL$6,MATCH(INDEX($I$3:$L$6,MATCH(MOD('Map 2 Do Touch'!L47,4),$H$3:$H$6,0),MATCH(MOD('Map 2 Do Touch'!M47,4),$I$2:$L$2,0)),'Map 3'!$AJ$4:$AJ$6,0),MATCH(IF('Map 2 Do Touch'!L47&gt;4,"Water","Land"),'Map 3'!$AK$3:$AL$3,0))),IF('Map 2 Do Touch'!M47&gt;4,INDEX($AG$4:$AH$6,MATCH(INDEX($P$3:$S$6,MATCH(MOD('Map 2 Do Touch'!M46,4),$O$3:$O$6,0),MATCH(MOD('Map 2 Do Touch'!M47,4),$P$2:$S$2,0)),$AF$4:$AF$6,0),MATCH(IF('Map 2 Do Touch'!M46&gt;4,"Water","Land"),'Map 3'!$AG$3:$AH$3,0)),INDEX($AK$4:$AL$6,MATCH(INDEX($P$3:$S$6,MATCH(MOD('Map 2 Do Touch'!M46,4),$O$3:$O$6,0),MATCH(MOD('Map 2 Do Touch'!M47,4),$P$2:$S$2,0)),'Map 3'!$AJ$4:$AJ$6,0),MATCH(IF('Map 2 Do Touch'!M46&gt;4,"Water","Land"),'Map 3'!$AK$3:$AL$3,0))))</f>
        <v>Coast</v>
      </c>
      <c r="N51" s="89" t="str">
        <f ca="1">IF('Map 2 Do Touch'!M46&lt;&gt;'Map 2 Do Touch'!M47,IF('Map 2 Do Touch'!N47&gt;4,INDEX($AG$4:$AH$6,MATCH(INDEX($I$3:$L$6,MATCH(MOD('Map 2 Do Touch'!M47,4),$H$3:$H$6,0),MATCH(MOD('Map 2 Do Touch'!N47,4),$I$2:$L$2,0)),$AF$4:$AF$6,0),MATCH(IF('Map 2 Do Touch'!M47&gt;4,"Water","Land"),'Map 3'!$AG$3:$AH$3,0)),INDEX($AK$4:$AL$6,MATCH(INDEX($I$3:$L$6,MATCH(MOD('Map 2 Do Touch'!M47,4),$H$3:$H$6,0),MATCH(MOD('Map 2 Do Touch'!N47,4),$I$2:$L$2,0)),'Map 3'!$AJ$4:$AJ$6,0),MATCH(IF('Map 2 Do Touch'!M47&gt;4,"Water","Land"),'Map 3'!$AK$3:$AL$3,0))),IF('Map 2 Do Touch'!N47&gt;4,INDEX($AG$4:$AH$6,MATCH(INDEX($P$3:$S$6,MATCH(MOD('Map 2 Do Touch'!N46,4),$O$3:$O$6,0),MATCH(MOD('Map 2 Do Touch'!N47,4),$P$2:$S$2,0)),$AF$4:$AF$6,0),MATCH(IF('Map 2 Do Touch'!N46&gt;4,"Water","Land"),'Map 3'!$AG$3:$AH$3,0)),INDEX($AK$4:$AL$6,MATCH(INDEX($P$3:$S$6,MATCH(MOD('Map 2 Do Touch'!N46,4),$O$3:$O$6,0),MATCH(MOD('Map 2 Do Touch'!N47,4),$P$2:$S$2,0)),'Map 3'!$AJ$4:$AJ$6,0),MATCH(IF('Map 2 Do Touch'!N46&gt;4,"Water","Land"),'Map 3'!$AK$3:$AL$3,0))))</f>
        <v>Flatland</v>
      </c>
      <c r="O51" s="89" t="str">
        <f ca="1">IF('Map 2 Do Touch'!N46&lt;&gt;'Map 2 Do Touch'!N47,IF('Map 2 Do Touch'!O47&gt;4,INDEX($AG$4:$AH$6,MATCH(INDEX($I$3:$L$6,MATCH(MOD('Map 2 Do Touch'!N47,4),$H$3:$H$6,0),MATCH(MOD('Map 2 Do Touch'!O47,4),$I$2:$L$2,0)),$AF$4:$AF$6,0),MATCH(IF('Map 2 Do Touch'!N47&gt;4,"Water","Land"),'Map 3'!$AG$3:$AH$3,0)),INDEX($AK$4:$AL$6,MATCH(INDEX($I$3:$L$6,MATCH(MOD('Map 2 Do Touch'!N47,4),$H$3:$H$6,0),MATCH(MOD('Map 2 Do Touch'!O47,4),$I$2:$L$2,0)),'Map 3'!$AJ$4:$AJ$6,0),MATCH(IF('Map 2 Do Touch'!N47&gt;4,"Water","Land"),'Map 3'!$AK$3:$AL$3,0))),IF('Map 2 Do Touch'!O47&gt;4,INDEX($AG$4:$AH$6,MATCH(INDEX($P$3:$S$6,MATCH(MOD('Map 2 Do Touch'!O46,4),$O$3:$O$6,0),MATCH(MOD('Map 2 Do Touch'!O47,4),$P$2:$S$2,0)),$AF$4:$AF$6,0),MATCH(IF('Map 2 Do Touch'!O46&gt;4,"Water","Land"),'Map 3'!$AG$3:$AH$3,0)),INDEX($AK$4:$AL$6,MATCH(INDEX($P$3:$S$6,MATCH(MOD('Map 2 Do Touch'!O46,4),$O$3:$O$6,0),MATCH(MOD('Map 2 Do Touch'!O47,4),$P$2:$S$2,0)),'Map 3'!$AJ$4:$AJ$6,0),MATCH(IF('Map 2 Do Touch'!O46&gt;4,"Water","Land"),'Map 3'!$AK$3:$AL$3,0))))</f>
        <v>Flatland</v>
      </c>
      <c r="P51" s="89" t="str">
        <f ca="1">IF('Map 2 Do Touch'!O46&lt;&gt;'Map 2 Do Touch'!O47,IF('Map 2 Do Touch'!P47&gt;4,INDEX($AG$4:$AH$6,MATCH(INDEX($I$3:$L$6,MATCH(MOD('Map 2 Do Touch'!O47,4),$H$3:$H$6,0),MATCH(MOD('Map 2 Do Touch'!P47,4),$I$2:$L$2,0)),$AF$4:$AF$6,0),MATCH(IF('Map 2 Do Touch'!O47&gt;4,"Water","Land"),'Map 3'!$AG$3:$AH$3,0)),INDEX($AK$4:$AL$6,MATCH(INDEX($I$3:$L$6,MATCH(MOD('Map 2 Do Touch'!O47,4),$H$3:$H$6,0),MATCH(MOD('Map 2 Do Touch'!P47,4),$I$2:$L$2,0)),'Map 3'!$AJ$4:$AJ$6,0),MATCH(IF('Map 2 Do Touch'!O47&gt;4,"Water","Land"),'Map 3'!$AK$3:$AL$3,0))),IF('Map 2 Do Touch'!P47&gt;4,INDEX($AG$4:$AH$6,MATCH(INDEX($P$3:$S$6,MATCH(MOD('Map 2 Do Touch'!P46,4),$O$3:$O$6,0),MATCH(MOD('Map 2 Do Touch'!P47,4),$P$2:$S$2,0)),$AF$4:$AF$6,0),MATCH(IF('Map 2 Do Touch'!P46&gt;4,"Water","Land"),'Map 3'!$AG$3:$AH$3,0)),INDEX($AK$4:$AL$6,MATCH(INDEX($P$3:$S$6,MATCH(MOD('Map 2 Do Touch'!P46,4),$O$3:$O$6,0),MATCH(MOD('Map 2 Do Touch'!P47,4),$P$2:$S$2,0)),'Map 3'!$AJ$4:$AJ$6,0),MATCH(IF('Map 2 Do Touch'!P46&gt;4,"Water","Land"),'Map 3'!$AK$3:$AL$3,0))))</f>
        <v>Mountain</v>
      </c>
      <c r="Q51" s="89" t="str">
        <f ca="1">IF('Map 2 Do Touch'!P46&lt;&gt;'Map 2 Do Touch'!P47,IF('Map 2 Do Touch'!Q47&gt;4,INDEX($AG$4:$AH$6,MATCH(INDEX($I$3:$L$6,MATCH(MOD('Map 2 Do Touch'!P47,4),$H$3:$H$6,0),MATCH(MOD('Map 2 Do Touch'!Q47,4),$I$2:$L$2,0)),$AF$4:$AF$6,0),MATCH(IF('Map 2 Do Touch'!P47&gt;4,"Water","Land"),'Map 3'!$AG$3:$AH$3,0)),INDEX($AK$4:$AL$6,MATCH(INDEX($I$3:$L$6,MATCH(MOD('Map 2 Do Touch'!P47,4),$H$3:$H$6,0),MATCH(MOD('Map 2 Do Touch'!Q47,4),$I$2:$L$2,0)),'Map 3'!$AJ$4:$AJ$6,0),MATCH(IF('Map 2 Do Touch'!P47&gt;4,"Water","Land"),'Map 3'!$AK$3:$AL$3,0))),IF('Map 2 Do Touch'!Q47&gt;4,INDEX($AG$4:$AH$6,MATCH(INDEX($P$3:$S$6,MATCH(MOD('Map 2 Do Touch'!Q46,4),$O$3:$O$6,0),MATCH(MOD('Map 2 Do Touch'!Q47,4),$P$2:$S$2,0)),$AF$4:$AF$6,0),MATCH(IF('Map 2 Do Touch'!Q46&gt;4,"Water","Land"),'Map 3'!$AG$3:$AH$3,0)),INDEX($AK$4:$AL$6,MATCH(INDEX($P$3:$S$6,MATCH(MOD('Map 2 Do Touch'!Q46,4),$O$3:$O$6,0),MATCH(MOD('Map 2 Do Touch'!Q47,4),$P$2:$S$2,0)),'Map 3'!$AJ$4:$AJ$6,0),MATCH(IF('Map 2 Do Touch'!Q46&gt;4,"Water","Land"),'Map 3'!$AK$3:$AL$3,0))))</f>
        <v>Flatland</v>
      </c>
      <c r="R51" s="89" t="str">
        <f ca="1">IF('Map 2 Do Touch'!Q46&lt;&gt;'Map 2 Do Touch'!Q47,IF('Map 2 Do Touch'!R47&gt;4,INDEX($AG$4:$AH$6,MATCH(INDEX($I$3:$L$6,MATCH(MOD('Map 2 Do Touch'!Q47,4),$H$3:$H$6,0),MATCH(MOD('Map 2 Do Touch'!R47,4),$I$2:$L$2,0)),$AF$4:$AF$6,0),MATCH(IF('Map 2 Do Touch'!Q47&gt;4,"Water","Land"),'Map 3'!$AG$3:$AH$3,0)),INDEX($AK$4:$AL$6,MATCH(INDEX($I$3:$L$6,MATCH(MOD('Map 2 Do Touch'!Q47,4),$H$3:$H$6,0),MATCH(MOD('Map 2 Do Touch'!R47,4),$I$2:$L$2,0)),'Map 3'!$AJ$4:$AJ$6,0),MATCH(IF('Map 2 Do Touch'!Q47&gt;4,"Water","Land"),'Map 3'!$AK$3:$AL$3,0))),IF('Map 2 Do Touch'!R47&gt;4,INDEX($AG$4:$AH$6,MATCH(INDEX($P$3:$S$6,MATCH(MOD('Map 2 Do Touch'!R46,4),$O$3:$O$6,0),MATCH(MOD('Map 2 Do Touch'!R47,4),$P$2:$S$2,0)),$AF$4:$AF$6,0),MATCH(IF('Map 2 Do Touch'!R46&gt;4,"Water","Land"),'Map 3'!$AG$3:$AH$3,0)),INDEX($AK$4:$AL$6,MATCH(INDEX($P$3:$S$6,MATCH(MOD('Map 2 Do Touch'!R46,4),$O$3:$O$6,0),MATCH(MOD('Map 2 Do Touch'!R47,4),$P$2:$S$2,0)),'Map 3'!$AJ$4:$AJ$6,0),MATCH(IF('Map 2 Do Touch'!R46&gt;4,"Water","Land"),'Map 3'!$AK$3:$AL$3,0))))</f>
        <v>Flatland</v>
      </c>
      <c r="S51" s="89" t="str">
        <f ca="1">IF('Map 2 Do Touch'!R46&lt;&gt;'Map 2 Do Touch'!R47,IF('Map 2 Do Touch'!S47&gt;4,INDEX($AG$4:$AH$6,MATCH(INDEX($I$3:$L$6,MATCH(MOD('Map 2 Do Touch'!R47,4),$H$3:$H$6,0),MATCH(MOD('Map 2 Do Touch'!S47,4),$I$2:$L$2,0)),$AF$4:$AF$6,0),MATCH(IF('Map 2 Do Touch'!R47&gt;4,"Water","Land"),'Map 3'!$AG$3:$AH$3,0)),INDEX($AK$4:$AL$6,MATCH(INDEX($I$3:$L$6,MATCH(MOD('Map 2 Do Touch'!R47,4),$H$3:$H$6,0),MATCH(MOD('Map 2 Do Touch'!S47,4),$I$2:$L$2,0)),'Map 3'!$AJ$4:$AJ$6,0),MATCH(IF('Map 2 Do Touch'!R47&gt;4,"Water","Land"),'Map 3'!$AK$3:$AL$3,0))),IF('Map 2 Do Touch'!S47&gt;4,INDEX($AG$4:$AH$6,MATCH(INDEX($P$3:$S$6,MATCH(MOD('Map 2 Do Touch'!S46,4),$O$3:$O$6,0),MATCH(MOD('Map 2 Do Touch'!S47,4),$P$2:$S$2,0)),$AF$4:$AF$6,0),MATCH(IF('Map 2 Do Touch'!S46&gt;4,"Water","Land"),'Map 3'!$AG$3:$AH$3,0)),INDEX($AK$4:$AL$6,MATCH(INDEX($P$3:$S$6,MATCH(MOD('Map 2 Do Touch'!S46,4),$O$3:$O$6,0),MATCH(MOD('Map 2 Do Touch'!S47,4),$P$2:$S$2,0)),'Map 3'!$AJ$4:$AJ$6,0),MATCH(IF('Map 2 Do Touch'!S46&gt;4,"Water","Land"),'Map 3'!$AK$3:$AL$3,0))))</f>
        <v>Flatland</v>
      </c>
      <c r="T51" s="89" t="str">
        <f ca="1">IF('Map 2 Do Touch'!S46&lt;&gt;'Map 2 Do Touch'!S47,IF('Map 2 Do Touch'!T47&gt;4,INDEX($AG$4:$AH$6,MATCH(INDEX($I$3:$L$6,MATCH(MOD('Map 2 Do Touch'!S47,4),$H$3:$H$6,0),MATCH(MOD('Map 2 Do Touch'!T47,4),$I$2:$L$2,0)),$AF$4:$AF$6,0),MATCH(IF('Map 2 Do Touch'!S47&gt;4,"Water","Land"),'Map 3'!$AG$3:$AH$3,0)),INDEX($AK$4:$AL$6,MATCH(INDEX($I$3:$L$6,MATCH(MOD('Map 2 Do Touch'!S47,4),$H$3:$H$6,0),MATCH(MOD('Map 2 Do Touch'!T47,4),$I$2:$L$2,0)),'Map 3'!$AJ$4:$AJ$6,0),MATCH(IF('Map 2 Do Touch'!S47&gt;4,"Water","Land"),'Map 3'!$AK$3:$AL$3,0))),IF('Map 2 Do Touch'!T47&gt;4,INDEX($AG$4:$AH$6,MATCH(INDEX($P$3:$S$6,MATCH(MOD('Map 2 Do Touch'!T46,4),$O$3:$O$6,0),MATCH(MOD('Map 2 Do Touch'!T47,4),$P$2:$S$2,0)),$AF$4:$AF$6,0),MATCH(IF('Map 2 Do Touch'!T46&gt;4,"Water","Land"),'Map 3'!$AG$3:$AH$3,0)),INDEX($AK$4:$AL$6,MATCH(INDEX($P$3:$S$6,MATCH(MOD('Map 2 Do Touch'!T46,4),$O$3:$O$6,0),MATCH(MOD('Map 2 Do Touch'!T47,4),$P$2:$S$2,0)),'Map 3'!$AJ$4:$AJ$6,0),MATCH(IF('Map 2 Do Touch'!T46&gt;4,"Water","Land"),'Map 3'!$AK$3:$AL$3,0))))</f>
        <v>Flatland</v>
      </c>
      <c r="U51" s="89" t="str">
        <f ca="1">IF('Map 2 Do Touch'!T46&lt;&gt;'Map 2 Do Touch'!T47,IF('Map 2 Do Touch'!U47&gt;4,INDEX($AG$4:$AH$6,MATCH(INDEX($I$3:$L$6,MATCH(MOD('Map 2 Do Touch'!T47,4),$H$3:$H$6,0),MATCH(MOD('Map 2 Do Touch'!U47,4),$I$2:$L$2,0)),$AF$4:$AF$6,0),MATCH(IF('Map 2 Do Touch'!T47&gt;4,"Water","Land"),'Map 3'!$AG$3:$AH$3,0)),INDEX($AK$4:$AL$6,MATCH(INDEX($I$3:$L$6,MATCH(MOD('Map 2 Do Touch'!T47,4),$H$3:$H$6,0),MATCH(MOD('Map 2 Do Touch'!U47,4),$I$2:$L$2,0)),'Map 3'!$AJ$4:$AJ$6,0),MATCH(IF('Map 2 Do Touch'!T47&gt;4,"Water","Land"),'Map 3'!$AK$3:$AL$3,0))),IF('Map 2 Do Touch'!U47&gt;4,INDEX($AG$4:$AH$6,MATCH(INDEX($P$3:$S$6,MATCH(MOD('Map 2 Do Touch'!U46,4),$O$3:$O$6,0),MATCH(MOD('Map 2 Do Touch'!U47,4),$P$2:$S$2,0)),$AF$4:$AF$6,0),MATCH(IF('Map 2 Do Touch'!U46&gt;4,"Water","Land"),'Map 3'!$AG$3:$AH$3,0)),INDEX($AK$4:$AL$6,MATCH(INDEX($P$3:$S$6,MATCH(MOD('Map 2 Do Touch'!U46,4),$O$3:$O$6,0),MATCH(MOD('Map 2 Do Touch'!U47,4),$P$2:$S$2,0)),'Map 3'!$AJ$4:$AJ$6,0),MATCH(IF('Map 2 Do Touch'!U46&gt;4,"Water","Land"),'Map 3'!$AK$3:$AL$3,0))))</f>
        <v>Mountain</v>
      </c>
      <c r="V51" s="89" t="str">
        <f ca="1">IF('Map 2 Do Touch'!U46&lt;&gt;'Map 2 Do Touch'!U47,IF('Map 2 Do Touch'!V47&gt;4,INDEX($AG$4:$AH$6,MATCH(INDEX($I$3:$L$6,MATCH(MOD('Map 2 Do Touch'!U47,4),$H$3:$H$6,0),MATCH(MOD('Map 2 Do Touch'!V47,4),$I$2:$L$2,0)),$AF$4:$AF$6,0),MATCH(IF('Map 2 Do Touch'!U47&gt;4,"Water","Land"),'Map 3'!$AG$3:$AH$3,0)),INDEX($AK$4:$AL$6,MATCH(INDEX($I$3:$L$6,MATCH(MOD('Map 2 Do Touch'!U47,4),$H$3:$H$6,0),MATCH(MOD('Map 2 Do Touch'!V47,4),$I$2:$L$2,0)),'Map 3'!$AJ$4:$AJ$6,0),MATCH(IF('Map 2 Do Touch'!U47&gt;4,"Water","Land"),'Map 3'!$AK$3:$AL$3,0))),IF('Map 2 Do Touch'!V47&gt;4,INDEX($AG$4:$AH$6,MATCH(INDEX($P$3:$S$6,MATCH(MOD('Map 2 Do Touch'!V46,4),$O$3:$O$6,0),MATCH(MOD('Map 2 Do Touch'!V47,4),$P$2:$S$2,0)),$AF$4:$AF$6,0),MATCH(IF('Map 2 Do Touch'!V46&gt;4,"Water","Land"),'Map 3'!$AG$3:$AH$3,0)),INDEX($AK$4:$AL$6,MATCH(INDEX($P$3:$S$6,MATCH(MOD('Map 2 Do Touch'!V46,4),$O$3:$O$6,0),MATCH(MOD('Map 2 Do Touch'!V47,4),$P$2:$S$2,0)),'Map 3'!$AJ$4:$AJ$6,0),MATCH(IF('Map 2 Do Touch'!V46&gt;4,"Water","Land"),'Map 3'!$AK$3:$AL$3,0))))</f>
        <v>Coast</v>
      </c>
      <c r="W51" s="89" t="str">
        <f ca="1">IF('Map 2 Do Touch'!V46&lt;&gt;'Map 2 Do Touch'!V47,IF('Map 2 Do Touch'!W47&gt;4,INDEX($AG$4:$AH$6,MATCH(INDEX($I$3:$L$6,MATCH(MOD('Map 2 Do Touch'!V47,4),$H$3:$H$6,0),MATCH(MOD('Map 2 Do Touch'!W47,4),$I$2:$L$2,0)),$AF$4:$AF$6,0),MATCH(IF('Map 2 Do Touch'!V47&gt;4,"Water","Land"),'Map 3'!$AG$3:$AH$3,0)),INDEX($AK$4:$AL$6,MATCH(INDEX($I$3:$L$6,MATCH(MOD('Map 2 Do Touch'!V47,4),$H$3:$H$6,0),MATCH(MOD('Map 2 Do Touch'!W47,4),$I$2:$L$2,0)),'Map 3'!$AJ$4:$AJ$6,0),MATCH(IF('Map 2 Do Touch'!V47&gt;4,"Water","Land"),'Map 3'!$AK$3:$AL$3,0))),IF('Map 2 Do Touch'!W47&gt;4,INDEX($AG$4:$AH$6,MATCH(INDEX($P$3:$S$6,MATCH(MOD('Map 2 Do Touch'!W46,4),$O$3:$O$6,0),MATCH(MOD('Map 2 Do Touch'!W47,4),$P$2:$S$2,0)),$AF$4:$AF$6,0),MATCH(IF('Map 2 Do Touch'!W46&gt;4,"Water","Land"),'Map 3'!$AG$3:$AH$3,0)),INDEX($AK$4:$AL$6,MATCH(INDEX($P$3:$S$6,MATCH(MOD('Map 2 Do Touch'!W46,4),$O$3:$O$6,0),MATCH(MOD('Map 2 Do Touch'!W47,4),$P$2:$S$2,0)),'Map 3'!$AJ$4:$AJ$6,0),MATCH(IF('Map 2 Do Touch'!W46&gt;4,"Water","Land"),'Map 3'!$AK$3:$AL$3,0))))</f>
        <v>Trench</v>
      </c>
      <c r="X51" s="89" t="str">
        <f ca="1">IF('Map 2 Do Touch'!W46&lt;&gt;'Map 2 Do Touch'!W47,IF('Map 2 Do Touch'!X47&gt;4,INDEX($AG$4:$AH$6,MATCH(INDEX($I$3:$L$6,MATCH(MOD('Map 2 Do Touch'!W47,4),$H$3:$H$6,0),MATCH(MOD('Map 2 Do Touch'!X47,4),$I$2:$L$2,0)),$AF$4:$AF$6,0),MATCH(IF('Map 2 Do Touch'!W47&gt;4,"Water","Land"),'Map 3'!$AG$3:$AH$3,0)),INDEX($AK$4:$AL$6,MATCH(INDEX($I$3:$L$6,MATCH(MOD('Map 2 Do Touch'!W47,4),$H$3:$H$6,0),MATCH(MOD('Map 2 Do Touch'!X47,4),$I$2:$L$2,0)),'Map 3'!$AJ$4:$AJ$6,0),MATCH(IF('Map 2 Do Touch'!W47&gt;4,"Water","Land"),'Map 3'!$AK$3:$AL$3,0))),IF('Map 2 Do Touch'!X47&gt;4,INDEX($AG$4:$AH$6,MATCH(INDEX($P$3:$S$6,MATCH(MOD('Map 2 Do Touch'!X46,4),$O$3:$O$6,0),MATCH(MOD('Map 2 Do Touch'!X47,4),$P$2:$S$2,0)),$AF$4:$AF$6,0),MATCH(IF('Map 2 Do Touch'!X46&gt;4,"Water","Land"),'Map 3'!$AG$3:$AH$3,0)),INDEX($AK$4:$AL$6,MATCH(INDEX($P$3:$S$6,MATCH(MOD('Map 2 Do Touch'!X46,4),$O$3:$O$6,0),MATCH(MOD('Map 2 Do Touch'!X47,4),$P$2:$S$2,0)),'Map 3'!$AJ$4:$AJ$6,0),MATCH(IF('Map 2 Do Touch'!X46&gt;4,"Water","Land"),'Map 3'!$AK$3:$AL$3,0))))</f>
        <v>Ocean</v>
      </c>
      <c r="Y51" s="89" t="str">
        <f ca="1">IF('Map 2 Do Touch'!X46&lt;&gt;'Map 2 Do Touch'!X47,IF('Map 2 Do Touch'!Y47&gt;4,INDEX($AG$4:$AH$6,MATCH(INDEX($I$3:$L$6,MATCH(MOD('Map 2 Do Touch'!X47,4),$H$3:$H$6,0),MATCH(MOD('Map 2 Do Touch'!Y47,4),$I$2:$L$2,0)),$AF$4:$AF$6,0),MATCH(IF('Map 2 Do Touch'!X47&gt;4,"Water","Land"),'Map 3'!$AG$3:$AH$3,0)),INDEX($AK$4:$AL$6,MATCH(INDEX($I$3:$L$6,MATCH(MOD('Map 2 Do Touch'!X47,4),$H$3:$H$6,0),MATCH(MOD('Map 2 Do Touch'!Y47,4),$I$2:$L$2,0)),'Map 3'!$AJ$4:$AJ$6,0),MATCH(IF('Map 2 Do Touch'!X47&gt;4,"Water","Land"),'Map 3'!$AK$3:$AL$3,0))),IF('Map 2 Do Touch'!Y47&gt;4,INDEX($AG$4:$AH$6,MATCH(INDEX($P$3:$S$6,MATCH(MOD('Map 2 Do Touch'!Y46,4),$O$3:$O$6,0),MATCH(MOD('Map 2 Do Touch'!Y47,4),$P$2:$S$2,0)),$AF$4:$AF$6,0),MATCH(IF('Map 2 Do Touch'!Y46&gt;4,"Water","Land"),'Map 3'!$AG$3:$AH$3,0)),INDEX($AK$4:$AL$6,MATCH(INDEX($P$3:$S$6,MATCH(MOD('Map 2 Do Touch'!Y46,4),$O$3:$O$6,0),MATCH(MOD('Map 2 Do Touch'!Y47,4),$P$2:$S$2,0)),'Map 3'!$AJ$4:$AJ$6,0),MATCH(IF('Map 2 Do Touch'!Y46&gt;4,"Water","Land"),'Map 3'!$AK$3:$AL$3,0))))</f>
        <v>Ocean</v>
      </c>
      <c r="Z51" s="89" t="str">
        <f ca="1">IF('Map 2 Do Touch'!Y46&lt;&gt;'Map 2 Do Touch'!Y47,IF('Map 2 Do Touch'!Z47&gt;4,INDEX($AG$4:$AH$6,MATCH(INDEX($I$3:$L$6,MATCH(MOD('Map 2 Do Touch'!Y47,4),$H$3:$H$6,0),MATCH(MOD('Map 2 Do Touch'!Z47,4),$I$2:$L$2,0)),$AF$4:$AF$6,0),MATCH(IF('Map 2 Do Touch'!Y47&gt;4,"Water","Land"),'Map 3'!$AG$3:$AH$3,0)),INDEX($AK$4:$AL$6,MATCH(INDEX($I$3:$L$6,MATCH(MOD('Map 2 Do Touch'!Y47,4),$H$3:$H$6,0),MATCH(MOD('Map 2 Do Touch'!Z47,4),$I$2:$L$2,0)),'Map 3'!$AJ$4:$AJ$6,0),MATCH(IF('Map 2 Do Touch'!Y47&gt;4,"Water","Land"),'Map 3'!$AK$3:$AL$3,0))),IF('Map 2 Do Touch'!Z47&gt;4,INDEX($AG$4:$AH$6,MATCH(INDEX($P$3:$S$6,MATCH(MOD('Map 2 Do Touch'!Z46,4),$O$3:$O$6,0),MATCH(MOD('Map 2 Do Touch'!Z47,4),$P$2:$S$2,0)),$AF$4:$AF$6,0),MATCH(IF('Map 2 Do Touch'!Z46&gt;4,"Water","Land"),'Map 3'!$AG$3:$AH$3,0)),INDEX($AK$4:$AL$6,MATCH(INDEX($P$3:$S$6,MATCH(MOD('Map 2 Do Touch'!Z46,4),$O$3:$O$6,0),MATCH(MOD('Map 2 Do Touch'!Z47,4),$P$2:$S$2,0)),'Map 3'!$AJ$4:$AJ$6,0),MATCH(IF('Map 2 Do Touch'!Z46&gt;4,"Water","Land"),'Map 3'!$AK$3:$AL$3,0))))</f>
        <v>Ocean</v>
      </c>
      <c r="AA51" s="89" t="str">
        <f ca="1">IF('Map 2 Do Touch'!Z46&lt;&gt;'Map 2 Do Touch'!Z47,IF('Map 2 Do Touch'!AA47&gt;4,INDEX($AG$4:$AH$6,MATCH(INDEX($I$3:$L$6,MATCH(MOD('Map 2 Do Touch'!Z47,4),$H$3:$H$6,0),MATCH(MOD('Map 2 Do Touch'!AA47,4),$I$2:$L$2,0)),$AF$4:$AF$6,0),MATCH(IF('Map 2 Do Touch'!Z47&gt;4,"Water","Land"),'Map 3'!$AG$3:$AH$3,0)),INDEX($AK$4:$AL$6,MATCH(INDEX($I$3:$L$6,MATCH(MOD('Map 2 Do Touch'!Z47,4),$H$3:$H$6,0),MATCH(MOD('Map 2 Do Touch'!AA47,4),$I$2:$L$2,0)),'Map 3'!$AJ$4:$AJ$6,0),MATCH(IF('Map 2 Do Touch'!Z47&gt;4,"Water","Land"),'Map 3'!$AK$3:$AL$3,0))),IF('Map 2 Do Touch'!AA47&gt;4,INDEX($AG$4:$AH$6,MATCH(INDEX($P$3:$S$6,MATCH(MOD('Map 2 Do Touch'!AA46,4),$O$3:$O$6,0),MATCH(MOD('Map 2 Do Touch'!AA47,4),$P$2:$S$2,0)),$AF$4:$AF$6,0),MATCH(IF('Map 2 Do Touch'!AA46&gt;4,"Water","Land"),'Map 3'!$AG$3:$AH$3,0)),INDEX($AK$4:$AL$6,MATCH(INDEX($P$3:$S$6,MATCH(MOD('Map 2 Do Touch'!AA46,4),$O$3:$O$6,0),MATCH(MOD('Map 2 Do Touch'!AA47,4),$P$2:$S$2,0)),'Map 3'!$AJ$4:$AJ$6,0),MATCH(IF('Map 2 Do Touch'!AA46&gt;4,"Water","Land"),'Map 3'!$AK$3:$AL$3,0))))</f>
        <v>Ocean</v>
      </c>
      <c r="AB51" s="89" t="str">
        <f ca="1">IF('Map 2 Do Touch'!AA46&lt;&gt;'Map 2 Do Touch'!AA47,IF('Map 2 Do Touch'!AB47&gt;4,INDEX($AG$4:$AH$6,MATCH(INDEX($I$3:$L$6,MATCH(MOD('Map 2 Do Touch'!AA47,4),$H$3:$H$6,0),MATCH(MOD('Map 2 Do Touch'!AB47,4),$I$2:$L$2,0)),$AF$4:$AF$6,0),MATCH(IF('Map 2 Do Touch'!AA47&gt;4,"Water","Land"),'Map 3'!$AG$3:$AH$3,0)),INDEX($AK$4:$AL$6,MATCH(INDEX($I$3:$L$6,MATCH(MOD('Map 2 Do Touch'!AA47,4),$H$3:$H$6,0),MATCH(MOD('Map 2 Do Touch'!AB47,4),$I$2:$L$2,0)),'Map 3'!$AJ$4:$AJ$6,0),MATCH(IF('Map 2 Do Touch'!AA47&gt;4,"Water","Land"),'Map 3'!$AK$3:$AL$3,0))),IF('Map 2 Do Touch'!AB47&gt;4,INDEX($AG$4:$AH$6,MATCH(INDEX($P$3:$S$6,MATCH(MOD('Map 2 Do Touch'!AB46,4),$O$3:$O$6,0),MATCH(MOD('Map 2 Do Touch'!AB47,4),$P$2:$S$2,0)),$AF$4:$AF$6,0),MATCH(IF('Map 2 Do Touch'!AB46&gt;4,"Water","Land"),'Map 3'!$AG$3:$AH$3,0)),INDEX($AK$4:$AL$6,MATCH(INDEX($P$3:$S$6,MATCH(MOD('Map 2 Do Touch'!AB46,4),$O$3:$O$6,0),MATCH(MOD('Map 2 Do Touch'!AB47,4),$P$2:$S$2,0)),'Map 3'!$AJ$4:$AJ$6,0),MATCH(IF('Map 2 Do Touch'!AB46&gt;4,"Water","Land"),'Map 3'!$AK$3:$AL$3,0))))</f>
        <v>Ocean</v>
      </c>
      <c r="AC51" s="89" t="str">
        <f ca="1">IF('Map 2 Do Touch'!AB46&lt;&gt;'Map 2 Do Touch'!AB47,IF('Map 2 Do Touch'!AC47&gt;4,INDEX($AG$4:$AH$6,MATCH(INDEX($I$3:$L$6,MATCH(MOD('Map 2 Do Touch'!AB47,4),$H$3:$H$6,0),MATCH(MOD('Map 2 Do Touch'!AC47,4),$I$2:$L$2,0)),$AF$4:$AF$6,0),MATCH(IF('Map 2 Do Touch'!AB47&gt;4,"Water","Land"),'Map 3'!$AG$3:$AH$3,0)),INDEX($AK$4:$AL$6,MATCH(INDEX($I$3:$L$6,MATCH(MOD('Map 2 Do Touch'!AB47,4),$H$3:$H$6,0),MATCH(MOD('Map 2 Do Touch'!AC47,4),$I$2:$L$2,0)),'Map 3'!$AJ$4:$AJ$6,0),MATCH(IF('Map 2 Do Touch'!AB47&gt;4,"Water","Land"),'Map 3'!$AK$3:$AL$3,0))),IF('Map 2 Do Touch'!AC47&gt;4,INDEX($AG$4:$AH$6,MATCH(INDEX($P$3:$S$6,MATCH(MOD('Map 2 Do Touch'!AC46,4),$O$3:$O$6,0),MATCH(MOD('Map 2 Do Touch'!AC47,4),$P$2:$S$2,0)),$AF$4:$AF$6,0),MATCH(IF('Map 2 Do Touch'!AC46&gt;4,"Water","Land"),'Map 3'!$AG$3:$AH$3,0)),INDEX($AK$4:$AL$6,MATCH(INDEX($P$3:$S$6,MATCH(MOD('Map 2 Do Touch'!AC46,4),$O$3:$O$6,0),MATCH(MOD('Map 2 Do Touch'!AC47,4),$P$2:$S$2,0)),'Map 3'!$AJ$4:$AJ$6,0),MATCH(IF('Map 2 Do Touch'!AC46&gt;4,"Water","Land"),'Map 3'!$AK$3:$AL$3,0))))</f>
        <v>Ocean</v>
      </c>
      <c r="AD51" s="89" t="str">
        <f ca="1">IF('Map 2 Do Touch'!AC46&lt;&gt;'Map 2 Do Touch'!AC47,IF('Map 2 Do Touch'!AD47&gt;4,INDEX($AG$4:$AH$6,MATCH(INDEX($I$3:$L$6,MATCH(MOD('Map 2 Do Touch'!AC47,4),$H$3:$H$6,0),MATCH(MOD('Map 2 Do Touch'!AD47,4),$I$2:$L$2,0)),$AF$4:$AF$6,0),MATCH(IF('Map 2 Do Touch'!AC47&gt;4,"Water","Land"),'Map 3'!$AG$3:$AH$3,0)),INDEX($AK$4:$AL$6,MATCH(INDEX($I$3:$L$6,MATCH(MOD('Map 2 Do Touch'!AC47,4),$H$3:$H$6,0),MATCH(MOD('Map 2 Do Touch'!AD47,4),$I$2:$L$2,0)),'Map 3'!$AJ$4:$AJ$6,0),MATCH(IF('Map 2 Do Touch'!AC47&gt;4,"Water","Land"),'Map 3'!$AK$3:$AL$3,0))),IF('Map 2 Do Touch'!AD47&gt;4,INDEX($AG$4:$AH$6,MATCH(INDEX($P$3:$S$6,MATCH(MOD('Map 2 Do Touch'!AD46,4),$O$3:$O$6,0),MATCH(MOD('Map 2 Do Touch'!AD47,4),$P$2:$S$2,0)),$AF$4:$AF$6,0),MATCH(IF('Map 2 Do Touch'!AD46&gt;4,"Water","Land"),'Map 3'!$AG$3:$AH$3,0)),INDEX($AK$4:$AL$6,MATCH(INDEX($P$3:$S$6,MATCH(MOD('Map 2 Do Touch'!AD46,4),$O$3:$O$6,0),MATCH(MOD('Map 2 Do Touch'!AD47,4),$P$2:$S$2,0)),'Map 3'!$AJ$4:$AJ$6,0),MATCH(IF('Map 2 Do Touch'!AD46&gt;4,"Water","Land"),'Map 3'!$AK$3:$AL$3,0))))</f>
        <v>Ocean</v>
      </c>
      <c r="AE51" s="89" t="str">
        <f ca="1">IF('Map 2 Do Touch'!AD46&lt;&gt;'Map 2 Do Touch'!AD47,IF('Map 2 Do Touch'!AE47&gt;4,INDEX($AG$4:$AH$6,MATCH(INDEX($I$3:$L$6,MATCH(MOD('Map 2 Do Touch'!AD47,4),$H$3:$H$6,0),MATCH(MOD('Map 2 Do Touch'!AE47,4),$I$2:$L$2,0)),$AF$4:$AF$6,0),MATCH(IF('Map 2 Do Touch'!AD47&gt;4,"Water","Land"),'Map 3'!$AG$3:$AH$3,0)),INDEX($AK$4:$AL$6,MATCH(INDEX($I$3:$L$6,MATCH(MOD('Map 2 Do Touch'!AD47,4),$H$3:$H$6,0),MATCH(MOD('Map 2 Do Touch'!AE47,4),$I$2:$L$2,0)),'Map 3'!$AJ$4:$AJ$6,0),MATCH(IF('Map 2 Do Touch'!AD47&gt;4,"Water","Land"),'Map 3'!$AK$3:$AL$3,0))),IF('Map 2 Do Touch'!AE47&gt;4,INDEX($AG$4:$AH$6,MATCH(INDEX($P$3:$S$6,MATCH(MOD('Map 2 Do Touch'!AE46,4),$O$3:$O$6,0),MATCH(MOD('Map 2 Do Touch'!AE47,4),$P$2:$S$2,0)),$AF$4:$AF$6,0),MATCH(IF('Map 2 Do Touch'!AE46&gt;4,"Water","Land"),'Map 3'!$AG$3:$AH$3,0)),INDEX($AK$4:$AL$6,MATCH(INDEX($P$3:$S$6,MATCH(MOD('Map 2 Do Touch'!AE46,4),$O$3:$O$6,0),MATCH(MOD('Map 2 Do Touch'!AE47,4),$P$2:$S$2,0)),'Map 3'!$AJ$4:$AJ$6,0),MATCH(IF('Map 2 Do Touch'!AE46&gt;4,"Water","Land"),'Map 3'!$AK$3:$AL$3,0))))</f>
        <v>Ocean</v>
      </c>
      <c r="AF51" s="89" t="str">
        <f ca="1">IF('Map 2 Do Touch'!AE46&lt;&gt;'Map 2 Do Touch'!AE47,IF('Map 2 Do Touch'!AF47&gt;4,INDEX($AG$4:$AH$6,MATCH(INDEX($I$3:$L$6,MATCH(MOD('Map 2 Do Touch'!AE47,4),$H$3:$H$6,0),MATCH(MOD('Map 2 Do Touch'!AF47,4),$I$2:$L$2,0)),$AF$4:$AF$6,0),MATCH(IF('Map 2 Do Touch'!AE47&gt;4,"Water","Land"),'Map 3'!$AG$3:$AH$3,0)),INDEX($AK$4:$AL$6,MATCH(INDEX($I$3:$L$6,MATCH(MOD('Map 2 Do Touch'!AE47,4),$H$3:$H$6,0),MATCH(MOD('Map 2 Do Touch'!AF47,4),$I$2:$L$2,0)),'Map 3'!$AJ$4:$AJ$6,0),MATCH(IF('Map 2 Do Touch'!AE47&gt;4,"Water","Land"),'Map 3'!$AK$3:$AL$3,0))),IF('Map 2 Do Touch'!AF47&gt;4,INDEX($AG$4:$AH$6,MATCH(INDEX($P$3:$S$6,MATCH(MOD('Map 2 Do Touch'!AF46,4),$O$3:$O$6,0),MATCH(MOD('Map 2 Do Touch'!AF47,4),$P$2:$S$2,0)),$AF$4:$AF$6,0),MATCH(IF('Map 2 Do Touch'!AF46&gt;4,"Water","Land"),'Map 3'!$AG$3:$AH$3,0)),INDEX($AK$4:$AL$6,MATCH(INDEX($P$3:$S$6,MATCH(MOD('Map 2 Do Touch'!AF46,4),$O$3:$O$6,0),MATCH(MOD('Map 2 Do Touch'!AF47,4),$P$2:$S$2,0)),'Map 3'!$AJ$4:$AJ$6,0),MATCH(IF('Map 2 Do Touch'!AF46&gt;4,"Water","Land"),'Map 3'!$AK$3:$AL$3,0))))</f>
        <v>Ocean</v>
      </c>
      <c r="AG51" s="89" t="str">
        <f ca="1">IF('Map 2 Do Touch'!AF46&lt;&gt;'Map 2 Do Touch'!AF47,IF('Map 2 Do Touch'!AG47&gt;4,INDEX($AG$4:$AH$6,MATCH(INDEX($I$3:$L$6,MATCH(MOD('Map 2 Do Touch'!AF47,4),$H$3:$H$6,0),MATCH(MOD('Map 2 Do Touch'!AG47,4),$I$2:$L$2,0)),$AF$4:$AF$6,0),MATCH(IF('Map 2 Do Touch'!AF47&gt;4,"Water","Land"),'Map 3'!$AG$3:$AH$3,0)),INDEX($AK$4:$AL$6,MATCH(INDEX($I$3:$L$6,MATCH(MOD('Map 2 Do Touch'!AF47,4),$H$3:$H$6,0),MATCH(MOD('Map 2 Do Touch'!AG47,4),$I$2:$L$2,0)),'Map 3'!$AJ$4:$AJ$6,0),MATCH(IF('Map 2 Do Touch'!AF47&gt;4,"Water","Land"),'Map 3'!$AK$3:$AL$3,0))),IF('Map 2 Do Touch'!AG47&gt;4,INDEX($AG$4:$AH$6,MATCH(INDEX($P$3:$S$6,MATCH(MOD('Map 2 Do Touch'!AG46,4),$O$3:$O$6,0),MATCH(MOD('Map 2 Do Touch'!AG47,4),$P$2:$S$2,0)),$AF$4:$AF$6,0),MATCH(IF('Map 2 Do Touch'!AG46&gt;4,"Water","Land"),'Map 3'!$AG$3:$AH$3,0)),INDEX($AK$4:$AL$6,MATCH(INDEX($P$3:$S$6,MATCH(MOD('Map 2 Do Touch'!AG46,4),$O$3:$O$6,0),MATCH(MOD('Map 2 Do Touch'!AG47,4),$P$2:$S$2,0)),'Map 3'!$AJ$4:$AJ$6,0),MATCH(IF('Map 2 Do Touch'!AG46&gt;4,"Water","Land"),'Map 3'!$AK$3:$AL$3,0))))</f>
        <v>Ocean</v>
      </c>
      <c r="AH51" s="89" t="str">
        <f ca="1">IF('Map 2 Do Touch'!AG46&lt;&gt;'Map 2 Do Touch'!AG47,IF('Map 2 Do Touch'!AH47&gt;4,INDEX($AG$4:$AH$6,MATCH(INDEX($I$3:$L$6,MATCH(MOD('Map 2 Do Touch'!AG47,4),$H$3:$H$6,0),MATCH(MOD('Map 2 Do Touch'!AH47,4),$I$2:$L$2,0)),$AF$4:$AF$6,0),MATCH(IF('Map 2 Do Touch'!AG47&gt;4,"Water","Land"),'Map 3'!$AG$3:$AH$3,0)),INDEX($AK$4:$AL$6,MATCH(INDEX($I$3:$L$6,MATCH(MOD('Map 2 Do Touch'!AG47,4),$H$3:$H$6,0),MATCH(MOD('Map 2 Do Touch'!AH47,4),$I$2:$L$2,0)),'Map 3'!$AJ$4:$AJ$6,0),MATCH(IF('Map 2 Do Touch'!AG47&gt;4,"Water","Land"),'Map 3'!$AK$3:$AL$3,0))),IF('Map 2 Do Touch'!AH47&gt;4,INDEX($AG$4:$AH$6,MATCH(INDEX($P$3:$S$6,MATCH(MOD('Map 2 Do Touch'!AH46,4),$O$3:$O$6,0),MATCH(MOD('Map 2 Do Touch'!AH47,4),$P$2:$S$2,0)),$AF$4:$AF$6,0),MATCH(IF('Map 2 Do Touch'!AH46&gt;4,"Water","Land"),'Map 3'!$AG$3:$AH$3,0)),INDEX($AK$4:$AL$6,MATCH(INDEX($P$3:$S$6,MATCH(MOD('Map 2 Do Touch'!AH46,4),$O$3:$O$6,0),MATCH(MOD('Map 2 Do Touch'!AH47,4),$P$2:$S$2,0)),'Map 3'!$AJ$4:$AJ$6,0),MATCH(IF('Map 2 Do Touch'!AH46&gt;4,"Water","Land"),'Map 3'!$AK$3:$AL$3,0))))</f>
        <v>Ocean</v>
      </c>
      <c r="AI51" s="89" t="str">
        <f ca="1">IF('Map 2 Do Touch'!AH46&lt;&gt;'Map 2 Do Touch'!AH47,IF('Map 2 Do Touch'!AI47&gt;4,INDEX($AG$4:$AH$6,MATCH(INDEX($I$3:$L$6,MATCH(MOD('Map 2 Do Touch'!AH47,4),$H$3:$H$6,0),MATCH(MOD('Map 2 Do Touch'!AI47,4),$I$2:$L$2,0)),$AF$4:$AF$6,0),MATCH(IF('Map 2 Do Touch'!AH47&gt;4,"Water","Land"),'Map 3'!$AG$3:$AH$3,0)),INDEX($AK$4:$AL$6,MATCH(INDEX($I$3:$L$6,MATCH(MOD('Map 2 Do Touch'!AH47,4),$H$3:$H$6,0),MATCH(MOD('Map 2 Do Touch'!AI47,4),$I$2:$L$2,0)),'Map 3'!$AJ$4:$AJ$6,0),MATCH(IF('Map 2 Do Touch'!AH47&gt;4,"Water","Land"),'Map 3'!$AK$3:$AL$3,0))),IF('Map 2 Do Touch'!AI47&gt;4,INDEX($AG$4:$AH$6,MATCH(INDEX($P$3:$S$6,MATCH(MOD('Map 2 Do Touch'!AI46,4),$O$3:$O$6,0),MATCH(MOD('Map 2 Do Touch'!AI47,4),$P$2:$S$2,0)),$AF$4:$AF$6,0),MATCH(IF('Map 2 Do Touch'!AI46&gt;4,"Water","Land"),'Map 3'!$AG$3:$AH$3,0)),INDEX($AK$4:$AL$6,MATCH(INDEX($P$3:$S$6,MATCH(MOD('Map 2 Do Touch'!AI46,4),$O$3:$O$6,0),MATCH(MOD('Map 2 Do Touch'!AI47,4),$P$2:$S$2,0)),'Map 3'!$AJ$4:$AJ$6,0),MATCH(IF('Map 2 Do Touch'!AI46&gt;4,"Water","Land"),'Map 3'!$AK$3:$AL$3,0))))</f>
        <v>Ocean</v>
      </c>
      <c r="AJ51" s="89" t="str">
        <f ca="1">IF('Map 2 Do Touch'!AI46&lt;&gt;'Map 2 Do Touch'!AI47,IF('Map 2 Do Touch'!AJ47&gt;4,INDEX($AG$4:$AH$6,MATCH(INDEX($I$3:$L$6,MATCH(MOD('Map 2 Do Touch'!AI47,4),$H$3:$H$6,0),MATCH(MOD('Map 2 Do Touch'!AJ47,4),$I$2:$L$2,0)),$AF$4:$AF$6,0),MATCH(IF('Map 2 Do Touch'!AI47&gt;4,"Water","Land"),'Map 3'!$AG$3:$AH$3,0)),INDEX($AK$4:$AL$6,MATCH(INDEX($I$3:$L$6,MATCH(MOD('Map 2 Do Touch'!AI47,4),$H$3:$H$6,0),MATCH(MOD('Map 2 Do Touch'!AJ47,4),$I$2:$L$2,0)),'Map 3'!$AJ$4:$AJ$6,0),MATCH(IF('Map 2 Do Touch'!AI47&gt;4,"Water","Land"),'Map 3'!$AK$3:$AL$3,0))),IF('Map 2 Do Touch'!AJ47&gt;4,INDEX($AG$4:$AH$6,MATCH(INDEX($P$3:$S$6,MATCH(MOD('Map 2 Do Touch'!AJ46,4),$O$3:$O$6,0),MATCH(MOD('Map 2 Do Touch'!AJ47,4),$P$2:$S$2,0)),$AF$4:$AF$6,0),MATCH(IF('Map 2 Do Touch'!AJ46&gt;4,"Water","Land"),'Map 3'!$AG$3:$AH$3,0)),INDEX($AK$4:$AL$6,MATCH(INDEX($P$3:$S$6,MATCH(MOD('Map 2 Do Touch'!AJ46,4),$O$3:$O$6,0),MATCH(MOD('Map 2 Do Touch'!AJ47,4),$P$2:$S$2,0)),'Map 3'!$AJ$4:$AJ$6,0),MATCH(IF('Map 2 Do Touch'!AJ46&gt;4,"Water","Land"),'Map 3'!$AK$3:$AL$3,0))))</f>
        <v>Trench</v>
      </c>
      <c r="AK51" s="89" t="str">
        <f ca="1">IF('Map 2 Do Touch'!AJ46&lt;&gt;'Map 2 Do Touch'!AJ47,IF('Map 2 Do Touch'!AK47&gt;4,INDEX($AG$4:$AH$6,MATCH(INDEX($I$3:$L$6,MATCH(MOD('Map 2 Do Touch'!AJ47,4),$H$3:$H$6,0),MATCH(MOD('Map 2 Do Touch'!AK47,4),$I$2:$L$2,0)),$AF$4:$AF$6,0),MATCH(IF('Map 2 Do Touch'!AJ47&gt;4,"Water","Land"),'Map 3'!$AG$3:$AH$3,0)),INDEX($AK$4:$AL$6,MATCH(INDEX($I$3:$L$6,MATCH(MOD('Map 2 Do Touch'!AJ47,4),$H$3:$H$6,0),MATCH(MOD('Map 2 Do Touch'!AK47,4),$I$2:$L$2,0)),'Map 3'!$AJ$4:$AJ$6,0),MATCH(IF('Map 2 Do Touch'!AJ47&gt;4,"Water","Land"),'Map 3'!$AK$3:$AL$3,0))),IF('Map 2 Do Touch'!AK47&gt;4,INDEX($AG$4:$AH$6,MATCH(INDEX($P$3:$S$6,MATCH(MOD('Map 2 Do Touch'!AK46,4),$O$3:$O$6,0),MATCH(MOD('Map 2 Do Touch'!AK47,4),$P$2:$S$2,0)),$AF$4:$AF$6,0),MATCH(IF('Map 2 Do Touch'!AK46&gt;4,"Water","Land"),'Map 3'!$AG$3:$AH$3,0)),INDEX($AK$4:$AL$6,MATCH(INDEX($P$3:$S$6,MATCH(MOD('Map 2 Do Touch'!AK46,4),$O$3:$O$6,0),MATCH(MOD('Map 2 Do Touch'!AK47,4),$P$2:$S$2,0)),'Map 3'!$AJ$4:$AJ$6,0),MATCH(IF('Map 2 Do Touch'!AK46&gt;4,"Water","Land"),'Map 3'!$AK$3:$AL$3,0))))</f>
        <v>Ocean</v>
      </c>
      <c r="AL51" s="89" t="str">
        <f ca="1">IF('Map 2 Do Touch'!AK46&lt;&gt;'Map 2 Do Touch'!AK47,IF('Map 2 Do Touch'!AL47&gt;4,INDEX($AG$4:$AH$6,MATCH(INDEX($I$3:$L$6,MATCH(MOD('Map 2 Do Touch'!AK47,4),$H$3:$H$6,0),MATCH(MOD('Map 2 Do Touch'!AL47,4),$I$2:$L$2,0)),$AF$4:$AF$6,0),MATCH(IF('Map 2 Do Touch'!AK47&gt;4,"Water","Land"),'Map 3'!$AG$3:$AH$3,0)),INDEX($AK$4:$AL$6,MATCH(INDEX($I$3:$L$6,MATCH(MOD('Map 2 Do Touch'!AK47,4),$H$3:$H$6,0),MATCH(MOD('Map 2 Do Touch'!AL47,4),$I$2:$L$2,0)),'Map 3'!$AJ$4:$AJ$6,0),MATCH(IF('Map 2 Do Touch'!AK47&gt;4,"Water","Land"),'Map 3'!$AK$3:$AL$3,0))),IF('Map 2 Do Touch'!AL47&gt;4,INDEX($AG$4:$AH$6,MATCH(INDEX($P$3:$S$6,MATCH(MOD('Map 2 Do Touch'!AL46,4),$O$3:$O$6,0),MATCH(MOD('Map 2 Do Touch'!AL47,4),$P$2:$S$2,0)),$AF$4:$AF$6,0),MATCH(IF('Map 2 Do Touch'!AL46&gt;4,"Water","Land"),'Map 3'!$AG$3:$AH$3,0)),INDEX($AK$4:$AL$6,MATCH(INDEX($P$3:$S$6,MATCH(MOD('Map 2 Do Touch'!AL46,4),$O$3:$O$6,0),MATCH(MOD('Map 2 Do Touch'!AL47,4),$P$2:$S$2,0)),'Map 3'!$AJ$4:$AJ$6,0),MATCH(IF('Map 2 Do Touch'!AL46&gt;4,"Water","Land"),'Map 3'!$AK$3:$AL$3,0))))</f>
        <v>Ocean</v>
      </c>
      <c r="AM51" s="89" t="str">
        <f ca="1">IF('Map 2 Do Touch'!AL46&lt;&gt;'Map 2 Do Touch'!AL47,IF('Map 2 Do Touch'!AM47&gt;4,INDEX($AG$4:$AH$6,MATCH(INDEX($I$3:$L$6,MATCH(MOD('Map 2 Do Touch'!AL47,4),$H$3:$H$6,0),MATCH(MOD('Map 2 Do Touch'!AM47,4),$I$2:$L$2,0)),$AF$4:$AF$6,0),MATCH(IF('Map 2 Do Touch'!AL47&gt;4,"Water","Land"),'Map 3'!$AG$3:$AH$3,0)),INDEX($AK$4:$AL$6,MATCH(INDEX($I$3:$L$6,MATCH(MOD('Map 2 Do Touch'!AL47,4),$H$3:$H$6,0),MATCH(MOD('Map 2 Do Touch'!AM47,4),$I$2:$L$2,0)),'Map 3'!$AJ$4:$AJ$6,0),MATCH(IF('Map 2 Do Touch'!AL47&gt;4,"Water","Land"),'Map 3'!$AK$3:$AL$3,0))),IF('Map 2 Do Touch'!AM47&gt;4,INDEX($AG$4:$AH$6,MATCH(INDEX($P$3:$S$6,MATCH(MOD('Map 2 Do Touch'!AM46,4),$O$3:$O$6,0),MATCH(MOD('Map 2 Do Touch'!AM47,4),$P$2:$S$2,0)),$AF$4:$AF$6,0),MATCH(IF('Map 2 Do Touch'!AM46&gt;4,"Water","Land"),'Map 3'!$AG$3:$AH$3,0)),INDEX($AK$4:$AL$6,MATCH(INDEX($P$3:$S$6,MATCH(MOD('Map 2 Do Touch'!AM46,4),$O$3:$O$6,0),MATCH(MOD('Map 2 Do Touch'!AM47,4),$P$2:$S$2,0)),'Map 3'!$AJ$4:$AJ$6,0),MATCH(IF('Map 2 Do Touch'!AM46&gt;4,"Water","Land"),'Map 3'!$AK$3:$AL$3,0))))</f>
        <v>Ocean</v>
      </c>
      <c r="AN51" s="89" t="str">
        <f ca="1">IF('Map 2 Do Touch'!AM46&lt;&gt;'Map 2 Do Touch'!AM47,IF('Map 2 Do Touch'!AN47&gt;4,INDEX($AG$4:$AH$6,MATCH(INDEX($I$3:$L$6,MATCH(MOD('Map 2 Do Touch'!AM47,4),$H$3:$H$6,0),MATCH(MOD('Map 2 Do Touch'!AN47,4),$I$2:$L$2,0)),$AF$4:$AF$6,0),MATCH(IF('Map 2 Do Touch'!AM47&gt;4,"Water","Land"),'Map 3'!$AG$3:$AH$3,0)),INDEX($AK$4:$AL$6,MATCH(INDEX($I$3:$L$6,MATCH(MOD('Map 2 Do Touch'!AM47,4),$H$3:$H$6,0),MATCH(MOD('Map 2 Do Touch'!AN47,4),$I$2:$L$2,0)),'Map 3'!$AJ$4:$AJ$6,0),MATCH(IF('Map 2 Do Touch'!AM47&gt;4,"Water","Land"),'Map 3'!$AK$3:$AL$3,0))),IF('Map 2 Do Touch'!AN47&gt;4,INDEX($AG$4:$AH$6,MATCH(INDEX($P$3:$S$6,MATCH(MOD('Map 2 Do Touch'!AN46,4),$O$3:$O$6,0),MATCH(MOD('Map 2 Do Touch'!AN47,4),$P$2:$S$2,0)),$AF$4:$AF$6,0),MATCH(IF('Map 2 Do Touch'!AN46&gt;4,"Water","Land"),'Map 3'!$AG$3:$AH$3,0)),INDEX($AK$4:$AL$6,MATCH(INDEX($P$3:$S$6,MATCH(MOD('Map 2 Do Touch'!AN46,4),$O$3:$O$6,0),MATCH(MOD('Map 2 Do Touch'!AN47,4),$P$2:$S$2,0)),'Map 3'!$AJ$4:$AJ$6,0),MATCH(IF('Map 2 Do Touch'!AN46&gt;4,"Water","Land"),'Map 3'!$AK$3:$AL$3,0))))</f>
        <v>Ocean</v>
      </c>
      <c r="AO51" s="90" t="str">
        <f ca="1">IF('Map 2 Do Touch'!AN46&lt;&gt;'Map 2 Do Touch'!AN47,IF('Map 2 Do Touch'!AO47&gt;4,INDEX($AG$4:$AH$6,MATCH(INDEX($I$3:$L$6,MATCH(MOD('Map 2 Do Touch'!AN47,4),$H$3:$H$6,0),MATCH(MOD('Map 2 Do Touch'!AO47,4),$I$2:$L$2,0)),$AF$4:$AF$6,0),MATCH(IF('Map 2 Do Touch'!AN47&gt;4,"Water","Land"),'Map 3'!$AG$3:$AH$3,0)),INDEX($AK$4:$AL$6,MATCH(INDEX($I$3:$L$6,MATCH(MOD('Map 2 Do Touch'!AN47,4),$H$3:$H$6,0),MATCH(MOD('Map 2 Do Touch'!AO47,4),$I$2:$L$2,0)),'Map 3'!$AJ$4:$AJ$6,0),MATCH(IF('Map 2 Do Touch'!AN47&gt;4,"Water","Land"),'Map 3'!$AK$3:$AL$3,0))),IF('Map 2 Do Touch'!AO47&gt;4,INDEX($AG$4:$AH$6,MATCH(INDEX($P$3:$S$6,MATCH(MOD('Map 2 Do Touch'!AO46,4),$O$3:$O$6,0),MATCH(MOD('Map 2 Do Touch'!AO47,4),$P$2:$S$2,0)),$AF$4:$AF$6,0),MATCH(IF('Map 2 Do Touch'!AO46&gt;4,"Water","Land"),'Map 3'!$AG$3:$AH$3,0)),INDEX($AK$4:$AL$6,MATCH(INDEX($P$3:$S$6,MATCH(MOD('Map 2 Do Touch'!AO46,4),$O$3:$O$6,0),MATCH(MOD('Map 2 Do Touch'!AO47,4),$P$2:$S$2,0)),'Map 3'!$AJ$4:$AJ$6,0),MATCH(IF('Map 2 Do Touch'!AO46&gt;4,"Water","Land"),'Map 3'!$AK$3:$AL$3,0))))</f>
        <v>Ocean</v>
      </c>
      <c r="AP51" s="3"/>
    </row>
    <row r="52" spans="1:42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</sheetData>
  <conditionalFormatting sqref="A2:B5 E2:E5 AP2:AP66">
    <cfRule type="cellIs" dxfId="359" priority="295" operator="equal">
      <formula>-1</formula>
    </cfRule>
    <cfRule type="cellIs" dxfId="358" priority="297" operator="equal">
      <formula>-3</formula>
    </cfRule>
    <cfRule type="cellIs" dxfId="357" priority="296" operator="equal">
      <formula>-2</formula>
    </cfRule>
  </conditionalFormatting>
  <conditionalFormatting sqref="B12:AO51">
    <cfRule type="cellIs" dxfId="356" priority="308" operator="equal">
      <formula>$AL$4</formula>
    </cfRule>
    <cfRule type="cellIs" dxfId="355" priority="307" operator="equal">
      <formula>$AG$6</formula>
    </cfRule>
    <cfRule type="cellIs" dxfId="354" priority="306" operator="equal">
      <formula>$AG$5</formula>
    </cfRule>
    <cfRule type="cellIs" dxfId="353" priority="305" operator="equal">
      <formula>$AH$5</formula>
    </cfRule>
    <cfRule type="cellIs" dxfId="352" priority="304" operator="equal">
      <formula>$AH$4</formula>
    </cfRule>
    <cfRule type="cellIs" dxfId="351" priority="303" operator="equal">
      <formula>$AG$4</formula>
    </cfRule>
    <cfRule type="cellIs" dxfId="350" priority="302" operator="equal">
      <formula>$AK$4</formula>
    </cfRule>
    <cfRule type="cellIs" dxfId="349" priority="301" operator="equal">
      <formula>$AK$5</formula>
    </cfRule>
    <cfRule type="cellIs" dxfId="348" priority="300" operator="equal">
      <formula>$AL$5</formula>
    </cfRule>
    <cfRule type="cellIs" dxfId="347" priority="299" operator="equal">
      <formula>$AL$6</formula>
    </cfRule>
    <cfRule type="cellIs" dxfId="346" priority="298" operator="equal">
      <formula>$AK$6</formula>
    </cfRule>
    <cfRule type="cellIs" dxfId="345" priority="309" operator="equal">
      <formula>$AH$6</formula>
    </cfRule>
  </conditionalFormatting>
  <conditionalFormatting sqref="H3:H6">
    <cfRule type="cellIs" dxfId="344" priority="64" operator="equal">
      <formula>-1</formula>
    </cfRule>
    <cfRule type="cellIs" dxfId="343" priority="65" operator="equal">
      <formula>-2</formula>
    </cfRule>
    <cfRule type="cellIs" dxfId="342" priority="66" operator="equal">
      <formula>-3</formula>
    </cfRule>
  </conditionalFormatting>
  <conditionalFormatting sqref="I2:L2">
    <cfRule type="cellIs" dxfId="341" priority="107" operator="equal">
      <formula>-2</formula>
    </cfRule>
    <cfRule type="cellIs" dxfId="340" priority="108" operator="equal">
      <formula>-3</formula>
    </cfRule>
    <cfRule type="cellIs" dxfId="339" priority="106" operator="equal">
      <formula>-1</formula>
    </cfRule>
  </conditionalFormatting>
  <conditionalFormatting sqref="I8:L8">
    <cfRule type="cellIs" dxfId="338" priority="63" operator="equal">
      <formula>-3</formula>
    </cfRule>
    <cfRule type="cellIs" dxfId="337" priority="62" operator="equal">
      <formula>-2</formula>
    </cfRule>
    <cfRule type="cellIs" dxfId="336" priority="61" operator="equal">
      <formula>-1</formula>
    </cfRule>
  </conditionalFormatting>
  <conditionalFormatting sqref="O3:O6">
    <cfRule type="cellIs" dxfId="335" priority="6" operator="equal">
      <formula>-3</formula>
    </cfRule>
    <cfRule type="cellIs" dxfId="334" priority="5" operator="equal">
      <formula>-2</formula>
    </cfRule>
    <cfRule type="cellIs" dxfId="333" priority="4" operator="equal">
      <formula>-1</formula>
    </cfRule>
  </conditionalFormatting>
  <conditionalFormatting sqref="P2:S2">
    <cfRule type="cellIs" dxfId="332" priority="48" operator="equal">
      <formula>-3</formula>
    </cfRule>
    <cfRule type="cellIs" dxfId="331" priority="47" operator="equal">
      <formula>-2</formula>
    </cfRule>
    <cfRule type="cellIs" dxfId="330" priority="46" operator="equal">
      <formula>-1</formula>
    </cfRule>
  </conditionalFormatting>
  <conditionalFormatting sqref="P8:S8">
    <cfRule type="cellIs" dxfId="329" priority="3" operator="equal">
      <formula>-3</formula>
    </cfRule>
    <cfRule type="cellIs" dxfId="328" priority="2" operator="equal">
      <formula>-2</formula>
    </cfRule>
    <cfRule type="cellIs" dxfId="327" priority="1" operator="equal">
      <formula>-1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4E6D-101D-4A1A-A7BA-649BC2117D55}">
  <sheetPr>
    <outlinePr summaryBelow="0" summaryRight="0"/>
  </sheetPr>
  <dimension ref="A1:AV49"/>
  <sheetViews>
    <sheetView workbookViewId="0">
      <selection activeCell="Y3" sqref="Y3"/>
    </sheetView>
  </sheetViews>
  <sheetFormatPr defaultColWidth="5" defaultRowHeight="15.75" customHeight="1"/>
  <cols>
    <col min="1" max="40" width="5" style="41"/>
    <col min="41" max="41" width="4.42578125" style="41" customWidth="1"/>
    <col min="42" max="42" width="11" style="41" customWidth="1"/>
    <col min="43" max="44" width="9.140625" style="41"/>
    <col min="45" max="45" width="13.28515625" style="41" bestFit="1" customWidth="1"/>
    <col min="46" max="47" width="9.140625" style="41"/>
    <col min="48" max="48" width="12.5703125" style="41" bestFit="1" customWidth="1"/>
    <col min="49" max="49" width="9.140625" style="41"/>
    <col min="50" max="50" width="12.5703125" style="41" customWidth="1"/>
    <col min="51" max="51" width="14.5703125" style="41" customWidth="1"/>
    <col min="52" max="52" width="12.42578125" style="41" customWidth="1"/>
    <col min="53" max="16384" width="5" style="41"/>
  </cols>
  <sheetData>
    <row r="1" spans="1:48" ht="36">
      <c r="A1" s="3"/>
      <c r="B1" s="3" t="s">
        <v>27</v>
      </c>
      <c r="C1" s="3">
        <v>232</v>
      </c>
      <c r="D1" s="3"/>
      <c r="E1" s="3"/>
      <c r="F1" s="3"/>
      <c r="G1" s="3"/>
      <c r="H1" s="3"/>
      <c r="I1" s="3"/>
      <c r="J1" s="3"/>
      <c r="K1" s="3"/>
      <c r="L1" s="3"/>
      <c r="O1" s="3">
        <v>90</v>
      </c>
      <c r="P1" s="3">
        <v>183.95</v>
      </c>
      <c r="Q1" s="3">
        <f>P2-P1</f>
        <v>145.90000000000003</v>
      </c>
      <c r="R1" s="3">
        <f>Q1/19</f>
        <v>7.6789473684210545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 t="s">
        <v>1</v>
      </c>
      <c r="AG1" s="3" t="s">
        <v>0</v>
      </c>
      <c r="AH1" s="3" t="s">
        <v>1</v>
      </c>
      <c r="AI1" s="3"/>
      <c r="AJ1" s="3" t="s">
        <v>0</v>
      </c>
      <c r="AK1" s="3" t="s">
        <v>0</v>
      </c>
      <c r="AL1" s="3" t="s">
        <v>1</v>
      </c>
      <c r="AM1" s="3"/>
      <c r="AN1" s="3"/>
      <c r="AO1" s="41" t="s">
        <v>28</v>
      </c>
      <c r="AP1" s="41" t="s">
        <v>29</v>
      </c>
      <c r="AQ1" s="41">
        <v>90</v>
      </c>
      <c r="AR1" s="41" t="s">
        <v>5</v>
      </c>
    </row>
    <row r="2" spans="1:48" ht="48">
      <c r="A2" s="3"/>
      <c r="B2" s="3" t="s">
        <v>30</v>
      </c>
      <c r="C2" s="3">
        <v>371</v>
      </c>
      <c r="D2" s="3"/>
      <c r="E2" s="3">
        <f>C2-C1</f>
        <v>139</v>
      </c>
      <c r="F2" s="3"/>
      <c r="G2" s="3"/>
      <c r="H2" s="3"/>
      <c r="I2" s="3"/>
      <c r="J2" s="3"/>
      <c r="K2" s="3"/>
      <c r="L2" s="3"/>
      <c r="O2" s="3">
        <v>0</v>
      </c>
      <c r="P2" s="3">
        <v>329.85</v>
      </c>
      <c r="Q2" s="3"/>
      <c r="R2" s="3"/>
      <c r="S2" s="3"/>
      <c r="T2" s="3"/>
      <c r="U2" s="3"/>
      <c r="V2" s="3"/>
      <c r="W2" s="3"/>
      <c r="X2" s="3"/>
      <c r="Y2" s="16"/>
      <c r="Z2" s="3"/>
      <c r="AA2" s="16"/>
      <c r="AB2" s="3"/>
      <c r="AC2" s="3"/>
      <c r="AD2" s="3"/>
      <c r="AE2" s="3"/>
      <c r="AF2" s="3" t="s">
        <v>16</v>
      </c>
      <c r="AG2" s="11" t="s">
        <v>17</v>
      </c>
      <c r="AH2" s="12" t="s">
        <v>18</v>
      </c>
      <c r="AI2" s="3"/>
      <c r="AJ2" s="3" t="s">
        <v>16</v>
      </c>
      <c r="AK2" s="13" t="s">
        <v>19</v>
      </c>
      <c r="AL2" s="11" t="s">
        <v>17</v>
      </c>
      <c r="AM2" s="3"/>
      <c r="AN2" s="3"/>
      <c r="AO2" s="41" t="s">
        <v>31</v>
      </c>
      <c r="AP2" s="41" t="s">
        <v>32</v>
      </c>
      <c r="AQ2" s="41">
        <v>60</v>
      </c>
      <c r="AR2" s="41" t="s">
        <v>8</v>
      </c>
    </row>
    <row r="3" spans="1:48" ht="69.75">
      <c r="A3" s="3"/>
      <c r="B3" s="3"/>
      <c r="C3" s="3"/>
      <c r="D3" s="3"/>
      <c r="E3" s="3">
        <f>E2/20</f>
        <v>6.95</v>
      </c>
      <c r="F3" s="3"/>
      <c r="G3" s="3"/>
      <c r="H3" s="3"/>
      <c r="I3" s="3"/>
      <c r="J3" s="3"/>
      <c r="K3" s="3"/>
      <c r="L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16"/>
      <c r="AB3" s="3"/>
      <c r="AC3" s="3"/>
      <c r="AD3" s="3"/>
      <c r="AE3" s="3"/>
      <c r="AF3" s="3" t="s">
        <v>15</v>
      </c>
      <c r="AG3" s="17" t="s">
        <v>20</v>
      </c>
      <c r="AH3" s="18" t="s">
        <v>21</v>
      </c>
      <c r="AI3" s="3"/>
      <c r="AJ3" s="3" t="s">
        <v>15</v>
      </c>
      <c r="AK3" s="14" t="s">
        <v>22</v>
      </c>
      <c r="AL3" s="17" t="s">
        <v>20</v>
      </c>
      <c r="AM3" s="3"/>
      <c r="AN3" s="3"/>
      <c r="AO3" s="41" t="s">
        <v>33</v>
      </c>
      <c r="AP3" s="41" t="s">
        <v>34</v>
      </c>
      <c r="AQ3" s="41">
        <v>30</v>
      </c>
      <c r="AR3" s="41" t="s">
        <v>5</v>
      </c>
    </row>
    <row r="4" spans="1:48" ht="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 t="s">
        <v>14</v>
      </c>
      <c r="AG4" s="20" t="s">
        <v>23</v>
      </c>
      <c r="AH4" s="8" t="s">
        <v>24</v>
      </c>
      <c r="AI4" s="3"/>
      <c r="AJ4" s="3" t="s">
        <v>14</v>
      </c>
      <c r="AK4" s="9" t="s">
        <v>25</v>
      </c>
      <c r="AL4" s="20" t="s">
        <v>23</v>
      </c>
      <c r="AM4" s="3"/>
      <c r="AN4" s="3"/>
      <c r="AO4" s="41" t="s">
        <v>35</v>
      </c>
      <c r="AP4" s="41" t="s">
        <v>36</v>
      </c>
      <c r="AQ4" s="41">
        <v>0</v>
      </c>
      <c r="AR4" s="41" t="s">
        <v>8</v>
      </c>
    </row>
    <row r="5" spans="1:48" ht="17.25" customHeight="1">
      <c r="A5" s="3"/>
      <c r="B5" s="3"/>
      <c r="C5" s="21"/>
      <c r="D5" s="22"/>
      <c r="E5" s="23"/>
      <c r="F5" s="18"/>
      <c r="G5" s="24"/>
      <c r="H5" s="25"/>
      <c r="I5" s="26"/>
      <c r="J5" s="27"/>
      <c r="K5" s="28"/>
      <c r="L5" s="29"/>
      <c r="M5" s="30"/>
      <c r="N5" s="31"/>
      <c r="O5" s="14"/>
      <c r="P5" s="32"/>
      <c r="Q5" s="33"/>
      <c r="R5" s="13"/>
      <c r="S5" s="34"/>
      <c r="T5" s="35"/>
      <c r="U5" s="36"/>
      <c r="V5" s="37"/>
      <c r="W5" s="38"/>
      <c r="X5" s="39"/>
      <c r="Y5" s="40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1" t="s">
        <v>37</v>
      </c>
      <c r="AP5" s="41" t="s">
        <v>38</v>
      </c>
      <c r="AQ5" s="3"/>
      <c r="AR5" s="3"/>
      <c r="AS5" s="3"/>
    </row>
    <row r="6" spans="1:48" ht="24">
      <c r="A6" s="3"/>
      <c r="B6" s="3" t="s">
        <v>39</v>
      </c>
      <c r="C6" s="3" t="s">
        <v>40</v>
      </c>
      <c r="D6" s="3">
        <v>-100</v>
      </c>
      <c r="E6" s="3">
        <v>-90</v>
      </c>
      <c r="F6" s="3">
        <v>-80</v>
      </c>
      <c r="G6" s="3">
        <v>-70</v>
      </c>
      <c r="H6" s="3">
        <v>-60</v>
      </c>
      <c r="I6" s="3">
        <v>-50</v>
      </c>
      <c r="J6" s="3">
        <v>-40</v>
      </c>
      <c r="K6" s="3">
        <v>-30</v>
      </c>
      <c r="L6" s="3">
        <v>-20</v>
      </c>
      <c r="M6" s="3">
        <v>-10</v>
      </c>
      <c r="N6" s="3">
        <v>0</v>
      </c>
      <c r="O6" s="3">
        <v>10</v>
      </c>
      <c r="P6" s="3">
        <v>20</v>
      </c>
      <c r="Q6" s="3">
        <v>30</v>
      </c>
      <c r="R6" s="3">
        <v>40</v>
      </c>
      <c r="S6" s="3">
        <v>50</v>
      </c>
      <c r="T6" s="3">
        <v>60</v>
      </c>
      <c r="U6" s="3">
        <v>70</v>
      </c>
      <c r="V6" s="3">
        <v>80</v>
      </c>
      <c r="W6" s="3">
        <v>90</v>
      </c>
      <c r="X6" s="3">
        <v>100</v>
      </c>
      <c r="Y6" s="3" t="s">
        <v>41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41" t="s">
        <v>42</v>
      </c>
      <c r="AP6" s="41" t="s">
        <v>43</v>
      </c>
      <c r="AQ6" s="3"/>
      <c r="AR6" s="3"/>
      <c r="AS6" s="3"/>
    </row>
    <row r="7" spans="1:48" ht="24">
      <c r="A7" s="3"/>
      <c r="B7" s="3" t="s">
        <v>44</v>
      </c>
      <c r="C7" s="3" t="s">
        <v>45</v>
      </c>
      <c r="D7" s="3">
        <f t="shared" ref="D7:X7" si="0">(D6*(9/5))+ 32</f>
        <v>-148</v>
      </c>
      <c r="E7" s="3">
        <f t="shared" si="0"/>
        <v>-130</v>
      </c>
      <c r="F7" s="3">
        <f t="shared" si="0"/>
        <v>-112</v>
      </c>
      <c r="G7" s="3">
        <f t="shared" si="0"/>
        <v>-94</v>
      </c>
      <c r="H7" s="3">
        <f t="shared" si="0"/>
        <v>-76</v>
      </c>
      <c r="I7" s="3">
        <f t="shared" si="0"/>
        <v>-58</v>
      </c>
      <c r="J7" s="3">
        <f t="shared" si="0"/>
        <v>-40</v>
      </c>
      <c r="K7" s="3">
        <f t="shared" si="0"/>
        <v>-22</v>
      </c>
      <c r="L7" s="3">
        <f t="shared" si="0"/>
        <v>-4</v>
      </c>
      <c r="M7" s="3">
        <f t="shared" si="0"/>
        <v>14</v>
      </c>
      <c r="N7" s="3">
        <f t="shared" si="0"/>
        <v>32</v>
      </c>
      <c r="O7" s="3">
        <f t="shared" si="0"/>
        <v>50</v>
      </c>
      <c r="P7" s="3">
        <f t="shared" si="0"/>
        <v>68</v>
      </c>
      <c r="Q7" s="3">
        <f t="shared" si="0"/>
        <v>86</v>
      </c>
      <c r="R7" s="3">
        <f t="shared" si="0"/>
        <v>104</v>
      </c>
      <c r="S7" s="3">
        <f t="shared" si="0"/>
        <v>122</v>
      </c>
      <c r="T7" s="3">
        <f t="shared" si="0"/>
        <v>140</v>
      </c>
      <c r="U7" s="3">
        <f t="shared" si="0"/>
        <v>158</v>
      </c>
      <c r="V7" s="3">
        <f t="shared" si="0"/>
        <v>176</v>
      </c>
      <c r="W7" s="3">
        <f t="shared" si="0"/>
        <v>194</v>
      </c>
      <c r="X7" s="3">
        <f t="shared" si="0"/>
        <v>212</v>
      </c>
      <c r="Y7" s="3" t="s">
        <v>46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8" ht="12.7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V8" s="41" t="str">
        <f>IF(MOD(SUM(AS7:$AS$28),$AR$9*(1/3))&lt;MOD(SUM(AS8:$AS$28),$AR$9*(1/3)),"Pressure Change","")</f>
        <v/>
      </c>
    </row>
    <row r="9" spans="1:48" ht="12.75">
      <c r="A9" s="3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3">
        <v>15</v>
      </c>
      <c r="Q9" s="3">
        <v>16</v>
      </c>
      <c r="R9" s="3">
        <v>17</v>
      </c>
      <c r="S9" s="3">
        <v>18</v>
      </c>
      <c r="T9" s="3">
        <v>19</v>
      </c>
      <c r="U9" s="3">
        <v>20</v>
      </c>
      <c r="V9" s="3">
        <v>21</v>
      </c>
      <c r="W9" s="3">
        <v>22</v>
      </c>
      <c r="X9" s="3">
        <v>23</v>
      </c>
      <c r="Y9" s="3">
        <v>24</v>
      </c>
      <c r="Z9" s="3">
        <v>25</v>
      </c>
      <c r="AA9" s="3">
        <v>26</v>
      </c>
      <c r="AB9" s="3">
        <v>27</v>
      </c>
      <c r="AC9" s="3">
        <v>28</v>
      </c>
      <c r="AD9" s="3">
        <v>29</v>
      </c>
      <c r="AE9" s="3">
        <v>30</v>
      </c>
      <c r="AF9" s="3">
        <v>31</v>
      </c>
      <c r="AG9" s="3">
        <v>32</v>
      </c>
      <c r="AH9" s="3">
        <v>33</v>
      </c>
      <c r="AI9" s="3">
        <v>34</v>
      </c>
      <c r="AJ9" s="3">
        <v>35</v>
      </c>
      <c r="AK9" s="3">
        <v>36</v>
      </c>
      <c r="AL9" s="3">
        <v>37</v>
      </c>
      <c r="AM9" s="3">
        <v>38</v>
      </c>
      <c r="AN9" s="3">
        <v>39</v>
      </c>
      <c r="AO9" s="3">
        <v>40</v>
      </c>
      <c r="AP9" s="3"/>
      <c r="AQ9" s="3"/>
      <c r="AR9" s="3">
        <f>SUM(AR10:AR29)</f>
        <v>5960.5000000000018</v>
      </c>
    </row>
    <row r="10" spans="1:48" ht="24">
      <c r="A10" s="3">
        <v>1</v>
      </c>
      <c r="B10" s="3" t="str">
        <f ca="1">'Map 3'!B12</f>
        <v>Coast</v>
      </c>
      <c r="C10" s="3" t="str">
        <f ca="1">'Map 3'!C12</f>
        <v>Coast</v>
      </c>
      <c r="D10" s="3" t="str">
        <f ca="1">'Map 3'!D12</f>
        <v>Flatland</v>
      </c>
      <c r="E10" s="3" t="str">
        <f ca="1">'Map 3'!E12</f>
        <v>Flatland</v>
      </c>
      <c r="F10" s="3" t="str">
        <f ca="1">'Map 3'!F12</f>
        <v>Coast</v>
      </c>
      <c r="G10" s="3" t="str">
        <f ca="1">'Map 3'!G12</f>
        <v>Island</v>
      </c>
      <c r="H10" s="3" t="str">
        <f ca="1">'Map 3'!H12</f>
        <v>Ocean</v>
      </c>
      <c r="I10" s="3" t="str">
        <f ca="1">'Map 3'!I12</f>
        <v>Ocean</v>
      </c>
      <c r="J10" s="3" t="str">
        <f ca="1">'Map 3'!J12</f>
        <v>Ocean</v>
      </c>
      <c r="K10" s="3" t="str">
        <f ca="1">'Map 3'!K12</f>
        <v>Ocean</v>
      </c>
      <c r="L10" s="3" t="str">
        <f ca="1">'Map 3'!L12</f>
        <v>Island</v>
      </c>
      <c r="M10" s="3" t="str">
        <f ca="1">'Map 3'!M12</f>
        <v>Ocean</v>
      </c>
      <c r="N10" s="3" t="str">
        <f ca="1">'Map 3'!N12</f>
        <v>Ocean</v>
      </c>
      <c r="O10" s="3" t="str">
        <f ca="1">'Map 3'!O12</f>
        <v>Ocean</v>
      </c>
      <c r="P10" s="3" t="str">
        <f ca="1">'Map 3'!P12</f>
        <v>Ocean</v>
      </c>
      <c r="Q10" s="3" t="str">
        <f ca="1">'Map 3'!Q12</f>
        <v>Trench</v>
      </c>
      <c r="R10" s="3" t="str">
        <f ca="1">'Map 3'!R12</f>
        <v>Ocean</v>
      </c>
      <c r="S10" s="3" t="str">
        <f ca="1">'Map 3'!S12</f>
        <v>Ocean</v>
      </c>
      <c r="T10" s="3" t="str">
        <f ca="1">'Map 3'!T12</f>
        <v>Ocean</v>
      </c>
      <c r="U10" s="3" t="str">
        <f ca="1">'Map 3'!U12</f>
        <v>Island</v>
      </c>
      <c r="V10" s="3" t="str">
        <f ca="1">'Map 3'!V12</f>
        <v>Ocean</v>
      </c>
      <c r="W10" s="3" t="str">
        <f ca="1">'Map 3'!W12</f>
        <v>Ocean</v>
      </c>
      <c r="X10" s="3" t="str">
        <f ca="1">'Map 3'!X12</f>
        <v>Ocean</v>
      </c>
      <c r="Y10" s="3" t="str">
        <f ca="1">'Map 3'!Y12</f>
        <v>Ocean</v>
      </c>
      <c r="Z10" s="3" t="str">
        <f ca="1">'Map 3'!Z12</f>
        <v>Trench</v>
      </c>
      <c r="AA10" s="3" t="str">
        <f ca="1">'Map 3'!AA12</f>
        <v>Ocean</v>
      </c>
      <c r="AB10" s="3" t="str">
        <f ca="1">'Map 3'!AB12</f>
        <v>Ocean</v>
      </c>
      <c r="AC10" s="3" t="str">
        <f ca="1">'Map 3'!AC12</f>
        <v>Coast</v>
      </c>
      <c r="AD10" s="3" t="str">
        <f ca="1">'Map 3'!AD12</f>
        <v>Coast</v>
      </c>
      <c r="AE10" s="3" t="str">
        <f ca="1">'Map 3'!AE12</f>
        <v>Coast</v>
      </c>
      <c r="AF10" s="3" t="str">
        <f ca="1">'Map 3'!AF12</f>
        <v>Mountain</v>
      </c>
      <c r="AG10" s="3" t="str">
        <f ca="1">'Map 3'!AG12</f>
        <v>Flatland</v>
      </c>
      <c r="AH10" s="3" t="str">
        <f ca="1">'Map 3'!AH12</f>
        <v>Flatland</v>
      </c>
      <c r="AI10" s="3" t="str">
        <f ca="1">'Map 3'!AI12</f>
        <v>Flatland</v>
      </c>
      <c r="AJ10" s="3" t="str">
        <f ca="1">'Map 3'!AJ12</f>
        <v>Valley</v>
      </c>
      <c r="AK10" s="3" t="str">
        <f ca="1">'Map 3'!AK12</f>
        <v>Mountain</v>
      </c>
      <c r="AL10" s="3" t="str">
        <f ca="1">'Map 3'!AL12</f>
        <v>Drop Off</v>
      </c>
      <c r="AM10" s="3" t="str">
        <f ca="1">'Map 3'!AM12</f>
        <v>Ocean</v>
      </c>
      <c r="AN10" s="3" t="str">
        <f ca="1">'Map 3'!AN12</f>
        <v>Ocean</v>
      </c>
      <c r="AO10" s="3" t="str">
        <f ca="1">'Map 3'!AO12</f>
        <v>Coast</v>
      </c>
      <c r="AP10" s="3">
        <f t="shared" ref="AP10:AP49" si="1">ROUND(AR10-273.15,2)</f>
        <v>-41.15</v>
      </c>
      <c r="AQ10" s="3">
        <f>ROUND((AP10*(9/5))+ 32,2)</f>
        <v>-42.07</v>
      </c>
      <c r="AR10" s="3">
        <f>AR11-$E$3</f>
        <v>232.00000000000023</v>
      </c>
      <c r="AS10" s="41">
        <v>90</v>
      </c>
      <c r="AT10" s="41" t="s">
        <v>8</v>
      </c>
    </row>
    <row r="11" spans="1:48" ht="24">
      <c r="A11" s="3">
        <v>2</v>
      </c>
      <c r="B11" s="3" t="str">
        <f ca="1">'Map 3'!B13</f>
        <v>Flatland</v>
      </c>
      <c r="C11" s="3" t="str">
        <f ca="1">'Map 3'!C13</f>
        <v>Flatland</v>
      </c>
      <c r="D11" s="3" t="str">
        <f ca="1">'Map 3'!D13</f>
        <v>Flatland</v>
      </c>
      <c r="E11" s="3" t="str">
        <f ca="1">'Map 3'!E13</f>
        <v>Flatland</v>
      </c>
      <c r="F11" s="3" t="str">
        <f ca="1">'Map 3'!F13</f>
        <v>Coast</v>
      </c>
      <c r="G11" s="3" t="str">
        <f ca="1">'Map 3'!G13</f>
        <v>Cliff</v>
      </c>
      <c r="H11" s="3" t="str">
        <f ca="1">'Map 3'!H13</f>
        <v>Ocean</v>
      </c>
      <c r="I11" s="3" t="str">
        <f ca="1">'Map 3'!I13</f>
        <v>Ocean</v>
      </c>
      <c r="J11" s="3" t="str">
        <f ca="1">'Map 3'!J13</f>
        <v>Ocean</v>
      </c>
      <c r="K11" s="3" t="str">
        <f ca="1">'Map 3'!K13</f>
        <v>Ocean</v>
      </c>
      <c r="L11" s="3" t="str">
        <f ca="1">'Map 3'!L13</f>
        <v>Island</v>
      </c>
      <c r="M11" s="3" t="str">
        <f ca="1">'Map 3'!M13</f>
        <v>Island</v>
      </c>
      <c r="N11" s="3" t="str">
        <f ca="1">'Map 3'!N13</f>
        <v>Ocean</v>
      </c>
      <c r="O11" s="3" t="str">
        <f ca="1">'Map 3'!O13</f>
        <v>Ocean</v>
      </c>
      <c r="P11" s="3" t="str">
        <f ca="1">'Map 3'!P13</f>
        <v>Island</v>
      </c>
      <c r="Q11" s="3" t="str">
        <f ca="1">'Map 3'!Q13</f>
        <v>Ocean</v>
      </c>
      <c r="R11" s="3" t="str">
        <f ca="1">'Map 3'!R13</f>
        <v>Ocean</v>
      </c>
      <c r="S11" s="3" t="str">
        <f ca="1">'Map 3'!S13</f>
        <v>Ocean</v>
      </c>
      <c r="T11" s="3" t="str">
        <f ca="1">'Map 3'!T13</f>
        <v>Ocean</v>
      </c>
      <c r="U11" s="3" t="str">
        <f ca="1">'Map 3'!U13</f>
        <v>Island</v>
      </c>
      <c r="V11" s="3" t="str">
        <f ca="1">'Map 3'!V13</f>
        <v>Ocean</v>
      </c>
      <c r="W11" s="3" t="str">
        <f ca="1">'Map 3'!W13</f>
        <v>Island</v>
      </c>
      <c r="X11" s="3" t="str">
        <f ca="1">'Map 3'!X13</f>
        <v>Ocean</v>
      </c>
      <c r="Y11" s="3" t="str">
        <f ca="1">'Map 3'!Y13</f>
        <v>Ocean</v>
      </c>
      <c r="Z11" s="3" t="str">
        <f ca="1">'Map 3'!Z13</f>
        <v>Ocean</v>
      </c>
      <c r="AA11" s="3" t="str">
        <f ca="1">'Map 3'!AA13</f>
        <v>Trench</v>
      </c>
      <c r="AB11" s="3" t="str">
        <f ca="1">'Map 3'!AB13</f>
        <v>Ocean</v>
      </c>
      <c r="AC11" s="3" t="str">
        <f ca="1">'Map 3'!AC13</f>
        <v>Coast</v>
      </c>
      <c r="AD11" s="3" t="str">
        <f ca="1">'Map 3'!AD13</f>
        <v>Coast</v>
      </c>
      <c r="AE11" s="3" t="str">
        <f ca="1">'Map 3'!AE13</f>
        <v>Flatland</v>
      </c>
      <c r="AF11" s="3" t="str">
        <f ca="1">'Map 3'!AF13</f>
        <v>Flatland</v>
      </c>
      <c r="AG11" s="3" t="str">
        <f ca="1">'Map 3'!AG13</f>
        <v>Mountain</v>
      </c>
      <c r="AH11" s="3" t="str">
        <f ca="1">'Map 3'!AH13</f>
        <v>Flatland</v>
      </c>
      <c r="AI11" s="3" t="str">
        <f ca="1">'Map 3'!AI13</f>
        <v>Flatland</v>
      </c>
      <c r="AJ11" s="3" t="str">
        <f ca="1">'Map 3'!AJ13</f>
        <v>Flatland</v>
      </c>
      <c r="AK11" s="3" t="str">
        <f ca="1">'Map 3'!AK13</f>
        <v>Valley</v>
      </c>
      <c r="AL11" s="3" t="str">
        <f ca="1">'Map 3'!AL13</f>
        <v>Flatland</v>
      </c>
      <c r="AM11" s="3" t="str">
        <f ca="1">'Map 3'!AM13</f>
        <v>Coast</v>
      </c>
      <c r="AN11" s="3" t="str">
        <f ca="1">'Map 3'!AN13</f>
        <v>Ocean</v>
      </c>
      <c r="AO11" s="3" t="str">
        <f ca="1">'Map 3'!AO13</f>
        <v>Flatland</v>
      </c>
      <c r="AP11" s="3">
        <f t="shared" si="1"/>
        <v>-34.200000000000003</v>
      </c>
      <c r="AQ11" s="3">
        <f t="shared" ref="AQ10:AQ49" si="2">ROUND((AP11*(9/5))+ 32,2)</f>
        <v>-29.56</v>
      </c>
      <c r="AR11" s="3">
        <f t="shared" ref="AR11:AR29" si="3">AR12-$E$3</f>
        <v>238.95000000000022</v>
      </c>
      <c r="AS11" s="41">
        <v>85.5</v>
      </c>
      <c r="AT11" s="41" t="str" cm="1">
        <f t="array" ref="AT11">_xlfn.IFNA(_xlfn.IFS(AND((IF(MOD(SUM(AR10:$AR$28),$AR$9*(1/3))&lt;MOD(SUM(AR11:$AR$28),$AR$9*(1/3)),"Pressure Change",""))="Pressure Change",AT10="⤴"),"⤵",AND((IF(MOD(SUM(AR10:$AR$28),$AR$9*(1/3))&lt;MOD(SUM(AR11:$AR$28),$AR$9*(1/3)),"Pressure Change",""))="Pressure Change",AT10="⤵"),"⤴"),AT10)</f>
        <v>⤵</v>
      </c>
    </row>
    <row r="12" spans="1:48" ht="24">
      <c r="A12" s="3">
        <v>3</v>
      </c>
      <c r="B12" s="3" t="str">
        <f ca="1">'Map 3'!B14</f>
        <v>Ocean</v>
      </c>
      <c r="C12" s="3" t="str">
        <f ca="1">'Map 3'!C14</f>
        <v>Coast</v>
      </c>
      <c r="D12" s="3" t="str">
        <f ca="1">'Map 3'!D14</f>
        <v>Flatland</v>
      </c>
      <c r="E12" s="3" t="str">
        <f ca="1">'Map 3'!E14</f>
        <v>Flatland</v>
      </c>
      <c r="F12" s="3" t="str">
        <f ca="1">'Map 3'!F14</f>
        <v>Coast</v>
      </c>
      <c r="G12" s="3" t="str">
        <f ca="1">'Map 3'!G14</f>
        <v>Island</v>
      </c>
      <c r="H12" s="3" t="str">
        <f ca="1">'Map 3'!H14</f>
        <v>Ocean</v>
      </c>
      <c r="I12" s="3" t="str">
        <f ca="1">'Map 3'!I14</f>
        <v>Ocean</v>
      </c>
      <c r="J12" s="3" t="str">
        <f ca="1">'Map 3'!J14</f>
        <v>Ocean</v>
      </c>
      <c r="K12" s="3" t="str">
        <f ca="1">'Map 3'!K14</f>
        <v>Trench</v>
      </c>
      <c r="L12" s="3" t="str">
        <f ca="1">'Map 3'!L14</f>
        <v>Trench</v>
      </c>
      <c r="M12" s="3" t="str">
        <f ca="1">'Map 3'!M14</f>
        <v>Ocean</v>
      </c>
      <c r="N12" s="3" t="str">
        <f ca="1">'Map 3'!N14</f>
        <v>Ocean</v>
      </c>
      <c r="O12" s="3" t="str">
        <f ca="1">'Map 3'!O14</f>
        <v>Ocean</v>
      </c>
      <c r="P12" s="3" t="str">
        <f ca="1">'Map 3'!P14</f>
        <v>Ocean</v>
      </c>
      <c r="Q12" s="3" t="str">
        <f ca="1">'Map 3'!Q14</f>
        <v>Ocean</v>
      </c>
      <c r="R12" s="3" t="str">
        <f ca="1">'Map 3'!R14</f>
        <v>Ocean</v>
      </c>
      <c r="S12" s="3" t="str">
        <f ca="1">'Map 3'!S14</f>
        <v>Ocean</v>
      </c>
      <c r="T12" s="3" t="str">
        <f ca="1">'Map 3'!T14</f>
        <v>Ocean</v>
      </c>
      <c r="U12" s="3" t="str">
        <f ca="1">'Map 3'!U14</f>
        <v>Ocean</v>
      </c>
      <c r="V12" s="3" t="str">
        <f ca="1">'Map 3'!V14</f>
        <v>Trench</v>
      </c>
      <c r="W12" s="3" t="str">
        <f ca="1">'Map 3'!W14</f>
        <v>Ocean</v>
      </c>
      <c r="X12" s="3" t="str">
        <f ca="1">'Map 3'!X14</f>
        <v>Ocean</v>
      </c>
      <c r="Y12" s="3" t="str">
        <f ca="1">'Map 3'!Y14</f>
        <v>Ocean</v>
      </c>
      <c r="Z12" s="3" t="str">
        <f ca="1">'Map 3'!Z14</f>
        <v>Ocean</v>
      </c>
      <c r="AA12" s="3" t="str">
        <f ca="1">'Map 3'!AA14</f>
        <v>Ocean</v>
      </c>
      <c r="AB12" s="3" t="str">
        <f ca="1">'Map 3'!AB14</f>
        <v>Ocean</v>
      </c>
      <c r="AC12" s="3" t="str">
        <f ca="1">'Map 3'!AC14</f>
        <v>Ocean</v>
      </c>
      <c r="AD12" s="3" t="str">
        <f ca="1">'Map 3'!AD14</f>
        <v>Flatland</v>
      </c>
      <c r="AE12" s="3" t="str">
        <f ca="1">'Map 3'!AE14</f>
        <v>Flatland</v>
      </c>
      <c r="AF12" s="3" t="str">
        <f ca="1">'Map 3'!AF14</f>
        <v>Flatland</v>
      </c>
      <c r="AG12" s="3" t="str">
        <f ca="1">'Map 3'!AG14</f>
        <v>Flatland</v>
      </c>
      <c r="AH12" s="3" t="str">
        <f ca="1">'Map 3'!AH14</f>
        <v>Flatland</v>
      </c>
      <c r="AI12" s="3" t="str">
        <f ca="1">'Map 3'!AI14</f>
        <v>Flatland</v>
      </c>
      <c r="AJ12" s="3" t="str">
        <f ca="1">'Map 3'!AJ14</f>
        <v>Flatland</v>
      </c>
      <c r="AK12" s="3" t="str">
        <f ca="1">'Map 3'!AK14</f>
        <v>Flatland</v>
      </c>
      <c r="AL12" s="3" t="str">
        <f ca="1">'Map 3'!AL14</f>
        <v>Flatland</v>
      </c>
      <c r="AM12" s="3" t="str">
        <f ca="1">'Map 3'!AM14</f>
        <v>Ocean</v>
      </c>
      <c r="AN12" s="3" t="str">
        <f ca="1">'Map 3'!AN14</f>
        <v>Ocean</v>
      </c>
      <c r="AO12" s="3" t="str">
        <f ca="1">'Map 3'!AO14</f>
        <v>Coast</v>
      </c>
      <c r="AP12" s="3">
        <f t="shared" si="1"/>
        <v>-27.25</v>
      </c>
      <c r="AQ12" s="3">
        <f t="shared" si="2"/>
        <v>-17.05</v>
      </c>
      <c r="AR12" s="3">
        <f t="shared" si="3"/>
        <v>245.9000000000002</v>
      </c>
      <c r="AS12" s="41">
        <v>81</v>
      </c>
      <c r="AT12" s="41" t="str" cm="1">
        <f t="array" ref="AT12">_xlfn.IFNA(_xlfn.IFS(AND((IF(MOD(SUM(AR11:$AR$28),$AR$9*(1/3))&lt;MOD(SUM(AR12:$AR$28),$AR$9*(1/3)),"Pressure Change",""))="Pressure Change",AT11="⤴"),"⤵",AND((IF(MOD(SUM(AR11:$AR$28),$AR$9*(1/3))&lt;MOD(SUM(AR12:$AR$28),$AR$9*(1/3)),"Pressure Change",""))="Pressure Change",AT11="⤵"),"⤴"),AT11)</f>
        <v>⤵</v>
      </c>
    </row>
    <row r="13" spans="1:48" ht="24">
      <c r="A13" s="3">
        <v>4</v>
      </c>
      <c r="B13" s="3" t="str">
        <f ca="1">'Map 3'!B15</f>
        <v>Ocean</v>
      </c>
      <c r="C13" s="3" t="str">
        <f ca="1">'Map 3'!C15</f>
        <v>Flatland</v>
      </c>
      <c r="D13" s="3" t="str">
        <f ca="1">'Map 3'!D15</f>
        <v>Flatland</v>
      </c>
      <c r="E13" s="3" t="str">
        <f ca="1">'Map 3'!E15</f>
        <v>Coast</v>
      </c>
      <c r="F13" s="3" t="str">
        <f ca="1">'Map 3'!F15</f>
        <v>Ocean</v>
      </c>
      <c r="G13" s="3" t="str">
        <f ca="1">'Map 3'!G15</f>
        <v>Trench</v>
      </c>
      <c r="H13" s="3" t="str">
        <f ca="1">'Map 3'!H15</f>
        <v>Island</v>
      </c>
      <c r="I13" s="3" t="str">
        <f ca="1">'Map 3'!I15</f>
        <v>Ocean</v>
      </c>
      <c r="J13" s="3" t="str">
        <f ca="1">'Map 3'!J15</f>
        <v>Ocean</v>
      </c>
      <c r="K13" s="3" t="str">
        <f ca="1">'Map 3'!K15</f>
        <v>Ocean</v>
      </c>
      <c r="L13" s="3" t="str">
        <f ca="1">'Map 3'!L15</f>
        <v>Trench</v>
      </c>
      <c r="M13" s="3" t="str">
        <f ca="1">'Map 3'!M15</f>
        <v>Ocean</v>
      </c>
      <c r="N13" s="3" t="str">
        <f ca="1">'Map 3'!N15</f>
        <v>Ocean</v>
      </c>
      <c r="O13" s="3" t="str">
        <f ca="1">'Map 3'!O15</f>
        <v>Ocean</v>
      </c>
      <c r="P13" s="3" t="str">
        <f ca="1">'Map 3'!P15</f>
        <v>Trench</v>
      </c>
      <c r="Q13" s="3" t="str">
        <f ca="1">'Map 3'!Q15</f>
        <v>Ocean</v>
      </c>
      <c r="R13" s="3" t="str">
        <f ca="1">'Map 3'!R15</f>
        <v>Trench</v>
      </c>
      <c r="S13" s="3" t="str">
        <f ca="1">'Map 3'!S15</f>
        <v>Ocean</v>
      </c>
      <c r="T13" s="3" t="str">
        <f ca="1">'Map 3'!T15</f>
        <v>Ocean</v>
      </c>
      <c r="U13" s="3" t="str">
        <f ca="1">'Map 3'!U15</f>
        <v>Ocean</v>
      </c>
      <c r="V13" s="3" t="str">
        <f ca="1">'Map 3'!V15</f>
        <v>Ocean</v>
      </c>
      <c r="W13" s="3" t="str">
        <f ca="1">'Map 3'!W15</f>
        <v>Ocean</v>
      </c>
      <c r="X13" s="3" t="str">
        <f ca="1">'Map 3'!X15</f>
        <v>Ocean</v>
      </c>
      <c r="Y13" s="3" t="str">
        <f ca="1">'Map 3'!Y15</f>
        <v>Ocean</v>
      </c>
      <c r="Z13" s="3" t="str">
        <f ca="1">'Map 3'!Z15</f>
        <v>Ocean</v>
      </c>
      <c r="AA13" s="3" t="str">
        <f ca="1">'Map 3'!AA15</f>
        <v>Ocean</v>
      </c>
      <c r="AB13" s="3" t="str">
        <f ca="1">'Map 3'!AB15</f>
        <v>Ocean</v>
      </c>
      <c r="AC13" s="3" t="str">
        <f ca="1">'Map 3'!AC15</f>
        <v>Ocean</v>
      </c>
      <c r="AD13" s="3" t="str">
        <f ca="1">'Map 3'!AD15</f>
        <v>Coast</v>
      </c>
      <c r="AE13" s="3" t="str">
        <f ca="1">'Map 3'!AE15</f>
        <v>Cliff</v>
      </c>
      <c r="AF13" s="3" t="str">
        <f ca="1">'Map 3'!AF15</f>
        <v>Flatland</v>
      </c>
      <c r="AG13" s="3" t="str">
        <f ca="1">'Map 3'!AG15</f>
        <v>Flatland</v>
      </c>
      <c r="AH13" s="3" t="str">
        <f ca="1">'Map 3'!AH15</f>
        <v>Flatland</v>
      </c>
      <c r="AI13" s="3" t="str">
        <f ca="1">'Map 3'!AI15</f>
        <v>Flatland</v>
      </c>
      <c r="AJ13" s="3" t="str">
        <f ca="1">'Map 3'!AJ15</f>
        <v>Flatland</v>
      </c>
      <c r="AK13" s="3" t="str">
        <f ca="1">'Map 3'!AK15</f>
        <v>Mountain</v>
      </c>
      <c r="AL13" s="3" t="str">
        <f ca="1">'Map 3'!AL15</f>
        <v>Valley</v>
      </c>
      <c r="AM13" s="3" t="str">
        <f ca="1">'Map 3'!AM15</f>
        <v>Ocean</v>
      </c>
      <c r="AN13" s="3" t="str">
        <f ca="1">'Map 3'!AN15</f>
        <v>Coast</v>
      </c>
      <c r="AO13" s="3" t="str">
        <f ca="1">'Map 3'!AO15</f>
        <v>Flatland</v>
      </c>
      <c r="AP13" s="3">
        <f t="shared" si="1"/>
        <v>-20.3</v>
      </c>
      <c r="AQ13" s="3">
        <f t="shared" si="2"/>
        <v>-4.54</v>
      </c>
      <c r="AR13" s="3">
        <f t="shared" si="3"/>
        <v>252.85000000000019</v>
      </c>
      <c r="AS13" s="41">
        <v>76.5</v>
      </c>
      <c r="AT13" s="41" t="str" cm="1">
        <f t="array" ref="AT13">_xlfn.IFNA(_xlfn.IFS(AND((IF(MOD(SUM(AR12:$AR$28),$AR$9*(1/3))&lt;MOD(SUM(AR13:$AR$28),$AR$9*(1/3)),"Pressure Change",""))="Pressure Change",AT12="⤴"),"⤵",AND((IF(MOD(SUM(AR12:$AR$28),$AR$9*(1/3))&lt;MOD(SUM(AR13:$AR$28),$AR$9*(1/3)),"Pressure Change",""))="Pressure Change",AT12="⤵"),"⤴"),AT12)</f>
        <v>⤵</v>
      </c>
    </row>
    <row r="14" spans="1:48" ht="24">
      <c r="A14" s="3">
        <v>5</v>
      </c>
      <c r="B14" s="3" t="str">
        <f ca="1">'Map 3'!B16</f>
        <v>Ocean</v>
      </c>
      <c r="C14" s="3" t="str">
        <f ca="1">'Map 3'!C16</f>
        <v>Coast</v>
      </c>
      <c r="D14" s="3" t="str">
        <f ca="1">'Map 3'!D16</f>
        <v>Coast</v>
      </c>
      <c r="E14" s="3" t="str">
        <f ca="1">'Map 3'!E16</f>
        <v>Cliff</v>
      </c>
      <c r="F14" s="3" t="str">
        <f ca="1">'Map 3'!F16</f>
        <v>Coast</v>
      </c>
      <c r="G14" s="3" t="str">
        <f ca="1">'Map 3'!G16</f>
        <v>Island</v>
      </c>
      <c r="H14" s="3" t="str">
        <f ca="1">'Map 3'!H16</f>
        <v>Ocean</v>
      </c>
      <c r="I14" s="3" t="str">
        <f ca="1">'Map 3'!I16</f>
        <v>Trench</v>
      </c>
      <c r="J14" s="3" t="str">
        <f ca="1">'Map 3'!J16</f>
        <v>Ocean</v>
      </c>
      <c r="K14" s="3" t="str">
        <f ca="1">'Map 3'!K16</f>
        <v>Ocean</v>
      </c>
      <c r="L14" s="3" t="str">
        <f ca="1">'Map 3'!L16</f>
        <v>Ocean</v>
      </c>
      <c r="M14" s="3" t="str">
        <f ca="1">'Map 3'!M16</f>
        <v>Island</v>
      </c>
      <c r="N14" s="3" t="str">
        <f ca="1">'Map 3'!N16</f>
        <v>Island</v>
      </c>
      <c r="O14" s="3" t="str">
        <f ca="1">'Map 3'!O16</f>
        <v>Island</v>
      </c>
      <c r="P14" s="3" t="str">
        <f ca="1">'Map 3'!P16</f>
        <v>Island</v>
      </c>
      <c r="Q14" s="3" t="str">
        <f ca="1">'Map 3'!Q16</f>
        <v>Island</v>
      </c>
      <c r="R14" s="3" t="str">
        <f ca="1">'Map 3'!R16</f>
        <v>Ocean</v>
      </c>
      <c r="S14" s="3" t="str">
        <f ca="1">'Map 3'!S16</f>
        <v>Ocean</v>
      </c>
      <c r="T14" s="3" t="str">
        <f ca="1">'Map 3'!T16</f>
        <v>Ocean</v>
      </c>
      <c r="U14" s="3" t="str">
        <f ca="1">'Map 3'!U16</f>
        <v>Ocean</v>
      </c>
      <c r="V14" s="3" t="str">
        <f ca="1">'Map 3'!V16</f>
        <v>Ocean</v>
      </c>
      <c r="W14" s="3" t="str">
        <f ca="1">'Map 3'!W16</f>
        <v>Ocean</v>
      </c>
      <c r="X14" s="3" t="str">
        <f ca="1">'Map 3'!X16</f>
        <v>Ocean</v>
      </c>
      <c r="Y14" s="3" t="str">
        <f ca="1">'Map 3'!Y16</f>
        <v>Ocean</v>
      </c>
      <c r="Z14" s="3" t="str">
        <f ca="1">'Map 3'!Z16</f>
        <v>Island</v>
      </c>
      <c r="AA14" s="3" t="str">
        <f ca="1">'Map 3'!AA16</f>
        <v>Island</v>
      </c>
      <c r="AB14" s="3" t="str">
        <f ca="1">'Map 3'!AB16</f>
        <v>Ocean</v>
      </c>
      <c r="AC14" s="3" t="str">
        <f ca="1">'Map 3'!AC16</f>
        <v>Trench</v>
      </c>
      <c r="AD14" s="3" t="str">
        <f ca="1">'Map 3'!AD16</f>
        <v>Ocean</v>
      </c>
      <c r="AE14" s="3" t="str">
        <f ca="1">'Map 3'!AE16</f>
        <v>Coast</v>
      </c>
      <c r="AF14" s="3" t="str">
        <f ca="1">'Map 3'!AF16</f>
        <v>Coast</v>
      </c>
      <c r="AG14" s="3" t="str">
        <f ca="1">'Map 3'!AG16</f>
        <v>Coast</v>
      </c>
      <c r="AH14" s="3" t="str">
        <f ca="1">'Map 3'!AH16</f>
        <v>Cliff</v>
      </c>
      <c r="AI14" s="3" t="str">
        <f ca="1">'Map 3'!AI16</f>
        <v>Ocean</v>
      </c>
      <c r="AJ14" s="3" t="str">
        <f ca="1">'Map 3'!AJ16</f>
        <v>Trench</v>
      </c>
      <c r="AK14" s="3" t="str">
        <f ca="1">'Map 3'!AK16</f>
        <v>Ocean</v>
      </c>
      <c r="AL14" s="3" t="str">
        <f ca="1">'Map 3'!AL16</f>
        <v>Ocean</v>
      </c>
      <c r="AM14" s="3" t="str">
        <f ca="1">'Map 3'!AM16</f>
        <v>Cliff</v>
      </c>
      <c r="AN14" s="3" t="str">
        <f ca="1">'Map 3'!AN16</f>
        <v>Valley</v>
      </c>
      <c r="AO14" s="3" t="str">
        <f ca="1">'Map 3'!AO16</f>
        <v>Cliff</v>
      </c>
      <c r="AP14" s="3">
        <f t="shared" si="1"/>
        <v>-13.35</v>
      </c>
      <c r="AQ14" s="3">
        <f t="shared" si="2"/>
        <v>7.97</v>
      </c>
      <c r="AR14" s="3">
        <f t="shared" si="3"/>
        <v>259.80000000000018</v>
      </c>
      <c r="AS14" s="41">
        <v>72</v>
      </c>
      <c r="AT14" s="41" t="str" cm="1">
        <f t="array" ref="AT14">_xlfn.IFNA(_xlfn.IFS(AND((IF(MOD(SUM(AR13:$AR$28),$AR$9*(1/3))&lt;MOD(SUM(AR14:$AR$28),$AR$9*(1/3)),"Pressure Change",""))="Pressure Change",AT13="⤴"),"⤵",AND((IF(MOD(SUM(AR13:$AR$28),$AR$9*(1/3))&lt;MOD(SUM(AR14:$AR$28),$AR$9*(1/3)),"Pressure Change",""))="Pressure Change",AT13="⤵"),"⤴"),AT13)</f>
        <v>⤵</v>
      </c>
    </row>
    <row r="15" spans="1:48" ht="24">
      <c r="A15" s="3">
        <v>6</v>
      </c>
      <c r="B15" s="3" t="str">
        <f ca="1">'Map 3'!B17</f>
        <v>Mountain</v>
      </c>
      <c r="C15" s="3" t="str">
        <f ca="1">'Map 3'!C17</f>
        <v>Drop Off</v>
      </c>
      <c r="D15" s="3" t="str">
        <f ca="1">'Map 3'!D17</f>
        <v>Coast</v>
      </c>
      <c r="E15" s="3" t="str">
        <f ca="1">'Map 3'!E17</f>
        <v>Island</v>
      </c>
      <c r="F15" s="3" t="str">
        <f ca="1">'Map 3'!F17</f>
        <v>Ocean</v>
      </c>
      <c r="G15" s="3" t="str">
        <f ca="1">'Map 3'!G17</f>
        <v>Island</v>
      </c>
      <c r="H15" s="3" t="str">
        <f ca="1">'Map 3'!H17</f>
        <v>Island</v>
      </c>
      <c r="I15" s="3" t="str">
        <f ca="1">'Map 3'!I17</f>
        <v>Trench</v>
      </c>
      <c r="J15" s="3" t="str">
        <f ca="1">'Map 3'!J17</f>
        <v>Ocean</v>
      </c>
      <c r="K15" s="3" t="str">
        <f ca="1">'Map 3'!K17</f>
        <v>Trench</v>
      </c>
      <c r="L15" s="3" t="str">
        <f ca="1">'Map 3'!L17</f>
        <v>Ocean</v>
      </c>
      <c r="M15" s="3" t="str">
        <f ca="1">'Map 3'!M17</f>
        <v>Ocean</v>
      </c>
      <c r="N15" s="3" t="str">
        <f ca="1">'Map 3'!N17</f>
        <v>Ocean</v>
      </c>
      <c r="O15" s="3" t="str">
        <f ca="1">'Map 3'!O17</f>
        <v>Ocean</v>
      </c>
      <c r="P15" s="3" t="str">
        <f ca="1">'Map 3'!P17</f>
        <v>Island</v>
      </c>
      <c r="Q15" s="3" t="str">
        <f ca="1">'Map 3'!Q17</f>
        <v>Ocean</v>
      </c>
      <c r="R15" s="3" t="str">
        <f ca="1">'Map 3'!R17</f>
        <v>Ocean</v>
      </c>
      <c r="S15" s="3" t="str">
        <f ca="1">'Map 3'!S17</f>
        <v>Ocean</v>
      </c>
      <c r="T15" s="3" t="str">
        <f ca="1">'Map 3'!T17</f>
        <v>Ocean</v>
      </c>
      <c r="U15" s="3" t="str">
        <f ca="1">'Map 3'!U17</f>
        <v>Ocean</v>
      </c>
      <c r="V15" s="3" t="str">
        <f ca="1">'Map 3'!V17</f>
        <v>Ocean</v>
      </c>
      <c r="W15" s="3" t="str">
        <f ca="1">'Map 3'!W17</f>
        <v>Island</v>
      </c>
      <c r="X15" s="3" t="str">
        <f ca="1">'Map 3'!X17</f>
        <v>Island</v>
      </c>
      <c r="Y15" s="3" t="str">
        <f ca="1">'Map 3'!Y17</f>
        <v>Ocean</v>
      </c>
      <c r="Z15" s="3" t="str">
        <f ca="1">'Map 3'!Z17</f>
        <v>Trench</v>
      </c>
      <c r="AA15" s="3" t="str">
        <f ca="1">'Map 3'!AA17</f>
        <v>Ocean</v>
      </c>
      <c r="AB15" s="3" t="str">
        <f ca="1">'Map 3'!AB17</f>
        <v>Island</v>
      </c>
      <c r="AC15" s="3" t="str">
        <f ca="1">'Map 3'!AC17</f>
        <v>Ocean</v>
      </c>
      <c r="AD15" s="3" t="str">
        <f ca="1">'Map 3'!AD17</f>
        <v>Ocean</v>
      </c>
      <c r="AE15" s="3" t="str">
        <f ca="1">'Map 3'!AE17</f>
        <v>Coast</v>
      </c>
      <c r="AF15" s="3" t="str">
        <f ca="1">'Map 3'!AF17</f>
        <v>Ocean</v>
      </c>
      <c r="AG15" s="3" t="str">
        <f ca="1">'Map 3'!AG17</f>
        <v>Coast</v>
      </c>
      <c r="AH15" s="3" t="str">
        <f ca="1">'Map 3'!AH17</f>
        <v>Island</v>
      </c>
      <c r="AI15" s="3" t="str">
        <f ca="1">'Map 3'!AI17</f>
        <v>Ocean</v>
      </c>
      <c r="AJ15" s="3" t="str">
        <f ca="1">'Map 3'!AJ17</f>
        <v>Island</v>
      </c>
      <c r="AK15" s="3" t="str">
        <f ca="1">'Map 3'!AK17</f>
        <v>Trench</v>
      </c>
      <c r="AL15" s="3" t="str">
        <f ca="1">'Map 3'!AL17</f>
        <v>Coast</v>
      </c>
      <c r="AM15" s="3" t="str">
        <f ca="1">'Map 3'!AM17</f>
        <v>Flatland</v>
      </c>
      <c r="AN15" s="3" t="str">
        <f ca="1">'Map 3'!AN17</f>
        <v>Mountain</v>
      </c>
      <c r="AO15" s="3" t="str">
        <f ca="1">'Map 3'!AO17</f>
        <v>Valley</v>
      </c>
      <c r="AP15" s="3">
        <f t="shared" si="1"/>
        <v>-6.4</v>
      </c>
      <c r="AQ15" s="3">
        <f t="shared" si="2"/>
        <v>20.48</v>
      </c>
      <c r="AR15" s="3">
        <f t="shared" si="3"/>
        <v>266.75000000000017</v>
      </c>
      <c r="AS15" s="41">
        <v>67.5</v>
      </c>
      <c r="AT15" s="41" t="str" cm="1">
        <f t="array" ref="AT15">_xlfn.IFNA(_xlfn.IFS(AND((IF(MOD(SUM(AR14:$AR$28),$AR$9*(1/3))&lt;MOD(SUM(AR15:$AR$28),$AR$9*(1/3)),"Pressure Change",""))="Pressure Change",AT14="⤴"),"⤵",AND((IF(MOD(SUM(AR14:$AR$28),$AR$9*(1/3))&lt;MOD(SUM(AR15:$AR$28),$AR$9*(1/3)),"Pressure Change",""))="Pressure Change",AT14="⤵"),"⤴"),AT14)</f>
        <v>⤵</v>
      </c>
    </row>
    <row r="16" spans="1:48" ht="24">
      <c r="A16" s="3">
        <v>7</v>
      </c>
      <c r="B16" s="3" t="str">
        <f ca="1">'Map 3'!B18</f>
        <v>Flatland</v>
      </c>
      <c r="C16" s="3" t="str">
        <f ca="1">'Map 3'!C18</f>
        <v>Island</v>
      </c>
      <c r="D16" s="3" t="str">
        <f ca="1">'Map 3'!D18</f>
        <v>Ocean</v>
      </c>
      <c r="E16" s="3" t="str">
        <f ca="1">'Map 3'!E18</f>
        <v>Ocean</v>
      </c>
      <c r="F16" s="3" t="str">
        <f ca="1">'Map 3'!F18</f>
        <v>Trench</v>
      </c>
      <c r="G16" s="3" t="str">
        <f ca="1">'Map 3'!G18</f>
        <v>Ocean</v>
      </c>
      <c r="H16" s="3" t="str">
        <f ca="1">'Map 3'!H18</f>
        <v>Ocean</v>
      </c>
      <c r="I16" s="3" t="str">
        <f ca="1">'Map 3'!I18</f>
        <v>Ocean</v>
      </c>
      <c r="J16" s="3" t="str">
        <f ca="1">'Map 3'!J18</f>
        <v>Ocean</v>
      </c>
      <c r="K16" s="3" t="str">
        <f ca="1">'Map 3'!K18</f>
        <v>Trench</v>
      </c>
      <c r="L16" s="3" t="str">
        <f ca="1">'Map 3'!L18</f>
        <v>Trench</v>
      </c>
      <c r="M16" s="3" t="str">
        <f ca="1">'Map 3'!M18</f>
        <v>Ocean</v>
      </c>
      <c r="N16" s="3" t="str">
        <f ca="1">'Map 3'!N18</f>
        <v>Island</v>
      </c>
      <c r="O16" s="3" t="str">
        <f ca="1">'Map 3'!O18</f>
        <v>Ocean</v>
      </c>
      <c r="P16" s="3" t="str">
        <f ca="1">'Map 3'!P18</f>
        <v>Ocean</v>
      </c>
      <c r="Q16" s="3" t="str">
        <f ca="1">'Map 3'!Q18</f>
        <v>Ocean</v>
      </c>
      <c r="R16" s="3" t="str">
        <f ca="1">'Map 3'!R18</f>
        <v>Ocean</v>
      </c>
      <c r="S16" s="3" t="str">
        <f ca="1">'Map 3'!S18</f>
        <v>Ocean</v>
      </c>
      <c r="T16" s="3" t="str">
        <f ca="1">'Map 3'!T18</f>
        <v>Ocean</v>
      </c>
      <c r="U16" s="3" t="str">
        <f ca="1">'Map 3'!U18</f>
        <v>Ocean</v>
      </c>
      <c r="V16" s="3" t="str">
        <f ca="1">'Map 3'!V18</f>
        <v>Island</v>
      </c>
      <c r="W16" s="3" t="str">
        <f ca="1">'Map 3'!W18</f>
        <v>Ocean</v>
      </c>
      <c r="X16" s="3" t="str">
        <f ca="1">'Map 3'!X18</f>
        <v>Island</v>
      </c>
      <c r="Y16" s="3" t="str">
        <f ca="1">'Map 3'!Y18</f>
        <v>Ocean</v>
      </c>
      <c r="Z16" s="3" t="str">
        <f ca="1">'Map 3'!Z18</f>
        <v>Ocean</v>
      </c>
      <c r="AA16" s="3" t="str">
        <f ca="1">'Map 3'!AA18</f>
        <v>Island</v>
      </c>
      <c r="AB16" s="3" t="str">
        <f ca="1">'Map 3'!AB18</f>
        <v>Ocean</v>
      </c>
      <c r="AC16" s="3" t="str">
        <f ca="1">'Map 3'!AC18</f>
        <v>Ocean</v>
      </c>
      <c r="AD16" s="3" t="str">
        <f ca="1">'Map 3'!AD18</f>
        <v>Ocean</v>
      </c>
      <c r="AE16" s="3" t="str">
        <f ca="1">'Map 3'!AE18</f>
        <v>Ocean</v>
      </c>
      <c r="AF16" s="3" t="str">
        <f ca="1">'Map 3'!AF18</f>
        <v>Ocean</v>
      </c>
      <c r="AG16" s="3" t="str">
        <f ca="1">'Map 3'!AG18</f>
        <v>Ocean</v>
      </c>
      <c r="AH16" s="3" t="str">
        <f ca="1">'Map 3'!AH18</f>
        <v>Ocean</v>
      </c>
      <c r="AI16" s="3" t="str">
        <f ca="1">'Map 3'!AI18</f>
        <v>Ocean</v>
      </c>
      <c r="AJ16" s="3" t="str">
        <f ca="1">'Map 3'!AJ18</f>
        <v>Island</v>
      </c>
      <c r="AK16" s="3" t="str">
        <f ca="1">'Map 3'!AK18</f>
        <v>Coast</v>
      </c>
      <c r="AL16" s="3" t="str">
        <f ca="1">'Map 3'!AL18</f>
        <v>Coast</v>
      </c>
      <c r="AM16" s="3" t="str">
        <f ca="1">'Map 3'!AM18</f>
        <v>Coast</v>
      </c>
      <c r="AN16" s="3" t="str">
        <f ca="1">'Map 3'!AN18</f>
        <v>Flatland</v>
      </c>
      <c r="AO16" s="3" t="str">
        <f ca="1">'Map 3'!AO18</f>
        <v>Mountain</v>
      </c>
      <c r="AP16" s="3">
        <f t="shared" si="1"/>
        <v>0.55000000000000004</v>
      </c>
      <c r="AQ16" s="3">
        <f t="shared" si="2"/>
        <v>32.99</v>
      </c>
      <c r="AR16" s="3">
        <f t="shared" si="3"/>
        <v>273.70000000000016</v>
      </c>
      <c r="AS16" s="41">
        <v>63</v>
      </c>
      <c r="AT16" s="41" t="str" cm="1">
        <f t="array" ref="AT16">_xlfn.IFNA(_xlfn.IFS(AND((IF(MOD(SUM(AR15:$AR$28),$AR$9*(1/3))&lt;MOD(SUM(AR16:$AR$28),$AR$9*(1/3)),"Pressure Change",""))="Pressure Change",AT15="⤴"),"⤵",AND((IF(MOD(SUM(AR15:$AR$28),$AR$9*(1/3))&lt;MOD(SUM(AR16:$AR$28),$AR$9*(1/3)),"Pressure Change",""))="Pressure Change",AT15="⤵"),"⤴"),AT15)</f>
        <v>⤵</v>
      </c>
    </row>
    <row r="17" spans="1:46" ht="24">
      <c r="A17" s="3">
        <v>8</v>
      </c>
      <c r="B17" s="3" t="str">
        <f ca="1">'Map 3'!B19</f>
        <v>Coast</v>
      </c>
      <c r="C17" s="3" t="str">
        <f ca="1">'Map 3'!C19</f>
        <v>Ocean</v>
      </c>
      <c r="D17" s="3" t="str">
        <f ca="1">'Map 3'!D19</f>
        <v>Ocean</v>
      </c>
      <c r="E17" s="3" t="str">
        <f ca="1">'Map 3'!E19</f>
        <v>Ocean</v>
      </c>
      <c r="F17" s="3" t="str">
        <f ca="1">'Map 3'!F19</f>
        <v>Island</v>
      </c>
      <c r="G17" s="3" t="str">
        <f ca="1">'Map 3'!G19</f>
        <v>Island</v>
      </c>
      <c r="H17" s="3" t="str">
        <f ca="1">'Map 3'!H19</f>
        <v>Ocean</v>
      </c>
      <c r="I17" s="3" t="str">
        <f ca="1">'Map 3'!I19</f>
        <v>Ocean</v>
      </c>
      <c r="J17" s="3" t="str">
        <f ca="1">'Map 3'!J19</f>
        <v>Ocean</v>
      </c>
      <c r="K17" s="3" t="str">
        <f ca="1">'Map 3'!K19</f>
        <v>Island</v>
      </c>
      <c r="L17" s="3" t="str">
        <f ca="1">'Map 3'!L19</f>
        <v>Ocean</v>
      </c>
      <c r="M17" s="3" t="str">
        <f ca="1">'Map 3'!M19</f>
        <v>Coast</v>
      </c>
      <c r="N17" s="3" t="str">
        <f ca="1">'Map 3'!N19</f>
        <v>Flatland</v>
      </c>
      <c r="O17" s="3" t="str">
        <f ca="1">'Map 3'!O19</f>
        <v>Coast</v>
      </c>
      <c r="P17" s="3" t="str">
        <f ca="1">'Map 3'!P19</f>
        <v>Coast</v>
      </c>
      <c r="Q17" s="3" t="str">
        <f ca="1">'Map 3'!Q19</f>
        <v>Coast</v>
      </c>
      <c r="R17" s="3" t="str">
        <f ca="1">'Map 3'!R19</f>
        <v>Ocean</v>
      </c>
      <c r="S17" s="3" t="str">
        <f ca="1">'Map 3'!S19</f>
        <v>Ocean</v>
      </c>
      <c r="T17" s="3" t="str">
        <f ca="1">'Map 3'!T19</f>
        <v>Ocean</v>
      </c>
      <c r="U17" s="3" t="str">
        <f ca="1">'Map 3'!U19</f>
        <v>Ocean</v>
      </c>
      <c r="V17" s="3" t="str">
        <f ca="1">'Map 3'!V19</f>
        <v>Ocean</v>
      </c>
      <c r="W17" s="3" t="str">
        <f ca="1">'Map 3'!W19</f>
        <v>Ocean</v>
      </c>
      <c r="X17" s="3" t="str">
        <f ca="1">'Map 3'!X19</f>
        <v>Ocean</v>
      </c>
      <c r="Y17" s="3" t="str">
        <f ca="1">'Map 3'!Y19</f>
        <v>Ocean</v>
      </c>
      <c r="Z17" s="3" t="str">
        <f ca="1">'Map 3'!Z19</f>
        <v>Coast</v>
      </c>
      <c r="AA17" s="3" t="str">
        <f ca="1">'Map 3'!AA19</f>
        <v>Mountain</v>
      </c>
      <c r="AB17" s="3" t="str">
        <f ca="1">'Map 3'!AB19</f>
        <v>Flatland</v>
      </c>
      <c r="AC17" s="3" t="str">
        <f ca="1">'Map 3'!AC19</f>
        <v>Coast</v>
      </c>
      <c r="AD17" s="3" t="str">
        <f ca="1">'Map 3'!AD19</f>
        <v>Ocean</v>
      </c>
      <c r="AE17" s="3" t="str">
        <f ca="1">'Map 3'!AE19</f>
        <v>Ocean</v>
      </c>
      <c r="AF17" s="3" t="str">
        <f ca="1">'Map 3'!AF19</f>
        <v>Ocean</v>
      </c>
      <c r="AG17" s="3" t="str">
        <f ca="1">'Map 3'!AG19</f>
        <v>Trench</v>
      </c>
      <c r="AH17" s="3" t="str">
        <f ca="1">'Map 3'!AH19</f>
        <v>Ocean</v>
      </c>
      <c r="AI17" s="3" t="str">
        <f ca="1">'Map 3'!AI19</f>
        <v>Ocean</v>
      </c>
      <c r="AJ17" s="3" t="str">
        <f ca="1">'Map 3'!AJ19</f>
        <v>Trench</v>
      </c>
      <c r="AK17" s="3" t="str">
        <f ca="1">'Map 3'!AK19</f>
        <v>Cliff</v>
      </c>
      <c r="AL17" s="3" t="str">
        <f ca="1">'Map 3'!AL19</f>
        <v>Ocean</v>
      </c>
      <c r="AM17" s="3" t="str">
        <f ca="1">'Map 3'!AM19</f>
        <v>Coast</v>
      </c>
      <c r="AN17" s="3" t="str">
        <f ca="1">'Map 3'!AN19</f>
        <v>Coast</v>
      </c>
      <c r="AO17" s="3" t="str">
        <f ca="1">'Map 3'!AO19</f>
        <v>Flatland</v>
      </c>
      <c r="AP17" s="3">
        <f t="shared" si="1"/>
        <v>7.5</v>
      </c>
      <c r="AQ17" s="3">
        <f t="shared" si="2"/>
        <v>45.5</v>
      </c>
      <c r="AR17" s="3">
        <f t="shared" si="3"/>
        <v>280.65000000000015</v>
      </c>
      <c r="AS17" s="41">
        <v>58.5</v>
      </c>
      <c r="AT17" s="41" t="str" cm="1">
        <f t="array" ref="AT17">_xlfn.IFNA(_xlfn.IFS(AND((IF(MOD(SUM(AR16:$AR$28),$AR$9*(1/3))&lt;MOD(SUM(AR17:$AR$28),$AR$9*(1/3)),"Pressure Change",""))="Pressure Change",AT16="⤴"),"⤵",AND((IF(MOD(SUM(AR16:$AR$28),$AR$9*(1/3))&lt;MOD(SUM(AR17:$AR$28),$AR$9*(1/3)),"Pressure Change",""))="Pressure Change",AT16="⤵"),"⤴"),AT16)</f>
        <v>⤴</v>
      </c>
    </row>
    <row r="18" spans="1:46" ht="24">
      <c r="A18" s="3">
        <v>9</v>
      </c>
      <c r="B18" s="3" t="str">
        <f ca="1">'Map 3'!B20</f>
        <v>Ocean</v>
      </c>
      <c r="C18" s="3" t="str">
        <f ca="1">'Map 3'!C20</f>
        <v>Ocean</v>
      </c>
      <c r="D18" s="3" t="str">
        <f ca="1">'Map 3'!D20</f>
        <v>Ocean</v>
      </c>
      <c r="E18" s="3" t="str">
        <f ca="1">'Map 3'!E20</f>
        <v>Ocean</v>
      </c>
      <c r="F18" s="3" t="str">
        <f ca="1">'Map 3'!F20</f>
        <v>Ocean</v>
      </c>
      <c r="G18" s="3" t="str">
        <f ca="1">'Map 3'!G20</f>
        <v>Ocean</v>
      </c>
      <c r="H18" s="3" t="str">
        <f ca="1">'Map 3'!H20</f>
        <v>Ocean</v>
      </c>
      <c r="I18" s="3" t="str">
        <f ca="1">'Map 3'!I20</f>
        <v>Ocean</v>
      </c>
      <c r="J18" s="3" t="str">
        <f ca="1">'Map 3'!J20</f>
        <v>Ocean</v>
      </c>
      <c r="K18" s="3" t="str">
        <f ca="1">'Map 3'!K20</f>
        <v>Trench</v>
      </c>
      <c r="L18" s="3" t="str">
        <f ca="1">'Map 3'!L20</f>
        <v>Trench</v>
      </c>
      <c r="M18" s="3" t="str">
        <f ca="1">'Map 3'!M20</f>
        <v>Flatland</v>
      </c>
      <c r="N18" s="3" t="str">
        <f ca="1">'Map 3'!N20</f>
        <v>Flatland</v>
      </c>
      <c r="O18" s="3" t="str">
        <f ca="1">'Map 3'!O20</f>
        <v>Coast</v>
      </c>
      <c r="P18" s="3" t="str">
        <f ca="1">'Map 3'!P20</f>
        <v>Flatland</v>
      </c>
      <c r="Q18" s="3" t="str">
        <f ca="1">'Map 3'!Q20</f>
        <v>Ocean</v>
      </c>
      <c r="R18" s="3" t="str">
        <f ca="1">'Map 3'!R20</f>
        <v>Ocean</v>
      </c>
      <c r="S18" s="3" t="str">
        <f ca="1">'Map 3'!S20</f>
        <v>Ocean</v>
      </c>
      <c r="T18" s="3" t="str">
        <f ca="1">'Map 3'!T20</f>
        <v>Ocean</v>
      </c>
      <c r="U18" s="3" t="str">
        <f ca="1">'Map 3'!U20</f>
        <v>Ocean</v>
      </c>
      <c r="V18" s="3" t="str">
        <f ca="1">'Map 3'!V20</f>
        <v>Ocean</v>
      </c>
      <c r="W18" s="3" t="str">
        <f ca="1">'Map 3'!W20</f>
        <v>Ocean</v>
      </c>
      <c r="X18" s="3" t="str">
        <f ca="1">'Map 3'!X20</f>
        <v>Ocean</v>
      </c>
      <c r="Y18" s="3" t="str">
        <f ca="1">'Map 3'!Y20</f>
        <v>Coast</v>
      </c>
      <c r="Z18" s="3" t="str">
        <f ca="1">'Map 3'!Z20</f>
        <v>Flatland</v>
      </c>
      <c r="AA18" s="3" t="str">
        <f ca="1">'Map 3'!AA20</f>
        <v>Flatland</v>
      </c>
      <c r="AB18" s="3" t="str">
        <f ca="1">'Map 3'!AB20</f>
        <v>Coast</v>
      </c>
      <c r="AC18" s="3" t="str">
        <f ca="1">'Map 3'!AC20</f>
        <v>Ocean</v>
      </c>
      <c r="AD18" s="3" t="str">
        <f ca="1">'Map 3'!AD20</f>
        <v>Ocean</v>
      </c>
      <c r="AE18" s="3" t="str">
        <f ca="1">'Map 3'!AE20</f>
        <v>Ocean</v>
      </c>
      <c r="AF18" s="3" t="str">
        <f ca="1">'Map 3'!AF20</f>
        <v>Ocean</v>
      </c>
      <c r="AG18" s="3" t="str">
        <f ca="1">'Map 3'!AG20</f>
        <v>Ocean</v>
      </c>
      <c r="AH18" s="3" t="str">
        <f ca="1">'Map 3'!AH20</f>
        <v>Ocean</v>
      </c>
      <c r="AI18" s="3" t="str">
        <f ca="1">'Map 3'!AI20</f>
        <v>Ocean</v>
      </c>
      <c r="AJ18" s="3" t="str">
        <f ca="1">'Map 3'!AJ20</f>
        <v>Ocean</v>
      </c>
      <c r="AK18" s="3" t="str">
        <f ca="1">'Map 3'!AK20</f>
        <v>Drop Off</v>
      </c>
      <c r="AL18" s="3" t="str">
        <f ca="1">'Map 3'!AL20</f>
        <v>Island</v>
      </c>
      <c r="AM18" s="3" t="str">
        <f ca="1">'Map 3'!AM20</f>
        <v>Ocean</v>
      </c>
      <c r="AN18" s="3" t="str">
        <f ca="1">'Map 3'!AN20</f>
        <v>Flatland</v>
      </c>
      <c r="AO18" s="3" t="str">
        <f ca="1">'Map 3'!AO20</f>
        <v>Coast</v>
      </c>
      <c r="AP18" s="3">
        <f t="shared" si="1"/>
        <v>14.45</v>
      </c>
      <c r="AQ18" s="3">
        <f t="shared" si="2"/>
        <v>58.01</v>
      </c>
      <c r="AR18" s="3">
        <f t="shared" si="3"/>
        <v>287.60000000000014</v>
      </c>
      <c r="AS18" s="41">
        <v>54</v>
      </c>
      <c r="AT18" s="41" t="str" cm="1">
        <f t="array" ref="AT18">_xlfn.IFNA(_xlfn.IFS(AND((IF(MOD(SUM(AR17:$AR$28),$AR$9*(1/3))&lt;MOD(SUM(AR18:$AR$28),$AR$9*(1/3)),"Pressure Change",""))="Pressure Change",AT17="⤴"),"⤵",AND((IF(MOD(SUM(AR17:$AR$28),$AR$9*(1/3))&lt;MOD(SUM(AR18:$AR$28),$AR$9*(1/3)),"Pressure Change",""))="Pressure Change",AT17="⤵"),"⤴"),AT17)</f>
        <v>⤴</v>
      </c>
    </row>
    <row r="19" spans="1:46" ht="24">
      <c r="A19" s="3">
        <v>10</v>
      </c>
      <c r="B19" s="3" t="str">
        <f ca="1">'Map 3'!B21</f>
        <v>Ocean</v>
      </c>
      <c r="C19" s="3" t="str">
        <f ca="1">'Map 3'!C21</f>
        <v>Ocean</v>
      </c>
      <c r="D19" s="3" t="str">
        <f ca="1">'Map 3'!D21</f>
        <v>Ocean</v>
      </c>
      <c r="E19" s="3" t="str">
        <f ca="1">'Map 3'!E21</f>
        <v>Ocean</v>
      </c>
      <c r="F19" s="3" t="str">
        <f ca="1">'Map 3'!F21</f>
        <v>Ocean</v>
      </c>
      <c r="G19" s="3" t="str">
        <f ca="1">'Map 3'!G21</f>
        <v>Island</v>
      </c>
      <c r="H19" s="3" t="str">
        <f ca="1">'Map 3'!H21</f>
        <v>Island</v>
      </c>
      <c r="I19" s="3" t="str">
        <f ca="1">'Map 3'!I21</f>
        <v>Trench</v>
      </c>
      <c r="J19" s="3" t="str">
        <f ca="1">'Map 3'!J21</f>
        <v>Island</v>
      </c>
      <c r="K19" s="3" t="str">
        <f ca="1">'Map 3'!K21</f>
        <v>Ocean</v>
      </c>
      <c r="L19" s="3" t="str">
        <f ca="1">'Map 3'!L21</f>
        <v>Trench</v>
      </c>
      <c r="M19" s="3" t="str">
        <f ca="1">'Map 3'!M21</f>
        <v>Ocean</v>
      </c>
      <c r="N19" s="3" t="str">
        <f ca="1">'Map 3'!N21</f>
        <v>Coast</v>
      </c>
      <c r="O19" s="3" t="str">
        <f ca="1">'Map 3'!O21</f>
        <v>Valley</v>
      </c>
      <c r="P19" s="3" t="str">
        <f ca="1">'Map 3'!P21</f>
        <v>Flatland</v>
      </c>
      <c r="Q19" s="3" t="str">
        <f ca="1">'Map 3'!Q21</f>
        <v>Flatland</v>
      </c>
      <c r="R19" s="3" t="str">
        <f ca="1">'Map 3'!R21</f>
        <v>Coast</v>
      </c>
      <c r="S19" s="3" t="str">
        <f ca="1">'Map 3'!S21</f>
        <v>Ocean</v>
      </c>
      <c r="T19" s="3" t="str">
        <f ca="1">'Map 3'!T21</f>
        <v>Ocean</v>
      </c>
      <c r="U19" s="3" t="str">
        <f ca="1">'Map 3'!U21</f>
        <v>Ocean</v>
      </c>
      <c r="V19" s="3" t="str">
        <f ca="1">'Map 3'!V21</f>
        <v>Ocean</v>
      </c>
      <c r="W19" s="3" t="str">
        <f ca="1">'Map 3'!W21</f>
        <v>Ocean</v>
      </c>
      <c r="X19" s="3" t="str">
        <f ca="1">'Map 3'!X21</f>
        <v>Trench</v>
      </c>
      <c r="Y19" s="3" t="str">
        <f ca="1">'Map 3'!Y21</f>
        <v>Ocean</v>
      </c>
      <c r="Z19" s="3" t="str">
        <f ca="1">'Map 3'!Z21</f>
        <v>Coast</v>
      </c>
      <c r="AA19" s="3" t="str">
        <f ca="1">'Map 3'!AA21</f>
        <v>Mountain</v>
      </c>
      <c r="AB19" s="3" t="str">
        <f ca="1">'Map 3'!AB21</f>
        <v>Mountain</v>
      </c>
      <c r="AC19" s="3" t="str">
        <f ca="1">'Map 3'!AC21</f>
        <v>Valley</v>
      </c>
      <c r="AD19" s="3" t="str">
        <f ca="1">'Map 3'!AD21</f>
        <v>Coast</v>
      </c>
      <c r="AE19" s="3" t="str">
        <f ca="1">'Map 3'!AE21</f>
        <v>Ocean</v>
      </c>
      <c r="AF19" s="3" t="str">
        <f ca="1">'Map 3'!AF21</f>
        <v>Ocean</v>
      </c>
      <c r="AG19" s="3" t="str">
        <f ca="1">'Map 3'!AG21</f>
        <v>Ocean</v>
      </c>
      <c r="AH19" s="3" t="str">
        <f ca="1">'Map 3'!AH21</f>
        <v>Trench</v>
      </c>
      <c r="AI19" s="3" t="str">
        <f ca="1">'Map 3'!AI21</f>
        <v>Ocean</v>
      </c>
      <c r="AJ19" s="3" t="str">
        <f ca="1">'Map 3'!AJ21</f>
        <v>Ocean</v>
      </c>
      <c r="AK19" s="3" t="str">
        <f ca="1">'Map 3'!AK21</f>
        <v>Island</v>
      </c>
      <c r="AL19" s="3" t="str">
        <f ca="1">'Map 3'!AL21</f>
        <v>Ocean</v>
      </c>
      <c r="AM19" s="3" t="str">
        <f ca="1">'Map 3'!AM21</f>
        <v>Ocean</v>
      </c>
      <c r="AN19" s="3" t="str">
        <f ca="1">'Map 3'!AN21</f>
        <v>Coast</v>
      </c>
      <c r="AO19" s="3" t="str">
        <f ca="1">'Map 3'!AO21</f>
        <v>Ocean</v>
      </c>
      <c r="AP19" s="3">
        <f t="shared" si="1"/>
        <v>21.4</v>
      </c>
      <c r="AQ19" s="3">
        <f t="shared" si="2"/>
        <v>70.52</v>
      </c>
      <c r="AR19" s="3">
        <f t="shared" si="3"/>
        <v>294.55000000000013</v>
      </c>
      <c r="AS19" s="41">
        <v>49.5</v>
      </c>
      <c r="AT19" s="41" t="str" cm="1">
        <f t="array" ref="AT19">_xlfn.IFNA(_xlfn.IFS(AND((IF(MOD(SUM(AR18:$AR$28),$AR$9*(1/3))&lt;MOD(SUM(AR19:$AR$28),$AR$9*(1/3)),"Pressure Change",""))="Pressure Change",AT18="⤴"),"⤵",AND((IF(MOD(SUM(AR18:$AR$28),$AR$9*(1/3))&lt;MOD(SUM(AR19:$AR$28),$AR$9*(1/3)),"Pressure Change",""))="Pressure Change",AT18="⤵"),"⤴"),AT18)</f>
        <v>⤴</v>
      </c>
    </row>
    <row r="20" spans="1:46" ht="24">
      <c r="A20" s="3">
        <v>11</v>
      </c>
      <c r="B20" s="3" t="str">
        <f ca="1">'Map 3'!B22</f>
        <v>Ocean</v>
      </c>
      <c r="C20" s="3" t="str">
        <f ca="1">'Map 3'!C22</f>
        <v>Ocean</v>
      </c>
      <c r="D20" s="3" t="str">
        <f ca="1">'Map 3'!D22</f>
        <v>Trench</v>
      </c>
      <c r="E20" s="3" t="str">
        <f ca="1">'Map 3'!E22</f>
        <v>Ocean</v>
      </c>
      <c r="F20" s="3" t="str">
        <f ca="1">'Map 3'!F22</f>
        <v>Island</v>
      </c>
      <c r="G20" s="3" t="str">
        <f ca="1">'Map 3'!G22</f>
        <v>Trench</v>
      </c>
      <c r="H20" s="3" t="str">
        <f ca="1">'Map 3'!H22</f>
        <v>Island</v>
      </c>
      <c r="I20" s="3" t="str">
        <f ca="1">'Map 3'!I22</f>
        <v>Island</v>
      </c>
      <c r="J20" s="3" t="str">
        <f ca="1">'Map 3'!J22</f>
        <v>Trench</v>
      </c>
      <c r="K20" s="3" t="str">
        <f ca="1">'Map 3'!K22</f>
        <v>Ocean</v>
      </c>
      <c r="L20" s="3" t="str">
        <f ca="1">'Map 3'!L22</f>
        <v>Ocean</v>
      </c>
      <c r="M20" s="3" t="str">
        <f ca="1">'Map 3'!M22</f>
        <v>Ocean</v>
      </c>
      <c r="N20" s="3" t="str">
        <f ca="1">'Map 3'!N22</f>
        <v>Flatland</v>
      </c>
      <c r="O20" s="3" t="str">
        <f ca="1">'Map 3'!O22</f>
        <v>Flatland</v>
      </c>
      <c r="P20" s="3" t="str">
        <f ca="1">'Map 3'!P22</f>
        <v>Flatland</v>
      </c>
      <c r="Q20" s="3" t="str">
        <f ca="1">'Map 3'!Q22</f>
        <v>Valley</v>
      </c>
      <c r="R20" s="3" t="str">
        <f ca="1">'Map 3'!R22</f>
        <v>Coast</v>
      </c>
      <c r="S20" s="3" t="str">
        <f ca="1">'Map 3'!S22</f>
        <v>Ocean</v>
      </c>
      <c r="T20" s="3" t="str">
        <f ca="1">'Map 3'!T22</f>
        <v>Ocean</v>
      </c>
      <c r="U20" s="3" t="str">
        <f ca="1">'Map 3'!U22</f>
        <v>Ocean</v>
      </c>
      <c r="V20" s="3" t="str">
        <f ca="1">'Map 3'!V22</f>
        <v>Ocean</v>
      </c>
      <c r="W20" s="3" t="str">
        <f ca="1">'Map 3'!W22</f>
        <v>Ocean</v>
      </c>
      <c r="X20" s="3" t="str">
        <f ca="1">'Map 3'!X22</f>
        <v>Ocean</v>
      </c>
      <c r="Y20" s="3" t="str">
        <f ca="1">'Map 3'!Y22</f>
        <v>Drop Off</v>
      </c>
      <c r="Z20" s="3" t="str">
        <f ca="1">'Map 3'!Z22</f>
        <v>Flatland</v>
      </c>
      <c r="AA20" s="3" t="str">
        <f ca="1">'Map 3'!AA22</f>
        <v>Valley</v>
      </c>
      <c r="AB20" s="3" t="str">
        <f ca="1">'Map 3'!AB22</f>
        <v>Valley</v>
      </c>
      <c r="AC20" s="3" t="str">
        <f ca="1">'Map 3'!AC22</f>
        <v>Mountain</v>
      </c>
      <c r="AD20" s="3" t="str">
        <f ca="1">'Map 3'!AD22</f>
        <v>Valley</v>
      </c>
      <c r="AE20" s="3" t="str">
        <f ca="1">'Map 3'!AE22</f>
        <v>Cliff</v>
      </c>
      <c r="AF20" s="3" t="str">
        <f ca="1">'Map 3'!AF22</f>
        <v>Trench</v>
      </c>
      <c r="AG20" s="3" t="str">
        <f ca="1">'Map 3'!AG22</f>
        <v>Ocean</v>
      </c>
      <c r="AH20" s="3" t="str">
        <f ca="1">'Map 3'!AH22</f>
        <v>Ocean</v>
      </c>
      <c r="AI20" s="3" t="str">
        <f ca="1">'Map 3'!AI22</f>
        <v>Ocean</v>
      </c>
      <c r="AJ20" s="3" t="str">
        <f ca="1">'Map 3'!AJ22</f>
        <v>Island</v>
      </c>
      <c r="AK20" s="3" t="str">
        <f ca="1">'Map 3'!AK22</f>
        <v>Ocean</v>
      </c>
      <c r="AL20" s="3" t="str">
        <f ca="1">'Map 3'!AL22</f>
        <v>Ocean</v>
      </c>
      <c r="AM20" s="3" t="str">
        <f ca="1">'Map 3'!AM22</f>
        <v>Ocean</v>
      </c>
      <c r="AN20" s="3" t="str">
        <f ca="1">'Map 3'!AN22</f>
        <v>Ocean</v>
      </c>
      <c r="AO20" s="3" t="str">
        <f ca="1">'Map 3'!AO22</f>
        <v>Trench</v>
      </c>
      <c r="AP20" s="3">
        <f t="shared" si="1"/>
        <v>28.35</v>
      </c>
      <c r="AQ20" s="3">
        <f t="shared" si="2"/>
        <v>83.03</v>
      </c>
      <c r="AR20" s="3">
        <f t="shared" si="3"/>
        <v>301.50000000000011</v>
      </c>
      <c r="AS20" s="41">
        <v>45</v>
      </c>
      <c r="AT20" s="41" t="str" cm="1">
        <f t="array" ref="AT20">_xlfn.IFNA(_xlfn.IFS(AND((IF(MOD(SUM(AR19:$AR$28),$AR$9*(1/3))&lt;MOD(SUM(AR20:$AR$28),$AR$9*(1/3)),"Pressure Change",""))="Pressure Change",AT19="⤴"),"⤵",AND((IF(MOD(SUM(AR19:$AR$28),$AR$9*(1/3))&lt;MOD(SUM(AR20:$AR$28),$AR$9*(1/3)),"Pressure Change",""))="Pressure Change",AT19="⤵"),"⤴"),AT19)</f>
        <v>⤴</v>
      </c>
    </row>
    <row r="21" spans="1:46" ht="24">
      <c r="A21" s="3">
        <v>12</v>
      </c>
      <c r="B21" s="3" t="str">
        <f ca="1">'Map 3'!B23</f>
        <v>Trench</v>
      </c>
      <c r="C21" s="3" t="str">
        <f ca="1">'Map 3'!C23</f>
        <v>Ocean</v>
      </c>
      <c r="D21" s="3" t="str">
        <f ca="1">'Map 3'!D23</f>
        <v>Ocean</v>
      </c>
      <c r="E21" s="3" t="str">
        <f ca="1">'Map 3'!E23</f>
        <v>Ocean</v>
      </c>
      <c r="F21" s="3" t="str">
        <f ca="1">'Map 3'!F23</f>
        <v>Trench</v>
      </c>
      <c r="G21" s="3" t="str">
        <f ca="1">'Map 3'!G23</f>
        <v>Island</v>
      </c>
      <c r="H21" s="3" t="str">
        <f ca="1">'Map 3'!H23</f>
        <v>Ocean</v>
      </c>
      <c r="I21" s="3" t="str">
        <f ca="1">'Map 3'!I23</f>
        <v>Trench</v>
      </c>
      <c r="J21" s="3" t="str">
        <f ca="1">'Map 3'!J23</f>
        <v>Ocean</v>
      </c>
      <c r="K21" s="3" t="str">
        <f ca="1">'Map 3'!K23</f>
        <v>Ocean</v>
      </c>
      <c r="L21" s="3" t="str">
        <f ca="1">'Map 3'!L23</f>
        <v>Trench</v>
      </c>
      <c r="M21" s="3" t="str">
        <f ca="1">'Map 3'!M23</f>
        <v>Ocean</v>
      </c>
      <c r="N21" s="3" t="str">
        <f ca="1">'Map 3'!N23</f>
        <v>Drop Off</v>
      </c>
      <c r="O21" s="3" t="str">
        <f ca="1">'Map 3'!O23</f>
        <v>Ocean</v>
      </c>
      <c r="P21" s="3" t="str">
        <f ca="1">'Map 3'!P23</f>
        <v>Ocean</v>
      </c>
      <c r="Q21" s="3" t="str">
        <f ca="1">'Map 3'!Q23</f>
        <v>Coast</v>
      </c>
      <c r="R21" s="3" t="str">
        <f ca="1">'Map 3'!R23</f>
        <v>Coast</v>
      </c>
      <c r="S21" s="3" t="str">
        <f ca="1">'Map 3'!S23</f>
        <v>Ocean</v>
      </c>
      <c r="T21" s="3" t="str">
        <f ca="1">'Map 3'!T23</f>
        <v>Ocean</v>
      </c>
      <c r="U21" s="3" t="str">
        <f ca="1">'Map 3'!U23</f>
        <v>Ocean</v>
      </c>
      <c r="V21" s="3" t="str">
        <f ca="1">'Map 3'!V23</f>
        <v>Trench</v>
      </c>
      <c r="W21" s="3" t="str">
        <f ca="1">'Map 3'!W23</f>
        <v>Ocean</v>
      </c>
      <c r="X21" s="3" t="str">
        <f ca="1">'Map 3'!X23</f>
        <v>Ocean</v>
      </c>
      <c r="Y21" s="3" t="str">
        <f ca="1">'Map 3'!Y23</f>
        <v>Coast</v>
      </c>
      <c r="Z21" s="3" t="str">
        <f ca="1">'Map 3'!Z23</f>
        <v>Ocean</v>
      </c>
      <c r="AA21" s="3" t="str">
        <f ca="1">'Map 3'!AA23</f>
        <v>Ocean</v>
      </c>
      <c r="AB21" s="3" t="str">
        <f ca="1">'Map 3'!AB23</f>
        <v>Ocean</v>
      </c>
      <c r="AC21" s="3" t="str">
        <f ca="1">'Map 3'!AC23</f>
        <v>Coast</v>
      </c>
      <c r="AD21" s="3" t="str">
        <f ca="1">'Map 3'!AD23</f>
        <v>Coast</v>
      </c>
      <c r="AE21" s="3" t="str">
        <f ca="1">'Map 3'!AE23</f>
        <v>Ocean</v>
      </c>
      <c r="AF21" s="3" t="str">
        <f ca="1">'Map 3'!AF23</f>
        <v>Ocean</v>
      </c>
      <c r="AG21" s="3" t="str">
        <f ca="1">'Map 3'!AG23</f>
        <v>Ocean</v>
      </c>
      <c r="AH21" s="3" t="str">
        <f ca="1">'Map 3'!AH23</f>
        <v>Island</v>
      </c>
      <c r="AI21" s="3" t="str">
        <f ca="1">'Map 3'!AI23</f>
        <v>Ocean</v>
      </c>
      <c r="AJ21" s="3" t="str">
        <f ca="1">'Map 3'!AJ23</f>
        <v>Ocean</v>
      </c>
      <c r="AK21" s="3" t="str">
        <f ca="1">'Map 3'!AK23</f>
        <v>Ocean</v>
      </c>
      <c r="AL21" s="3" t="str">
        <f ca="1">'Map 3'!AL23</f>
        <v>Ocean</v>
      </c>
      <c r="AM21" s="3" t="str">
        <f ca="1">'Map 3'!AM23</f>
        <v>Ocean</v>
      </c>
      <c r="AN21" s="3" t="str">
        <f ca="1">'Map 3'!AN23</f>
        <v>Ocean</v>
      </c>
      <c r="AO21" s="3" t="str">
        <f ca="1">'Map 3'!AO23</f>
        <v>Island</v>
      </c>
      <c r="AP21" s="3">
        <f t="shared" si="1"/>
        <v>35.299999999999997</v>
      </c>
      <c r="AQ21" s="3">
        <f t="shared" si="2"/>
        <v>95.54</v>
      </c>
      <c r="AR21" s="3">
        <f t="shared" si="3"/>
        <v>308.4500000000001</v>
      </c>
      <c r="AS21" s="41">
        <v>40.5</v>
      </c>
      <c r="AT21" s="41" t="str" cm="1">
        <f t="array" ref="AT21">_xlfn.IFNA(_xlfn.IFS(AND((IF(MOD(SUM(AR20:$AR$28),$AR$9*(1/3))&lt;MOD(SUM(AR21:$AR$28),$AR$9*(1/3)),"Pressure Change",""))="Pressure Change",AT20="⤴"),"⤵",AND((IF(MOD(SUM(AR20:$AR$28),$AR$9*(1/3))&lt;MOD(SUM(AR21:$AR$28),$AR$9*(1/3)),"Pressure Change",""))="Pressure Change",AT20="⤵"),"⤴"),AT20)</f>
        <v>⤴</v>
      </c>
    </row>
    <row r="22" spans="1:46" ht="24">
      <c r="A22" s="3">
        <v>13</v>
      </c>
      <c r="B22" s="3" t="str">
        <f ca="1">'Map 3'!B24</f>
        <v>Ocean</v>
      </c>
      <c r="C22" s="3" t="str">
        <f ca="1">'Map 3'!C24</f>
        <v>Trench</v>
      </c>
      <c r="D22" s="3" t="str">
        <f ca="1">'Map 3'!D24</f>
        <v>Ocean</v>
      </c>
      <c r="E22" s="3" t="str">
        <f ca="1">'Map 3'!E24</f>
        <v>Ocean</v>
      </c>
      <c r="F22" s="3" t="str">
        <f ca="1">'Map 3'!F24</f>
        <v>Trench</v>
      </c>
      <c r="G22" s="3" t="str">
        <f ca="1">'Map 3'!G24</f>
        <v>Trench</v>
      </c>
      <c r="H22" s="3" t="str">
        <f ca="1">'Map 3'!H24</f>
        <v>Island</v>
      </c>
      <c r="I22" s="3" t="str">
        <f ca="1">'Map 3'!I24</f>
        <v>Ocean</v>
      </c>
      <c r="J22" s="3" t="str">
        <f ca="1">'Map 3'!J24</f>
        <v>Ocean</v>
      </c>
      <c r="K22" s="3" t="str">
        <f ca="1">'Map 3'!K24</f>
        <v>Ocean</v>
      </c>
      <c r="L22" s="3" t="str">
        <f ca="1">'Map 3'!L24</f>
        <v>Ocean</v>
      </c>
      <c r="M22" s="3" t="str">
        <f ca="1">'Map 3'!M24</f>
        <v>Ocean</v>
      </c>
      <c r="N22" s="3" t="str">
        <f ca="1">'Map 3'!N24</f>
        <v>Ocean</v>
      </c>
      <c r="O22" s="3" t="str">
        <f ca="1">'Map 3'!O24</f>
        <v>Coast</v>
      </c>
      <c r="P22" s="3" t="str">
        <f ca="1">'Map 3'!P24</f>
        <v>Flatland</v>
      </c>
      <c r="Q22" s="3" t="str">
        <f ca="1">'Map 3'!Q24</f>
        <v>Coast</v>
      </c>
      <c r="R22" s="3" t="str">
        <f ca="1">'Map 3'!R24</f>
        <v>Coast</v>
      </c>
      <c r="S22" s="3" t="str">
        <f ca="1">'Map 3'!S24</f>
        <v>Coast</v>
      </c>
      <c r="T22" s="3" t="str">
        <f ca="1">'Map 3'!T24</f>
        <v>Ocean</v>
      </c>
      <c r="U22" s="3" t="str">
        <f ca="1">'Map 3'!U24</f>
        <v>Ocean</v>
      </c>
      <c r="V22" s="3" t="str">
        <f ca="1">'Map 3'!V24</f>
        <v>Island</v>
      </c>
      <c r="W22" s="3" t="str">
        <f ca="1">'Map 3'!W24</f>
        <v>Coast</v>
      </c>
      <c r="X22" s="3" t="str">
        <f ca="1">'Map 3'!X24</f>
        <v>Coast</v>
      </c>
      <c r="Y22" s="3" t="str">
        <f ca="1">'Map 3'!Y24</f>
        <v>Coast</v>
      </c>
      <c r="Z22" s="3" t="str">
        <f ca="1">'Map 3'!Z24</f>
        <v>Flatland</v>
      </c>
      <c r="AA22" s="3" t="str">
        <f ca="1">'Map 3'!AA24</f>
        <v>Coast</v>
      </c>
      <c r="AB22" s="3" t="str">
        <f ca="1">'Map 3'!AB24</f>
        <v>Ocean</v>
      </c>
      <c r="AC22" s="3" t="str">
        <f ca="1">'Map 3'!AC24</f>
        <v>Coast</v>
      </c>
      <c r="AD22" s="3" t="str">
        <f ca="1">'Map 3'!AD24</f>
        <v>Ocean</v>
      </c>
      <c r="AE22" s="3" t="str">
        <f ca="1">'Map 3'!AE24</f>
        <v>Ocean</v>
      </c>
      <c r="AF22" s="3" t="str">
        <f ca="1">'Map 3'!AF24</f>
        <v>Ocean</v>
      </c>
      <c r="AG22" s="3" t="str">
        <f ca="1">'Map 3'!AG24</f>
        <v>Ocean</v>
      </c>
      <c r="AH22" s="3" t="str">
        <f ca="1">'Map 3'!AH24</f>
        <v>Ocean</v>
      </c>
      <c r="AI22" s="3" t="str">
        <f ca="1">'Map 3'!AI24</f>
        <v>Ocean</v>
      </c>
      <c r="AJ22" s="3" t="str">
        <f ca="1">'Map 3'!AJ24</f>
        <v>Ocean</v>
      </c>
      <c r="AK22" s="3" t="str">
        <f ca="1">'Map 3'!AK24</f>
        <v>Ocean</v>
      </c>
      <c r="AL22" s="3" t="str">
        <f ca="1">'Map 3'!AL24</f>
        <v>Ocean</v>
      </c>
      <c r="AM22" s="3" t="str">
        <f ca="1">'Map 3'!AM24</f>
        <v>Ocean</v>
      </c>
      <c r="AN22" s="3" t="str">
        <f ca="1">'Map 3'!AN24</f>
        <v>Ocean</v>
      </c>
      <c r="AO22" s="3" t="str">
        <f ca="1">'Map 3'!AO24</f>
        <v>Ocean</v>
      </c>
      <c r="AP22" s="3">
        <f t="shared" si="1"/>
        <v>42.25</v>
      </c>
      <c r="AQ22" s="3">
        <f t="shared" si="2"/>
        <v>108.05</v>
      </c>
      <c r="AR22" s="3">
        <f t="shared" si="3"/>
        <v>315.40000000000009</v>
      </c>
      <c r="AS22" s="41">
        <v>36</v>
      </c>
      <c r="AT22" s="41" t="str" cm="1">
        <f t="array" ref="AT22">_xlfn.IFNA(_xlfn.IFS(AND((IF(MOD(SUM(AR21:$AR$28),$AR$9*(1/3))&lt;MOD(SUM(AR22:$AR$28),$AR$9*(1/3)),"Pressure Change",""))="Pressure Change",AT21="⤴"),"⤵",AND((IF(MOD(SUM(AR21:$AR$28),$AR$9*(1/3))&lt;MOD(SUM(AR22:$AR$28),$AR$9*(1/3)),"Pressure Change",""))="Pressure Change",AT21="⤵"),"⤴"),AT21)</f>
        <v>⤴</v>
      </c>
    </row>
    <row r="23" spans="1:46" ht="24">
      <c r="A23" s="3">
        <v>14</v>
      </c>
      <c r="B23" s="3" t="str">
        <f ca="1">'Map 3'!B25</f>
        <v>Ocean</v>
      </c>
      <c r="C23" s="3" t="str">
        <f ca="1">'Map 3'!C25</f>
        <v>Ocean</v>
      </c>
      <c r="D23" s="3" t="str">
        <f ca="1">'Map 3'!D25</f>
        <v>Ocean</v>
      </c>
      <c r="E23" s="3" t="str">
        <f ca="1">'Map 3'!E25</f>
        <v>Ocean</v>
      </c>
      <c r="F23" s="3" t="str">
        <f ca="1">'Map 3'!F25</f>
        <v>Ocean</v>
      </c>
      <c r="G23" s="3" t="str">
        <f ca="1">'Map 3'!G25</f>
        <v>Ocean</v>
      </c>
      <c r="H23" s="3" t="str">
        <f ca="1">'Map 3'!H25</f>
        <v>Ocean</v>
      </c>
      <c r="I23" s="3" t="str">
        <f ca="1">'Map 3'!I25</f>
        <v>Ocean</v>
      </c>
      <c r="J23" s="3" t="str">
        <f ca="1">'Map 3'!J25</f>
        <v>Ocean</v>
      </c>
      <c r="K23" s="3" t="str">
        <f ca="1">'Map 3'!K25</f>
        <v>Ocean</v>
      </c>
      <c r="L23" s="3" t="str">
        <f ca="1">'Map 3'!L25</f>
        <v>Ocean</v>
      </c>
      <c r="M23" s="3" t="str">
        <f ca="1">'Map 3'!M25</f>
        <v>Ocean</v>
      </c>
      <c r="N23" s="3" t="str">
        <f ca="1">'Map 3'!N25</f>
        <v>Ocean</v>
      </c>
      <c r="O23" s="3" t="str">
        <f ca="1">'Map 3'!O25</f>
        <v>Coast</v>
      </c>
      <c r="P23" s="3" t="str">
        <f ca="1">'Map 3'!P25</f>
        <v>Ocean</v>
      </c>
      <c r="Q23" s="3" t="str">
        <f ca="1">'Map 3'!Q25</f>
        <v>Ocean</v>
      </c>
      <c r="R23" s="3" t="str">
        <f ca="1">'Map 3'!R25</f>
        <v>Ocean</v>
      </c>
      <c r="S23" s="3" t="str">
        <f ca="1">'Map 3'!S25</f>
        <v>Ocean</v>
      </c>
      <c r="T23" s="3" t="str">
        <f ca="1">'Map 3'!T25</f>
        <v>Ocean</v>
      </c>
      <c r="U23" s="3" t="str">
        <f ca="1">'Map 3'!U25</f>
        <v>Coast</v>
      </c>
      <c r="V23" s="3" t="str">
        <f ca="1">'Map 3'!V25</f>
        <v>Flatland</v>
      </c>
      <c r="W23" s="3" t="str">
        <f ca="1">'Map 3'!W25</f>
        <v>Flatland</v>
      </c>
      <c r="X23" s="3" t="str">
        <f ca="1">'Map 3'!X25</f>
        <v>Coast</v>
      </c>
      <c r="Y23" s="3" t="str">
        <f ca="1">'Map 3'!Y25</f>
        <v>Coast</v>
      </c>
      <c r="Z23" s="3" t="str">
        <f ca="1">'Map 3'!Z25</f>
        <v>Coast</v>
      </c>
      <c r="AA23" s="3" t="str">
        <f ca="1">'Map 3'!AA25</f>
        <v>Ocean</v>
      </c>
      <c r="AB23" s="3" t="str">
        <f ca="1">'Map 3'!AB25</f>
        <v>Ocean</v>
      </c>
      <c r="AC23" s="3" t="str">
        <f ca="1">'Map 3'!AC25</f>
        <v>Ocean</v>
      </c>
      <c r="AD23" s="3" t="str">
        <f ca="1">'Map 3'!AD25</f>
        <v>Ocean</v>
      </c>
      <c r="AE23" s="3" t="str">
        <f ca="1">'Map 3'!AE25</f>
        <v>Ocean</v>
      </c>
      <c r="AF23" s="3" t="str">
        <f ca="1">'Map 3'!AF25</f>
        <v>Ocean</v>
      </c>
      <c r="AG23" s="3" t="str">
        <f ca="1">'Map 3'!AG25</f>
        <v>Ocean</v>
      </c>
      <c r="AH23" s="3" t="str">
        <f ca="1">'Map 3'!AH25</f>
        <v>Ocean</v>
      </c>
      <c r="AI23" s="3" t="str">
        <f ca="1">'Map 3'!AI25</f>
        <v>Ocean</v>
      </c>
      <c r="AJ23" s="3" t="str">
        <f ca="1">'Map 3'!AJ25</f>
        <v>Ocean</v>
      </c>
      <c r="AK23" s="3" t="str">
        <f ca="1">'Map 3'!AK25</f>
        <v>Ocean</v>
      </c>
      <c r="AL23" s="3" t="str">
        <f ca="1">'Map 3'!AL25</f>
        <v>Ocean</v>
      </c>
      <c r="AM23" s="3" t="str">
        <f ca="1">'Map 3'!AM25</f>
        <v>Ocean</v>
      </c>
      <c r="AN23" s="3" t="str">
        <f ca="1">'Map 3'!AN25</f>
        <v>Ocean</v>
      </c>
      <c r="AO23" s="3" t="str">
        <f ca="1">'Map 3'!AO25</f>
        <v>Trench</v>
      </c>
      <c r="AP23" s="3">
        <f t="shared" si="1"/>
        <v>49.2</v>
      </c>
      <c r="AQ23" s="3">
        <f t="shared" si="2"/>
        <v>120.56</v>
      </c>
      <c r="AR23" s="3">
        <f t="shared" si="3"/>
        <v>322.35000000000008</v>
      </c>
      <c r="AS23" s="41">
        <v>31.5</v>
      </c>
      <c r="AT23" s="41" t="str" cm="1">
        <f t="array" ref="AT23">_xlfn.IFNA(_xlfn.IFS(AND((IF(MOD(SUM(AR22:$AR$28),$AR$9*(1/3))&lt;MOD(SUM(AR23:$AR$28),$AR$9*(1/3)),"Pressure Change",""))="Pressure Change",AT22="⤴"),"⤵",AND((IF(MOD(SUM(AR22:$AR$28),$AR$9*(1/3))&lt;MOD(SUM(AR23:$AR$28),$AR$9*(1/3)),"Pressure Change",""))="Pressure Change",AT22="⤵"),"⤴"),AT22)</f>
        <v>⤴</v>
      </c>
    </row>
    <row r="24" spans="1:46" ht="24">
      <c r="A24" s="3">
        <v>15</v>
      </c>
      <c r="B24" s="3" t="str">
        <f ca="1">'Map 3'!B26</f>
        <v>Ocean</v>
      </c>
      <c r="C24" s="3" t="str">
        <f ca="1">'Map 3'!C26</f>
        <v>Ocean</v>
      </c>
      <c r="D24" s="3" t="str">
        <f ca="1">'Map 3'!D26</f>
        <v>Ocean</v>
      </c>
      <c r="E24" s="3" t="str">
        <f ca="1">'Map 3'!E26</f>
        <v>Ocean</v>
      </c>
      <c r="F24" s="3" t="str">
        <f ca="1">'Map 3'!F26</f>
        <v>Island</v>
      </c>
      <c r="G24" s="3" t="str">
        <f ca="1">'Map 3'!G26</f>
        <v>Island</v>
      </c>
      <c r="H24" s="3" t="str">
        <f ca="1">'Map 3'!H26</f>
        <v>Trench</v>
      </c>
      <c r="I24" s="3" t="str">
        <f ca="1">'Map 3'!I26</f>
        <v>Island</v>
      </c>
      <c r="J24" s="3" t="str">
        <f ca="1">'Map 3'!J26</f>
        <v>Ocean</v>
      </c>
      <c r="K24" s="3" t="str">
        <f ca="1">'Map 3'!K26</f>
        <v>Ocean</v>
      </c>
      <c r="L24" s="3" t="str">
        <f ca="1">'Map 3'!L26</f>
        <v>Ocean</v>
      </c>
      <c r="M24" s="3" t="str">
        <f ca="1">'Map 3'!M26</f>
        <v>Ocean</v>
      </c>
      <c r="N24" s="3" t="str">
        <f ca="1">'Map 3'!N26</f>
        <v>Ocean</v>
      </c>
      <c r="O24" s="3" t="str">
        <f ca="1">'Map 3'!O26</f>
        <v>Ocean</v>
      </c>
      <c r="P24" s="3" t="str">
        <f ca="1">'Map 3'!P26</f>
        <v>Ocean</v>
      </c>
      <c r="Q24" s="3" t="str">
        <f ca="1">'Map 3'!Q26</f>
        <v>Ocean</v>
      </c>
      <c r="R24" s="3" t="str">
        <f ca="1">'Map 3'!R26</f>
        <v>Trench</v>
      </c>
      <c r="S24" s="3" t="str">
        <f ca="1">'Map 3'!S26</f>
        <v>Ocean</v>
      </c>
      <c r="T24" s="3" t="str">
        <f ca="1">'Map 3'!T26</f>
        <v>Ocean</v>
      </c>
      <c r="U24" s="3" t="str">
        <f ca="1">'Map 3'!U26</f>
        <v>Flatland</v>
      </c>
      <c r="V24" s="3" t="str">
        <f ca="1">'Map 3'!V26</f>
        <v>Coast</v>
      </c>
      <c r="W24" s="3" t="str">
        <f ca="1">'Map 3'!W26</f>
        <v>Coast</v>
      </c>
      <c r="X24" s="3" t="str">
        <f ca="1">'Map 3'!X26</f>
        <v>Flatland</v>
      </c>
      <c r="Y24" s="3" t="str">
        <f ca="1">'Map 3'!Y26</f>
        <v>Coast</v>
      </c>
      <c r="Z24" s="3" t="str">
        <f ca="1">'Map 3'!Z26</f>
        <v>Coast</v>
      </c>
      <c r="AA24" s="3" t="str">
        <f ca="1">'Map 3'!AA26</f>
        <v>Island</v>
      </c>
      <c r="AB24" s="3" t="str">
        <f ca="1">'Map 3'!AB26</f>
        <v>Trench</v>
      </c>
      <c r="AC24" s="3" t="str">
        <f ca="1">'Map 3'!AC26</f>
        <v>Ocean</v>
      </c>
      <c r="AD24" s="3" t="str">
        <f ca="1">'Map 3'!AD26</f>
        <v>Trench</v>
      </c>
      <c r="AE24" s="3" t="str">
        <f ca="1">'Map 3'!AE26</f>
        <v>Trench</v>
      </c>
      <c r="AF24" s="3" t="str">
        <f ca="1">'Map 3'!AF26</f>
        <v>Ocean</v>
      </c>
      <c r="AG24" s="3" t="str">
        <f ca="1">'Map 3'!AG26</f>
        <v>Ocean</v>
      </c>
      <c r="AH24" s="3" t="str">
        <f ca="1">'Map 3'!AH26</f>
        <v>Trench</v>
      </c>
      <c r="AI24" s="3" t="str">
        <f ca="1">'Map 3'!AI26</f>
        <v>Ocean</v>
      </c>
      <c r="AJ24" s="3" t="str">
        <f ca="1">'Map 3'!AJ26</f>
        <v>Ocean</v>
      </c>
      <c r="AK24" s="3" t="str">
        <f ca="1">'Map 3'!AK26</f>
        <v>Ocean</v>
      </c>
      <c r="AL24" s="3" t="str">
        <f ca="1">'Map 3'!AL26</f>
        <v>Ocean</v>
      </c>
      <c r="AM24" s="3" t="str">
        <f ca="1">'Map 3'!AM26</f>
        <v>Ocean</v>
      </c>
      <c r="AN24" s="3" t="str">
        <f ca="1">'Map 3'!AN26</f>
        <v>Ocean</v>
      </c>
      <c r="AO24" s="3" t="str">
        <f ca="1">'Map 3'!AO26</f>
        <v>Island</v>
      </c>
      <c r="AP24" s="3">
        <f t="shared" si="1"/>
        <v>56.15</v>
      </c>
      <c r="AQ24" s="3">
        <f t="shared" si="2"/>
        <v>133.07</v>
      </c>
      <c r="AR24" s="3">
        <f t="shared" si="3"/>
        <v>329.30000000000007</v>
      </c>
      <c r="AS24" s="41">
        <v>27</v>
      </c>
      <c r="AT24" s="41" t="str" cm="1">
        <f t="array" ref="AT24">_xlfn.IFNA(_xlfn.IFS(AND((IF(MOD(SUM(AR23:$AR$28),$AR$9*(1/3))&lt;MOD(SUM(AR24:$AR$28),$AR$9*(1/3)),"Pressure Change",""))="Pressure Change",AT23="⤴"),"⤵",AND((IF(MOD(SUM(AR23:$AR$28),$AR$9*(1/3))&lt;MOD(SUM(AR24:$AR$28),$AR$9*(1/3)),"Pressure Change",""))="Pressure Change",AT23="⤵"),"⤴"),AT23)</f>
        <v>⤵</v>
      </c>
    </row>
    <row r="25" spans="1:46" ht="24">
      <c r="A25" s="3">
        <v>16</v>
      </c>
      <c r="B25" s="3" t="str">
        <f ca="1">'Map 3'!B27</f>
        <v>Ocean</v>
      </c>
      <c r="C25" s="3" t="str">
        <f ca="1">'Map 3'!C27</f>
        <v>Ocean</v>
      </c>
      <c r="D25" s="3" t="str">
        <f ca="1">'Map 3'!D27</f>
        <v>Ocean</v>
      </c>
      <c r="E25" s="3" t="str">
        <f ca="1">'Map 3'!E27</f>
        <v>Ocean</v>
      </c>
      <c r="F25" s="3" t="str">
        <f ca="1">'Map 3'!F27</f>
        <v>Ocean</v>
      </c>
      <c r="G25" s="3" t="str">
        <f ca="1">'Map 3'!G27</f>
        <v>Coast</v>
      </c>
      <c r="H25" s="3" t="str">
        <f ca="1">'Map 3'!H27</f>
        <v>Valley</v>
      </c>
      <c r="I25" s="3" t="str">
        <f ca="1">'Map 3'!I27</f>
        <v>Cliff</v>
      </c>
      <c r="J25" s="3" t="str">
        <f ca="1">'Map 3'!J27</f>
        <v>Island</v>
      </c>
      <c r="K25" s="3" t="str">
        <f ca="1">'Map 3'!K27</f>
        <v>Island</v>
      </c>
      <c r="L25" s="3" t="str">
        <f ca="1">'Map 3'!L27</f>
        <v>Ocean</v>
      </c>
      <c r="M25" s="3" t="str">
        <f ca="1">'Map 3'!M27</f>
        <v>Ocean</v>
      </c>
      <c r="N25" s="3" t="str">
        <f ca="1">'Map 3'!N27</f>
        <v>Ocean</v>
      </c>
      <c r="O25" s="3" t="str">
        <f ca="1">'Map 3'!O27</f>
        <v>Ocean</v>
      </c>
      <c r="P25" s="3" t="str">
        <f ca="1">'Map 3'!P27</f>
        <v>Ocean</v>
      </c>
      <c r="Q25" s="3" t="str">
        <f ca="1">'Map 3'!Q27</f>
        <v>Trench</v>
      </c>
      <c r="R25" s="3" t="str">
        <f ca="1">'Map 3'!R27</f>
        <v>Ocean</v>
      </c>
      <c r="S25" s="3" t="str">
        <f ca="1">'Map 3'!S27</f>
        <v>Ocean</v>
      </c>
      <c r="T25" s="3" t="str">
        <f ca="1">'Map 3'!T27</f>
        <v>Ocean</v>
      </c>
      <c r="U25" s="3" t="str">
        <f ca="1">'Map 3'!U27</f>
        <v>Flatland</v>
      </c>
      <c r="V25" s="3" t="str">
        <f ca="1">'Map 3'!V27</f>
        <v>Ocean</v>
      </c>
      <c r="W25" s="3" t="str">
        <f ca="1">'Map 3'!W27</f>
        <v>Coast</v>
      </c>
      <c r="X25" s="3" t="str">
        <f ca="1">'Map 3'!X27</f>
        <v>Coast</v>
      </c>
      <c r="Y25" s="3" t="str">
        <f ca="1">'Map 3'!Y27</f>
        <v>Coast</v>
      </c>
      <c r="Z25" s="3" t="str">
        <f ca="1">'Map 3'!Z27</f>
        <v>Ocean</v>
      </c>
      <c r="AA25" s="3" t="str">
        <f ca="1">'Map 3'!AA27</f>
        <v>Ocean</v>
      </c>
      <c r="AB25" s="3" t="str">
        <f ca="1">'Map 3'!AB27</f>
        <v>Ocean</v>
      </c>
      <c r="AC25" s="3" t="str">
        <f ca="1">'Map 3'!AC27</f>
        <v>Trench</v>
      </c>
      <c r="AD25" s="3" t="str">
        <f ca="1">'Map 3'!AD27</f>
        <v>Ocean</v>
      </c>
      <c r="AE25" s="3" t="str">
        <f ca="1">'Map 3'!AE27</f>
        <v>Trench</v>
      </c>
      <c r="AF25" s="3" t="str">
        <f ca="1">'Map 3'!AF27</f>
        <v>Ocean</v>
      </c>
      <c r="AG25" s="3" t="str">
        <f ca="1">'Map 3'!AG27</f>
        <v>Ocean</v>
      </c>
      <c r="AH25" s="3" t="str">
        <f ca="1">'Map 3'!AH27</f>
        <v>Ocean</v>
      </c>
      <c r="AI25" s="3" t="str">
        <f ca="1">'Map 3'!AI27</f>
        <v>Ocean</v>
      </c>
      <c r="AJ25" s="3" t="str">
        <f ca="1">'Map 3'!AJ27</f>
        <v>Trench</v>
      </c>
      <c r="AK25" s="3" t="str">
        <f ca="1">'Map 3'!AK27</f>
        <v>Ocean</v>
      </c>
      <c r="AL25" s="3" t="str">
        <f ca="1">'Map 3'!AL27</f>
        <v>Ocean</v>
      </c>
      <c r="AM25" s="3" t="str">
        <f ca="1">'Map 3'!AM27</f>
        <v>Ocean</v>
      </c>
      <c r="AN25" s="3" t="str">
        <f ca="1">'Map 3'!AN27</f>
        <v>Ocean</v>
      </c>
      <c r="AO25" s="3" t="str">
        <f ca="1">'Map 3'!AO27</f>
        <v>Drop Off</v>
      </c>
      <c r="AP25" s="3">
        <f t="shared" si="1"/>
        <v>63.1</v>
      </c>
      <c r="AQ25" s="3">
        <f t="shared" si="2"/>
        <v>145.58000000000001</v>
      </c>
      <c r="AR25" s="3">
        <f t="shared" si="3"/>
        <v>336.25000000000006</v>
      </c>
      <c r="AS25" s="41">
        <v>22.5</v>
      </c>
      <c r="AT25" s="41" t="str" cm="1">
        <f t="array" ref="AT25">_xlfn.IFNA(_xlfn.IFS(AND((IF(MOD(SUM(AR24:$AR$28),$AR$9*(1/3))&lt;MOD(SUM(AR25:$AR$28),$AR$9*(1/3)),"Pressure Change",""))="Pressure Change",AT24="⤴"),"⤵",AND((IF(MOD(SUM(AR24:$AR$28),$AR$9*(1/3))&lt;MOD(SUM(AR25:$AR$28),$AR$9*(1/3)),"Pressure Change",""))="Pressure Change",AT24="⤵"),"⤴"),AT24)</f>
        <v>⤵</v>
      </c>
    </row>
    <row r="26" spans="1:46" ht="24">
      <c r="A26" s="3">
        <v>17</v>
      </c>
      <c r="B26" s="3" t="str">
        <f ca="1">'Map 3'!B28</f>
        <v>Ocean</v>
      </c>
      <c r="C26" s="3" t="str">
        <f ca="1">'Map 3'!C28</f>
        <v>Ocean</v>
      </c>
      <c r="D26" s="3" t="str">
        <f ca="1">'Map 3'!D28</f>
        <v>Coast</v>
      </c>
      <c r="E26" s="3" t="str">
        <f ca="1">'Map 3'!E28</f>
        <v>Coast</v>
      </c>
      <c r="F26" s="3" t="str">
        <f ca="1">'Map 3'!F28</f>
        <v>Ocean</v>
      </c>
      <c r="G26" s="3" t="str">
        <f ca="1">'Map 3'!G28</f>
        <v>Mountain</v>
      </c>
      <c r="H26" s="3" t="str">
        <f ca="1">'Map 3'!H28</f>
        <v>Flatland</v>
      </c>
      <c r="I26" s="3" t="str">
        <f ca="1">'Map 3'!I28</f>
        <v>Island</v>
      </c>
      <c r="J26" s="3" t="str">
        <f ca="1">'Map 3'!J28</f>
        <v>Ocean</v>
      </c>
      <c r="K26" s="3" t="str">
        <f ca="1">'Map 3'!K28</f>
        <v>Island</v>
      </c>
      <c r="L26" s="3" t="str">
        <f ca="1">'Map 3'!L28</f>
        <v>Island</v>
      </c>
      <c r="M26" s="3" t="str">
        <f ca="1">'Map 3'!M28</f>
        <v>Ocean</v>
      </c>
      <c r="N26" s="3" t="str">
        <f ca="1">'Map 3'!N28</f>
        <v>Ocean</v>
      </c>
      <c r="O26" s="3" t="str">
        <f ca="1">'Map 3'!O28</f>
        <v>Ocean</v>
      </c>
      <c r="P26" s="3" t="str">
        <f ca="1">'Map 3'!P28</f>
        <v>Trench</v>
      </c>
      <c r="Q26" s="3" t="str">
        <f ca="1">'Map 3'!Q28</f>
        <v>Coast</v>
      </c>
      <c r="R26" s="3" t="str">
        <f ca="1">'Map 3'!R28</f>
        <v>Coast</v>
      </c>
      <c r="S26" s="3" t="str">
        <f ca="1">'Map 3'!S28</f>
        <v>Coast</v>
      </c>
      <c r="T26" s="3" t="str">
        <f ca="1">'Map 3'!T28</f>
        <v>Flatland</v>
      </c>
      <c r="U26" s="3" t="str">
        <f ca="1">'Map 3'!U28</f>
        <v>Flatland</v>
      </c>
      <c r="V26" s="3" t="str">
        <f ca="1">'Map 3'!V28</f>
        <v>Flatland</v>
      </c>
      <c r="W26" s="3" t="str">
        <f ca="1">'Map 3'!W28</f>
        <v>Coast</v>
      </c>
      <c r="X26" s="3" t="str">
        <f ca="1">'Map 3'!X28</f>
        <v>Flatland</v>
      </c>
      <c r="Y26" s="3" t="str">
        <f ca="1">'Map 3'!Y28</f>
        <v>Ocean</v>
      </c>
      <c r="Z26" s="3" t="str">
        <f ca="1">'Map 3'!Z28</f>
        <v>Trench</v>
      </c>
      <c r="AA26" s="3" t="str">
        <f ca="1">'Map 3'!AA28</f>
        <v>Island</v>
      </c>
      <c r="AB26" s="3" t="str">
        <f ca="1">'Map 3'!AB28</f>
        <v>Ocean</v>
      </c>
      <c r="AC26" s="3" t="str">
        <f ca="1">'Map 3'!AC28</f>
        <v>Ocean</v>
      </c>
      <c r="AD26" s="3" t="str">
        <f ca="1">'Map 3'!AD28</f>
        <v>Ocean</v>
      </c>
      <c r="AE26" s="3" t="str">
        <f ca="1">'Map 3'!AE28</f>
        <v>Island</v>
      </c>
      <c r="AF26" s="3" t="str">
        <f ca="1">'Map 3'!AF28</f>
        <v>Ocean</v>
      </c>
      <c r="AG26" s="3" t="str">
        <f ca="1">'Map 3'!AG28</f>
        <v>Trench</v>
      </c>
      <c r="AH26" s="3" t="str">
        <f ca="1">'Map 3'!AH28</f>
        <v>Trench</v>
      </c>
      <c r="AI26" s="3" t="str">
        <f ca="1">'Map 3'!AI28</f>
        <v>Ocean</v>
      </c>
      <c r="AJ26" s="3" t="str">
        <f ca="1">'Map 3'!AJ28</f>
        <v>Ocean</v>
      </c>
      <c r="AK26" s="3" t="str">
        <f ca="1">'Map 3'!AK28</f>
        <v>Island</v>
      </c>
      <c r="AL26" s="3" t="str">
        <f ca="1">'Map 3'!AL28</f>
        <v>Ocean</v>
      </c>
      <c r="AM26" s="3" t="str">
        <f ca="1">'Map 3'!AM28</f>
        <v>Ocean</v>
      </c>
      <c r="AN26" s="3" t="str">
        <f ca="1">'Map 3'!AN28</f>
        <v>Ocean</v>
      </c>
      <c r="AO26" s="3" t="str">
        <f ca="1">'Map 3'!AO28</f>
        <v>Flatland</v>
      </c>
      <c r="AP26" s="3">
        <f t="shared" si="1"/>
        <v>70.05</v>
      </c>
      <c r="AQ26" s="3">
        <f t="shared" si="2"/>
        <v>158.09</v>
      </c>
      <c r="AR26" s="3">
        <f t="shared" si="3"/>
        <v>343.20000000000005</v>
      </c>
      <c r="AS26" s="41">
        <v>18</v>
      </c>
      <c r="AT26" s="41" t="str" cm="1">
        <f t="array" ref="AT26">_xlfn.IFNA(_xlfn.IFS(AND((IF(MOD(SUM(AR25:$AR$28),$AR$9*(1/3))&lt;MOD(SUM(AR26:$AR$28),$AR$9*(1/3)),"Pressure Change",""))="Pressure Change",AT25="⤴"),"⤵",AND((IF(MOD(SUM(AR25:$AR$28),$AR$9*(1/3))&lt;MOD(SUM(AR26:$AR$28),$AR$9*(1/3)),"Pressure Change",""))="Pressure Change",AT25="⤵"),"⤴"),AT25)</f>
        <v>⤵</v>
      </c>
    </row>
    <row r="27" spans="1:46" ht="35.25">
      <c r="A27" s="3">
        <v>18</v>
      </c>
      <c r="B27" s="3" t="str">
        <f ca="1">'Map 3'!B29</f>
        <v>Ocean</v>
      </c>
      <c r="C27" s="3" t="str">
        <f ca="1">'Map 3'!C29</f>
        <v>Coast</v>
      </c>
      <c r="D27" s="3" t="str">
        <f ca="1">'Map 3'!D29</f>
        <v>Flatland</v>
      </c>
      <c r="E27" s="3" t="str">
        <f ca="1">'Map 3'!E29</f>
        <v>Coast</v>
      </c>
      <c r="F27" s="3" t="str">
        <f ca="1">'Map 3'!F29</f>
        <v>Flatland</v>
      </c>
      <c r="G27" s="3" t="str">
        <f ca="1">'Map 3'!G29</f>
        <v>Flatland</v>
      </c>
      <c r="H27" s="3" t="str">
        <f ca="1">'Map 3'!H29</f>
        <v>Flatland</v>
      </c>
      <c r="I27" s="3" t="str">
        <f ca="1">'Map 3'!I29</f>
        <v>Coast</v>
      </c>
      <c r="J27" s="3" t="str">
        <f ca="1">'Map 3'!J29</f>
        <v>Coast</v>
      </c>
      <c r="K27" s="3" t="str">
        <f ca="1">'Map 3'!K29</f>
        <v>Ocean</v>
      </c>
      <c r="L27" s="3" t="str">
        <f ca="1">'Map 3'!L29</f>
        <v>Ocean</v>
      </c>
      <c r="M27" s="3" t="str">
        <f ca="1">'Map 3'!M29</f>
        <v>Ocean</v>
      </c>
      <c r="N27" s="3" t="str">
        <f ca="1">'Map 3'!N29</f>
        <v>Ocean</v>
      </c>
      <c r="O27" s="3" t="str">
        <f ca="1">'Map 3'!O29</f>
        <v>Ocean</v>
      </c>
      <c r="P27" s="3" t="str">
        <f ca="1">'Map 3'!P29</f>
        <v>Ocean</v>
      </c>
      <c r="Q27" s="3" t="str">
        <f ca="1">'Map 3'!Q29</f>
        <v>Coast</v>
      </c>
      <c r="R27" s="3" t="str">
        <f ca="1">'Map 3'!R29</f>
        <v>Ocean</v>
      </c>
      <c r="S27" s="3" t="str">
        <f ca="1">'Map 3'!S29</f>
        <v>Flatland</v>
      </c>
      <c r="T27" s="3" t="str">
        <f ca="1">'Map 3'!T29</f>
        <v>Flatland</v>
      </c>
      <c r="U27" s="3" t="str">
        <f ca="1">'Map 3'!U29</f>
        <v>Flatland</v>
      </c>
      <c r="V27" s="3" t="str">
        <f ca="1">'Map 3'!V29</f>
        <v>Flatland</v>
      </c>
      <c r="W27" s="3" t="str">
        <f ca="1">'Map 3'!W29</f>
        <v>Ocean</v>
      </c>
      <c r="X27" s="3" t="str">
        <f ca="1">'Map 3'!X29</f>
        <v>Coast</v>
      </c>
      <c r="Y27" s="3" t="str">
        <f ca="1">'Map 3'!Y29</f>
        <v>Ocean</v>
      </c>
      <c r="Z27" s="3" t="str">
        <f ca="1">'Map 3'!Z29</f>
        <v>Island</v>
      </c>
      <c r="AA27" s="3" t="str">
        <f ca="1">'Map 3'!AA29</f>
        <v>Ocean</v>
      </c>
      <c r="AB27" s="3" t="str">
        <f ca="1">'Map 3'!AB29</f>
        <v>Ocean</v>
      </c>
      <c r="AC27" s="3" t="str">
        <f ca="1">'Map 3'!AC29</f>
        <v>Ocean</v>
      </c>
      <c r="AD27" s="3" t="str">
        <f ca="1">'Map 3'!AD29</f>
        <v>Ocean</v>
      </c>
      <c r="AE27" s="3" t="str">
        <f ca="1">'Map 3'!AE29</f>
        <v>Ocean</v>
      </c>
      <c r="AF27" s="3" t="str">
        <f ca="1">'Map 3'!AF29</f>
        <v>Ocean</v>
      </c>
      <c r="AG27" s="3" t="str">
        <f ca="1">'Map 3'!AG29</f>
        <v>Ocean</v>
      </c>
      <c r="AH27" s="3" t="str">
        <f ca="1">'Map 3'!AH29</f>
        <v>Ocean</v>
      </c>
      <c r="AI27" s="3" t="str">
        <f ca="1">'Map 3'!AI29</f>
        <v>Ocean</v>
      </c>
      <c r="AJ27" s="3" t="str">
        <f ca="1">'Map 3'!AJ29</f>
        <v>Ocean</v>
      </c>
      <c r="AK27" s="3" t="str">
        <f ca="1">'Map 3'!AK29</f>
        <v>Ocean</v>
      </c>
      <c r="AL27" s="3" t="str">
        <f ca="1">'Map 3'!AL29</f>
        <v>Ocean</v>
      </c>
      <c r="AM27" s="3" t="str">
        <f ca="1">'Map 3'!AM29</f>
        <v>Ocean</v>
      </c>
      <c r="AN27" s="3" t="str">
        <f ca="1">'Map 3'!AN29</f>
        <v>Ocean</v>
      </c>
      <c r="AO27" s="3" t="str">
        <f ca="1">'Map 3'!AO29</f>
        <v>Flatland</v>
      </c>
      <c r="AP27" s="3">
        <f t="shared" si="1"/>
        <v>77</v>
      </c>
      <c r="AQ27" s="3">
        <f t="shared" si="2"/>
        <v>170.6</v>
      </c>
      <c r="AR27" s="3">
        <f t="shared" si="3"/>
        <v>350.15000000000003</v>
      </c>
      <c r="AS27" s="41">
        <v>13.5</v>
      </c>
      <c r="AT27" s="41" t="str" cm="1">
        <f t="array" ref="AT27">_xlfn.IFNA(_xlfn.IFS(AND((IF(MOD(SUM(AR26:$AR$28),$AR$9*(1/3))&lt;MOD(SUM(AR27:$AR$28),$AR$9*(1/3)),"Pressure Change",""))="Pressure Change",AT26="⤴"),"⤵",AND((IF(MOD(SUM(AR26:$AR$28),$AR$9*(1/3))&lt;MOD(SUM(AR27:$AR$28),$AR$9*(1/3)),"Pressure Change",""))="Pressure Change",AT26="⤵"),"⤴"),AT26)</f>
        <v>⤵</v>
      </c>
    </row>
    <row r="28" spans="1:46" ht="24">
      <c r="A28" s="3">
        <v>19</v>
      </c>
      <c r="B28" s="3" t="str">
        <f ca="1">'Map 3'!B30</f>
        <v>Valley</v>
      </c>
      <c r="C28" s="3" t="str">
        <f ca="1">'Map 3'!C30</f>
        <v>Flatland</v>
      </c>
      <c r="D28" s="3" t="str">
        <f ca="1">'Map 3'!D30</f>
        <v>Flatland</v>
      </c>
      <c r="E28" s="3" t="str">
        <f ca="1">'Map 3'!E30</f>
        <v>Flatland</v>
      </c>
      <c r="F28" s="3" t="str">
        <f ca="1">'Map 3'!F30</f>
        <v>Flatland</v>
      </c>
      <c r="G28" s="3" t="str">
        <f ca="1">'Map 3'!G30</f>
        <v>Flatland</v>
      </c>
      <c r="H28" s="3" t="str">
        <f ca="1">'Map 3'!H30</f>
        <v>Flatland</v>
      </c>
      <c r="I28" s="3" t="str">
        <f ca="1">'Map 3'!I30</f>
        <v>Flatland</v>
      </c>
      <c r="J28" s="3" t="str">
        <f ca="1">'Map 3'!J30</f>
        <v>Ocean</v>
      </c>
      <c r="K28" s="3" t="str">
        <f ca="1">'Map 3'!K30</f>
        <v>Ocean</v>
      </c>
      <c r="L28" s="3" t="str">
        <f ca="1">'Map 3'!L30</f>
        <v>Island</v>
      </c>
      <c r="M28" s="3" t="str">
        <f ca="1">'Map 3'!M30</f>
        <v>Island</v>
      </c>
      <c r="N28" s="3" t="str">
        <f ca="1">'Map 3'!N30</f>
        <v>Ocean</v>
      </c>
      <c r="O28" s="3" t="str">
        <f ca="1">'Map 3'!O30</f>
        <v>Ocean</v>
      </c>
      <c r="P28" s="3" t="str">
        <f ca="1">'Map 3'!P30</f>
        <v>Ocean</v>
      </c>
      <c r="Q28" s="3" t="str">
        <f ca="1">'Map 3'!Q30</f>
        <v>Ocean</v>
      </c>
      <c r="R28" s="3" t="str">
        <f ca="1">'Map 3'!R30</f>
        <v>Ocean</v>
      </c>
      <c r="S28" s="3" t="str">
        <f ca="1">'Map 3'!S30</f>
        <v>Flatland</v>
      </c>
      <c r="T28" s="3" t="str">
        <f ca="1">'Map 3'!T30</f>
        <v>Flatland</v>
      </c>
      <c r="U28" s="3" t="str">
        <f ca="1">'Map 3'!U30</f>
        <v>Coast</v>
      </c>
      <c r="V28" s="3" t="str">
        <f ca="1">'Map 3'!V30</f>
        <v>Coast</v>
      </c>
      <c r="W28" s="3" t="str">
        <f ca="1">'Map 3'!W30</f>
        <v>Ocean</v>
      </c>
      <c r="X28" s="3" t="str">
        <f ca="1">'Map 3'!X30</f>
        <v>Ocean</v>
      </c>
      <c r="Y28" s="3" t="str">
        <f ca="1">'Map 3'!Y30</f>
        <v>Ocean</v>
      </c>
      <c r="Z28" s="3" t="str">
        <f ca="1">'Map 3'!Z30</f>
        <v>Trench</v>
      </c>
      <c r="AA28" s="3" t="str">
        <f ca="1">'Map 3'!AA30</f>
        <v>Island</v>
      </c>
      <c r="AB28" s="3" t="str">
        <f ca="1">'Map 3'!AB30</f>
        <v>Ocean</v>
      </c>
      <c r="AC28" s="3" t="str">
        <f ca="1">'Map 3'!AC30</f>
        <v>Ocean</v>
      </c>
      <c r="AD28" s="3" t="str">
        <f ca="1">'Map 3'!AD30</f>
        <v>Ocean</v>
      </c>
      <c r="AE28" s="3" t="str">
        <f ca="1">'Map 3'!AE30</f>
        <v>Ocean</v>
      </c>
      <c r="AF28" s="3" t="str">
        <f ca="1">'Map 3'!AF30</f>
        <v>Ocean</v>
      </c>
      <c r="AG28" s="3" t="str">
        <f ca="1">'Map 3'!AG30</f>
        <v>Ocean</v>
      </c>
      <c r="AH28" s="3" t="str">
        <f ca="1">'Map 3'!AH30</f>
        <v>Ocean</v>
      </c>
      <c r="AI28" s="3" t="str">
        <f ca="1">'Map 3'!AI30</f>
        <v>Ocean</v>
      </c>
      <c r="AJ28" s="3" t="str">
        <f ca="1">'Map 3'!AJ30</f>
        <v>Island</v>
      </c>
      <c r="AK28" s="3" t="str">
        <f ca="1">'Map 3'!AK30</f>
        <v>Ocean</v>
      </c>
      <c r="AL28" s="3" t="str">
        <f ca="1">'Map 3'!AL30</f>
        <v>Ocean</v>
      </c>
      <c r="AM28" s="3" t="str">
        <f ca="1">'Map 3'!AM30</f>
        <v>Ocean</v>
      </c>
      <c r="AN28" s="3" t="str">
        <f ca="1">'Map 3'!AN30</f>
        <v>Ocean</v>
      </c>
      <c r="AO28" s="3" t="str">
        <f ca="1">'Map 3'!AO30</f>
        <v>Mountain</v>
      </c>
      <c r="AP28" s="3">
        <f t="shared" si="1"/>
        <v>83.95</v>
      </c>
      <c r="AQ28" s="3">
        <f t="shared" si="2"/>
        <v>183.11</v>
      </c>
      <c r="AR28" s="3">
        <f>AR29-$E$3</f>
        <v>357.1</v>
      </c>
      <c r="AS28" s="41">
        <v>9</v>
      </c>
      <c r="AT28" s="41" t="str" cm="1">
        <f t="array" ref="AT28">_xlfn.IFNA(_xlfn.IFS(AND((IF(MOD(SUM(AR27:$AR$28),$AR$9*(1/3))&lt;MOD(SUM(AR28:$AR$28),$AR$9*(1/3)),"Pressure Change",""))="Pressure Change",AT27="⤴"),"⤵",AND((IF(MOD(SUM(AR27:$AR$28),$AR$9*(1/3))&lt;MOD(SUM(AR28:$AR$28),$AR$9*(1/3)),"Pressure Change",""))="Pressure Change",AT27="⤵"),"⤴"),AT27)</f>
        <v>⤵</v>
      </c>
    </row>
    <row r="29" spans="1:46" ht="24">
      <c r="A29" s="3">
        <v>20</v>
      </c>
      <c r="B29" s="3" t="str">
        <f ca="1">'Map 3'!B31</f>
        <v>Ocean</v>
      </c>
      <c r="C29" s="3" t="str">
        <f ca="1">'Map 3'!C31</f>
        <v>Drop Off</v>
      </c>
      <c r="D29" s="3" t="str">
        <f ca="1">'Map 3'!D31</f>
        <v>Valley</v>
      </c>
      <c r="E29" s="3" t="str">
        <f ca="1">'Map 3'!E31</f>
        <v>Flatland</v>
      </c>
      <c r="F29" s="3" t="str">
        <f ca="1">'Map 3'!F31</f>
        <v>Valley</v>
      </c>
      <c r="G29" s="3" t="str">
        <f ca="1">'Map 3'!G31</f>
        <v>Valley</v>
      </c>
      <c r="H29" s="3" t="str">
        <f ca="1">'Map 3'!H31</f>
        <v>Valley</v>
      </c>
      <c r="I29" s="3" t="str">
        <f ca="1">'Map 3'!I31</f>
        <v>Coast</v>
      </c>
      <c r="J29" s="3" t="str">
        <f ca="1">'Map 3'!J31</f>
        <v>Coast</v>
      </c>
      <c r="K29" s="3" t="str">
        <f ca="1">'Map 3'!K31</f>
        <v>Drop Off</v>
      </c>
      <c r="L29" s="3" t="str">
        <f ca="1">'Map 3'!L31</f>
        <v>Trench</v>
      </c>
      <c r="M29" s="3" t="str">
        <f ca="1">'Map 3'!M31</f>
        <v>Ocean</v>
      </c>
      <c r="N29" s="3" t="str">
        <f ca="1">'Map 3'!N31</f>
        <v>Ocean</v>
      </c>
      <c r="O29" s="3" t="str">
        <f ca="1">'Map 3'!O31</f>
        <v>Ocean</v>
      </c>
      <c r="P29" s="3" t="str">
        <f ca="1">'Map 3'!P31</f>
        <v>Ocean</v>
      </c>
      <c r="Q29" s="3" t="str">
        <f ca="1">'Map 3'!Q31</f>
        <v>Ocean</v>
      </c>
      <c r="R29" s="3" t="str">
        <f ca="1">'Map 3'!R31</f>
        <v>Ocean</v>
      </c>
      <c r="S29" s="3" t="str">
        <f ca="1">'Map 3'!S31</f>
        <v>Flatland</v>
      </c>
      <c r="T29" s="3" t="str">
        <f ca="1">'Map 3'!T31</f>
        <v>Coast</v>
      </c>
      <c r="U29" s="3" t="str">
        <f ca="1">'Map 3'!U31</f>
        <v>Ocean</v>
      </c>
      <c r="V29" s="3" t="str">
        <f ca="1">'Map 3'!V31</f>
        <v>Flatland</v>
      </c>
      <c r="W29" s="3" t="str">
        <f ca="1">'Map 3'!W31</f>
        <v>Ocean</v>
      </c>
      <c r="X29" s="3" t="str">
        <f ca="1">'Map 3'!X31</f>
        <v>Ocean</v>
      </c>
      <c r="Y29" s="3" t="str">
        <f ca="1">'Map 3'!Y31</f>
        <v>Ocean</v>
      </c>
      <c r="Z29" s="3" t="str">
        <f ca="1">'Map 3'!Z31</f>
        <v>Ocean</v>
      </c>
      <c r="AA29" s="3" t="str">
        <f ca="1">'Map 3'!AA31</f>
        <v>Ocean</v>
      </c>
      <c r="AB29" s="3" t="str">
        <f ca="1">'Map 3'!AB31</f>
        <v>Ocean</v>
      </c>
      <c r="AC29" s="3" t="str">
        <f ca="1">'Map 3'!AC31</f>
        <v>Ocean</v>
      </c>
      <c r="AD29" s="3" t="str">
        <f ca="1">'Map 3'!AD31</f>
        <v>Ocean</v>
      </c>
      <c r="AE29" s="3" t="str">
        <f ca="1">'Map 3'!AE31</f>
        <v>Trench</v>
      </c>
      <c r="AF29" s="3" t="str">
        <f ca="1">'Map 3'!AF31</f>
        <v>Island</v>
      </c>
      <c r="AG29" s="3" t="str">
        <f ca="1">'Map 3'!AG31</f>
        <v>Ocean</v>
      </c>
      <c r="AH29" s="3" t="str">
        <f ca="1">'Map 3'!AH31</f>
        <v>Ocean</v>
      </c>
      <c r="AI29" s="3" t="str">
        <f ca="1">'Map 3'!AI31</f>
        <v>Ocean</v>
      </c>
      <c r="AJ29" s="3" t="str">
        <f ca="1">'Map 3'!AJ31</f>
        <v>Trench</v>
      </c>
      <c r="AK29" s="3" t="str">
        <f ca="1">'Map 3'!AK31</f>
        <v>Ocean</v>
      </c>
      <c r="AL29" s="3" t="str">
        <f ca="1">'Map 3'!AL31</f>
        <v>Ocean</v>
      </c>
      <c r="AM29" s="3" t="str">
        <f ca="1">'Map 3'!AM31</f>
        <v>Trench</v>
      </c>
      <c r="AN29" s="3" t="str">
        <f ca="1">'Map 3'!AN31</f>
        <v>Trench</v>
      </c>
      <c r="AO29" s="3" t="str">
        <f ca="1">'Map 3'!AO31</f>
        <v>Drop Off</v>
      </c>
      <c r="AP29" s="3">
        <f>ROUND(AR29-273.15,2)</f>
        <v>90.9</v>
      </c>
      <c r="AQ29" s="3">
        <f>ROUND((AP29*(9/5))+ 32,2)</f>
        <v>195.62</v>
      </c>
      <c r="AR29" s="3">
        <f>C2-$E$3</f>
        <v>364.05</v>
      </c>
      <c r="AS29" s="41">
        <v>4.5</v>
      </c>
      <c r="AT29" s="41" t="s">
        <v>8</v>
      </c>
    </row>
    <row r="30" spans="1:46" ht="24">
      <c r="A30" s="3">
        <v>21</v>
      </c>
      <c r="B30" s="3" t="str">
        <f ca="1">'Map 3'!B32</f>
        <v>Coast</v>
      </c>
      <c r="C30" s="3" t="str">
        <f ca="1">'Map 3'!C32</f>
        <v>Flatland</v>
      </c>
      <c r="D30" s="3" t="str">
        <f ca="1">'Map 3'!D32</f>
        <v>Mountain</v>
      </c>
      <c r="E30" s="3" t="str">
        <f ca="1">'Map 3'!E32</f>
        <v>Flatland</v>
      </c>
      <c r="F30" s="3" t="str">
        <f ca="1">'Map 3'!F32</f>
        <v>Flatland</v>
      </c>
      <c r="G30" s="3" t="str">
        <f ca="1">'Map 3'!G32</f>
        <v>Flatland</v>
      </c>
      <c r="H30" s="3" t="str">
        <f ca="1">'Map 3'!H32</f>
        <v>Flatland</v>
      </c>
      <c r="I30" s="3" t="str">
        <f ca="1">'Map 3'!I32</f>
        <v>Coast</v>
      </c>
      <c r="J30" s="3" t="str">
        <f ca="1">'Map 3'!J32</f>
        <v>Flatland</v>
      </c>
      <c r="K30" s="3" t="str">
        <f ca="1">'Map 3'!K32</f>
        <v>Trench</v>
      </c>
      <c r="L30" s="3" t="str">
        <f ca="1">'Map 3'!L32</f>
        <v>Ocean</v>
      </c>
      <c r="M30" s="3" t="str">
        <f ca="1">'Map 3'!M32</f>
        <v>Ocean</v>
      </c>
      <c r="N30" s="3" t="str">
        <f ca="1">'Map 3'!N32</f>
        <v>Ocean</v>
      </c>
      <c r="O30" s="3" t="str">
        <f ca="1">'Map 3'!O32</f>
        <v>Ocean</v>
      </c>
      <c r="P30" s="3" t="str">
        <f ca="1">'Map 3'!P32</f>
        <v>Ocean</v>
      </c>
      <c r="Q30" s="3" t="str">
        <f ca="1">'Map 3'!Q32</f>
        <v>Ocean</v>
      </c>
      <c r="R30" s="3" t="str">
        <f ca="1">'Map 3'!R32</f>
        <v>Ocean</v>
      </c>
      <c r="S30" s="3" t="str">
        <f ca="1">'Map 3'!S32</f>
        <v>Coast</v>
      </c>
      <c r="T30" s="3" t="str">
        <f ca="1">'Map 3'!T32</f>
        <v>Coast</v>
      </c>
      <c r="U30" s="3" t="str">
        <f ca="1">'Map 3'!U32</f>
        <v>Coast</v>
      </c>
      <c r="V30" s="3" t="str">
        <f ca="1">'Map 3'!V32</f>
        <v>Coast</v>
      </c>
      <c r="W30" s="3" t="str">
        <f ca="1">'Map 3'!W32</f>
        <v>Ocean</v>
      </c>
      <c r="X30" s="3" t="str">
        <f ca="1">'Map 3'!X32</f>
        <v>Ocean</v>
      </c>
      <c r="Y30" s="3" t="str">
        <f ca="1">'Map 3'!Y32</f>
        <v>Ocean</v>
      </c>
      <c r="Z30" s="3" t="str">
        <f ca="1">'Map 3'!Z32</f>
        <v>Ocean</v>
      </c>
      <c r="AA30" s="3" t="str">
        <f ca="1">'Map 3'!AA32</f>
        <v>Ocean</v>
      </c>
      <c r="AB30" s="3" t="str">
        <f ca="1">'Map 3'!AB32</f>
        <v>Ocean</v>
      </c>
      <c r="AC30" s="3" t="str">
        <f ca="1">'Map 3'!AC32</f>
        <v>Ocean</v>
      </c>
      <c r="AD30" s="3" t="str">
        <f ca="1">'Map 3'!AD32</f>
        <v>Ocean</v>
      </c>
      <c r="AE30" s="3" t="str">
        <f ca="1">'Map 3'!AE32</f>
        <v>Island</v>
      </c>
      <c r="AF30" s="3" t="str">
        <f ca="1">'Map 3'!AF32</f>
        <v>Trench</v>
      </c>
      <c r="AG30" s="3" t="str">
        <f ca="1">'Map 3'!AG32</f>
        <v>Ocean</v>
      </c>
      <c r="AH30" s="3" t="str">
        <f ca="1">'Map 3'!AH32</f>
        <v>Ocean</v>
      </c>
      <c r="AI30" s="3" t="str">
        <f ca="1">'Map 3'!AI32</f>
        <v>Ocean</v>
      </c>
      <c r="AJ30" s="3" t="str">
        <f ca="1">'Map 3'!AJ32</f>
        <v>Ocean</v>
      </c>
      <c r="AK30" s="3" t="str">
        <f ca="1">'Map 3'!AK32</f>
        <v>Trench</v>
      </c>
      <c r="AL30" s="3" t="str">
        <f ca="1">'Map 3'!AL32</f>
        <v>Island</v>
      </c>
      <c r="AM30" s="3" t="str">
        <f ca="1">'Map 3'!AM32</f>
        <v>Ocean</v>
      </c>
      <c r="AN30" s="3" t="str">
        <f ca="1">'Map 3'!AN32</f>
        <v>Trench</v>
      </c>
      <c r="AO30" s="3" t="str">
        <f ca="1">'Map 3'!AO32</f>
        <v>Ocean</v>
      </c>
      <c r="AP30" s="3">
        <f>ROUND(AR30-273.15,2)</f>
        <v>90.9</v>
      </c>
      <c r="AQ30" s="3">
        <f t="shared" ref="AQ30:AQ69" si="4">ROUND((AP30*(9/5))+ 32,2)</f>
        <v>195.62</v>
      </c>
      <c r="AR30" s="3">
        <f>C2-$E$3</f>
        <v>364.05</v>
      </c>
      <c r="AS30" s="41">
        <v>-4.5</v>
      </c>
      <c r="AT30" s="41" t="str">
        <f>IF(AT29="⤵","⤴","⤵")</f>
        <v>⤴</v>
      </c>
    </row>
    <row r="31" spans="1:46" ht="24">
      <c r="A31" s="3">
        <v>22</v>
      </c>
      <c r="B31" s="3" t="str">
        <f ca="1">'Map 3'!B33</f>
        <v>Flatland</v>
      </c>
      <c r="C31" s="3" t="str">
        <f ca="1">'Map 3'!C33</f>
        <v>Flatland</v>
      </c>
      <c r="D31" s="3" t="str">
        <f ca="1">'Map 3'!D33</f>
        <v>Flatland</v>
      </c>
      <c r="E31" s="3" t="str">
        <f ca="1">'Map 3'!E33</f>
        <v>Flatland</v>
      </c>
      <c r="F31" s="3" t="str">
        <f ca="1">'Map 3'!F33</f>
        <v>Mountain</v>
      </c>
      <c r="G31" s="3" t="str">
        <f ca="1">'Map 3'!G33</f>
        <v>Flatland</v>
      </c>
      <c r="H31" s="3" t="str">
        <f ca="1">'Map 3'!H33</f>
        <v>Flatland</v>
      </c>
      <c r="I31" s="3" t="str">
        <f ca="1">'Map 3'!I33</f>
        <v>Flatland</v>
      </c>
      <c r="J31" s="3" t="str">
        <f ca="1">'Map 3'!J33</f>
        <v>Flatland</v>
      </c>
      <c r="K31" s="3" t="str">
        <f ca="1">'Map 3'!K33</f>
        <v>Ocean</v>
      </c>
      <c r="L31" s="3" t="str">
        <f ca="1">'Map 3'!L33</f>
        <v>Ocean</v>
      </c>
      <c r="M31" s="3" t="str">
        <f ca="1">'Map 3'!M33</f>
        <v>Ocean</v>
      </c>
      <c r="N31" s="3" t="str">
        <f ca="1">'Map 3'!N33</f>
        <v>Ocean</v>
      </c>
      <c r="O31" s="3" t="str">
        <f ca="1">'Map 3'!O33</f>
        <v>Ocean</v>
      </c>
      <c r="P31" s="3" t="str">
        <f ca="1">'Map 3'!P33</f>
        <v>Ocean</v>
      </c>
      <c r="Q31" s="3" t="str">
        <f ca="1">'Map 3'!Q33</f>
        <v>Ocean</v>
      </c>
      <c r="R31" s="3" t="str">
        <f ca="1">'Map 3'!R33</f>
        <v>Ocean</v>
      </c>
      <c r="S31" s="3" t="str">
        <f ca="1">'Map 3'!S33</f>
        <v>Ocean</v>
      </c>
      <c r="T31" s="3" t="str">
        <f ca="1">'Map 3'!T33</f>
        <v>Coast</v>
      </c>
      <c r="U31" s="3" t="str">
        <f ca="1">'Map 3'!U33</f>
        <v>Ocean</v>
      </c>
      <c r="V31" s="3" t="str">
        <f ca="1">'Map 3'!V33</f>
        <v>Ocean</v>
      </c>
      <c r="W31" s="3" t="str">
        <f ca="1">'Map 3'!W33</f>
        <v>Ocean</v>
      </c>
      <c r="X31" s="3" t="str">
        <f ca="1">'Map 3'!X33</f>
        <v>Ocean</v>
      </c>
      <c r="Y31" s="3" t="str">
        <f ca="1">'Map 3'!Y33</f>
        <v>Ocean</v>
      </c>
      <c r="Z31" s="3" t="str">
        <f ca="1">'Map 3'!Z33</f>
        <v>Ocean</v>
      </c>
      <c r="AA31" s="3" t="str">
        <f ca="1">'Map 3'!AA33</f>
        <v>Trench</v>
      </c>
      <c r="AB31" s="3" t="str">
        <f ca="1">'Map 3'!AB33</f>
        <v>Island</v>
      </c>
      <c r="AC31" s="3" t="str">
        <f ca="1">'Map 3'!AC33</f>
        <v>Ocean</v>
      </c>
      <c r="AD31" s="3" t="str">
        <f ca="1">'Map 3'!AD33</f>
        <v>Ocean</v>
      </c>
      <c r="AE31" s="3" t="str">
        <f ca="1">'Map 3'!AE33</f>
        <v>Ocean</v>
      </c>
      <c r="AF31" s="3" t="str">
        <f ca="1">'Map 3'!AF33</f>
        <v>Island</v>
      </c>
      <c r="AG31" s="3" t="str">
        <f ca="1">'Map 3'!AG33</f>
        <v>Trench</v>
      </c>
      <c r="AH31" s="3" t="str">
        <f ca="1">'Map 3'!AH33</f>
        <v>Ocean</v>
      </c>
      <c r="AI31" s="3" t="str">
        <f ca="1">'Map 3'!AI33</f>
        <v>Ocean</v>
      </c>
      <c r="AJ31" s="3" t="str">
        <f ca="1">'Map 3'!AJ33</f>
        <v>Island</v>
      </c>
      <c r="AK31" s="3" t="str">
        <f ca="1">'Map 3'!AK33</f>
        <v>Ocean</v>
      </c>
      <c r="AL31" s="3" t="str">
        <f ca="1">'Map 3'!AL33</f>
        <v>Ocean</v>
      </c>
      <c r="AM31" s="3" t="str">
        <f ca="1">'Map 3'!AM33</f>
        <v>Ocean</v>
      </c>
      <c r="AN31" s="3" t="str">
        <f ca="1">'Map 3'!AN33</f>
        <v>Ocean</v>
      </c>
      <c r="AO31" s="3" t="str">
        <f ca="1">'Map 3'!AO33</f>
        <v>Ocean</v>
      </c>
      <c r="AP31" s="3">
        <f>ROUND(AR31-273.15,2)</f>
        <v>83.95</v>
      </c>
      <c r="AQ31" s="3">
        <f t="shared" si="4"/>
        <v>183.11</v>
      </c>
      <c r="AR31" s="3">
        <f t="shared" ref="AR31:AR49" si="5">AR30-$E$3</f>
        <v>357.1</v>
      </c>
      <c r="AS31" s="41">
        <v>-9</v>
      </c>
      <c r="AT31" s="41" t="str">
        <f>IF(AT29="⤵","⤴","⤵")</f>
        <v>⤴</v>
      </c>
    </row>
    <row r="32" spans="1:46" ht="24">
      <c r="A32" s="3">
        <v>23</v>
      </c>
      <c r="B32" s="3" t="str">
        <f ca="1">'Map 3'!B34</f>
        <v>Ocean</v>
      </c>
      <c r="C32" s="3" t="str">
        <f ca="1">'Map 3'!C34</f>
        <v>Drop Off</v>
      </c>
      <c r="D32" s="3" t="str">
        <f ca="1">'Map 3'!D34</f>
        <v>Flatland</v>
      </c>
      <c r="E32" s="3" t="str">
        <f ca="1">'Map 3'!E34</f>
        <v>Flatland</v>
      </c>
      <c r="F32" s="3" t="str">
        <f ca="1">'Map 3'!F34</f>
        <v>Flatland</v>
      </c>
      <c r="G32" s="3" t="str">
        <f ca="1">'Map 3'!G34</f>
        <v>Flatland</v>
      </c>
      <c r="H32" s="3" t="str">
        <f ca="1">'Map 3'!H34</f>
        <v>Flatland</v>
      </c>
      <c r="I32" s="3" t="str">
        <f ca="1">'Map 3'!I34</f>
        <v>Flatland</v>
      </c>
      <c r="J32" s="3" t="str">
        <f ca="1">'Map 3'!J34</f>
        <v>Coast</v>
      </c>
      <c r="K32" s="3" t="str">
        <f ca="1">'Map 3'!K34</f>
        <v>Ocean</v>
      </c>
      <c r="L32" s="3" t="str">
        <f ca="1">'Map 3'!L34</f>
        <v>Ocean</v>
      </c>
      <c r="M32" s="3" t="str">
        <f ca="1">'Map 3'!M34</f>
        <v>Ocean</v>
      </c>
      <c r="N32" s="3" t="str">
        <f ca="1">'Map 3'!N34</f>
        <v>Ocean</v>
      </c>
      <c r="O32" s="3" t="str">
        <f ca="1">'Map 3'!O34</f>
        <v>Ocean</v>
      </c>
      <c r="P32" s="3" t="str">
        <f ca="1">'Map 3'!P34</f>
        <v>Ocean</v>
      </c>
      <c r="Q32" s="3" t="str">
        <f ca="1">'Map 3'!Q34</f>
        <v>Ocean</v>
      </c>
      <c r="R32" s="3" t="str">
        <f ca="1">'Map 3'!R34</f>
        <v>Ocean</v>
      </c>
      <c r="S32" s="3" t="str">
        <f ca="1">'Map 3'!S34</f>
        <v>Ocean</v>
      </c>
      <c r="T32" s="3" t="str">
        <f ca="1">'Map 3'!T34</f>
        <v>Ocean</v>
      </c>
      <c r="U32" s="3" t="str">
        <f ca="1">'Map 3'!U34</f>
        <v>Ocean</v>
      </c>
      <c r="V32" s="3" t="str">
        <f ca="1">'Map 3'!V34</f>
        <v>Ocean</v>
      </c>
      <c r="W32" s="3" t="str">
        <f ca="1">'Map 3'!W34</f>
        <v>Ocean</v>
      </c>
      <c r="X32" s="3" t="str">
        <f ca="1">'Map 3'!X34</f>
        <v>Ocean</v>
      </c>
      <c r="Y32" s="3" t="str">
        <f ca="1">'Map 3'!Y34</f>
        <v>Ocean</v>
      </c>
      <c r="Z32" s="3" t="str">
        <f ca="1">'Map 3'!Z34</f>
        <v>Island</v>
      </c>
      <c r="AA32" s="3" t="str">
        <f ca="1">'Map 3'!AA34</f>
        <v>Ocean</v>
      </c>
      <c r="AB32" s="3" t="str">
        <f ca="1">'Map 3'!AB34</f>
        <v>Ocean</v>
      </c>
      <c r="AC32" s="3" t="str">
        <f ca="1">'Map 3'!AC34</f>
        <v>Ocean</v>
      </c>
      <c r="AD32" s="3" t="str">
        <f ca="1">'Map 3'!AD34</f>
        <v>Ocean</v>
      </c>
      <c r="AE32" s="3" t="str">
        <f ca="1">'Map 3'!AE34</f>
        <v>Trench</v>
      </c>
      <c r="AF32" s="3" t="str">
        <f ca="1">'Map 3'!AF34</f>
        <v>Island</v>
      </c>
      <c r="AG32" s="3" t="str">
        <f ca="1">'Map 3'!AG34</f>
        <v>Ocean</v>
      </c>
      <c r="AH32" s="3" t="str">
        <f ca="1">'Map 3'!AH34</f>
        <v>Ocean</v>
      </c>
      <c r="AI32" s="3" t="str">
        <f ca="1">'Map 3'!AI34</f>
        <v>Ocean</v>
      </c>
      <c r="AJ32" s="3" t="str">
        <f ca="1">'Map 3'!AJ34</f>
        <v>Trench</v>
      </c>
      <c r="AK32" s="3" t="str">
        <f ca="1">'Map 3'!AK34</f>
        <v>Ocean</v>
      </c>
      <c r="AL32" s="3" t="str">
        <f ca="1">'Map 3'!AL34</f>
        <v>Island</v>
      </c>
      <c r="AM32" s="3" t="str">
        <f ca="1">'Map 3'!AM34</f>
        <v>Ocean</v>
      </c>
      <c r="AN32" s="3" t="str">
        <f ca="1">'Map 3'!AN34</f>
        <v>Ocean</v>
      </c>
      <c r="AO32" s="3" t="str">
        <f ca="1">'Map 3'!AO34</f>
        <v>Ocean</v>
      </c>
      <c r="AP32" s="3">
        <f>ROUND(AR32-273.15,2)</f>
        <v>77</v>
      </c>
      <c r="AQ32" s="3">
        <f t="shared" si="4"/>
        <v>170.6</v>
      </c>
      <c r="AR32" s="3">
        <f t="shared" si="5"/>
        <v>350.15000000000003</v>
      </c>
      <c r="AS32" s="41">
        <v>-13.5</v>
      </c>
      <c r="AT32" s="41" t="str">
        <f>IF(AT27="⤵","⤴","⤵")</f>
        <v>⤴</v>
      </c>
    </row>
    <row r="33" spans="1:46" ht="24">
      <c r="A33" s="3">
        <v>24</v>
      </c>
      <c r="B33" s="3" t="str">
        <f ca="1">'Map 3'!B35</f>
        <v>Ocean</v>
      </c>
      <c r="C33" s="3" t="str">
        <f ca="1">'Map 3'!C35</f>
        <v>Coast</v>
      </c>
      <c r="D33" s="3" t="str">
        <f ca="1">'Map 3'!D35</f>
        <v>Coast</v>
      </c>
      <c r="E33" s="3" t="str">
        <f ca="1">'Map 3'!E35</f>
        <v>Coast</v>
      </c>
      <c r="F33" s="3" t="str">
        <f ca="1">'Map 3'!F35</f>
        <v>Coast</v>
      </c>
      <c r="G33" s="3" t="str">
        <f ca="1">'Map 3'!G35</f>
        <v>Coast</v>
      </c>
      <c r="H33" s="3" t="str">
        <f ca="1">'Map 3'!H35</f>
        <v>Flatland</v>
      </c>
      <c r="I33" s="3" t="str">
        <f ca="1">'Map 3'!I35</f>
        <v>Coast</v>
      </c>
      <c r="J33" s="3" t="str">
        <f ca="1">'Map 3'!J35</f>
        <v>Ocean</v>
      </c>
      <c r="K33" s="3" t="str">
        <f ca="1">'Map 3'!K35</f>
        <v>Ocean</v>
      </c>
      <c r="L33" s="3" t="str">
        <f ca="1">'Map 3'!L35</f>
        <v>Ocean</v>
      </c>
      <c r="M33" s="3" t="str">
        <f ca="1">'Map 3'!M35</f>
        <v>Ocean</v>
      </c>
      <c r="N33" s="3" t="str">
        <f ca="1">'Map 3'!N35</f>
        <v>Ocean</v>
      </c>
      <c r="O33" s="3" t="str">
        <f ca="1">'Map 3'!O35</f>
        <v>Ocean</v>
      </c>
      <c r="P33" s="3" t="str">
        <f ca="1">'Map 3'!P35</f>
        <v>Ocean</v>
      </c>
      <c r="Q33" s="3" t="str">
        <f ca="1">'Map 3'!Q35</f>
        <v>Ocean</v>
      </c>
      <c r="R33" s="3" t="str">
        <f ca="1">'Map 3'!R35</f>
        <v>Ocean</v>
      </c>
      <c r="S33" s="3" t="str">
        <f ca="1">'Map 3'!S35</f>
        <v>Ocean</v>
      </c>
      <c r="T33" s="3" t="str">
        <f ca="1">'Map 3'!T35</f>
        <v>Ocean</v>
      </c>
      <c r="U33" s="3" t="str">
        <f ca="1">'Map 3'!U35</f>
        <v>Ocean</v>
      </c>
      <c r="V33" s="3" t="str">
        <f ca="1">'Map 3'!V35</f>
        <v>Ocean</v>
      </c>
      <c r="W33" s="3" t="str">
        <f ca="1">'Map 3'!W35</f>
        <v>Ocean</v>
      </c>
      <c r="X33" s="3" t="str">
        <f ca="1">'Map 3'!X35</f>
        <v>Ocean</v>
      </c>
      <c r="Y33" s="3" t="str">
        <f ca="1">'Map 3'!Y35</f>
        <v>Ocean</v>
      </c>
      <c r="Z33" s="3" t="str">
        <f ca="1">'Map 3'!Z35</f>
        <v>Ocean</v>
      </c>
      <c r="AA33" s="3" t="str">
        <f ca="1">'Map 3'!AA35</f>
        <v>Ocean</v>
      </c>
      <c r="AB33" s="3" t="str">
        <f ca="1">'Map 3'!AB35</f>
        <v>Ocean</v>
      </c>
      <c r="AC33" s="3" t="str">
        <f ca="1">'Map 3'!AC35</f>
        <v>Ocean</v>
      </c>
      <c r="AD33" s="3" t="str">
        <f ca="1">'Map 3'!AD35</f>
        <v>Ocean</v>
      </c>
      <c r="AE33" s="3" t="str">
        <f ca="1">'Map 3'!AE35</f>
        <v>Ocean</v>
      </c>
      <c r="AF33" s="3" t="str">
        <f ca="1">'Map 3'!AF35</f>
        <v>Trench</v>
      </c>
      <c r="AG33" s="3" t="str">
        <f ca="1">'Map 3'!AG35</f>
        <v>Ocean</v>
      </c>
      <c r="AH33" s="3" t="str">
        <f ca="1">'Map 3'!AH35</f>
        <v>Ocean</v>
      </c>
      <c r="AI33" s="3" t="str">
        <f ca="1">'Map 3'!AI35</f>
        <v>Ocean</v>
      </c>
      <c r="AJ33" s="3" t="str">
        <f ca="1">'Map 3'!AJ35</f>
        <v>Island</v>
      </c>
      <c r="AK33" s="3" t="str">
        <f ca="1">'Map 3'!AK35</f>
        <v>Ocean</v>
      </c>
      <c r="AL33" s="3" t="str">
        <f ca="1">'Map 3'!AL35</f>
        <v>Ocean</v>
      </c>
      <c r="AM33" s="3" t="str">
        <f ca="1">'Map 3'!AM35</f>
        <v>Ocean</v>
      </c>
      <c r="AN33" s="3" t="str">
        <f ca="1">'Map 3'!AN35</f>
        <v>Ocean</v>
      </c>
      <c r="AO33" s="3" t="str">
        <f ca="1">'Map 3'!AO35</f>
        <v>Island</v>
      </c>
      <c r="AP33" s="3">
        <f>ROUND(AR33-273.15,2)</f>
        <v>70.05</v>
      </c>
      <c r="AQ33" s="3">
        <f t="shared" si="4"/>
        <v>158.09</v>
      </c>
      <c r="AR33" s="3">
        <f t="shared" si="5"/>
        <v>343.20000000000005</v>
      </c>
      <c r="AS33" s="41">
        <v>-18</v>
      </c>
      <c r="AT33" s="41" t="str">
        <f>IF(AT26="⤵","⤴","⤵")</f>
        <v>⤴</v>
      </c>
    </row>
    <row r="34" spans="1:46" ht="24">
      <c r="A34" s="3">
        <v>25</v>
      </c>
      <c r="B34" s="3" t="str">
        <f ca="1">'Map 3'!B36</f>
        <v>Ocean</v>
      </c>
      <c r="C34" s="3" t="str">
        <f ca="1">'Map 3'!C36</f>
        <v>Coast</v>
      </c>
      <c r="D34" s="3" t="str">
        <f ca="1">'Map 3'!D36</f>
        <v>Coast</v>
      </c>
      <c r="E34" s="3" t="str">
        <f ca="1">'Map 3'!E36</f>
        <v>Flatland</v>
      </c>
      <c r="F34" s="3" t="str">
        <f ca="1">'Map 3'!F36</f>
        <v>Coast</v>
      </c>
      <c r="G34" s="3" t="str">
        <f ca="1">'Map 3'!G36</f>
        <v>Flatland</v>
      </c>
      <c r="H34" s="3" t="str">
        <f ca="1">'Map 3'!H36</f>
        <v>Flatland</v>
      </c>
      <c r="I34" s="3" t="str">
        <f ca="1">'Map 3'!I36</f>
        <v>Coast</v>
      </c>
      <c r="J34" s="3" t="str">
        <f ca="1">'Map 3'!J36</f>
        <v>Flatland</v>
      </c>
      <c r="K34" s="3" t="str">
        <f ca="1">'Map 3'!K36</f>
        <v>Coast</v>
      </c>
      <c r="L34" s="3" t="str">
        <f ca="1">'Map 3'!L36</f>
        <v>Island</v>
      </c>
      <c r="M34" s="3" t="str">
        <f ca="1">'Map 3'!M36</f>
        <v>Ocean</v>
      </c>
      <c r="N34" s="3" t="str">
        <f ca="1">'Map 3'!N36</f>
        <v>Island</v>
      </c>
      <c r="O34" s="3" t="str">
        <f ca="1">'Map 3'!O36</f>
        <v>Ocean</v>
      </c>
      <c r="P34" s="3" t="str">
        <f ca="1">'Map 3'!P36</f>
        <v>Ocean</v>
      </c>
      <c r="Q34" s="3" t="str">
        <f ca="1">'Map 3'!Q36</f>
        <v>Ocean</v>
      </c>
      <c r="R34" s="3" t="str">
        <f ca="1">'Map 3'!R36</f>
        <v>Island</v>
      </c>
      <c r="S34" s="3" t="str">
        <f ca="1">'Map 3'!S36</f>
        <v>Trench</v>
      </c>
      <c r="T34" s="3" t="str">
        <f ca="1">'Map 3'!T36</f>
        <v>Ocean</v>
      </c>
      <c r="U34" s="3" t="str">
        <f ca="1">'Map 3'!U36</f>
        <v>Ocean</v>
      </c>
      <c r="V34" s="3" t="str">
        <f ca="1">'Map 3'!V36</f>
        <v>Ocean</v>
      </c>
      <c r="W34" s="3" t="str">
        <f ca="1">'Map 3'!W36</f>
        <v>Ocean</v>
      </c>
      <c r="X34" s="3" t="str">
        <f ca="1">'Map 3'!X36</f>
        <v>Ocean</v>
      </c>
      <c r="Y34" s="3" t="str">
        <f ca="1">'Map 3'!Y36</f>
        <v>Ocean</v>
      </c>
      <c r="Z34" s="3" t="str">
        <f ca="1">'Map 3'!Z36</f>
        <v>Trench</v>
      </c>
      <c r="AA34" s="3" t="str">
        <f ca="1">'Map 3'!AA36</f>
        <v>Island</v>
      </c>
      <c r="AB34" s="3" t="str">
        <f ca="1">'Map 3'!AB36</f>
        <v>Ocean</v>
      </c>
      <c r="AC34" s="3" t="str">
        <f ca="1">'Map 3'!AC36</f>
        <v>Ocean</v>
      </c>
      <c r="AD34" s="3" t="str">
        <f ca="1">'Map 3'!AD36</f>
        <v>Ocean</v>
      </c>
      <c r="AE34" s="3" t="str">
        <f ca="1">'Map 3'!AE36</f>
        <v>Ocean</v>
      </c>
      <c r="AF34" s="3" t="str">
        <f ca="1">'Map 3'!AF36</f>
        <v>Ocean</v>
      </c>
      <c r="AG34" s="3" t="str">
        <f ca="1">'Map 3'!AG36</f>
        <v>Island</v>
      </c>
      <c r="AH34" s="3" t="str">
        <f ca="1">'Map 3'!AH36</f>
        <v>Trench</v>
      </c>
      <c r="AI34" s="3" t="str">
        <f ca="1">'Map 3'!AI36</f>
        <v>Island</v>
      </c>
      <c r="AJ34" s="3" t="str">
        <f ca="1">'Map 3'!AJ36</f>
        <v>Ocean</v>
      </c>
      <c r="AK34" s="3" t="str">
        <f ca="1">'Map 3'!AK36</f>
        <v>Ocean</v>
      </c>
      <c r="AL34" s="3" t="str">
        <f ca="1">'Map 3'!AL36</f>
        <v>Trench</v>
      </c>
      <c r="AM34" s="3" t="str">
        <f ca="1">'Map 3'!AM36</f>
        <v>Ocean</v>
      </c>
      <c r="AN34" s="3" t="str">
        <f ca="1">'Map 3'!AN36</f>
        <v>Island</v>
      </c>
      <c r="AO34" s="3" t="str">
        <f ca="1">'Map 3'!AO36</f>
        <v>Trench</v>
      </c>
      <c r="AP34" s="3">
        <f>ROUND(AR34-273.15,2)</f>
        <v>63.1</v>
      </c>
      <c r="AQ34" s="3">
        <f t="shared" si="4"/>
        <v>145.58000000000001</v>
      </c>
      <c r="AR34" s="3">
        <f t="shared" si="5"/>
        <v>336.25000000000006</v>
      </c>
      <c r="AS34" s="41">
        <v>-22.5</v>
      </c>
      <c r="AT34" s="41" t="str">
        <f>IF(AT25="⤵","⤴","⤵")</f>
        <v>⤴</v>
      </c>
    </row>
    <row r="35" spans="1:46" ht="24">
      <c r="A35" s="3">
        <v>26</v>
      </c>
      <c r="B35" s="3" t="str">
        <f ca="1">'Map 3'!B37</f>
        <v>Ocean</v>
      </c>
      <c r="C35" s="3" t="str">
        <f ca="1">'Map 3'!C37</f>
        <v>Trench</v>
      </c>
      <c r="D35" s="3" t="str">
        <f ca="1">'Map 3'!D37</f>
        <v>Island</v>
      </c>
      <c r="E35" s="3" t="str">
        <f ca="1">'Map 3'!E37</f>
        <v>Trench</v>
      </c>
      <c r="F35" s="3" t="str">
        <f ca="1">'Map 3'!F37</f>
        <v>Cliff</v>
      </c>
      <c r="G35" s="3" t="str">
        <f ca="1">'Map 3'!G37</f>
        <v>Valley</v>
      </c>
      <c r="H35" s="3" t="str">
        <f ca="1">'Map 3'!H37</f>
        <v>Mountain</v>
      </c>
      <c r="I35" s="3" t="str">
        <f ca="1">'Map 3'!I37</f>
        <v>Flatland</v>
      </c>
      <c r="J35" s="3" t="str">
        <f ca="1">'Map 3'!J37</f>
        <v>Flatland</v>
      </c>
      <c r="K35" s="3" t="str">
        <f ca="1">'Map 3'!K37</f>
        <v>Ocean</v>
      </c>
      <c r="L35" s="3" t="str">
        <f ca="1">'Map 3'!L37</f>
        <v>Trench</v>
      </c>
      <c r="M35" s="3" t="str">
        <f ca="1">'Map 3'!M37</f>
        <v>Trench</v>
      </c>
      <c r="N35" s="3" t="str">
        <f ca="1">'Map 3'!N37</f>
        <v>Ocean</v>
      </c>
      <c r="O35" s="3" t="str">
        <f ca="1">'Map 3'!O37</f>
        <v>Island</v>
      </c>
      <c r="P35" s="3" t="str">
        <f ca="1">'Map 3'!P37</f>
        <v>Ocean</v>
      </c>
      <c r="Q35" s="3" t="str">
        <f ca="1">'Map 3'!Q37</f>
        <v>Island</v>
      </c>
      <c r="R35" s="3" t="str">
        <f ca="1">'Map 3'!R37</f>
        <v>Trench</v>
      </c>
      <c r="S35" s="3" t="str">
        <f ca="1">'Map 3'!S37</f>
        <v>Ocean</v>
      </c>
      <c r="T35" s="3" t="str">
        <f ca="1">'Map 3'!T37</f>
        <v>Ocean</v>
      </c>
      <c r="U35" s="3" t="str">
        <f ca="1">'Map 3'!U37</f>
        <v>Ocean</v>
      </c>
      <c r="V35" s="3" t="str">
        <f ca="1">'Map 3'!V37</f>
        <v>Ocean</v>
      </c>
      <c r="W35" s="3" t="str">
        <f ca="1">'Map 3'!W37</f>
        <v>Ocean</v>
      </c>
      <c r="X35" s="3" t="str">
        <f ca="1">'Map 3'!X37</f>
        <v>Ocean</v>
      </c>
      <c r="Y35" s="3" t="str">
        <f ca="1">'Map 3'!Y37</f>
        <v>Ocean</v>
      </c>
      <c r="Z35" s="3" t="str">
        <f ca="1">'Map 3'!Z37</f>
        <v>Island</v>
      </c>
      <c r="AA35" s="3" t="str">
        <f ca="1">'Map 3'!AA37</f>
        <v>Trench</v>
      </c>
      <c r="AB35" s="3" t="str">
        <f ca="1">'Map 3'!AB37</f>
        <v>Ocean</v>
      </c>
      <c r="AC35" s="3" t="str">
        <f ca="1">'Map 3'!AC37</f>
        <v>Ocean</v>
      </c>
      <c r="AD35" s="3" t="str">
        <f ca="1">'Map 3'!AD37</f>
        <v>Ocean</v>
      </c>
      <c r="AE35" s="3" t="str">
        <f ca="1">'Map 3'!AE37</f>
        <v>Ocean</v>
      </c>
      <c r="AF35" s="3" t="str">
        <f ca="1">'Map 3'!AF37</f>
        <v>Island</v>
      </c>
      <c r="AG35" s="3" t="str">
        <f ca="1">'Map 3'!AG37</f>
        <v>Trench</v>
      </c>
      <c r="AH35" s="3" t="str">
        <f ca="1">'Map 3'!AH37</f>
        <v>Island</v>
      </c>
      <c r="AI35" s="3" t="str">
        <f ca="1">'Map 3'!AI37</f>
        <v>Ocean</v>
      </c>
      <c r="AJ35" s="3" t="str">
        <f ca="1">'Map 3'!AJ37</f>
        <v>Ocean</v>
      </c>
      <c r="AK35" s="3" t="str">
        <f ca="1">'Map 3'!AK37</f>
        <v>Ocean</v>
      </c>
      <c r="AL35" s="3" t="str">
        <f ca="1">'Map 3'!AL37</f>
        <v>Ocean</v>
      </c>
      <c r="AM35" s="3" t="str">
        <f ca="1">'Map 3'!AM37</f>
        <v>Ocean</v>
      </c>
      <c r="AN35" s="3" t="str">
        <f ca="1">'Map 3'!AN37</f>
        <v>Ocean</v>
      </c>
      <c r="AO35" s="3" t="str">
        <f ca="1">'Map 3'!AO37</f>
        <v>Trench</v>
      </c>
      <c r="AP35" s="3">
        <f>ROUND(AR35-273.15,2)</f>
        <v>56.15</v>
      </c>
      <c r="AQ35" s="3">
        <f t="shared" si="4"/>
        <v>133.07</v>
      </c>
      <c r="AR35" s="3">
        <f t="shared" si="5"/>
        <v>329.30000000000007</v>
      </c>
      <c r="AS35" s="41">
        <v>-27</v>
      </c>
      <c r="AT35" s="41" t="str">
        <f>IF(AT24="⤵","⤴","⤵")</f>
        <v>⤴</v>
      </c>
    </row>
    <row r="36" spans="1:46" ht="24">
      <c r="A36" s="3">
        <v>27</v>
      </c>
      <c r="B36" s="3" t="str">
        <f ca="1">'Map 3'!B38</f>
        <v>Trench</v>
      </c>
      <c r="C36" s="3" t="str">
        <f ca="1">'Map 3'!C38</f>
        <v>Ocean</v>
      </c>
      <c r="D36" s="3" t="str">
        <f ca="1">'Map 3'!D38</f>
        <v>Trench</v>
      </c>
      <c r="E36" s="3" t="str">
        <f ca="1">'Map 3'!E38</f>
        <v>Ocean</v>
      </c>
      <c r="F36" s="3" t="str">
        <f ca="1">'Map 3'!F38</f>
        <v>Mountain</v>
      </c>
      <c r="G36" s="3" t="str">
        <f ca="1">'Map 3'!G38</f>
        <v>Flatland</v>
      </c>
      <c r="H36" s="3" t="str">
        <f ca="1">'Map 3'!H38</f>
        <v>Flatland</v>
      </c>
      <c r="I36" s="3" t="str">
        <f ca="1">'Map 3'!I38</f>
        <v>Coast</v>
      </c>
      <c r="J36" s="3" t="str">
        <f ca="1">'Map 3'!J38</f>
        <v>Ocean</v>
      </c>
      <c r="K36" s="3" t="str">
        <f ca="1">'Map 3'!K38</f>
        <v>Ocean</v>
      </c>
      <c r="L36" s="3" t="str">
        <f ca="1">'Map 3'!L38</f>
        <v>Island</v>
      </c>
      <c r="M36" s="3" t="str">
        <f ca="1">'Map 3'!M38</f>
        <v>Ocean</v>
      </c>
      <c r="N36" s="3" t="str">
        <f ca="1">'Map 3'!N38</f>
        <v>Island</v>
      </c>
      <c r="O36" s="3" t="str">
        <f ca="1">'Map 3'!O38</f>
        <v>Ocean</v>
      </c>
      <c r="P36" s="3" t="str">
        <f ca="1">'Map 3'!P38</f>
        <v>Ocean</v>
      </c>
      <c r="Q36" s="3" t="str">
        <f ca="1">'Map 3'!Q38</f>
        <v>Ocean</v>
      </c>
      <c r="R36" s="3" t="str">
        <f ca="1">'Map 3'!R38</f>
        <v>Island</v>
      </c>
      <c r="S36" s="3" t="str">
        <f ca="1">'Map 3'!S38</f>
        <v>Ocean</v>
      </c>
      <c r="T36" s="3" t="str">
        <f ca="1">'Map 3'!T38</f>
        <v>Ocean</v>
      </c>
      <c r="U36" s="3" t="str">
        <f ca="1">'Map 3'!U38</f>
        <v>Trench</v>
      </c>
      <c r="V36" s="3" t="str">
        <f ca="1">'Map 3'!V38</f>
        <v>Island</v>
      </c>
      <c r="W36" s="3" t="str">
        <f ca="1">'Map 3'!W38</f>
        <v>Trench</v>
      </c>
      <c r="X36" s="3" t="str">
        <f ca="1">'Map 3'!X38</f>
        <v>Ocean</v>
      </c>
      <c r="Y36" s="3" t="str">
        <f ca="1">'Map 3'!Y38</f>
        <v>Ocean</v>
      </c>
      <c r="Z36" s="3" t="str">
        <f ca="1">'Map 3'!Z38</f>
        <v>Trench</v>
      </c>
      <c r="AA36" s="3" t="str">
        <f ca="1">'Map 3'!AA38</f>
        <v>Ocean</v>
      </c>
      <c r="AB36" s="3" t="str">
        <f ca="1">'Map 3'!AB38</f>
        <v>Ocean</v>
      </c>
      <c r="AC36" s="3" t="str">
        <f ca="1">'Map 3'!AC38</f>
        <v>Ocean</v>
      </c>
      <c r="AD36" s="3" t="str">
        <f ca="1">'Map 3'!AD38</f>
        <v>Ocean</v>
      </c>
      <c r="AE36" s="3" t="str">
        <f ca="1">'Map 3'!AE38</f>
        <v>Ocean</v>
      </c>
      <c r="AF36" s="3" t="str">
        <f ca="1">'Map 3'!AF38</f>
        <v>Ocean</v>
      </c>
      <c r="AG36" s="3" t="str">
        <f ca="1">'Map 3'!AG38</f>
        <v>Island</v>
      </c>
      <c r="AH36" s="3" t="str">
        <f ca="1">'Map 3'!AH38</f>
        <v>Ocean</v>
      </c>
      <c r="AI36" s="3" t="str">
        <f ca="1">'Map 3'!AI38</f>
        <v>Ocean</v>
      </c>
      <c r="AJ36" s="3" t="str">
        <f ca="1">'Map 3'!AJ38</f>
        <v>Ocean</v>
      </c>
      <c r="AK36" s="3" t="str">
        <f ca="1">'Map 3'!AK38</f>
        <v>Ocean</v>
      </c>
      <c r="AL36" s="3" t="str">
        <f ca="1">'Map 3'!AL38</f>
        <v>Ocean</v>
      </c>
      <c r="AM36" s="3" t="str">
        <f ca="1">'Map 3'!AM38</f>
        <v>Ocean</v>
      </c>
      <c r="AN36" s="3" t="str">
        <f ca="1">'Map 3'!AN38</f>
        <v>Trench</v>
      </c>
      <c r="AO36" s="3" t="str">
        <f ca="1">'Map 3'!AO38</f>
        <v>Ocean</v>
      </c>
      <c r="AP36" s="3">
        <f>ROUND(AR36-273.15,2)</f>
        <v>49.2</v>
      </c>
      <c r="AQ36" s="3">
        <f t="shared" si="4"/>
        <v>120.56</v>
      </c>
      <c r="AR36" s="3">
        <f t="shared" si="5"/>
        <v>322.35000000000008</v>
      </c>
      <c r="AS36" s="41">
        <v>-31.5</v>
      </c>
      <c r="AT36" s="41" t="str">
        <f>IF(AT24="⤵","⤴","⤵")</f>
        <v>⤴</v>
      </c>
    </row>
    <row r="37" spans="1:46" ht="24">
      <c r="A37" s="3">
        <v>28</v>
      </c>
      <c r="B37" s="3" t="str">
        <f ca="1">'Map 3'!B39</f>
        <v>Drop Off</v>
      </c>
      <c r="C37" s="3" t="str">
        <f ca="1">'Map 3'!C39</f>
        <v>Coast</v>
      </c>
      <c r="D37" s="3" t="str">
        <f ca="1">'Map 3'!D39</f>
        <v>Ocean</v>
      </c>
      <c r="E37" s="3" t="str">
        <f ca="1">'Map 3'!E39</f>
        <v>Ocean</v>
      </c>
      <c r="F37" s="3" t="str">
        <f ca="1">'Map 3'!F39</f>
        <v>Flatland</v>
      </c>
      <c r="G37" s="3" t="str">
        <f ca="1">'Map 3'!G39</f>
        <v>Flatland</v>
      </c>
      <c r="H37" s="3" t="str">
        <f ca="1">'Map 3'!H39</f>
        <v>Flatland</v>
      </c>
      <c r="I37" s="3" t="str">
        <f ca="1">'Map 3'!I39</f>
        <v>Coast</v>
      </c>
      <c r="J37" s="3" t="str">
        <f ca="1">'Map 3'!J39</f>
        <v>Coast</v>
      </c>
      <c r="K37" s="3" t="str">
        <f ca="1">'Map 3'!K39</f>
        <v>Ocean</v>
      </c>
      <c r="L37" s="3" t="str">
        <f ca="1">'Map 3'!L39</f>
        <v>Trench</v>
      </c>
      <c r="M37" s="3" t="str">
        <f ca="1">'Map 3'!M39</f>
        <v>Trench</v>
      </c>
      <c r="N37" s="3" t="str">
        <f ca="1">'Map 3'!N39</f>
        <v>Ocean</v>
      </c>
      <c r="O37" s="3" t="str">
        <f ca="1">'Map 3'!O39</f>
        <v>Ocean</v>
      </c>
      <c r="P37" s="3" t="str">
        <f ca="1">'Map 3'!P39</f>
        <v>Ocean</v>
      </c>
      <c r="Q37" s="3" t="str">
        <f ca="1">'Map 3'!Q39</f>
        <v>Ocean</v>
      </c>
      <c r="R37" s="3" t="str">
        <f ca="1">'Map 3'!R39</f>
        <v>Island</v>
      </c>
      <c r="S37" s="3" t="str">
        <f ca="1">'Map 3'!S39</f>
        <v>Ocean</v>
      </c>
      <c r="T37" s="3" t="str">
        <f ca="1">'Map 3'!T39</f>
        <v>Ocean</v>
      </c>
      <c r="U37" s="3" t="str">
        <f ca="1">'Map 3'!U39</f>
        <v>Island</v>
      </c>
      <c r="V37" s="3" t="str">
        <f ca="1">'Map 3'!V39</f>
        <v>Trench</v>
      </c>
      <c r="W37" s="3" t="str">
        <f ca="1">'Map 3'!W39</f>
        <v>Ocean</v>
      </c>
      <c r="X37" s="3" t="str">
        <f ca="1">'Map 3'!X39</f>
        <v>Ocean</v>
      </c>
      <c r="Y37" s="3" t="str">
        <f ca="1">'Map 3'!Y39</f>
        <v>Ocean</v>
      </c>
      <c r="Z37" s="3" t="str">
        <f ca="1">'Map 3'!Z39</f>
        <v>Ocean</v>
      </c>
      <c r="AA37" s="3" t="str">
        <f ca="1">'Map 3'!AA39</f>
        <v>Ocean</v>
      </c>
      <c r="AB37" s="3" t="str">
        <f ca="1">'Map 3'!AB39</f>
        <v>Ocean</v>
      </c>
      <c r="AC37" s="3" t="str">
        <f ca="1">'Map 3'!AC39</f>
        <v>Ocean</v>
      </c>
      <c r="AD37" s="3" t="str">
        <f ca="1">'Map 3'!AD39</f>
        <v>Ocean</v>
      </c>
      <c r="AE37" s="3" t="str">
        <f ca="1">'Map 3'!AE39</f>
        <v>Island</v>
      </c>
      <c r="AF37" s="3" t="str">
        <f ca="1">'Map 3'!AF39</f>
        <v>Ocean</v>
      </c>
      <c r="AG37" s="3" t="str">
        <f ca="1">'Map 3'!AG39</f>
        <v>Ocean</v>
      </c>
      <c r="AH37" s="3" t="str">
        <f ca="1">'Map 3'!AH39</f>
        <v>Ocean</v>
      </c>
      <c r="AI37" s="3" t="str">
        <f ca="1">'Map 3'!AI39</f>
        <v>Ocean</v>
      </c>
      <c r="AJ37" s="3" t="str">
        <f ca="1">'Map 3'!AJ39</f>
        <v>Trench</v>
      </c>
      <c r="AK37" s="3" t="str">
        <f ca="1">'Map 3'!AK39</f>
        <v>Island</v>
      </c>
      <c r="AL37" s="3" t="str">
        <f ca="1">'Map 3'!AL39</f>
        <v>Ocean</v>
      </c>
      <c r="AM37" s="3" t="str">
        <f ca="1">'Map 3'!AM39</f>
        <v>Ocean</v>
      </c>
      <c r="AN37" s="3" t="str">
        <f ca="1">'Map 3'!AN39</f>
        <v>Ocean</v>
      </c>
      <c r="AO37" s="3" t="str">
        <f ca="1">'Map 3'!AO39</f>
        <v>Ocean</v>
      </c>
      <c r="AP37" s="3">
        <f>ROUND(AR37-273.15,2)</f>
        <v>42.25</v>
      </c>
      <c r="AQ37" s="3">
        <f t="shared" si="4"/>
        <v>108.05</v>
      </c>
      <c r="AR37" s="3">
        <f t="shared" si="5"/>
        <v>315.40000000000009</v>
      </c>
      <c r="AS37" s="41">
        <v>-36</v>
      </c>
      <c r="AT37" s="41" t="str">
        <f>IF(AT22="⤵","⤴","⤵")</f>
        <v>⤵</v>
      </c>
    </row>
    <row r="38" spans="1:46" ht="24">
      <c r="A38" s="3">
        <v>29</v>
      </c>
      <c r="B38" s="3" t="str">
        <f ca="1">'Map 3'!B40</f>
        <v>Ocean</v>
      </c>
      <c r="C38" s="3" t="str">
        <f ca="1">'Map 3'!C40</f>
        <v>Trench</v>
      </c>
      <c r="D38" s="3" t="str">
        <f ca="1">'Map 3'!D40</f>
        <v>Coast</v>
      </c>
      <c r="E38" s="3" t="str">
        <f ca="1">'Map 3'!E40</f>
        <v>Flatland</v>
      </c>
      <c r="F38" s="3" t="str">
        <f ca="1">'Map 3'!F40</f>
        <v>Flatland</v>
      </c>
      <c r="G38" s="3" t="str">
        <f ca="1">'Map 3'!G40</f>
        <v>Flatland</v>
      </c>
      <c r="H38" s="3" t="str">
        <f ca="1">'Map 3'!H40</f>
        <v>Flatland</v>
      </c>
      <c r="I38" s="3" t="str">
        <f ca="1">'Map 3'!I40</f>
        <v>Flatland</v>
      </c>
      <c r="J38" s="3" t="str">
        <f ca="1">'Map 3'!J40</f>
        <v>Ocean</v>
      </c>
      <c r="K38" s="3" t="str">
        <f ca="1">'Map 3'!K40</f>
        <v>Ocean</v>
      </c>
      <c r="L38" s="3" t="str">
        <f ca="1">'Map 3'!L40</f>
        <v>Island</v>
      </c>
      <c r="M38" s="3" t="str">
        <f ca="1">'Map 3'!M40</f>
        <v>Ocean</v>
      </c>
      <c r="N38" s="3" t="str">
        <f ca="1">'Map 3'!N40</f>
        <v>Ocean</v>
      </c>
      <c r="O38" s="3" t="str">
        <f ca="1">'Map 3'!O40</f>
        <v>Ocean</v>
      </c>
      <c r="P38" s="3" t="str">
        <f ca="1">'Map 3'!P40</f>
        <v>Ocean</v>
      </c>
      <c r="Q38" s="3" t="str">
        <f ca="1">'Map 3'!Q40</f>
        <v>Ocean</v>
      </c>
      <c r="R38" s="3" t="str">
        <f ca="1">'Map 3'!R40</f>
        <v>Ocean</v>
      </c>
      <c r="S38" s="3" t="str">
        <f ca="1">'Map 3'!S40</f>
        <v>Ocean</v>
      </c>
      <c r="T38" s="3" t="str">
        <f ca="1">'Map 3'!T40</f>
        <v>Ocean</v>
      </c>
      <c r="U38" s="3" t="str">
        <f ca="1">'Map 3'!U40</f>
        <v>Ocean</v>
      </c>
      <c r="V38" s="3" t="str">
        <f ca="1">'Map 3'!V40</f>
        <v>Ocean</v>
      </c>
      <c r="W38" s="3" t="str">
        <f ca="1">'Map 3'!W40</f>
        <v>Ocean</v>
      </c>
      <c r="X38" s="3" t="str">
        <f ca="1">'Map 3'!X40</f>
        <v>Ocean</v>
      </c>
      <c r="Y38" s="3" t="str">
        <f ca="1">'Map 3'!Y40</f>
        <v>Ocean</v>
      </c>
      <c r="Z38" s="3" t="str">
        <f ca="1">'Map 3'!Z40</f>
        <v>Ocean</v>
      </c>
      <c r="AA38" s="3" t="str">
        <f ca="1">'Map 3'!AA40</f>
        <v>Ocean</v>
      </c>
      <c r="AB38" s="3" t="str">
        <f ca="1">'Map 3'!AB40</f>
        <v>Ocean</v>
      </c>
      <c r="AC38" s="3" t="str">
        <f ca="1">'Map 3'!AC40</f>
        <v>Ocean</v>
      </c>
      <c r="AD38" s="3" t="str">
        <f ca="1">'Map 3'!AD40</f>
        <v>Ocean</v>
      </c>
      <c r="AE38" s="3" t="str">
        <f ca="1">'Map 3'!AE40</f>
        <v>Trench</v>
      </c>
      <c r="AF38" s="3" t="str">
        <f ca="1">'Map 3'!AF40</f>
        <v>Ocean</v>
      </c>
      <c r="AG38" s="3" t="str">
        <f ca="1">'Map 3'!AG40</f>
        <v>Island</v>
      </c>
      <c r="AH38" s="3" t="str">
        <f ca="1">'Map 3'!AH40</f>
        <v>Ocean</v>
      </c>
      <c r="AI38" s="3" t="str">
        <f ca="1">'Map 3'!AI40</f>
        <v>Ocean</v>
      </c>
      <c r="AJ38" s="3" t="str">
        <f ca="1">'Map 3'!AJ40</f>
        <v>Ocean</v>
      </c>
      <c r="AK38" s="3" t="str">
        <f ca="1">'Map 3'!AK40</f>
        <v>Trench</v>
      </c>
      <c r="AL38" s="3" t="str">
        <f ca="1">'Map 3'!AL40</f>
        <v>Ocean</v>
      </c>
      <c r="AM38" s="3" t="str">
        <f ca="1">'Map 3'!AM40</f>
        <v>Ocean</v>
      </c>
      <c r="AN38" s="3" t="str">
        <f ca="1">'Map 3'!AN40</f>
        <v>Ocean</v>
      </c>
      <c r="AO38" s="3" t="str">
        <f ca="1">'Map 3'!AO40</f>
        <v>Ocean</v>
      </c>
      <c r="AP38" s="3">
        <f>ROUND(AR38-273.15,2)</f>
        <v>35.299999999999997</v>
      </c>
      <c r="AQ38" s="3">
        <f t="shared" si="4"/>
        <v>95.54</v>
      </c>
      <c r="AR38" s="3">
        <f t="shared" si="5"/>
        <v>308.4500000000001</v>
      </c>
      <c r="AS38" s="41">
        <v>-40.5</v>
      </c>
      <c r="AT38" s="41" t="str">
        <f>IF(AT21="⤵","⤴","⤵")</f>
        <v>⤵</v>
      </c>
    </row>
    <row r="39" spans="1:46" ht="24">
      <c r="A39" s="3">
        <v>30</v>
      </c>
      <c r="B39" s="3" t="str">
        <f ca="1">'Map 3'!B41</f>
        <v>Ocean</v>
      </c>
      <c r="C39" s="3" t="str">
        <f ca="1">'Map 3'!C41</f>
        <v>Drop Off</v>
      </c>
      <c r="D39" s="3" t="str">
        <f ca="1">'Map 3'!D41</f>
        <v>Valley</v>
      </c>
      <c r="E39" s="3" t="str">
        <f ca="1">'Map 3'!E41</f>
        <v>Flatland</v>
      </c>
      <c r="F39" s="3" t="str">
        <f ca="1">'Map 3'!F41</f>
        <v>Valley</v>
      </c>
      <c r="G39" s="3" t="str">
        <f ca="1">'Map 3'!G41</f>
        <v>Flatland</v>
      </c>
      <c r="H39" s="3" t="str">
        <f ca="1">'Map 3'!H41</f>
        <v>Flatland</v>
      </c>
      <c r="I39" s="3" t="str">
        <f ca="1">'Map 3'!I41</f>
        <v>Coast</v>
      </c>
      <c r="J39" s="3" t="str">
        <f ca="1">'Map 3'!J41</f>
        <v>Ocean</v>
      </c>
      <c r="K39" s="3" t="str">
        <f ca="1">'Map 3'!K41</f>
        <v>Ocean</v>
      </c>
      <c r="L39" s="3" t="str">
        <f ca="1">'Map 3'!L41</f>
        <v>Trench</v>
      </c>
      <c r="M39" s="3" t="str">
        <f ca="1">'Map 3'!M41</f>
        <v>Ocean</v>
      </c>
      <c r="N39" s="3" t="str">
        <f ca="1">'Map 3'!N41</f>
        <v>Ocean</v>
      </c>
      <c r="O39" s="3" t="str">
        <f ca="1">'Map 3'!O41</f>
        <v>Trench</v>
      </c>
      <c r="P39" s="3" t="str">
        <f ca="1">'Map 3'!P41</f>
        <v>Trench</v>
      </c>
      <c r="Q39" s="3" t="str">
        <f ca="1">'Map 3'!Q41</f>
        <v>Trench</v>
      </c>
      <c r="R39" s="3" t="str">
        <f ca="1">'Map 3'!R41</f>
        <v>Island</v>
      </c>
      <c r="S39" s="3" t="str">
        <f ca="1">'Map 3'!S41</f>
        <v>Island</v>
      </c>
      <c r="T39" s="3" t="str">
        <f ca="1">'Map 3'!T41</f>
        <v>Ocean</v>
      </c>
      <c r="U39" s="3" t="str">
        <f ca="1">'Map 3'!U41</f>
        <v>Trench</v>
      </c>
      <c r="V39" s="3" t="str">
        <f ca="1">'Map 3'!V41</f>
        <v>Ocean</v>
      </c>
      <c r="W39" s="3" t="str">
        <f ca="1">'Map 3'!W41</f>
        <v>Ocean</v>
      </c>
      <c r="X39" s="3" t="str">
        <f ca="1">'Map 3'!X41</f>
        <v>Ocean</v>
      </c>
      <c r="Y39" s="3" t="str">
        <f ca="1">'Map 3'!Y41</f>
        <v>Ocean</v>
      </c>
      <c r="Z39" s="3" t="str">
        <f ca="1">'Map 3'!Z41</f>
        <v>Ocean</v>
      </c>
      <c r="AA39" s="3" t="str">
        <f ca="1">'Map 3'!AA41</f>
        <v>Ocean</v>
      </c>
      <c r="AB39" s="3" t="str">
        <f ca="1">'Map 3'!AB41</f>
        <v>Island</v>
      </c>
      <c r="AC39" s="3" t="str">
        <f ca="1">'Map 3'!AC41</f>
        <v>Ocean</v>
      </c>
      <c r="AD39" s="3" t="str">
        <f ca="1">'Map 3'!AD41</f>
        <v>Trench</v>
      </c>
      <c r="AE39" s="3" t="str">
        <f ca="1">'Map 3'!AE41</f>
        <v>Island</v>
      </c>
      <c r="AF39" s="3" t="str">
        <f ca="1">'Map 3'!AF41</f>
        <v>Ocean</v>
      </c>
      <c r="AG39" s="3" t="str">
        <f ca="1">'Map 3'!AG41</f>
        <v>Ocean</v>
      </c>
      <c r="AH39" s="3" t="str">
        <f ca="1">'Map 3'!AH41</f>
        <v>Ocean</v>
      </c>
      <c r="AI39" s="3" t="str">
        <f ca="1">'Map 3'!AI41</f>
        <v>Island</v>
      </c>
      <c r="AJ39" s="3" t="str">
        <f ca="1">'Map 3'!AJ41</f>
        <v>Ocean</v>
      </c>
      <c r="AK39" s="3" t="str">
        <f ca="1">'Map 3'!AK41</f>
        <v>Island</v>
      </c>
      <c r="AL39" s="3" t="str">
        <f ca="1">'Map 3'!AL41</f>
        <v>Trench</v>
      </c>
      <c r="AM39" s="3" t="str">
        <f ca="1">'Map 3'!AM41</f>
        <v>Ocean</v>
      </c>
      <c r="AN39" s="3" t="str">
        <f ca="1">'Map 3'!AN41</f>
        <v>Ocean</v>
      </c>
      <c r="AO39" s="3" t="str">
        <f ca="1">'Map 3'!AO41</f>
        <v>Coast</v>
      </c>
      <c r="AP39" s="3">
        <f>ROUND(AR39-273.15,2)</f>
        <v>28.35</v>
      </c>
      <c r="AQ39" s="3">
        <f t="shared" si="4"/>
        <v>83.03</v>
      </c>
      <c r="AR39" s="3">
        <f t="shared" si="5"/>
        <v>301.50000000000011</v>
      </c>
      <c r="AS39" s="41">
        <v>-45</v>
      </c>
      <c r="AT39" s="41" t="str">
        <f>IF(AT20="⤵","⤴","⤵")</f>
        <v>⤵</v>
      </c>
    </row>
    <row r="40" spans="1:46" ht="24">
      <c r="A40" s="3">
        <v>31</v>
      </c>
      <c r="B40" s="3" t="str">
        <f ca="1">'Map 3'!B42</f>
        <v>Flatland</v>
      </c>
      <c r="C40" s="3" t="str">
        <f ca="1">'Map 3'!C42</f>
        <v>Flatland</v>
      </c>
      <c r="D40" s="3" t="str">
        <f ca="1">'Map 3'!D42</f>
        <v>Flatland</v>
      </c>
      <c r="E40" s="3" t="str">
        <f ca="1">'Map 3'!E42</f>
        <v>Valley</v>
      </c>
      <c r="F40" s="3" t="str">
        <f ca="1">'Map 3'!F42</f>
        <v>Flatland</v>
      </c>
      <c r="G40" s="3" t="str">
        <f ca="1">'Map 3'!G42</f>
        <v>Flatland</v>
      </c>
      <c r="H40" s="3" t="str">
        <f ca="1">'Map 3'!H42</f>
        <v>Flatland</v>
      </c>
      <c r="I40" s="3" t="str">
        <f ca="1">'Map 3'!I42</f>
        <v>Ocean</v>
      </c>
      <c r="J40" s="3" t="str">
        <f ca="1">'Map 3'!J42</f>
        <v>Coast</v>
      </c>
      <c r="K40" s="3" t="str">
        <f ca="1">'Map 3'!K42</f>
        <v>Coast</v>
      </c>
      <c r="L40" s="3" t="str">
        <f ca="1">'Map 3'!L42</f>
        <v>Ocean</v>
      </c>
      <c r="M40" s="3" t="str">
        <f ca="1">'Map 3'!M42</f>
        <v>Island</v>
      </c>
      <c r="N40" s="3" t="str">
        <f ca="1">'Map 3'!N42</f>
        <v>Island</v>
      </c>
      <c r="O40" s="3" t="str">
        <f ca="1">'Map 3'!O42</f>
        <v>Trench</v>
      </c>
      <c r="P40" s="3" t="str">
        <f ca="1">'Map 3'!P42</f>
        <v>Ocean</v>
      </c>
      <c r="Q40" s="3" t="str">
        <f ca="1">'Map 3'!Q42</f>
        <v>Trench</v>
      </c>
      <c r="R40" s="3" t="str">
        <f ca="1">'Map 3'!R42</f>
        <v>Island</v>
      </c>
      <c r="S40" s="3" t="str">
        <f ca="1">'Map 3'!S42</f>
        <v>Trench</v>
      </c>
      <c r="T40" s="3" t="str">
        <f ca="1">'Map 3'!T42</f>
        <v>Ocean</v>
      </c>
      <c r="U40" s="3" t="str">
        <f ca="1">'Map 3'!U42</f>
        <v>Island</v>
      </c>
      <c r="V40" s="3" t="str">
        <f ca="1">'Map 3'!V42</f>
        <v>Trench</v>
      </c>
      <c r="W40" s="3" t="str">
        <f ca="1">'Map 3'!W42</f>
        <v>Ocean</v>
      </c>
      <c r="X40" s="3" t="str">
        <f ca="1">'Map 3'!X42</f>
        <v>Ocean</v>
      </c>
      <c r="Y40" s="3" t="str">
        <f ca="1">'Map 3'!Y42</f>
        <v>Ocean</v>
      </c>
      <c r="Z40" s="3" t="str">
        <f ca="1">'Map 3'!Z42</f>
        <v>Ocean</v>
      </c>
      <c r="AA40" s="3" t="str">
        <f ca="1">'Map 3'!AA42</f>
        <v>Island</v>
      </c>
      <c r="AB40" s="3" t="str">
        <f ca="1">'Map 3'!AB42</f>
        <v>Ocean</v>
      </c>
      <c r="AC40" s="3" t="str">
        <f ca="1">'Map 3'!AC42</f>
        <v>Trench</v>
      </c>
      <c r="AD40" s="3" t="str">
        <f ca="1">'Map 3'!AD42</f>
        <v>Island</v>
      </c>
      <c r="AE40" s="3" t="str">
        <f ca="1">'Map 3'!AE42</f>
        <v>Ocean</v>
      </c>
      <c r="AF40" s="3" t="str">
        <f ca="1">'Map 3'!AF42</f>
        <v>Island</v>
      </c>
      <c r="AG40" s="3" t="str">
        <f ca="1">'Map 3'!AG42</f>
        <v>Island</v>
      </c>
      <c r="AH40" s="3" t="str">
        <f ca="1">'Map 3'!AH42</f>
        <v>Ocean</v>
      </c>
      <c r="AI40" s="3" t="str">
        <f ca="1">'Map 3'!AI42</f>
        <v>Ocean</v>
      </c>
      <c r="AJ40" s="3" t="str">
        <f ca="1">'Map 3'!AJ42</f>
        <v>Island</v>
      </c>
      <c r="AK40" s="3" t="str">
        <f ca="1">'Map 3'!AK42</f>
        <v>Ocean</v>
      </c>
      <c r="AL40" s="3" t="str">
        <f ca="1">'Map 3'!AL42</f>
        <v>Ocean</v>
      </c>
      <c r="AM40" s="3" t="str">
        <f ca="1">'Map 3'!AM42</f>
        <v>Island</v>
      </c>
      <c r="AN40" s="3" t="str">
        <f ca="1">'Map 3'!AN42</f>
        <v>Ocean</v>
      </c>
      <c r="AO40" s="3" t="str">
        <f ca="1">'Map 3'!AO42</f>
        <v>Mountain</v>
      </c>
      <c r="AP40" s="3">
        <f>ROUND(AR40-273.15,2)</f>
        <v>21.4</v>
      </c>
      <c r="AQ40" s="3">
        <f t="shared" si="4"/>
        <v>70.52</v>
      </c>
      <c r="AR40" s="3">
        <f t="shared" si="5"/>
        <v>294.55000000000013</v>
      </c>
      <c r="AS40" s="41">
        <v>-49.5</v>
      </c>
      <c r="AT40" s="41" t="str">
        <f>IF(AT19="⤵","⤴","⤵")</f>
        <v>⤵</v>
      </c>
    </row>
    <row r="41" spans="1:46" ht="24">
      <c r="A41" s="3">
        <v>32</v>
      </c>
      <c r="B41" s="3" t="str">
        <f ca="1">'Map 3'!B43</f>
        <v>Drop Off</v>
      </c>
      <c r="C41" s="3" t="str">
        <f ca="1">'Map 3'!C43</f>
        <v>Flatland</v>
      </c>
      <c r="D41" s="3" t="str">
        <f ca="1">'Map 3'!D43</f>
        <v>Drop Off</v>
      </c>
      <c r="E41" s="3" t="str">
        <f ca="1">'Map 3'!E43</f>
        <v>Coast</v>
      </c>
      <c r="F41" s="3" t="str">
        <f ca="1">'Map 3'!F43</f>
        <v>Flatland</v>
      </c>
      <c r="G41" s="3" t="str">
        <f ca="1">'Map 3'!G43</f>
        <v>Flatland</v>
      </c>
      <c r="H41" s="3" t="str">
        <f ca="1">'Map 3'!H43</f>
        <v>Flatland</v>
      </c>
      <c r="I41" s="3" t="str">
        <f ca="1">'Map 3'!I43</f>
        <v>Ocean</v>
      </c>
      <c r="J41" s="3" t="str">
        <f ca="1">'Map 3'!J43</f>
        <v>Coast</v>
      </c>
      <c r="K41" s="3" t="str">
        <f ca="1">'Map 3'!K43</f>
        <v>Ocean</v>
      </c>
      <c r="L41" s="3" t="str">
        <f ca="1">'Map 3'!L43</f>
        <v>Ocean</v>
      </c>
      <c r="M41" s="3" t="str">
        <f ca="1">'Map 3'!M43</f>
        <v>Trench</v>
      </c>
      <c r="N41" s="3" t="str">
        <f ca="1">'Map 3'!N43</f>
        <v>Coast</v>
      </c>
      <c r="O41" s="3" t="str">
        <f ca="1">'Map 3'!O43</f>
        <v>Coast</v>
      </c>
      <c r="P41" s="3" t="str">
        <f ca="1">'Map 3'!P43</f>
        <v>Coast</v>
      </c>
      <c r="Q41" s="3" t="str">
        <f ca="1">'Map 3'!Q43</f>
        <v>Coast</v>
      </c>
      <c r="R41" s="3" t="str">
        <f ca="1">'Map 3'!R43</f>
        <v>Trench</v>
      </c>
      <c r="S41" s="3" t="str">
        <f ca="1">'Map 3'!S43</f>
        <v>Ocean</v>
      </c>
      <c r="T41" s="3" t="str">
        <f ca="1">'Map 3'!T43</f>
        <v>Ocean</v>
      </c>
      <c r="U41" s="3" t="str">
        <f ca="1">'Map 3'!U43</f>
        <v>Trench</v>
      </c>
      <c r="V41" s="3" t="str">
        <f ca="1">'Map 3'!V43</f>
        <v>Ocean</v>
      </c>
      <c r="W41" s="3" t="str">
        <f ca="1">'Map 3'!W43</f>
        <v>Ocean</v>
      </c>
      <c r="X41" s="3" t="str">
        <f ca="1">'Map 3'!X43</f>
        <v>Ocean</v>
      </c>
      <c r="Y41" s="3" t="str">
        <f ca="1">'Map 3'!Y43</f>
        <v>Ocean</v>
      </c>
      <c r="Z41" s="3" t="str">
        <f ca="1">'Map 3'!Z43</f>
        <v>Island</v>
      </c>
      <c r="AA41" s="3" t="str">
        <f ca="1">'Map 3'!AA43</f>
        <v>Ocean</v>
      </c>
      <c r="AB41" s="3" t="str">
        <f ca="1">'Map 3'!AB43</f>
        <v>Ocean</v>
      </c>
      <c r="AC41" s="3" t="str">
        <f ca="1">'Map 3'!AC43</f>
        <v>Island</v>
      </c>
      <c r="AD41" s="3" t="str">
        <f ca="1">'Map 3'!AD43</f>
        <v>Ocean</v>
      </c>
      <c r="AE41" s="3" t="str">
        <f ca="1">'Map 3'!AE43</f>
        <v>Island</v>
      </c>
      <c r="AF41" s="3" t="str">
        <f ca="1">'Map 3'!AF43</f>
        <v>Island</v>
      </c>
      <c r="AG41" s="3" t="str">
        <f ca="1">'Map 3'!AG43</f>
        <v>Trench</v>
      </c>
      <c r="AH41" s="3" t="str">
        <f ca="1">'Map 3'!AH43</f>
        <v>Ocean</v>
      </c>
      <c r="AI41" s="3" t="str">
        <f ca="1">'Map 3'!AI43</f>
        <v>Ocean</v>
      </c>
      <c r="AJ41" s="3" t="str">
        <f ca="1">'Map 3'!AJ43</f>
        <v>Ocean</v>
      </c>
      <c r="AK41" s="3" t="str">
        <f ca="1">'Map 3'!AK43</f>
        <v>Ocean</v>
      </c>
      <c r="AL41" s="3" t="str">
        <f ca="1">'Map 3'!AL43</f>
        <v>Ocean</v>
      </c>
      <c r="AM41" s="3" t="str">
        <f ca="1">'Map 3'!AM43</f>
        <v>Ocean</v>
      </c>
      <c r="AN41" s="3" t="str">
        <f ca="1">'Map 3'!AN43</f>
        <v>Island</v>
      </c>
      <c r="AO41" s="3" t="str">
        <f ca="1">'Map 3'!AO43</f>
        <v>Ocean</v>
      </c>
      <c r="AP41" s="3">
        <f>ROUND(AR41-273.15,2)</f>
        <v>14.45</v>
      </c>
      <c r="AQ41" s="3">
        <f t="shared" si="4"/>
        <v>58.01</v>
      </c>
      <c r="AR41" s="3">
        <f t="shared" si="5"/>
        <v>287.60000000000014</v>
      </c>
      <c r="AS41" s="41">
        <v>-54</v>
      </c>
      <c r="AT41" s="41" t="str">
        <f>IF(AT18="⤵","⤴","⤵")</f>
        <v>⤵</v>
      </c>
    </row>
    <row r="42" spans="1:46" ht="24">
      <c r="A42" s="3">
        <v>33</v>
      </c>
      <c r="B42" s="3" t="str">
        <f ca="1">'Map 3'!B44</f>
        <v>Ocean</v>
      </c>
      <c r="C42" s="3" t="str">
        <f ca="1">'Map 3'!C44</f>
        <v>Ocean</v>
      </c>
      <c r="D42" s="3" t="str">
        <f ca="1">'Map 3'!D44</f>
        <v>Coast</v>
      </c>
      <c r="E42" s="3" t="str">
        <f ca="1">'Map 3'!E44</f>
        <v>Flatland</v>
      </c>
      <c r="F42" s="3" t="str">
        <f ca="1">'Map 3'!F44</f>
        <v>Flatland</v>
      </c>
      <c r="G42" s="3" t="str">
        <f ca="1">'Map 3'!G44</f>
        <v>Flatland</v>
      </c>
      <c r="H42" s="3" t="str">
        <f ca="1">'Map 3'!H44</f>
        <v>Flatland</v>
      </c>
      <c r="I42" s="3" t="str">
        <f ca="1">'Map 3'!I44</f>
        <v>Ocean</v>
      </c>
      <c r="J42" s="3" t="str">
        <f ca="1">'Map 3'!J44</f>
        <v>Ocean</v>
      </c>
      <c r="K42" s="3" t="str">
        <f ca="1">'Map 3'!K44</f>
        <v>Coast</v>
      </c>
      <c r="L42" s="3" t="str">
        <f ca="1">'Map 3'!L44</f>
        <v>Coast</v>
      </c>
      <c r="M42" s="3" t="str">
        <f ca="1">'Map 3'!M44</f>
        <v>Ocean</v>
      </c>
      <c r="N42" s="3" t="str">
        <f ca="1">'Map 3'!N44</f>
        <v>Flatland</v>
      </c>
      <c r="O42" s="3" t="str">
        <f ca="1">'Map 3'!O44</f>
        <v>Coast</v>
      </c>
      <c r="P42" s="3" t="str">
        <f ca="1">'Map 3'!P44</f>
        <v>Flatland</v>
      </c>
      <c r="Q42" s="3" t="str">
        <f ca="1">'Map 3'!Q44</f>
        <v>Coast</v>
      </c>
      <c r="R42" s="3" t="str">
        <f ca="1">'Map 3'!R44</f>
        <v>Coast</v>
      </c>
      <c r="S42" s="3" t="str">
        <f ca="1">'Map 3'!S44</f>
        <v>Ocean</v>
      </c>
      <c r="T42" s="3" t="str">
        <f ca="1">'Map 3'!T44</f>
        <v>Ocean</v>
      </c>
      <c r="U42" s="3" t="str">
        <f ca="1">'Map 3'!U44</f>
        <v>Ocean</v>
      </c>
      <c r="V42" s="3" t="str">
        <f ca="1">'Map 3'!V44</f>
        <v>Ocean</v>
      </c>
      <c r="W42" s="3" t="str">
        <f ca="1">'Map 3'!W44</f>
        <v>Ocean</v>
      </c>
      <c r="X42" s="3" t="str">
        <f ca="1">'Map 3'!X44</f>
        <v>Ocean</v>
      </c>
      <c r="Y42" s="3" t="str">
        <f ca="1">'Map 3'!Y44</f>
        <v>Ocean</v>
      </c>
      <c r="Z42" s="3" t="str">
        <f ca="1">'Map 3'!Z44</f>
        <v>Ocean</v>
      </c>
      <c r="AA42" s="3" t="str">
        <f ca="1">'Map 3'!AA44</f>
        <v>Trench</v>
      </c>
      <c r="AB42" s="3" t="str">
        <f ca="1">'Map 3'!AB44</f>
        <v>Island</v>
      </c>
      <c r="AC42" s="3" t="str">
        <f ca="1">'Map 3'!AC44</f>
        <v>Ocean</v>
      </c>
      <c r="AD42" s="3" t="str">
        <f ca="1">'Map 3'!AD44</f>
        <v>Ocean</v>
      </c>
      <c r="AE42" s="3" t="str">
        <f ca="1">'Map 3'!AE44</f>
        <v>Trench</v>
      </c>
      <c r="AF42" s="3" t="str">
        <f ca="1">'Map 3'!AF44</f>
        <v>Trench</v>
      </c>
      <c r="AG42" s="3" t="str">
        <f ca="1">'Map 3'!AG44</f>
        <v>Ocean</v>
      </c>
      <c r="AH42" s="3" t="str">
        <f ca="1">'Map 3'!AH44</f>
        <v>Ocean</v>
      </c>
      <c r="AI42" s="3" t="str">
        <f ca="1">'Map 3'!AI44</f>
        <v>Ocean</v>
      </c>
      <c r="AJ42" s="3" t="str">
        <f ca="1">'Map 3'!AJ44</f>
        <v>Ocean</v>
      </c>
      <c r="AK42" s="3" t="str">
        <f ca="1">'Map 3'!AK44</f>
        <v>Ocean</v>
      </c>
      <c r="AL42" s="3" t="str">
        <f ca="1">'Map 3'!AL44</f>
        <v>Ocean</v>
      </c>
      <c r="AM42" s="3" t="str">
        <f ca="1">'Map 3'!AM44</f>
        <v>Ocean</v>
      </c>
      <c r="AN42" s="3" t="str">
        <f ca="1">'Map 3'!AN44</f>
        <v>Ocean</v>
      </c>
      <c r="AO42" s="3" t="str">
        <f ca="1">'Map 3'!AO44</f>
        <v>Trench</v>
      </c>
      <c r="AP42" s="3">
        <f>ROUND(AR42-273.15,2)</f>
        <v>7.5</v>
      </c>
      <c r="AQ42" s="3">
        <f t="shared" si="4"/>
        <v>45.5</v>
      </c>
      <c r="AR42" s="3">
        <f t="shared" si="5"/>
        <v>280.65000000000015</v>
      </c>
      <c r="AS42" s="41">
        <v>-58.5</v>
      </c>
      <c r="AT42" s="41" t="str">
        <f>IF(AT17="⤵","⤴","⤵")</f>
        <v>⤵</v>
      </c>
    </row>
    <row r="43" spans="1:46" ht="24">
      <c r="A43" s="3">
        <v>34</v>
      </c>
      <c r="B43" s="3" t="str">
        <f ca="1">'Map 3'!B45</f>
        <v>Ocean</v>
      </c>
      <c r="C43" s="3" t="str">
        <f ca="1">'Map 3'!C45</f>
        <v>Ocean</v>
      </c>
      <c r="D43" s="3" t="str">
        <f ca="1">'Map 3'!D45</f>
        <v>Coast</v>
      </c>
      <c r="E43" s="3" t="str">
        <f ca="1">'Map 3'!E45</f>
        <v>Ocean</v>
      </c>
      <c r="F43" s="3" t="str">
        <f ca="1">'Map 3'!F45</f>
        <v>Ocean</v>
      </c>
      <c r="G43" s="3" t="str">
        <f ca="1">'Map 3'!G45</f>
        <v>Ocean</v>
      </c>
      <c r="H43" s="3" t="str">
        <f ca="1">'Map 3'!H45</f>
        <v>Ocean</v>
      </c>
      <c r="I43" s="3" t="str">
        <f ca="1">'Map 3'!I45</f>
        <v>Ocean</v>
      </c>
      <c r="J43" s="3" t="str">
        <f ca="1">'Map 3'!J45</f>
        <v>Coast</v>
      </c>
      <c r="K43" s="3" t="str">
        <f ca="1">'Map 3'!K45</f>
        <v>Flatland</v>
      </c>
      <c r="L43" s="3" t="str">
        <f ca="1">'Map 3'!L45</f>
        <v>Coast</v>
      </c>
      <c r="M43" s="3" t="str">
        <f ca="1">'Map 3'!M45</f>
        <v>Flatland</v>
      </c>
      <c r="N43" s="3" t="str">
        <f ca="1">'Map 3'!N45</f>
        <v>Flatland</v>
      </c>
      <c r="O43" s="3" t="str">
        <f ca="1">'Map 3'!O45</f>
        <v>Flatland</v>
      </c>
      <c r="P43" s="3" t="str">
        <f ca="1">'Map 3'!P45</f>
        <v>Flatland</v>
      </c>
      <c r="Q43" s="3" t="str">
        <f ca="1">'Map 3'!Q45</f>
        <v>Coast</v>
      </c>
      <c r="R43" s="3" t="str">
        <f ca="1">'Map 3'!R45</f>
        <v>Ocean</v>
      </c>
      <c r="S43" s="3" t="str">
        <f ca="1">'Map 3'!S45</f>
        <v>Ocean</v>
      </c>
      <c r="T43" s="3" t="str">
        <f ca="1">'Map 3'!T45</f>
        <v>Ocean</v>
      </c>
      <c r="U43" s="3" t="str">
        <f ca="1">'Map 3'!U45</f>
        <v>Ocean</v>
      </c>
      <c r="V43" s="3" t="str">
        <f ca="1">'Map 3'!V45</f>
        <v>Ocean</v>
      </c>
      <c r="W43" s="3" t="str">
        <f ca="1">'Map 3'!W45</f>
        <v>Ocean</v>
      </c>
      <c r="X43" s="3" t="str">
        <f ca="1">'Map 3'!X45</f>
        <v>Ocean</v>
      </c>
      <c r="Y43" s="3" t="str">
        <f ca="1">'Map 3'!Y45</f>
        <v>Ocean</v>
      </c>
      <c r="Z43" s="3" t="str">
        <f ca="1">'Map 3'!Z45</f>
        <v>Trench</v>
      </c>
      <c r="AA43" s="3" t="str">
        <f ca="1">'Map 3'!AA45</f>
        <v>Island</v>
      </c>
      <c r="AB43" s="3" t="str">
        <f ca="1">'Map 3'!AB45</f>
        <v>Ocean</v>
      </c>
      <c r="AC43" s="3" t="str">
        <f ca="1">'Map 3'!AC45</f>
        <v>Ocean</v>
      </c>
      <c r="AD43" s="3" t="str">
        <f ca="1">'Map 3'!AD45</f>
        <v>Ocean</v>
      </c>
      <c r="AE43" s="3" t="str">
        <f ca="1">'Map 3'!AE45</f>
        <v>Ocean</v>
      </c>
      <c r="AF43" s="3" t="str">
        <f ca="1">'Map 3'!AF45</f>
        <v>Ocean</v>
      </c>
      <c r="AG43" s="3" t="str">
        <f ca="1">'Map 3'!AG45</f>
        <v>Ocean</v>
      </c>
      <c r="AH43" s="3" t="str">
        <f ca="1">'Map 3'!AH45</f>
        <v>Ocean</v>
      </c>
      <c r="AI43" s="3" t="str">
        <f ca="1">'Map 3'!AI45</f>
        <v>Ocean</v>
      </c>
      <c r="AJ43" s="3" t="str">
        <f ca="1">'Map 3'!AJ45</f>
        <v>Ocean</v>
      </c>
      <c r="AK43" s="3" t="str">
        <f ca="1">'Map 3'!AK45</f>
        <v>Ocean</v>
      </c>
      <c r="AL43" s="3" t="str">
        <f ca="1">'Map 3'!AL45</f>
        <v>Ocean</v>
      </c>
      <c r="AM43" s="3" t="str">
        <f ca="1">'Map 3'!AM45</f>
        <v>Ocean</v>
      </c>
      <c r="AN43" s="3" t="str">
        <f ca="1">'Map 3'!AN45</f>
        <v>Ocean</v>
      </c>
      <c r="AO43" s="3" t="str">
        <f ca="1">'Map 3'!AO45</f>
        <v>Ocean</v>
      </c>
      <c r="AP43" s="3">
        <f>ROUND(AR43-273.15,2)</f>
        <v>0.55000000000000004</v>
      </c>
      <c r="AQ43" s="3">
        <f t="shared" si="4"/>
        <v>32.99</v>
      </c>
      <c r="AR43" s="3">
        <f t="shared" si="5"/>
        <v>273.70000000000016</v>
      </c>
      <c r="AS43" s="41">
        <v>-63</v>
      </c>
      <c r="AT43" s="41" t="str">
        <f>IF(AT16="⤵","⤴","⤵")</f>
        <v>⤴</v>
      </c>
    </row>
    <row r="44" spans="1:46" ht="24">
      <c r="A44" s="3">
        <v>35</v>
      </c>
      <c r="B44" s="3" t="str">
        <f ca="1">'Map 3'!B46</f>
        <v>Ocean</v>
      </c>
      <c r="C44" s="3" t="str">
        <f ca="1">'Map 3'!C46</f>
        <v>Ocean</v>
      </c>
      <c r="D44" s="3" t="str">
        <f ca="1">'Map 3'!D46</f>
        <v>Ocean</v>
      </c>
      <c r="E44" s="3" t="str">
        <f ca="1">'Map 3'!E46</f>
        <v>Ocean</v>
      </c>
      <c r="F44" s="3" t="str">
        <f ca="1">'Map 3'!F46</f>
        <v>Ocean</v>
      </c>
      <c r="G44" s="3" t="str">
        <f ca="1">'Map 3'!G46</f>
        <v>Ocean</v>
      </c>
      <c r="H44" s="3" t="str">
        <f ca="1">'Map 3'!H46</f>
        <v>Ocean</v>
      </c>
      <c r="I44" s="3" t="str">
        <f ca="1">'Map 3'!I46</f>
        <v>Ocean</v>
      </c>
      <c r="J44" s="3" t="str">
        <f ca="1">'Map 3'!J46</f>
        <v>Coast</v>
      </c>
      <c r="K44" s="3" t="str">
        <f ca="1">'Map 3'!K46</f>
        <v>Coast</v>
      </c>
      <c r="L44" s="3" t="str">
        <f ca="1">'Map 3'!L46</f>
        <v>Flatland</v>
      </c>
      <c r="M44" s="3" t="str">
        <f ca="1">'Map 3'!M46</f>
        <v>Flatland</v>
      </c>
      <c r="N44" s="3" t="str">
        <f ca="1">'Map 3'!N46</f>
        <v>Flatland</v>
      </c>
      <c r="O44" s="3" t="str">
        <f ca="1">'Map 3'!O46</f>
        <v>Flatland</v>
      </c>
      <c r="P44" s="3" t="str">
        <f ca="1">'Map 3'!P46</f>
        <v>Flatland</v>
      </c>
      <c r="Q44" s="3" t="str">
        <f ca="1">'Map 3'!Q46</f>
        <v>Coast</v>
      </c>
      <c r="R44" s="3" t="str">
        <f ca="1">'Map 3'!R46</f>
        <v>Cliff</v>
      </c>
      <c r="S44" s="3" t="str">
        <f ca="1">'Map 3'!S46</f>
        <v>Trench</v>
      </c>
      <c r="T44" s="3" t="str">
        <f ca="1">'Map 3'!T46</f>
        <v>Ocean</v>
      </c>
      <c r="U44" s="3" t="str">
        <f ca="1">'Map 3'!U46</f>
        <v>Ocean</v>
      </c>
      <c r="V44" s="3" t="str">
        <f ca="1">'Map 3'!V46</f>
        <v>Ocean</v>
      </c>
      <c r="W44" s="3" t="str">
        <f ca="1">'Map 3'!W46</f>
        <v>Ocean</v>
      </c>
      <c r="X44" s="3" t="str">
        <f ca="1">'Map 3'!X46</f>
        <v>Ocean</v>
      </c>
      <c r="Y44" s="3" t="str">
        <f ca="1">'Map 3'!Y46</f>
        <v>Ocean</v>
      </c>
      <c r="Z44" s="3" t="str">
        <f ca="1">'Map 3'!Z46</f>
        <v>Ocean</v>
      </c>
      <c r="AA44" s="3" t="str">
        <f ca="1">'Map 3'!AA46</f>
        <v>Ocean</v>
      </c>
      <c r="AB44" s="3" t="str">
        <f ca="1">'Map 3'!AB46</f>
        <v>Ocean</v>
      </c>
      <c r="AC44" s="3" t="str">
        <f ca="1">'Map 3'!AC46</f>
        <v>Ocean</v>
      </c>
      <c r="AD44" s="3" t="str">
        <f ca="1">'Map 3'!AD46</f>
        <v>Ocean</v>
      </c>
      <c r="AE44" s="3" t="str">
        <f ca="1">'Map 3'!AE46</f>
        <v>Island</v>
      </c>
      <c r="AF44" s="3" t="str">
        <f ca="1">'Map 3'!AF46</f>
        <v>Island</v>
      </c>
      <c r="AG44" s="3" t="str">
        <f ca="1">'Map 3'!AG46</f>
        <v>Trench</v>
      </c>
      <c r="AH44" s="3" t="str">
        <f ca="1">'Map 3'!AH46</f>
        <v>Ocean</v>
      </c>
      <c r="AI44" s="3" t="str">
        <f ca="1">'Map 3'!AI46</f>
        <v>Ocean</v>
      </c>
      <c r="AJ44" s="3" t="str">
        <f ca="1">'Map 3'!AJ46</f>
        <v>Ocean</v>
      </c>
      <c r="AK44" s="3" t="str">
        <f ca="1">'Map 3'!AK46</f>
        <v>Ocean</v>
      </c>
      <c r="AL44" s="3" t="str">
        <f ca="1">'Map 3'!AL46</f>
        <v>Ocean</v>
      </c>
      <c r="AM44" s="3" t="str">
        <f ca="1">'Map 3'!AM46</f>
        <v>Trench</v>
      </c>
      <c r="AN44" s="3" t="str">
        <f ca="1">'Map 3'!AN46</f>
        <v>Ocean</v>
      </c>
      <c r="AO44" s="3" t="str">
        <f ca="1">'Map 3'!AO46</f>
        <v>Ocean</v>
      </c>
      <c r="AP44" s="3">
        <f>ROUND(AR44-273.15,2)</f>
        <v>-6.4</v>
      </c>
      <c r="AQ44" s="3">
        <f t="shared" si="4"/>
        <v>20.48</v>
      </c>
      <c r="AR44" s="3">
        <f t="shared" si="5"/>
        <v>266.75000000000017</v>
      </c>
      <c r="AS44" s="41">
        <v>-67.5</v>
      </c>
      <c r="AT44" s="41" t="str">
        <f>IF(AT15="⤵","⤴","⤵")</f>
        <v>⤴</v>
      </c>
    </row>
    <row r="45" spans="1:46" ht="24">
      <c r="A45" s="3">
        <v>36</v>
      </c>
      <c r="B45" s="3" t="str">
        <f ca="1">'Map 3'!B47</f>
        <v>Ocean</v>
      </c>
      <c r="C45" s="3" t="str">
        <f ca="1">'Map 3'!C47</f>
        <v>Ocean</v>
      </c>
      <c r="D45" s="3" t="str">
        <f ca="1">'Map 3'!D47</f>
        <v>Ocean</v>
      </c>
      <c r="E45" s="3" t="str">
        <f ca="1">'Map 3'!E47</f>
        <v>Coast</v>
      </c>
      <c r="F45" s="3" t="str">
        <f ca="1">'Map 3'!F47</f>
        <v>Coast</v>
      </c>
      <c r="G45" s="3" t="str">
        <f ca="1">'Map 3'!G47</f>
        <v>Coast</v>
      </c>
      <c r="H45" s="3" t="str">
        <f ca="1">'Map 3'!H47</f>
        <v>Coast</v>
      </c>
      <c r="I45" s="3" t="str">
        <f ca="1">'Map 3'!I47</f>
        <v>Ocean</v>
      </c>
      <c r="J45" s="3" t="str">
        <f ca="1">'Map 3'!J47</f>
        <v>Coast</v>
      </c>
      <c r="K45" s="3" t="str">
        <f ca="1">'Map 3'!K47</f>
        <v>Flatland</v>
      </c>
      <c r="L45" s="3" t="str">
        <f ca="1">'Map 3'!L47</f>
        <v>Coast</v>
      </c>
      <c r="M45" s="3" t="str">
        <f ca="1">'Map 3'!M47</f>
        <v>Coast</v>
      </c>
      <c r="N45" s="3" t="str">
        <f ca="1">'Map 3'!N47</f>
        <v>Flatland</v>
      </c>
      <c r="O45" s="3" t="str">
        <f ca="1">'Map 3'!O47</f>
        <v>Flatland</v>
      </c>
      <c r="P45" s="3" t="str">
        <f ca="1">'Map 3'!P47</f>
        <v>Flatland</v>
      </c>
      <c r="Q45" s="3" t="str">
        <f ca="1">'Map 3'!Q47</f>
        <v>Flatland</v>
      </c>
      <c r="R45" s="3" t="str">
        <f ca="1">'Map 3'!R47</f>
        <v>Coast</v>
      </c>
      <c r="S45" s="3" t="str">
        <f ca="1">'Map 3'!S47</f>
        <v>Coast</v>
      </c>
      <c r="T45" s="3" t="str">
        <f ca="1">'Map 3'!T47</f>
        <v>Ocean</v>
      </c>
      <c r="U45" s="3" t="str">
        <f ca="1">'Map 3'!U47</f>
        <v>Ocean</v>
      </c>
      <c r="V45" s="3" t="str">
        <f ca="1">'Map 3'!V47</f>
        <v>Trench</v>
      </c>
      <c r="W45" s="3" t="str">
        <f ca="1">'Map 3'!W47</f>
        <v>Ocean</v>
      </c>
      <c r="X45" s="3" t="str">
        <f ca="1">'Map 3'!X47</f>
        <v>Ocean</v>
      </c>
      <c r="Y45" s="3" t="str">
        <f ca="1">'Map 3'!Y47</f>
        <v>Ocean</v>
      </c>
      <c r="Z45" s="3" t="str">
        <f ca="1">'Map 3'!Z47</f>
        <v>Island</v>
      </c>
      <c r="AA45" s="3" t="str">
        <f ca="1">'Map 3'!AA47</f>
        <v>Ocean</v>
      </c>
      <c r="AB45" s="3" t="str">
        <f ca="1">'Map 3'!AB47</f>
        <v>Ocean</v>
      </c>
      <c r="AC45" s="3" t="str">
        <f ca="1">'Map 3'!AC47</f>
        <v>Ocean</v>
      </c>
      <c r="AD45" s="3" t="str">
        <f ca="1">'Map 3'!AD47</f>
        <v>Ocean</v>
      </c>
      <c r="AE45" s="3" t="str">
        <f ca="1">'Map 3'!AE47</f>
        <v>Trench</v>
      </c>
      <c r="AF45" s="3" t="str">
        <f ca="1">'Map 3'!AF47</f>
        <v>Trench</v>
      </c>
      <c r="AG45" s="3" t="str">
        <f ca="1">'Map 3'!AG47</f>
        <v>Island</v>
      </c>
      <c r="AH45" s="3" t="str">
        <f ca="1">'Map 3'!AH47</f>
        <v>Ocean</v>
      </c>
      <c r="AI45" s="3" t="str">
        <f ca="1">'Map 3'!AI47</f>
        <v>Ocean</v>
      </c>
      <c r="AJ45" s="3" t="str">
        <f ca="1">'Map 3'!AJ47</f>
        <v>Ocean</v>
      </c>
      <c r="AK45" s="3" t="str">
        <f ca="1">'Map 3'!AK47</f>
        <v>Trench</v>
      </c>
      <c r="AL45" s="3" t="str">
        <f ca="1">'Map 3'!AL47</f>
        <v>Trench</v>
      </c>
      <c r="AM45" s="3" t="str">
        <f ca="1">'Map 3'!AM47</f>
        <v>Ocean</v>
      </c>
      <c r="AN45" s="3" t="str">
        <f ca="1">'Map 3'!AN47</f>
        <v>Ocean</v>
      </c>
      <c r="AO45" s="3" t="str">
        <f ca="1">'Map 3'!AO47</f>
        <v>Ocean</v>
      </c>
      <c r="AP45" s="3">
        <f>ROUND(AR45-273.15,2)</f>
        <v>-13.35</v>
      </c>
      <c r="AQ45" s="3">
        <f t="shared" si="4"/>
        <v>7.97</v>
      </c>
      <c r="AR45" s="3">
        <f t="shared" si="5"/>
        <v>259.80000000000018</v>
      </c>
      <c r="AS45" s="41">
        <v>-72</v>
      </c>
      <c r="AT45" s="41" t="str">
        <f>IF(AT14="⤵","⤴","⤵")</f>
        <v>⤴</v>
      </c>
    </row>
    <row r="46" spans="1:46" ht="24">
      <c r="A46" s="3">
        <v>37</v>
      </c>
      <c r="B46" s="3" t="str">
        <f ca="1">'Map 3'!B48</f>
        <v>Ocean</v>
      </c>
      <c r="C46" s="3" t="str">
        <f ca="1">'Map 3'!C48</f>
        <v>Ocean</v>
      </c>
      <c r="D46" s="3" t="str">
        <f ca="1">'Map 3'!D48</f>
        <v>Ocean</v>
      </c>
      <c r="E46" s="3" t="str">
        <f ca="1">'Map 3'!E48</f>
        <v>Ocean</v>
      </c>
      <c r="F46" s="3" t="str">
        <f ca="1">'Map 3'!F48</f>
        <v>Coast</v>
      </c>
      <c r="G46" s="3" t="str">
        <f ca="1">'Map 3'!G48</f>
        <v>Flatland</v>
      </c>
      <c r="H46" s="3" t="str">
        <f ca="1">'Map 3'!H48</f>
        <v>Coast</v>
      </c>
      <c r="I46" s="3" t="str">
        <f ca="1">'Map 3'!I48</f>
        <v>Coast</v>
      </c>
      <c r="J46" s="3" t="str">
        <f ca="1">'Map 3'!J48</f>
        <v>Flatland</v>
      </c>
      <c r="K46" s="3" t="str">
        <f ca="1">'Map 3'!K48</f>
        <v>Coast</v>
      </c>
      <c r="L46" s="3" t="str">
        <f ca="1">'Map 3'!L48</f>
        <v>Ocean</v>
      </c>
      <c r="M46" s="3" t="str">
        <f ca="1">'Map 3'!M48</f>
        <v>Flatland</v>
      </c>
      <c r="N46" s="3" t="str">
        <f ca="1">'Map 3'!N48</f>
        <v>Coast</v>
      </c>
      <c r="O46" s="3" t="str">
        <f ca="1">'Map 3'!O48</f>
        <v>Coast</v>
      </c>
      <c r="P46" s="3" t="str">
        <f ca="1">'Map 3'!P48</f>
        <v>Mountain</v>
      </c>
      <c r="Q46" s="3" t="str">
        <f ca="1">'Map 3'!Q48</f>
        <v>Flatland</v>
      </c>
      <c r="R46" s="3" t="str">
        <f ca="1">'Map 3'!R48</f>
        <v>Flatland</v>
      </c>
      <c r="S46" s="3" t="str">
        <f ca="1">'Map 3'!S48</f>
        <v>Ocean</v>
      </c>
      <c r="T46" s="3" t="str">
        <f ca="1">'Map 3'!T48</f>
        <v>Coast</v>
      </c>
      <c r="U46" s="3" t="str">
        <f ca="1">'Map 3'!U48</f>
        <v>Coast</v>
      </c>
      <c r="V46" s="3" t="str">
        <f ca="1">'Map 3'!V48</f>
        <v>Island</v>
      </c>
      <c r="W46" s="3" t="str">
        <f ca="1">'Map 3'!W48</f>
        <v>Trench</v>
      </c>
      <c r="X46" s="3" t="str">
        <f ca="1">'Map 3'!X48</f>
        <v>Ocean</v>
      </c>
      <c r="Y46" s="3" t="str">
        <f ca="1">'Map 3'!Y48</f>
        <v>Ocean</v>
      </c>
      <c r="Z46" s="3" t="str">
        <f ca="1">'Map 3'!Z48</f>
        <v>Trench</v>
      </c>
      <c r="AA46" s="3" t="str">
        <f ca="1">'Map 3'!AA48</f>
        <v>Ocean</v>
      </c>
      <c r="AB46" s="3" t="str">
        <f ca="1">'Map 3'!AB48</f>
        <v>Island</v>
      </c>
      <c r="AC46" s="3" t="str">
        <f ca="1">'Map 3'!AC48</f>
        <v>Ocean</v>
      </c>
      <c r="AD46" s="3" t="str">
        <f ca="1">'Map 3'!AD48</f>
        <v>Ocean</v>
      </c>
      <c r="AE46" s="3" t="str">
        <f ca="1">'Map 3'!AE48</f>
        <v>Ocean</v>
      </c>
      <c r="AF46" s="3" t="str">
        <f ca="1">'Map 3'!AF48</f>
        <v>Trench</v>
      </c>
      <c r="AG46" s="3" t="str">
        <f ca="1">'Map 3'!AG48</f>
        <v>Ocean</v>
      </c>
      <c r="AH46" s="3" t="str">
        <f ca="1">'Map 3'!AH48</f>
        <v>Ocean</v>
      </c>
      <c r="AI46" s="3" t="str">
        <f ca="1">'Map 3'!AI48</f>
        <v>Ocean</v>
      </c>
      <c r="AJ46" s="3" t="str">
        <f ca="1">'Map 3'!AJ48</f>
        <v>Ocean</v>
      </c>
      <c r="AK46" s="3" t="str">
        <f ca="1">'Map 3'!AK48</f>
        <v>Trench</v>
      </c>
      <c r="AL46" s="3" t="str">
        <f ca="1">'Map 3'!AL48</f>
        <v>Ocean</v>
      </c>
      <c r="AM46" s="3" t="str">
        <f ca="1">'Map 3'!AM48</f>
        <v>Ocean</v>
      </c>
      <c r="AN46" s="3" t="str">
        <f ca="1">'Map 3'!AN48</f>
        <v>Trench</v>
      </c>
      <c r="AO46" s="3" t="str">
        <f ca="1">'Map 3'!AO48</f>
        <v>Ocean</v>
      </c>
      <c r="AP46" s="3">
        <f>ROUND(AR46-273.15,2)</f>
        <v>-20.3</v>
      </c>
      <c r="AQ46" s="3">
        <f t="shared" si="4"/>
        <v>-4.54</v>
      </c>
      <c r="AR46" s="3">
        <f t="shared" si="5"/>
        <v>252.85000000000019</v>
      </c>
      <c r="AS46" s="41">
        <v>-76.5</v>
      </c>
      <c r="AT46" s="41" t="str">
        <f>IF(AT13="⤵","⤴","⤵")</f>
        <v>⤴</v>
      </c>
    </row>
    <row r="47" spans="1:46" ht="24">
      <c r="A47" s="3">
        <v>38</v>
      </c>
      <c r="B47" s="3" t="str">
        <f ca="1">'Map 3'!B49</f>
        <v>Ocean</v>
      </c>
      <c r="C47" s="3" t="str">
        <f ca="1">'Map 3'!C49</f>
        <v>Ocean</v>
      </c>
      <c r="D47" s="3" t="str">
        <f ca="1">'Map 3'!D49</f>
        <v>Ocean</v>
      </c>
      <c r="E47" s="3" t="str">
        <f ca="1">'Map 3'!E49</f>
        <v>Ocean</v>
      </c>
      <c r="F47" s="3" t="str">
        <f ca="1">'Map 3'!F49</f>
        <v>Cliff</v>
      </c>
      <c r="G47" s="3" t="str">
        <f ca="1">'Map 3'!G49</f>
        <v>Coast</v>
      </c>
      <c r="H47" s="3" t="str">
        <f ca="1">'Map 3'!H49</f>
        <v>Flatland</v>
      </c>
      <c r="I47" s="3" t="str">
        <f ca="1">'Map 3'!I49</f>
        <v>Flatland</v>
      </c>
      <c r="J47" s="3" t="str">
        <f ca="1">'Map 3'!J49</f>
        <v>Flatland</v>
      </c>
      <c r="K47" s="3" t="str">
        <f ca="1">'Map 3'!K49</f>
        <v>Ocean</v>
      </c>
      <c r="L47" s="3" t="str">
        <f ca="1">'Map 3'!L49</f>
        <v>Ocean</v>
      </c>
      <c r="M47" s="3" t="str">
        <f ca="1">'Map 3'!M49</f>
        <v>Coast</v>
      </c>
      <c r="N47" s="3" t="str">
        <f ca="1">'Map 3'!N49</f>
        <v>Coast</v>
      </c>
      <c r="O47" s="3" t="str">
        <f ca="1">'Map 3'!O49</f>
        <v>Flatland</v>
      </c>
      <c r="P47" s="3" t="str">
        <f ca="1">'Map 3'!P49</f>
        <v>Flatland</v>
      </c>
      <c r="Q47" s="3" t="str">
        <f ca="1">'Map 3'!Q49</f>
        <v>Valley</v>
      </c>
      <c r="R47" s="3" t="str">
        <f ca="1">'Map 3'!R49</f>
        <v>Mountain</v>
      </c>
      <c r="S47" s="3" t="str">
        <f ca="1">'Map 3'!S49</f>
        <v>Coast</v>
      </c>
      <c r="T47" s="3" t="str">
        <f ca="1">'Map 3'!T49</f>
        <v>Flatland</v>
      </c>
      <c r="U47" s="3" t="str">
        <f ca="1">'Map 3'!U49</f>
        <v>Coast</v>
      </c>
      <c r="V47" s="3" t="str">
        <f ca="1">'Map 3'!V49</f>
        <v>Coast</v>
      </c>
      <c r="W47" s="3" t="str">
        <f ca="1">'Map 3'!W49</f>
        <v>Ocean</v>
      </c>
      <c r="X47" s="3" t="str">
        <f ca="1">'Map 3'!X49</f>
        <v>Ocean</v>
      </c>
      <c r="Y47" s="3" t="str">
        <f ca="1">'Map 3'!Y49</f>
        <v>Ocean</v>
      </c>
      <c r="Z47" s="3" t="str">
        <f ca="1">'Map 3'!Z49</f>
        <v>Ocean</v>
      </c>
      <c r="AA47" s="3" t="str">
        <f ca="1">'Map 3'!AA49</f>
        <v>Ocean</v>
      </c>
      <c r="AB47" s="3" t="str">
        <f ca="1">'Map 3'!AB49</f>
        <v>Ocean</v>
      </c>
      <c r="AC47" s="3" t="str">
        <f ca="1">'Map 3'!AC49</f>
        <v>Ocean</v>
      </c>
      <c r="AD47" s="3" t="str">
        <f ca="1">'Map 3'!AD49</f>
        <v>Ocean</v>
      </c>
      <c r="AE47" s="3" t="str">
        <f ca="1">'Map 3'!AE49</f>
        <v>Ocean</v>
      </c>
      <c r="AF47" s="3" t="str">
        <f ca="1">'Map 3'!AF49</f>
        <v>Ocean</v>
      </c>
      <c r="AG47" s="3" t="str">
        <f ca="1">'Map 3'!AG49</f>
        <v>Ocean</v>
      </c>
      <c r="AH47" s="3" t="str">
        <f ca="1">'Map 3'!AH49</f>
        <v>Ocean</v>
      </c>
      <c r="AI47" s="3" t="str">
        <f ca="1">'Map 3'!AI49</f>
        <v>Ocean</v>
      </c>
      <c r="AJ47" s="3" t="str">
        <f ca="1">'Map 3'!AJ49</f>
        <v>Ocean</v>
      </c>
      <c r="AK47" s="3" t="str">
        <f ca="1">'Map 3'!AK49</f>
        <v>Ocean</v>
      </c>
      <c r="AL47" s="3" t="str">
        <f ca="1">'Map 3'!AL49</f>
        <v>Ocean</v>
      </c>
      <c r="AM47" s="3" t="str">
        <f ca="1">'Map 3'!AM49</f>
        <v>Ocean</v>
      </c>
      <c r="AN47" s="3" t="str">
        <f ca="1">'Map 3'!AN49</f>
        <v>Ocean</v>
      </c>
      <c r="AO47" s="3" t="str">
        <f ca="1">'Map 3'!AO49</f>
        <v>Trench</v>
      </c>
      <c r="AP47" s="3">
        <f>ROUND(AR47-273.15,2)</f>
        <v>-27.25</v>
      </c>
      <c r="AQ47" s="3">
        <f t="shared" si="4"/>
        <v>-17.05</v>
      </c>
      <c r="AR47" s="3">
        <f t="shared" si="5"/>
        <v>245.9000000000002</v>
      </c>
      <c r="AS47" s="41">
        <v>-81</v>
      </c>
      <c r="AT47" s="41" t="str">
        <f>IF(AT12="⤵","⤴","⤵")</f>
        <v>⤴</v>
      </c>
    </row>
    <row r="48" spans="1:46" ht="24">
      <c r="A48" s="3">
        <v>39</v>
      </c>
      <c r="B48" s="3" t="str">
        <f ca="1">'Map 3'!B50</f>
        <v>Ocean</v>
      </c>
      <c r="C48" s="3" t="str">
        <f ca="1">'Map 3'!C50</f>
        <v>Ocean</v>
      </c>
      <c r="D48" s="3" t="str">
        <f ca="1">'Map 3'!D50</f>
        <v>Ocean</v>
      </c>
      <c r="E48" s="3" t="str">
        <f ca="1">'Map 3'!E50</f>
        <v>Ocean</v>
      </c>
      <c r="F48" s="3" t="str">
        <f ca="1">'Map 3'!F50</f>
        <v>Drop Off</v>
      </c>
      <c r="G48" s="3" t="str">
        <f ca="1">'Map 3'!G50</f>
        <v>Flatland</v>
      </c>
      <c r="H48" s="3" t="str">
        <f ca="1">'Map 3'!H50</f>
        <v>Flatland</v>
      </c>
      <c r="I48" s="3" t="str">
        <f ca="1">'Map 3'!I50</f>
        <v>Flatland</v>
      </c>
      <c r="J48" s="3" t="str">
        <f ca="1">'Map 3'!J50</f>
        <v>Coast</v>
      </c>
      <c r="K48" s="3" t="str">
        <f ca="1">'Map 3'!K50</f>
        <v>Ocean</v>
      </c>
      <c r="L48" s="3" t="str">
        <f ca="1">'Map 3'!L50</f>
        <v>Ocean</v>
      </c>
      <c r="M48" s="3" t="str">
        <f ca="1">'Map 3'!M50</f>
        <v>Ocean</v>
      </c>
      <c r="N48" s="3" t="str">
        <f ca="1">'Map 3'!N50</f>
        <v>Coast</v>
      </c>
      <c r="O48" s="3" t="str">
        <f ca="1">'Map 3'!O50</f>
        <v>Coast</v>
      </c>
      <c r="P48" s="3" t="str">
        <f ca="1">'Map 3'!P50</f>
        <v>Valley</v>
      </c>
      <c r="Q48" s="3" t="str">
        <f ca="1">'Map 3'!Q50</f>
        <v>Flatland</v>
      </c>
      <c r="R48" s="3" t="str">
        <f ca="1">'Map 3'!R50</f>
        <v>Flatland</v>
      </c>
      <c r="S48" s="3" t="str">
        <f ca="1">'Map 3'!S50</f>
        <v>Flatland</v>
      </c>
      <c r="T48" s="3" t="str">
        <f ca="1">'Map 3'!T50</f>
        <v>Flatland</v>
      </c>
      <c r="U48" s="3" t="str">
        <f ca="1">'Map 3'!U50</f>
        <v>Valley</v>
      </c>
      <c r="V48" s="3" t="str">
        <f ca="1">'Map 3'!V50</f>
        <v>Coast</v>
      </c>
      <c r="W48" s="3" t="str">
        <f ca="1">'Map 3'!W50</f>
        <v>Ocean</v>
      </c>
      <c r="X48" s="3" t="str">
        <f ca="1">'Map 3'!X50</f>
        <v>Ocean</v>
      </c>
      <c r="Y48" s="3" t="str">
        <f ca="1">'Map 3'!Y50</f>
        <v>Ocean</v>
      </c>
      <c r="Z48" s="3" t="str">
        <f ca="1">'Map 3'!Z50</f>
        <v>Ocean</v>
      </c>
      <c r="AA48" s="3" t="str">
        <f ca="1">'Map 3'!AA50</f>
        <v>Ocean</v>
      </c>
      <c r="AB48" s="3" t="str">
        <f ca="1">'Map 3'!AB50</f>
        <v>Ocean</v>
      </c>
      <c r="AC48" s="3" t="str">
        <f ca="1">'Map 3'!AC50</f>
        <v>Ocean</v>
      </c>
      <c r="AD48" s="3" t="str">
        <f ca="1">'Map 3'!AD50</f>
        <v>Ocean</v>
      </c>
      <c r="AE48" s="3" t="str">
        <f ca="1">'Map 3'!AE50</f>
        <v>Ocean</v>
      </c>
      <c r="AF48" s="3" t="str">
        <f ca="1">'Map 3'!AF50</f>
        <v>Ocean</v>
      </c>
      <c r="AG48" s="3" t="str">
        <f ca="1">'Map 3'!AG50</f>
        <v>Ocean</v>
      </c>
      <c r="AH48" s="3" t="str">
        <f ca="1">'Map 3'!AH50</f>
        <v>Ocean</v>
      </c>
      <c r="AI48" s="3" t="str">
        <f ca="1">'Map 3'!AI50</f>
        <v>Ocean</v>
      </c>
      <c r="AJ48" s="3" t="str">
        <f ca="1">'Map 3'!AJ50</f>
        <v>Ocean</v>
      </c>
      <c r="AK48" s="3" t="str">
        <f ca="1">'Map 3'!AK50</f>
        <v>Island</v>
      </c>
      <c r="AL48" s="3" t="str">
        <f ca="1">'Map 3'!AL50</f>
        <v>Trench</v>
      </c>
      <c r="AM48" s="3" t="str">
        <f ca="1">'Map 3'!AM50</f>
        <v>Ocean</v>
      </c>
      <c r="AN48" s="3" t="str">
        <f ca="1">'Map 3'!AN50</f>
        <v>Ocean</v>
      </c>
      <c r="AO48" s="3" t="str">
        <f ca="1">'Map 3'!AO50</f>
        <v>Ocean</v>
      </c>
      <c r="AP48" s="3">
        <f>ROUND(AR48-273.15,2)</f>
        <v>-34.200000000000003</v>
      </c>
      <c r="AQ48" s="3">
        <f t="shared" si="4"/>
        <v>-29.56</v>
      </c>
      <c r="AR48" s="3">
        <f t="shared" si="5"/>
        <v>238.95000000000022</v>
      </c>
      <c r="AS48" s="41">
        <v>-85.5</v>
      </c>
      <c r="AT48" s="41" t="str">
        <f>IF(AT11="⤵","⤴","⤵")</f>
        <v>⤴</v>
      </c>
    </row>
    <row r="49" spans="1:46" ht="24">
      <c r="A49" s="3">
        <v>40</v>
      </c>
      <c r="B49" s="3" t="str">
        <f ca="1">'Map 3'!B51</f>
        <v>Ocean</v>
      </c>
      <c r="C49" s="3" t="str">
        <f ca="1">'Map 3'!C51</f>
        <v>Ocean</v>
      </c>
      <c r="D49" s="3" t="str">
        <f ca="1">'Map 3'!D51</f>
        <v>Ocean</v>
      </c>
      <c r="E49" s="3" t="str">
        <f ca="1">'Map 3'!E51</f>
        <v>Ocean</v>
      </c>
      <c r="F49" s="3" t="str">
        <f ca="1">'Map 3'!F51</f>
        <v>Cliff</v>
      </c>
      <c r="G49" s="3" t="str">
        <f ca="1">'Map 3'!G51</f>
        <v>Coast</v>
      </c>
      <c r="H49" s="3" t="str">
        <f ca="1">'Map 3'!H51</f>
        <v>Flatland</v>
      </c>
      <c r="I49" s="3" t="str">
        <f ca="1">'Map 3'!I51</f>
        <v>Flatland</v>
      </c>
      <c r="J49" s="3" t="str">
        <f ca="1">'Map 3'!J51</f>
        <v>Ocean</v>
      </c>
      <c r="K49" s="3" t="str">
        <f ca="1">'Map 3'!K51</f>
        <v>Ocean</v>
      </c>
      <c r="L49" s="3" t="str">
        <f ca="1">'Map 3'!L51</f>
        <v>Ocean</v>
      </c>
      <c r="M49" s="3" t="str">
        <f ca="1">'Map 3'!M51</f>
        <v>Coast</v>
      </c>
      <c r="N49" s="3" t="str">
        <f ca="1">'Map 3'!N51</f>
        <v>Flatland</v>
      </c>
      <c r="O49" s="3" t="str">
        <f ca="1">'Map 3'!O51</f>
        <v>Flatland</v>
      </c>
      <c r="P49" s="3" t="str">
        <f ca="1">'Map 3'!P51</f>
        <v>Mountain</v>
      </c>
      <c r="Q49" s="3" t="str">
        <f ca="1">'Map 3'!Q51</f>
        <v>Flatland</v>
      </c>
      <c r="R49" s="3" t="str">
        <f ca="1">'Map 3'!R51</f>
        <v>Flatland</v>
      </c>
      <c r="S49" s="3" t="str">
        <f ca="1">'Map 3'!S51</f>
        <v>Flatland</v>
      </c>
      <c r="T49" s="3" t="str">
        <f ca="1">'Map 3'!T51</f>
        <v>Flatland</v>
      </c>
      <c r="U49" s="3" t="str">
        <f ca="1">'Map 3'!U51</f>
        <v>Mountain</v>
      </c>
      <c r="V49" s="3" t="str">
        <f ca="1">'Map 3'!V51</f>
        <v>Coast</v>
      </c>
      <c r="W49" s="3" t="str">
        <f ca="1">'Map 3'!W51</f>
        <v>Trench</v>
      </c>
      <c r="X49" s="3" t="str">
        <f ca="1">'Map 3'!X51</f>
        <v>Ocean</v>
      </c>
      <c r="Y49" s="3" t="str">
        <f ca="1">'Map 3'!Y51</f>
        <v>Ocean</v>
      </c>
      <c r="Z49" s="3" t="str">
        <f ca="1">'Map 3'!Z51</f>
        <v>Ocean</v>
      </c>
      <c r="AA49" s="3" t="str">
        <f ca="1">'Map 3'!AA51</f>
        <v>Ocean</v>
      </c>
      <c r="AB49" s="3" t="str">
        <f ca="1">'Map 3'!AB51</f>
        <v>Ocean</v>
      </c>
      <c r="AC49" s="3" t="str">
        <f ca="1">'Map 3'!AC51</f>
        <v>Ocean</v>
      </c>
      <c r="AD49" s="3" t="str">
        <f ca="1">'Map 3'!AD51</f>
        <v>Ocean</v>
      </c>
      <c r="AE49" s="3" t="str">
        <f ca="1">'Map 3'!AE51</f>
        <v>Ocean</v>
      </c>
      <c r="AF49" s="3" t="str">
        <f ca="1">'Map 3'!AF51</f>
        <v>Ocean</v>
      </c>
      <c r="AG49" s="3" t="str">
        <f ca="1">'Map 3'!AG51</f>
        <v>Ocean</v>
      </c>
      <c r="AH49" s="3" t="str">
        <f ca="1">'Map 3'!AH51</f>
        <v>Ocean</v>
      </c>
      <c r="AI49" s="3" t="str">
        <f ca="1">'Map 3'!AI51</f>
        <v>Ocean</v>
      </c>
      <c r="AJ49" s="3" t="str">
        <f ca="1">'Map 3'!AJ51</f>
        <v>Trench</v>
      </c>
      <c r="AK49" s="3" t="str">
        <f ca="1">'Map 3'!AK51</f>
        <v>Ocean</v>
      </c>
      <c r="AL49" s="3" t="str">
        <f ca="1">'Map 3'!AL51</f>
        <v>Ocean</v>
      </c>
      <c r="AM49" s="3" t="str">
        <f ca="1">'Map 3'!AM51</f>
        <v>Ocean</v>
      </c>
      <c r="AN49" s="3" t="str">
        <f ca="1">'Map 3'!AN51</f>
        <v>Ocean</v>
      </c>
      <c r="AO49" s="3" t="str">
        <f ca="1">'Map 3'!AO51</f>
        <v>Ocean</v>
      </c>
      <c r="AP49" s="3">
        <f>ROUND(AR49-273.15,2)</f>
        <v>-41.15</v>
      </c>
      <c r="AQ49" s="3">
        <f t="shared" si="4"/>
        <v>-42.07</v>
      </c>
      <c r="AR49" s="3">
        <f t="shared" si="5"/>
        <v>232.00000000000023</v>
      </c>
      <c r="AS49" s="41">
        <v>-90</v>
      </c>
      <c r="AT49" s="41" t="str">
        <f>IF(AT10="⤵","⤴","⤵")</f>
        <v>⤴</v>
      </c>
    </row>
  </sheetData>
  <conditionalFormatting sqref="B10:AO49">
    <cfRule type="cellIs" dxfId="326" priority="20" operator="equal">
      <formula>$AH$3</formula>
    </cfRule>
    <cfRule type="expression" dxfId="325" priority="25">
      <formula>$AP10&lt;$N$6</formula>
    </cfRule>
    <cfRule type="cellIs" dxfId="324" priority="24" operator="equal">
      <formula>$AH$4</formula>
    </cfRule>
    <cfRule type="cellIs" dxfId="323" priority="23" operator="equal">
      <formula>$AL$2</formula>
    </cfRule>
    <cfRule type="cellIs" dxfId="322" priority="22" operator="equal">
      <formula>$AG$4</formula>
    </cfRule>
    <cfRule type="cellIs" dxfId="321" priority="21" operator="equal">
      <formula>$AG$3</formula>
    </cfRule>
    <cfRule type="cellIs" dxfId="320" priority="13" operator="equal">
      <formula>$AK$4</formula>
    </cfRule>
    <cfRule type="cellIs" dxfId="319" priority="14" operator="equal">
      <formula>$AL$4</formula>
    </cfRule>
    <cfRule type="cellIs" dxfId="318" priority="15" operator="equal">
      <formula>$AL$3</formula>
    </cfRule>
    <cfRule type="cellIs" dxfId="317" priority="16" operator="equal">
      <formula>$AK$3</formula>
    </cfRule>
    <cfRule type="cellIs" dxfId="316" priority="17" operator="equal">
      <formula>$AK$2</formula>
    </cfRule>
    <cfRule type="cellIs" dxfId="315" priority="18" operator="equal">
      <formula>$AG$2</formula>
    </cfRule>
    <cfRule type="cellIs" dxfId="314" priority="19" operator="equal">
      <formula>$AH$2</formula>
    </cfRule>
  </conditionalFormatting>
  <conditionalFormatting sqref="AP10:AP49">
    <cfRule type="cellIs" dxfId="313" priority="47" operator="lessThan">
      <formula>-100</formula>
    </cfRule>
    <cfRule type="cellIs" dxfId="312" priority="42" operator="between">
      <formula>-50</formula>
      <formula>-60</formula>
    </cfRule>
    <cfRule type="cellIs" dxfId="311" priority="46" operator="between">
      <formula>-90</formula>
      <formula>-100</formula>
    </cfRule>
    <cfRule type="cellIs" dxfId="310" priority="45" operator="between">
      <formula>-80</formula>
      <formula>-90</formula>
    </cfRule>
    <cfRule type="cellIs" dxfId="309" priority="44" operator="between">
      <formula>-70</formula>
      <formula>-80</formula>
    </cfRule>
    <cfRule type="cellIs" dxfId="308" priority="43" operator="between">
      <formula>-60</formula>
      <formula>-70</formula>
    </cfRule>
    <cfRule type="cellIs" dxfId="307" priority="26" operator="greaterThan">
      <formula>100</formula>
    </cfRule>
    <cfRule type="cellIs" dxfId="306" priority="27" operator="between">
      <formula>100</formula>
      <formula>90</formula>
    </cfRule>
    <cfRule type="cellIs" dxfId="305" priority="28" operator="between">
      <formula>90</formula>
      <formula>80</formula>
    </cfRule>
    <cfRule type="cellIs" dxfId="304" priority="29" operator="between">
      <formula>80</formula>
      <formula>70</formula>
    </cfRule>
    <cfRule type="cellIs" dxfId="303" priority="30" operator="between">
      <formula>70</formula>
      <formula>60</formula>
    </cfRule>
    <cfRule type="cellIs" dxfId="302" priority="31" operator="between">
      <formula>60</formula>
      <formula>50</formula>
    </cfRule>
    <cfRule type="cellIs" dxfId="301" priority="32" operator="between">
      <formula>50</formula>
      <formula>40</formula>
    </cfRule>
    <cfRule type="cellIs" dxfId="300" priority="33" operator="between">
      <formula>40</formula>
      <formula>30</formula>
    </cfRule>
    <cfRule type="cellIs" dxfId="299" priority="34" operator="between">
      <formula>30</formula>
      <formula>20</formula>
    </cfRule>
    <cfRule type="cellIs" dxfId="298" priority="35" operator="between">
      <formula>20</formula>
      <formula>10</formula>
    </cfRule>
    <cfRule type="cellIs" dxfId="297" priority="36" operator="between">
      <formula>10</formula>
      <formula>0</formula>
    </cfRule>
    <cfRule type="cellIs" dxfId="296" priority="37" operator="between">
      <formula>0</formula>
      <formula>-10</formula>
    </cfRule>
    <cfRule type="cellIs" dxfId="295" priority="38" operator="between">
      <formula>-10</formula>
      <formula>-20</formula>
    </cfRule>
    <cfRule type="cellIs" dxfId="294" priority="39" operator="between">
      <formula>-20</formula>
      <formula>-30</formula>
    </cfRule>
    <cfRule type="cellIs" dxfId="293" priority="40" operator="between">
      <formula>-30</formula>
      <formula>-40</formula>
    </cfRule>
    <cfRule type="cellIs" dxfId="292" priority="41" operator="between">
      <formula>-40</formula>
      <formula>-50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6743FE8A-32C2-4255-8780-4CE5D7C68F89}">
            <xm:f>NOT(ISERROR(SEARCH($AP$5,A1)))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8" operator="containsText" id="{90C5469A-1355-458A-9A19-5E0B6505F12E}">
            <xm:f>NOT(ISERROR(SEARCH($AP$4,A1)))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9" operator="containsText" id="{1952B10A-21D5-4323-A4D2-167AA7AAF56D}">
            <xm:f>NOT(ISERROR(SEARCH($AP$6,A1)))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10" operator="containsText" id="{700988F0-CB66-42E7-908E-AC5DC6CF4702}">
            <xm:f>NOT(ISERROR(SEARCH($AP$3,A1)))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11" operator="containsText" id="{3ADCEB58-4AFF-47A2-94D4-D4E62FAB8455}">
            <xm:f>NOT(ISERROR(SEARCH($AP$2,A1)))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12" operator="containsText" id="{4393735A-C5B2-45B6-9FD9-4A3EC3F09FD4}">
            <xm:f>NOT(ISERROR(SEARCH($AP$1,A1)))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m:sqref>A1:G2 I1:AR2 AT1:XFD4 A3:AR4 A5:XFD9 A10:AR49 AT10:XFD49 A50:XFD1048576</xm:sqref>
        </x14:conditionalFormatting>
        <x14:conditionalFormatting xmlns:xm="http://schemas.microsoft.com/office/excel/2006/main">
          <x14:cfRule type="containsText" priority="6" operator="containsText" id="{3600BFD7-D021-4C0D-A054-1438B2F5D7E0}">
            <xm:f>NOT(ISERROR(SEARCH($AP$1,AS10)))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14:cfRule type="containsText" priority="2" operator="containsText" id="{2910027E-8D11-4CC2-8D05-0B144DF04026}">
            <xm:f>NOT(ISERROR(SEARCH($AP$3,AS10)))</xm:f>
            <xm:f>$AP$3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3" operator="containsText" id="{8E9527DB-6A6E-4604-BE49-C6BC0D9A0D34}">
            <xm:f>NOT(ISERROR(SEARCH($AP$4,AS10)))</xm:f>
            <xm:f>$AP$4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4" operator="containsText" id="{8C28D6D1-3876-4A79-8B2A-CA8878CE4901}">
            <xm:f>NOT(ISERROR(SEARCH('Map 5'!#REF!,AS10)))</xm:f>
            <xm:f>'Map 5'!#REF!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5" operator="containsText" id="{2418C052-816C-4E9E-81A6-242A907A7D87}">
            <xm:f>NOT(ISERROR(SEARCH($AP$2,AS10)))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1" operator="containsText" id="{8DD3D218-326A-471B-BF01-ADE45773AFB9}">
            <xm:f>NOT(ISERROR(SEARCH('Map 5'!#REF!,AS10)))</xm:f>
            <xm:f>'Map 5'!#REF!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m:sqref>AS10:AS49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W49"/>
  <sheetViews>
    <sheetView workbookViewId="0">
      <selection activeCell="C3" sqref="C3"/>
    </sheetView>
  </sheetViews>
  <sheetFormatPr defaultColWidth="5" defaultRowHeight="15.75" customHeight="1"/>
  <cols>
    <col min="1" max="1" width="5" style="41"/>
    <col min="2" max="2" width="8.42578125" style="41" customWidth="1"/>
    <col min="3" max="3" width="10.140625" style="41" customWidth="1"/>
    <col min="4" max="5" width="5" style="41"/>
    <col min="6" max="6" width="5.85546875" style="41" customWidth="1"/>
    <col min="7" max="7" width="7.5703125" style="41" customWidth="1"/>
    <col min="8" max="8" width="10.7109375" style="41" customWidth="1"/>
    <col min="9" max="10" width="5" style="41"/>
    <col min="11" max="11" width="9.28515625" style="41" customWidth="1"/>
    <col min="12" max="12" width="7" style="41" customWidth="1"/>
    <col min="13" max="13" width="8.7109375" style="41" customWidth="1"/>
    <col min="14" max="15" width="5" style="41"/>
    <col min="16" max="16" width="8.5703125" style="41" customWidth="1"/>
    <col min="17" max="21" width="5" style="41"/>
    <col min="22" max="22" width="7.42578125" style="41" customWidth="1"/>
    <col min="23" max="23" width="12.85546875" style="41" customWidth="1"/>
    <col min="24" max="40" width="5" style="41"/>
    <col min="41" max="41" width="7.5703125" style="41" customWidth="1"/>
    <col min="42" max="42" width="11" style="41" customWidth="1"/>
    <col min="43" max="43" width="21.42578125" style="41" customWidth="1"/>
    <col min="44" max="46" width="5" style="41"/>
    <col min="47" max="47" width="11.5703125" style="41" customWidth="1"/>
    <col min="48" max="48" width="5" style="41"/>
    <col min="49" max="49" width="14.28515625" style="41" customWidth="1"/>
    <col min="50" max="50" width="10.7109375" style="41" customWidth="1"/>
    <col min="51" max="51" width="12.5703125" style="41" customWidth="1"/>
    <col min="52" max="52" width="14.5703125" style="41" customWidth="1"/>
    <col min="53" max="53" width="12.42578125" style="41" customWidth="1"/>
    <col min="54" max="16384" width="5" style="41"/>
  </cols>
  <sheetData>
    <row r="1" spans="1:49" ht="24">
      <c r="A1" s="3"/>
      <c r="B1" s="3" t="s">
        <v>27</v>
      </c>
      <c r="C1" s="3">
        <f>'Map 4'!C1</f>
        <v>232</v>
      </c>
      <c r="D1" s="3"/>
      <c r="E1" s="3"/>
      <c r="F1" s="3"/>
      <c r="G1" s="3"/>
      <c r="H1" s="3"/>
      <c r="I1" s="3"/>
      <c r="J1" s="3"/>
      <c r="K1" s="3"/>
      <c r="L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 t="s">
        <v>1</v>
      </c>
      <c r="AG1" s="3" t="s">
        <v>0</v>
      </c>
      <c r="AH1" s="3" t="s">
        <v>1</v>
      </c>
      <c r="AI1" s="3"/>
      <c r="AJ1" s="3" t="s">
        <v>0</v>
      </c>
      <c r="AK1" s="3" t="s">
        <v>0</v>
      </c>
      <c r="AL1" s="3" t="s">
        <v>1</v>
      </c>
      <c r="AM1" s="3"/>
      <c r="AN1" s="3"/>
      <c r="AO1" s="41" t="s">
        <v>28</v>
      </c>
      <c r="AP1" s="41" t="s">
        <v>29</v>
      </c>
      <c r="AQ1" s="46" t="s">
        <v>47</v>
      </c>
    </row>
    <row r="2" spans="1:49" ht="24">
      <c r="A2" s="3"/>
      <c r="B2" s="3" t="s">
        <v>30</v>
      </c>
      <c r="C2" s="3">
        <f>'Map 4'!C2</f>
        <v>371</v>
      </c>
      <c r="D2" s="3"/>
      <c r="E2" s="3">
        <f>C2-C1</f>
        <v>139</v>
      </c>
      <c r="F2" s="3"/>
      <c r="G2" s="3"/>
      <c r="H2" s="3"/>
      <c r="I2" s="3"/>
      <c r="J2" s="3"/>
      <c r="K2" s="3"/>
      <c r="L2" s="3"/>
      <c r="O2" s="3"/>
      <c r="P2" s="3"/>
      <c r="Q2" s="3"/>
      <c r="R2" s="3"/>
      <c r="S2" s="3"/>
      <c r="T2" s="3"/>
      <c r="U2" s="3"/>
      <c r="V2" s="3"/>
      <c r="W2" s="3"/>
      <c r="X2" s="3"/>
      <c r="Y2" s="16"/>
      <c r="Z2" s="3"/>
      <c r="AA2" s="16"/>
      <c r="AB2" s="3"/>
      <c r="AC2" s="3"/>
      <c r="AD2" s="3"/>
      <c r="AE2" s="3"/>
      <c r="AF2" s="3" t="s">
        <v>16</v>
      </c>
      <c r="AG2" s="11" t="s">
        <v>17</v>
      </c>
      <c r="AH2" s="12" t="s">
        <v>18</v>
      </c>
      <c r="AI2" s="3"/>
      <c r="AJ2" s="3" t="s">
        <v>16</v>
      </c>
      <c r="AK2" s="13" t="s">
        <v>19</v>
      </c>
      <c r="AL2" s="11" t="s">
        <v>17</v>
      </c>
      <c r="AM2" s="3"/>
      <c r="AN2" s="3"/>
      <c r="AO2" s="41" t="s">
        <v>31</v>
      </c>
      <c r="AP2" s="41" t="s">
        <v>32</v>
      </c>
      <c r="AQ2" s="46" t="s">
        <v>48</v>
      </c>
    </row>
    <row r="3" spans="1:49" ht="24">
      <c r="A3" s="3"/>
      <c r="B3" s="3"/>
      <c r="C3" s="3"/>
      <c r="D3" s="3"/>
      <c r="E3" s="3">
        <f>E2/20</f>
        <v>6.95</v>
      </c>
      <c r="F3" s="3"/>
      <c r="G3" s="3"/>
      <c r="H3" s="3"/>
      <c r="I3" s="3"/>
      <c r="J3" s="3"/>
      <c r="K3" s="3"/>
      <c r="L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16"/>
      <c r="AB3" s="3"/>
      <c r="AC3" s="3"/>
      <c r="AD3" s="3"/>
      <c r="AE3" s="3"/>
      <c r="AF3" s="3" t="s">
        <v>15</v>
      </c>
      <c r="AG3" s="17" t="s">
        <v>20</v>
      </c>
      <c r="AH3" s="18" t="s">
        <v>21</v>
      </c>
      <c r="AI3" s="3"/>
      <c r="AJ3" s="3" t="s">
        <v>15</v>
      </c>
      <c r="AK3" s="14" t="s">
        <v>22</v>
      </c>
      <c r="AL3" s="17" t="s">
        <v>20</v>
      </c>
      <c r="AM3" s="3"/>
      <c r="AN3" s="3"/>
      <c r="AO3" s="41" t="s">
        <v>35</v>
      </c>
      <c r="AP3" s="41" t="s">
        <v>36</v>
      </c>
      <c r="AQ3" s="46" t="s">
        <v>47</v>
      </c>
    </row>
    <row r="4" spans="1:49" ht="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 t="s">
        <v>14</v>
      </c>
      <c r="AG4" s="20" t="s">
        <v>23</v>
      </c>
      <c r="AH4" s="8" t="s">
        <v>24</v>
      </c>
      <c r="AI4" s="3"/>
      <c r="AJ4" s="3" t="s">
        <v>14</v>
      </c>
      <c r="AK4" s="9" t="s">
        <v>25</v>
      </c>
      <c r="AL4" s="20" t="s">
        <v>23</v>
      </c>
      <c r="AM4" s="3"/>
      <c r="AN4" s="3"/>
      <c r="AO4" s="41" t="s">
        <v>42</v>
      </c>
      <c r="AP4" s="41" t="s">
        <v>43</v>
      </c>
      <c r="AQ4" s="46" t="s">
        <v>48</v>
      </c>
    </row>
    <row r="5" spans="1:49" ht="12.75">
      <c r="A5" s="3"/>
      <c r="B5" s="3"/>
      <c r="C5" s="21"/>
      <c r="D5" s="22"/>
      <c r="E5" s="23"/>
      <c r="F5" s="18"/>
      <c r="G5" s="24"/>
      <c r="H5" s="25"/>
      <c r="I5" s="26"/>
      <c r="J5" s="27"/>
      <c r="K5" s="28"/>
      <c r="L5" s="29"/>
      <c r="M5" s="30"/>
      <c r="N5" s="31"/>
      <c r="O5" s="14"/>
      <c r="P5" s="32"/>
      <c r="Q5" s="33"/>
      <c r="R5" s="13"/>
      <c r="S5" s="34"/>
      <c r="T5" s="35"/>
      <c r="U5" s="36"/>
      <c r="V5" s="37"/>
      <c r="W5" s="38"/>
      <c r="X5" s="39"/>
      <c r="Y5" s="40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R5" s="3"/>
      <c r="AS5" s="3"/>
    </row>
    <row r="6" spans="1:49" ht="12.75">
      <c r="A6" s="3"/>
      <c r="B6" s="3" t="s">
        <v>39</v>
      </c>
      <c r="C6" s="3" t="s">
        <v>40</v>
      </c>
      <c r="D6" s="3">
        <v>-100</v>
      </c>
      <c r="E6" s="3">
        <v>-90</v>
      </c>
      <c r="F6" s="3">
        <v>-80</v>
      </c>
      <c r="G6" s="3">
        <v>-70</v>
      </c>
      <c r="H6" s="3">
        <v>-60</v>
      </c>
      <c r="I6" s="3">
        <v>-50</v>
      </c>
      <c r="J6" s="3">
        <v>-40</v>
      </c>
      <c r="K6" s="3">
        <v>-30</v>
      </c>
      <c r="L6" s="3">
        <v>-20</v>
      </c>
      <c r="M6" s="3">
        <v>-10</v>
      </c>
      <c r="N6" s="3">
        <v>0</v>
      </c>
      <c r="O6" s="3">
        <v>10</v>
      </c>
      <c r="P6" s="3">
        <v>20</v>
      </c>
      <c r="Q6" s="3">
        <v>30</v>
      </c>
      <c r="R6" s="3">
        <v>40</v>
      </c>
      <c r="S6" s="3">
        <v>50</v>
      </c>
      <c r="T6" s="3">
        <v>60</v>
      </c>
      <c r="U6" s="3">
        <v>70</v>
      </c>
      <c r="V6" s="3">
        <v>80</v>
      </c>
      <c r="W6" s="3">
        <v>90</v>
      </c>
      <c r="X6" s="3">
        <v>100</v>
      </c>
      <c r="Y6" s="3" t="s">
        <v>41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R6" s="3"/>
      <c r="AS6" s="3"/>
    </row>
    <row r="7" spans="1:49" ht="12.75">
      <c r="A7" s="3"/>
      <c r="B7" s="3" t="s">
        <v>44</v>
      </c>
      <c r="C7" s="3" t="s">
        <v>45</v>
      </c>
      <c r="D7" s="3">
        <f t="shared" ref="D7:X7" si="0">(D6*(9/5))+ 32</f>
        <v>-148</v>
      </c>
      <c r="E7" s="3">
        <f t="shared" si="0"/>
        <v>-130</v>
      </c>
      <c r="F7" s="3">
        <f t="shared" si="0"/>
        <v>-112</v>
      </c>
      <c r="G7" s="3">
        <f t="shared" si="0"/>
        <v>-94</v>
      </c>
      <c r="H7" s="3">
        <f t="shared" si="0"/>
        <v>-76</v>
      </c>
      <c r="I7" s="3">
        <f t="shared" si="0"/>
        <v>-58</v>
      </c>
      <c r="J7" s="3">
        <f t="shared" si="0"/>
        <v>-40</v>
      </c>
      <c r="K7" s="3">
        <f t="shared" si="0"/>
        <v>-22</v>
      </c>
      <c r="L7" s="3">
        <f t="shared" si="0"/>
        <v>-4</v>
      </c>
      <c r="M7" s="3">
        <f t="shared" si="0"/>
        <v>14</v>
      </c>
      <c r="N7" s="3">
        <f t="shared" si="0"/>
        <v>32</v>
      </c>
      <c r="O7" s="3">
        <f t="shared" si="0"/>
        <v>50</v>
      </c>
      <c r="P7" s="3">
        <f t="shared" si="0"/>
        <v>68</v>
      </c>
      <c r="Q7" s="3">
        <f t="shared" si="0"/>
        <v>86</v>
      </c>
      <c r="R7" s="3">
        <f t="shared" si="0"/>
        <v>104</v>
      </c>
      <c r="S7" s="3">
        <f t="shared" si="0"/>
        <v>122</v>
      </c>
      <c r="T7" s="3">
        <f t="shared" si="0"/>
        <v>140</v>
      </c>
      <c r="U7" s="3">
        <f t="shared" si="0"/>
        <v>158</v>
      </c>
      <c r="V7" s="3">
        <f t="shared" si="0"/>
        <v>176</v>
      </c>
      <c r="W7" s="3">
        <f t="shared" si="0"/>
        <v>194</v>
      </c>
      <c r="X7" s="3">
        <f t="shared" si="0"/>
        <v>212</v>
      </c>
      <c r="Y7" s="3" t="s">
        <v>46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9" ht="12.7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9" ht="12.75">
      <c r="A9" s="3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3">
        <v>15</v>
      </c>
      <c r="Q9" s="3">
        <v>16</v>
      </c>
      <c r="R9" s="3">
        <v>17</v>
      </c>
      <c r="S9" s="3">
        <v>18</v>
      </c>
      <c r="T9" s="3">
        <v>19</v>
      </c>
      <c r="U9" s="3">
        <v>20</v>
      </c>
      <c r="V9" s="3">
        <v>21</v>
      </c>
      <c r="W9" s="3">
        <v>22</v>
      </c>
      <c r="X9" s="3">
        <v>23</v>
      </c>
      <c r="Y9" s="3">
        <v>24</v>
      </c>
      <c r="Z9" s="3">
        <v>25</v>
      </c>
      <c r="AA9" s="3">
        <v>26</v>
      </c>
      <c r="AB9" s="3">
        <v>27</v>
      </c>
      <c r="AC9" s="3">
        <v>28</v>
      </c>
      <c r="AD9" s="3">
        <v>29</v>
      </c>
      <c r="AE9" s="3">
        <v>30</v>
      </c>
      <c r="AF9" s="3">
        <v>31</v>
      </c>
      <c r="AG9" s="3">
        <v>32</v>
      </c>
      <c r="AH9" s="3">
        <v>33</v>
      </c>
      <c r="AI9" s="3">
        <v>34</v>
      </c>
      <c r="AJ9" s="3">
        <v>35</v>
      </c>
      <c r="AK9" s="3">
        <v>36</v>
      </c>
      <c r="AL9" s="3">
        <v>37</v>
      </c>
      <c r="AM9" s="3">
        <v>38</v>
      </c>
      <c r="AN9" s="3">
        <v>39</v>
      </c>
      <c r="AO9" s="3">
        <v>40</v>
      </c>
      <c r="AP9" s="3"/>
      <c r="AQ9" s="3"/>
      <c r="AR9" s="3"/>
      <c r="AS9" s="3"/>
      <c r="AW9" s="41">
        <v>0.02</v>
      </c>
    </row>
    <row r="10" spans="1:49" ht="15" customHeight="1">
      <c r="A10" s="3">
        <v>1</v>
      </c>
      <c r="B10" s="3" t="str">
        <f ca="1">IF(AND($AV10="⤵",'Map 4'!B11="Mountain",'Map 4'!B10&lt;&gt;"Mountain",'Map 4'!B10&lt;&gt;"Ocean",'Map 4'!B11&lt;&gt;"Trench"),CONCATENATE("Rainshadow ",'Map 4'!B10),'Map 4'!B10)</f>
        <v>Coast</v>
      </c>
      <c r="C10" s="3" t="str">
        <f ca="1">IF(AND($AV10="⤵",'Map 4'!C11="Mountain",'Map 4'!C10&lt;&gt;"Mountain",'Map 4'!C10&lt;&gt;"Ocean",'Map 4'!C11&lt;&gt;"Trench"),CONCATENATE("Rainshadow ",'Map 4'!C10),'Map 4'!C10)</f>
        <v>Coast</v>
      </c>
      <c r="D10" s="3" t="str">
        <f ca="1">IF(AND($AV10="⤵",'Map 4'!D11="Mountain",'Map 4'!D10&lt;&gt;"Mountain",'Map 4'!D10&lt;&gt;"Ocean",'Map 4'!D11&lt;&gt;"Trench"),CONCATENATE("Rainshadow ",'Map 4'!D10),'Map 4'!D10)</f>
        <v>Flatland</v>
      </c>
      <c r="E10" s="3" t="str">
        <f ca="1">IF(AND($AV10="⤵",'Map 4'!E11="Mountain",'Map 4'!E10&lt;&gt;"Mountain",'Map 4'!E10&lt;&gt;"Ocean",'Map 4'!E11&lt;&gt;"Trench"),CONCATENATE("Rainshadow ",'Map 4'!E10),'Map 4'!E10)</f>
        <v>Flatland</v>
      </c>
      <c r="F10" s="3" t="str">
        <f ca="1">IF(AND($AV10="⤵",'Map 4'!F11="Mountain",'Map 4'!F10&lt;&gt;"Mountain",'Map 4'!F10&lt;&gt;"Ocean",'Map 4'!F11&lt;&gt;"Trench"),CONCATENATE("Rainshadow ",'Map 4'!F10),'Map 4'!F10)</f>
        <v>Coast</v>
      </c>
      <c r="G10" s="3" t="str">
        <f ca="1">IF(AND($AV10="⤵",'Map 4'!G11="Mountain",'Map 4'!G10&lt;&gt;"Mountain",'Map 4'!G10&lt;&gt;"Ocean",'Map 4'!G11&lt;&gt;"Trench"),CONCATENATE("Rainshadow ",'Map 4'!G10),'Map 4'!G10)</f>
        <v>Island</v>
      </c>
      <c r="H10" s="3" t="str">
        <f ca="1">IF(AND($AV10="⤵",'Map 4'!H11="Mountain",'Map 4'!H10&lt;&gt;"Mountain",'Map 4'!H10&lt;&gt;"Ocean",'Map 4'!H11&lt;&gt;"Trench"),CONCATENATE("Rainshadow ",'Map 4'!H10),'Map 4'!H10)</f>
        <v>Ocean</v>
      </c>
      <c r="I10" s="3" t="str">
        <f ca="1">IF(AND($AV10="⤵",'Map 4'!I11="Mountain",'Map 4'!I10&lt;&gt;"Mountain",'Map 4'!I10&lt;&gt;"Ocean",'Map 4'!I11&lt;&gt;"Trench"),CONCATENATE("Rainshadow ",'Map 4'!I10),'Map 4'!I10)</f>
        <v>Ocean</v>
      </c>
      <c r="J10" s="3" t="str">
        <f ca="1">IF(AND($AV10="⤵",'Map 4'!J11="Mountain",'Map 4'!J10&lt;&gt;"Mountain",'Map 4'!J10&lt;&gt;"Ocean",'Map 4'!J11&lt;&gt;"Trench"),CONCATENATE("Rainshadow ",'Map 4'!J10),'Map 4'!J10)</f>
        <v>Ocean</v>
      </c>
      <c r="K10" s="3" t="str">
        <f ca="1">IF(AND($AV10="⤵",'Map 4'!K11="Mountain",'Map 4'!K10&lt;&gt;"Mountain",'Map 4'!K10&lt;&gt;"Ocean",'Map 4'!K11&lt;&gt;"Trench"),CONCATENATE("Rainshadow ",'Map 4'!K10),'Map 4'!K10)</f>
        <v>Ocean</v>
      </c>
      <c r="L10" s="3" t="str">
        <f ca="1">IF(AND($AV10="⤵",'Map 4'!L11="Mountain",'Map 4'!L10&lt;&gt;"Mountain",'Map 4'!L10&lt;&gt;"Ocean",'Map 4'!L11&lt;&gt;"Trench"),CONCATENATE("Rainshadow ",'Map 4'!L10),'Map 4'!L10)</f>
        <v>Island</v>
      </c>
      <c r="M10" s="3" t="str">
        <f ca="1">IF(AND($AV10="⤵",'Map 4'!M11="Mountain",'Map 4'!M10&lt;&gt;"Mountain",'Map 4'!M10&lt;&gt;"Ocean",'Map 4'!M11&lt;&gt;"Trench"),CONCATENATE("Rainshadow ",'Map 4'!M10),'Map 4'!M10)</f>
        <v>Ocean</v>
      </c>
      <c r="N10" s="3" t="str">
        <f ca="1">IF(AND($AV10="⤵",'Map 4'!N11="Mountain",'Map 4'!N10&lt;&gt;"Mountain",'Map 4'!N10&lt;&gt;"Ocean",'Map 4'!N11&lt;&gt;"Trench"),CONCATENATE("Rainshadow ",'Map 4'!N10),'Map 4'!N10)</f>
        <v>Ocean</v>
      </c>
      <c r="O10" s="3" t="str">
        <f ca="1">IF(AND($AV10="⤵",'Map 4'!O11="Mountain",'Map 4'!O10&lt;&gt;"Mountain",'Map 4'!O10&lt;&gt;"Ocean",'Map 4'!O11&lt;&gt;"Trench"),CONCATENATE("Rainshadow ",'Map 4'!O10),'Map 4'!O10)</f>
        <v>Ocean</v>
      </c>
      <c r="P10" s="3" t="str">
        <f ca="1">IF(AND($AV10="⤵",'Map 4'!P11="Mountain",'Map 4'!P10&lt;&gt;"Mountain",'Map 4'!P10&lt;&gt;"Ocean",'Map 4'!P11&lt;&gt;"Trench"),CONCATENATE("Rainshadow ",'Map 4'!P10),'Map 4'!P10)</f>
        <v>Ocean</v>
      </c>
      <c r="Q10" s="3" t="str">
        <f ca="1">IF(AND($AV10="⤵",'Map 4'!Q11="Mountain",'Map 4'!Q10&lt;&gt;"Mountain",'Map 4'!Q10&lt;&gt;"Ocean",'Map 4'!Q11&lt;&gt;"Trench"),CONCATENATE("Rainshadow ",'Map 4'!Q10),'Map 4'!Q10)</f>
        <v>Trench</v>
      </c>
      <c r="R10" s="3" t="str">
        <f ca="1">IF(AND($AV10="⤵",'Map 4'!R11="Mountain",'Map 4'!R10&lt;&gt;"Mountain",'Map 4'!R10&lt;&gt;"Ocean",'Map 4'!R11&lt;&gt;"Trench"),CONCATENATE("Rainshadow ",'Map 4'!R10),'Map 4'!R10)</f>
        <v>Ocean</v>
      </c>
      <c r="S10" s="3" t="str">
        <f ca="1">IF(AND($AV10="⤵",'Map 4'!S11="Mountain",'Map 4'!S10&lt;&gt;"Mountain",'Map 4'!S10&lt;&gt;"Ocean",'Map 4'!S11&lt;&gt;"Trench"),CONCATENATE("Rainshadow ",'Map 4'!S10),'Map 4'!S10)</f>
        <v>Ocean</v>
      </c>
      <c r="T10" s="3" t="str">
        <f ca="1">IF(AND($AV10="⤵",'Map 4'!T11="Mountain",'Map 4'!T10&lt;&gt;"Mountain",'Map 4'!T10&lt;&gt;"Ocean",'Map 4'!T11&lt;&gt;"Trench"),CONCATENATE("Rainshadow ",'Map 4'!T10),'Map 4'!T10)</f>
        <v>Ocean</v>
      </c>
      <c r="U10" s="3" t="str">
        <f ca="1">IF(AND($AV10="⤵",'Map 4'!U11="Mountain",'Map 4'!U10&lt;&gt;"Mountain",'Map 4'!U10&lt;&gt;"Ocean",'Map 4'!U11&lt;&gt;"Trench"),CONCATENATE("Rainshadow ",'Map 4'!U10),'Map 4'!U10)</f>
        <v>Island</v>
      </c>
      <c r="V10" s="3" t="str">
        <f ca="1">IF(AND($AV10="⤵",'Map 4'!V11="Mountain",'Map 4'!V10&lt;&gt;"Mountain",'Map 4'!V10&lt;&gt;"Ocean",'Map 4'!V11&lt;&gt;"Trench"),CONCATENATE("Rainshadow ",'Map 4'!V10),'Map 4'!V10)</f>
        <v>Ocean</v>
      </c>
      <c r="W10" s="3" t="str">
        <f ca="1">IF(AND($AV10="⤵",'Map 4'!W11="Mountain",'Map 4'!W10&lt;&gt;"Mountain",'Map 4'!W10&lt;&gt;"Ocean",'Map 4'!W11&lt;&gt;"Trench"),CONCATENATE("Rainshadow ",'Map 4'!W10),'Map 4'!W10)</f>
        <v>Ocean</v>
      </c>
      <c r="X10" s="3" t="str">
        <f ca="1">IF(AND($AV10="⤵",'Map 4'!X11="Mountain",'Map 4'!X10&lt;&gt;"Mountain",'Map 4'!X10&lt;&gt;"Ocean",'Map 4'!X11&lt;&gt;"Trench"),CONCATENATE("Rainshadow ",'Map 4'!X10),'Map 4'!X10)</f>
        <v>Ocean</v>
      </c>
      <c r="Y10" s="3" t="str">
        <f ca="1">IF(AND($AV10="⤵",'Map 4'!Y11="Mountain",'Map 4'!Y10&lt;&gt;"Mountain",'Map 4'!Y10&lt;&gt;"Ocean",'Map 4'!Y11&lt;&gt;"Trench"),CONCATENATE("Rainshadow ",'Map 4'!Y10),'Map 4'!Y10)</f>
        <v>Ocean</v>
      </c>
      <c r="Z10" s="3" t="str">
        <f ca="1">IF(AND($AV10="⤵",'Map 4'!Z11="Mountain",'Map 4'!Z10&lt;&gt;"Mountain",'Map 4'!Z10&lt;&gt;"Ocean",'Map 4'!Z11&lt;&gt;"Trench"),CONCATENATE("Rainshadow ",'Map 4'!Z10),'Map 4'!Z10)</f>
        <v>Trench</v>
      </c>
      <c r="AA10" s="3" t="str">
        <f ca="1">IF(AND($AV10="⤵",'Map 4'!AA11="Mountain",'Map 4'!AA10&lt;&gt;"Mountain",'Map 4'!AA10&lt;&gt;"Ocean",'Map 4'!AA11&lt;&gt;"Trench"),CONCATENATE("Rainshadow ",'Map 4'!AA10),'Map 4'!AA10)</f>
        <v>Ocean</v>
      </c>
      <c r="AB10" s="3" t="str">
        <f ca="1">IF(AND($AV10="⤵",'Map 4'!AB11="Mountain",'Map 4'!AB10&lt;&gt;"Mountain",'Map 4'!AB10&lt;&gt;"Ocean",'Map 4'!AB11&lt;&gt;"Trench"),CONCATENATE("Rainshadow ",'Map 4'!AB10),'Map 4'!AB10)</f>
        <v>Ocean</v>
      </c>
      <c r="AC10" s="3" t="str">
        <f ca="1">IF(AND($AV10="⤵",'Map 4'!AC11="Mountain",'Map 4'!AC10&lt;&gt;"Mountain",'Map 4'!AC10&lt;&gt;"Ocean",'Map 4'!AC11&lt;&gt;"Trench"),CONCATENATE("Rainshadow ",'Map 4'!AC10),'Map 4'!AC10)</f>
        <v>Coast</v>
      </c>
      <c r="AD10" s="3" t="str">
        <f ca="1">IF(AND($AV10="⤵",'Map 4'!AD11="Mountain",'Map 4'!AD10&lt;&gt;"Mountain",'Map 4'!AD10&lt;&gt;"Ocean",'Map 4'!AD11&lt;&gt;"Trench"),CONCATENATE("Rainshadow ",'Map 4'!AD10),'Map 4'!AD10)</f>
        <v>Coast</v>
      </c>
      <c r="AE10" s="3" t="str">
        <f ca="1">IF(AND($AV10="⤵",'Map 4'!AE11="Mountain",'Map 4'!AE10&lt;&gt;"Mountain",'Map 4'!AE10&lt;&gt;"Ocean",'Map 4'!AE11&lt;&gt;"Trench"),CONCATENATE("Rainshadow ",'Map 4'!AE10),'Map 4'!AE10)</f>
        <v>Coast</v>
      </c>
      <c r="AF10" s="3" t="str">
        <f ca="1">IF(AND($AV10="⤵",'Map 4'!AF11="Mountain",'Map 4'!AF10&lt;&gt;"Mountain",'Map 4'!AF10&lt;&gt;"Ocean",'Map 4'!AF11&lt;&gt;"Trench"),CONCATENATE("Rainshadow ",'Map 4'!AF10),'Map 4'!AF10)</f>
        <v>Mountain</v>
      </c>
      <c r="AG10" s="3" t="str">
        <f ca="1">IF(AND($AV10="⤵",'Map 4'!AG11="Mountain",'Map 4'!AG10&lt;&gt;"Mountain",'Map 4'!AG10&lt;&gt;"Ocean",'Map 4'!AG11&lt;&gt;"Trench"),CONCATENATE("Rainshadow ",'Map 4'!AG10),'Map 4'!AG10)</f>
        <v>Rainshadow Flatland</v>
      </c>
      <c r="AH10" s="3" t="str">
        <f ca="1">IF(AND($AV10="⤵",'Map 4'!AH11="Mountain",'Map 4'!AH10&lt;&gt;"Mountain",'Map 4'!AH10&lt;&gt;"Ocean",'Map 4'!AH11&lt;&gt;"Trench"),CONCATENATE("Rainshadow ",'Map 4'!AH10),'Map 4'!AH10)</f>
        <v>Flatland</v>
      </c>
      <c r="AI10" s="3" t="str">
        <f ca="1">IF(AND($AV10="⤵",'Map 4'!AI11="Mountain",'Map 4'!AI10&lt;&gt;"Mountain",'Map 4'!AI10&lt;&gt;"Ocean",'Map 4'!AI11&lt;&gt;"Trench"),CONCATENATE("Rainshadow ",'Map 4'!AI10),'Map 4'!AI10)</f>
        <v>Flatland</v>
      </c>
      <c r="AJ10" s="3" t="str">
        <f ca="1">IF(AND($AV10="⤵",'Map 4'!AJ11="Mountain",'Map 4'!AJ10&lt;&gt;"Mountain",'Map 4'!AJ10&lt;&gt;"Ocean",'Map 4'!AJ11&lt;&gt;"Trench"),CONCATENATE("Rainshadow ",'Map 4'!AJ10),'Map 4'!AJ10)</f>
        <v>Valley</v>
      </c>
      <c r="AK10" s="3" t="str">
        <f ca="1">IF(AND($AV10="⤵",'Map 4'!AK11="Mountain",'Map 4'!AK10&lt;&gt;"Mountain",'Map 4'!AK10&lt;&gt;"Ocean",'Map 4'!AK11&lt;&gt;"Trench"),CONCATENATE("Rainshadow ",'Map 4'!AK10),'Map 4'!AK10)</f>
        <v>Mountain</v>
      </c>
      <c r="AL10" s="3" t="str">
        <f ca="1">IF(AND($AV10="⤵",'Map 4'!AL11="Mountain",'Map 4'!AL10&lt;&gt;"Mountain",'Map 4'!AL10&lt;&gt;"Ocean",'Map 4'!AL11&lt;&gt;"Trench"),CONCATENATE("Rainshadow ",'Map 4'!AL10),'Map 4'!AL10)</f>
        <v>Drop Off</v>
      </c>
      <c r="AM10" s="3" t="str">
        <f ca="1">IF(AND($AV10="⤵",'Map 4'!AM11="Mountain",'Map 4'!AM10&lt;&gt;"Mountain",'Map 4'!AM10&lt;&gt;"Ocean",'Map 4'!AM11&lt;&gt;"Trench"),CONCATENATE("Rainshadow ",'Map 4'!AM10),'Map 4'!AM10)</f>
        <v>Ocean</v>
      </c>
      <c r="AN10" s="3" t="str">
        <f ca="1">IF(AND($AV10="⤵",'Map 4'!AN11="Mountain",'Map 4'!AN10&lt;&gt;"Mountain",'Map 4'!AN10&lt;&gt;"Ocean",'Map 4'!AN11&lt;&gt;"Trench"),CONCATENATE("Rainshadow ",'Map 4'!AN10),'Map 4'!AN10)</f>
        <v>Ocean</v>
      </c>
      <c r="AO10" s="3" t="str">
        <f ca="1">IF(AND($AV10="⤵",'Map 4'!AO11="Mountain",'Map 4'!AO10&lt;&gt;"Mountain",'Map 4'!AO10&lt;&gt;"Ocean",'Map 4'!AO11&lt;&gt;"Trench"),CONCATENATE("Rainshadow ",'Map 4'!AO10),'Map 4'!AO10)</f>
        <v>Coast</v>
      </c>
      <c r="AP10" s="3">
        <f t="shared" ref="AP10:AP49" si="1">ROUND(AS10-273.15,2)</f>
        <v>-41.15</v>
      </c>
      <c r="AQ10" s="3">
        <f t="shared" ref="AQ10:AQ49" si="2">ROUND((AP10*(9/5))+ 32,2)</f>
        <v>-42.07</v>
      </c>
      <c r="AR10" s="3"/>
      <c r="AS10" s="3">
        <f>AS11-$E$3</f>
        <v>232.00000000000023</v>
      </c>
      <c r="AT10" s="41">
        <v>90</v>
      </c>
      <c r="AU10" s="41" t="str" cm="1">
        <f t="array" ref="AU10">_xlfn.IFS(AND(IF(AP10&lt;25,"Cold","Hot")="Cold",IF(AW10&gt;=0.5,"High","Low")="Low"),"Tundra",AND(IF(AP10&lt;25,"Cold","Hot")="Cold",IF(AW10&gt;=0.5,"High","Low")="High"),"Forest",AND(IF(AP10&lt;25,"Cold","Hot")="Hot",IF(AW10&gt;=0.5,"High","Low")="Low"),"Desert",AND(IF(AP10&lt;25,"Cold","Hot")="Hot",IF(AW10&gt;=0.5,"High","Low")="High"),"Rainforest")</f>
        <v>Tundra</v>
      </c>
      <c r="AV10" s="41" t="str" cm="1">
        <f t="array" ref="AV10">_xlfn.IFS(AT10&lt;-90,"⤴",AND(AT10&gt;=-90,AT10&lt;-60),"⤴",AND(AT10&gt;=-60,AT10&lt;-30),"⤵",AND(AT10&gt;=-30,AT10&lt;0),"⤴",AND(AT10&gt;=0,AT10&lt;30),"⤵",AND(AT10&gt;=30,AT10&lt;60),"⤴",AT10&gt;=60,"⤵")</f>
        <v>⤵</v>
      </c>
      <c r="AW10" s="41">
        <f>IF(AV10="⤴",AW9-0.14,AW9+0.14)</f>
        <v>0.16</v>
      </c>
    </row>
    <row r="11" spans="1:49" ht="15" customHeight="1">
      <c r="A11" s="3">
        <v>2</v>
      </c>
      <c r="B11" s="3" t="str">
        <f ca="1">IF(OR(AND($AV11="⤵",'Map 4'!B12="Mountain",'Map 4'!B11&lt;&gt;"Mountain",'Map 4'!B11&lt;&gt;"Ocean",'Map 4'!B11&lt;&gt;"Trench"),AND($AV11="⤴",'Map 4'!B10="Mountain",'Map 4'!B11&lt;&gt;"Mountain",'Map 4'!B11&lt;&gt;"Ocean",'Map 4'!B11&lt;&gt;"Trench")),CONCATENATE("Rainshadow ",'Map 4'!B11),'Map 4'!B11)</f>
        <v>Flatland</v>
      </c>
      <c r="C11" s="3" t="str">
        <f ca="1">IF(OR(AND($AV11="⤵",'Map 4'!C12="Mountain",'Map 4'!C11&lt;&gt;"Mountain",'Map 4'!C11&lt;&gt;"Ocean",'Map 4'!C11&lt;&gt;"Trench"),AND($AV11="⤴",'Map 4'!C10="Mountain",'Map 4'!C11&lt;&gt;"Mountain",'Map 4'!C11&lt;&gt;"Ocean",'Map 4'!C11&lt;&gt;"Trench")),CONCATENATE("Rainshadow ",'Map 4'!C11),'Map 4'!C11)</f>
        <v>Flatland</v>
      </c>
      <c r="D11" s="3" t="str">
        <f ca="1">IF(OR(AND($AV11="⤵",'Map 4'!D12="Mountain",'Map 4'!D11&lt;&gt;"Mountain",'Map 4'!D11&lt;&gt;"Ocean",'Map 4'!D11&lt;&gt;"Trench"),AND($AV11="⤴",'Map 4'!D10="Mountain",'Map 4'!D11&lt;&gt;"Mountain",'Map 4'!D11&lt;&gt;"Ocean",'Map 4'!D11&lt;&gt;"Trench")),CONCATENATE("Rainshadow ",'Map 4'!D11),'Map 4'!D11)</f>
        <v>Flatland</v>
      </c>
      <c r="E11" s="3" t="str">
        <f ca="1">IF(OR(AND($AV11="⤵",'Map 4'!E12="Mountain",'Map 4'!E11&lt;&gt;"Mountain",'Map 4'!E11&lt;&gt;"Ocean",'Map 4'!E11&lt;&gt;"Trench"),AND($AV11="⤴",'Map 4'!E10="Mountain",'Map 4'!E11&lt;&gt;"Mountain",'Map 4'!E11&lt;&gt;"Ocean",'Map 4'!E11&lt;&gt;"Trench")),CONCATENATE("Rainshadow ",'Map 4'!E11),'Map 4'!E11)</f>
        <v>Flatland</v>
      </c>
      <c r="F11" s="3" t="str">
        <f ca="1">IF(OR(AND($AV11="⤵",'Map 4'!F12="Mountain",'Map 4'!F11&lt;&gt;"Mountain",'Map 4'!F11&lt;&gt;"Ocean",'Map 4'!F11&lt;&gt;"Trench"),AND($AV11="⤴",'Map 4'!F10="Mountain",'Map 4'!F11&lt;&gt;"Mountain",'Map 4'!F11&lt;&gt;"Ocean",'Map 4'!F11&lt;&gt;"Trench")),CONCATENATE("Rainshadow ",'Map 4'!F11),'Map 4'!F11)</f>
        <v>Coast</v>
      </c>
      <c r="G11" s="3" t="str">
        <f ca="1">IF(OR(AND($AV11="⤵",'Map 4'!G12="Mountain",'Map 4'!G11&lt;&gt;"Mountain",'Map 4'!G11&lt;&gt;"Ocean",'Map 4'!G11&lt;&gt;"Trench"),AND($AV11="⤴",'Map 4'!G10="Mountain",'Map 4'!G11&lt;&gt;"Mountain",'Map 4'!G11&lt;&gt;"Ocean",'Map 4'!G11&lt;&gt;"Trench")),CONCATENATE("Rainshadow ",'Map 4'!G11),'Map 4'!G11)</f>
        <v>Cliff</v>
      </c>
      <c r="H11" s="3" t="str">
        <f ca="1">IF(OR(AND($AV11="⤵",'Map 4'!H12="Mountain",'Map 4'!H11&lt;&gt;"Mountain",'Map 4'!H11&lt;&gt;"Ocean",'Map 4'!H11&lt;&gt;"Trench"),AND($AV11="⤴",'Map 4'!H10="Mountain",'Map 4'!H11&lt;&gt;"Mountain",'Map 4'!H11&lt;&gt;"Ocean",'Map 4'!H11&lt;&gt;"Trench")),CONCATENATE("Rainshadow ",'Map 4'!H11),'Map 4'!H11)</f>
        <v>Ocean</v>
      </c>
      <c r="I11" s="3" t="str">
        <f ca="1">IF(OR(AND($AV11="⤵",'Map 4'!I12="Mountain",'Map 4'!I11&lt;&gt;"Mountain",'Map 4'!I11&lt;&gt;"Ocean",'Map 4'!I11&lt;&gt;"Trench"),AND($AV11="⤴",'Map 4'!I10="Mountain",'Map 4'!I11&lt;&gt;"Mountain",'Map 4'!I11&lt;&gt;"Ocean",'Map 4'!I11&lt;&gt;"Trench")),CONCATENATE("Rainshadow ",'Map 4'!I11),'Map 4'!I11)</f>
        <v>Ocean</v>
      </c>
      <c r="J11" s="3" t="str">
        <f ca="1">IF(OR(AND($AV11="⤵",'Map 4'!J12="Mountain",'Map 4'!J11&lt;&gt;"Mountain",'Map 4'!J11&lt;&gt;"Ocean",'Map 4'!J11&lt;&gt;"Trench"),AND($AV11="⤴",'Map 4'!J10="Mountain",'Map 4'!J11&lt;&gt;"Mountain",'Map 4'!J11&lt;&gt;"Ocean",'Map 4'!J11&lt;&gt;"Trench")),CONCATENATE("Rainshadow ",'Map 4'!J11),'Map 4'!J11)</f>
        <v>Ocean</v>
      </c>
      <c r="K11" s="3" t="str">
        <f ca="1">IF(OR(AND($AV11="⤵",'Map 4'!K12="Mountain",'Map 4'!K11&lt;&gt;"Mountain",'Map 4'!K11&lt;&gt;"Ocean",'Map 4'!K11&lt;&gt;"Trench"),AND($AV11="⤴",'Map 4'!K10="Mountain",'Map 4'!K11&lt;&gt;"Mountain",'Map 4'!K11&lt;&gt;"Ocean",'Map 4'!K11&lt;&gt;"Trench")),CONCATENATE("Rainshadow ",'Map 4'!K11),'Map 4'!K11)</f>
        <v>Ocean</v>
      </c>
      <c r="L11" s="3" t="str">
        <f ca="1">IF(OR(AND($AV11="⤵",'Map 4'!L12="Mountain",'Map 4'!L11&lt;&gt;"Mountain",'Map 4'!L11&lt;&gt;"Ocean",'Map 4'!L11&lt;&gt;"Trench"),AND($AV11="⤴",'Map 4'!L10="Mountain",'Map 4'!L11&lt;&gt;"Mountain",'Map 4'!L11&lt;&gt;"Ocean",'Map 4'!L11&lt;&gt;"Trench")),CONCATENATE("Rainshadow ",'Map 4'!L11),'Map 4'!L11)</f>
        <v>Island</v>
      </c>
      <c r="M11" s="3" t="str">
        <f ca="1">IF(OR(AND($AV11="⤵",'Map 4'!M12="Mountain",'Map 4'!M11&lt;&gt;"Mountain",'Map 4'!M11&lt;&gt;"Ocean",'Map 4'!M11&lt;&gt;"Trench"),AND($AV11="⤴",'Map 4'!M10="Mountain",'Map 4'!M11&lt;&gt;"Mountain",'Map 4'!M11&lt;&gt;"Ocean",'Map 4'!M11&lt;&gt;"Trench")),CONCATENATE("Rainshadow ",'Map 4'!M11),'Map 4'!M11)</f>
        <v>Island</v>
      </c>
      <c r="N11" s="3" t="str">
        <f ca="1">IF(OR(AND($AV11="⤵",'Map 4'!N12="Mountain",'Map 4'!N11&lt;&gt;"Mountain",'Map 4'!N11&lt;&gt;"Ocean",'Map 4'!N11&lt;&gt;"Trench"),AND($AV11="⤴",'Map 4'!N10="Mountain",'Map 4'!N11&lt;&gt;"Mountain",'Map 4'!N11&lt;&gt;"Ocean",'Map 4'!N11&lt;&gt;"Trench")),CONCATENATE("Rainshadow ",'Map 4'!N11),'Map 4'!N11)</f>
        <v>Ocean</v>
      </c>
      <c r="O11" s="3" t="str">
        <f ca="1">IF(OR(AND($AV11="⤵",'Map 4'!O12="Mountain",'Map 4'!O11&lt;&gt;"Mountain",'Map 4'!O11&lt;&gt;"Ocean",'Map 4'!O11&lt;&gt;"Trench"),AND($AV11="⤴",'Map 4'!O10="Mountain",'Map 4'!O11&lt;&gt;"Mountain",'Map 4'!O11&lt;&gt;"Ocean",'Map 4'!O11&lt;&gt;"Trench")),CONCATENATE("Rainshadow ",'Map 4'!O11),'Map 4'!O11)</f>
        <v>Ocean</v>
      </c>
      <c r="P11" s="3" t="str">
        <f ca="1">IF(OR(AND($AV11="⤵",'Map 4'!P12="Mountain",'Map 4'!P11&lt;&gt;"Mountain",'Map 4'!P11&lt;&gt;"Ocean",'Map 4'!P11&lt;&gt;"Trench"),AND($AV11="⤴",'Map 4'!P10="Mountain",'Map 4'!P11&lt;&gt;"Mountain",'Map 4'!P11&lt;&gt;"Ocean",'Map 4'!P11&lt;&gt;"Trench")),CONCATENATE("Rainshadow ",'Map 4'!P11),'Map 4'!P11)</f>
        <v>Island</v>
      </c>
      <c r="Q11" s="3" t="str">
        <f ca="1">IF(OR(AND($AV11="⤵",'Map 4'!Q12="Mountain",'Map 4'!Q11&lt;&gt;"Mountain",'Map 4'!Q11&lt;&gt;"Ocean",'Map 4'!Q11&lt;&gt;"Trench"),AND($AV11="⤴",'Map 4'!Q10="Mountain",'Map 4'!Q11&lt;&gt;"Mountain",'Map 4'!Q11&lt;&gt;"Ocean",'Map 4'!Q11&lt;&gt;"Trench")),CONCATENATE("Rainshadow ",'Map 4'!Q11),'Map 4'!Q11)</f>
        <v>Ocean</v>
      </c>
      <c r="R11" s="3" t="str">
        <f ca="1">IF(OR(AND($AV11="⤵",'Map 4'!R12="Mountain",'Map 4'!R11&lt;&gt;"Mountain",'Map 4'!R11&lt;&gt;"Ocean",'Map 4'!R11&lt;&gt;"Trench"),AND($AV11="⤴",'Map 4'!R10="Mountain",'Map 4'!R11&lt;&gt;"Mountain",'Map 4'!R11&lt;&gt;"Ocean",'Map 4'!R11&lt;&gt;"Trench")),CONCATENATE("Rainshadow ",'Map 4'!R11),'Map 4'!R11)</f>
        <v>Ocean</v>
      </c>
      <c r="S11" s="3" t="str">
        <f ca="1">IF(OR(AND($AV11="⤵",'Map 4'!S12="Mountain",'Map 4'!S11&lt;&gt;"Mountain",'Map 4'!S11&lt;&gt;"Ocean",'Map 4'!S11&lt;&gt;"Trench"),AND($AV11="⤴",'Map 4'!S10="Mountain",'Map 4'!S11&lt;&gt;"Mountain",'Map 4'!S11&lt;&gt;"Ocean",'Map 4'!S11&lt;&gt;"Trench")),CONCATENATE("Rainshadow ",'Map 4'!S11),'Map 4'!S11)</f>
        <v>Ocean</v>
      </c>
      <c r="T11" s="3" t="str">
        <f ca="1">IF(OR(AND($AV11="⤵",'Map 4'!T12="Mountain",'Map 4'!T11&lt;&gt;"Mountain",'Map 4'!T11&lt;&gt;"Ocean",'Map 4'!T11&lt;&gt;"Trench"),AND($AV11="⤴",'Map 4'!T10="Mountain",'Map 4'!T11&lt;&gt;"Mountain",'Map 4'!T11&lt;&gt;"Ocean",'Map 4'!T11&lt;&gt;"Trench")),CONCATENATE("Rainshadow ",'Map 4'!T11),'Map 4'!T11)</f>
        <v>Ocean</v>
      </c>
      <c r="U11" s="3" t="str">
        <f ca="1">IF(OR(AND($AV11="⤵",'Map 4'!U12="Mountain",'Map 4'!U11&lt;&gt;"Mountain",'Map 4'!U11&lt;&gt;"Ocean",'Map 4'!U11&lt;&gt;"Trench"),AND($AV11="⤴",'Map 4'!U10="Mountain",'Map 4'!U11&lt;&gt;"Mountain",'Map 4'!U11&lt;&gt;"Ocean",'Map 4'!U11&lt;&gt;"Trench")),CONCATENATE("Rainshadow ",'Map 4'!U11),'Map 4'!U11)</f>
        <v>Island</v>
      </c>
      <c r="V11" s="3" t="str">
        <f ca="1">IF(OR(AND($AV11="⤵",'Map 4'!V12="Mountain",'Map 4'!V11&lt;&gt;"Mountain",'Map 4'!V11&lt;&gt;"Ocean",'Map 4'!V11&lt;&gt;"Trench"),AND($AV11="⤴",'Map 4'!V10="Mountain",'Map 4'!V11&lt;&gt;"Mountain",'Map 4'!V11&lt;&gt;"Ocean",'Map 4'!V11&lt;&gt;"Trench")),CONCATENATE("Rainshadow ",'Map 4'!V11),'Map 4'!V11)</f>
        <v>Ocean</v>
      </c>
      <c r="W11" s="3" t="str">
        <f ca="1">IF(OR(AND($AV11="⤵",'Map 4'!W12="Mountain",'Map 4'!W11&lt;&gt;"Mountain",'Map 4'!W11&lt;&gt;"Ocean",'Map 4'!W11&lt;&gt;"Trench"),AND($AV11="⤴",'Map 4'!W10="Mountain",'Map 4'!W11&lt;&gt;"Mountain",'Map 4'!W11&lt;&gt;"Ocean",'Map 4'!W11&lt;&gt;"Trench")),CONCATENATE("Rainshadow ",'Map 4'!W11),'Map 4'!W11)</f>
        <v>Island</v>
      </c>
      <c r="X11" s="3" t="str">
        <f ca="1">IF(OR(AND($AV11="⤵",'Map 4'!X12="Mountain",'Map 4'!X11&lt;&gt;"Mountain",'Map 4'!X11&lt;&gt;"Ocean",'Map 4'!X11&lt;&gt;"Trench"),AND($AV11="⤴",'Map 4'!X10="Mountain",'Map 4'!X11&lt;&gt;"Mountain",'Map 4'!X11&lt;&gt;"Ocean",'Map 4'!X11&lt;&gt;"Trench")),CONCATENATE("Rainshadow ",'Map 4'!X11),'Map 4'!X11)</f>
        <v>Ocean</v>
      </c>
      <c r="Y11" s="3" t="str">
        <f ca="1">IF(OR(AND($AV11="⤵",'Map 4'!Y12="Mountain",'Map 4'!Y11&lt;&gt;"Mountain",'Map 4'!Y11&lt;&gt;"Ocean",'Map 4'!Y11&lt;&gt;"Trench"),AND($AV11="⤴",'Map 4'!Y10="Mountain",'Map 4'!Y11&lt;&gt;"Mountain",'Map 4'!Y11&lt;&gt;"Ocean",'Map 4'!Y11&lt;&gt;"Trench")),CONCATENATE("Rainshadow ",'Map 4'!Y11),'Map 4'!Y11)</f>
        <v>Ocean</v>
      </c>
      <c r="Z11" s="3" t="str">
        <f ca="1">IF(OR(AND($AV11="⤵",'Map 4'!Z12="Mountain",'Map 4'!Z11&lt;&gt;"Mountain",'Map 4'!Z11&lt;&gt;"Ocean",'Map 4'!Z11&lt;&gt;"Trench"),AND($AV11="⤴",'Map 4'!Z10="Mountain",'Map 4'!Z11&lt;&gt;"Mountain",'Map 4'!Z11&lt;&gt;"Ocean",'Map 4'!Z11&lt;&gt;"Trench")),CONCATENATE("Rainshadow ",'Map 4'!Z11),'Map 4'!Z11)</f>
        <v>Ocean</v>
      </c>
      <c r="AA11" s="3" t="str">
        <f ca="1">IF(OR(AND($AV11="⤵",'Map 4'!AA12="Mountain",'Map 4'!AA11&lt;&gt;"Mountain",'Map 4'!AA11&lt;&gt;"Ocean",'Map 4'!AA11&lt;&gt;"Trench"),AND($AV11="⤴",'Map 4'!AA10="Mountain",'Map 4'!AA11&lt;&gt;"Mountain",'Map 4'!AA11&lt;&gt;"Ocean",'Map 4'!AA11&lt;&gt;"Trench")),CONCATENATE("Rainshadow ",'Map 4'!AA11),'Map 4'!AA11)</f>
        <v>Trench</v>
      </c>
      <c r="AB11" s="3" t="str">
        <f ca="1">IF(OR(AND($AV11="⤵",'Map 4'!AB12="Mountain",'Map 4'!AB11&lt;&gt;"Mountain",'Map 4'!AB11&lt;&gt;"Ocean",'Map 4'!AB11&lt;&gt;"Trench"),AND($AV11="⤴",'Map 4'!AB10="Mountain",'Map 4'!AB11&lt;&gt;"Mountain",'Map 4'!AB11&lt;&gt;"Ocean",'Map 4'!AB11&lt;&gt;"Trench")),CONCATENATE("Rainshadow ",'Map 4'!AB11),'Map 4'!AB11)</f>
        <v>Ocean</v>
      </c>
      <c r="AC11" s="3" t="str">
        <f ca="1">IF(OR(AND($AV11="⤵",'Map 4'!AC12="Mountain",'Map 4'!AC11&lt;&gt;"Mountain",'Map 4'!AC11&lt;&gt;"Ocean",'Map 4'!AC11&lt;&gt;"Trench"),AND($AV11="⤴",'Map 4'!AC10="Mountain",'Map 4'!AC11&lt;&gt;"Mountain",'Map 4'!AC11&lt;&gt;"Ocean",'Map 4'!AC11&lt;&gt;"Trench")),CONCATENATE("Rainshadow ",'Map 4'!AC11),'Map 4'!AC11)</f>
        <v>Coast</v>
      </c>
      <c r="AD11" s="3" t="str">
        <f ca="1">IF(OR(AND($AV11="⤵",'Map 4'!AD12="Mountain",'Map 4'!AD11&lt;&gt;"Mountain",'Map 4'!AD11&lt;&gt;"Ocean",'Map 4'!AD11&lt;&gt;"Trench"),AND($AV11="⤴",'Map 4'!AD10="Mountain",'Map 4'!AD11&lt;&gt;"Mountain",'Map 4'!AD11&lt;&gt;"Ocean",'Map 4'!AD11&lt;&gt;"Trench")),CONCATENATE("Rainshadow ",'Map 4'!AD11),'Map 4'!AD11)</f>
        <v>Coast</v>
      </c>
      <c r="AE11" s="3" t="str">
        <f ca="1">IF(OR(AND($AV11="⤵",'Map 4'!AE12="Mountain",'Map 4'!AE11&lt;&gt;"Mountain",'Map 4'!AE11&lt;&gt;"Ocean",'Map 4'!AE11&lt;&gt;"Trench"),AND($AV11="⤴",'Map 4'!AE10="Mountain",'Map 4'!AE11&lt;&gt;"Mountain",'Map 4'!AE11&lt;&gt;"Ocean",'Map 4'!AE11&lt;&gt;"Trench")),CONCATENATE("Rainshadow ",'Map 4'!AE11),'Map 4'!AE11)</f>
        <v>Flatland</v>
      </c>
      <c r="AF11" s="3" t="str">
        <f ca="1">IF(OR(AND($AV11="⤵",'Map 4'!AF12="Mountain",'Map 4'!AF11&lt;&gt;"Mountain",'Map 4'!AF11&lt;&gt;"Ocean",'Map 4'!AF11&lt;&gt;"Trench"),AND($AV11="⤴",'Map 4'!AF10="Mountain",'Map 4'!AF11&lt;&gt;"Mountain",'Map 4'!AF11&lt;&gt;"Ocean",'Map 4'!AF11&lt;&gt;"Trench")),CONCATENATE("Rainshadow ",'Map 4'!AF11),'Map 4'!AF11)</f>
        <v>Flatland</v>
      </c>
      <c r="AG11" s="3" t="str">
        <f ca="1">IF(OR(AND($AV11="⤵",'Map 4'!AG12="Mountain",'Map 4'!AG11&lt;&gt;"Mountain",'Map 4'!AG11&lt;&gt;"Ocean",'Map 4'!AG11&lt;&gt;"Trench"),AND($AV11="⤴",'Map 4'!AG10="Mountain",'Map 4'!AG11&lt;&gt;"Mountain",'Map 4'!AG11&lt;&gt;"Ocean",'Map 4'!AG11&lt;&gt;"Trench")),CONCATENATE("Rainshadow ",'Map 4'!AG11),'Map 4'!AG11)</f>
        <v>Mountain</v>
      </c>
      <c r="AH11" s="3" t="str">
        <f ca="1">IF(OR(AND($AV11="⤵",'Map 4'!AH12="Mountain",'Map 4'!AH11&lt;&gt;"Mountain",'Map 4'!AH11&lt;&gt;"Ocean",'Map 4'!AH11&lt;&gt;"Trench"),AND($AV11="⤴",'Map 4'!AH10="Mountain",'Map 4'!AH11&lt;&gt;"Mountain",'Map 4'!AH11&lt;&gt;"Ocean",'Map 4'!AH11&lt;&gt;"Trench")),CONCATENATE("Rainshadow ",'Map 4'!AH11),'Map 4'!AH11)</f>
        <v>Flatland</v>
      </c>
      <c r="AI11" s="3" t="str">
        <f ca="1">IF(OR(AND($AV11="⤵",'Map 4'!AI12="Mountain",'Map 4'!AI11&lt;&gt;"Mountain",'Map 4'!AI11&lt;&gt;"Ocean",'Map 4'!AI11&lt;&gt;"Trench"),AND($AV11="⤴",'Map 4'!AI10="Mountain",'Map 4'!AI11&lt;&gt;"Mountain",'Map 4'!AI11&lt;&gt;"Ocean",'Map 4'!AI11&lt;&gt;"Trench")),CONCATENATE("Rainshadow ",'Map 4'!AI11),'Map 4'!AI11)</f>
        <v>Flatland</v>
      </c>
      <c r="AJ11" s="3" t="str">
        <f ca="1">IF(OR(AND($AV11="⤵",'Map 4'!AJ12="Mountain",'Map 4'!AJ11&lt;&gt;"Mountain",'Map 4'!AJ11&lt;&gt;"Ocean",'Map 4'!AJ11&lt;&gt;"Trench"),AND($AV11="⤴",'Map 4'!AJ10="Mountain",'Map 4'!AJ11&lt;&gt;"Mountain",'Map 4'!AJ11&lt;&gt;"Ocean",'Map 4'!AJ11&lt;&gt;"Trench")),CONCATENATE("Rainshadow ",'Map 4'!AJ11),'Map 4'!AJ11)</f>
        <v>Flatland</v>
      </c>
      <c r="AK11" s="3" t="str">
        <f ca="1">IF(OR(AND($AV11="⤵",'Map 4'!AK12="Mountain",'Map 4'!AK11&lt;&gt;"Mountain",'Map 4'!AK11&lt;&gt;"Ocean",'Map 4'!AK11&lt;&gt;"Trench"),AND($AV11="⤴",'Map 4'!AK10="Mountain",'Map 4'!AK11&lt;&gt;"Mountain",'Map 4'!AK11&lt;&gt;"Ocean",'Map 4'!AK11&lt;&gt;"Trench")),CONCATENATE("Rainshadow ",'Map 4'!AK11),'Map 4'!AK11)</f>
        <v>Valley</v>
      </c>
      <c r="AL11" s="3" t="str">
        <f ca="1">IF(OR(AND($AV11="⤵",'Map 4'!AL12="Mountain",'Map 4'!AL11&lt;&gt;"Mountain",'Map 4'!AL11&lt;&gt;"Ocean",'Map 4'!AL11&lt;&gt;"Trench"),AND($AV11="⤴",'Map 4'!AL10="Mountain",'Map 4'!AL11&lt;&gt;"Mountain",'Map 4'!AL11&lt;&gt;"Ocean",'Map 4'!AL11&lt;&gt;"Trench")),CONCATENATE("Rainshadow ",'Map 4'!AL11),'Map 4'!AL11)</f>
        <v>Flatland</v>
      </c>
      <c r="AM11" s="3" t="str">
        <f ca="1">IF(OR(AND($AV11="⤵",'Map 4'!AM12="Mountain",'Map 4'!AM11&lt;&gt;"Mountain",'Map 4'!AM11&lt;&gt;"Ocean",'Map 4'!AM11&lt;&gt;"Trench"),AND($AV11="⤴",'Map 4'!AM10="Mountain",'Map 4'!AM11&lt;&gt;"Mountain",'Map 4'!AM11&lt;&gt;"Ocean",'Map 4'!AM11&lt;&gt;"Trench")),CONCATENATE("Rainshadow ",'Map 4'!AM11),'Map 4'!AM11)</f>
        <v>Coast</v>
      </c>
      <c r="AN11" s="3" t="str">
        <f ca="1">IF(OR(AND($AV11="⤵",'Map 4'!AN12="Mountain",'Map 4'!AN11&lt;&gt;"Mountain",'Map 4'!AN11&lt;&gt;"Ocean",'Map 4'!AN11&lt;&gt;"Trench"),AND($AV11="⤴",'Map 4'!AN10="Mountain",'Map 4'!AN11&lt;&gt;"Mountain",'Map 4'!AN11&lt;&gt;"Ocean",'Map 4'!AN11&lt;&gt;"Trench")),CONCATENATE("Rainshadow ",'Map 4'!AN11),'Map 4'!AN11)</f>
        <v>Ocean</v>
      </c>
      <c r="AO11" s="3" t="str">
        <f ca="1">IF(OR(AND($AV11="⤵",'Map 4'!AO12="Mountain",'Map 4'!AO11&lt;&gt;"Mountain",'Map 4'!AO11&lt;&gt;"Ocean",'Map 4'!AO11&lt;&gt;"Trench"),AND($AV11="⤴",'Map 4'!AO10="Mountain",'Map 4'!AO11&lt;&gt;"Mountain",'Map 4'!AO11&lt;&gt;"Ocean",'Map 4'!AO11&lt;&gt;"Trench")),CONCATENATE("Rainshadow ",'Map 4'!AO11),'Map 4'!AO11)</f>
        <v>Flatland</v>
      </c>
      <c r="AP11" s="3">
        <f t="shared" si="1"/>
        <v>-34.200000000000003</v>
      </c>
      <c r="AQ11" s="3">
        <f t="shared" si="2"/>
        <v>-29.56</v>
      </c>
      <c r="AR11" s="3"/>
      <c r="AS11" s="3">
        <f t="shared" ref="AS10:AS28" si="3">AS12-$E$3</f>
        <v>238.95000000000022</v>
      </c>
      <c r="AT11" s="41">
        <v>85.5</v>
      </c>
      <c r="AU11" s="41" t="str" cm="1">
        <f t="array" ref="AU11">_xlfn.IFS(AND(IF(AP11&lt;25,"Cold","Hot")="Cold",IF(AW11&gt;=0.5,"High","Low")="Low"),"Tundra",AND(IF(AP11&lt;25,"Cold","Hot")="Cold",IF(AW11&gt;=0.5,"High","Low")="High"),"Forest",AND(IF(AP11&lt;25,"Cold","Hot")="Hot",IF(AW11&gt;=0.5,"High","Low")="Low"),"Desert",AND(IF(AP11&lt;25,"Cold","Hot")="Hot",IF(AW11&gt;=0.5,"High","Low")="High"),"Rainforest")</f>
        <v>Tundra</v>
      </c>
      <c r="AV11" s="41" t="str" cm="1">
        <f t="array" ref="AV11">_xlfn.IFS(AT11&lt;-90,"⤴",AND(AT11&gt;=-90,AT11&lt;-60),"⤴",AND(AT11&gt;=-60,AT11&lt;-30),"⤵",AND(AT11&gt;=-30,AT11&lt;0),"⤴",AND(AT11&gt;=0,AT11&lt;30),"⤵",AND(AT11&gt;=30,AT11&lt;60),"⤴",AT11&gt;=60,"⤵")</f>
        <v>⤵</v>
      </c>
      <c r="AW11" s="41">
        <f t="shared" ref="AW11:AW29" si="4">IF(AV11="⤴",AW10-0.14,AW10+0.14)</f>
        <v>0.30000000000000004</v>
      </c>
    </row>
    <row r="12" spans="1:49" ht="15" customHeight="1">
      <c r="A12" s="3">
        <v>3</v>
      </c>
      <c r="B12" s="3" t="str">
        <f ca="1">IF(OR(AND($AV12="⤵",'Map 4'!B13="Mountain",'Map 4'!B12&lt;&gt;"Mountain",'Map 4'!B12&lt;&gt;"Ocean",'Map 4'!B12&lt;&gt;"Trench"),AND($AV12="⤴",'Map 4'!B11="Mountain",'Map 4'!B12&lt;&gt;"Mountain",'Map 4'!B12&lt;&gt;"Ocean",'Map 4'!B12&lt;&gt;"Trench")),CONCATENATE("Rainshadow ",'Map 4'!B12),'Map 4'!B12)</f>
        <v>Ocean</v>
      </c>
      <c r="C12" s="3" t="str">
        <f ca="1">IF(OR(AND($AV12="⤵",'Map 4'!C13="Mountain",'Map 4'!C12&lt;&gt;"Mountain",'Map 4'!C12&lt;&gt;"Ocean",'Map 4'!C12&lt;&gt;"Trench"),AND($AV12="⤴",'Map 4'!C11="Mountain",'Map 4'!C12&lt;&gt;"Mountain",'Map 4'!C12&lt;&gt;"Ocean",'Map 4'!C12&lt;&gt;"Trench")),CONCATENATE("Rainshadow ",'Map 4'!C12),'Map 4'!C12)</f>
        <v>Coast</v>
      </c>
      <c r="D12" s="3" t="str">
        <f ca="1">IF(OR(AND($AV12="⤵",'Map 4'!D13="Mountain",'Map 4'!D12&lt;&gt;"Mountain",'Map 4'!D12&lt;&gt;"Ocean",'Map 4'!D12&lt;&gt;"Trench"),AND($AV12="⤴",'Map 4'!D11="Mountain",'Map 4'!D12&lt;&gt;"Mountain",'Map 4'!D12&lt;&gt;"Ocean",'Map 4'!D12&lt;&gt;"Trench")),CONCATENATE("Rainshadow ",'Map 4'!D12),'Map 4'!D12)</f>
        <v>Flatland</v>
      </c>
      <c r="E12" s="3" t="str">
        <f ca="1">IF(OR(AND($AV12="⤵",'Map 4'!E13="Mountain",'Map 4'!E12&lt;&gt;"Mountain",'Map 4'!E12&lt;&gt;"Ocean",'Map 4'!E12&lt;&gt;"Trench"),AND($AV12="⤴",'Map 4'!E11="Mountain",'Map 4'!E12&lt;&gt;"Mountain",'Map 4'!E12&lt;&gt;"Ocean",'Map 4'!E12&lt;&gt;"Trench")),CONCATENATE("Rainshadow ",'Map 4'!E12),'Map 4'!E12)</f>
        <v>Flatland</v>
      </c>
      <c r="F12" s="3" t="str">
        <f ca="1">IF(OR(AND($AV12="⤵",'Map 4'!F13="Mountain",'Map 4'!F12&lt;&gt;"Mountain",'Map 4'!F12&lt;&gt;"Ocean",'Map 4'!F12&lt;&gt;"Trench"),AND($AV12="⤴",'Map 4'!F11="Mountain",'Map 4'!F12&lt;&gt;"Mountain",'Map 4'!F12&lt;&gt;"Ocean",'Map 4'!F12&lt;&gt;"Trench")),CONCATENATE("Rainshadow ",'Map 4'!F12),'Map 4'!F12)</f>
        <v>Coast</v>
      </c>
      <c r="G12" s="3" t="str">
        <f ca="1">IF(OR(AND($AV12="⤵",'Map 4'!G13="Mountain",'Map 4'!G12&lt;&gt;"Mountain",'Map 4'!G12&lt;&gt;"Ocean",'Map 4'!G12&lt;&gt;"Trench"),AND($AV12="⤴",'Map 4'!G11="Mountain",'Map 4'!G12&lt;&gt;"Mountain",'Map 4'!G12&lt;&gt;"Ocean",'Map 4'!G12&lt;&gt;"Trench")),CONCATENATE("Rainshadow ",'Map 4'!G12),'Map 4'!G12)</f>
        <v>Island</v>
      </c>
      <c r="H12" s="3" t="str">
        <f ca="1">IF(OR(AND($AV12="⤵",'Map 4'!H13="Mountain",'Map 4'!H12&lt;&gt;"Mountain",'Map 4'!H12&lt;&gt;"Ocean",'Map 4'!H12&lt;&gt;"Trench"),AND($AV12="⤴",'Map 4'!H11="Mountain",'Map 4'!H12&lt;&gt;"Mountain",'Map 4'!H12&lt;&gt;"Ocean",'Map 4'!H12&lt;&gt;"Trench")),CONCATENATE("Rainshadow ",'Map 4'!H12),'Map 4'!H12)</f>
        <v>Ocean</v>
      </c>
      <c r="I12" s="3" t="str">
        <f ca="1">IF(OR(AND($AV12="⤵",'Map 4'!I13="Mountain",'Map 4'!I12&lt;&gt;"Mountain",'Map 4'!I12&lt;&gt;"Ocean",'Map 4'!I12&lt;&gt;"Trench"),AND($AV12="⤴",'Map 4'!I11="Mountain",'Map 4'!I12&lt;&gt;"Mountain",'Map 4'!I12&lt;&gt;"Ocean",'Map 4'!I12&lt;&gt;"Trench")),CONCATENATE("Rainshadow ",'Map 4'!I12),'Map 4'!I12)</f>
        <v>Ocean</v>
      </c>
      <c r="J12" s="3" t="str">
        <f ca="1">IF(OR(AND($AV12="⤵",'Map 4'!J13="Mountain",'Map 4'!J12&lt;&gt;"Mountain",'Map 4'!J12&lt;&gt;"Ocean",'Map 4'!J12&lt;&gt;"Trench"),AND($AV12="⤴",'Map 4'!J11="Mountain",'Map 4'!J12&lt;&gt;"Mountain",'Map 4'!J12&lt;&gt;"Ocean",'Map 4'!J12&lt;&gt;"Trench")),CONCATENATE("Rainshadow ",'Map 4'!J12),'Map 4'!J12)</f>
        <v>Ocean</v>
      </c>
      <c r="K12" s="3" t="str">
        <f ca="1">IF(OR(AND($AV12="⤵",'Map 4'!K13="Mountain",'Map 4'!K12&lt;&gt;"Mountain",'Map 4'!K12&lt;&gt;"Ocean",'Map 4'!K12&lt;&gt;"Trench"),AND($AV12="⤴",'Map 4'!K11="Mountain",'Map 4'!K12&lt;&gt;"Mountain",'Map 4'!K12&lt;&gt;"Ocean",'Map 4'!K12&lt;&gt;"Trench")),CONCATENATE("Rainshadow ",'Map 4'!K12),'Map 4'!K12)</f>
        <v>Trench</v>
      </c>
      <c r="L12" s="3" t="str">
        <f ca="1">IF(OR(AND($AV12="⤵",'Map 4'!L13="Mountain",'Map 4'!L12&lt;&gt;"Mountain",'Map 4'!L12&lt;&gt;"Ocean",'Map 4'!L12&lt;&gt;"Trench"),AND($AV12="⤴",'Map 4'!L11="Mountain",'Map 4'!L12&lt;&gt;"Mountain",'Map 4'!L12&lt;&gt;"Ocean",'Map 4'!L12&lt;&gt;"Trench")),CONCATENATE("Rainshadow ",'Map 4'!L12),'Map 4'!L12)</f>
        <v>Trench</v>
      </c>
      <c r="M12" s="3" t="str">
        <f ca="1">IF(OR(AND($AV12="⤵",'Map 4'!M13="Mountain",'Map 4'!M12&lt;&gt;"Mountain",'Map 4'!M12&lt;&gt;"Ocean",'Map 4'!M12&lt;&gt;"Trench"),AND($AV12="⤴",'Map 4'!M11="Mountain",'Map 4'!M12&lt;&gt;"Mountain",'Map 4'!M12&lt;&gt;"Ocean",'Map 4'!M12&lt;&gt;"Trench")),CONCATENATE("Rainshadow ",'Map 4'!M12),'Map 4'!M12)</f>
        <v>Ocean</v>
      </c>
      <c r="N12" s="3" t="str">
        <f ca="1">IF(OR(AND($AV12="⤵",'Map 4'!N13="Mountain",'Map 4'!N12&lt;&gt;"Mountain",'Map 4'!N12&lt;&gt;"Ocean",'Map 4'!N12&lt;&gt;"Trench"),AND($AV12="⤴",'Map 4'!N11="Mountain",'Map 4'!N12&lt;&gt;"Mountain",'Map 4'!N12&lt;&gt;"Ocean",'Map 4'!N12&lt;&gt;"Trench")),CONCATENATE("Rainshadow ",'Map 4'!N12),'Map 4'!N12)</f>
        <v>Ocean</v>
      </c>
      <c r="O12" s="3" t="str">
        <f ca="1">IF(OR(AND($AV12="⤵",'Map 4'!O13="Mountain",'Map 4'!O12&lt;&gt;"Mountain",'Map 4'!O12&lt;&gt;"Ocean",'Map 4'!O12&lt;&gt;"Trench"),AND($AV12="⤴",'Map 4'!O11="Mountain",'Map 4'!O12&lt;&gt;"Mountain",'Map 4'!O12&lt;&gt;"Ocean",'Map 4'!O12&lt;&gt;"Trench")),CONCATENATE("Rainshadow ",'Map 4'!O12),'Map 4'!O12)</f>
        <v>Ocean</v>
      </c>
      <c r="P12" s="3" t="str">
        <f ca="1">IF(OR(AND($AV12="⤵",'Map 4'!P13="Mountain",'Map 4'!P12&lt;&gt;"Mountain",'Map 4'!P12&lt;&gt;"Ocean",'Map 4'!P12&lt;&gt;"Trench"),AND($AV12="⤴",'Map 4'!P11="Mountain",'Map 4'!P12&lt;&gt;"Mountain",'Map 4'!P12&lt;&gt;"Ocean",'Map 4'!P12&lt;&gt;"Trench")),CONCATENATE("Rainshadow ",'Map 4'!P12),'Map 4'!P12)</f>
        <v>Ocean</v>
      </c>
      <c r="Q12" s="3" t="str">
        <f ca="1">IF(OR(AND($AV12="⤵",'Map 4'!Q13="Mountain",'Map 4'!Q12&lt;&gt;"Mountain",'Map 4'!Q12&lt;&gt;"Ocean",'Map 4'!Q12&lt;&gt;"Trench"),AND($AV12="⤴",'Map 4'!Q11="Mountain",'Map 4'!Q12&lt;&gt;"Mountain",'Map 4'!Q12&lt;&gt;"Ocean",'Map 4'!Q12&lt;&gt;"Trench")),CONCATENATE("Rainshadow ",'Map 4'!Q12),'Map 4'!Q12)</f>
        <v>Ocean</v>
      </c>
      <c r="R12" s="3" t="str">
        <f ca="1">IF(OR(AND($AV12="⤵",'Map 4'!R13="Mountain",'Map 4'!R12&lt;&gt;"Mountain",'Map 4'!R12&lt;&gt;"Ocean",'Map 4'!R12&lt;&gt;"Trench"),AND($AV12="⤴",'Map 4'!R11="Mountain",'Map 4'!R12&lt;&gt;"Mountain",'Map 4'!R12&lt;&gt;"Ocean",'Map 4'!R12&lt;&gt;"Trench")),CONCATENATE("Rainshadow ",'Map 4'!R12),'Map 4'!R12)</f>
        <v>Ocean</v>
      </c>
      <c r="S12" s="3" t="str">
        <f ca="1">IF(OR(AND($AV12="⤵",'Map 4'!S13="Mountain",'Map 4'!S12&lt;&gt;"Mountain",'Map 4'!S12&lt;&gt;"Ocean",'Map 4'!S12&lt;&gt;"Trench"),AND($AV12="⤴",'Map 4'!S11="Mountain",'Map 4'!S12&lt;&gt;"Mountain",'Map 4'!S12&lt;&gt;"Ocean",'Map 4'!S12&lt;&gt;"Trench")),CONCATENATE("Rainshadow ",'Map 4'!S12),'Map 4'!S12)</f>
        <v>Ocean</v>
      </c>
      <c r="T12" s="3" t="str">
        <f ca="1">IF(OR(AND($AV12="⤵",'Map 4'!T13="Mountain",'Map 4'!T12&lt;&gt;"Mountain",'Map 4'!T12&lt;&gt;"Ocean",'Map 4'!T12&lt;&gt;"Trench"),AND($AV12="⤴",'Map 4'!T11="Mountain",'Map 4'!T12&lt;&gt;"Mountain",'Map 4'!T12&lt;&gt;"Ocean",'Map 4'!T12&lt;&gt;"Trench")),CONCATENATE("Rainshadow ",'Map 4'!T12),'Map 4'!T12)</f>
        <v>Ocean</v>
      </c>
      <c r="U12" s="3" t="str">
        <f ca="1">IF(OR(AND($AV12="⤵",'Map 4'!U13="Mountain",'Map 4'!U12&lt;&gt;"Mountain",'Map 4'!U12&lt;&gt;"Ocean",'Map 4'!U12&lt;&gt;"Trench"),AND($AV12="⤴",'Map 4'!U11="Mountain",'Map 4'!U12&lt;&gt;"Mountain",'Map 4'!U12&lt;&gt;"Ocean",'Map 4'!U12&lt;&gt;"Trench")),CONCATENATE("Rainshadow ",'Map 4'!U12),'Map 4'!U12)</f>
        <v>Ocean</v>
      </c>
      <c r="V12" s="3" t="str">
        <f ca="1">IF(OR(AND($AV12="⤵",'Map 4'!V13="Mountain",'Map 4'!V12&lt;&gt;"Mountain",'Map 4'!V12&lt;&gt;"Ocean",'Map 4'!V12&lt;&gt;"Trench"),AND($AV12="⤴",'Map 4'!V11="Mountain",'Map 4'!V12&lt;&gt;"Mountain",'Map 4'!V12&lt;&gt;"Ocean",'Map 4'!V12&lt;&gt;"Trench")),CONCATENATE("Rainshadow ",'Map 4'!V12),'Map 4'!V12)</f>
        <v>Trench</v>
      </c>
      <c r="W12" s="3" t="str">
        <f ca="1">IF(OR(AND($AV12="⤵",'Map 4'!W13="Mountain",'Map 4'!W12&lt;&gt;"Mountain",'Map 4'!W12&lt;&gt;"Ocean",'Map 4'!W12&lt;&gt;"Trench"),AND($AV12="⤴",'Map 4'!W11="Mountain",'Map 4'!W12&lt;&gt;"Mountain",'Map 4'!W12&lt;&gt;"Ocean",'Map 4'!W12&lt;&gt;"Trench")),CONCATENATE("Rainshadow ",'Map 4'!W12),'Map 4'!W12)</f>
        <v>Ocean</v>
      </c>
      <c r="X12" s="3" t="str">
        <f ca="1">IF(OR(AND($AV12="⤵",'Map 4'!X13="Mountain",'Map 4'!X12&lt;&gt;"Mountain",'Map 4'!X12&lt;&gt;"Ocean",'Map 4'!X12&lt;&gt;"Trench"),AND($AV12="⤴",'Map 4'!X11="Mountain",'Map 4'!X12&lt;&gt;"Mountain",'Map 4'!X12&lt;&gt;"Ocean",'Map 4'!X12&lt;&gt;"Trench")),CONCATENATE("Rainshadow ",'Map 4'!X12),'Map 4'!X12)</f>
        <v>Ocean</v>
      </c>
      <c r="Y12" s="3" t="str">
        <f ca="1">IF(OR(AND($AV12="⤵",'Map 4'!Y13="Mountain",'Map 4'!Y12&lt;&gt;"Mountain",'Map 4'!Y12&lt;&gt;"Ocean",'Map 4'!Y12&lt;&gt;"Trench"),AND($AV12="⤴",'Map 4'!Y11="Mountain",'Map 4'!Y12&lt;&gt;"Mountain",'Map 4'!Y12&lt;&gt;"Ocean",'Map 4'!Y12&lt;&gt;"Trench")),CONCATENATE("Rainshadow ",'Map 4'!Y12),'Map 4'!Y12)</f>
        <v>Ocean</v>
      </c>
      <c r="Z12" s="3" t="str">
        <f ca="1">IF(OR(AND($AV12="⤵",'Map 4'!Z13="Mountain",'Map 4'!Z12&lt;&gt;"Mountain",'Map 4'!Z12&lt;&gt;"Ocean",'Map 4'!Z12&lt;&gt;"Trench"),AND($AV12="⤴",'Map 4'!Z11="Mountain",'Map 4'!Z12&lt;&gt;"Mountain",'Map 4'!Z12&lt;&gt;"Ocean",'Map 4'!Z12&lt;&gt;"Trench")),CONCATENATE("Rainshadow ",'Map 4'!Z12),'Map 4'!Z12)</f>
        <v>Ocean</v>
      </c>
      <c r="AA12" s="3" t="str">
        <f ca="1">IF(OR(AND($AV12="⤵",'Map 4'!AA13="Mountain",'Map 4'!AA12&lt;&gt;"Mountain",'Map 4'!AA12&lt;&gt;"Ocean",'Map 4'!AA12&lt;&gt;"Trench"),AND($AV12="⤴",'Map 4'!AA11="Mountain",'Map 4'!AA12&lt;&gt;"Mountain",'Map 4'!AA12&lt;&gt;"Ocean",'Map 4'!AA12&lt;&gt;"Trench")),CONCATENATE("Rainshadow ",'Map 4'!AA12),'Map 4'!AA12)</f>
        <v>Ocean</v>
      </c>
      <c r="AB12" s="3" t="str">
        <f ca="1">IF(OR(AND($AV12="⤵",'Map 4'!AB13="Mountain",'Map 4'!AB12&lt;&gt;"Mountain",'Map 4'!AB12&lt;&gt;"Ocean",'Map 4'!AB12&lt;&gt;"Trench"),AND($AV12="⤴",'Map 4'!AB11="Mountain",'Map 4'!AB12&lt;&gt;"Mountain",'Map 4'!AB12&lt;&gt;"Ocean",'Map 4'!AB12&lt;&gt;"Trench")),CONCATENATE("Rainshadow ",'Map 4'!AB12),'Map 4'!AB12)</f>
        <v>Ocean</v>
      </c>
      <c r="AC12" s="3" t="str">
        <f ca="1">IF(OR(AND($AV12="⤵",'Map 4'!AC13="Mountain",'Map 4'!AC12&lt;&gt;"Mountain",'Map 4'!AC12&lt;&gt;"Ocean",'Map 4'!AC12&lt;&gt;"Trench"),AND($AV12="⤴",'Map 4'!AC11="Mountain",'Map 4'!AC12&lt;&gt;"Mountain",'Map 4'!AC12&lt;&gt;"Ocean",'Map 4'!AC12&lt;&gt;"Trench")),CONCATENATE("Rainshadow ",'Map 4'!AC12),'Map 4'!AC12)</f>
        <v>Ocean</v>
      </c>
      <c r="AD12" s="3" t="str">
        <f ca="1">IF(OR(AND($AV12="⤵",'Map 4'!AD13="Mountain",'Map 4'!AD12&lt;&gt;"Mountain",'Map 4'!AD12&lt;&gt;"Ocean",'Map 4'!AD12&lt;&gt;"Trench"),AND($AV12="⤴",'Map 4'!AD11="Mountain",'Map 4'!AD12&lt;&gt;"Mountain",'Map 4'!AD12&lt;&gt;"Ocean",'Map 4'!AD12&lt;&gt;"Trench")),CONCATENATE("Rainshadow ",'Map 4'!AD12),'Map 4'!AD12)</f>
        <v>Flatland</v>
      </c>
      <c r="AE12" s="3" t="str">
        <f ca="1">IF(OR(AND($AV12="⤵",'Map 4'!AE13="Mountain",'Map 4'!AE12&lt;&gt;"Mountain",'Map 4'!AE12&lt;&gt;"Ocean",'Map 4'!AE12&lt;&gt;"Trench"),AND($AV12="⤴",'Map 4'!AE11="Mountain",'Map 4'!AE12&lt;&gt;"Mountain",'Map 4'!AE12&lt;&gt;"Ocean",'Map 4'!AE12&lt;&gt;"Trench")),CONCATENATE("Rainshadow ",'Map 4'!AE12),'Map 4'!AE12)</f>
        <v>Flatland</v>
      </c>
      <c r="AF12" s="3" t="str">
        <f ca="1">IF(OR(AND($AV12="⤵",'Map 4'!AF13="Mountain",'Map 4'!AF12&lt;&gt;"Mountain",'Map 4'!AF12&lt;&gt;"Ocean",'Map 4'!AF12&lt;&gt;"Trench"),AND($AV12="⤴",'Map 4'!AF11="Mountain",'Map 4'!AF12&lt;&gt;"Mountain",'Map 4'!AF12&lt;&gt;"Ocean",'Map 4'!AF12&lt;&gt;"Trench")),CONCATENATE("Rainshadow ",'Map 4'!AF12),'Map 4'!AF12)</f>
        <v>Flatland</v>
      </c>
      <c r="AG12" s="3" t="str">
        <f ca="1">IF(OR(AND($AV12="⤵",'Map 4'!AG13="Mountain",'Map 4'!AG12&lt;&gt;"Mountain",'Map 4'!AG12&lt;&gt;"Ocean",'Map 4'!AG12&lt;&gt;"Trench"),AND($AV12="⤴",'Map 4'!AG11="Mountain",'Map 4'!AG12&lt;&gt;"Mountain",'Map 4'!AG12&lt;&gt;"Ocean",'Map 4'!AG12&lt;&gt;"Trench")),CONCATENATE("Rainshadow ",'Map 4'!AG12),'Map 4'!AG12)</f>
        <v>Flatland</v>
      </c>
      <c r="AH12" s="3" t="str">
        <f ca="1">IF(OR(AND($AV12="⤵",'Map 4'!AH13="Mountain",'Map 4'!AH12&lt;&gt;"Mountain",'Map 4'!AH12&lt;&gt;"Ocean",'Map 4'!AH12&lt;&gt;"Trench"),AND($AV12="⤴",'Map 4'!AH11="Mountain",'Map 4'!AH12&lt;&gt;"Mountain",'Map 4'!AH12&lt;&gt;"Ocean",'Map 4'!AH12&lt;&gt;"Trench")),CONCATENATE("Rainshadow ",'Map 4'!AH12),'Map 4'!AH12)</f>
        <v>Flatland</v>
      </c>
      <c r="AI12" s="3" t="str">
        <f ca="1">IF(OR(AND($AV12="⤵",'Map 4'!AI13="Mountain",'Map 4'!AI12&lt;&gt;"Mountain",'Map 4'!AI12&lt;&gt;"Ocean",'Map 4'!AI12&lt;&gt;"Trench"),AND($AV12="⤴",'Map 4'!AI11="Mountain",'Map 4'!AI12&lt;&gt;"Mountain",'Map 4'!AI12&lt;&gt;"Ocean",'Map 4'!AI12&lt;&gt;"Trench")),CONCATENATE("Rainshadow ",'Map 4'!AI12),'Map 4'!AI12)</f>
        <v>Flatland</v>
      </c>
      <c r="AJ12" s="3" t="str">
        <f ca="1">IF(OR(AND($AV12="⤵",'Map 4'!AJ13="Mountain",'Map 4'!AJ12&lt;&gt;"Mountain",'Map 4'!AJ12&lt;&gt;"Ocean",'Map 4'!AJ12&lt;&gt;"Trench"),AND($AV12="⤴",'Map 4'!AJ11="Mountain",'Map 4'!AJ12&lt;&gt;"Mountain",'Map 4'!AJ12&lt;&gt;"Ocean",'Map 4'!AJ12&lt;&gt;"Trench")),CONCATENATE("Rainshadow ",'Map 4'!AJ12),'Map 4'!AJ12)</f>
        <v>Flatland</v>
      </c>
      <c r="AK12" s="3" t="str">
        <f ca="1">IF(OR(AND($AV12="⤵",'Map 4'!AK13="Mountain",'Map 4'!AK12&lt;&gt;"Mountain",'Map 4'!AK12&lt;&gt;"Ocean",'Map 4'!AK12&lt;&gt;"Trench"),AND($AV12="⤴",'Map 4'!AK11="Mountain",'Map 4'!AK12&lt;&gt;"Mountain",'Map 4'!AK12&lt;&gt;"Ocean",'Map 4'!AK12&lt;&gt;"Trench")),CONCATENATE("Rainshadow ",'Map 4'!AK12),'Map 4'!AK12)</f>
        <v>Rainshadow Flatland</v>
      </c>
      <c r="AL12" s="3" t="str">
        <f ca="1">IF(OR(AND($AV12="⤵",'Map 4'!AL13="Mountain",'Map 4'!AL12&lt;&gt;"Mountain",'Map 4'!AL12&lt;&gt;"Ocean",'Map 4'!AL12&lt;&gt;"Trench"),AND($AV12="⤴",'Map 4'!AL11="Mountain",'Map 4'!AL12&lt;&gt;"Mountain",'Map 4'!AL12&lt;&gt;"Ocean",'Map 4'!AL12&lt;&gt;"Trench")),CONCATENATE("Rainshadow ",'Map 4'!AL12),'Map 4'!AL12)</f>
        <v>Flatland</v>
      </c>
      <c r="AM12" s="3" t="str">
        <f ca="1">IF(OR(AND($AV12="⤵",'Map 4'!AM13="Mountain",'Map 4'!AM12&lt;&gt;"Mountain",'Map 4'!AM12&lt;&gt;"Ocean",'Map 4'!AM12&lt;&gt;"Trench"),AND($AV12="⤴",'Map 4'!AM11="Mountain",'Map 4'!AM12&lt;&gt;"Mountain",'Map 4'!AM12&lt;&gt;"Ocean",'Map 4'!AM12&lt;&gt;"Trench")),CONCATENATE("Rainshadow ",'Map 4'!AM12),'Map 4'!AM12)</f>
        <v>Ocean</v>
      </c>
      <c r="AN12" s="3" t="str">
        <f ca="1">IF(OR(AND($AV12="⤵",'Map 4'!AN13="Mountain",'Map 4'!AN12&lt;&gt;"Mountain",'Map 4'!AN12&lt;&gt;"Ocean",'Map 4'!AN12&lt;&gt;"Trench"),AND($AV12="⤴",'Map 4'!AN11="Mountain",'Map 4'!AN12&lt;&gt;"Mountain",'Map 4'!AN12&lt;&gt;"Ocean",'Map 4'!AN12&lt;&gt;"Trench")),CONCATENATE("Rainshadow ",'Map 4'!AN12),'Map 4'!AN12)</f>
        <v>Ocean</v>
      </c>
      <c r="AO12" s="3" t="str">
        <f ca="1">IF(OR(AND($AV12="⤵",'Map 4'!AO13="Mountain",'Map 4'!AO12&lt;&gt;"Mountain",'Map 4'!AO12&lt;&gt;"Ocean",'Map 4'!AO12&lt;&gt;"Trench"),AND($AV12="⤴",'Map 4'!AO11="Mountain",'Map 4'!AO12&lt;&gt;"Mountain",'Map 4'!AO12&lt;&gt;"Ocean",'Map 4'!AO12&lt;&gt;"Trench")),CONCATENATE("Rainshadow ",'Map 4'!AO12),'Map 4'!AO12)</f>
        <v>Coast</v>
      </c>
      <c r="AP12" s="3">
        <f t="shared" si="1"/>
        <v>-27.25</v>
      </c>
      <c r="AQ12" s="3">
        <f t="shared" si="2"/>
        <v>-17.05</v>
      </c>
      <c r="AR12" s="3"/>
      <c r="AS12" s="3">
        <f t="shared" si="3"/>
        <v>245.9000000000002</v>
      </c>
      <c r="AT12" s="41">
        <v>81</v>
      </c>
      <c r="AU12" s="41" t="str" cm="1">
        <f t="array" ref="AU12">_xlfn.IFS(AND(IF(AP12&lt;25,"Cold","Hot")="Cold",IF(AW12&gt;=0.5,"High","Low")="Low"),"Tundra",AND(IF(AP12&lt;25,"Cold","Hot")="Cold",IF(AW12&gt;=0.5,"High","Low")="High"),"Forest",AND(IF(AP12&lt;25,"Cold","Hot")="Hot",IF(AW12&gt;=0.5,"High","Low")="Low"),"Desert",AND(IF(AP12&lt;25,"Cold","Hot")="Hot",IF(AW12&gt;=0.5,"High","Low")="High"),"Rainforest")</f>
        <v>Tundra</v>
      </c>
      <c r="AV12" s="41" t="str" cm="1">
        <f t="array" ref="AV12">_xlfn.IFS(AT12&lt;-90,"⤴",AND(AT12&gt;=-90,AT12&lt;-60),"⤴",AND(AT12&gt;=-60,AT12&lt;-30),"⤵",AND(AT12&gt;=-30,AT12&lt;0),"⤴",AND(AT12&gt;=0,AT12&lt;30),"⤵",AND(AT12&gt;=30,AT12&lt;60),"⤴",AT12&gt;=60,"⤵")</f>
        <v>⤵</v>
      </c>
      <c r="AW12" s="41">
        <f t="shared" si="4"/>
        <v>0.44000000000000006</v>
      </c>
    </row>
    <row r="13" spans="1:49" ht="15" customHeight="1">
      <c r="A13" s="3">
        <v>4</v>
      </c>
      <c r="B13" s="3" t="str">
        <f ca="1">IF(OR(AND($AV13="⤵",'Map 4'!B14="Mountain",'Map 4'!B13&lt;&gt;"Mountain",'Map 4'!B13&lt;&gt;"Ocean",'Map 4'!B13&lt;&gt;"Trench"),AND($AV13="⤴",'Map 4'!B12="Mountain",'Map 4'!B13&lt;&gt;"Mountain",'Map 4'!B13&lt;&gt;"Ocean",'Map 4'!B13&lt;&gt;"Trench")),CONCATENATE("Rainshadow ",'Map 4'!B13),'Map 4'!B13)</f>
        <v>Ocean</v>
      </c>
      <c r="C13" s="3" t="str">
        <f ca="1">IF(OR(AND($AV13="⤵",'Map 4'!C14="Mountain",'Map 4'!C13&lt;&gt;"Mountain",'Map 4'!C13&lt;&gt;"Ocean",'Map 4'!C13&lt;&gt;"Trench"),AND($AV13="⤴",'Map 4'!C12="Mountain",'Map 4'!C13&lt;&gt;"Mountain",'Map 4'!C13&lt;&gt;"Ocean",'Map 4'!C13&lt;&gt;"Trench")),CONCATENATE("Rainshadow ",'Map 4'!C13),'Map 4'!C13)</f>
        <v>Flatland</v>
      </c>
      <c r="D13" s="3" t="str">
        <f ca="1">IF(OR(AND($AV13="⤵",'Map 4'!D14="Mountain",'Map 4'!D13&lt;&gt;"Mountain",'Map 4'!D13&lt;&gt;"Ocean",'Map 4'!D13&lt;&gt;"Trench"),AND($AV13="⤴",'Map 4'!D12="Mountain",'Map 4'!D13&lt;&gt;"Mountain",'Map 4'!D13&lt;&gt;"Ocean",'Map 4'!D13&lt;&gt;"Trench")),CONCATENATE("Rainshadow ",'Map 4'!D13),'Map 4'!D13)</f>
        <v>Flatland</v>
      </c>
      <c r="E13" s="3" t="str">
        <f ca="1">IF(OR(AND($AV13="⤵",'Map 4'!E14="Mountain",'Map 4'!E13&lt;&gt;"Mountain",'Map 4'!E13&lt;&gt;"Ocean",'Map 4'!E13&lt;&gt;"Trench"),AND($AV13="⤴",'Map 4'!E12="Mountain",'Map 4'!E13&lt;&gt;"Mountain",'Map 4'!E13&lt;&gt;"Ocean",'Map 4'!E13&lt;&gt;"Trench")),CONCATENATE("Rainshadow ",'Map 4'!E13),'Map 4'!E13)</f>
        <v>Coast</v>
      </c>
      <c r="F13" s="3" t="str">
        <f ca="1">IF(OR(AND($AV13="⤵",'Map 4'!F14="Mountain",'Map 4'!F13&lt;&gt;"Mountain",'Map 4'!F13&lt;&gt;"Ocean",'Map 4'!F13&lt;&gt;"Trench"),AND($AV13="⤴",'Map 4'!F12="Mountain",'Map 4'!F13&lt;&gt;"Mountain",'Map 4'!F13&lt;&gt;"Ocean",'Map 4'!F13&lt;&gt;"Trench")),CONCATENATE("Rainshadow ",'Map 4'!F13),'Map 4'!F13)</f>
        <v>Ocean</v>
      </c>
      <c r="G13" s="3" t="str">
        <f ca="1">IF(OR(AND($AV13="⤵",'Map 4'!G14="Mountain",'Map 4'!G13&lt;&gt;"Mountain",'Map 4'!G13&lt;&gt;"Ocean",'Map 4'!G13&lt;&gt;"Trench"),AND($AV13="⤴",'Map 4'!G12="Mountain",'Map 4'!G13&lt;&gt;"Mountain",'Map 4'!G13&lt;&gt;"Ocean",'Map 4'!G13&lt;&gt;"Trench")),CONCATENATE("Rainshadow ",'Map 4'!G13),'Map 4'!G13)</f>
        <v>Trench</v>
      </c>
      <c r="H13" s="3" t="str">
        <f ca="1">IF(OR(AND($AV13="⤵",'Map 4'!H14="Mountain",'Map 4'!H13&lt;&gt;"Mountain",'Map 4'!H13&lt;&gt;"Ocean",'Map 4'!H13&lt;&gt;"Trench"),AND($AV13="⤴",'Map 4'!H12="Mountain",'Map 4'!H13&lt;&gt;"Mountain",'Map 4'!H13&lt;&gt;"Ocean",'Map 4'!H13&lt;&gt;"Trench")),CONCATENATE("Rainshadow ",'Map 4'!H13),'Map 4'!H13)</f>
        <v>Island</v>
      </c>
      <c r="I13" s="3" t="str">
        <f ca="1">IF(OR(AND($AV13="⤵",'Map 4'!I14="Mountain",'Map 4'!I13&lt;&gt;"Mountain",'Map 4'!I13&lt;&gt;"Ocean",'Map 4'!I13&lt;&gt;"Trench"),AND($AV13="⤴",'Map 4'!I12="Mountain",'Map 4'!I13&lt;&gt;"Mountain",'Map 4'!I13&lt;&gt;"Ocean",'Map 4'!I13&lt;&gt;"Trench")),CONCATENATE("Rainshadow ",'Map 4'!I13),'Map 4'!I13)</f>
        <v>Ocean</v>
      </c>
      <c r="J13" s="3" t="str">
        <f ca="1">IF(OR(AND($AV13="⤵",'Map 4'!J14="Mountain",'Map 4'!J13&lt;&gt;"Mountain",'Map 4'!J13&lt;&gt;"Ocean",'Map 4'!J13&lt;&gt;"Trench"),AND($AV13="⤴",'Map 4'!J12="Mountain",'Map 4'!J13&lt;&gt;"Mountain",'Map 4'!J13&lt;&gt;"Ocean",'Map 4'!J13&lt;&gt;"Trench")),CONCATENATE("Rainshadow ",'Map 4'!J13),'Map 4'!J13)</f>
        <v>Ocean</v>
      </c>
      <c r="K13" s="3" t="str">
        <f ca="1">IF(OR(AND($AV13="⤵",'Map 4'!K14="Mountain",'Map 4'!K13&lt;&gt;"Mountain",'Map 4'!K13&lt;&gt;"Ocean",'Map 4'!K13&lt;&gt;"Trench"),AND($AV13="⤴",'Map 4'!K12="Mountain",'Map 4'!K13&lt;&gt;"Mountain",'Map 4'!K13&lt;&gt;"Ocean",'Map 4'!K13&lt;&gt;"Trench")),CONCATENATE("Rainshadow ",'Map 4'!K13),'Map 4'!K13)</f>
        <v>Ocean</v>
      </c>
      <c r="L13" s="3" t="str">
        <f ca="1">IF(OR(AND($AV13="⤵",'Map 4'!L14="Mountain",'Map 4'!L13&lt;&gt;"Mountain",'Map 4'!L13&lt;&gt;"Ocean",'Map 4'!L13&lt;&gt;"Trench"),AND($AV13="⤴",'Map 4'!L12="Mountain",'Map 4'!L13&lt;&gt;"Mountain",'Map 4'!L13&lt;&gt;"Ocean",'Map 4'!L13&lt;&gt;"Trench")),CONCATENATE("Rainshadow ",'Map 4'!L13),'Map 4'!L13)</f>
        <v>Trench</v>
      </c>
      <c r="M13" s="3" t="str">
        <f ca="1">IF(OR(AND($AV13="⤵",'Map 4'!M14="Mountain",'Map 4'!M13&lt;&gt;"Mountain",'Map 4'!M13&lt;&gt;"Ocean",'Map 4'!M13&lt;&gt;"Trench"),AND($AV13="⤴",'Map 4'!M12="Mountain",'Map 4'!M13&lt;&gt;"Mountain",'Map 4'!M13&lt;&gt;"Ocean",'Map 4'!M13&lt;&gt;"Trench")),CONCATENATE("Rainshadow ",'Map 4'!M13),'Map 4'!M13)</f>
        <v>Ocean</v>
      </c>
      <c r="N13" s="3" t="str">
        <f ca="1">IF(OR(AND($AV13="⤵",'Map 4'!N14="Mountain",'Map 4'!N13&lt;&gt;"Mountain",'Map 4'!N13&lt;&gt;"Ocean",'Map 4'!N13&lt;&gt;"Trench"),AND($AV13="⤴",'Map 4'!N12="Mountain",'Map 4'!N13&lt;&gt;"Mountain",'Map 4'!N13&lt;&gt;"Ocean",'Map 4'!N13&lt;&gt;"Trench")),CONCATENATE("Rainshadow ",'Map 4'!N13),'Map 4'!N13)</f>
        <v>Ocean</v>
      </c>
      <c r="O13" s="3" t="str">
        <f ca="1">IF(OR(AND($AV13="⤵",'Map 4'!O14="Mountain",'Map 4'!O13&lt;&gt;"Mountain",'Map 4'!O13&lt;&gt;"Ocean",'Map 4'!O13&lt;&gt;"Trench"),AND($AV13="⤴",'Map 4'!O12="Mountain",'Map 4'!O13&lt;&gt;"Mountain",'Map 4'!O13&lt;&gt;"Ocean",'Map 4'!O13&lt;&gt;"Trench")),CONCATENATE("Rainshadow ",'Map 4'!O13),'Map 4'!O13)</f>
        <v>Ocean</v>
      </c>
      <c r="P13" s="3" t="str">
        <f ca="1">IF(OR(AND($AV13="⤵",'Map 4'!P14="Mountain",'Map 4'!P13&lt;&gt;"Mountain",'Map 4'!P13&lt;&gt;"Ocean",'Map 4'!P13&lt;&gt;"Trench"),AND($AV13="⤴",'Map 4'!P12="Mountain",'Map 4'!P13&lt;&gt;"Mountain",'Map 4'!P13&lt;&gt;"Ocean",'Map 4'!P13&lt;&gt;"Trench")),CONCATENATE("Rainshadow ",'Map 4'!P13),'Map 4'!P13)</f>
        <v>Trench</v>
      </c>
      <c r="Q13" s="3" t="str">
        <f ca="1">IF(OR(AND($AV13="⤵",'Map 4'!Q14="Mountain",'Map 4'!Q13&lt;&gt;"Mountain",'Map 4'!Q13&lt;&gt;"Ocean",'Map 4'!Q13&lt;&gt;"Trench"),AND($AV13="⤴",'Map 4'!Q12="Mountain",'Map 4'!Q13&lt;&gt;"Mountain",'Map 4'!Q13&lt;&gt;"Ocean",'Map 4'!Q13&lt;&gt;"Trench")),CONCATENATE("Rainshadow ",'Map 4'!Q13),'Map 4'!Q13)</f>
        <v>Ocean</v>
      </c>
      <c r="R13" s="3" t="str">
        <f ca="1">IF(OR(AND($AV13="⤵",'Map 4'!R14="Mountain",'Map 4'!R13&lt;&gt;"Mountain",'Map 4'!R13&lt;&gt;"Ocean",'Map 4'!R13&lt;&gt;"Trench"),AND($AV13="⤴",'Map 4'!R12="Mountain",'Map 4'!R13&lt;&gt;"Mountain",'Map 4'!R13&lt;&gt;"Ocean",'Map 4'!R13&lt;&gt;"Trench")),CONCATENATE("Rainshadow ",'Map 4'!R13),'Map 4'!R13)</f>
        <v>Trench</v>
      </c>
      <c r="S13" s="3" t="str">
        <f ca="1">IF(OR(AND($AV13="⤵",'Map 4'!S14="Mountain",'Map 4'!S13&lt;&gt;"Mountain",'Map 4'!S13&lt;&gt;"Ocean",'Map 4'!S13&lt;&gt;"Trench"),AND($AV13="⤴",'Map 4'!S12="Mountain",'Map 4'!S13&lt;&gt;"Mountain",'Map 4'!S13&lt;&gt;"Ocean",'Map 4'!S13&lt;&gt;"Trench")),CONCATENATE("Rainshadow ",'Map 4'!S13),'Map 4'!S13)</f>
        <v>Ocean</v>
      </c>
      <c r="T13" s="3" t="str">
        <f ca="1">IF(OR(AND($AV13="⤵",'Map 4'!T14="Mountain",'Map 4'!T13&lt;&gt;"Mountain",'Map 4'!T13&lt;&gt;"Ocean",'Map 4'!T13&lt;&gt;"Trench"),AND($AV13="⤴",'Map 4'!T12="Mountain",'Map 4'!T13&lt;&gt;"Mountain",'Map 4'!T13&lt;&gt;"Ocean",'Map 4'!T13&lt;&gt;"Trench")),CONCATENATE("Rainshadow ",'Map 4'!T13),'Map 4'!T13)</f>
        <v>Ocean</v>
      </c>
      <c r="U13" s="3" t="str">
        <f ca="1">IF(OR(AND($AV13="⤵",'Map 4'!U14="Mountain",'Map 4'!U13&lt;&gt;"Mountain",'Map 4'!U13&lt;&gt;"Ocean",'Map 4'!U13&lt;&gt;"Trench"),AND($AV13="⤴",'Map 4'!U12="Mountain",'Map 4'!U13&lt;&gt;"Mountain",'Map 4'!U13&lt;&gt;"Ocean",'Map 4'!U13&lt;&gt;"Trench")),CONCATENATE("Rainshadow ",'Map 4'!U13),'Map 4'!U13)</f>
        <v>Ocean</v>
      </c>
      <c r="V13" s="3" t="str">
        <f ca="1">IF(OR(AND($AV13="⤵",'Map 4'!V14="Mountain",'Map 4'!V13&lt;&gt;"Mountain",'Map 4'!V13&lt;&gt;"Ocean",'Map 4'!V13&lt;&gt;"Trench"),AND($AV13="⤴",'Map 4'!V12="Mountain",'Map 4'!V13&lt;&gt;"Mountain",'Map 4'!V13&lt;&gt;"Ocean",'Map 4'!V13&lt;&gt;"Trench")),CONCATENATE("Rainshadow ",'Map 4'!V13),'Map 4'!V13)</f>
        <v>Ocean</v>
      </c>
      <c r="W13" s="3" t="str">
        <f ca="1">IF(OR(AND($AV13="⤵",'Map 4'!W14="Mountain",'Map 4'!W13&lt;&gt;"Mountain",'Map 4'!W13&lt;&gt;"Ocean",'Map 4'!W13&lt;&gt;"Trench"),AND($AV13="⤴",'Map 4'!W12="Mountain",'Map 4'!W13&lt;&gt;"Mountain",'Map 4'!W13&lt;&gt;"Ocean",'Map 4'!W13&lt;&gt;"Trench")),CONCATENATE("Rainshadow ",'Map 4'!W13),'Map 4'!W13)</f>
        <v>Ocean</v>
      </c>
      <c r="X13" s="3" t="str">
        <f ca="1">IF(OR(AND($AV13="⤵",'Map 4'!X14="Mountain",'Map 4'!X13&lt;&gt;"Mountain",'Map 4'!X13&lt;&gt;"Ocean",'Map 4'!X13&lt;&gt;"Trench"),AND($AV13="⤴",'Map 4'!X12="Mountain",'Map 4'!X13&lt;&gt;"Mountain",'Map 4'!X13&lt;&gt;"Ocean",'Map 4'!X13&lt;&gt;"Trench")),CONCATENATE("Rainshadow ",'Map 4'!X13),'Map 4'!X13)</f>
        <v>Ocean</v>
      </c>
      <c r="Y13" s="3" t="str">
        <f ca="1">IF(OR(AND($AV13="⤵",'Map 4'!Y14="Mountain",'Map 4'!Y13&lt;&gt;"Mountain",'Map 4'!Y13&lt;&gt;"Ocean",'Map 4'!Y13&lt;&gt;"Trench"),AND($AV13="⤴",'Map 4'!Y12="Mountain",'Map 4'!Y13&lt;&gt;"Mountain",'Map 4'!Y13&lt;&gt;"Ocean",'Map 4'!Y13&lt;&gt;"Trench")),CONCATENATE("Rainshadow ",'Map 4'!Y13),'Map 4'!Y13)</f>
        <v>Ocean</v>
      </c>
      <c r="Z13" s="3" t="str">
        <f ca="1">IF(OR(AND($AV13="⤵",'Map 4'!Z14="Mountain",'Map 4'!Z13&lt;&gt;"Mountain",'Map 4'!Z13&lt;&gt;"Ocean",'Map 4'!Z13&lt;&gt;"Trench"),AND($AV13="⤴",'Map 4'!Z12="Mountain",'Map 4'!Z13&lt;&gt;"Mountain",'Map 4'!Z13&lt;&gt;"Ocean",'Map 4'!Z13&lt;&gt;"Trench")),CONCATENATE("Rainshadow ",'Map 4'!Z13),'Map 4'!Z13)</f>
        <v>Ocean</v>
      </c>
      <c r="AA13" s="3" t="str">
        <f ca="1">IF(OR(AND($AV13="⤵",'Map 4'!AA14="Mountain",'Map 4'!AA13&lt;&gt;"Mountain",'Map 4'!AA13&lt;&gt;"Ocean",'Map 4'!AA13&lt;&gt;"Trench"),AND($AV13="⤴",'Map 4'!AA12="Mountain",'Map 4'!AA13&lt;&gt;"Mountain",'Map 4'!AA13&lt;&gt;"Ocean",'Map 4'!AA13&lt;&gt;"Trench")),CONCATENATE("Rainshadow ",'Map 4'!AA13),'Map 4'!AA13)</f>
        <v>Ocean</v>
      </c>
      <c r="AB13" s="3" t="str">
        <f ca="1">IF(OR(AND($AV13="⤵",'Map 4'!AB14="Mountain",'Map 4'!AB13&lt;&gt;"Mountain",'Map 4'!AB13&lt;&gt;"Ocean",'Map 4'!AB13&lt;&gt;"Trench"),AND($AV13="⤴",'Map 4'!AB12="Mountain",'Map 4'!AB13&lt;&gt;"Mountain",'Map 4'!AB13&lt;&gt;"Ocean",'Map 4'!AB13&lt;&gt;"Trench")),CONCATENATE("Rainshadow ",'Map 4'!AB13),'Map 4'!AB13)</f>
        <v>Ocean</v>
      </c>
      <c r="AC13" s="3" t="str">
        <f ca="1">IF(OR(AND($AV13="⤵",'Map 4'!AC14="Mountain",'Map 4'!AC13&lt;&gt;"Mountain",'Map 4'!AC13&lt;&gt;"Ocean",'Map 4'!AC13&lt;&gt;"Trench"),AND($AV13="⤴",'Map 4'!AC12="Mountain",'Map 4'!AC13&lt;&gt;"Mountain",'Map 4'!AC13&lt;&gt;"Ocean",'Map 4'!AC13&lt;&gt;"Trench")),CONCATENATE("Rainshadow ",'Map 4'!AC13),'Map 4'!AC13)</f>
        <v>Ocean</v>
      </c>
      <c r="AD13" s="3" t="str">
        <f ca="1">IF(OR(AND($AV13="⤵",'Map 4'!AD14="Mountain",'Map 4'!AD13&lt;&gt;"Mountain",'Map 4'!AD13&lt;&gt;"Ocean",'Map 4'!AD13&lt;&gt;"Trench"),AND($AV13="⤴",'Map 4'!AD12="Mountain",'Map 4'!AD13&lt;&gt;"Mountain",'Map 4'!AD13&lt;&gt;"Ocean",'Map 4'!AD13&lt;&gt;"Trench")),CONCATENATE("Rainshadow ",'Map 4'!AD13),'Map 4'!AD13)</f>
        <v>Coast</v>
      </c>
      <c r="AE13" s="3" t="str">
        <f ca="1">IF(OR(AND($AV13="⤵",'Map 4'!AE14="Mountain",'Map 4'!AE13&lt;&gt;"Mountain",'Map 4'!AE13&lt;&gt;"Ocean",'Map 4'!AE13&lt;&gt;"Trench"),AND($AV13="⤴",'Map 4'!AE12="Mountain",'Map 4'!AE13&lt;&gt;"Mountain",'Map 4'!AE13&lt;&gt;"Ocean",'Map 4'!AE13&lt;&gt;"Trench")),CONCATENATE("Rainshadow ",'Map 4'!AE13),'Map 4'!AE13)</f>
        <v>Cliff</v>
      </c>
      <c r="AF13" s="3" t="str">
        <f ca="1">IF(OR(AND($AV13="⤵",'Map 4'!AF14="Mountain",'Map 4'!AF13&lt;&gt;"Mountain",'Map 4'!AF13&lt;&gt;"Ocean",'Map 4'!AF13&lt;&gt;"Trench"),AND($AV13="⤴",'Map 4'!AF12="Mountain",'Map 4'!AF13&lt;&gt;"Mountain",'Map 4'!AF13&lt;&gt;"Ocean",'Map 4'!AF13&lt;&gt;"Trench")),CONCATENATE("Rainshadow ",'Map 4'!AF13),'Map 4'!AF13)</f>
        <v>Flatland</v>
      </c>
      <c r="AG13" s="3" t="str">
        <f ca="1">IF(OR(AND($AV13="⤵",'Map 4'!AG14="Mountain",'Map 4'!AG13&lt;&gt;"Mountain",'Map 4'!AG13&lt;&gt;"Ocean",'Map 4'!AG13&lt;&gt;"Trench"),AND($AV13="⤴",'Map 4'!AG12="Mountain",'Map 4'!AG13&lt;&gt;"Mountain",'Map 4'!AG13&lt;&gt;"Ocean",'Map 4'!AG13&lt;&gt;"Trench")),CONCATENATE("Rainshadow ",'Map 4'!AG13),'Map 4'!AG13)</f>
        <v>Flatland</v>
      </c>
      <c r="AH13" s="3" t="str">
        <f ca="1">IF(OR(AND($AV13="⤵",'Map 4'!AH14="Mountain",'Map 4'!AH13&lt;&gt;"Mountain",'Map 4'!AH13&lt;&gt;"Ocean",'Map 4'!AH13&lt;&gt;"Trench"),AND($AV13="⤴",'Map 4'!AH12="Mountain",'Map 4'!AH13&lt;&gt;"Mountain",'Map 4'!AH13&lt;&gt;"Ocean",'Map 4'!AH13&lt;&gt;"Trench")),CONCATENATE("Rainshadow ",'Map 4'!AH13),'Map 4'!AH13)</f>
        <v>Flatland</v>
      </c>
      <c r="AI13" s="3" t="str">
        <f ca="1">IF(OR(AND($AV13="⤵",'Map 4'!AI14="Mountain",'Map 4'!AI13&lt;&gt;"Mountain",'Map 4'!AI13&lt;&gt;"Ocean",'Map 4'!AI13&lt;&gt;"Trench"),AND($AV13="⤴",'Map 4'!AI12="Mountain",'Map 4'!AI13&lt;&gt;"Mountain",'Map 4'!AI13&lt;&gt;"Ocean",'Map 4'!AI13&lt;&gt;"Trench")),CONCATENATE("Rainshadow ",'Map 4'!AI13),'Map 4'!AI13)</f>
        <v>Flatland</v>
      </c>
      <c r="AJ13" s="3" t="str">
        <f ca="1">IF(OR(AND($AV13="⤵",'Map 4'!AJ14="Mountain",'Map 4'!AJ13&lt;&gt;"Mountain",'Map 4'!AJ13&lt;&gt;"Ocean",'Map 4'!AJ13&lt;&gt;"Trench"),AND($AV13="⤴",'Map 4'!AJ12="Mountain",'Map 4'!AJ13&lt;&gt;"Mountain",'Map 4'!AJ13&lt;&gt;"Ocean",'Map 4'!AJ13&lt;&gt;"Trench")),CONCATENATE("Rainshadow ",'Map 4'!AJ13),'Map 4'!AJ13)</f>
        <v>Flatland</v>
      </c>
      <c r="AK13" s="3" t="str">
        <f ca="1">IF(OR(AND($AV13="⤵",'Map 4'!AK14="Mountain",'Map 4'!AK13&lt;&gt;"Mountain",'Map 4'!AK13&lt;&gt;"Ocean",'Map 4'!AK13&lt;&gt;"Trench"),AND($AV13="⤴",'Map 4'!AK12="Mountain",'Map 4'!AK13&lt;&gt;"Mountain",'Map 4'!AK13&lt;&gt;"Ocean",'Map 4'!AK13&lt;&gt;"Trench")),CONCATENATE("Rainshadow ",'Map 4'!AK13),'Map 4'!AK13)</f>
        <v>Mountain</v>
      </c>
      <c r="AL13" s="3" t="str">
        <f ca="1">IF(OR(AND($AV13="⤵",'Map 4'!AL14="Mountain",'Map 4'!AL13&lt;&gt;"Mountain",'Map 4'!AL13&lt;&gt;"Ocean",'Map 4'!AL13&lt;&gt;"Trench"),AND($AV13="⤴",'Map 4'!AL12="Mountain",'Map 4'!AL13&lt;&gt;"Mountain",'Map 4'!AL13&lt;&gt;"Ocean",'Map 4'!AL13&lt;&gt;"Trench")),CONCATENATE("Rainshadow ",'Map 4'!AL13),'Map 4'!AL13)</f>
        <v>Valley</v>
      </c>
      <c r="AM13" s="3" t="str">
        <f ca="1">IF(OR(AND($AV13="⤵",'Map 4'!AM14="Mountain",'Map 4'!AM13&lt;&gt;"Mountain",'Map 4'!AM13&lt;&gt;"Ocean",'Map 4'!AM13&lt;&gt;"Trench"),AND($AV13="⤴",'Map 4'!AM12="Mountain",'Map 4'!AM13&lt;&gt;"Mountain",'Map 4'!AM13&lt;&gt;"Ocean",'Map 4'!AM13&lt;&gt;"Trench")),CONCATENATE("Rainshadow ",'Map 4'!AM13),'Map 4'!AM13)</f>
        <v>Ocean</v>
      </c>
      <c r="AN13" s="3" t="str">
        <f ca="1">IF(OR(AND($AV13="⤵",'Map 4'!AN14="Mountain",'Map 4'!AN13&lt;&gt;"Mountain",'Map 4'!AN13&lt;&gt;"Ocean",'Map 4'!AN13&lt;&gt;"Trench"),AND($AV13="⤴",'Map 4'!AN12="Mountain",'Map 4'!AN13&lt;&gt;"Mountain",'Map 4'!AN13&lt;&gt;"Ocean",'Map 4'!AN13&lt;&gt;"Trench")),CONCATENATE("Rainshadow ",'Map 4'!AN13),'Map 4'!AN13)</f>
        <v>Coast</v>
      </c>
      <c r="AO13" s="3" t="str">
        <f ca="1">IF(OR(AND($AV13="⤵",'Map 4'!AO14="Mountain",'Map 4'!AO13&lt;&gt;"Mountain",'Map 4'!AO13&lt;&gt;"Ocean",'Map 4'!AO13&lt;&gt;"Trench"),AND($AV13="⤴",'Map 4'!AO12="Mountain",'Map 4'!AO13&lt;&gt;"Mountain",'Map 4'!AO13&lt;&gt;"Ocean",'Map 4'!AO13&lt;&gt;"Trench")),CONCATENATE("Rainshadow ",'Map 4'!AO13),'Map 4'!AO13)</f>
        <v>Flatland</v>
      </c>
      <c r="AP13" s="3">
        <f t="shared" si="1"/>
        <v>-20.3</v>
      </c>
      <c r="AQ13" s="3">
        <f t="shared" si="2"/>
        <v>-4.54</v>
      </c>
      <c r="AR13" s="3"/>
      <c r="AS13" s="3">
        <f t="shared" si="3"/>
        <v>252.85000000000019</v>
      </c>
      <c r="AT13" s="41">
        <v>76.5</v>
      </c>
      <c r="AU13" s="41" t="str" cm="1">
        <f t="array" ref="AU13">_xlfn.IFS(AND(IF(AP13&lt;25,"Cold","Hot")="Cold",IF(AW13&gt;=0.5,"High","Low")="Low"),"Tundra",AND(IF(AP13&lt;25,"Cold","Hot")="Cold",IF(AW13&gt;=0.5,"High","Low")="High"),"Forest",AND(IF(AP13&lt;25,"Cold","Hot")="Hot",IF(AW13&gt;=0.5,"High","Low")="Low"),"Desert",AND(IF(AP13&lt;25,"Cold","Hot")="Hot",IF(AW13&gt;=0.5,"High","Low")="High"),"Rainforest")</f>
        <v>Forest</v>
      </c>
      <c r="AV13" s="41" t="str" cm="1">
        <f t="array" ref="AV13">_xlfn.IFS(AT13&lt;-90,"⤴",AND(AT13&gt;=-90,AT13&lt;-60),"⤴",AND(AT13&gt;=-60,AT13&lt;-30),"⤵",AND(AT13&gt;=-30,AT13&lt;0),"⤴",AND(AT13&gt;=0,AT13&lt;30),"⤵",AND(AT13&gt;=30,AT13&lt;60),"⤴",AT13&gt;=60,"⤵")</f>
        <v>⤵</v>
      </c>
      <c r="AW13" s="41">
        <f t="shared" si="4"/>
        <v>0.58000000000000007</v>
      </c>
    </row>
    <row r="14" spans="1:49" ht="15" customHeight="1">
      <c r="A14" s="3">
        <v>5</v>
      </c>
      <c r="B14" s="3" t="str">
        <f ca="1">IF(OR(AND($AV14="⤵",'Map 4'!B15="Mountain",'Map 4'!B14&lt;&gt;"Mountain",'Map 4'!B14&lt;&gt;"Ocean",'Map 4'!B14&lt;&gt;"Trench"),AND($AV14="⤴",'Map 4'!B13="Mountain",'Map 4'!B14&lt;&gt;"Mountain",'Map 4'!B14&lt;&gt;"Ocean",'Map 4'!B14&lt;&gt;"Trench")),CONCATENATE("Rainshadow ",'Map 4'!B14),'Map 4'!B14)</f>
        <v>Ocean</v>
      </c>
      <c r="C14" s="3" t="str">
        <f ca="1">IF(OR(AND($AV14="⤵",'Map 4'!C15="Mountain",'Map 4'!C14&lt;&gt;"Mountain",'Map 4'!C14&lt;&gt;"Ocean",'Map 4'!C14&lt;&gt;"Trench"),AND($AV14="⤴",'Map 4'!C13="Mountain",'Map 4'!C14&lt;&gt;"Mountain",'Map 4'!C14&lt;&gt;"Ocean",'Map 4'!C14&lt;&gt;"Trench")),CONCATENATE("Rainshadow ",'Map 4'!C14),'Map 4'!C14)</f>
        <v>Coast</v>
      </c>
      <c r="D14" s="3" t="str">
        <f ca="1">IF(OR(AND($AV14="⤵",'Map 4'!D15="Mountain",'Map 4'!D14&lt;&gt;"Mountain",'Map 4'!D14&lt;&gt;"Ocean",'Map 4'!D14&lt;&gt;"Trench"),AND($AV14="⤴",'Map 4'!D13="Mountain",'Map 4'!D14&lt;&gt;"Mountain",'Map 4'!D14&lt;&gt;"Ocean",'Map 4'!D14&lt;&gt;"Trench")),CONCATENATE("Rainshadow ",'Map 4'!D14),'Map 4'!D14)</f>
        <v>Coast</v>
      </c>
      <c r="E14" s="3" t="str">
        <f ca="1">IF(OR(AND($AV14="⤵",'Map 4'!E15="Mountain",'Map 4'!E14&lt;&gt;"Mountain",'Map 4'!E14&lt;&gt;"Ocean",'Map 4'!E14&lt;&gt;"Trench"),AND($AV14="⤴",'Map 4'!E13="Mountain",'Map 4'!E14&lt;&gt;"Mountain",'Map 4'!E14&lt;&gt;"Ocean",'Map 4'!E14&lt;&gt;"Trench")),CONCATENATE("Rainshadow ",'Map 4'!E14),'Map 4'!E14)</f>
        <v>Cliff</v>
      </c>
      <c r="F14" s="3" t="str">
        <f ca="1">IF(OR(AND($AV14="⤵",'Map 4'!F15="Mountain",'Map 4'!F14&lt;&gt;"Mountain",'Map 4'!F14&lt;&gt;"Ocean",'Map 4'!F14&lt;&gt;"Trench"),AND($AV14="⤴",'Map 4'!F13="Mountain",'Map 4'!F14&lt;&gt;"Mountain",'Map 4'!F14&lt;&gt;"Ocean",'Map 4'!F14&lt;&gt;"Trench")),CONCATENATE("Rainshadow ",'Map 4'!F14),'Map 4'!F14)</f>
        <v>Coast</v>
      </c>
      <c r="G14" s="3" t="str">
        <f ca="1">IF(OR(AND($AV14="⤵",'Map 4'!G15="Mountain",'Map 4'!G14&lt;&gt;"Mountain",'Map 4'!G14&lt;&gt;"Ocean",'Map 4'!G14&lt;&gt;"Trench"),AND($AV14="⤴",'Map 4'!G13="Mountain",'Map 4'!G14&lt;&gt;"Mountain",'Map 4'!G14&lt;&gt;"Ocean",'Map 4'!G14&lt;&gt;"Trench")),CONCATENATE("Rainshadow ",'Map 4'!G14),'Map 4'!G14)</f>
        <v>Island</v>
      </c>
      <c r="H14" s="3" t="str">
        <f ca="1">IF(OR(AND($AV14="⤵",'Map 4'!H15="Mountain",'Map 4'!H14&lt;&gt;"Mountain",'Map 4'!H14&lt;&gt;"Ocean",'Map 4'!H14&lt;&gt;"Trench"),AND($AV14="⤴",'Map 4'!H13="Mountain",'Map 4'!H14&lt;&gt;"Mountain",'Map 4'!H14&lt;&gt;"Ocean",'Map 4'!H14&lt;&gt;"Trench")),CONCATENATE("Rainshadow ",'Map 4'!H14),'Map 4'!H14)</f>
        <v>Ocean</v>
      </c>
      <c r="I14" s="3" t="str">
        <f ca="1">IF(OR(AND($AV14="⤵",'Map 4'!I15="Mountain",'Map 4'!I14&lt;&gt;"Mountain",'Map 4'!I14&lt;&gt;"Ocean",'Map 4'!I14&lt;&gt;"Trench"),AND($AV14="⤴",'Map 4'!I13="Mountain",'Map 4'!I14&lt;&gt;"Mountain",'Map 4'!I14&lt;&gt;"Ocean",'Map 4'!I14&lt;&gt;"Trench")),CONCATENATE("Rainshadow ",'Map 4'!I14),'Map 4'!I14)</f>
        <v>Trench</v>
      </c>
      <c r="J14" s="3" t="str">
        <f ca="1">IF(OR(AND($AV14="⤵",'Map 4'!J15="Mountain",'Map 4'!J14&lt;&gt;"Mountain",'Map 4'!J14&lt;&gt;"Ocean",'Map 4'!J14&lt;&gt;"Trench"),AND($AV14="⤴",'Map 4'!J13="Mountain",'Map 4'!J14&lt;&gt;"Mountain",'Map 4'!J14&lt;&gt;"Ocean",'Map 4'!J14&lt;&gt;"Trench")),CONCATENATE("Rainshadow ",'Map 4'!J14),'Map 4'!J14)</f>
        <v>Ocean</v>
      </c>
      <c r="K14" s="3" t="str">
        <f ca="1">IF(OR(AND($AV14="⤵",'Map 4'!K15="Mountain",'Map 4'!K14&lt;&gt;"Mountain",'Map 4'!K14&lt;&gt;"Ocean",'Map 4'!K14&lt;&gt;"Trench"),AND($AV14="⤴",'Map 4'!K13="Mountain",'Map 4'!K14&lt;&gt;"Mountain",'Map 4'!K14&lt;&gt;"Ocean",'Map 4'!K14&lt;&gt;"Trench")),CONCATENATE("Rainshadow ",'Map 4'!K14),'Map 4'!K14)</f>
        <v>Ocean</v>
      </c>
      <c r="L14" s="3" t="str">
        <f ca="1">IF(OR(AND($AV14="⤵",'Map 4'!L15="Mountain",'Map 4'!L14&lt;&gt;"Mountain",'Map 4'!L14&lt;&gt;"Ocean",'Map 4'!L14&lt;&gt;"Trench"),AND($AV14="⤴",'Map 4'!L13="Mountain",'Map 4'!L14&lt;&gt;"Mountain",'Map 4'!L14&lt;&gt;"Ocean",'Map 4'!L14&lt;&gt;"Trench")),CONCATENATE("Rainshadow ",'Map 4'!L14),'Map 4'!L14)</f>
        <v>Ocean</v>
      </c>
      <c r="M14" s="3" t="str">
        <f ca="1">IF(OR(AND($AV14="⤵",'Map 4'!M15="Mountain",'Map 4'!M14&lt;&gt;"Mountain",'Map 4'!M14&lt;&gt;"Ocean",'Map 4'!M14&lt;&gt;"Trench"),AND($AV14="⤴",'Map 4'!M13="Mountain",'Map 4'!M14&lt;&gt;"Mountain",'Map 4'!M14&lt;&gt;"Ocean",'Map 4'!M14&lt;&gt;"Trench")),CONCATENATE("Rainshadow ",'Map 4'!M14),'Map 4'!M14)</f>
        <v>Island</v>
      </c>
      <c r="N14" s="3" t="str">
        <f ca="1">IF(OR(AND($AV14="⤵",'Map 4'!N15="Mountain",'Map 4'!N14&lt;&gt;"Mountain",'Map 4'!N14&lt;&gt;"Ocean",'Map 4'!N14&lt;&gt;"Trench"),AND($AV14="⤴",'Map 4'!N13="Mountain",'Map 4'!N14&lt;&gt;"Mountain",'Map 4'!N14&lt;&gt;"Ocean",'Map 4'!N14&lt;&gt;"Trench")),CONCATENATE("Rainshadow ",'Map 4'!N14),'Map 4'!N14)</f>
        <v>Island</v>
      </c>
      <c r="O14" s="3" t="str">
        <f ca="1">IF(OR(AND($AV14="⤵",'Map 4'!O15="Mountain",'Map 4'!O14&lt;&gt;"Mountain",'Map 4'!O14&lt;&gt;"Ocean",'Map 4'!O14&lt;&gt;"Trench"),AND($AV14="⤴",'Map 4'!O13="Mountain",'Map 4'!O14&lt;&gt;"Mountain",'Map 4'!O14&lt;&gt;"Ocean",'Map 4'!O14&lt;&gt;"Trench")),CONCATENATE("Rainshadow ",'Map 4'!O14),'Map 4'!O14)</f>
        <v>Island</v>
      </c>
      <c r="P14" s="3" t="str">
        <f ca="1">IF(OR(AND($AV14="⤵",'Map 4'!P15="Mountain",'Map 4'!P14&lt;&gt;"Mountain",'Map 4'!P14&lt;&gt;"Ocean",'Map 4'!P14&lt;&gt;"Trench"),AND($AV14="⤴",'Map 4'!P13="Mountain",'Map 4'!P14&lt;&gt;"Mountain",'Map 4'!P14&lt;&gt;"Ocean",'Map 4'!P14&lt;&gt;"Trench")),CONCATENATE("Rainshadow ",'Map 4'!P14),'Map 4'!P14)</f>
        <v>Island</v>
      </c>
      <c r="Q14" s="3" t="str">
        <f ca="1">IF(OR(AND($AV14="⤵",'Map 4'!Q15="Mountain",'Map 4'!Q14&lt;&gt;"Mountain",'Map 4'!Q14&lt;&gt;"Ocean",'Map 4'!Q14&lt;&gt;"Trench"),AND($AV14="⤴",'Map 4'!Q13="Mountain",'Map 4'!Q14&lt;&gt;"Mountain",'Map 4'!Q14&lt;&gt;"Ocean",'Map 4'!Q14&lt;&gt;"Trench")),CONCATENATE("Rainshadow ",'Map 4'!Q14),'Map 4'!Q14)</f>
        <v>Island</v>
      </c>
      <c r="R14" s="3" t="str">
        <f ca="1">IF(OR(AND($AV14="⤵",'Map 4'!R15="Mountain",'Map 4'!R14&lt;&gt;"Mountain",'Map 4'!R14&lt;&gt;"Ocean",'Map 4'!R14&lt;&gt;"Trench"),AND($AV14="⤴",'Map 4'!R13="Mountain",'Map 4'!R14&lt;&gt;"Mountain",'Map 4'!R14&lt;&gt;"Ocean",'Map 4'!R14&lt;&gt;"Trench")),CONCATENATE("Rainshadow ",'Map 4'!R14),'Map 4'!R14)</f>
        <v>Ocean</v>
      </c>
      <c r="S14" s="3" t="str">
        <f ca="1">IF(OR(AND($AV14="⤵",'Map 4'!S15="Mountain",'Map 4'!S14&lt;&gt;"Mountain",'Map 4'!S14&lt;&gt;"Ocean",'Map 4'!S14&lt;&gt;"Trench"),AND($AV14="⤴",'Map 4'!S13="Mountain",'Map 4'!S14&lt;&gt;"Mountain",'Map 4'!S14&lt;&gt;"Ocean",'Map 4'!S14&lt;&gt;"Trench")),CONCATENATE("Rainshadow ",'Map 4'!S14),'Map 4'!S14)</f>
        <v>Ocean</v>
      </c>
      <c r="T14" s="3" t="str">
        <f ca="1">IF(OR(AND($AV14="⤵",'Map 4'!T15="Mountain",'Map 4'!T14&lt;&gt;"Mountain",'Map 4'!T14&lt;&gt;"Ocean",'Map 4'!T14&lt;&gt;"Trench"),AND($AV14="⤴",'Map 4'!T13="Mountain",'Map 4'!T14&lt;&gt;"Mountain",'Map 4'!T14&lt;&gt;"Ocean",'Map 4'!T14&lt;&gt;"Trench")),CONCATENATE("Rainshadow ",'Map 4'!T14),'Map 4'!T14)</f>
        <v>Ocean</v>
      </c>
      <c r="U14" s="3" t="str">
        <f ca="1">IF(OR(AND($AV14="⤵",'Map 4'!U15="Mountain",'Map 4'!U14&lt;&gt;"Mountain",'Map 4'!U14&lt;&gt;"Ocean",'Map 4'!U14&lt;&gt;"Trench"),AND($AV14="⤴",'Map 4'!U13="Mountain",'Map 4'!U14&lt;&gt;"Mountain",'Map 4'!U14&lt;&gt;"Ocean",'Map 4'!U14&lt;&gt;"Trench")),CONCATENATE("Rainshadow ",'Map 4'!U14),'Map 4'!U14)</f>
        <v>Ocean</v>
      </c>
      <c r="V14" s="3" t="str">
        <f ca="1">IF(OR(AND($AV14="⤵",'Map 4'!V15="Mountain",'Map 4'!V14&lt;&gt;"Mountain",'Map 4'!V14&lt;&gt;"Ocean",'Map 4'!V14&lt;&gt;"Trench"),AND($AV14="⤴",'Map 4'!V13="Mountain",'Map 4'!V14&lt;&gt;"Mountain",'Map 4'!V14&lt;&gt;"Ocean",'Map 4'!V14&lt;&gt;"Trench")),CONCATENATE("Rainshadow ",'Map 4'!V14),'Map 4'!V14)</f>
        <v>Ocean</v>
      </c>
      <c r="W14" s="3" t="str">
        <f ca="1">IF(OR(AND($AV14="⤵",'Map 4'!W15="Mountain",'Map 4'!W14&lt;&gt;"Mountain",'Map 4'!W14&lt;&gt;"Ocean",'Map 4'!W14&lt;&gt;"Trench"),AND($AV14="⤴",'Map 4'!W13="Mountain",'Map 4'!W14&lt;&gt;"Mountain",'Map 4'!W14&lt;&gt;"Ocean",'Map 4'!W14&lt;&gt;"Trench")),CONCATENATE("Rainshadow ",'Map 4'!W14),'Map 4'!W14)</f>
        <v>Ocean</v>
      </c>
      <c r="X14" s="3" t="str">
        <f ca="1">IF(OR(AND($AV14="⤵",'Map 4'!X15="Mountain",'Map 4'!X14&lt;&gt;"Mountain",'Map 4'!X14&lt;&gt;"Ocean",'Map 4'!X14&lt;&gt;"Trench"),AND($AV14="⤴",'Map 4'!X13="Mountain",'Map 4'!X14&lt;&gt;"Mountain",'Map 4'!X14&lt;&gt;"Ocean",'Map 4'!X14&lt;&gt;"Trench")),CONCATENATE("Rainshadow ",'Map 4'!X14),'Map 4'!X14)</f>
        <v>Ocean</v>
      </c>
      <c r="Y14" s="3" t="str">
        <f ca="1">IF(OR(AND($AV14="⤵",'Map 4'!Y15="Mountain",'Map 4'!Y14&lt;&gt;"Mountain",'Map 4'!Y14&lt;&gt;"Ocean",'Map 4'!Y14&lt;&gt;"Trench"),AND($AV14="⤴",'Map 4'!Y13="Mountain",'Map 4'!Y14&lt;&gt;"Mountain",'Map 4'!Y14&lt;&gt;"Ocean",'Map 4'!Y14&lt;&gt;"Trench")),CONCATENATE("Rainshadow ",'Map 4'!Y14),'Map 4'!Y14)</f>
        <v>Ocean</v>
      </c>
      <c r="Z14" s="3" t="str">
        <f ca="1">IF(OR(AND($AV14="⤵",'Map 4'!Z15="Mountain",'Map 4'!Z14&lt;&gt;"Mountain",'Map 4'!Z14&lt;&gt;"Ocean",'Map 4'!Z14&lt;&gt;"Trench"),AND($AV14="⤴",'Map 4'!Z13="Mountain",'Map 4'!Z14&lt;&gt;"Mountain",'Map 4'!Z14&lt;&gt;"Ocean",'Map 4'!Z14&lt;&gt;"Trench")),CONCATENATE("Rainshadow ",'Map 4'!Z14),'Map 4'!Z14)</f>
        <v>Island</v>
      </c>
      <c r="AA14" s="3" t="str">
        <f ca="1">IF(OR(AND($AV14="⤵",'Map 4'!AA15="Mountain",'Map 4'!AA14&lt;&gt;"Mountain",'Map 4'!AA14&lt;&gt;"Ocean",'Map 4'!AA14&lt;&gt;"Trench"),AND($AV14="⤴",'Map 4'!AA13="Mountain",'Map 4'!AA14&lt;&gt;"Mountain",'Map 4'!AA14&lt;&gt;"Ocean",'Map 4'!AA14&lt;&gt;"Trench")),CONCATENATE("Rainshadow ",'Map 4'!AA14),'Map 4'!AA14)</f>
        <v>Island</v>
      </c>
      <c r="AB14" s="3" t="str">
        <f ca="1">IF(OR(AND($AV14="⤵",'Map 4'!AB15="Mountain",'Map 4'!AB14&lt;&gt;"Mountain",'Map 4'!AB14&lt;&gt;"Ocean",'Map 4'!AB14&lt;&gt;"Trench"),AND($AV14="⤴",'Map 4'!AB13="Mountain",'Map 4'!AB14&lt;&gt;"Mountain",'Map 4'!AB14&lt;&gt;"Ocean",'Map 4'!AB14&lt;&gt;"Trench")),CONCATENATE("Rainshadow ",'Map 4'!AB14),'Map 4'!AB14)</f>
        <v>Ocean</v>
      </c>
      <c r="AC14" s="3" t="str">
        <f ca="1">IF(OR(AND($AV14="⤵",'Map 4'!AC15="Mountain",'Map 4'!AC14&lt;&gt;"Mountain",'Map 4'!AC14&lt;&gt;"Ocean",'Map 4'!AC14&lt;&gt;"Trench"),AND($AV14="⤴",'Map 4'!AC13="Mountain",'Map 4'!AC14&lt;&gt;"Mountain",'Map 4'!AC14&lt;&gt;"Ocean",'Map 4'!AC14&lt;&gt;"Trench")),CONCATENATE("Rainshadow ",'Map 4'!AC14),'Map 4'!AC14)</f>
        <v>Trench</v>
      </c>
      <c r="AD14" s="3" t="str">
        <f ca="1">IF(OR(AND($AV14="⤵",'Map 4'!AD15="Mountain",'Map 4'!AD14&lt;&gt;"Mountain",'Map 4'!AD14&lt;&gt;"Ocean",'Map 4'!AD14&lt;&gt;"Trench"),AND($AV14="⤴",'Map 4'!AD13="Mountain",'Map 4'!AD14&lt;&gt;"Mountain",'Map 4'!AD14&lt;&gt;"Ocean",'Map 4'!AD14&lt;&gt;"Trench")),CONCATENATE("Rainshadow ",'Map 4'!AD14),'Map 4'!AD14)</f>
        <v>Ocean</v>
      </c>
      <c r="AE14" s="3" t="str">
        <f ca="1">IF(OR(AND($AV14="⤵",'Map 4'!AE15="Mountain",'Map 4'!AE14&lt;&gt;"Mountain",'Map 4'!AE14&lt;&gt;"Ocean",'Map 4'!AE14&lt;&gt;"Trench"),AND($AV14="⤴",'Map 4'!AE13="Mountain",'Map 4'!AE14&lt;&gt;"Mountain",'Map 4'!AE14&lt;&gt;"Ocean",'Map 4'!AE14&lt;&gt;"Trench")),CONCATENATE("Rainshadow ",'Map 4'!AE14),'Map 4'!AE14)</f>
        <v>Coast</v>
      </c>
      <c r="AF14" s="3" t="str">
        <f ca="1">IF(OR(AND($AV14="⤵",'Map 4'!AF15="Mountain",'Map 4'!AF14&lt;&gt;"Mountain",'Map 4'!AF14&lt;&gt;"Ocean",'Map 4'!AF14&lt;&gt;"Trench"),AND($AV14="⤴",'Map 4'!AF13="Mountain",'Map 4'!AF14&lt;&gt;"Mountain",'Map 4'!AF14&lt;&gt;"Ocean",'Map 4'!AF14&lt;&gt;"Trench")),CONCATENATE("Rainshadow ",'Map 4'!AF14),'Map 4'!AF14)</f>
        <v>Coast</v>
      </c>
      <c r="AG14" s="3" t="str">
        <f ca="1">IF(OR(AND($AV14="⤵",'Map 4'!AG15="Mountain",'Map 4'!AG14&lt;&gt;"Mountain",'Map 4'!AG14&lt;&gt;"Ocean",'Map 4'!AG14&lt;&gt;"Trench"),AND($AV14="⤴",'Map 4'!AG13="Mountain",'Map 4'!AG14&lt;&gt;"Mountain",'Map 4'!AG14&lt;&gt;"Ocean",'Map 4'!AG14&lt;&gt;"Trench")),CONCATENATE("Rainshadow ",'Map 4'!AG14),'Map 4'!AG14)</f>
        <v>Coast</v>
      </c>
      <c r="AH14" s="3" t="str">
        <f ca="1">IF(OR(AND($AV14="⤵",'Map 4'!AH15="Mountain",'Map 4'!AH14&lt;&gt;"Mountain",'Map 4'!AH14&lt;&gt;"Ocean",'Map 4'!AH14&lt;&gt;"Trench"),AND($AV14="⤴",'Map 4'!AH13="Mountain",'Map 4'!AH14&lt;&gt;"Mountain",'Map 4'!AH14&lt;&gt;"Ocean",'Map 4'!AH14&lt;&gt;"Trench")),CONCATENATE("Rainshadow ",'Map 4'!AH14),'Map 4'!AH14)</f>
        <v>Cliff</v>
      </c>
      <c r="AI14" s="3" t="str">
        <f ca="1">IF(OR(AND($AV14="⤵",'Map 4'!AI15="Mountain",'Map 4'!AI14&lt;&gt;"Mountain",'Map 4'!AI14&lt;&gt;"Ocean",'Map 4'!AI14&lt;&gt;"Trench"),AND($AV14="⤴",'Map 4'!AI13="Mountain",'Map 4'!AI14&lt;&gt;"Mountain",'Map 4'!AI14&lt;&gt;"Ocean",'Map 4'!AI14&lt;&gt;"Trench")),CONCATENATE("Rainshadow ",'Map 4'!AI14),'Map 4'!AI14)</f>
        <v>Ocean</v>
      </c>
      <c r="AJ14" s="3" t="str">
        <f ca="1">IF(OR(AND($AV14="⤵",'Map 4'!AJ15="Mountain",'Map 4'!AJ14&lt;&gt;"Mountain",'Map 4'!AJ14&lt;&gt;"Ocean",'Map 4'!AJ14&lt;&gt;"Trench"),AND($AV14="⤴",'Map 4'!AJ13="Mountain",'Map 4'!AJ14&lt;&gt;"Mountain",'Map 4'!AJ14&lt;&gt;"Ocean",'Map 4'!AJ14&lt;&gt;"Trench")),CONCATENATE("Rainshadow ",'Map 4'!AJ14),'Map 4'!AJ14)</f>
        <v>Trench</v>
      </c>
      <c r="AK14" s="3" t="str">
        <f ca="1">IF(OR(AND($AV14="⤵",'Map 4'!AK15="Mountain",'Map 4'!AK14&lt;&gt;"Mountain",'Map 4'!AK14&lt;&gt;"Ocean",'Map 4'!AK14&lt;&gt;"Trench"),AND($AV14="⤴",'Map 4'!AK13="Mountain",'Map 4'!AK14&lt;&gt;"Mountain",'Map 4'!AK14&lt;&gt;"Ocean",'Map 4'!AK14&lt;&gt;"Trench")),CONCATENATE("Rainshadow ",'Map 4'!AK14),'Map 4'!AK14)</f>
        <v>Ocean</v>
      </c>
      <c r="AL14" s="3" t="str">
        <f ca="1">IF(OR(AND($AV14="⤵",'Map 4'!AL15="Mountain",'Map 4'!AL14&lt;&gt;"Mountain",'Map 4'!AL14&lt;&gt;"Ocean",'Map 4'!AL14&lt;&gt;"Trench"),AND($AV14="⤴",'Map 4'!AL13="Mountain",'Map 4'!AL14&lt;&gt;"Mountain",'Map 4'!AL14&lt;&gt;"Ocean",'Map 4'!AL14&lt;&gt;"Trench")),CONCATENATE("Rainshadow ",'Map 4'!AL14),'Map 4'!AL14)</f>
        <v>Ocean</v>
      </c>
      <c r="AM14" s="3" t="str">
        <f ca="1">IF(OR(AND($AV14="⤵",'Map 4'!AM15="Mountain",'Map 4'!AM14&lt;&gt;"Mountain",'Map 4'!AM14&lt;&gt;"Ocean",'Map 4'!AM14&lt;&gt;"Trench"),AND($AV14="⤴",'Map 4'!AM13="Mountain",'Map 4'!AM14&lt;&gt;"Mountain",'Map 4'!AM14&lt;&gt;"Ocean",'Map 4'!AM14&lt;&gt;"Trench")),CONCATENATE("Rainshadow ",'Map 4'!AM14),'Map 4'!AM14)</f>
        <v>Cliff</v>
      </c>
      <c r="AN14" s="3" t="str">
        <f ca="1">IF(OR(AND($AV14="⤵",'Map 4'!AN15="Mountain",'Map 4'!AN14&lt;&gt;"Mountain",'Map 4'!AN14&lt;&gt;"Ocean",'Map 4'!AN14&lt;&gt;"Trench"),AND($AV14="⤴",'Map 4'!AN13="Mountain",'Map 4'!AN14&lt;&gt;"Mountain",'Map 4'!AN14&lt;&gt;"Ocean",'Map 4'!AN14&lt;&gt;"Trench")),CONCATENATE("Rainshadow ",'Map 4'!AN14),'Map 4'!AN14)</f>
        <v>Rainshadow Valley</v>
      </c>
      <c r="AO14" s="3" t="str">
        <f ca="1">IF(OR(AND($AV14="⤵",'Map 4'!AO15="Mountain",'Map 4'!AO14&lt;&gt;"Mountain",'Map 4'!AO14&lt;&gt;"Ocean",'Map 4'!AO14&lt;&gt;"Trench"),AND($AV14="⤴",'Map 4'!AO13="Mountain",'Map 4'!AO14&lt;&gt;"Mountain",'Map 4'!AO14&lt;&gt;"Ocean",'Map 4'!AO14&lt;&gt;"Trench")),CONCATENATE("Rainshadow ",'Map 4'!AO14),'Map 4'!AO14)</f>
        <v>Cliff</v>
      </c>
      <c r="AP14" s="3">
        <f t="shared" si="1"/>
        <v>-13.35</v>
      </c>
      <c r="AQ14" s="3">
        <f t="shared" si="2"/>
        <v>7.97</v>
      </c>
      <c r="AR14" s="3"/>
      <c r="AS14" s="3">
        <f t="shared" si="3"/>
        <v>259.80000000000018</v>
      </c>
      <c r="AT14" s="41">
        <v>72</v>
      </c>
      <c r="AU14" s="41" t="str" cm="1">
        <f t="array" ref="AU14">_xlfn.IFS(AND(IF(AP14&lt;25,"Cold","Hot")="Cold",IF(AW14&gt;=0.5,"High","Low")="Low"),"Tundra",AND(IF(AP14&lt;25,"Cold","Hot")="Cold",IF(AW14&gt;=0.5,"High","Low")="High"),"Forest",AND(IF(AP14&lt;25,"Cold","Hot")="Hot",IF(AW14&gt;=0.5,"High","Low")="Low"),"Desert",AND(IF(AP14&lt;25,"Cold","Hot")="Hot",IF(AW14&gt;=0.5,"High","Low")="High"),"Rainforest")</f>
        <v>Forest</v>
      </c>
      <c r="AV14" s="41" t="str" cm="1">
        <f t="array" ref="AV14">_xlfn.IFS(AT14&lt;-90,"⤴",AND(AT14&gt;=-90,AT14&lt;-60),"⤴",AND(AT14&gt;=-60,AT14&lt;-30),"⤵",AND(AT14&gt;=-30,AT14&lt;0),"⤴",AND(AT14&gt;=0,AT14&lt;30),"⤵",AND(AT14&gt;=30,AT14&lt;60),"⤴",AT14&gt;=60,"⤵")</f>
        <v>⤵</v>
      </c>
      <c r="AW14" s="41">
        <f t="shared" si="4"/>
        <v>0.72000000000000008</v>
      </c>
    </row>
    <row r="15" spans="1:49" ht="15" customHeight="1">
      <c r="A15" s="3">
        <v>6</v>
      </c>
      <c r="B15" s="3" t="str">
        <f ca="1">IF(OR(AND($AV15="⤵",'Map 4'!B16="Mountain",'Map 4'!B15&lt;&gt;"Mountain",'Map 4'!B15&lt;&gt;"Ocean",'Map 4'!B15&lt;&gt;"Trench"),AND($AV15="⤴",'Map 4'!B14="Mountain",'Map 4'!B15&lt;&gt;"Mountain",'Map 4'!B15&lt;&gt;"Ocean",'Map 4'!B15&lt;&gt;"Trench")),CONCATENATE("Rainshadow ",'Map 4'!B15),'Map 4'!B15)</f>
        <v>Mountain</v>
      </c>
      <c r="C15" s="3" t="str">
        <f ca="1">IF(OR(AND($AV15="⤵",'Map 4'!C16="Mountain",'Map 4'!C15&lt;&gt;"Mountain",'Map 4'!C15&lt;&gt;"Ocean",'Map 4'!C15&lt;&gt;"Trench"),AND($AV15="⤴",'Map 4'!C14="Mountain",'Map 4'!C15&lt;&gt;"Mountain",'Map 4'!C15&lt;&gt;"Ocean",'Map 4'!C15&lt;&gt;"Trench")),CONCATENATE("Rainshadow ",'Map 4'!C15),'Map 4'!C15)</f>
        <v>Drop Off</v>
      </c>
      <c r="D15" s="3" t="str">
        <f ca="1">IF(OR(AND($AV15="⤵",'Map 4'!D16="Mountain",'Map 4'!D15&lt;&gt;"Mountain",'Map 4'!D15&lt;&gt;"Ocean",'Map 4'!D15&lt;&gt;"Trench"),AND($AV15="⤴",'Map 4'!D14="Mountain",'Map 4'!D15&lt;&gt;"Mountain",'Map 4'!D15&lt;&gt;"Ocean",'Map 4'!D15&lt;&gt;"Trench")),CONCATENATE("Rainshadow ",'Map 4'!D15),'Map 4'!D15)</f>
        <v>Coast</v>
      </c>
      <c r="E15" s="3" t="str">
        <f ca="1">IF(OR(AND($AV15="⤵",'Map 4'!E16="Mountain",'Map 4'!E15&lt;&gt;"Mountain",'Map 4'!E15&lt;&gt;"Ocean",'Map 4'!E15&lt;&gt;"Trench"),AND($AV15="⤴",'Map 4'!E14="Mountain",'Map 4'!E15&lt;&gt;"Mountain",'Map 4'!E15&lt;&gt;"Ocean",'Map 4'!E15&lt;&gt;"Trench")),CONCATENATE("Rainshadow ",'Map 4'!E15),'Map 4'!E15)</f>
        <v>Island</v>
      </c>
      <c r="F15" s="3" t="str">
        <f ca="1">IF(OR(AND($AV15="⤵",'Map 4'!F16="Mountain",'Map 4'!F15&lt;&gt;"Mountain",'Map 4'!F15&lt;&gt;"Ocean",'Map 4'!F15&lt;&gt;"Trench"),AND($AV15="⤴",'Map 4'!F14="Mountain",'Map 4'!F15&lt;&gt;"Mountain",'Map 4'!F15&lt;&gt;"Ocean",'Map 4'!F15&lt;&gt;"Trench")),CONCATENATE("Rainshadow ",'Map 4'!F15),'Map 4'!F15)</f>
        <v>Ocean</v>
      </c>
      <c r="G15" s="3" t="str">
        <f ca="1">IF(OR(AND($AV15="⤵",'Map 4'!G16="Mountain",'Map 4'!G15&lt;&gt;"Mountain",'Map 4'!G15&lt;&gt;"Ocean",'Map 4'!G15&lt;&gt;"Trench"),AND($AV15="⤴",'Map 4'!G14="Mountain",'Map 4'!G15&lt;&gt;"Mountain",'Map 4'!G15&lt;&gt;"Ocean",'Map 4'!G15&lt;&gt;"Trench")),CONCATENATE("Rainshadow ",'Map 4'!G15),'Map 4'!G15)</f>
        <v>Island</v>
      </c>
      <c r="H15" s="3" t="str">
        <f ca="1">IF(OR(AND($AV15="⤵",'Map 4'!H16="Mountain",'Map 4'!H15&lt;&gt;"Mountain",'Map 4'!H15&lt;&gt;"Ocean",'Map 4'!H15&lt;&gt;"Trench"),AND($AV15="⤴",'Map 4'!H14="Mountain",'Map 4'!H15&lt;&gt;"Mountain",'Map 4'!H15&lt;&gt;"Ocean",'Map 4'!H15&lt;&gt;"Trench")),CONCATENATE("Rainshadow ",'Map 4'!H15),'Map 4'!H15)</f>
        <v>Island</v>
      </c>
      <c r="I15" s="3" t="str">
        <f ca="1">IF(OR(AND($AV15="⤵",'Map 4'!I16="Mountain",'Map 4'!I15&lt;&gt;"Mountain",'Map 4'!I15&lt;&gt;"Ocean",'Map 4'!I15&lt;&gt;"Trench"),AND($AV15="⤴",'Map 4'!I14="Mountain",'Map 4'!I15&lt;&gt;"Mountain",'Map 4'!I15&lt;&gt;"Ocean",'Map 4'!I15&lt;&gt;"Trench")),CONCATENATE("Rainshadow ",'Map 4'!I15),'Map 4'!I15)</f>
        <v>Trench</v>
      </c>
      <c r="J15" s="3" t="str">
        <f ca="1">IF(OR(AND($AV15="⤵",'Map 4'!J16="Mountain",'Map 4'!J15&lt;&gt;"Mountain",'Map 4'!J15&lt;&gt;"Ocean",'Map 4'!J15&lt;&gt;"Trench"),AND($AV15="⤴",'Map 4'!J14="Mountain",'Map 4'!J15&lt;&gt;"Mountain",'Map 4'!J15&lt;&gt;"Ocean",'Map 4'!J15&lt;&gt;"Trench")),CONCATENATE("Rainshadow ",'Map 4'!J15),'Map 4'!J15)</f>
        <v>Ocean</v>
      </c>
      <c r="K15" s="3" t="str">
        <f ca="1">IF(OR(AND($AV15="⤵",'Map 4'!K16="Mountain",'Map 4'!K15&lt;&gt;"Mountain",'Map 4'!K15&lt;&gt;"Ocean",'Map 4'!K15&lt;&gt;"Trench"),AND($AV15="⤴",'Map 4'!K14="Mountain",'Map 4'!K15&lt;&gt;"Mountain",'Map 4'!K15&lt;&gt;"Ocean",'Map 4'!K15&lt;&gt;"Trench")),CONCATENATE("Rainshadow ",'Map 4'!K15),'Map 4'!K15)</f>
        <v>Trench</v>
      </c>
      <c r="L15" s="3" t="str">
        <f ca="1">IF(OR(AND($AV15="⤵",'Map 4'!L16="Mountain",'Map 4'!L15&lt;&gt;"Mountain",'Map 4'!L15&lt;&gt;"Ocean",'Map 4'!L15&lt;&gt;"Trench"),AND($AV15="⤴",'Map 4'!L14="Mountain",'Map 4'!L15&lt;&gt;"Mountain",'Map 4'!L15&lt;&gt;"Ocean",'Map 4'!L15&lt;&gt;"Trench")),CONCATENATE("Rainshadow ",'Map 4'!L15),'Map 4'!L15)</f>
        <v>Ocean</v>
      </c>
      <c r="M15" s="3" t="str">
        <f ca="1">IF(OR(AND($AV15="⤵",'Map 4'!M16="Mountain",'Map 4'!M15&lt;&gt;"Mountain",'Map 4'!M15&lt;&gt;"Ocean",'Map 4'!M15&lt;&gt;"Trench"),AND($AV15="⤴",'Map 4'!M14="Mountain",'Map 4'!M15&lt;&gt;"Mountain",'Map 4'!M15&lt;&gt;"Ocean",'Map 4'!M15&lt;&gt;"Trench")),CONCATENATE("Rainshadow ",'Map 4'!M15),'Map 4'!M15)</f>
        <v>Ocean</v>
      </c>
      <c r="N15" s="3" t="str">
        <f ca="1">IF(OR(AND($AV15="⤵",'Map 4'!N16="Mountain",'Map 4'!N15&lt;&gt;"Mountain",'Map 4'!N15&lt;&gt;"Ocean",'Map 4'!N15&lt;&gt;"Trench"),AND($AV15="⤴",'Map 4'!N14="Mountain",'Map 4'!N15&lt;&gt;"Mountain",'Map 4'!N15&lt;&gt;"Ocean",'Map 4'!N15&lt;&gt;"Trench")),CONCATENATE("Rainshadow ",'Map 4'!N15),'Map 4'!N15)</f>
        <v>Ocean</v>
      </c>
      <c r="O15" s="3" t="str">
        <f ca="1">IF(OR(AND($AV15="⤵",'Map 4'!O16="Mountain",'Map 4'!O15&lt;&gt;"Mountain",'Map 4'!O15&lt;&gt;"Ocean",'Map 4'!O15&lt;&gt;"Trench"),AND($AV15="⤴",'Map 4'!O14="Mountain",'Map 4'!O15&lt;&gt;"Mountain",'Map 4'!O15&lt;&gt;"Ocean",'Map 4'!O15&lt;&gt;"Trench")),CONCATENATE("Rainshadow ",'Map 4'!O15),'Map 4'!O15)</f>
        <v>Ocean</v>
      </c>
      <c r="P15" s="3" t="str">
        <f ca="1">IF(OR(AND($AV15="⤵",'Map 4'!P16="Mountain",'Map 4'!P15&lt;&gt;"Mountain",'Map 4'!P15&lt;&gt;"Ocean",'Map 4'!P15&lt;&gt;"Trench"),AND($AV15="⤴",'Map 4'!P14="Mountain",'Map 4'!P15&lt;&gt;"Mountain",'Map 4'!P15&lt;&gt;"Ocean",'Map 4'!P15&lt;&gt;"Trench")),CONCATENATE("Rainshadow ",'Map 4'!P15),'Map 4'!P15)</f>
        <v>Island</v>
      </c>
      <c r="Q15" s="3" t="str">
        <f ca="1">IF(OR(AND($AV15="⤵",'Map 4'!Q16="Mountain",'Map 4'!Q15&lt;&gt;"Mountain",'Map 4'!Q15&lt;&gt;"Ocean",'Map 4'!Q15&lt;&gt;"Trench"),AND($AV15="⤴",'Map 4'!Q14="Mountain",'Map 4'!Q15&lt;&gt;"Mountain",'Map 4'!Q15&lt;&gt;"Ocean",'Map 4'!Q15&lt;&gt;"Trench")),CONCATENATE("Rainshadow ",'Map 4'!Q15),'Map 4'!Q15)</f>
        <v>Ocean</v>
      </c>
      <c r="R15" s="3" t="str">
        <f ca="1">IF(OR(AND($AV15="⤵",'Map 4'!R16="Mountain",'Map 4'!R15&lt;&gt;"Mountain",'Map 4'!R15&lt;&gt;"Ocean",'Map 4'!R15&lt;&gt;"Trench"),AND($AV15="⤴",'Map 4'!R14="Mountain",'Map 4'!R15&lt;&gt;"Mountain",'Map 4'!R15&lt;&gt;"Ocean",'Map 4'!R15&lt;&gt;"Trench")),CONCATENATE("Rainshadow ",'Map 4'!R15),'Map 4'!R15)</f>
        <v>Ocean</v>
      </c>
      <c r="S15" s="3" t="str">
        <f ca="1">IF(OR(AND($AV15="⤵",'Map 4'!S16="Mountain",'Map 4'!S15&lt;&gt;"Mountain",'Map 4'!S15&lt;&gt;"Ocean",'Map 4'!S15&lt;&gt;"Trench"),AND($AV15="⤴",'Map 4'!S14="Mountain",'Map 4'!S15&lt;&gt;"Mountain",'Map 4'!S15&lt;&gt;"Ocean",'Map 4'!S15&lt;&gt;"Trench")),CONCATENATE("Rainshadow ",'Map 4'!S15),'Map 4'!S15)</f>
        <v>Ocean</v>
      </c>
      <c r="T15" s="3" t="str">
        <f ca="1">IF(OR(AND($AV15="⤵",'Map 4'!T16="Mountain",'Map 4'!T15&lt;&gt;"Mountain",'Map 4'!T15&lt;&gt;"Ocean",'Map 4'!T15&lt;&gt;"Trench"),AND($AV15="⤴",'Map 4'!T14="Mountain",'Map 4'!T15&lt;&gt;"Mountain",'Map 4'!T15&lt;&gt;"Ocean",'Map 4'!T15&lt;&gt;"Trench")),CONCATENATE("Rainshadow ",'Map 4'!T15),'Map 4'!T15)</f>
        <v>Ocean</v>
      </c>
      <c r="U15" s="3" t="str">
        <f ca="1">IF(OR(AND($AV15="⤵",'Map 4'!U16="Mountain",'Map 4'!U15&lt;&gt;"Mountain",'Map 4'!U15&lt;&gt;"Ocean",'Map 4'!U15&lt;&gt;"Trench"),AND($AV15="⤴",'Map 4'!U14="Mountain",'Map 4'!U15&lt;&gt;"Mountain",'Map 4'!U15&lt;&gt;"Ocean",'Map 4'!U15&lt;&gt;"Trench")),CONCATENATE("Rainshadow ",'Map 4'!U15),'Map 4'!U15)</f>
        <v>Ocean</v>
      </c>
      <c r="V15" s="3" t="str">
        <f ca="1">IF(OR(AND($AV15="⤵",'Map 4'!V16="Mountain",'Map 4'!V15&lt;&gt;"Mountain",'Map 4'!V15&lt;&gt;"Ocean",'Map 4'!V15&lt;&gt;"Trench"),AND($AV15="⤴",'Map 4'!V14="Mountain",'Map 4'!V15&lt;&gt;"Mountain",'Map 4'!V15&lt;&gt;"Ocean",'Map 4'!V15&lt;&gt;"Trench")),CONCATENATE("Rainshadow ",'Map 4'!V15),'Map 4'!V15)</f>
        <v>Ocean</v>
      </c>
      <c r="W15" s="3" t="str">
        <f ca="1">IF(OR(AND($AV15="⤵",'Map 4'!W16="Mountain",'Map 4'!W15&lt;&gt;"Mountain",'Map 4'!W15&lt;&gt;"Ocean",'Map 4'!W15&lt;&gt;"Trench"),AND($AV15="⤴",'Map 4'!W14="Mountain",'Map 4'!W15&lt;&gt;"Mountain",'Map 4'!W15&lt;&gt;"Ocean",'Map 4'!W15&lt;&gt;"Trench")),CONCATENATE("Rainshadow ",'Map 4'!W15),'Map 4'!W15)</f>
        <v>Island</v>
      </c>
      <c r="X15" s="3" t="str">
        <f ca="1">IF(OR(AND($AV15="⤵",'Map 4'!X16="Mountain",'Map 4'!X15&lt;&gt;"Mountain",'Map 4'!X15&lt;&gt;"Ocean",'Map 4'!X15&lt;&gt;"Trench"),AND($AV15="⤴",'Map 4'!X14="Mountain",'Map 4'!X15&lt;&gt;"Mountain",'Map 4'!X15&lt;&gt;"Ocean",'Map 4'!X15&lt;&gt;"Trench")),CONCATENATE("Rainshadow ",'Map 4'!X15),'Map 4'!X15)</f>
        <v>Island</v>
      </c>
      <c r="Y15" s="3" t="str">
        <f ca="1">IF(OR(AND($AV15="⤵",'Map 4'!Y16="Mountain",'Map 4'!Y15&lt;&gt;"Mountain",'Map 4'!Y15&lt;&gt;"Ocean",'Map 4'!Y15&lt;&gt;"Trench"),AND($AV15="⤴",'Map 4'!Y14="Mountain",'Map 4'!Y15&lt;&gt;"Mountain",'Map 4'!Y15&lt;&gt;"Ocean",'Map 4'!Y15&lt;&gt;"Trench")),CONCATENATE("Rainshadow ",'Map 4'!Y15),'Map 4'!Y15)</f>
        <v>Ocean</v>
      </c>
      <c r="Z15" s="3" t="str">
        <f ca="1">IF(OR(AND($AV15="⤵",'Map 4'!Z16="Mountain",'Map 4'!Z15&lt;&gt;"Mountain",'Map 4'!Z15&lt;&gt;"Ocean",'Map 4'!Z15&lt;&gt;"Trench"),AND($AV15="⤴",'Map 4'!Z14="Mountain",'Map 4'!Z15&lt;&gt;"Mountain",'Map 4'!Z15&lt;&gt;"Ocean",'Map 4'!Z15&lt;&gt;"Trench")),CONCATENATE("Rainshadow ",'Map 4'!Z15),'Map 4'!Z15)</f>
        <v>Trench</v>
      </c>
      <c r="AA15" s="3" t="str">
        <f ca="1">IF(OR(AND($AV15="⤵",'Map 4'!AA16="Mountain",'Map 4'!AA15&lt;&gt;"Mountain",'Map 4'!AA15&lt;&gt;"Ocean",'Map 4'!AA15&lt;&gt;"Trench"),AND($AV15="⤴",'Map 4'!AA14="Mountain",'Map 4'!AA15&lt;&gt;"Mountain",'Map 4'!AA15&lt;&gt;"Ocean",'Map 4'!AA15&lt;&gt;"Trench")),CONCATENATE("Rainshadow ",'Map 4'!AA15),'Map 4'!AA15)</f>
        <v>Ocean</v>
      </c>
      <c r="AB15" s="3" t="str">
        <f ca="1">IF(OR(AND($AV15="⤵",'Map 4'!AB16="Mountain",'Map 4'!AB15&lt;&gt;"Mountain",'Map 4'!AB15&lt;&gt;"Ocean",'Map 4'!AB15&lt;&gt;"Trench"),AND($AV15="⤴",'Map 4'!AB14="Mountain",'Map 4'!AB15&lt;&gt;"Mountain",'Map 4'!AB15&lt;&gt;"Ocean",'Map 4'!AB15&lt;&gt;"Trench")),CONCATENATE("Rainshadow ",'Map 4'!AB15),'Map 4'!AB15)</f>
        <v>Island</v>
      </c>
      <c r="AC15" s="3" t="str">
        <f ca="1">IF(OR(AND($AV15="⤵",'Map 4'!AC16="Mountain",'Map 4'!AC15&lt;&gt;"Mountain",'Map 4'!AC15&lt;&gt;"Ocean",'Map 4'!AC15&lt;&gt;"Trench"),AND($AV15="⤴",'Map 4'!AC14="Mountain",'Map 4'!AC15&lt;&gt;"Mountain",'Map 4'!AC15&lt;&gt;"Ocean",'Map 4'!AC15&lt;&gt;"Trench")),CONCATENATE("Rainshadow ",'Map 4'!AC15),'Map 4'!AC15)</f>
        <v>Ocean</v>
      </c>
      <c r="AD15" s="3" t="str">
        <f ca="1">IF(OR(AND($AV15="⤵",'Map 4'!AD16="Mountain",'Map 4'!AD15&lt;&gt;"Mountain",'Map 4'!AD15&lt;&gt;"Ocean",'Map 4'!AD15&lt;&gt;"Trench"),AND($AV15="⤴",'Map 4'!AD14="Mountain",'Map 4'!AD15&lt;&gt;"Mountain",'Map 4'!AD15&lt;&gt;"Ocean",'Map 4'!AD15&lt;&gt;"Trench")),CONCATENATE("Rainshadow ",'Map 4'!AD15),'Map 4'!AD15)</f>
        <v>Ocean</v>
      </c>
      <c r="AE15" s="3" t="str">
        <f ca="1">IF(OR(AND($AV15="⤵",'Map 4'!AE16="Mountain",'Map 4'!AE15&lt;&gt;"Mountain",'Map 4'!AE15&lt;&gt;"Ocean",'Map 4'!AE15&lt;&gt;"Trench"),AND($AV15="⤴",'Map 4'!AE14="Mountain",'Map 4'!AE15&lt;&gt;"Mountain",'Map 4'!AE15&lt;&gt;"Ocean",'Map 4'!AE15&lt;&gt;"Trench")),CONCATENATE("Rainshadow ",'Map 4'!AE15),'Map 4'!AE15)</f>
        <v>Coast</v>
      </c>
      <c r="AF15" s="3" t="str">
        <f ca="1">IF(OR(AND($AV15="⤵",'Map 4'!AF16="Mountain",'Map 4'!AF15&lt;&gt;"Mountain",'Map 4'!AF15&lt;&gt;"Ocean",'Map 4'!AF15&lt;&gt;"Trench"),AND($AV15="⤴",'Map 4'!AF14="Mountain",'Map 4'!AF15&lt;&gt;"Mountain",'Map 4'!AF15&lt;&gt;"Ocean",'Map 4'!AF15&lt;&gt;"Trench")),CONCATENATE("Rainshadow ",'Map 4'!AF15),'Map 4'!AF15)</f>
        <v>Ocean</v>
      </c>
      <c r="AG15" s="3" t="str">
        <f ca="1">IF(OR(AND($AV15="⤵",'Map 4'!AG16="Mountain",'Map 4'!AG15&lt;&gt;"Mountain",'Map 4'!AG15&lt;&gt;"Ocean",'Map 4'!AG15&lt;&gt;"Trench"),AND($AV15="⤴",'Map 4'!AG14="Mountain",'Map 4'!AG15&lt;&gt;"Mountain",'Map 4'!AG15&lt;&gt;"Ocean",'Map 4'!AG15&lt;&gt;"Trench")),CONCATENATE("Rainshadow ",'Map 4'!AG15),'Map 4'!AG15)</f>
        <v>Coast</v>
      </c>
      <c r="AH15" s="3" t="str">
        <f ca="1">IF(OR(AND($AV15="⤵",'Map 4'!AH16="Mountain",'Map 4'!AH15&lt;&gt;"Mountain",'Map 4'!AH15&lt;&gt;"Ocean",'Map 4'!AH15&lt;&gt;"Trench"),AND($AV15="⤴",'Map 4'!AH14="Mountain",'Map 4'!AH15&lt;&gt;"Mountain",'Map 4'!AH15&lt;&gt;"Ocean",'Map 4'!AH15&lt;&gt;"Trench")),CONCATENATE("Rainshadow ",'Map 4'!AH15),'Map 4'!AH15)</f>
        <v>Island</v>
      </c>
      <c r="AI15" s="3" t="str">
        <f ca="1">IF(OR(AND($AV15="⤵",'Map 4'!AI16="Mountain",'Map 4'!AI15&lt;&gt;"Mountain",'Map 4'!AI15&lt;&gt;"Ocean",'Map 4'!AI15&lt;&gt;"Trench"),AND($AV15="⤴",'Map 4'!AI14="Mountain",'Map 4'!AI15&lt;&gt;"Mountain",'Map 4'!AI15&lt;&gt;"Ocean",'Map 4'!AI15&lt;&gt;"Trench")),CONCATENATE("Rainshadow ",'Map 4'!AI15),'Map 4'!AI15)</f>
        <v>Ocean</v>
      </c>
      <c r="AJ15" s="3" t="str">
        <f ca="1">IF(OR(AND($AV15="⤵",'Map 4'!AJ16="Mountain",'Map 4'!AJ15&lt;&gt;"Mountain",'Map 4'!AJ15&lt;&gt;"Ocean",'Map 4'!AJ15&lt;&gt;"Trench"),AND($AV15="⤴",'Map 4'!AJ14="Mountain",'Map 4'!AJ15&lt;&gt;"Mountain",'Map 4'!AJ15&lt;&gt;"Ocean",'Map 4'!AJ15&lt;&gt;"Trench")),CONCATENATE("Rainshadow ",'Map 4'!AJ15),'Map 4'!AJ15)</f>
        <v>Island</v>
      </c>
      <c r="AK15" s="3" t="str">
        <f ca="1">IF(OR(AND($AV15="⤵",'Map 4'!AK16="Mountain",'Map 4'!AK15&lt;&gt;"Mountain",'Map 4'!AK15&lt;&gt;"Ocean",'Map 4'!AK15&lt;&gt;"Trench"),AND($AV15="⤴",'Map 4'!AK14="Mountain",'Map 4'!AK15&lt;&gt;"Mountain",'Map 4'!AK15&lt;&gt;"Ocean",'Map 4'!AK15&lt;&gt;"Trench")),CONCATENATE("Rainshadow ",'Map 4'!AK15),'Map 4'!AK15)</f>
        <v>Trench</v>
      </c>
      <c r="AL15" s="3" t="str">
        <f ca="1">IF(OR(AND($AV15="⤵",'Map 4'!AL16="Mountain",'Map 4'!AL15&lt;&gt;"Mountain",'Map 4'!AL15&lt;&gt;"Ocean",'Map 4'!AL15&lt;&gt;"Trench"),AND($AV15="⤴",'Map 4'!AL14="Mountain",'Map 4'!AL15&lt;&gt;"Mountain",'Map 4'!AL15&lt;&gt;"Ocean",'Map 4'!AL15&lt;&gt;"Trench")),CONCATENATE("Rainshadow ",'Map 4'!AL15),'Map 4'!AL15)</f>
        <v>Coast</v>
      </c>
      <c r="AM15" s="3" t="str">
        <f ca="1">IF(OR(AND($AV15="⤵",'Map 4'!AM16="Mountain",'Map 4'!AM15&lt;&gt;"Mountain",'Map 4'!AM15&lt;&gt;"Ocean",'Map 4'!AM15&lt;&gt;"Trench"),AND($AV15="⤴",'Map 4'!AM14="Mountain",'Map 4'!AM15&lt;&gt;"Mountain",'Map 4'!AM15&lt;&gt;"Ocean",'Map 4'!AM15&lt;&gt;"Trench")),CONCATENATE("Rainshadow ",'Map 4'!AM15),'Map 4'!AM15)</f>
        <v>Flatland</v>
      </c>
      <c r="AN15" s="3" t="str">
        <f ca="1">IF(OR(AND($AV15="⤵",'Map 4'!AN16="Mountain",'Map 4'!AN15&lt;&gt;"Mountain",'Map 4'!AN15&lt;&gt;"Ocean",'Map 4'!AN15&lt;&gt;"Trench"),AND($AV15="⤴",'Map 4'!AN14="Mountain",'Map 4'!AN15&lt;&gt;"Mountain",'Map 4'!AN15&lt;&gt;"Ocean",'Map 4'!AN15&lt;&gt;"Trench")),CONCATENATE("Rainshadow ",'Map 4'!AN15),'Map 4'!AN15)</f>
        <v>Mountain</v>
      </c>
      <c r="AO15" s="3" t="str">
        <f ca="1">IF(OR(AND($AV15="⤵",'Map 4'!AO16="Mountain",'Map 4'!AO15&lt;&gt;"Mountain",'Map 4'!AO15&lt;&gt;"Ocean",'Map 4'!AO15&lt;&gt;"Trench"),AND($AV15="⤴",'Map 4'!AO14="Mountain",'Map 4'!AO15&lt;&gt;"Mountain",'Map 4'!AO15&lt;&gt;"Ocean",'Map 4'!AO15&lt;&gt;"Trench")),CONCATENATE("Rainshadow ",'Map 4'!AO15),'Map 4'!AO15)</f>
        <v>Rainshadow Valley</v>
      </c>
      <c r="AP15" s="3">
        <f t="shared" si="1"/>
        <v>-6.4</v>
      </c>
      <c r="AQ15" s="3">
        <f t="shared" si="2"/>
        <v>20.48</v>
      </c>
      <c r="AR15" s="3"/>
      <c r="AS15" s="3">
        <f t="shared" si="3"/>
        <v>266.75000000000017</v>
      </c>
      <c r="AT15" s="41">
        <v>67.5</v>
      </c>
      <c r="AU15" s="41" t="str" cm="1">
        <f t="array" ref="AU15">_xlfn.IFS(AND(IF(AP15&lt;25,"Cold","Hot")="Cold",IF(AW15&gt;=0.5,"High","Low")="Low"),"Tundra",AND(IF(AP15&lt;25,"Cold","Hot")="Cold",IF(AW15&gt;=0.5,"High","Low")="High"),"Forest",AND(IF(AP15&lt;25,"Cold","Hot")="Hot",IF(AW15&gt;=0.5,"High","Low")="Low"),"Desert",AND(IF(AP15&lt;25,"Cold","Hot")="Hot",IF(AW15&gt;=0.5,"High","Low")="High"),"Rainforest")</f>
        <v>Forest</v>
      </c>
      <c r="AV15" s="41" t="str" cm="1">
        <f t="array" ref="AV15">_xlfn.IFS(AT15&lt;-90,"⤴",AND(AT15&gt;=-90,AT15&lt;-60),"⤴",AND(AT15&gt;=-60,AT15&lt;-30),"⤵",AND(AT15&gt;=-30,AT15&lt;0),"⤴",AND(AT15&gt;=0,AT15&lt;30),"⤵",AND(AT15&gt;=30,AT15&lt;60),"⤴",AT15&gt;=60,"⤵")</f>
        <v>⤵</v>
      </c>
      <c r="AW15" s="41">
        <f t="shared" si="4"/>
        <v>0.8600000000000001</v>
      </c>
    </row>
    <row r="16" spans="1:49" ht="15" customHeight="1">
      <c r="A16" s="3">
        <v>7</v>
      </c>
      <c r="B16" s="3" t="str">
        <f ca="1">IF(OR(AND($AV16="⤵",'Map 4'!B17="Mountain",'Map 4'!B16&lt;&gt;"Mountain",'Map 4'!B16&lt;&gt;"Ocean",'Map 4'!B16&lt;&gt;"Trench"),AND($AV16="⤴",'Map 4'!B15="Mountain",'Map 4'!B16&lt;&gt;"Mountain",'Map 4'!B16&lt;&gt;"Ocean",'Map 4'!B16&lt;&gt;"Trench")),CONCATENATE("Rainshadow ",'Map 4'!B16),'Map 4'!B16)</f>
        <v>Flatland</v>
      </c>
      <c r="C16" s="3" t="str">
        <f ca="1">IF(OR(AND($AV16="⤵",'Map 4'!C17="Mountain",'Map 4'!C16&lt;&gt;"Mountain",'Map 4'!C16&lt;&gt;"Ocean",'Map 4'!C16&lt;&gt;"Trench"),AND($AV16="⤴",'Map 4'!C15="Mountain",'Map 4'!C16&lt;&gt;"Mountain",'Map 4'!C16&lt;&gt;"Ocean",'Map 4'!C16&lt;&gt;"Trench")),CONCATENATE("Rainshadow ",'Map 4'!C16),'Map 4'!C16)</f>
        <v>Island</v>
      </c>
      <c r="D16" s="3" t="str">
        <f ca="1">IF(OR(AND($AV16="⤵",'Map 4'!D17="Mountain",'Map 4'!D16&lt;&gt;"Mountain",'Map 4'!D16&lt;&gt;"Ocean",'Map 4'!D16&lt;&gt;"Trench"),AND($AV16="⤴",'Map 4'!D15="Mountain",'Map 4'!D16&lt;&gt;"Mountain",'Map 4'!D16&lt;&gt;"Ocean",'Map 4'!D16&lt;&gt;"Trench")),CONCATENATE("Rainshadow ",'Map 4'!D16),'Map 4'!D16)</f>
        <v>Ocean</v>
      </c>
      <c r="E16" s="3" t="str">
        <f ca="1">IF(OR(AND($AV16="⤵",'Map 4'!E17="Mountain",'Map 4'!E16&lt;&gt;"Mountain",'Map 4'!E16&lt;&gt;"Ocean",'Map 4'!E16&lt;&gt;"Trench"),AND($AV16="⤴",'Map 4'!E15="Mountain",'Map 4'!E16&lt;&gt;"Mountain",'Map 4'!E16&lt;&gt;"Ocean",'Map 4'!E16&lt;&gt;"Trench")),CONCATENATE("Rainshadow ",'Map 4'!E16),'Map 4'!E16)</f>
        <v>Ocean</v>
      </c>
      <c r="F16" s="3" t="str">
        <f ca="1">IF(OR(AND($AV16="⤵",'Map 4'!F17="Mountain",'Map 4'!F16&lt;&gt;"Mountain",'Map 4'!F16&lt;&gt;"Ocean",'Map 4'!F16&lt;&gt;"Trench"),AND($AV16="⤴",'Map 4'!F15="Mountain",'Map 4'!F16&lt;&gt;"Mountain",'Map 4'!F16&lt;&gt;"Ocean",'Map 4'!F16&lt;&gt;"Trench")),CONCATENATE("Rainshadow ",'Map 4'!F16),'Map 4'!F16)</f>
        <v>Trench</v>
      </c>
      <c r="G16" s="3" t="str">
        <f ca="1">IF(OR(AND($AV16="⤵",'Map 4'!G17="Mountain",'Map 4'!G16&lt;&gt;"Mountain",'Map 4'!G16&lt;&gt;"Ocean",'Map 4'!G16&lt;&gt;"Trench"),AND($AV16="⤴",'Map 4'!G15="Mountain",'Map 4'!G16&lt;&gt;"Mountain",'Map 4'!G16&lt;&gt;"Ocean",'Map 4'!G16&lt;&gt;"Trench")),CONCATENATE("Rainshadow ",'Map 4'!G16),'Map 4'!G16)</f>
        <v>Ocean</v>
      </c>
      <c r="H16" s="3" t="str">
        <f ca="1">IF(OR(AND($AV16="⤵",'Map 4'!H17="Mountain",'Map 4'!H16&lt;&gt;"Mountain",'Map 4'!H16&lt;&gt;"Ocean",'Map 4'!H16&lt;&gt;"Trench"),AND($AV16="⤴",'Map 4'!H15="Mountain",'Map 4'!H16&lt;&gt;"Mountain",'Map 4'!H16&lt;&gt;"Ocean",'Map 4'!H16&lt;&gt;"Trench")),CONCATENATE("Rainshadow ",'Map 4'!H16),'Map 4'!H16)</f>
        <v>Ocean</v>
      </c>
      <c r="I16" s="3" t="str">
        <f ca="1">IF(OR(AND($AV16="⤵",'Map 4'!I17="Mountain",'Map 4'!I16&lt;&gt;"Mountain",'Map 4'!I16&lt;&gt;"Ocean",'Map 4'!I16&lt;&gt;"Trench"),AND($AV16="⤴",'Map 4'!I15="Mountain",'Map 4'!I16&lt;&gt;"Mountain",'Map 4'!I16&lt;&gt;"Ocean",'Map 4'!I16&lt;&gt;"Trench")),CONCATENATE("Rainshadow ",'Map 4'!I16),'Map 4'!I16)</f>
        <v>Ocean</v>
      </c>
      <c r="J16" s="3" t="str">
        <f ca="1">IF(OR(AND($AV16="⤵",'Map 4'!J17="Mountain",'Map 4'!J16&lt;&gt;"Mountain",'Map 4'!J16&lt;&gt;"Ocean",'Map 4'!J16&lt;&gt;"Trench"),AND($AV16="⤴",'Map 4'!J15="Mountain",'Map 4'!J16&lt;&gt;"Mountain",'Map 4'!J16&lt;&gt;"Ocean",'Map 4'!J16&lt;&gt;"Trench")),CONCATENATE("Rainshadow ",'Map 4'!J16),'Map 4'!J16)</f>
        <v>Ocean</v>
      </c>
      <c r="K16" s="3" t="str">
        <f ca="1">IF(OR(AND($AV16="⤵",'Map 4'!K17="Mountain",'Map 4'!K16&lt;&gt;"Mountain",'Map 4'!K16&lt;&gt;"Ocean",'Map 4'!K16&lt;&gt;"Trench"),AND($AV16="⤴",'Map 4'!K15="Mountain",'Map 4'!K16&lt;&gt;"Mountain",'Map 4'!K16&lt;&gt;"Ocean",'Map 4'!K16&lt;&gt;"Trench")),CONCATENATE("Rainshadow ",'Map 4'!K16),'Map 4'!K16)</f>
        <v>Trench</v>
      </c>
      <c r="L16" s="3" t="str">
        <f ca="1">IF(OR(AND($AV16="⤵",'Map 4'!L17="Mountain",'Map 4'!L16&lt;&gt;"Mountain",'Map 4'!L16&lt;&gt;"Ocean",'Map 4'!L16&lt;&gt;"Trench"),AND($AV16="⤴",'Map 4'!L15="Mountain",'Map 4'!L16&lt;&gt;"Mountain",'Map 4'!L16&lt;&gt;"Ocean",'Map 4'!L16&lt;&gt;"Trench")),CONCATENATE("Rainshadow ",'Map 4'!L16),'Map 4'!L16)</f>
        <v>Trench</v>
      </c>
      <c r="M16" s="3" t="str">
        <f ca="1">IF(OR(AND($AV16="⤵",'Map 4'!M17="Mountain",'Map 4'!M16&lt;&gt;"Mountain",'Map 4'!M16&lt;&gt;"Ocean",'Map 4'!M16&lt;&gt;"Trench"),AND($AV16="⤴",'Map 4'!M15="Mountain",'Map 4'!M16&lt;&gt;"Mountain",'Map 4'!M16&lt;&gt;"Ocean",'Map 4'!M16&lt;&gt;"Trench")),CONCATENATE("Rainshadow ",'Map 4'!M16),'Map 4'!M16)</f>
        <v>Ocean</v>
      </c>
      <c r="N16" s="3" t="str">
        <f ca="1">IF(OR(AND($AV16="⤵",'Map 4'!N17="Mountain",'Map 4'!N16&lt;&gt;"Mountain",'Map 4'!N16&lt;&gt;"Ocean",'Map 4'!N16&lt;&gt;"Trench"),AND($AV16="⤴",'Map 4'!N15="Mountain",'Map 4'!N16&lt;&gt;"Mountain",'Map 4'!N16&lt;&gt;"Ocean",'Map 4'!N16&lt;&gt;"Trench")),CONCATENATE("Rainshadow ",'Map 4'!N16),'Map 4'!N16)</f>
        <v>Island</v>
      </c>
      <c r="O16" s="3" t="str">
        <f ca="1">IF(OR(AND($AV16="⤵",'Map 4'!O17="Mountain",'Map 4'!O16&lt;&gt;"Mountain",'Map 4'!O16&lt;&gt;"Ocean",'Map 4'!O16&lt;&gt;"Trench"),AND($AV16="⤴",'Map 4'!O15="Mountain",'Map 4'!O16&lt;&gt;"Mountain",'Map 4'!O16&lt;&gt;"Ocean",'Map 4'!O16&lt;&gt;"Trench")),CONCATENATE("Rainshadow ",'Map 4'!O16),'Map 4'!O16)</f>
        <v>Ocean</v>
      </c>
      <c r="P16" s="3" t="str">
        <f ca="1">IF(OR(AND($AV16="⤵",'Map 4'!P17="Mountain",'Map 4'!P16&lt;&gt;"Mountain",'Map 4'!P16&lt;&gt;"Ocean",'Map 4'!P16&lt;&gt;"Trench"),AND($AV16="⤴",'Map 4'!P15="Mountain",'Map 4'!P16&lt;&gt;"Mountain",'Map 4'!P16&lt;&gt;"Ocean",'Map 4'!P16&lt;&gt;"Trench")),CONCATENATE("Rainshadow ",'Map 4'!P16),'Map 4'!P16)</f>
        <v>Ocean</v>
      </c>
      <c r="Q16" s="3" t="str">
        <f ca="1">IF(OR(AND($AV16="⤵",'Map 4'!Q17="Mountain",'Map 4'!Q16&lt;&gt;"Mountain",'Map 4'!Q16&lt;&gt;"Ocean",'Map 4'!Q16&lt;&gt;"Trench"),AND($AV16="⤴",'Map 4'!Q15="Mountain",'Map 4'!Q16&lt;&gt;"Mountain",'Map 4'!Q16&lt;&gt;"Ocean",'Map 4'!Q16&lt;&gt;"Trench")),CONCATENATE("Rainshadow ",'Map 4'!Q16),'Map 4'!Q16)</f>
        <v>Ocean</v>
      </c>
      <c r="R16" s="3" t="str">
        <f ca="1">IF(OR(AND($AV16="⤵",'Map 4'!R17="Mountain",'Map 4'!R16&lt;&gt;"Mountain",'Map 4'!R16&lt;&gt;"Ocean",'Map 4'!R16&lt;&gt;"Trench"),AND($AV16="⤴",'Map 4'!R15="Mountain",'Map 4'!R16&lt;&gt;"Mountain",'Map 4'!R16&lt;&gt;"Ocean",'Map 4'!R16&lt;&gt;"Trench")),CONCATENATE("Rainshadow ",'Map 4'!R16),'Map 4'!R16)</f>
        <v>Ocean</v>
      </c>
      <c r="S16" s="3" t="str">
        <f ca="1">IF(OR(AND($AV16="⤵",'Map 4'!S17="Mountain",'Map 4'!S16&lt;&gt;"Mountain",'Map 4'!S16&lt;&gt;"Ocean",'Map 4'!S16&lt;&gt;"Trench"),AND($AV16="⤴",'Map 4'!S15="Mountain",'Map 4'!S16&lt;&gt;"Mountain",'Map 4'!S16&lt;&gt;"Ocean",'Map 4'!S16&lt;&gt;"Trench")),CONCATENATE("Rainshadow ",'Map 4'!S16),'Map 4'!S16)</f>
        <v>Ocean</v>
      </c>
      <c r="T16" s="3" t="str">
        <f ca="1">IF(OR(AND($AV16="⤵",'Map 4'!T17="Mountain",'Map 4'!T16&lt;&gt;"Mountain",'Map 4'!T16&lt;&gt;"Ocean",'Map 4'!T16&lt;&gt;"Trench"),AND($AV16="⤴",'Map 4'!T15="Mountain",'Map 4'!T16&lt;&gt;"Mountain",'Map 4'!T16&lt;&gt;"Ocean",'Map 4'!T16&lt;&gt;"Trench")),CONCATENATE("Rainshadow ",'Map 4'!T16),'Map 4'!T16)</f>
        <v>Ocean</v>
      </c>
      <c r="U16" s="3" t="str">
        <f ca="1">IF(OR(AND($AV16="⤵",'Map 4'!U17="Mountain",'Map 4'!U16&lt;&gt;"Mountain",'Map 4'!U16&lt;&gt;"Ocean",'Map 4'!U16&lt;&gt;"Trench"),AND($AV16="⤴",'Map 4'!U15="Mountain",'Map 4'!U16&lt;&gt;"Mountain",'Map 4'!U16&lt;&gt;"Ocean",'Map 4'!U16&lt;&gt;"Trench")),CONCATENATE("Rainshadow ",'Map 4'!U16),'Map 4'!U16)</f>
        <v>Ocean</v>
      </c>
      <c r="V16" s="3" t="str">
        <f ca="1">IF(OR(AND($AV16="⤵",'Map 4'!V17="Mountain",'Map 4'!V16&lt;&gt;"Mountain",'Map 4'!V16&lt;&gt;"Ocean",'Map 4'!V16&lt;&gt;"Trench"),AND($AV16="⤴",'Map 4'!V15="Mountain",'Map 4'!V16&lt;&gt;"Mountain",'Map 4'!V16&lt;&gt;"Ocean",'Map 4'!V16&lt;&gt;"Trench")),CONCATENATE("Rainshadow ",'Map 4'!V16),'Map 4'!V16)</f>
        <v>Island</v>
      </c>
      <c r="W16" s="3" t="str">
        <f ca="1">IF(OR(AND($AV16="⤵",'Map 4'!W17="Mountain",'Map 4'!W16&lt;&gt;"Mountain",'Map 4'!W16&lt;&gt;"Ocean",'Map 4'!W16&lt;&gt;"Trench"),AND($AV16="⤴",'Map 4'!W15="Mountain",'Map 4'!W16&lt;&gt;"Mountain",'Map 4'!W16&lt;&gt;"Ocean",'Map 4'!W16&lt;&gt;"Trench")),CONCATENATE("Rainshadow ",'Map 4'!W16),'Map 4'!W16)</f>
        <v>Ocean</v>
      </c>
      <c r="X16" s="3" t="str">
        <f ca="1">IF(OR(AND($AV16="⤵",'Map 4'!X17="Mountain",'Map 4'!X16&lt;&gt;"Mountain",'Map 4'!X16&lt;&gt;"Ocean",'Map 4'!X16&lt;&gt;"Trench"),AND($AV16="⤴",'Map 4'!X15="Mountain",'Map 4'!X16&lt;&gt;"Mountain",'Map 4'!X16&lt;&gt;"Ocean",'Map 4'!X16&lt;&gt;"Trench")),CONCATENATE("Rainshadow ",'Map 4'!X16),'Map 4'!X16)</f>
        <v>Island</v>
      </c>
      <c r="Y16" s="3" t="str">
        <f ca="1">IF(OR(AND($AV16="⤵",'Map 4'!Y17="Mountain",'Map 4'!Y16&lt;&gt;"Mountain",'Map 4'!Y16&lt;&gt;"Ocean",'Map 4'!Y16&lt;&gt;"Trench"),AND($AV16="⤴",'Map 4'!Y15="Mountain",'Map 4'!Y16&lt;&gt;"Mountain",'Map 4'!Y16&lt;&gt;"Ocean",'Map 4'!Y16&lt;&gt;"Trench")),CONCATENATE("Rainshadow ",'Map 4'!Y16),'Map 4'!Y16)</f>
        <v>Ocean</v>
      </c>
      <c r="Z16" s="3" t="str">
        <f ca="1">IF(OR(AND($AV16="⤵",'Map 4'!Z17="Mountain",'Map 4'!Z16&lt;&gt;"Mountain",'Map 4'!Z16&lt;&gt;"Ocean",'Map 4'!Z16&lt;&gt;"Trench"),AND($AV16="⤴",'Map 4'!Z15="Mountain",'Map 4'!Z16&lt;&gt;"Mountain",'Map 4'!Z16&lt;&gt;"Ocean",'Map 4'!Z16&lt;&gt;"Trench")),CONCATENATE("Rainshadow ",'Map 4'!Z16),'Map 4'!Z16)</f>
        <v>Ocean</v>
      </c>
      <c r="AA16" s="3" t="str">
        <f ca="1">IF(OR(AND($AV16="⤵",'Map 4'!AA17="Mountain",'Map 4'!AA16&lt;&gt;"Mountain",'Map 4'!AA16&lt;&gt;"Ocean",'Map 4'!AA16&lt;&gt;"Trench"),AND($AV16="⤴",'Map 4'!AA15="Mountain",'Map 4'!AA16&lt;&gt;"Mountain",'Map 4'!AA16&lt;&gt;"Ocean",'Map 4'!AA16&lt;&gt;"Trench")),CONCATENATE("Rainshadow ",'Map 4'!AA16),'Map 4'!AA16)</f>
        <v>Rainshadow Island</v>
      </c>
      <c r="AB16" s="3" t="str">
        <f ca="1">IF(OR(AND($AV16="⤵",'Map 4'!AB17="Mountain",'Map 4'!AB16&lt;&gt;"Mountain",'Map 4'!AB16&lt;&gt;"Ocean",'Map 4'!AB16&lt;&gt;"Trench"),AND($AV16="⤴",'Map 4'!AB15="Mountain",'Map 4'!AB16&lt;&gt;"Mountain",'Map 4'!AB16&lt;&gt;"Ocean",'Map 4'!AB16&lt;&gt;"Trench")),CONCATENATE("Rainshadow ",'Map 4'!AB16),'Map 4'!AB16)</f>
        <v>Ocean</v>
      </c>
      <c r="AC16" s="3" t="str">
        <f ca="1">IF(OR(AND($AV16="⤵",'Map 4'!AC17="Mountain",'Map 4'!AC16&lt;&gt;"Mountain",'Map 4'!AC16&lt;&gt;"Ocean",'Map 4'!AC16&lt;&gt;"Trench"),AND($AV16="⤴",'Map 4'!AC15="Mountain",'Map 4'!AC16&lt;&gt;"Mountain",'Map 4'!AC16&lt;&gt;"Ocean",'Map 4'!AC16&lt;&gt;"Trench")),CONCATENATE("Rainshadow ",'Map 4'!AC16),'Map 4'!AC16)</f>
        <v>Ocean</v>
      </c>
      <c r="AD16" s="3" t="str">
        <f ca="1">IF(OR(AND($AV16="⤵",'Map 4'!AD17="Mountain",'Map 4'!AD16&lt;&gt;"Mountain",'Map 4'!AD16&lt;&gt;"Ocean",'Map 4'!AD16&lt;&gt;"Trench"),AND($AV16="⤴",'Map 4'!AD15="Mountain",'Map 4'!AD16&lt;&gt;"Mountain",'Map 4'!AD16&lt;&gt;"Ocean",'Map 4'!AD16&lt;&gt;"Trench")),CONCATENATE("Rainshadow ",'Map 4'!AD16),'Map 4'!AD16)</f>
        <v>Ocean</v>
      </c>
      <c r="AE16" s="3" t="str">
        <f ca="1">IF(OR(AND($AV16="⤵",'Map 4'!AE17="Mountain",'Map 4'!AE16&lt;&gt;"Mountain",'Map 4'!AE16&lt;&gt;"Ocean",'Map 4'!AE16&lt;&gt;"Trench"),AND($AV16="⤴",'Map 4'!AE15="Mountain",'Map 4'!AE16&lt;&gt;"Mountain",'Map 4'!AE16&lt;&gt;"Ocean",'Map 4'!AE16&lt;&gt;"Trench")),CONCATENATE("Rainshadow ",'Map 4'!AE16),'Map 4'!AE16)</f>
        <v>Ocean</v>
      </c>
      <c r="AF16" s="3" t="str">
        <f ca="1">IF(OR(AND($AV16="⤵",'Map 4'!AF17="Mountain",'Map 4'!AF16&lt;&gt;"Mountain",'Map 4'!AF16&lt;&gt;"Ocean",'Map 4'!AF16&lt;&gt;"Trench"),AND($AV16="⤴",'Map 4'!AF15="Mountain",'Map 4'!AF16&lt;&gt;"Mountain",'Map 4'!AF16&lt;&gt;"Ocean",'Map 4'!AF16&lt;&gt;"Trench")),CONCATENATE("Rainshadow ",'Map 4'!AF16),'Map 4'!AF16)</f>
        <v>Ocean</v>
      </c>
      <c r="AG16" s="3" t="str">
        <f ca="1">IF(OR(AND($AV16="⤵",'Map 4'!AG17="Mountain",'Map 4'!AG16&lt;&gt;"Mountain",'Map 4'!AG16&lt;&gt;"Ocean",'Map 4'!AG16&lt;&gt;"Trench"),AND($AV16="⤴",'Map 4'!AG15="Mountain",'Map 4'!AG16&lt;&gt;"Mountain",'Map 4'!AG16&lt;&gt;"Ocean",'Map 4'!AG16&lt;&gt;"Trench")),CONCATENATE("Rainshadow ",'Map 4'!AG16),'Map 4'!AG16)</f>
        <v>Ocean</v>
      </c>
      <c r="AH16" s="3" t="str">
        <f ca="1">IF(OR(AND($AV16="⤵",'Map 4'!AH17="Mountain",'Map 4'!AH16&lt;&gt;"Mountain",'Map 4'!AH16&lt;&gt;"Ocean",'Map 4'!AH16&lt;&gt;"Trench"),AND($AV16="⤴",'Map 4'!AH15="Mountain",'Map 4'!AH16&lt;&gt;"Mountain",'Map 4'!AH16&lt;&gt;"Ocean",'Map 4'!AH16&lt;&gt;"Trench")),CONCATENATE("Rainshadow ",'Map 4'!AH16),'Map 4'!AH16)</f>
        <v>Ocean</v>
      </c>
      <c r="AI16" s="3" t="str">
        <f ca="1">IF(OR(AND($AV16="⤵",'Map 4'!AI17="Mountain",'Map 4'!AI16&lt;&gt;"Mountain",'Map 4'!AI16&lt;&gt;"Ocean",'Map 4'!AI16&lt;&gt;"Trench"),AND($AV16="⤴",'Map 4'!AI15="Mountain",'Map 4'!AI16&lt;&gt;"Mountain",'Map 4'!AI16&lt;&gt;"Ocean",'Map 4'!AI16&lt;&gt;"Trench")),CONCATENATE("Rainshadow ",'Map 4'!AI16),'Map 4'!AI16)</f>
        <v>Ocean</v>
      </c>
      <c r="AJ16" s="3" t="str">
        <f ca="1">IF(OR(AND($AV16="⤵",'Map 4'!AJ17="Mountain",'Map 4'!AJ16&lt;&gt;"Mountain",'Map 4'!AJ16&lt;&gt;"Ocean",'Map 4'!AJ16&lt;&gt;"Trench"),AND($AV16="⤴",'Map 4'!AJ15="Mountain",'Map 4'!AJ16&lt;&gt;"Mountain",'Map 4'!AJ16&lt;&gt;"Ocean",'Map 4'!AJ16&lt;&gt;"Trench")),CONCATENATE("Rainshadow ",'Map 4'!AJ16),'Map 4'!AJ16)</f>
        <v>Island</v>
      </c>
      <c r="AK16" s="3" t="str">
        <f ca="1">IF(OR(AND($AV16="⤵",'Map 4'!AK17="Mountain",'Map 4'!AK16&lt;&gt;"Mountain",'Map 4'!AK16&lt;&gt;"Ocean",'Map 4'!AK16&lt;&gt;"Trench"),AND($AV16="⤴",'Map 4'!AK15="Mountain",'Map 4'!AK16&lt;&gt;"Mountain",'Map 4'!AK16&lt;&gt;"Ocean",'Map 4'!AK16&lt;&gt;"Trench")),CONCATENATE("Rainshadow ",'Map 4'!AK16),'Map 4'!AK16)</f>
        <v>Coast</v>
      </c>
      <c r="AL16" s="3" t="str">
        <f ca="1">IF(OR(AND($AV16="⤵",'Map 4'!AL17="Mountain",'Map 4'!AL16&lt;&gt;"Mountain",'Map 4'!AL16&lt;&gt;"Ocean",'Map 4'!AL16&lt;&gt;"Trench"),AND($AV16="⤴",'Map 4'!AL15="Mountain",'Map 4'!AL16&lt;&gt;"Mountain",'Map 4'!AL16&lt;&gt;"Ocean",'Map 4'!AL16&lt;&gt;"Trench")),CONCATENATE("Rainshadow ",'Map 4'!AL16),'Map 4'!AL16)</f>
        <v>Coast</v>
      </c>
      <c r="AM16" s="3" t="str">
        <f ca="1">IF(OR(AND($AV16="⤵",'Map 4'!AM17="Mountain",'Map 4'!AM16&lt;&gt;"Mountain",'Map 4'!AM16&lt;&gt;"Ocean",'Map 4'!AM16&lt;&gt;"Trench"),AND($AV16="⤴",'Map 4'!AM15="Mountain",'Map 4'!AM16&lt;&gt;"Mountain",'Map 4'!AM16&lt;&gt;"Ocean",'Map 4'!AM16&lt;&gt;"Trench")),CONCATENATE("Rainshadow ",'Map 4'!AM16),'Map 4'!AM16)</f>
        <v>Coast</v>
      </c>
      <c r="AN16" s="3" t="str">
        <f ca="1">IF(OR(AND($AV16="⤵",'Map 4'!AN17="Mountain",'Map 4'!AN16&lt;&gt;"Mountain",'Map 4'!AN16&lt;&gt;"Ocean",'Map 4'!AN16&lt;&gt;"Trench"),AND($AV16="⤴",'Map 4'!AN15="Mountain",'Map 4'!AN16&lt;&gt;"Mountain",'Map 4'!AN16&lt;&gt;"Ocean",'Map 4'!AN16&lt;&gt;"Trench")),CONCATENATE("Rainshadow ",'Map 4'!AN16),'Map 4'!AN16)</f>
        <v>Flatland</v>
      </c>
      <c r="AO16" s="3" t="str">
        <f ca="1">IF(OR(AND($AV16="⤵",'Map 4'!AO17="Mountain",'Map 4'!AO16&lt;&gt;"Mountain",'Map 4'!AO16&lt;&gt;"Ocean",'Map 4'!AO16&lt;&gt;"Trench"),AND($AV16="⤴",'Map 4'!AO15="Mountain",'Map 4'!AO16&lt;&gt;"Mountain",'Map 4'!AO16&lt;&gt;"Ocean",'Map 4'!AO16&lt;&gt;"Trench")),CONCATENATE("Rainshadow ",'Map 4'!AO16),'Map 4'!AO16)</f>
        <v>Mountain</v>
      </c>
      <c r="AP16" s="3">
        <f t="shared" si="1"/>
        <v>0.55000000000000004</v>
      </c>
      <c r="AQ16" s="3">
        <f t="shared" si="2"/>
        <v>32.99</v>
      </c>
      <c r="AR16" s="3"/>
      <c r="AS16" s="3">
        <f t="shared" si="3"/>
        <v>273.70000000000016</v>
      </c>
      <c r="AT16" s="41">
        <v>63</v>
      </c>
      <c r="AU16" s="41" t="str" cm="1">
        <f t="array" ref="AU16">_xlfn.IFS(AND(IF(AP16&lt;25,"Cold","Hot")="Cold",IF(AW16&gt;=0.5,"High","Low")="Low"),"Tundra",AND(IF(AP16&lt;25,"Cold","Hot")="Cold",IF(AW16&gt;=0.5,"High","Low")="High"),"Forest",AND(IF(AP16&lt;25,"Cold","Hot")="Hot",IF(AW16&gt;=0.5,"High","Low")="Low"),"Desert",AND(IF(AP16&lt;25,"Cold","Hot")="Hot",IF(AW16&gt;=0.5,"High","Low")="High"),"Rainforest")</f>
        <v>Forest</v>
      </c>
      <c r="AV16" s="41" t="str" cm="1">
        <f t="array" ref="AV16">_xlfn.IFS(AT16&lt;-90,"⤴",AND(AT16&gt;=-90,AT16&lt;-60),"⤴",AND(AT16&gt;=-60,AT16&lt;-30),"⤵",AND(AT16&gt;=-30,AT16&lt;0),"⤴",AND(AT16&gt;=0,AT16&lt;30),"⤵",AND(AT16&gt;=30,AT16&lt;60),"⤴",AT16&gt;=60,"⤵")</f>
        <v>⤵</v>
      </c>
      <c r="AW16" s="41">
        <f>IF(AV16="⤴",AW15-0.14,AW15+0.14)</f>
        <v>1</v>
      </c>
    </row>
    <row r="17" spans="1:49" ht="15" customHeight="1">
      <c r="A17" s="3">
        <v>8</v>
      </c>
      <c r="B17" s="3" t="str">
        <f ca="1">IF(OR(AND($AV17="⤵",'Map 4'!B18="Mountain",'Map 4'!B17&lt;&gt;"Mountain",'Map 4'!B17&lt;&gt;"Ocean",'Map 4'!B17&lt;&gt;"Trench"),AND($AV17="⤴",'Map 4'!B16="Mountain",'Map 4'!B17&lt;&gt;"Mountain",'Map 4'!B17&lt;&gt;"Ocean",'Map 4'!B17&lt;&gt;"Trench")),CONCATENATE("Rainshadow ",'Map 4'!B17),'Map 4'!B17)</f>
        <v>Coast</v>
      </c>
      <c r="C17" s="3" t="str">
        <f ca="1">IF(OR(AND($AV17="⤵",'Map 4'!C18="Mountain",'Map 4'!C17&lt;&gt;"Mountain",'Map 4'!C17&lt;&gt;"Ocean",'Map 4'!C17&lt;&gt;"Trench"),AND($AV17="⤴",'Map 4'!C16="Mountain",'Map 4'!C17&lt;&gt;"Mountain",'Map 4'!C17&lt;&gt;"Ocean",'Map 4'!C17&lt;&gt;"Trench")),CONCATENATE("Rainshadow ",'Map 4'!C17),'Map 4'!C17)</f>
        <v>Ocean</v>
      </c>
      <c r="D17" s="3" t="str">
        <f ca="1">IF(OR(AND($AV17="⤵",'Map 4'!D18="Mountain",'Map 4'!D17&lt;&gt;"Mountain",'Map 4'!D17&lt;&gt;"Ocean",'Map 4'!D17&lt;&gt;"Trench"),AND($AV17="⤴",'Map 4'!D16="Mountain",'Map 4'!D17&lt;&gt;"Mountain",'Map 4'!D17&lt;&gt;"Ocean",'Map 4'!D17&lt;&gt;"Trench")),CONCATENATE("Rainshadow ",'Map 4'!D17),'Map 4'!D17)</f>
        <v>Ocean</v>
      </c>
      <c r="E17" s="3" t="str">
        <f ca="1">IF(OR(AND($AV17="⤵",'Map 4'!E18="Mountain",'Map 4'!E17&lt;&gt;"Mountain",'Map 4'!E17&lt;&gt;"Ocean",'Map 4'!E17&lt;&gt;"Trench"),AND($AV17="⤴",'Map 4'!E16="Mountain",'Map 4'!E17&lt;&gt;"Mountain",'Map 4'!E17&lt;&gt;"Ocean",'Map 4'!E17&lt;&gt;"Trench")),CONCATENATE("Rainshadow ",'Map 4'!E17),'Map 4'!E17)</f>
        <v>Ocean</v>
      </c>
      <c r="F17" s="3" t="str">
        <f ca="1">IF(OR(AND($AV17="⤵",'Map 4'!F18="Mountain",'Map 4'!F17&lt;&gt;"Mountain",'Map 4'!F17&lt;&gt;"Ocean",'Map 4'!F17&lt;&gt;"Trench"),AND($AV17="⤴",'Map 4'!F16="Mountain",'Map 4'!F17&lt;&gt;"Mountain",'Map 4'!F17&lt;&gt;"Ocean",'Map 4'!F17&lt;&gt;"Trench")),CONCATENATE("Rainshadow ",'Map 4'!F17),'Map 4'!F17)</f>
        <v>Island</v>
      </c>
      <c r="G17" s="3" t="str">
        <f ca="1">IF(OR(AND($AV17="⤵",'Map 4'!G18="Mountain",'Map 4'!G17&lt;&gt;"Mountain",'Map 4'!G17&lt;&gt;"Ocean",'Map 4'!G17&lt;&gt;"Trench"),AND($AV17="⤴",'Map 4'!G16="Mountain",'Map 4'!G17&lt;&gt;"Mountain",'Map 4'!G17&lt;&gt;"Ocean",'Map 4'!G17&lt;&gt;"Trench")),CONCATENATE("Rainshadow ",'Map 4'!G17),'Map 4'!G17)</f>
        <v>Island</v>
      </c>
      <c r="H17" s="3" t="str">
        <f ca="1">IF(OR(AND($AV17="⤵",'Map 4'!H18="Mountain",'Map 4'!H17&lt;&gt;"Mountain",'Map 4'!H17&lt;&gt;"Ocean",'Map 4'!H17&lt;&gt;"Trench"),AND($AV17="⤴",'Map 4'!H16="Mountain",'Map 4'!H17&lt;&gt;"Mountain",'Map 4'!H17&lt;&gt;"Ocean",'Map 4'!H17&lt;&gt;"Trench")),CONCATENATE("Rainshadow ",'Map 4'!H17),'Map 4'!H17)</f>
        <v>Ocean</v>
      </c>
      <c r="I17" s="3" t="str">
        <f ca="1">IF(OR(AND($AV17="⤵",'Map 4'!I18="Mountain",'Map 4'!I17&lt;&gt;"Mountain",'Map 4'!I17&lt;&gt;"Ocean",'Map 4'!I17&lt;&gt;"Trench"),AND($AV17="⤴",'Map 4'!I16="Mountain",'Map 4'!I17&lt;&gt;"Mountain",'Map 4'!I17&lt;&gt;"Ocean",'Map 4'!I17&lt;&gt;"Trench")),CONCATENATE("Rainshadow ",'Map 4'!I17),'Map 4'!I17)</f>
        <v>Ocean</v>
      </c>
      <c r="J17" s="3" t="str">
        <f ca="1">IF(OR(AND($AV17="⤵",'Map 4'!J18="Mountain",'Map 4'!J17&lt;&gt;"Mountain",'Map 4'!J17&lt;&gt;"Ocean",'Map 4'!J17&lt;&gt;"Trench"),AND($AV17="⤴",'Map 4'!J16="Mountain",'Map 4'!J17&lt;&gt;"Mountain",'Map 4'!J17&lt;&gt;"Ocean",'Map 4'!J17&lt;&gt;"Trench")),CONCATENATE("Rainshadow ",'Map 4'!J17),'Map 4'!J17)</f>
        <v>Ocean</v>
      </c>
      <c r="K17" s="3" t="str">
        <f ca="1">IF(OR(AND($AV17="⤵",'Map 4'!K18="Mountain",'Map 4'!K17&lt;&gt;"Mountain",'Map 4'!K17&lt;&gt;"Ocean",'Map 4'!K17&lt;&gt;"Trench"),AND($AV17="⤴",'Map 4'!K16="Mountain",'Map 4'!K17&lt;&gt;"Mountain",'Map 4'!K17&lt;&gt;"Ocean",'Map 4'!K17&lt;&gt;"Trench")),CONCATENATE("Rainshadow ",'Map 4'!K17),'Map 4'!K17)</f>
        <v>Island</v>
      </c>
      <c r="L17" s="3" t="str">
        <f ca="1">IF(OR(AND($AV17="⤵",'Map 4'!L18="Mountain",'Map 4'!L17&lt;&gt;"Mountain",'Map 4'!L17&lt;&gt;"Ocean",'Map 4'!L17&lt;&gt;"Trench"),AND($AV17="⤴",'Map 4'!L16="Mountain",'Map 4'!L17&lt;&gt;"Mountain",'Map 4'!L17&lt;&gt;"Ocean",'Map 4'!L17&lt;&gt;"Trench")),CONCATENATE("Rainshadow ",'Map 4'!L17),'Map 4'!L17)</f>
        <v>Ocean</v>
      </c>
      <c r="M17" s="3" t="str">
        <f ca="1">IF(OR(AND($AV17="⤵",'Map 4'!M18="Mountain",'Map 4'!M17&lt;&gt;"Mountain",'Map 4'!M17&lt;&gt;"Ocean",'Map 4'!M17&lt;&gt;"Trench"),AND($AV17="⤴",'Map 4'!M16="Mountain",'Map 4'!M17&lt;&gt;"Mountain",'Map 4'!M17&lt;&gt;"Ocean",'Map 4'!M17&lt;&gt;"Trench")),CONCATENATE("Rainshadow ",'Map 4'!M17),'Map 4'!M17)</f>
        <v>Coast</v>
      </c>
      <c r="N17" s="3" t="str">
        <f ca="1">IF(OR(AND($AV17="⤵",'Map 4'!N18="Mountain",'Map 4'!N17&lt;&gt;"Mountain",'Map 4'!N17&lt;&gt;"Ocean",'Map 4'!N17&lt;&gt;"Trench"),AND($AV17="⤴",'Map 4'!N16="Mountain",'Map 4'!N17&lt;&gt;"Mountain",'Map 4'!N17&lt;&gt;"Ocean",'Map 4'!N17&lt;&gt;"Trench")),CONCATENATE("Rainshadow ",'Map 4'!N17),'Map 4'!N17)</f>
        <v>Flatland</v>
      </c>
      <c r="O17" s="3" t="str">
        <f ca="1">IF(OR(AND($AV17="⤵",'Map 4'!O18="Mountain",'Map 4'!O17&lt;&gt;"Mountain",'Map 4'!O17&lt;&gt;"Ocean",'Map 4'!O17&lt;&gt;"Trench"),AND($AV17="⤴",'Map 4'!O16="Mountain",'Map 4'!O17&lt;&gt;"Mountain",'Map 4'!O17&lt;&gt;"Ocean",'Map 4'!O17&lt;&gt;"Trench")),CONCATENATE("Rainshadow ",'Map 4'!O17),'Map 4'!O17)</f>
        <v>Coast</v>
      </c>
      <c r="P17" s="3" t="str">
        <f ca="1">IF(OR(AND($AV17="⤵",'Map 4'!P18="Mountain",'Map 4'!P17&lt;&gt;"Mountain",'Map 4'!P17&lt;&gt;"Ocean",'Map 4'!P17&lt;&gt;"Trench"),AND($AV17="⤴",'Map 4'!P16="Mountain",'Map 4'!P17&lt;&gt;"Mountain",'Map 4'!P17&lt;&gt;"Ocean",'Map 4'!P17&lt;&gt;"Trench")),CONCATENATE("Rainshadow ",'Map 4'!P17),'Map 4'!P17)</f>
        <v>Coast</v>
      </c>
      <c r="Q17" s="3" t="str">
        <f ca="1">IF(OR(AND($AV17="⤵",'Map 4'!Q18="Mountain",'Map 4'!Q17&lt;&gt;"Mountain",'Map 4'!Q17&lt;&gt;"Ocean",'Map 4'!Q17&lt;&gt;"Trench"),AND($AV17="⤴",'Map 4'!Q16="Mountain",'Map 4'!Q17&lt;&gt;"Mountain",'Map 4'!Q17&lt;&gt;"Ocean",'Map 4'!Q17&lt;&gt;"Trench")),CONCATENATE("Rainshadow ",'Map 4'!Q17),'Map 4'!Q17)</f>
        <v>Coast</v>
      </c>
      <c r="R17" s="3" t="str">
        <f ca="1">IF(OR(AND($AV17="⤵",'Map 4'!R18="Mountain",'Map 4'!R17&lt;&gt;"Mountain",'Map 4'!R17&lt;&gt;"Ocean",'Map 4'!R17&lt;&gt;"Trench"),AND($AV17="⤴",'Map 4'!R16="Mountain",'Map 4'!R17&lt;&gt;"Mountain",'Map 4'!R17&lt;&gt;"Ocean",'Map 4'!R17&lt;&gt;"Trench")),CONCATENATE("Rainshadow ",'Map 4'!R17),'Map 4'!R17)</f>
        <v>Ocean</v>
      </c>
      <c r="S17" s="3" t="str">
        <f ca="1">IF(OR(AND($AV17="⤵",'Map 4'!S18="Mountain",'Map 4'!S17&lt;&gt;"Mountain",'Map 4'!S17&lt;&gt;"Ocean",'Map 4'!S17&lt;&gt;"Trench"),AND($AV17="⤴",'Map 4'!S16="Mountain",'Map 4'!S17&lt;&gt;"Mountain",'Map 4'!S17&lt;&gt;"Ocean",'Map 4'!S17&lt;&gt;"Trench")),CONCATENATE("Rainshadow ",'Map 4'!S17),'Map 4'!S17)</f>
        <v>Ocean</v>
      </c>
      <c r="T17" s="3" t="str">
        <f ca="1">IF(OR(AND($AV17="⤵",'Map 4'!T18="Mountain",'Map 4'!T17&lt;&gt;"Mountain",'Map 4'!T17&lt;&gt;"Ocean",'Map 4'!T17&lt;&gt;"Trench"),AND($AV17="⤴",'Map 4'!T16="Mountain",'Map 4'!T17&lt;&gt;"Mountain",'Map 4'!T17&lt;&gt;"Ocean",'Map 4'!T17&lt;&gt;"Trench")),CONCATENATE("Rainshadow ",'Map 4'!T17),'Map 4'!T17)</f>
        <v>Ocean</v>
      </c>
      <c r="U17" s="3" t="str">
        <f ca="1">IF(OR(AND($AV17="⤵",'Map 4'!U18="Mountain",'Map 4'!U17&lt;&gt;"Mountain",'Map 4'!U17&lt;&gt;"Ocean",'Map 4'!U17&lt;&gt;"Trench"),AND($AV17="⤴",'Map 4'!U16="Mountain",'Map 4'!U17&lt;&gt;"Mountain",'Map 4'!U17&lt;&gt;"Ocean",'Map 4'!U17&lt;&gt;"Trench")),CONCATENATE("Rainshadow ",'Map 4'!U17),'Map 4'!U17)</f>
        <v>Ocean</v>
      </c>
      <c r="V17" s="3" t="str">
        <f ca="1">IF(OR(AND($AV17="⤵",'Map 4'!V18="Mountain",'Map 4'!V17&lt;&gt;"Mountain",'Map 4'!V17&lt;&gt;"Ocean",'Map 4'!V17&lt;&gt;"Trench"),AND($AV17="⤴",'Map 4'!V16="Mountain",'Map 4'!V17&lt;&gt;"Mountain",'Map 4'!V17&lt;&gt;"Ocean",'Map 4'!V17&lt;&gt;"Trench")),CONCATENATE("Rainshadow ",'Map 4'!V17),'Map 4'!V17)</f>
        <v>Ocean</v>
      </c>
      <c r="W17" s="3" t="str">
        <f ca="1">IF(OR(AND($AV17="⤵",'Map 4'!W18="Mountain",'Map 4'!W17&lt;&gt;"Mountain",'Map 4'!W17&lt;&gt;"Ocean",'Map 4'!W17&lt;&gt;"Trench"),AND($AV17="⤴",'Map 4'!W16="Mountain",'Map 4'!W17&lt;&gt;"Mountain",'Map 4'!W17&lt;&gt;"Ocean",'Map 4'!W17&lt;&gt;"Trench")),CONCATENATE("Rainshadow ",'Map 4'!W17),'Map 4'!W17)</f>
        <v>Ocean</v>
      </c>
      <c r="X17" s="3" t="str">
        <f ca="1">IF(OR(AND($AV17="⤵",'Map 4'!X18="Mountain",'Map 4'!X17&lt;&gt;"Mountain",'Map 4'!X17&lt;&gt;"Ocean",'Map 4'!X17&lt;&gt;"Trench"),AND($AV17="⤴",'Map 4'!X16="Mountain",'Map 4'!X17&lt;&gt;"Mountain",'Map 4'!X17&lt;&gt;"Ocean",'Map 4'!X17&lt;&gt;"Trench")),CONCATENATE("Rainshadow ",'Map 4'!X17),'Map 4'!X17)</f>
        <v>Ocean</v>
      </c>
      <c r="Y17" s="3" t="str">
        <f ca="1">IF(OR(AND($AV17="⤵",'Map 4'!Y18="Mountain",'Map 4'!Y17&lt;&gt;"Mountain",'Map 4'!Y17&lt;&gt;"Ocean",'Map 4'!Y17&lt;&gt;"Trench"),AND($AV17="⤴",'Map 4'!Y16="Mountain",'Map 4'!Y17&lt;&gt;"Mountain",'Map 4'!Y17&lt;&gt;"Ocean",'Map 4'!Y17&lt;&gt;"Trench")),CONCATENATE("Rainshadow ",'Map 4'!Y17),'Map 4'!Y17)</f>
        <v>Ocean</v>
      </c>
      <c r="Z17" s="3" t="str">
        <f ca="1">IF(OR(AND($AV17="⤵",'Map 4'!Z18="Mountain",'Map 4'!Z17&lt;&gt;"Mountain",'Map 4'!Z17&lt;&gt;"Ocean",'Map 4'!Z17&lt;&gt;"Trench"),AND($AV17="⤴",'Map 4'!Z16="Mountain",'Map 4'!Z17&lt;&gt;"Mountain",'Map 4'!Z17&lt;&gt;"Ocean",'Map 4'!Z17&lt;&gt;"Trench")),CONCATENATE("Rainshadow ",'Map 4'!Z17),'Map 4'!Z17)</f>
        <v>Coast</v>
      </c>
      <c r="AA17" s="3" t="str">
        <f ca="1">IF(OR(AND($AV17="⤵",'Map 4'!AA18="Mountain",'Map 4'!AA17&lt;&gt;"Mountain",'Map 4'!AA17&lt;&gt;"Ocean",'Map 4'!AA17&lt;&gt;"Trench"),AND($AV17="⤴",'Map 4'!AA16="Mountain",'Map 4'!AA17&lt;&gt;"Mountain",'Map 4'!AA17&lt;&gt;"Ocean",'Map 4'!AA17&lt;&gt;"Trench")),CONCATENATE("Rainshadow ",'Map 4'!AA17),'Map 4'!AA17)</f>
        <v>Mountain</v>
      </c>
      <c r="AB17" s="3" t="str">
        <f ca="1">IF(OR(AND($AV17="⤵",'Map 4'!AB18="Mountain",'Map 4'!AB17&lt;&gt;"Mountain",'Map 4'!AB17&lt;&gt;"Ocean",'Map 4'!AB17&lt;&gt;"Trench"),AND($AV17="⤴",'Map 4'!AB16="Mountain",'Map 4'!AB17&lt;&gt;"Mountain",'Map 4'!AB17&lt;&gt;"Ocean",'Map 4'!AB17&lt;&gt;"Trench")),CONCATENATE("Rainshadow ",'Map 4'!AB17),'Map 4'!AB17)</f>
        <v>Flatland</v>
      </c>
      <c r="AC17" s="3" t="str">
        <f ca="1">IF(OR(AND($AV17="⤵",'Map 4'!AC18="Mountain",'Map 4'!AC17&lt;&gt;"Mountain",'Map 4'!AC17&lt;&gt;"Ocean",'Map 4'!AC17&lt;&gt;"Trench"),AND($AV17="⤴",'Map 4'!AC16="Mountain",'Map 4'!AC17&lt;&gt;"Mountain",'Map 4'!AC17&lt;&gt;"Ocean",'Map 4'!AC17&lt;&gt;"Trench")),CONCATENATE("Rainshadow ",'Map 4'!AC17),'Map 4'!AC17)</f>
        <v>Coast</v>
      </c>
      <c r="AD17" s="3" t="str">
        <f ca="1">IF(OR(AND($AV17="⤵",'Map 4'!AD18="Mountain",'Map 4'!AD17&lt;&gt;"Mountain",'Map 4'!AD17&lt;&gt;"Ocean",'Map 4'!AD17&lt;&gt;"Trench"),AND($AV17="⤴",'Map 4'!AD16="Mountain",'Map 4'!AD17&lt;&gt;"Mountain",'Map 4'!AD17&lt;&gt;"Ocean",'Map 4'!AD17&lt;&gt;"Trench")),CONCATENATE("Rainshadow ",'Map 4'!AD17),'Map 4'!AD17)</f>
        <v>Ocean</v>
      </c>
      <c r="AE17" s="3" t="str">
        <f ca="1">IF(OR(AND($AV17="⤵",'Map 4'!AE18="Mountain",'Map 4'!AE17&lt;&gt;"Mountain",'Map 4'!AE17&lt;&gt;"Ocean",'Map 4'!AE17&lt;&gt;"Trench"),AND($AV17="⤴",'Map 4'!AE16="Mountain",'Map 4'!AE17&lt;&gt;"Mountain",'Map 4'!AE17&lt;&gt;"Ocean",'Map 4'!AE17&lt;&gt;"Trench")),CONCATENATE("Rainshadow ",'Map 4'!AE17),'Map 4'!AE17)</f>
        <v>Ocean</v>
      </c>
      <c r="AF17" s="3" t="str">
        <f ca="1">IF(OR(AND($AV17="⤵",'Map 4'!AF18="Mountain",'Map 4'!AF17&lt;&gt;"Mountain",'Map 4'!AF17&lt;&gt;"Ocean",'Map 4'!AF17&lt;&gt;"Trench"),AND($AV17="⤴",'Map 4'!AF16="Mountain",'Map 4'!AF17&lt;&gt;"Mountain",'Map 4'!AF17&lt;&gt;"Ocean",'Map 4'!AF17&lt;&gt;"Trench")),CONCATENATE("Rainshadow ",'Map 4'!AF17),'Map 4'!AF17)</f>
        <v>Ocean</v>
      </c>
      <c r="AG17" s="3" t="str">
        <f ca="1">IF(OR(AND($AV17="⤵",'Map 4'!AG18="Mountain",'Map 4'!AG17&lt;&gt;"Mountain",'Map 4'!AG17&lt;&gt;"Ocean",'Map 4'!AG17&lt;&gt;"Trench"),AND($AV17="⤴",'Map 4'!AG16="Mountain",'Map 4'!AG17&lt;&gt;"Mountain",'Map 4'!AG17&lt;&gt;"Ocean",'Map 4'!AG17&lt;&gt;"Trench")),CONCATENATE("Rainshadow ",'Map 4'!AG17),'Map 4'!AG17)</f>
        <v>Trench</v>
      </c>
      <c r="AH17" s="3" t="str">
        <f ca="1">IF(OR(AND($AV17="⤵",'Map 4'!AH18="Mountain",'Map 4'!AH17&lt;&gt;"Mountain",'Map 4'!AH17&lt;&gt;"Ocean",'Map 4'!AH17&lt;&gt;"Trench"),AND($AV17="⤴",'Map 4'!AH16="Mountain",'Map 4'!AH17&lt;&gt;"Mountain",'Map 4'!AH17&lt;&gt;"Ocean",'Map 4'!AH17&lt;&gt;"Trench")),CONCATENATE("Rainshadow ",'Map 4'!AH17),'Map 4'!AH17)</f>
        <v>Ocean</v>
      </c>
      <c r="AI17" s="3" t="str">
        <f ca="1">IF(OR(AND($AV17="⤵",'Map 4'!AI18="Mountain",'Map 4'!AI17&lt;&gt;"Mountain",'Map 4'!AI17&lt;&gt;"Ocean",'Map 4'!AI17&lt;&gt;"Trench"),AND($AV17="⤴",'Map 4'!AI16="Mountain",'Map 4'!AI17&lt;&gt;"Mountain",'Map 4'!AI17&lt;&gt;"Ocean",'Map 4'!AI17&lt;&gt;"Trench")),CONCATENATE("Rainshadow ",'Map 4'!AI17),'Map 4'!AI17)</f>
        <v>Ocean</v>
      </c>
      <c r="AJ17" s="3" t="str">
        <f ca="1">IF(OR(AND($AV17="⤵",'Map 4'!AJ18="Mountain",'Map 4'!AJ17&lt;&gt;"Mountain",'Map 4'!AJ17&lt;&gt;"Ocean",'Map 4'!AJ17&lt;&gt;"Trench"),AND($AV17="⤴",'Map 4'!AJ16="Mountain",'Map 4'!AJ17&lt;&gt;"Mountain",'Map 4'!AJ17&lt;&gt;"Ocean",'Map 4'!AJ17&lt;&gt;"Trench")),CONCATENATE("Rainshadow ",'Map 4'!AJ17),'Map 4'!AJ17)</f>
        <v>Trench</v>
      </c>
      <c r="AK17" s="3" t="str">
        <f ca="1">IF(OR(AND($AV17="⤵",'Map 4'!AK18="Mountain",'Map 4'!AK17&lt;&gt;"Mountain",'Map 4'!AK17&lt;&gt;"Ocean",'Map 4'!AK17&lt;&gt;"Trench"),AND($AV17="⤴",'Map 4'!AK16="Mountain",'Map 4'!AK17&lt;&gt;"Mountain",'Map 4'!AK17&lt;&gt;"Ocean",'Map 4'!AK17&lt;&gt;"Trench")),CONCATENATE("Rainshadow ",'Map 4'!AK17),'Map 4'!AK17)</f>
        <v>Cliff</v>
      </c>
      <c r="AL17" s="3" t="str">
        <f ca="1">IF(OR(AND($AV17="⤵",'Map 4'!AL18="Mountain",'Map 4'!AL17&lt;&gt;"Mountain",'Map 4'!AL17&lt;&gt;"Ocean",'Map 4'!AL17&lt;&gt;"Trench"),AND($AV17="⤴",'Map 4'!AL16="Mountain",'Map 4'!AL17&lt;&gt;"Mountain",'Map 4'!AL17&lt;&gt;"Ocean",'Map 4'!AL17&lt;&gt;"Trench")),CONCATENATE("Rainshadow ",'Map 4'!AL17),'Map 4'!AL17)</f>
        <v>Ocean</v>
      </c>
      <c r="AM17" s="3" t="str">
        <f ca="1">IF(OR(AND($AV17="⤵",'Map 4'!AM18="Mountain",'Map 4'!AM17&lt;&gt;"Mountain",'Map 4'!AM17&lt;&gt;"Ocean",'Map 4'!AM17&lt;&gt;"Trench"),AND($AV17="⤴",'Map 4'!AM16="Mountain",'Map 4'!AM17&lt;&gt;"Mountain",'Map 4'!AM17&lt;&gt;"Ocean",'Map 4'!AM17&lt;&gt;"Trench")),CONCATENATE("Rainshadow ",'Map 4'!AM17),'Map 4'!AM17)</f>
        <v>Coast</v>
      </c>
      <c r="AN17" s="3" t="str">
        <f ca="1">IF(OR(AND($AV17="⤵",'Map 4'!AN18="Mountain",'Map 4'!AN17&lt;&gt;"Mountain",'Map 4'!AN17&lt;&gt;"Ocean",'Map 4'!AN17&lt;&gt;"Trench"),AND($AV17="⤴",'Map 4'!AN16="Mountain",'Map 4'!AN17&lt;&gt;"Mountain",'Map 4'!AN17&lt;&gt;"Ocean",'Map 4'!AN17&lt;&gt;"Trench")),CONCATENATE("Rainshadow ",'Map 4'!AN17),'Map 4'!AN17)</f>
        <v>Coast</v>
      </c>
      <c r="AO17" s="3" t="str">
        <f ca="1">IF(OR(AND($AV17="⤵",'Map 4'!AO18="Mountain",'Map 4'!AO17&lt;&gt;"Mountain",'Map 4'!AO17&lt;&gt;"Ocean",'Map 4'!AO17&lt;&gt;"Trench"),AND($AV17="⤴",'Map 4'!AO16="Mountain",'Map 4'!AO17&lt;&gt;"Mountain",'Map 4'!AO17&lt;&gt;"Ocean",'Map 4'!AO17&lt;&gt;"Trench")),CONCATENATE("Rainshadow ",'Map 4'!AO17),'Map 4'!AO17)</f>
        <v>Rainshadow Flatland</v>
      </c>
      <c r="AP17" s="3">
        <f t="shared" si="1"/>
        <v>7.5</v>
      </c>
      <c r="AQ17" s="3">
        <f t="shared" si="2"/>
        <v>45.5</v>
      </c>
      <c r="AR17" s="3"/>
      <c r="AS17" s="3">
        <f t="shared" si="3"/>
        <v>280.65000000000015</v>
      </c>
      <c r="AT17" s="41">
        <v>58.5</v>
      </c>
      <c r="AU17" s="41" t="str" cm="1">
        <f t="array" ref="AU17">_xlfn.IFS(AND(IF(AP17&lt;25,"Cold","Hot")="Cold",IF(AW17&gt;=0.5,"High","Low")="Low"),"Tundra",AND(IF(AP17&lt;25,"Cold","Hot")="Cold",IF(AW17&gt;=0.5,"High","Low")="High"),"Forest",AND(IF(AP17&lt;25,"Cold","Hot")="Hot",IF(AW17&gt;=0.5,"High","Low")="Low"),"Desert",AND(IF(AP17&lt;25,"Cold","Hot")="Hot",IF(AW17&gt;=0.5,"High","Low")="High"),"Rainforest")</f>
        <v>Forest</v>
      </c>
      <c r="AV17" s="41" t="str" cm="1">
        <f t="array" ref="AV17">_xlfn.IFS(AT17&lt;-90,"⤴",AND(AT17&gt;=-90,AT17&lt;-60),"⤴",AND(AT17&gt;=-60,AT17&lt;-30),"⤵",AND(AT17&gt;=-30,AT17&lt;0),"⤴",AND(AT17&gt;=0,AT17&lt;30),"⤵",AND(AT17&gt;=30,AT17&lt;60),"⤴",AT17&gt;=60,"⤵")</f>
        <v>⤴</v>
      </c>
      <c r="AW17" s="41">
        <f>IF(AV17="⤴",AW16-0.14,AW16+0.14)</f>
        <v>0.86</v>
      </c>
    </row>
    <row r="18" spans="1:49" ht="15" customHeight="1">
      <c r="A18" s="3">
        <v>9</v>
      </c>
      <c r="B18" s="3" t="str">
        <f ca="1">IF(OR(AND($AV18="⤵",'Map 4'!B19="Mountain",'Map 4'!B18&lt;&gt;"Mountain",'Map 4'!B18&lt;&gt;"Ocean",'Map 4'!B18&lt;&gt;"Trench"),AND($AV18="⤴",'Map 4'!B17="Mountain",'Map 4'!B18&lt;&gt;"Mountain",'Map 4'!B18&lt;&gt;"Ocean",'Map 4'!B18&lt;&gt;"Trench")),CONCATENATE("Rainshadow ",'Map 4'!B18),'Map 4'!B18)</f>
        <v>Ocean</v>
      </c>
      <c r="C18" s="3" t="str">
        <f ca="1">IF(OR(AND($AV18="⤵",'Map 4'!C19="Mountain",'Map 4'!C18&lt;&gt;"Mountain",'Map 4'!C18&lt;&gt;"Ocean",'Map 4'!C18&lt;&gt;"Trench"),AND($AV18="⤴",'Map 4'!C17="Mountain",'Map 4'!C18&lt;&gt;"Mountain",'Map 4'!C18&lt;&gt;"Ocean",'Map 4'!C18&lt;&gt;"Trench")),CONCATENATE("Rainshadow ",'Map 4'!C18),'Map 4'!C18)</f>
        <v>Ocean</v>
      </c>
      <c r="D18" s="3" t="str">
        <f ca="1">IF(OR(AND($AV18="⤵",'Map 4'!D19="Mountain",'Map 4'!D18&lt;&gt;"Mountain",'Map 4'!D18&lt;&gt;"Ocean",'Map 4'!D18&lt;&gt;"Trench"),AND($AV18="⤴",'Map 4'!D17="Mountain",'Map 4'!D18&lt;&gt;"Mountain",'Map 4'!D18&lt;&gt;"Ocean",'Map 4'!D18&lt;&gt;"Trench")),CONCATENATE("Rainshadow ",'Map 4'!D18),'Map 4'!D18)</f>
        <v>Ocean</v>
      </c>
      <c r="E18" s="3" t="str">
        <f ca="1">IF(OR(AND($AV18="⤵",'Map 4'!E19="Mountain",'Map 4'!E18&lt;&gt;"Mountain",'Map 4'!E18&lt;&gt;"Ocean",'Map 4'!E18&lt;&gt;"Trench"),AND($AV18="⤴",'Map 4'!E17="Mountain",'Map 4'!E18&lt;&gt;"Mountain",'Map 4'!E18&lt;&gt;"Ocean",'Map 4'!E18&lt;&gt;"Trench")),CONCATENATE("Rainshadow ",'Map 4'!E18),'Map 4'!E18)</f>
        <v>Ocean</v>
      </c>
      <c r="F18" s="3" t="str">
        <f ca="1">IF(OR(AND($AV18="⤵",'Map 4'!F19="Mountain",'Map 4'!F18&lt;&gt;"Mountain",'Map 4'!F18&lt;&gt;"Ocean",'Map 4'!F18&lt;&gt;"Trench"),AND($AV18="⤴",'Map 4'!F17="Mountain",'Map 4'!F18&lt;&gt;"Mountain",'Map 4'!F18&lt;&gt;"Ocean",'Map 4'!F18&lt;&gt;"Trench")),CONCATENATE("Rainshadow ",'Map 4'!F18),'Map 4'!F18)</f>
        <v>Ocean</v>
      </c>
      <c r="G18" s="3" t="str">
        <f ca="1">IF(OR(AND($AV18="⤵",'Map 4'!G19="Mountain",'Map 4'!G18&lt;&gt;"Mountain",'Map 4'!G18&lt;&gt;"Ocean",'Map 4'!G18&lt;&gt;"Trench"),AND($AV18="⤴",'Map 4'!G17="Mountain",'Map 4'!G18&lt;&gt;"Mountain",'Map 4'!G18&lt;&gt;"Ocean",'Map 4'!G18&lt;&gt;"Trench")),CONCATENATE("Rainshadow ",'Map 4'!G18),'Map 4'!G18)</f>
        <v>Ocean</v>
      </c>
      <c r="H18" s="3" t="str">
        <f ca="1">IF(OR(AND($AV18="⤵",'Map 4'!H19="Mountain",'Map 4'!H18&lt;&gt;"Mountain",'Map 4'!H18&lt;&gt;"Ocean",'Map 4'!H18&lt;&gt;"Trench"),AND($AV18="⤴",'Map 4'!H17="Mountain",'Map 4'!H18&lt;&gt;"Mountain",'Map 4'!H18&lt;&gt;"Ocean",'Map 4'!H18&lt;&gt;"Trench")),CONCATENATE("Rainshadow ",'Map 4'!H18),'Map 4'!H18)</f>
        <v>Ocean</v>
      </c>
      <c r="I18" s="3" t="str">
        <f ca="1">IF(OR(AND($AV18="⤵",'Map 4'!I19="Mountain",'Map 4'!I18&lt;&gt;"Mountain",'Map 4'!I18&lt;&gt;"Ocean",'Map 4'!I18&lt;&gt;"Trench"),AND($AV18="⤴",'Map 4'!I17="Mountain",'Map 4'!I18&lt;&gt;"Mountain",'Map 4'!I18&lt;&gt;"Ocean",'Map 4'!I18&lt;&gt;"Trench")),CONCATENATE("Rainshadow ",'Map 4'!I18),'Map 4'!I18)</f>
        <v>Ocean</v>
      </c>
      <c r="J18" s="3" t="str">
        <f ca="1">IF(OR(AND($AV18="⤵",'Map 4'!J19="Mountain",'Map 4'!J18&lt;&gt;"Mountain",'Map 4'!J18&lt;&gt;"Ocean",'Map 4'!J18&lt;&gt;"Trench"),AND($AV18="⤴",'Map 4'!J17="Mountain",'Map 4'!J18&lt;&gt;"Mountain",'Map 4'!J18&lt;&gt;"Ocean",'Map 4'!J18&lt;&gt;"Trench")),CONCATENATE("Rainshadow ",'Map 4'!J18),'Map 4'!J18)</f>
        <v>Ocean</v>
      </c>
      <c r="K18" s="3" t="str">
        <f ca="1">IF(OR(AND($AV18="⤵",'Map 4'!K19="Mountain",'Map 4'!K18&lt;&gt;"Mountain",'Map 4'!K18&lt;&gt;"Ocean",'Map 4'!K18&lt;&gt;"Trench"),AND($AV18="⤴",'Map 4'!K17="Mountain",'Map 4'!K18&lt;&gt;"Mountain",'Map 4'!K18&lt;&gt;"Ocean",'Map 4'!K18&lt;&gt;"Trench")),CONCATENATE("Rainshadow ",'Map 4'!K18),'Map 4'!K18)</f>
        <v>Trench</v>
      </c>
      <c r="L18" s="3" t="str">
        <f ca="1">IF(OR(AND($AV18="⤵",'Map 4'!L19="Mountain",'Map 4'!L18&lt;&gt;"Mountain",'Map 4'!L18&lt;&gt;"Ocean",'Map 4'!L18&lt;&gt;"Trench"),AND($AV18="⤴",'Map 4'!L17="Mountain",'Map 4'!L18&lt;&gt;"Mountain",'Map 4'!L18&lt;&gt;"Ocean",'Map 4'!L18&lt;&gt;"Trench")),CONCATENATE("Rainshadow ",'Map 4'!L18),'Map 4'!L18)</f>
        <v>Trench</v>
      </c>
      <c r="M18" s="3" t="str">
        <f ca="1">IF(OR(AND($AV18="⤵",'Map 4'!M19="Mountain",'Map 4'!M18&lt;&gt;"Mountain",'Map 4'!M18&lt;&gt;"Ocean",'Map 4'!M18&lt;&gt;"Trench"),AND($AV18="⤴",'Map 4'!M17="Mountain",'Map 4'!M18&lt;&gt;"Mountain",'Map 4'!M18&lt;&gt;"Ocean",'Map 4'!M18&lt;&gt;"Trench")),CONCATENATE("Rainshadow ",'Map 4'!M18),'Map 4'!M18)</f>
        <v>Flatland</v>
      </c>
      <c r="N18" s="3" t="str">
        <f ca="1">IF(OR(AND($AV18="⤵",'Map 4'!N19="Mountain",'Map 4'!N18&lt;&gt;"Mountain",'Map 4'!N18&lt;&gt;"Ocean",'Map 4'!N18&lt;&gt;"Trench"),AND($AV18="⤴",'Map 4'!N17="Mountain",'Map 4'!N18&lt;&gt;"Mountain",'Map 4'!N18&lt;&gt;"Ocean",'Map 4'!N18&lt;&gt;"Trench")),CONCATENATE("Rainshadow ",'Map 4'!N18),'Map 4'!N18)</f>
        <v>Flatland</v>
      </c>
      <c r="O18" s="3" t="str">
        <f ca="1">IF(OR(AND($AV18="⤵",'Map 4'!O19="Mountain",'Map 4'!O18&lt;&gt;"Mountain",'Map 4'!O18&lt;&gt;"Ocean",'Map 4'!O18&lt;&gt;"Trench"),AND($AV18="⤴",'Map 4'!O17="Mountain",'Map 4'!O18&lt;&gt;"Mountain",'Map 4'!O18&lt;&gt;"Ocean",'Map 4'!O18&lt;&gt;"Trench")),CONCATENATE("Rainshadow ",'Map 4'!O18),'Map 4'!O18)</f>
        <v>Coast</v>
      </c>
      <c r="P18" s="3" t="str">
        <f ca="1">IF(OR(AND($AV18="⤵",'Map 4'!P19="Mountain",'Map 4'!P18&lt;&gt;"Mountain",'Map 4'!P18&lt;&gt;"Ocean",'Map 4'!P18&lt;&gt;"Trench"),AND($AV18="⤴",'Map 4'!P17="Mountain",'Map 4'!P18&lt;&gt;"Mountain",'Map 4'!P18&lt;&gt;"Ocean",'Map 4'!P18&lt;&gt;"Trench")),CONCATENATE("Rainshadow ",'Map 4'!P18),'Map 4'!P18)</f>
        <v>Flatland</v>
      </c>
      <c r="Q18" s="3" t="str">
        <f ca="1">IF(OR(AND($AV18="⤵",'Map 4'!Q19="Mountain",'Map 4'!Q18&lt;&gt;"Mountain",'Map 4'!Q18&lt;&gt;"Ocean",'Map 4'!Q18&lt;&gt;"Trench"),AND($AV18="⤴",'Map 4'!Q17="Mountain",'Map 4'!Q18&lt;&gt;"Mountain",'Map 4'!Q18&lt;&gt;"Ocean",'Map 4'!Q18&lt;&gt;"Trench")),CONCATENATE("Rainshadow ",'Map 4'!Q18),'Map 4'!Q18)</f>
        <v>Ocean</v>
      </c>
      <c r="R18" s="3" t="str">
        <f ca="1">IF(OR(AND($AV18="⤵",'Map 4'!R19="Mountain",'Map 4'!R18&lt;&gt;"Mountain",'Map 4'!R18&lt;&gt;"Ocean",'Map 4'!R18&lt;&gt;"Trench"),AND($AV18="⤴",'Map 4'!R17="Mountain",'Map 4'!R18&lt;&gt;"Mountain",'Map 4'!R18&lt;&gt;"Ocean",'Map 4'!R18&lt;&gt;"Trench")),CONCATENATE("Rainshadow ",'Map 4'!R18),'Map 4'!R18)</f>
        <v>Ocean</v>
      </c>
      <c r="S18" s="3" t="str">
        <f ca="1">IF(OR(AND($AV18="⤵",'Map 4'!S19="Mountain",'Map 4'!S18&lt;&gt;"Mountain",'Map 4'!S18&lt;&gt;"Ocean",'Map 4'!S18&lt;&gt;"Trench"),AND($AV18="⤴",'Map 4'!S17="Mountain",'Map 4'!S18&lt;&gt;"Mountain",'Map 4'!S18&lt;&gt;"Ocean",'Map 4'!S18&lt;&gt;"Trench")),CONCATENATE("Rainshadow ",'Map 4'!S18),'Map 4'!S18)</f>
        <v>Ocean</v>
      </c>
      <c r="T18" s="3" t="str">
        <f ca="1">IF(OR(AND($AV18="⤵",'Map 4'!T19="Mountain",'Map 4'!T18&lt;&gt;"Mountain",'Map 4'!T18&lt;&gt;"Ocean",'Map 4'!T18&lt;&gt;"Trench"),AND($AV18="⤴",'Map 4'!T17="Mountain",'Map 4'!T18&lt;&gt;"Mountain",'Map 4'!T18&lt;&gt;"Ocean",'Map 4'!T18&lt;&gt;"Trench")),CONCATENATE("Rainshadow ",'Map 4'!T18),'Map 4'!T18)</f>
        <v>Ocean</v>
      </c>
      <c r="U18" s="3" t="str">
        <f ca="1">IF(OR(AND($AV18="⤵",'Map 4'!U19="Mountain",'Map 4'!U18&lt;&gt;"Mountain",'Map 4'!U18&lt;&gt;"Ocean",'Map 4'!U18&lt;&gt;"Trench"),AND($AV18="⤴",'Map 4'!U17="Mountain",'Map 4'!U18&lt;&gt;"Mountain",'Map 4'!U18&lt;&gt;"Ocean",'Map 4'!U18&lt;&gt;"Trench")),CONCATENATE("Rainshadow ",'Map 4'!U18),'Map 4'!U18)</f>
        <v>Ocean</v>
      </c>
      <c r="V18" s="3" t="str">
        <f ca="1">IF(OR(AND($AV18="⤵",'Map 4'!V19="Mountain",'Map 4'!V18&lt;&gt;"Mountain",'Map 4'!V18&lt;&gt;"Ocean",'Map 4'!V18&lt;&gt;"Trench"),AND($AV18="⤴",'Map 4'!V17="Mountain",'Map 4'!V18&lt;&gt;"Mountain",'Map 4'!V18&lt;&gt;"Ocean",'Map 4'!V18&lt;&gt;"Trench")),CONCATENATE("Rainshadow ",'Map 4'!V18),'Map 4'!V18)</f>
        <v>Ocean</v>
      </c>
      <c r="W18" s="3" t="str">
        <f ca="1">IF(OR(AND($AV18="⤵",'Map 4'!W19="Mountain",'Map 4'!W18&lt;&gt;"Mountain",'Map 4'!W18&lt;&gt;"Ocean",'Map 4'!W18&lt;&gt;"Trench"),AND($AV18="⤴",'Map 4'!W17="Mountain",'Map 4'!W18&lt;&gt;"Mountain",'Map 4'!W18&lt;&gt;"Ocean",'Map 4'!W18&lt;&gt;"Trench")),CONCATENATE("Rainshadow ",'Map 4'!W18),'Map 4'!W18)</f>
        <v>Ocean</v>
      </c>
      <c r="X18" s="3" t="str">
        <f ca="1">IF(OR(AND($AV18="⤵",'Map 4'!X19="Mountain",'Map 4'!X18&lt;&gt;"Mountain",'Map 4'!X18&lt;&gt;"Ocean",'Map 4'!X18&lt;&gt;"Trench"),AND($AV18="⤴",'Map 4'!X17="Mountain",'Map 4'!X18&lt;&gt;"Mountain",'Map 4'!X18&lt;&gt;"Ocean",'Map 4'!X18&lt;&gt;"Trench")),CONCATENATE("Rainshadow ",'Map 4'!X18),'Map 4'!X18)</f>
        <v>Ocean</v>
      </c>
      <c r="Y18" s="3" t="str">
        <f ca="1">IF(OR(AND($AV18="⤵",'Map 4'!Y19="Mountain",'Map 4'!Y18&lt;&gt;"Mountain",'Map 4'!Y18&lt;&gt;"Ocean",'Map 4'!Y18&lt;&gt;"Trench"),AND($AV18="⤴",'Map 4'!Y17="Mountain",'Map 4'!Y18&lt;&gt;"Mountain",'Map 4'!Y18&lt;&gt;"Ocean",'Map 4'!Y18&lt;&gt;"Trench")),CONCATENATE("Rainshadow ",'Map 4'!Y18),'Map 4'!Y18)</f>
        <v>Coast</v>
      </c>
      <c r="Z18" s="3" t="str">
        <f ca="1">IF(OR(AND($AV18="⤵",'Map 4'!Z19="Mountain",'Map 4'!Z18&lt;&gt;"Mountain",'Map 4'!Z18&lt;&gt;"Ocean",'Map 4'!Z18&lt;&gt;"Trench"),AND($AV18="⤴",'Map 4'!Z17="Mountain",'Map 4'!Z18&lt;&gt;"Mountain",'Map 4'!Z18&lt;&gt;"Ocean",'Map 4'!Z18&lt;&gt;"Trench")),CONCATENATE("Rainshadow ",'Map 4'!Z18),'Map 4'!Z18)</f>
        <v>Flatland</v>
      </c>
      <c r="AA18" s="3" t="str">
        <f ca="1">IF(OR(AND($AV18="⤵",'Map 4'!AA19="Mountain",'Map 4'!AA18&lt;&gt;"Mountain",'Map 4'!AA18&lt;&gt;"Ocean",'Map 4'!AA18&lt;&gt;"Trench"),AND($AV18="⤴",'Map 4'!AA17="Mountain",'Map 4'!AA18&lt;&gt;"Mountain",'Map 4'!AA18&lt;&gt;"Ocean",'Map 4'!AA18&lt;&gt;"Trench")),CONCATENATE("Rainshadow ",'Map 4'!AA18),'Map 4'!AA18)</f>
        <v>Rainshadow Flatland</v>
      </c>
      <c r="AB18" s="3" t="str">
        <f ca="1">IF(OR(AND($AV18="⤵",'Map 4'!AB19="Mountain",'Map 4'!AB18&lt;&gt;"Mountain",'Map 4'!AB18&lt;&gt;"Ocean",'Map 4'!AB18&lt;&gt;"Trench"),AND($AV18="⤴",'Map 4'!AB17="Mountain",'Map 4'!AB18&lt;&gt;"Mountain",'Map 4'!AB18&lt;&gt;"Ocean",'Map 4'!AB18&lt;&gt;"Trench")),CONCATENATE("Rainshadow ",'Map 4'!AB18),'Map 4'!AB18)</f>
        <v>Coast</v>
      </c>
      <c r="AC18" s="3" t="str">
        <f ca="1">IF(OR(AND($AV18="⤵",'Map 4'!AC19="Mountain",'Map 4'!AC18&lt;&gt;"Mountain",'Map 4'!AC18&lt;&gt;"Ocean",'Map 4'!AC18&lt;&gt;"Trench"),AND($AV18="⤴",'Map 4'!AC17="Mountain",'Map 4'!AC18&lt;&gt;"Mountain",'Map 4'!AC18&lt;&gt;"Ocean",'Map 4'!AC18&lt;&gt;"Trench")),CONCATENATE("Rainshadow ",'Map 4'!AC18),'Map 4'!AC18)</f>
        <v>Ocean</v>
      </c>
      <c r="AD18" s="3" t="str">
        <f ca="1">IF(OR(AND($AV18="⤵",'Map 4'!AD19="Mountain",'Map 4'!AD18&lt;&gt;"Mountain",'Map 4'!AD18&lt;&gt;"Ocean",'Map 4'!AD18&lt;&gt;"Trench"),AND($AV18="⤴",'Map 4'!AD17="Mountain",'Map 4'!AD18&lt;&gt;"Mountain",'Map 4'!AD18&lt;&gt;"Ocean",'Map 4'!AD18&lt;&gt;"Trench")),CONCATENATE("Rainshadow ",'Map 4'!AD18),'Map 4'!AD18)</f>
        <v>Ocean</v>
      </c>
      <c r="AE18" s="3" t="str">
        <f ca="1">IF(OR(AND($AV18="⤵",'Map 4'!AE19="Mountain",'Map 4'!AE18&lt;&gt;"Mountain",'Map 4'!AE18&lt;&gt;"Ocean",'Map 4'!AE18&lt;&gt;"Trench"),AND($AV18="⤴",'Map 4'!AE17="Mountain",'Map 4'!AE18&lt;&gt;"Mountain",'Map 4'!AE18&lt;&gt;"Ocean",'Map 4'!AE18&lt;&gt;"Trench")),CONCATENATE("Rainshadow ",'Map 4'!AE18),'Map 4'!AE18)</f>
        <v>Ocean</v>
      </c>
      <c r="AF18" s="3" t="str">
        <f ca="1">IF(OR(AND($AV18="⤵",'Map 4'!AF19="Mountain",'Map 4'!AF18&lt;&gt;"Mountain",'Map 4'!AF18&lt;&gt;"Ocean",'Map 4'!AF18&lt;&gt;"Trench"),AND($AV18="⤴",'Map 4'!AF17="Mountain",'Map 4'!AF18&lt;&gt;"Mountain",'Map 4'!AF18&lt;&gt;"Ocean",'Map 4'!AF18&lt;&gt;"Trench")),CONCATENATE("Rainshadow ",'Map 4'!AF18),'Map 4'!AF18)</f>
        <v>Ocean</v>
      </c>
      <c r="AG18" s="3" t="str">
        <f ca="1">IF(OR(AND($AV18="⤵",'Map 4'!AG19="Mountain",'Map 4'!AG18&lt;&gt;"Mountain",'Map 4'!AG18&lt;&gt;"Ocean",'Map 4'!AG18&lt;&gt;"Trench"),AND($AV18="⤴",'Map 4'!AG17="Mountain",'Map 4'!AG18&lt;&gt;"Mountain",'Map 4'!AG18&lt;&gt;"Ocean",'Map 4'!AG18&lt;&gt;"Trench")),CONCATENATE("Rainshadow ",'Map 4'!AG18),'Map 4'!AG18)</f>
        <v>Ocean</v>
      </c>
      <c r="AH18" s="3" t="str">
        <f ca="1">IF(OR(AND($AV18="⤵",'Map 4'!AH19="Mountain",'Map 4'!AH18&lt;&gt;"Mountain",'Map 4'!AH18&lt;&gt;"Ocean",'Map 4'!AH18&lt;&gt;"Trench"),AND($AV18="⤴",'Map 4'!AH17="Mountain",'Map 4'!AH18&lt;&gt;"Mountain",'Map 4'!AH18&lt;&gt;"Ocean",'Map 4'!AH18&lt;&gt;"Trench")),CONCATENATE("Rainshadow ",'Map 4'!AH18),'Map 4'!AH18)</f>
        <v>Ocean</v>
      </c>
      <c r="AI18" s="3" t="str">
        <f ca="1">IF(OR(AND($AV18="⤵",'Map 4'!AI19="Mountain",'Map 4'!AI18&lt;&gt;"Mountain",'Map 4'!AI18&lt;&gt;"Ocean",'Map 4'!AI18&lt;&gt;"Trench"),AND($AV18="⤴",'Map 4'!AI17="Mountain",'Map 4'!AI18&lt;&gt;"Mountain",'Map 4'!AI18&lt;&gt;"Ocean",'Map 4'!AI18&lt;&gt;"Trench")),CONCATENATE("Rainshadow ",'Map 4'!AI18),'Map 4'!AI18)</f>
        <v>Ocean</v>
      </c>
      <c r="AJ18" s="3" t="str">
        <f ca="1">IF(OR(AND($AV18="⤵",'Map 4'!AJ19="Mountain",'Map 4'!AJ18&lt;&gt;"Mountain",'Map 4'!AJ18&lt;&gt;"Ocean",'Map 4'!AJ18&lt;&gt;"Trench"),AND($AV18="⤴",'Map 4'!AJ17="Mountain",'Map 4'!AJ18&lt;&gt;"Mountain",'Map 4'!AJ18&lt;&gt;"Ocean",'Map 4'!AJ18&lt;&gt;"Trench")),CONCATENATE("Rainshadow ",'Map 4'!AJ18),'Map 4'!AJ18)</f>
        <v>Ocean</v>
      </c>
      <c r="AK18" s="3" t="str">
        <f ca="1">IF(OR(AND($AV18="⤵",'Map 4'!AK19="Mountain",'Map 4'!AK18&lt;&gt;"Mountain",'Map 4'!AK18&lt;&gt;"Ocean",'Map 4'!AK18&lt;&gt;"Trench"),AND($AV18="⤴",'Map 4'!AK17="Mountain",'Map 4'!AK18&lt;&gt;"Mountain",'Map 4'!AK18&lt;&gt;"Ocean",'Map 4'!AK18&lt;&gt;"Trench")),CONCATENATE("Rainshadow ",'Map 4'!AK18),'Map 4'!AK18)</f>
        <v>Drop Off</v>
      </c>
      <c r="AL18" s="3" t="str">
        <f ca="1">IF(OR(AND($AV18="⤵",'Map 4'!AL19="Mountain",'Map 4'!AL18&lt;&gt;"Mountain",'Map 4'!AL18&lt;&gt;"Ocean",'Map 4'!AL18&lt;&gt;"Trench"),AND($AV18="⤴",'Map 4'!AL17="Mountain",'Map 4'!AL18&lt;&gt;"Mountain",'Map 4'!AL18&lt;&gt;"Ocean",'Map 4'!AL18&lt;&gt;"Trench")),CONCATENATE("Rainshadow ",'Map 4'!AL18),'Map 4'!AL18)</f>
        <v>Island</v>
      </c>
      <c r="AM18" s="3" t="str">
        <f ca="1">IF(OR(AND($AV18="⤵",'Map 4'!AM19="Mountain",'Map 4'!AM18&lt;&gt;"Mountain",'Map 4'!AM18&lt;&gt;"Ocean",'Map 4'!AM18&lt;&gt;"Trench"),AND($AV18="⤴",'Map 4'!AM17="Mountain",'Map 4'!AM18&lt;&gt;"Mountain",'Map 4'!AM18&lt;&gt;"Ocean",'Map 4'!AM18&lt;&gt;"Trench")),CONCATENATE("Rainshadow ",'Map 4'!AM18),'Map 4'!AM18)</f>
        <v>Ocean</v>
      </c>
      <c r="AN18" s="3" t="str">
        <f ca="1">IF(OR(AND($AV18="⤵",'Map 4'!AN19="Mountain",'Map 4'!AN18&lt;&gt;"Mountain",'Map 4'!AN18&lt;&gt;"Ocean",'Map 4'!AN18&lt;&gt;"Trench"),AND($AV18="⤴",'Map 4'!AN17="Mountain",'Map 4'!AN18&lt;&gt;"Mountain",'Map 4'!AN18&lt;&gt;"Ocean",'Map 4'!AN18&lt;&gt;"Trench")),CONCATENATE("Rainshadow ",'Map 4'!AN18),'Map 4'!AN18)</f>
        <v>Flatland</v>
      </c>
      <c r="AO18" s="3" t="str">
        <f ca="1">IF(OR(AND($AV18="⤵",'Map 4'!AO19="Mountain",'Map 4'!AO18&lt;&gt;"Mountain",'Map 4'!AO18&lt;&gt;"Ocean",'Map 4'!AO18&lt;&gt;"Trench"),AND($AV18="⤴",'Map 4'!AO17="Mountain",'Map 4'!AO18&lt;&gt;"Mountain",'Map 4'!AO18&lt;&gt;"Ocean",'Map 4'!AO18&lt;&gt;"Trench")),CONCATENATE("Rainshadow ",'Map 4'!AO18),'Map 4'!AO18)</f>
        <v>Coast</v>
      </c>
      <c r="AP18" s="3">
        <f t="shared" si="1"/>
        <v>14.45</v>
      </c>
      <c r="AQ18" s="3">
        <f t="shared" si="2"/>
        <v>58.01</v>
      </c>
      <c r="AR18" s="3"/>
      <c r="AS18" s="3">
        <f t="shared" si="3"/>
        <v>287.60000000000014</v>
      </c>
      <c r="AT18" s="41">
        <v>54</v>
      </c>
      <c r="AU18" s="41" t="str" cm="1">
        <f t="array" ref="AU18">_xlfn.IFS(AND(IF(AP18&lt;25,"Cold","Hot")="Cold",IF(AW18&gt;=0.5,"High","Low")="Low"),"Tundra",AND(IF(AP18&lt;25,"Cold","Hot")="Cold",IF(AW18&gt;=0.5,"High","Low")="High"),"Forest",AND(IF(AP18&lt;25,"Cold","Hot")="Hot",IF(AW18&gt;=0.5,"High","Low")="Low"),"Desert",AND(IF(AP18&lt;25,"Cold","Hot")="Hot",IF(AW18&gt;=0.5,"High","Low")="High"),"Rainforest")</f>
        <v>Forest</v>
      </c>
      <c r="AV18" s="41" t="str" cm="1">
        <f t="array" ref="AV18">_xlfn.IFS(AT18&lt;-90,"⤴",AND(AT18&gt;=-90,AT18&lt;-60),"⤴",AND(AT18&gt;=-60,AT18&lt;-30),"⤵",AND(AT18&gt;=-30,AT18&lt;0),"⤴",AND(AT18&gt;=0,AT18&lt;30),"⤵",AND(AT18&gt;=30,AT18&lt;60),"⤴",AT18&gt;=60,"⤵")</f>
        <v>⤴</v>
      </c>
      <c r="AW18" s="41">
        <f t="shared" si="4"/>
        <v>0.72</v>
      </c>
    </row>
    <row r="19" spans="1:49" ht="15" customHeight="1">
      <c r="A19" s="3">
        <v>10</v>
      </c>
      <c r="B19" s="3" t="str">
        <f ca="1">IF(OR(AND($AV19="⤵",'Map 4'!B20="Mountain",'Map 4'!B19&lt;&gt;"Mountain",'Map 4'!B19&lt;&gt;"Ocean",'Map 4'!B19&lt;&gt;"Trench"),AND($AV19="⤴",'Map 4'!B18="Mountain",'Map 4'!B19&lt;&gt;"Mountain",'Map 4'!B19&lt;&gt;"Ocean",'Map 4'!B19&lt;&gt;"Trench")),CONCATENATE("Rainshadow ",'Map 4'!B19),'Map 4'!B19)</f>
        <v>Ocean</v>
      </c>
      <c r="C19" s="3" t="str">
        <f ca="1">IF(OR(AND($AV19="⤵",'Map 4'!C20="Mountain",'Map 4'!C19&lt;&gt;"Mountain",'Map 4'!C19&lt;&gt;"Ocean",'Map 4'!C19&lt;&gt;"Trench"),AND($AV19="⤴",'Map 4'!C18="Mountain",'Map 4'!C19&lt;&gt;"Mountain",'Map 4'!C19&lt;&gt;"Ocean",'Map 4'!C19&lt;&gt;"Trench")),CONCATENATE("Rainshadow ",'Map 4'!C19),'Map 4'!C19)</f>
        <v>Ocean</v>
      </c>
      <c r="D19" s="3" t="str">
        <f ca="1">IF(OR(AND($AV19="⤵",'Map 4'!D20="Mountain",'Map 4'!D19&lt;&gt;"Mountain",'Map 4'!D19&lt;&gt;"Ocean",'Map 4'!D19&lt;&gt;"Trench"),AND($AV19="⤴",'Map 4'!D18="Mountain",'Map 4'!D19&lt;&gt;"Mountain",'Map 4'!D19&lt;&gt;"Ocean",'Map 4'!D19&lt;&gt;"Trench")),CONCATENATE("Rainshadow ",'Map 4'!D19),'Map 4'!D19)</f>
        <v>Ocean</v>
      </c>
      <c r="E19" s="3" t="str">
        <f ca="1">IF(OR(AND($AV19="⤵",'Map 4'!E20="Mountain",'Map 4'!E19&lt;&gt;"Mountain",'Map 4'!E19&lt;&gt;"Ocean",'Map 4'!E19&lt;&gt;"Trench"),AND($AV19="⤴",'Map 4'!E18="Mountain",'Map 4'!E19&lt;&gt;"Mountain",'Map 4'!E19&lt;&gt;"Ocean",'Map 4'!E19&lt;&gt;"Trench")),CONCATENATE("Rainshadow ",'Map 4'!E19),'Map 4'!E19)</f>
        <v>Ocean</v>
      </c>
      <c r="F19" s="3" t="str">
        <f ca="1">IF(OR(AND($AV19="⤵",'Map 4'!F20="Mountain",'Map 4'!F19&lt;&gt;"Mountain",'Map 4'!F19&lt;&gt;"Ocean",'Map 4'!F19&lt;&gt;"Trench"),AND($AV19="⤴",'Map 4'!F18="Mountain",'Map 4'!F19&lt;&gt;"Mountain",'Map 4'!F19&lt;&gt;"Ocean",'Map 4'!F19&lt;&gt;"Trench")),CONCATENATE("Rainshadow ",'Map 4'!F19),'Map 4'!F19)</f>
        <v>Ocean</v>
      </c>
      <c r="G19" s="3" t="str">
        <f ca="1">IF(OR(AND($AV19="⤵",'Map 4'!G20="Mountain",'Map 4'!G19&lt;&gt;"Mountain",'Map 4'!G19&lt;&gt;"Ocean",'Map 4'!G19&lt;&gt;"Trench"),AND($AV19="⤴",'Map 4'!G18="Mountain",'Map 4'!G19&lt;&gt;"Mountain",'Map 4'!G19&lt;&gt;"Ocean",'Map 4'!G19&lt;&gt;"Trench")),CONCATENATE("Rainshadow ",'Map 4'!G19),'Map 4'!G19)</f>
        <v>Island</v>
      </c>
      <c r="H19" s="3" t="str">
        <f ca="1">IF(OR(AND($AV19="⤵",'Map 4'!H20="Mountain",'Map 4'!H19&lt;&gt;"Mountain",'Map 4'!H19&lt;&gt;"Ocean",'Map 4'!H19&lt;&gt;"Trench"),AND($AV19="⤴",'Map 4'!H18="Mountain",'Map 4'!H19&lt;&gt;"Mountain",'Map 4'!H19&lt;&gt;"Ocean",'Map 4'!H19&lt;&gt;"Trench")),CONCATENATE("Rainshadow ",'Map 4'!H19),'Map 4'!H19)</f>
        <v>Island</v>
      </c>
      <c r="I19" s="3" t="str">
        <f ca="1">IF(OR(AND($AV19="⤵",'Map 4'!I20="Mountain",'Map 4'!I19&lt;&gt;"Mountain",'Map 4'!I19&lt;&gt;"Ocean",'Map 4'!I19&lt;&gt;"Trench"),AND($AV19="⤴",'Map 4'!I18="Mountain",'Map 4'!I19&lt;&gt;"Mountain",'Map 4'!I19&lt;&gt;"Ocean",'Map 4'!I19&lt;&gt;"Trench")),CONCATENATE("Rainshadow ",'Map 4'!I19),'Map 4'!I19)</f>
        <v>Trench</v>
      </c>
      <c r="J19" s="3" t="str">
        <f ca="1">IF(OR(AND($AV19="⤵",'Map 4'!J20="Mountain",'Map 4'!J19&lt;&gt;"Mountain",'Map 4'!J19&lt;&gt;"Ocean",'Map 4'!J19&lt;&gt;"Trench"),AND($AV19="⤴",'Map 4'!J18="Mountain",'Map 4'!J19&lt;&gt;"Mountain",'Map 4'!J19&lt;&gt;"Ocean",'Map 4'!J19&lt;&gt;"Trench")),CONCATENATE("Rainshadow ",'Map 4'!J19),'Map 4'!J19)</f>
        <v>Island</v>
      </c>
      <c r="K19" s="3" t="str">
        <f ca="1">IF(OR(AND($AV19="⤵",'Map 4'!K20="Mountain",'Map 4'!K19&lt;&gt;"Mountain",'Map 4'!K19&lt;&gt;"Ocean",'Map 4'!K19&lt;&gt;"Trench"),AND($AV19="⤴",'Map 4'!K18="Mountain",'Map 4'!K19&lt;&gt;"Mountain",'Map 4'!K19&lt;&gt;"Ocean",'Map 4'!K19&lt;&gt;"Trench")),CONCATENATE("Rainshadow ",'Map 4'!K19),'Map 4'!K19)</f>
        <v>Ocean</v>
      </c>
      <c r="L19" s="3" t="str">
        <f ca="1">IF(OR(AND($AV19="⤵",'Map 4'!L20="Mountain",'Map 4'!L19&lt;&gt;"Mountain",'Map 4'!L19&lt;&gt;"Ocean",'Map 4'!L19&lt;&gt;"Trench"),AND($AV19="⤴",'Map 4'!L18="Mountain",'Map 4'!L19&lt;&gt;"Mountain",'Map 4'!L19&lt;&gt;"Ocean",'Map 4'!L19&lt;&gt;"Trench")),CONCATENATE("Rainshadow ",'Map 4'!L19),'Map 4'!L19)</f>
        <v>Trench</v>
      </c>
      <c r="M19" s="3" t="str">
        <f ca="1">IF(OR(AND($AV19="⤵",'Map 4'!M20="Mountain",'Map 4'!M19&lt;&gt;"Mountain",'Map 4'!M19&lt;&gt;"Ocean",'Map 4'!M19&lt;&gt;"Trench"),AND($AV19="⤴",'Map 4'!M18="Mountain",'Map 4'!M19&lt;&gt;"Mountain",'Map 4'!M19&lt;&gt;"Ocean",'Map 4'!M19&lt;&gt;"Trench")),CONCATENATE("Rainshadow ",'Map 4'!M19),'Map 4'!M19)</f>
        <v>Ocean</v>
      </c>
      <c r="N19" s="3" t="str">
        <f ca="1">IF(OR(AND($AV19="⤵",'Map 4'!N20="Mountain",'Map 4'!N19&lt;&gt;"Mountain",'Map 4'!N19&lt;&gt;"Ocean",'Map 4'!N19&lt;&gt;"Trench"),AND($AV19="⤴",'Map 4'!N18="Mountain",'Map 4'!N19&lt;&gt;"Mountain",'Map 4'!N19&lt;&gt;"Ocean",'Map 4'!N19&lt;&gt;"Trench")),CONCATENATE("Rainshadow ",'Map 4'!N19),'Map 4'!N19)</f>
        <v>Coast</v>
      </c>
      <c r="O19" s="3" t="str">
        <f ca="1">IF(OR(AND($AV19="⤵",'Map 4'!O20="Mountain",'Map 4'!O19&lt;&gt;"Mountain",'Map 4'!O19&lt;&gt;"Ocean",'Map 4'!O19&lt;&gt;"Trench"),AND($AV19="⤴",'Map 4'!O18="Mountain",'Map 4'!O19&lt;&gt;"Mountain",'Map 4'!O19&lt;&gt;"Ocean",'Map 4'!O19&lt;&gt;"Trench")),CONCATENATE("Rainshadow ",'Map 4'!O19),'Map 4'!O19)</f>
        <v>Valley</v>
      </c>
      <c r="P19" s="3" t="str">
        <f ca="1">IF(OR(AND($AV19="⤵",'Map 4'!P20="Mountain",'Map 4'!P19&lt;&gt;"Mountain",'Map 4'!P19&lt;&gt;"Ocean",'Map 4'!P19&lt;&gt;"Trench"),AND($AV19="⤴",'Map 4'!P18="Mountain",'Map 4'!P19&lt;&gt;"Mountain",'Map 4'!P19&lt;&gt;"Ocean",'Map 4'!P19&lt;&gt;"Trench")),CONCATENATE("Rainshadow ",'Map 4'!P19),'Map 4'!P19)</f>
        <v>Flatland</v>
      </c>
      <c r="Q19" s="3" t="str">
        <f ca="1">IF(OR(AND($AV19="⤵",'Map 4'!Q20="Mountain",'Map 4'!Q19&lt;&gt;"Mountain",'Map 4'!Q19&lt;&gt;"Ocean",'Map 4'!Q19&lt;&gt;"Trench"),AND($AV19="⤴",'Map 4'!Q18="Mountain",'Map 4'!Q19&lt;&gt;"Mountain",'Map 4'!Q19&lt;&gt;"Ocean",'Map 4'!Q19&lt;&gt;"Trench")),CONCATENATE("Rainshadow ",'Map 4'!Q19),'Map 4'!Q19)</f>
        <v>Flatland</v>
      </c>
      <c r="R19" s="3" t="str">
        <f ca="1">IF(OR(AND($AV19="⤵",'Map 4'!R20="Mountain",'Map 4'!R19&lt;&gt;"Mountain",'Map 4'!R19&lt;&gt;"Ocean",'Map 4'!R19&lt;&gt;"Trench"),AND($AV19="⤴",'Map 4'!R18="Mountain",'Map 4'!R19&lt;&gt;"Mountain",'Map 4'!R19&lt;&gt;"Ocean",'Map 4'!R19&lt;&gt;"Trench")),CONCATENATE("Rainshadow ",'Map 4'!R19),'Map 4'!R19)</f>
        <v>Coast</v>
      </c>
      <c r="S19" s="3" t="str">
        <f ca="1">IF(OR(AND($AV19="⤵",'Map 4'!S20="Mountain",'Map 4'!S19&lt;&gt;"Mountain",'Map 4'!S19&lt;&gt;"Ocean",'Map 4'!S19&lt;&gt;"Trench"),AND($AV19="⤴",'Map 4'!S18="Mountain",'Map 4'!S19&lt;&gt;"Mountain",'Map 4'!S19&lt;&gt;"Ocean",'Map 4'!S19&lt;&gt;"Trench")),CONCATENATE("Rainshadow ",'Map 4'!S19),'Map 4'!S19)</f>
        <v>Ocean</v>
      </c>
      <c r="T19" s="3" t="str">
        <f ca="1">IF(OR(AND($AV19="⤵",'Map 4'!T20="Mountain",'Map 4'!T19&lt;&gt;"Mountain",'Map 4'!T19&lt;&gt;"Ocean",'Map 4'!T19&lt;&gt;"Trench"),AND($AV19="⤴",'Map 4'!T18="Mountain",'Map 4'!T19&lt;&gt;"Mountain",'Map 4'!T19&lt;&gt;"Ocean",'Map 4'!T19&lt;&gt;"Trench")),CONCATENATE("Rainshadow ",'Map 4'!T19),'Map 4'!T19)</f>
        <v>Ocean</v>
      </c>
      <c r="U19" s="3" t="str">
        <f ca="1">IF(OR(AND($AV19="⤵",'Map 4'!U20="Mountain",'Map 4'!U19&lt;&gt;"Mountain",'Map 4'!U19&lt;&gt;"Ocean",'Map 4'!U19&lt;&gt;"Trench"),AND($AV19="⤴",'Map 4'!U18="Mountain",'Map 4'!U19&lt;&gt;"Mountain",'Map 4'!U19&lt;&gt;"Ocean",'Map 4'!U19&lt;&gt;"Trench")),CONCATENATE("Rainshadow ",'Map 4'!U19),'Map 4'!U19)</f>
        <v>Ocean</v>
      </c>
      <c r="V19" s="3" t="str">
        <f ca="1">IF(OR(AND($AV19="⤵",'Map 4'!V20="Mountain",'Map 4'!V19&lt;&gt;"Mountain",'Map 4'!V19&lt;&gt;"Ocean",'Map 4'!V19&lt;&gt;"Trench"),AND($AV19="⤴",'Map 4'!V18="Mountain",'Map 4'!V19&lt;&gt;"Mountain",'Map 4'!V19&lt;&gt;"Ocean",'Map 4'!V19&lt;&gt;"Trench")),CONCATENATE("Rainshadow ",'Map 4'!V19),'Map 4'!V19)</f>
        <v>Ocean</v>
      </c>
      <c r="W19" s="3" t="str">
        <f ca="1">IF(OR(AND($AV19="⤵",'Map 4'!W20="Mountain",'Map 4'!W19&lt;&gt;"Mountain",'Map 4'!W19&lt;&gt;"Ocean",'Map 4'!W19&lt;&gt;"Trench"),AND($AV19="⤴",'Map 4'!W18="Mountain",'Map 4'!W19&lt;&gt;"Mountain",'Map 4'!W19&lt;&gt;"Ocean",'Map 4'!W19&lt;&gt;"Trench")),CONCATENATE("Rainshadow ",'Map 4'!W19),'Map 4'!W19)</f>
        <v>Ocean</v>
      </c>
      <c r="X19" s="3" t="str">
        <f ca="1">IF(OR(AND($AV19="⤵",'Map 4'!X20="Mountain",'Map 4'!X19&lt;&gt;"Mountain",'Map 4'!X19&lt;&gt;"Ocean",'Map 4'!X19&lt;&gt;"Trench"),AND($AV19="⤴",'Map 4'!X18="Mountain",'Map 4'!X19&lt;&gt;"Mountain",'Map 4'!X19&lt;&gt;"Ocean",'Map 4'!X19&lt;&gt;"Trench")),CONCATENATE("Rainshadow ",'Map 4'!X19),'Map 4'!X19)</f>
        <v>Trench</v>
      </c>
      <c r="Y19" s="3" t="str">
        <f ca="1">IF(OR(AND($AV19="⤵",'Map 4'!Y20="Mountain",'Map 4'!Y19&lt;&gt;"Mountain",'Map 4'!Y19&lt;&gt;"Ocean",'Map 4'!Y19&lt;&gt;"Trench"),AND($AV19="⤴",'Map 4'!Y18="Mountain",'Map 4'!Y19&lt;&gt;"Mountain",'Map 4'!Y19&lt;&gt;"Ocean",'Map 4'!Y19&lt;&gt;"Trench")),CONCATENATE("Rainshadow ",'Map 4'!Y19),'Map 4'!Y19)</f>
        <v>Ocean</v>
      </c>
      <c r="Z19" s="3" t="str">
        <f ca="1">IF(OR(AND($AV19="⤵",'Map 4'!Z20="Mountain",'Map 4'!Z19&lt;&gt;"Mountain",'Map 4'!Z19&lt;&gt;"Ocean",'Map 4'!Z19&lt;&gt;"Trench"),AND($AV19="⤴",'Map 4'!Z18="Mountain",'Map 4'!Z19&lt;&gt;"Mountain",'Map 4'!Z19&lt;&gt;"Ocean",'Map 4'!Z19&lt;&gt;"Trench")),CONCATENATE("Rainshadow ",'Map 4'!Z19),'Map 4'!Z19)</f>
        <v>Coast</v>
      </c>
      <c r="AA19" s="3" t="str">
        <f ca="1">IF(OR(AND($AV19="⤵",'Map 4'!AA20="Mountain",'Map 4'!AA19&lt;&gt;"Mountain",'Map 4'!AA19&lt;&gt;"Ocean",'Map 4'!AA19&lt;&gt;"Trench"),AND($AV19="⤴",'Map 4'!AA18="Mountain",'Map 4'!AA19&lt;&gt;"Mountain",'Map 4'!AA19&lt;&gt;"Ocean",'Map 4'!AA19&lt;&gt;"Trench")),CONCATENATE("Rainshadow ",'Map 4'!AA19),'Map 4'!AA19)</f>
        <v>Mountain</v>
      </c>
      <c r="AB19" s="3" t="str">
        <f ca="1">IF(OR(AND($AV19="⤵",'Map 4'!AB20="Mountain",'Map 4'!AB19&lt;&gt;"Mountain",'Map 4'!AB19&lt;&gt;"Ocean",'Map 4'!AB19&lt;&gt;"Trench"),AND($AV19="⤴",'Map 4'!AB18="Mountain",'Map 4'!AB19&lt;&gt;"Mountain",'Map 4'!AB19&lt;&gt;"Ocean",'Map 4'!AB19&lt;&gt;"Trench")),CONCATENATE("Rainshadow ",'Map 4'!AB19),'Map 4'!AB19)</f>
        <v>Mountain</v>
      </c>
      <c r="AC19" s="3" t="str">
        <f ca="1">IF(OR(AND($AV19="⤵",'Map 4'!AC20="Mountain",'Map 4'!AC19&lt;&gt;"Mountain",'Map 4'!AC19&lt;&gt;"Ocean",'Map 4'!AC19&lt;&gt;"Trench"),AND($AV19="⤴",'Map 4'!AC18="Mountain",'Map 4'!AC19&lt;&gt;"Mountain",'Map 4'!AC19&lt;&gt;"Ocean",'Map 4'!AC19&lt;&gt;"Trench")),CONCATENATE("Rainshadow ",'Map 4'!AC19),'Map 4'!AC19)</f>
        <v>Valley</v>
      </c>
      <c r="AD19" s="3" t="str">
        <f ca="1">IF(OR(AND($AV19="⤵",'Map 4'!AD20="Mountain",'Map 4'!AD19&lt;&gt;"Mountain",'Map 4'!AD19&lt;&gt;"Ocean",'Map 4'!AD19&lt;&gt;"Trench"),AND($AV19="⤴",'Map 4'!AD18="Mountain",'Map 4'!AD19&lt;&gt;"Mountain",'Map 4'!AD19&lt;&gt;"Ocean",'Map 4'!AD19&lt;&gt;"Trench")),CONCATENATE("Rainshadow ",'Map 4'!AD19),'Map 4'!AD19)</f>
        <v>Coast</v>
      </c>
      <c r="AE19" s="3" t="str">
        <f ca="1">IF(OR(AND($AV19="⤵",'Map 4'!AE20="Mountain",'Map 4'!AE19&lt;&gt;"Mountain",'Map 4'!AE19&lt;&gt;"Ocean",'Map 4'!AE19&lt;&gt;"Trench"),AND($AV19="⤴",'Map 4'!AE18="Mountain",'Map 4'!AE19&lt;&gt;"Mountain",'Map 4'!AE19&lt;&gt;"Ocean",'Map 4'!AE19&lt;&gt;"Trench")),CONCATENATE("Rainshadow ",'Map 4'!AE19),'Map 4'!AE19)</f>
        <v>Ocean</v>
      </c>
      <c r="AF19" s="3" t="str">
        <f ca="1">IF(OR(AND($AV19="⤵",'Map 4'!AF20="Mountain",'Map 4'!AF19&lt;&gt;"Mountain",'Map 4'!AF19&lt;&gt;"Ocean",'Map 4'!AF19&lt;&gt;"Trench"),AND($AV19="⤴",'Map 4'!AF18="Mountain",'Map 4'!AF19&lt;&gt;"Mountain",'Map 4'!AF19&lt;&gt;"Ocean",'Map 4'!AF19&lt;&gt;"Trench")),CONCATENATE("Rainshadow ",'Map 4'!AF19),'Map 4'!AF19)</f>
        <v>Ocean</v>
      </c>
      <c r="AG19" s="3" t="str">
        <f ca="1">IF(OR(AND($AV19="⤵",'Map 4'!AG20="Mountain",'Map 4'!AG19&lt;&gt;"Mountain",'Map 4'!AG19&lt;&gt;"Ocean",'Map 4'!AG19&lt;&gt;"Trench"),AND($AV19="⤴",'Map 4'!AG18="Mountain",'Map 4'!AG19&lt;&gt;"Mountain",'Map 4'!AG19&lt;&gt;"Ocean",'Map 4'!AG19&lt;&gt;"Trench")),CONCATENATE("Rainshadow ",'Map 4'!AG19),'Map 4'!AG19)</f>
        <v>Ocean</v>
      </c>
      <c r="AH19" s="3" t="str">
        <f ca="1">IF(OR(AND($AV19="⤵",'Map 4'!AH20="Mountain",'Map 4'!AH19&lt;&gt;"Mountain",'Map 4'!AH19&lt;&gt;"Ocean",'Map 4'!AH19&lt;&gt;"Trench"),AND($AV19="⤴",'Map 4'!AH18="Mountain",'Map 4'!AH19&lt;&gt;"Mountain",'Map 4'!AH19&lt;&gt;"Ocean",'Map 4'!AH19&lt;&gt;"Trench")),CONCATENATE("Rainshadow ",'Map 4'!AH19),'Map 4'!AH19)</f>
        <v>Trench</v>
      </c>
      <c r="AI19" s="3" t="str">
        <f ca="1">IF(OR(AND($AV19="⤵",'Map 4'!AI20="Mountain",'Map 4'!AI19&lt;&gt;"Mountain",'Map 4'!AI19&lt;&gt;"Ocean",'Map 4'!AI19&lt;&gt;"Trench"),AND($AV19="⤴",'Map 4'!AI18="Mountain",'Map 4'!AI19&lt;&gt;"Mountain",'Map 4'!AI19&lt;&gt;"Ocean",'Map 4'!AI19&lt;&gt;"Trench")),CONCATENATE("Rainshadow ",'Map 4'!AI19),'Map 4'!AI19)</f>
        <v>Ocean</v>
      </c>
      <c r="AJ19" s="3" t="str">
        <f ca="1">IF(OR(AND($AV19="⤵",'Map 4'!AJ20="Mountain",'Map 4'!AJ19&lt;&gt;"Mountain",'Map 4'!AJ19&lt;&gt;"Ocean",'Map 4'!AJ19&lt;&gt;"Trench"),AND($AV19="⤴",'Map 4'!AJ18="Mountain",'Map 4'!AJ19&lt;&gt;"Mountain",'Map 4'!AJ19&lt;&gt;"Ocean",'Map 4'!AJ19&lt;&gt;"Trench")),CONCATENATE("Rainshadow ",'Map 4'!AJ19),'Map 4'!AJ19)</f>
        <v>Ocean</v>
      </c>
      <c r="AK19" s="3" t="str">
        <f ca="1">IF(OR(AND($AV19="⤵",'Map 4'!AK20="Mountain",'Map 4'!AK19&lt;&gt;"Mountain",'Map 4'!AK19&lt;&gt;"Ocean",'Map 4'!AK19&lt;&gt;"Trench"),AND($AV19="⤴",'Map 4'!AK18="Mountain",'Map 4'!AK19&lt;&gt;"Mountain",'Map 4'!AK19&lt;&gt;"Ocean",'Map 4'!AK19&lt;&gt;"Trench")),CONCATENATE("Rainshadow ",'Map 4'!AK19),'Map 4'!AK19)</f>
        <v>Island</v>
      </c>
      <c r="AL19" s="3" t="str">
        <f ca="1">IF(OR(AND($AV19="⤵",'Map 4'!AL20="Mountain",'Map 4'!AL19&lt;&gt;"Mountain",'Map 4'!AL19&lt;&gt;"Ocean",'Map 4'!AL19&lt;&gt;"Trench"),AND($AV19="⤴",'Map 4'!AL18="Mountain",'Map 4'!AL19&lt;&gt;"Mountain",'Map 4'!AL19&lt;&gt;"Ocean",'Map 4'!AL19&lt;&gt;"Trench")),CONCATENATE("Rainshadow ",'Map 4'!AL19),'Map 4'!AL19)</f>
        <v>Ocean</v>
      </c>
      <c r="AM19" s="3" t="str">
        <f ca="1">IF(OR(AND($AV19="⤵",'Map 4'!AM20="Mountain",'Map 4'!AM19&lt;&gt;"Mountain",'Map 4'!AM19&lt;&gt;"Ocean",'Map 4'!AM19&lt;&gt;"Trench"),AND($AV19="⤴",'Map 4'!AM18="Mountain",'Map 4'!AM19&lt;&gt;"Mountain",'Map 4'!AM19&lt;&gt;"Ocean",'Map 4'!AM19&lt;&gt;"Trench")),CONCATENATE("Rainshadow ",'Map 4'!AM19),'Map 4'!AM19)</f>
        <v>Ocean</v>
      </c>
      <c r="AN19" s="3" t="str">
        <f ca="1">IF(OR(AND($AV19="⤵",'Map 4'!AN20="Mountain",'Map 4'!AN19&lt;&gt;"Mountain",'Map 4'!AN19&lt;&gt;"Ocean",'Map 4'!AN19&lt;&gt;"Trench"),AND($AV19="⤴",'Map 4'!AN18="Mountain",'Map 4'!AN19&lt;&gt;"Mountain",'Map 4'!AN19&lt;&gt;"Ocean",'Map 4'!AN19&lt;&gt;"Trench")),CONCATENATE("Rainshadow ",'Map 4'!AN19),'Map 4'!AN19)</f>
        <v>Coast</v>
      </c>
      <c r="AO19" s="3" t="str">
        <f ca="1">IF(OR(AND($AV19="⤵",'Map 4'!AO20="Mountain",'Map 4'!AO19&lt;&gt;"Mountain",'Map 4'!AO19&lt;&gt;"Ocean",'Map 4'!AO19&lt;&gt;"Trench"),AND($AV19="⤴",'Map 4'!AO18="Mountain",'Map 4'!AO19&lt;&gt;"Mountain",'Map 4'!AO19&lt;&gt;"Ocean",'Map 4'!AO19&lt;&gt;"Trench")),CONCATENATE("Rainshadow ",'Map 4'!AO19),'Map 4'!AO19)</f>
        <v>Ocean</v>
      </c>
      <c r="AP19" s="3">
        <f t="shared" si="1"/>
        <v>21.4</v>
      </c>
      <c r="AQ19" s="3">
        <f t="shared" si="2"/>
        <v>70.52</v>
      </c>
      <c r="AR19" s="3"/>
      <c r="AS19" s="3">
        <f t="shared" si="3"/>
        <v>294.55000000000013</v>
      </c>
      <c r="AT19" s="41">
        <v>49.5</v>
      </c>
      <c r="AU19" s="41" t="str" cm="1">
        <f t="array" ref="AU19">_xlfn.IFS(AND(IF(AP19&lt;25,"Cold","Hot")="Cold",IF(AW19&gt;=0.5,"High","Low")="Low"),"Tundra",AND(IF(AP19&lt;25,"Cold","Hot")="Cold",IF(AW19&gt;=0.5,"High","Low")="High"),"Forest",AND(IF(AP19&lt;25,"Cold","Hot")="Hot",IF(AW19&gt;=0.5,"High","Low")="Low"),"Desert",AND(IF(AP19&lt;25,"Cold","Hot")="Hot",IF(AW19&gt;=0.5,"High","Low")="High"),"Rainforest")</f>
        <v>Forest</v>
      </c>
      <c r="AV19" s="41" t="str" cm="1">
        <f t="array" ref="AV19">_xlfn.IFS(AT19&lt;-90,"⤴",AND(AT19&gt;=-90,AT19&lt;-60),"⤴",AND(AT19&gt;=-60,AT19&lt;-30),"⤵",AND(AT19&gt;=-30,AT19&lt;0),"⤴",AND(AT19&gt;=0,AT19&lt;30),"⤵",AND(AT19&gt;=30,AT19&lt;60),"⤴",AT19&gt;=60,"⤵")</f>
        <v>⤴</v>
      </c>
      <c r="AW19" s="41">
        <f t="shared" si="4"/>
        <v>0.57999999999999996</v>
      </c>
    </row>
    <row r="20" spans="1:49" ht="15" customHeight="1">
      <c r="A20" s="3">
        <v>11</v>
      </c>
      <c r="B20" s="3" t="str">
        <f ca="1">IF(OR(AND($AV20="⤵",'Map 4'!B21="Mountain",'Map 4'!B20&lt;&gt;"Mountain",'Map 4'!B20&lt;&gt;"Ocean",'Map 4'!B20&lt;&gt;"Trench"),AND($AV20="⤴",'Map 4'!B19="Mountain",'Map 4'!B20&lt;&gt;"Mountain",'Map 4'!B20&lt;&gt;"Ocean",'Map 4'!B20&lt;&gt;"Trench")),CONCATENATE("Rainshadow ",'Map 4'!B20),'Map 4'!B20)</f>
        <v>Ocean</v>
      </c>
      <c r="C20" s="3" t="str">
        <f ca="1">IF(OR(AND($AV20="⤵",'Map 4'!C21="Mountain",'Map 4'!C20&lt;&gt;"Mountain",'Map 4'!C20&lt;&gt;"Ocean",'Map 4'!C20&lt;&gt;"Trench"),AND($AV20="⤴",'Map 4'!C19="Mountain",'Map 4'!C20&lt;&gt;"Mountain",'Map 4'!C20&lt;&gt;"Ocean",'Map 4'!C20&lt;&gt;"Trench")),CONCATENATE("Rainshadow ",'Map 4'!C20),'Map 4'!C20)</f>
        <v>Ocean</v>
      </c>
      <c r="D20" s="3" t="str">
        <f ca="1">IF(OR(AND($AV20="⤵",'Map 4'!D21="Mountain",'Map 4'!D20&lt;&gt;"Mountain",'Map 4'!D20&lt;&gt;"Ocean",'Map 4'!D20&lt;&gt;"Trench"),AND($AV20="⤴",'Map 4'!D19="Mountain",'Map 4'!D20&lt;&gt;"Mountain",'Map 4'!D20&lt;&gt;"Ocean",'Map 4'!D20&lt;&gt;"Trench")),CONCATENATE("Rainshadow ",'Map 4'!D20),'Map 4'!D20)</f>
        <v>Trench</v>
      </c>
      <c r="E20" s="3" t="str">
        <f ca="1">IF(OR(AND($AV20="⤵",'Map 4'!E21="Mountain",'Map 4'!E20&lt;&gt;"Mountain",'Map 4'!E20&lt;&gt;"Ocean",'Map 4'!E20&lt;&gt;"Trench"),AND($AV20="⤴",'Map 4'!E19="Mountain",'Map 4'!E20&lt;&gt;"Mountain",'Map 4'!E20&lt;&gt;"Ocean",'Map 4'!E20&lt;&gt;"Trench")),CONCATENATE("Rainshadow ",'Map 4'!E20),'Map 4'!E20)</f>
        <v>Ocean</v>
      </c>
      <c r="F20" s="3" t="str">
        <f ca="1">IF(OR(AND($AV20="⤵",'Map 4'!F21="Mountain",'Map 4'!F20&lt;&gt;"Mountain",'Map 4'!F20&lt;&gt;"Ocean",'Map 4'!F20&lt;&gt;"Trench"),AND($AV20="⤴",'Map 4'!F19="Mountain",'Map 4'!F20&lt;&gt;"Mountain",'Map 4'!F20&lt;&gt;"Ocean",'Map 4'!F20&lt;&gt;"Trench")),CONCATENATE("Rainshadow ",'Map 4'!F20),'Map 4'!F20)</f>
        <v>Island</v>
      </c>
      <c r="G20" s="3" t="str">
        <f ca="1">IF(OR(AND($AV20="⤵",'Map 4'!G21="Mountain",'Map 4'!G20&lt;&gt;"Mountain",'Map 4'!G20&lt;&gt;"Ocean",'Map 4'!G20&lt;&gt;"Trench"),AND($AV20="⤴",'Map 4'!G19="Mountain",'Map 4'!G20&lt;&gt;"Mountain",'Map 4'!G20&lt;&gt;"Ocean",'Map 4'!G20&lt;&gt;"Trench")),CONCATENATE("Rainshadow ",'Map 4'!G20),'Map 4'!G20)</f>
        <v>Trench</v>
      </c>
      <c r="H20" s="3" t="str">
        <f ca="1">IF(OR(AND($AV20="⤵",'Map 4'!H21="Mountain",'Map 4'!H20&lt;&gt;"Mountain",'Map 4'!H20&lt;&gt;"Ocean",'Map 4'!H20&lt;&gt;"Trench"),AND($AV20="⤴",'Map 4'!H19="Mountain",'Map 4'!H20&lt;&gt;"Mountain",'Map 4'!H20&lt;&gt;"Ocean",'Map 4'!H20&lt;&gt;"Trench")),CONCATENATE("Rainshadow ",'Map 4'!H20),'Map 4'!H20)</f>
        <v>Island</v>
      </c>
      <c r="I20" s="3" t="str">
        <f ca="1">IF(OR(AND($AV20="⤵",'Map 4'!I21="Mountain",'Map 4'!I20&lt;&gt;"Mountain",'Map 4'!I20&lt;&gt;"Ocean",'Map 4'!I20&lt;&gt;"Trench"),AND($AV20="⤴",'Map 4'!I19="Mountain",'Map 4'!I20&lt;&gt;"Mountain",'Map 4'!I20&lt;&gt;"Ocean",'Map 4'!I20&lt;&gt;"Trench")),CONCATENATE("Rainshadow ",'Map 4'!I20),'Map 4'!I20)</f>
        <v>Island</v>
      </c>
      <c r="J20" s="3" t="str">
        <f ca="1">IF(OR(AND($AV20="⤵",'Map 4'!J21="Mountain",'Map 4'!J20&lt;&gt;"Mountain",'Map 4'!J20&lt;&gt;"Ocean",'Map 4'!J20&lt;&gt;"Trench"),AND($AV20="⤴",'Map 4'!J19="Mountain",'Map 4'!J20&lt;&gt;"Mountain",'Map 4'!J20&lt;&gt;"Ocean",'Map 4'!J20&lt;&gt;"Trench")),CONCATENATE("Rainshadow ",'Map 4'!J20),'Map 4'!J20)</f>
        <v>Trench</v>
      </c>
      <c r="K20" s="3" t="str">
        <f ca="1">IF(OR(AND($AV20="⤵",'Map 4'!K21="Mountain",'Map 4'!K20&lt;&gt;"Mountain",'Map 4'!K20&lt;&gt;"Ocean",'Map 4'!K20&lt;&gt;"Trench"),AND($AV20="⤴",'Map 4'!K19="Mountain",'Map 4'!K20&lt;&gt;"Mountain",'Map 4'!K20&lt;&gt;"Ocean",'Map 4'!K20&lt;&gt;"Trench")),CONCATENATE("Rainshadow ",'Map 4'!K20),'Map 4'!K20)</f>
        <v>Ocean</v>
      </c>
      <c r="L20" s="3" t="str">
        <f ca="1">IF(OR(AND($AV20="⤵",'Map 4'!L21="Mountain",'Map 4'!L20&lt;&gt;"Mountain",'Map 4'!L20&lt;&gt;"Ocean",'Map 4'!L20&lt;&gt;"Trench"),AND($AV20="⤴",'Map 4'!L19="Mountain",'Map 4'!L20&lt;&gt;"Mountain",'Map 4'!L20&lt;&gt;"Ocean",'Map 4'!L20&lt;&gt;"Trench")),CONCATENATE("Rainshadow ",'Map 4'!L20),'Map 4'!L20)</f>
        <v>Ocean</v>
      </c>
      <c r="M20" s="3" t="str">
        <f ca="1">IF(OR(AND($AV20="⤵",'Map 4'!M21="Mountain",'Map 4'!M20&lt;&gt;"Mountain",'Map 4'!M20&lt;&gt;"Ocean",'Map 4'!M20&lt;&gt;"Trench"),AND($AV20="⤴",'Map 4'!M19="Mountain",'Map 4'!M20&lt;&gt;"Mountain",'Map 4'!M20&lt;&gt;"Ocean",'Map 4'!M20&lt;&gt;"Trench")),CONCATENATE("Rainshadow ",'Map 4'!M20),'Map 4'!M20)</f>
        <v>Ocean</v>
      </c>
      <c r="N20" s="3" t="str">
        <f ca="1">IF(OR(AND($AV20="⤵",'Map 4'!N21="Mountain",'Map 4'!N20&lt;&gt;"Mountain",'Map 4'!N20&lt;&gt;"Ocean",'Map 4'!N20&lt;&gt;"Trench"),AND($AV20="⤴",'Map 4'!N19="Mountain",'Map 4'!N20&lt;&gt;"Mountain",'Map 4'!N20&lt;&gt;"Ocean",'Map 4'!N20&lt;&gt;"Trench")),CONCATENATE("Rainshadow ",'Map 4'!N20),'Map 4'!N20)</f>
        <v>Flatland</v>
      </c>
      <c r="O20" s="3" t="str">
        <f ca="1">IF(OR(AND($AV20="⤵",'Map 4'!O21="Mountain",'Map 4'!O20&lt;&gt;"Mountain",'Map 4'!O20&lt;&gt;"Ocean",'Map 4'!O20&lt;&gt;"Trench"),AND($AV20="⤴",'Map 4'!O19="Mountain",'Map 4'!O20&lt;&gt;"Mountain",'Map 4'!O20&lt;&gt;"Ocean",'Map 4'!O20&lt;&gt;"Trench")),CONCATENATE("Rainshadow ",'Map 4'!O20),'Map 4'!O20)</f>
        <v>Flatland</v>
      </c>
      <c r="P20" s="3" t="str">
        <f ca="1">IF(OR(AND($AV20="⤵",'Map 4'!P21="Mountain",'Map 4'!P20&lt;&gt;"Mountain",'Map 4'!P20&lt;&gt;"Ocean",'Map 4'!P20&lt;&gt;"Trench"),AND($AV20="⤴",'Map 4'!P19="Mountain",'Map 4'!P20&lt;&gt;"Mountain",'Map 4'!P20&lt;&gt;"Ocean",'Map 4'!P20&lt;&gt;"Trench")),CONCATENATE("Rainshadow ",'Map 4'!P20),'Map 4'!P20)</f>
        <v>Flatland</v>
      </c>
      <c r="Q20" s="3" t="str">
        <f ca="1">IF(OR(AND($AV20="⤵",'Map 4'!Q21="Mountain",'Map 4'!Q20&lt;&gt;"Mountain",'Map 4'!Q20&lt;&gt;"Ocean",'Map 4'!Q20&lt;&gt;"Trench"),AND($AV20="⤴",'Map 4'!Q19="Mountain",'Map 4'!Q20&lt;&gt;"Mountain",'Map 4'!Q20&lt;&gt;"Ocean",'Map 4'!Q20&lt;&gt;"Trench")),CONCATENATE("Rainshadow ",'Map 4'!Q20),'Map 4'!Q20)</f>
        <v>Valley</v>
      </c>
      <c r="R20" s="3" t="str">
        <f ca="1">IF(OR(AND($AV20="⤵",'Map 4'!R21="Mountain",'Map 4'!R20&lt;&gt;"Mountain",'Map 4'!R20&lt;&gt;"Ocean",'Map 4'!R20&lt;&gt;"Trench"),AND($AV20="⤴",'Map 4'!R19="Mountain",'Map 4'!R20&lt;&gt;"Mountain",'Map 4'!R20&lt;&gt;"Ocean",'Map 4'!R20&lt;&gt;"Trench")),CONCATENATE("Rainshadow ",'Map 4'!R20),'Map 4'!R20)</f>
        <v>Coast</v>
      </c>
      <c r="S20" s="3" t="str">
        <f ca="1">IF(OR(AND($AV20="⤵",'Map 4'!S21="Mountain",'Map 4'!S20&lt;&gt;"Mountain",'Map 4'!S20&lt;&gt;"Ocean",'Map 4'!S20&lt;&gt;"Trench"),AND($AV20="⤴",'Map 4'!S19="Mountain",'Map 4'!S20&lt;&gt;"Mountain",'Map 4'!S20&lt;&gt;"Ocean",'Map 4'!S20&lt;&gt;"Trench")),CONCATENATE("Rainshadow ",'Map 4'!S20),'Map 4'!S20)</f>
        <v>Ocean</v>
      </c>
      <c r="T20" s="3" t="str">
        <f ca="1">IF(OR(AND($AV20="⤵",'Map 4'!T21="Mountain",'Map 4'!T20&lt;&gt;"Mountain",'Map 4'!T20&lt;&gt;"Ocean",'Map 4'!T20&lt;&gt;"Trench"),AND($AV20="⤴",'Map 4'!T19="Mountain",'Map 4'!T20&lt;&gt;"Mountain",'Map 4'!T20&lt;&gt;"Ocean",'Map 4'!T20&lt;&gt;"Trench")),CONCATENATE("Rainshadow ",'Map 4'!T20),'Map 4'!T20)</f>
        <v>Ocean</v>
      </c>
      <c r="U20" s="3" t="str">
        <f ca="1">IF(OR(AND($AV20="⤵",'Map 4'!U21="Mountain",'Map 4'!U20&lt;&gt;"Mountain",'Map 4'!U20&lt;&gt;"Ocean",'Map 4'!U20&lt;&gt;"Trench"),AND($AV20="⤴",'Map 4'!U19="Mountain",'Map 4'!U20&lt;&gt;"Mountain",'Map 4'!U20&lt;&gt;"Ocean",'Map 4'!U20&lt;&gt;"Trench")),CONCATENATE("Rainshadow ",'Map 4'!U20),'Map 4'!U20)</f>
        <v>Ocean</v>
      </c>
      <c r="V20" s="3" t="str">
        <f ca="1">IF(OR(AND($AV20="⤵",'Map 4'!V21="Mountain",'Map 4'!V20&lt;&gt;"Mountain",'Map 4'!V20&lt;&gt;"Ocean",'Map 4'!V20&lt;&gt;"Trench"),AND($AV20="⤴",'Map 4'!V19="Mountain",'Map 4'!V20&lt;&gt;"Mountain",'Map 4'!V20&lt;&gt;"Ocean",'Map 4'!V20&lt;&gt;"Trench")),CONCATENATE("Rainshadow ",'Map 4'!V20),'Map 4'!V20)</f>
        <v>Ocean</v>
      </c>
      <c r="W20" s="3" t="str">
        <f ca="1">IF(OR(AND($AV20="⤵",'Map 4'!W21="Mountain",'Map 4'!W20&lt;&gt;"Mountain",'Map 4'!W20&lt;&gt;"Ocean",'Map 4'!W20&lt;&gt;"Trench"),AND($AV20="⤴",'Map 4'!W19="Mountain",'Map 4'!W20&lt;&gt;"Mountain",'Map 4'!W20&lt;&gt;"Ocean",'Map 4'!W20&lt;&gt;"Trench")),CONCATENATE("Rainshadow ",'Map 4'!W20),'Map 4'!W20)</f>
        <v>Ocean</v>
      </c>
      <c r="X20" s="3" t="str">
        <f ca="1">IF(OR(AND($AV20="⤵",'Map 4'!X21="Mountain",'Map 4'!X20&lt;&gt;"Mountain",'Map 4'!X20&lt;&gt;"Ocean",'Map 4'!X20&lt;&gt;"Trench"),AND($AV20="⤴",'Map 4'!X19="Mountain",'Map 4'!X20&lt;&gt;"Mountain",'Map 4'!X20&lt;&gt;"Ocean",'Map 4'!X20&lt;&gt;"Trench")),CONCATENATE("Rainshadow ",'Map 4'!X20),'Map 4'!X20)</f>
        <v>Ocean</v>
      </c>
      <c r="Y20" s="3" t="str">
        <f ca="1">IF(OR(AND($AV20="⤵",'Map 4'!Y21="Mountain",'Map 4'!Y20&lt;&gt;"Mountain",'Map 4'!Y20&lt;&gt;"Ocean",'Map 4'!Y20&lt;&gt;"Trench"),AND($AV20="⤴",'Map 4'!Y19="Mountain",'Map 4'!Y20&lt;&gt;"Mountain",'Map 4'!Y20&lt;&gt;"Ocean",'Map 4'!Y20&lt;&gt;"Trench")),CONCATENATE("Rainshadow ",'Map 4'!Y20),'Map 4'!Y20)</f>
        <v>Drop Off</v>
      </c>
      <c r="Z20" s="3" t="str">
        <f ca="1">IF(OR(AND($AV20="⤵",'Map 4'!Z21="Mountain",'Map 4'!Z20&lt;&gt;"Mountain",'Map 4'!Z20&lt;&gt;"Ocean",'Map 4'!Z20&lt;&gt;"Trench"),AND($AV20="⤴",'Map 4'!Z19="Mountain",'Map 4'!Z20&lt;&gt;"Mountain",'Map 4'!Z20&lt;&gt;"Ocean",'Map 4'!Z20&lt;&gt;"Trench")),CONCATENATE("Rainshadow ",'Map 4'!Z20),'Map 4'!Z20)</f>
        <v>Flatland</v>
      </c>
      <c r="AA20" s="3" t="str">
        <f ca="1">IF(OR(AND($AV20="⤵",'Map 4'!AA21="Mountain",'Map 4'!AA20&lt;&gt;"Mountain",'Map 4'!AA20&lt;&gt;"Ocean",'Map 4'!AA20&lt;&gt;"Trench"),AND($AV20="⤴",'Map 4'!AA19="Mountain",'Map 4'!AA20&lt;&gt;"Mountain",'Map 4'!AA20&lt;&gt;"Ocean",'Map 4'!AA20&lt;&gt;"Trench")),CONCATENATE("Rainshadow ",'Map 4'!AA20),'Map 4'!AA20)</f>
        <v>Rainshadow Valley</v>
      </c>
      <c r="AB20" s="3" t="str">
        <f ca="1">IF(OR(AND($AV20="⤵",'Map 4'!AB21="Mountain",'Map 4'!AB20&lt;&gt;"Mountain",'Map 4'!AB20&lt;&gt;"Ocean",'Map 4'!AB20&lt;&gt;"Trench"),AND($AV20="⤴",'Map 4'!AB19="Mountain",'Map 4'!AB20&lt;&gt;"Mountain",'Map 4'!AB20&lt;&gt;"Ocean",'Map 4'!AB20&lt;&gt;"Trench")),CONCATENATE("Rainshadow ",'Map 4'!AB20),'Map 4'!AB20)</f>
        <v>Rainshadow Valley</v>
      </c>
      <c r="AC20" s="3" t="str">
        <f ca="1">IF(OR(AND($AV20="⤵",'Map 4'!AC21="Mountain",'Map 4'!AC20&lt;&gt;"Mountain",'Map 4'!AC20&lt;&gt;"Ocean",'Map 4'!AC20&lt;&gt;"Trench"),AND($AV20="⤴",'Map 4'!AC19="Mountain",'Map 4'!AC20&lt;&gt;"Mountain",'Map 4'!AC20&lt;&gt;"Ocean",'Map 4'!AC20&lt;&gt;"Trench")),CONCATENATE("Rainshadow ",'Map 4'!AC20),'Map 4'!AC20)</f>
        <v>Mountain</v>
      </c>
      <c r="AD20" s="3" t="str">
        <f ca="1">IF(OR(AND($AV20="⤵",'Map 4'!AD21="Mountain",'Map 4'!AD20&lt;&gt;"Mountain",'Map 4'!AD20&lt;&gt;"Ocean",'Map 4'!AD20&lt;&gt;"Trench"),AND($AV20="⤴",'Map 4'!AD19="Mountain",'Map 4'!AD20&lt;&gt;"Mountain",'Map 4'!AD20&lt;&gt;"Ocean",'Map 4'!AD20&lt;&gt;"Trench")),CONCATENATE("Rainshadow ",'Map 4'!AD20),'Map 4'!AD20)</f>
        <v>Valley</v>
      </c>
      <c r="AE20" s="3" t="str">
        <f ca="1">IF(OR(AND($AV20="⤵",'Map 4'!AE21="Mountain",'Map 4'!AE20&lt;&gt;"Mountain",'Map 4'!AE20&lt;&gt;"Ocean",'Map 4'!AE20&lt;&gt;"Trench"),AND($AV20="⤴",'Map 4'!AE19="Mountain",'Map 4'!AE20&lt;&gt;"Mountain",'Map 4'!AE20&lt;&gt;"Ocean",'Map 4'!AE20&lt;&gt;"Trench")),CONCATENATE("Rainshadow ",'Map 4'!AE20),'Map 4'!AE20)</f>
        <v>Cliff</v>
      </c>
      <c r="AF20" s="3" t="str">
        <f ca="1">IF(OR(AND($AV20="⤵",'Map 4'!AF21="Mountain",'Map 4'!AF20&lt;&gt;"Mountain",'Map 4'!AF20&lt;&gt;"Ocean",'Map 4'!AF20&lt;&gt;"Trench"),AND($AV20="⤴",'Map 4'!AF19="Mountain",'Map 4'!AF20&lt;&gt;"Mountain",'Map 4'!AF20&lt;&gt;"Ocean",'Map 4'!AF20&lt;&gt;"Trench")),CONCATENATE("Rainshadow ",'Map 4'!AF20),'Map 4'!AF20)</f>
        <v>Trench</v>
      </c>
      <c r="AG20" s="3" t="str">
        <f ca="1">IF(OR(AND($AV20="⤵",'Map 4'!AG21="Mountain",'Map 4'!AG20&lt;&gt;"Mountain",'Map 4'!AG20&lt;&gt;"Ocean",'Map 4'!AG20&lt;&gt;"Trench"),AND($AV20="⤴",'Map 4'!AG19="Mountain",'Map 4'!AG20&lt;&gt;"Mountain",'Map 4'!AG20&lt;&gt;"Ocean",'Map 4'!AG20&lt;&gt;"Trench")),CONCATENATE("Rainshadow ",'Map 4'!AG20),'Map 4'!AG20)</f>
        <v>Ocean</v>
      </c>
      <c r="AH20" s="3" t="str">
        <f ca="1">IF(OR(AND($AV20="⤵",'Map 4'!AH21="Mountain",'Map 4'!AH20&lt;&gt;"Mountain",'Map 4'!AH20&lt;&gt;"Ocean",'Map 4'!AH20&lt;&gt;"Trench"),AND($AV20="⤴",'Map 4'!AH19="Mountain",'Map 4'!AH20&lt;&gt;"Mountain",'Map 4'!AH20&lt;&gt;"Ocean",'Map 4'!AH20&lt;&gt;"Trench")),CONCATENATE("Rainshadow ",'Map 4'!AH20),'Map 4'!AH20)</f>
        <v>Ocean</v>
      </c>
      <c r="AI20" s="3" t="str">
        <f ca="1">IF(OR(AND($AV20="⤵",'Map 4'!AI21="Mountain",'Map 4'!AI20&lt;&gt;"Mountain",'Map 4'!AI20&lt;&gt;"Ocean",'Map 4'!AI20&lt;&gt;"Trench"),AND($AV20="⤴",'Map 4'!AI19="Mountain",'Map 4'!AI20&lt;&gt;"Mountain",'Map 4'!AI20&lt;&gt;"Ocean",'Map 4'!AI20&lt;&gt;"Trench")),CONCATENATE("Rainshadow ",'Map 4'!AI20),'Map 4'!AI20)</f>
        <v>Ocean</v>
      </c>
      <c r="AJ20" s="3" t="str">
        <f ca="1">IF(OR(AND($AV20="⤵",'Map 4'!AJ21="Mountain",'Map 4'!AJ20&lt;&gt;"Mountain",'Map 4'!AJ20&lt;&gt;"Ocean",'Map 4'!AJ20&lt;&gt;"Trench"),AND($AV20="⤴",'Map 4'!AJ19="Mountain",'Map 4'!AJ20&lt;&gt;"Mountain",'Map 4'!AJ20&lt;&gt;"Ocean",'Map 4'!AJ20&lt;&gt;"Trench")),CONCATENATE("Rainshadow ",'Map 4'!AJ20),'Map 4'!AJ20)</f>
        <v>Island</v>
      </c>
      <c r="AK20" s="3" t="str">
        <f ca="1">IF(OR(AND($AV20="⤵",'Map 4'!AK21="Mountain",'Map 4'!AK20&lt;&gt;"Mountain",'Map 4'!AK20&lt;&gt;"Ocean",'Map 4'!AK20&lt;&gt;"Trench"),AND($AV20="⤴",'Map 4'!AK19="Mountain",'Map 4'!AK20&lt;&gt;"Mountain",'Map 4'!AK20&lt;&gt;"Ocean",'Map 4'!AK20&lt;&gt;"Trench")),CONCATENATE("Rainshadow ",'Map 4'!AK20),'Map 4'!AK20)</f>
        <v>Ocean</v>
      </c>
      <c r="AL20" s="3" t="str">
        <f ca="1">IF(OR(AND($AV20="⤵",'Map 4'!AL21="Mountain",'Map 4'!AL20&lt;&gt;"Mountain",'Map 4'!AL20&lt;&gt;"Ocean",'Map 4'!AL20&lt;&gt;"Trench"),AND($AV20="⤴",'Map 4'!AL19="Mountain",'Map 4'!AL20&lt;&gt;"Mountain",'Map 4'!AL20&lt;&gt;"Ocean",'Map 4'!AL20&lt;&gt;"Trench")),CONCATENATE("Rainshadow ",'Map 4'!AL20),'Map 4'!AL20)</f>
        <v>Ocean</v>
      </c>
      <c r="AM20" s="3" t="str">
        <f ca="1">IF(OR(AND($AV20="⤵",'Map 4'!AM21="Mountain",'Map 4'!AM20&lt;&gt;"Mountain",'Map 4'!AM20&lt;&gt;"Ocean",'Map 4'!AM20&lt;&gt;"Trench"),AND($AV20="⤴",'Map 4'!AM19="Mountain",'Map 4'!AM20&lt;&gt;"Mountain",'Map 4'!AM20&lt;&gt;"Ocean",'Map 4'!AM20&lt;&gt;"Trench")),CONCATENATE("Rainshadow ",'Map 4'!AM20),'Map 4'!AM20)</f>
        <v>Ocean</v>
      </c>
      <c r="AN20" s="3" t="str">
        <f ca="1">IF(OR(AND($AV20="⤵",'Map 4'!AN21="Mountain",'Map 4'!AN20&lt;&gt;"Mountain",'Map 4'!AN20&lt;&gt;"Ocean",'Map 4'!AN20&lt;&gt;"Trench"),AND($AV20="⤴",'Map 4'!AN19="Mountain",'Map 4'!AN20&lt;&gt;"Mountain",'Map 4'!AN20&lt;&gt;"Ocean",'Map 4'!AN20&lt;&gt;"Trench")),CONCATENATE("Rainshadow ",'Map 4'!AN20),'Map 4'!AN20)</f>
        <v>Ocean</v>
      </c>
      <c r="AO20" s="3" t="str">
        <f ca="1">IF(OR(AND($AV20="⤵",'Map 4'!AO21="Mountain",'Map 4'!AO20&lt;&gt;"Mountain",'Map 4'!AO20&lt;&gt;"Ocean",'Map 4'!AO20&lt;&gt;"Trench"),AND($AV20="⤴",'Map 4'!AO19="Mountain",'Map 4'!AO20&lt;&gt;"Mountain",'Map 4'!AO20&lt;&gt;"Ocean",'Map 4'!AO20&lt;&gt;"Trench")),CONCATENATE("Rainshadow ",'Map 4'!AO20),'Map 4'!AO20)</f>
        <v>Trench</v>
      </c>
      <c r="AP20" s="3">
        <f t="shared" si="1"/>
        <v>28.35</v>
      </c>
      <c r="AQ20" s="3">
        <f t="shared" si="2"/>
        <v>83.03</v>
      </c>
      <c r="AR20" s="3"/>
      <c r="AS20" s="3">
        <f t="shared" si="3"/>
        <v>301.50000000000011</v>
      </c>
      <c r="AT20" s="41">
        <v>45</v>
      </c>
      <c r="AU20" s="41" t="str" cm="1">
        <f t="array" ref="AU20">_xlfn.IFS(AND(IF(AP20&lt;25,"Cold","Hot")="Cold",IF(AW20&gt;=0.5,"High","Low")="Low"),"Tundra",AND(IF(AP20&lt;25,"Cold","Hot")="Cold",IF(AW20&gt;=0.5,"High","Low")="High"),"Forest",AND(IF(AP20&lt;25,"Cold","Hot")="Hot",IF(AW20&gt;=0.5,"High","Low")="Low"),"Desert",AND(IF(AP20&lt;25,"Cold","Hot")="Hot",IF(AW20&gt;=0.5,"High","Low")="High"),"Rainforest")</f>
        <v>Desert</v>
      </c>
      <c r="AV20" s="41" t="str" cm="1">
        <f t="array" ref="AV20">_xlfn.IFS(AT20&lt;-90,"⤴",AND(AT20&gt;=-90,AT20&lt;-60),"⤴",AND(AT20&gt;=-60,AT20&lt;-30),"⤵",AND(AT20&gt;=-30,AT20&lt;0),"⤴",AND(AT20&gt;=0,AT20&lt;30),"⤵",AND(AT20&gt;=30,AT20&lt;60),"⤴",AT20&gt;=60,"⤵")</f>
        <v>⤴</v>
      </c>
      <c r="AW20" s="41">
        <f t="shared" si="4"/>
        <v>0.43999999999999995</v>
      </c>
    </row>
    <row r="21" spans="1:49" ht="15" customHeight="1">
      <c r="A21" s="3">
        <v>12</v>
      </c>
      <c r="B21" s="3" t="str">
        <f ca="1">IF(OR(AND($AV21="⤵",'Map 4'!B22="Mountain",'Map 4'!B21&lt;&gt;"Mountain",'Map 4'!B21&lt;&gt;"Ocean",'Map 4'!B21&lt;&gt;"Trench"),AND($AV21="⤴",'Map 4'!B20="Mountain",'Map 4'!B21&lt;&gt;"Mountain",'Map 4'!B21&lt;&gt;"Ocean",'Map 4'!B21&lt;&gt;"Trench")),CONCATENATE("Rainshadow ",'Map 4'!B21),'Map 4'!B21)</f>
        <v>Trench</v>
      </c>
      <c r="C21" s="3" t="str">
        <f ca="1">IF(OR(AND($AV21="⤵",'Map 4'!C22="Mountain",'Map 4'!C21&lt;&gt;"Mountain",'Map 4'!C21&lt;&gt;"Ocean",'Map 4'!C21&lt;&gt;"Trench"),AND($AV21="⤴",'Map 4'!C20="Mountain",'Map 4'!C21&lt;&gt;"Mountain",'Map 4'!C21&lt;&gt;"Ocean",'Map 4'!C21&lt;&gt;"Trench")),CONCATENATE("Rainshadow ",'Map 4'!C21),'Map 4'!C21)</f>
        <v>Ocean</v>
      </c>
      <c r="D21" s="3" t="str">
        <f ca="1">IF(OR(AND($AV21="⤵",'Map 4'!D22="Mountain",'Map 4'!D21&lt;&gt;"Mountain",'Map 4'!D21&lt;&gt;"Ocean",'Map 4'!D21&lt;&gt;"Trench"),AND($AV21="⤴",'Map 4'!D20="Mountain",'Map 4'!D21&lt;&gt;"Mountain",'Map 4'!D21&lt;&gt;"Ocean",'Map 4'!D21&lt;&gt;"Trench")),CONCATENATE("Rainshadow ",'Map 4'!D21),'Map 4'!D21)</f>
        <v>Ocean</v>
      </c>
      <c r="E21" s="3" t="str">
        <f ca="1">IF(OR(AND($AV21="⤵",'Map 4'!E22="Mountain",'Map 4'!E21&lt;&gt;"Mountain",'Map 4'!E21&lt;&gt;"Ocean",'Map 4'!E21&lt;&gt;"Trench"),AND($AV21="⤴",'Map 4'!E20="Mountain",'Map 4'!E21&lt;&gt;"Mountain",'Map 4'!E21&lt;&gt;"Ocean",'Map 4'!E21&lt;&gt;"Trench")),CONCATENATE("Rainshadow ",'Map 4'!E21),'Map 4'!E21)</f>
        <v>Ocean</v>
      </c>
      <c r="F21" s="3" t="str">
        <f ca="1">IF(OR(AND($AV21="⤵",'Map 4'!F22="Mountain",'Map 4'!F21&lt;&gt;"Mountain",'Map 4'!F21&lt;&gt;"Ocean",'Map 4'!F21&lt;&gt;"Trench"),AND($AV21="⤴",'Map 4'!F20="Mountain",'Map 4'!F21&lt;&gt;"Mountain",'Map 4'!F21&lt;&gt;"Ocean",'Map 4'!F21&lt;&gt;"Trench")),CONCATENATE("Rainshadow ",'Map 4'!F21),'Map 4'!F21)</f>
        <v>Trench</v>
      </c>
      <c r="G21" s="3" t="str">
        <f ca="1">IF(OR(AND($AV21="⤵",'Map 4'!G22="Mountain",'Map 4'!G21&lt;&gt;"Mountain",'Map 4'!G21&lt;&gt;"Ocean",'Map 4'!G21&lt;&gt;"Trench"),AND($AV21="⤴",'Map 4'!G20="Mountain",'Map 4'!G21&lt;&gt;"Mountain",'Map 4'!G21&lt;&gt;"Ocean",'Map 4'!G21&lt;&gt;"Trench")),CONCATENATE("Rainshadow ",'Map 4'!G21),'Map 4'!G21)</f>
        <v>Island</v>
      </c>
      <c r="H21" s="3" t="str">
        <f ca="1">IF(OR(AND($AV21="⤵",'Map 4'!H22="Mountain",'Map 4'!H21&lt;&gt;"Mountain",'Map 4'!H21&lt;&gt;"Ocean",'Map 4'!H21&lt;&gt;"Trench"),AND($AV21="⤴",'Map 4'!H20="Mountain",'Map 4'!H21&lt;&gt;"Mountain",'Map 4'!H21&lt;&gt;"Ocean",'Map 4'!H21&lt;&gt;"Trench")),CONCATENATE("Rainshadow ",'Map 4'!H21),'Map 4'!H21)</f>
        <v>Ocean</v>
      </c>
      <c r="I21" s="3" t="str">
        <f ca="1">IF(OR(AND($AV21="⤵",'Map 4'!I22="Mountain",'Map 4'!I21&lt;&gt;"Mountain",'Map 4'!I21&lt;&gt;"Ocean",'Map 4'!I21&lt;&gt;"Trench"),AND($AV21="⤴",'Map 4'!I20="Mountain",'Map 4'!I21&lt;&gt;"Mountain",'Map 4'!I21&lt;&gt;"Ocean",'Map 4'!I21&lt;&gt;"Trench")),CONCATENATE("Rainshadow ",'Map 4'!I21),'Map 4'!I21)</f>
        <v>Trench</v>
      </c>
      <c r="J21" s="3" t="str">
        <f ca="1">IF(OR(AND($AV21="⤵",'Map 4'!J22="Mountain",'Map 4'!J21&lt;&gt;"Mountain",'Map 4'!J21&lt;&gt;"Ocean",'Map 4'!J21&lt;&gt;"Trench"),AND($AV21="⤴",'Map 4'!J20="Mountain",'Map 4'!J21&lt;&gt;"Mountain",'Map 4'!J21&lt;&gt;"Ocean",'Map 4'!J21&lt;&gt;"Trench")),CONCATENATE("Rainshadow ",'Map 4'!J21),'Map 4'!J21)</f>
        <v>Ocean</v>
      </c>
      <c r="K21" s="3" t="str">
        <f ca="1">IF(OR(AND($AV21="⤵",'Map 4'!K22="Mountain",'Map 4'!K21&lt;&gt;"Mountain",'Map 4'!K21&lt;&gt;"Ocean",'Map 4'!K21&lt;&gt;"Trench"),AND($AV21="⤴",'Map 4'!K20="Mountain",'Map 4'!K21&lt;&gt;"Mountain",'Map 4'!K21&lt;&gt;"Ocean",'Map 4'!K21&lt;&gt;"Trench")),CONCATENATE("Rainshadow ",'Map 4'!K21),'Map 4'!K21)</f>
        <v>Ocean</v>
      </c>
      <c r="L21" s="3" t="str">
        <f ca="1">IF(OR(AND($AV21="⤵",'Map 4'!L22="Mountain",'Map 4'!L21&lt;&gt;"Mountain",'Map 4'!L21&lt;&gt;"Ocean",'Map 4'!L21&lt;&gt;"Trench"),AND($AV21="⤴",'Map 4'!L20="Mountain",'Map 4'!L21&lt;&gt;"Mountain",'Map 4'!L21&lt;&gt;"Ocean",'Map 4'!L21&lt;&gt;"Trench")),CONCATENATE("Rainshadow ",'Map 4'!L21),'Map 4'!L21)</f>
        <v>Trench</v>
      </c>
      <c r="M21" s="3" t="str">
        <f ca="1">IF(OR(AND($AV21="⤵",'Map 4'!M22="Mountain",'Map 4'!M21&lt;&gt;"Mountain",'Map 4'!M21&lt;&gt;"Ocean",'Map 4'!M21&lt;&gt;"Trench"),AND($AV21="⤴",'Map 4'!M20="Mountain",'Map 4'!M21&lt;&gt;"Mountain",'Map 4'!M21&lt;&gt;"Ocean",'Map 4'!M21&lt;&gt;"Trench")),CONCATENATE("Rainshadow ",'Map 4'!M21),'Map 4'!M21)</f>
        <v>Ocean</v>
      </c>
      <c r="N21" s="3" t="str">
        <f ca="1">IF(OR(AND($AV21="⤵",'Map 4'!N22="Mountain",'Map 4'!N21&lt;&gt;"Mountain",'Map 4'!N21&lt;&gt;"Ocean",'Map 4'!N21&lt;&gt;"Trench"),AND($AV21="⤴",'Map 4'!N20="Mountain",'Map 4'!N21&lt;&gt;"Mountain",'Map 4'!N21&lt;&gt;"Ocean",'Map 4'!N21&lt;&gt;"Trench")),CONCATENATE("Rainshadow ",'Map 4'!N21),'Map 4'!N21)</f>
        <v>Drop Off</v>
      </c>
      <c r="O21" s="3" t="str">
        <f ca="1">IF(OR(AND($AV21="⤵",'Map 4'!O22="Mountain",'Map 4'!O21&lt;&gt;"Mountain",'Map 4'!O21&lt;&gt;"Ocean",'Map 4'!O21&lt;&gt;"Trench"),AND($AV21="⤴",'Map 4'!O20="Mountain",'Map 4'!O21&lt;&gt;"Mountain",'Map 4'!O21&lt;&gt;"Ocean",'Map 4'!O21&lt;&gt;"Trench")),CONCATENATE("Rainshadow ",'Map 4'!O21),'Map 4'!O21)</f>
        <v>Ocean</v>
      </c>
      <c r="P21" s="3" t="str">
        <f ca="1">IF(OR(AND($AV21="⤵",'Map 4'!P22="Mountain",'Map 4'!P21&lt;&gt;"Mountain",'Map 4'!P21&lt;&gt;"Ocean",'Map 4'!P21&lt;&gt;"Trench"),AND($AV21="⤴",'Map 4'!P20="Mountain",'Map 4'!P21&lt;&gt;"Mountain",'Map 4'!P21&lt;&gt;"Ocean",'Map 4'!P21&lt;&gt;"Trench")),CONCATENATE("Rainshadow ",'Map 4'!P21),'Map 4'!P21)</f>
        <v>Ocean</v>
      </c>
      <c r="Q21" s="3" t="str">
        <f ca="1">IF(OR(AND($AV21="⤵",'Map 4'!Q22="Mountain",'Map 4'!Q21&lt;&gt;"Mountain",'Map 4'!Q21&lt;&gt;"Ocean",'Map 4'!Q21&lt;&gt;"Trench"),AND($AV21="⤴",'Map 4'!Q20="Mountain",'Map 4'!Q21&lt;&gt;"Mountain",'Map 4'!Q21&lt;&gt;"Ocean",'Map 4'!Q21&lt;&gt;"Trench")),CONCATENATE("Rainshadow ",'Map 4'!Q21),'Map 4'!Q21)</f>
        <v>Coast</v>
      </c>
      <c r="R21" s="3" t="str">
        <f ca="1">IF(OR(AND($AV21="⤵",'Map 4'!R22="Mountain",'Map 4'!R21&lt;&gt;"Mountain",'Map 4'!R21&lt;&gt;"Ocean",'Map 4'!R21&lt;&gt;"Trench"),AND($AV21="⤴",'Map 4'!R20="Mountain",'Map 4'!R21&lt;&gt;"Mountain",'Map 4'!R21&lt;&gt;"Ocean",'Map 4'!R21&lt;&gt;"Trench")),CONCATENATE("Rainshadow ",'Map 4'!R21),'Map 4'!R21)</f>
        <v>Coast</v>
      </c>
      <c r="S21" s="3" t="str">
        <f ca="1">IF(OR(AND($AV21="⤵",'Map 4'!S22="Mountain",'Map 4'!S21&lt;&gt;"Mountain",'Map 4'!S21&lt;&gt;"Ocean",'Map 4'!S21&lt;&gt;"Trench"),AND($AV21="⤴",'Map 4'!S20="Mountain",'Map 4'!S21&lt;&gt;"Mountain",'Map 4'!S21&lt;&gt;"Ocean",'Map 4'!S21&lt;&gt;"Trench")),CONCATENATE("Rainshadow ",'Map 4'!S21),'Map 4'!S21)</f>
        <v>Ocean</v>
      </c>
      <c r="T21" s="3" t="str">
        <f ca="1">IF(OR(AND($AV21="⤵",'Map 4'!T22="Mountain",'Map 4'!T21&lt;&gt;"Mountain",'Map 4'!T21&lt;&gt;"Ocean",'Map 4'!T21&lt;&gt;"Trench"),AND($AV21="⤴",'Map 4'!T20="Mountain",'Map 4'!T21&lt;&gt;"Mountain",'Map 4'!T21&lt;&gt;"Ocean",'Map 4'!T21&lt;&gt;"Trench")),CONCATENATE("Rainshadow ",'Map 4'!T21),'Map 4'!T21)</f>
        <v>Ocean</v>
      </c>
      <c r="U21" s="3" t="str">
        <f ca="1">IF(OR(AND($AV21="⤵",'Map 4'!U22="Mountain",'Map 4'!U21&lt;&gt;"Mountain",'Map 4'!U21&lt;&gt;"Ocean",'Map 4'!U21&lt;&gt;"Trench"),AND($AV21="⤴",'Map 4'!U20="Mountain",'Map 4'!U21&lt;&gt;"Mountain",'Map 4'!U21&lt;&gt;"Ocean",'Map 4'!U21&lt;&gt;"Trench")),CONCATENATE("Rainshadow ",'Map 4'!U21),'Map 4'!U21)</f>
        <v>Ocean</v>
      </c>
      <c r="V21" s="3" t="str">
        <f ca="1">IF(OR(AND($AV21="⤵",'Map 4'!V22="Mountain",'Map 4'!V21&lt;&gt;"Mountain",'Map 4'!V21&lt;&gt;"Ocean",'Map 4'!V21&lt;&gt;"Trench"),AND($AV21="⤴",'Map 4'!V20="Mountain",'Map 4'!V21&lt;&gt;"Mountain",'Map 4'!V21&lt;&gt;"Ocean",'Map 4'!V21&lt;&gt;"Trench")),CONCATENATE("Rainshadow ",'Map 4'!V21),'Map 4'!V21)</f>
        <v>Trench</v>
      </c>
      <c r="W21" s="3" t="str">
        <f ca="1">IF(OR(AND($AV21="⤵",'Map 4'!W22="Mountain",'Map 4'!W21&lt;&gt;"Mountain",'Map 4'!W21&lt;&gt;"Ocean",'Map 4'!W21&lt;&gt;"Trench"),AND($AV21="⤴",'Map 4'!W20="Mountain",'Map 4'!W21&lt;&gt;"Mountain",'Map 4'!W21&lt;&gt;"Ocean",'Map 4'!W21&lt;&gt;"Trench")),CONCATENATE("Rainshadow ",'Map 4'!W21),'Map 4'!W21)</f>
        <v>Ocean</v>
      </c>
      <c r="X21" s="3" t="str">
        <f ca="1">IF(OR(AND($AV21="⤵",'Map 4'!X22="Mountain",'Map 4'!X21&lt;&gt;"Mountain",'Map 4'!X21&lt;&gt;"Ocean",'Map 4'!X21&lt;&gt;"Trench"),AND($AV21="⤴",'Map 4'!X20="Mountain",'Map 4'!X21&lt;&gt;"Mountain",'Map 4'!X21&lt;&gt;"Ocean",'Map 4'!X21&lt;&gt;"Trench")),CONCATENATE("Rainshadow ",'Map 4'!X21),'Map 4'!X21)</f>
        <v>Ocean</v>
      </c>
      <c r="Y21" s="3" t="str">
        <f ca="1">IF(OR(AND($AV21="⤵",'Map 4'!Y22="Mountain",'Map 4'!Y21&lt;&gt;"Mountain",'Map 4'!Y21&lt;&gt;"Ocean",'Map 4'!Y21&lt;&gt;"Trench"),AND($AV21="⤴",'Map 4'!Y20="Mountain",'Map 4'!Y21&lt;&gt;"Mountain",'Map 4'!Y21&lt;&gt;"Ocean",'Map 4'!Y21&lt;&gt;"Trench")),CONCATENATE("Rainshadow ",'Map 4'!Y21),'Map 4'!Y21)</f>
        <v>Coast</v>
      </c>
      <c r="Z21" s="3" t="str">
        <f ca="1">IF(OR(AND($AV21="⤵",'Map 4'!Z22="Mountain",'Map 4'!Z21&lt;&gt;"Mountain",'Map 4'!Z21&lt;&gt;"Ocean",'Map 4'!Z21&lt;&gt;"Trench"),AND($AV21="⤴",'Map 4'!Z20="Mountain",'Map 4'!Z21&lt;&gt;"Mountain",'Map 4'!Z21&lt;&gt;"Ocean",'Map 4'!Z21&lt;&gt;"Trench")),CONCATENATE("Rainshadow ",'Map 4'!Z21),'Map 4'!Z21)</f>
        <v>Ocean</v>
      </c>
      <c r="AA21" s="3" t="str">
        <f ca="1">IF(OR(AND($AV21="⤵",'Map 4'!AA22="Mountain",'Map 4'!AA21&lt;&gt;"Mountain",'Map 4'!AA21&lt;&gt;"Ocean",'Map 4'!AA21&lt;&gt;"Trench"),AND($AV21="⤴",'Map 4'!AA20="Mountain",'Map 4'!AA21&lt;&gt;"Mountain",'Map 4'!AA21&lt;&gt;"Ocean",'Map 4'!AA21&lt;&gt;"Trench")),CONCATENATE("Rainshadow ",'Map 4'!AA21),'Map 4'!AA21)</f>
        <v>Ocean</v>
      </c>
      <c r="AB21" s="3" t="str">
        <f ca="1">IF(OR(AND($AV21="⤵",'Map 4'!AB22="Mountain",'Map 4'!AB21&lt;&gt;"Mountain",'Map 4'!AB21&lt;&gt;"Ocean",'Map 4'!AB21&lt;&gt;"Trench"),AND($AV21="⤴",'Map 4'!AB20="Mountain",'Map 4'!AB21&lt;&gt;"Mountain",'Map 4'!AB21&lt;&gt;"Ocean",'Map 4'!AB21&lt;&gt;"Trench")),CONCATENATE("Rainshadow ",'Map 4'!AB21),'Map 4'!AB21)</f>
        <v>Ocean</v>
      </c>
      <c r="AC21" s="3" t="str">
        <f ca="1">IF(OR(AND($AV21="⤵",'Map 4'!AC22="Mountain",'Map 4'!AC21&lt;&gt;"Mountain",'Map 4'!AC21&lt;&gt;"Ocean",'Map 4'!AC21&lt;&gt;"Trench"),AND($AV21="⤴",'Map 4'!AC20="Mountain",'Map 4'!AC21&lt;&gt;"Mountain",'Map 4'!AC21&lt;&gt;"Ocean",'Map 4'!AC21&lt;&gt;"Trench")),CONCATENATE("Rainshadow ",'Map 4'!AC21),'Map 4'!AC21)</f>
        <v>Rainshadow Coast</v>
      </c>
      <c r="AD21" s="3" t="str">
        <f ca="1">IF(OR(AND($AV21="⤵",'Map 4'!AD22="Mountain",'Map 4'!AD21&lt;&gt;"Mountain",'Map 4'!AD21&lt;&gt;"Ocean",'Map 4'!AD21&lt;&gt;"Trench"),AND($AV21="⤴",'Map 4'!AD20="Mountain",'Map 4'!AD21&lt;&gt;"Mountain",'Map 4'!AD21&lt;&gt;"Ocean",'Map 4'!AD21&lt;&gt;"Trench")),CONCATENATE("Rainshadow ",'Map 4'!AD21),'Map 4'!AD21)</f>
        <v>Coast</v>
      </c>
      <c r="AE21" s="3" t="str">
        <f ca="1">IF(OR(AND($AV21="⤵",'Map 4'!AE22="Mountain",'Map 4'!AE21&lt;&gt;"Mountain",'Map 4'!AE21&lt;&gt;"Ocean",'Map 4'!AE21&lt;&gt;"Trench"),AND($AV21="⤴",'Map 4'!AE20="Mountain",'Map 4'!AE21&lt;&gt;"Mountain",'Map 4'!AE21&lt;&gt;"Ocean",'Map 4'!AE21&lt;&gt;"Trench")),CONCATENATE("Rainshadow ",'Map 4'!AE21),'Map 4'!AE21)</f>
        <v>Ocean</v>
      </c>
      <c r="AF21" s="3" t="str">
        <f ca="1">IF(OR(AND($AV21="⤵",'Map 4'!AF22="Mountain",'Map 4'!AF21&lt;&gt;"Mountain",'Map 4'!AF21&lt;&gt;"Ocean",'Map 4'!AF21&lt;&gt;"Trench"),AND($AV21="⤴",'Map 4'!AF20="Mountain",'Map 4'!AF21&lt;&gt;"Mountain",'Map 4'!AF21&lt;&gt;"Ocean",'Map 4'!AF21&lt;&gt;"Trench")),CONCATENATE("Rainshadow ",'Map 4'!AF21),'Map 4'!AF21)</f>
        <v>Ocean</v>
      </c>
      <c r="AG21" s="3" t="str">
        <f ca="1">IF(OR(AND($AV21="⤵",'Map 4'!AG22="Mountain",'Map 4'!AG21&lt;&gt;"Mountain",'Map 4'!AG21&lt;&gt;"Ocean",'Map 4'!AG21&lt;&gt;"Trench"),AND($AV21="⤴",'Map 4'!AG20="Mountain",'Map 4'!AG21&lt;&gt;"Mountain",'Map 4'!AG21&lt;&gt;"Ocean",'Map 4'!AG21&lt;&gt;"Trench")),CONCATENATE("Rainshadow ",'Map 4'!AG21),'Map 4'!AG21)</f>
        <v>Ocean</v>
      </c>
      <c r="AH21" s="3" t="str">
        <f ca="1">IF(OR(AND($AV21="⤵",'Map 4'!AH22="Mountain",'Map 4'!AH21&lt;&gt;"Mountain",'Map 4'!AH21&lt;&gt;"Ocean",'Map 4'!AH21&lt;&gt;"Trench"),AND($AV21="⤴",'Map 4'!AH20="Mountain",'Map 4'!AH21&lt;&gt;"Mountain",'Map 4'!AH21&lt;&gt;"Ocean",'Map 4'!AH21&lt;&gt;"Trench")),CONCATENATE("Rainshadow ",'Map 4'!AH21),'Map 4'!AH21)</f>
        <v>Island</v>
      </c>
      <c r="AI21" s="3" t="str">
        <f ca="1">IF(OR(AND($AV21="⤵",'Map 4'!AI22="Mountain",'Map 4'!AI21&lt;&gt;"Mountain",'Map 4'!AI21&lt;&gt;"Ocean",'Map 4'!AI21&lt;&gt;"Trench"),AND($AV21="⤴",'Map 4'!AI20="Mountain",'Map 4'!AI21&lt;&gt;"Mountain",'Map 4'!AI21&lt;&gt;"Ocean",'Map 4'!AI21&lt;&gt;"Trench")),CONCATENATE("Rainshadow ",'Map 4'!AI21),'Map 4'!AI21)</f>
        <v>Ocean</v>
      </c>
      <c r="AJ21" s="3" t="str">
        <f ca="1">IF(OR(AND($AV21="⤵",'Map 4'!AJ22="Mountain",'Map 4'!AJ21&lt;&gt;"Mountain",'Map 4'!AJ21&lt;&gt;"Ocean",'Map 4'!AJ21&lt;&gt;"Trench"),AND($AV21="⤴",'Map 4'!AJ20="Mountain",'Map 4'!AJ21&lt;&gt;"Mountain",'Map 4'!AJ21&lt;&gt;"Ocean",'Map 4'!AJ21&lt;&gt;"Trench")),CONCATENATE("Rainshadow ",'Map 4'!AJ21),'Map 4'!AJ21)</f>
        <v>Ocean</v>
      </c>
      <c r="AK21" s="3" t="str">
        <f ca="1">IF(OR(AND($AV21="⤵",'Map 4'!AK22="Mountain",'Map 4'!AK21&lt;&gt;"Mountain",'Map 4'!AK21&lt;&gt;"Ocean",'Map 4'!AK21&lt;&gt;"Trench"),AND($AV21="⤴",'Map 4'!AK20="Mountain",'Map 4'!AK21&lt;&gt;"Mountain",'Map 4'!AK21&lt;&gt;"Ocean",'Map 4'!AK21&lt;&gt;"Trench")),CONCATENATE("Rainshadow ",'Map 4'!AK21),'Map 4'!AK21)</f>
        <v>Ocean</v>
      </c>
      <c r="AL21" s="3" t="str">
        <f ca="1">IF(OR(AND($AV21="⤵",'Map 4'!AL22="Mountain",'Map 4'!AL21&lt;&gt;"Mountain",'Map 4'!AL21&lt;&gt;"Ocean",'Map 4'!AL21&lt;&gt;"Trench"),AND($AV21="⤴",'Map 4'!AL20="Mountain",'Map 4'!AL21&lt;&gt;"Mountain",'Map 4'!AL21&lt;&gt;"Ocean",'Map 4'!AL21&lt;&gt;"Trench")),CONCATENATE("Rainshadow ",'Map 4'!AL21),'Map 4'!AL21)</f>
        <v>Ocean</v>
      </c>
      <c r="AM21" s="3" t="str">
        <f ca="1">IF(OR(AND($AV21="⤵",'Map 4'!AM22="Mountain",'Map 4'!AM21&lt;&gt;"Mountain",'Map 4'!AM21&lt;&gt;"Ocean",'Map 4'!AM21&lt;&gt;"Trench"),AND($AV21="⤴",'Map 4'!AM20="Mountain",'Map 4'!AM21&lt;&gt;"Mountain",'Map 4'!AM21&lt;&gt;"Ocean",'Map 4'!AM21&lt;&gt;"Trench")),CONCATENATE("Rainshadow ",'Map 4'!AM21),'Map 4'!AM21)</f>
        <v>Ocean</v>
      </c>
      <c r="AN21" s="3" t="str">
        <f ca="1">IF(OR(AND($AV21="⤵",'Map 4'!AN22="Mountain",'Map 4'!AN21&lt;&gt;"Mountain",'Map 4'!AN21&lt;&gt;"Ocean",'Map 4'!AN21&lt;&gt;"Trench"),AND($AV21="⤴",'Map 4'!AN20="Mountain",'Map 4'!AN21&lt;&gt;"Mountain",'Map 4'!AN21&lt;&gt;"Ocean",'Map 4'!AN21&lt;&gt;"Trench")),CONCATENATE("Rainshadow ",'Map 4'!AN21),'Map 4'!AN21)</f>
        <v>Ocean</v>
      </c>
      <c r="AO21" s="3" t="str">
        <f ca="1">IF(OR(AND($AV21="⤵",'Map 4'!AO22="Mountain",'Map 4'!AO21&lt;&gt;"Mountain",'Map 4'!AO21&lt;&gt;"Ocean",'Map 4'!AO21&lt;&gt;"Trench"),AND($AV21="⤴",'Map 4'!AO20="Mountain",'Map 4'!AO21&lt;&gt;"Mountain",'Map 4'!AO21&lt;&gt;"Ocean",'Map 4'!AO21&lt;&gt;"Trench")),CONCATENATE("Rainshadow ",'Map 4'!AO21),'Map 4'!AO21)</f>
        <v>Island</v>
      </c>
      <c r="AP21" s="3">
        <f t="shared" si="1"/>
        <v>35.299999999999997</v>
      </c>
      <c r="AQ21" s="3">
        <f t="shared" si="2"/>
        <v>95.54</v>
      </c>
      <c r="AR21" s="3"/>
      <c r="AS21" s="3">
        <f t="shared" si="3"/>
        <v>308.4500000000001</v>
      </c>
      <c r="AT21" s="41">
        <v>40.5</v>
      </c>
      <c r="AU21" s="41" t="str" cm="1">
        <f t="array" ref="AU21">_xlfn.IFS(AND(IF(AP21&lt;25,"Cold","Hot")="Cold",IF(AW21&gt;=0.5,"High","Low")="Low"),"Tundra",AND(IF(AP21&lt;25,"Cold","Hot")="Cold",IF(AW21&gt;=0.5,"High","Low")="High"),"Forest",AND(IF(AP21&lt;25,"Cold","Hot")="Hot",IF(AW21&gt;=0.5,"High","Low")="Low"),"Desert",AND(IF(AP21&lt;25,"Cold","Hot")="Hot",IF(AW21&gt;=0.5,"High","Low")="High"),"Rainforest")</f>
        <v>Desert</v>
      </c>
      <c r="AV21" s="41" t="str" cm="1">
        <f t="array" ref="AV21">_xlfn.IFS(AT21&lt;-90,"⤴",AND(AT21&gt;=-90,AT21&lt;-60),"⤴",AND(AT21&gt;=-60,AT21&lt;-30),"⤵",AND(AT21&gt;=-30,AT21&lt;0),"⤴",AND(AT21&gt;=0,AT21&lt;30),"⤵",AND(AT21&gt;=30,AT21&lt;60),"⤴",AT21&gt;=60,"⤵")</f>
        <v>⤴</v>
      </c>
      <c r="AW21" s="41">
        <f t="shared" si="4"/>
        <v>0.29999999999999993</v>
      </c>
    </row>
    <row r="22" spans="1:49" ht="15" customHeight="1">
      <c r="A22" s="3">
        <v>13</v>
      </c>
      <c r="B22" s="3" t="str">
        <f ca="1">IF(OR(AND($AV22="⤵",'Map 4'!B23="Mountain",'Map 4'!B22&lt;&gt;"Mountain",'Map 4'!B22&lt;&gt;"Ocean",'Map 4'!B22&lt;&gt;"Trench"),AND($AV22="⤴",'Map 4'!B21="Mountain",'Map 4'!B22&lt;&gt;"Mountain",'Map 4'!B22&lt;&gt;"Ocean",'Map 4'!B22&lt;&gt;"Trench")),CONCATENATE("Rainshadow ",'Map 4'!B22),'Map 4'!B22)</f>
        <v>Ocean</v>
      </c>
      <c r="C22" s="3" t="str">
        <f ca="1">IF(OR(AND($AV22="⤵",'Map 4'!C23="Mountain",'Map 4'!C22&lt;&gt;"Mountain",'Map 4'!C22&lt;&gt;"Ocean",'Map 4'!C22&lt;&gt;"Trench"),AND($AV22="⤴",'Map 4'!C21="Mountain",'Map 4'!C22&lt;&gt;"Mountain",'Map 4'!C22&lt;&gt;"Ocean",'Map 4'!C22&lt;&gt;"Trench")),CONCATENATE("Rainshadow ",'Map 4'!C22),'Map 4'!C22)</f>
        <v>Trench</v>
      </c>
      <c r="D22" s="3" t="str">
        <f ca="1">IF(OR(AND($AV22="⤵",'Map 4'!D23="Mountain",'Map 4'!D22&lt;&gt;"Mountain",'Map 4'!D22&lt;&gt;"Ocean",'Map 4'!D22&lt;&gt;"Trench"),AND($AV22="⤴",'Map 4'!D21="Mountain",'Map 4'!D22&lt;&gt;"Mountain",'Map 4'!D22&lt;&gt;"Ocean",'Map 4'!D22&lt;&gt;"Trench")),CONCATENATE("Rainshadow ",'Map 4'!D22),'Map 4'!D22)</f>
        <v>Ocean</v>
      </c>
      <c r="E22" s="3" t="str">
        <f ca="1">IF(OR(AND($AV22="⤵",'Map 4'!E23="Mountain",'Map 4'!E22&lt;&gt;"Mountain",'Map 4'!E22&lt;&gt;"Ocean",'Map 4'!E22&lt;&gt;"Trench"),AND($AV22="⤴",'Map 4'!E21="Mountain",'Map 4'!E22&lt;&gt;"Mountain",'Map 4'!E22&lt;&gt;"Ocean",'Map 4'!E22&lt;&gt;"Trench")),CONCATENATE("Rainshadow ",'Map 4'!E22),'Map 4'!E22)</f>
        <v>Ocean</v>
      </c>
      <c r="F22" s="3" t="str">
        <f ca="1">IF(OR(AND($AV22="⤵",'Map 4'!F23="Mountain",'Map 4'!F22&lt;&gt;"Mountain",'Map 4'!F22&lt;&gt;"Ocean",'Map 4'!F22&lt;&gt;"Trench"),AND($AV22="⤴",'Map 4'!F21="Mountain",'Map 4'!F22&lt;&gt;"Mountain",'Map 4'!F22&lt;&gt;"Ocean",'Map 4'!F22&lt;&gt;"Trench")),CONCATENATE("Rainshadow ",'Map 4'!F22),'Map 4'!F22)</f>
        <v>Trench</v>
      </c>
      <c r="G22" s="3" t="str">
        <f ca="1">IF(OR(AND($AV22="⤵",'Map 4'!G23="Mountain",'Map 4'!G22&lt;&gt;"Mountain",'Map 4'!G22&lt;&gt;"Ocean",'Map 4'!G22&lt;&gt;"Trench"),AND($AV22="⤴",'Map 4'!G21="Mountain",'Map 4'!G22&lt;&gt;"Mountain",'Map 4'!G22&lt;&gt;"Ocean",'Map 4'!G22&lt;&gt;"Trench")),CONCATENATE("Rainshadow ",'Map 4'!G22),'Map 4'!G22)</f>
        <v>Trench</v>
      </c>
      <c r="H22" s="3" t="str">
        <f ca="1">IF(OR(AND($AV22="⤵",'Map 4'!H23="Mountain",'Map 4'!H22&lt;&gt;"Mountain",'Map 4'!H22&lt;&gt;"Ocean",'Map 4'!H22&lt;&gt;"Trench"),AND($AV22="⤴",'Map 4'!H21="Mountain",'Map 4'!H22&lt;&gt;"Mountain",'Map 4'!H22&lt;&gt;"Ocean",'Map 4'!H22&lt;&gt;"Trench")),CONCATENATE("Rainshadow ",'Map 4'!H22),'Map 4'!H22)</f>
        <v>Island</v>
      </c>
      <c r="I22" s="3" t="str">
        <f ca="1">IF(OR(AND($AV22="⤵",'Map 4'!I23="Mountain",'Map 4'!I22&lt;&gt;"Mountain",'Map 4'!I22&lt;&gt;"Ocean",'Map 4'!I22&lt;&gt;"Trench"),AND($AV22="⤴",'Map 4'!I21="Mountain",'Map 4'!I22&lt;&gt;"Mountain",'Map 4'!I22&lt;&gt;"Ocean",'Map 4'!I22&lt;&gt;"Trench")),CONCATENATE("Rainshadow ",'Map 4'!I22),'Map 4'!I22)</f>
        <v>Ocean</v>
      </c>
      <c r="J22" s="3" t="str">
        <f ca="1">IF(OR(AND($AV22="⤵",'Map 4'!J23="Mountain",'Map 4'!J22&lt;&gt;"Mountain",'Map 4'!J22&lt;&gt;"Ocean",'Map 4'!J22&lt;&gt;"Trench"),AND($AV22="⤴",'Map 4'!J21="Mountain",'Map 4'!J22&lt;&gt;"Mountain",'Map 4'!J22&lt;&gt;"Ocean",'Map 4'!J22&lt;&gt;"Trench")),CONCATENATE("Rainshadow ",'Map 4'!J22),'Map 4'!J22)</f>
        <v>Ocean</v>
      </c>
      <c r="K22" s="3" t="str">
        <f ca="1">IF(OR(AND($AV22="⤵",'Map 4'!K23="Mountain",'Map 4'!K22&lt;&gt;"Mountain",'Map 4'!K22&lt;&gt;"Ocean",'Map 4'!K22&lt;&gt;"Trench"),AND($AV22="⤴",'Map 4'!K21="Mountain",'Map 4'!K22&lt;&gt;"Mountain",'Map 4'!K22&lt;&gt;"Ocean",'Map 4'!K22&lt;&gt;"Trench")),CONCATENATE("Rainshadow ",'Map 4'!K22),'Map 4'!K22)</f>
        <v>Ocean</v>
      </c>
      <c r="L22" s="3" t="str">
        <f ca="1">IF(OR(AND($AV22="⤵",'Map 4'!L23="Mountain",'Map 4'!L22&lt;&gt;"Mountain",'Map 4'!L22&lt;&gt;"Ocean",'Map 4'!L22&lt;&gt;"Trench"),AND($AV22="⤴",'Map 4'!L21="Mountain",'Map 4'!L22&lt;&gt;"Mountain",'Map 4'!L22&lt;&gt;"Ocean",'Map 4'!L22&lt;&gt;"Trench")),CONCATENATE("Rainshadow ",'Map 4'!L22),'Map 4'!L22)</f>
        <v>Ocean</v>
      </c>
      <c r="M22" s="3" t="str">
        <f ca="1">IF(OR(AND($AV22="⤵",'Map 4'!M23="Mountain",'Map 4'!M22&lt;&gt;"Mountain",'Map 4'!M22&lt;&gt;"Ocean",'Map 4'!M22&lt;&gt;"Trench"),AND($AV22="⤴",'Map 4'!M21="Mountain",'Map 4'!M22&lt;&gt;"Mountain",'Map 4'!M22&lt;&gt;"Ocean",'Map 4'!M22&lt;&gt;"Trench")),CONCATENATE("Rainshadow ",'Map 4'!M22),'Map 4'!M22)</f>
        <v>Ocean</v>
      </c>
      <c r="N22" s="3" t="str">
        <f ca="1">IF(OR(AND($AV22="⤵",'Map 4'!N23="Mountain",'Map 4'!N22&lt;&gt;"Mountain",'Map 4'!N22&lt;&gt;"Ocean",'Map 4'!N22&lt;&gt;"Trench"),AND($AV22="⤴",'Map 4'!N21="Mountain",'Map 4'!N22&lt;&gt;"Mountain",'Map 4'!N22&lt;&gt;"Ocean",'Map 4'!N22&lt;&gt;"Trench")),CONCATENATE("Rainshadow ",'Map 4'!N22),'Map 4'!N22)</f>
        <v>Ocean</v>
      </c>
      <c r="O22" s="3" t="str">
        <f ca="1">IF(OR(AND($AV22="⤵",'Map 4'!O23="Mountain",'Map 4'!O22&lt;&gt;"Mountain",'Map 4'!O22&lt;&gt;"Ocean",'Map 4'!O22&lt;&gt;"Trench"),AND($AV22="⤴",'Map 4'!O21="Mountain",'Map 4'!O22&lt;&gt;"Mountain",'Map 4'!O22&lt;&gt;"Ocean",'Map 4'!O22&lt;&gt;"Trench")),CONCATENATE("Rainshadow ",'Map 4'!O22),'Map 4'!O22)</f>
        <v>Coast</v>
      </c>
      <c r="P22" s="3" t="str">
        <f ca="1">IF(OR(AND($AV22="⤵",'Map 4'!P23="Mountain",'Map 4'!P22&lt;&gt;"Mountain",'Map 4'!P22&lt;&gt;"Ocean",'Map 4'!P22&lt;&gt;"Trench"),AND($AV22="⤴",'Map 4'!P21="Mountain",'Map 4'!P22&lt;&gt;"Mountain",'Map 4'!P22&lt;&gt;"Ocean",'Map 4'!P22&lt;&gt;"Trench")),CONCATENATE("Rainshadow ",'Map 4'!P22),'Map 4'!P22)</f>
        <v>Flatland</v>
      </c>
      <c r="Q22" s="3" t="str">
        <f ca="1">IF(OR(AND($AV22="⤵",'Map 4'!Q23="Mountain",'Map 4'!Q22&lt;&gt;"Mountain",'Map 4'!Q22&lt;&gt;"Ocean",'Map 4'!Q22&lt;&gt;"Trench"),AND($AV22="⤴",'Map 4'!Q21="Mountain",'Map 4'!Q22&lt;&gt;"Mountain",'Map 4'!Q22&lt;&gt;"Ocean",'Map 4'!Q22&lt;&gt;"Trench")),CONCATENATE("Rainshadow ",'Map 4'!Q22),'Map 4'!Q22)</f>
        <v>Coast</v>
      </c>
      <c r="R22" s="3" t="str">
        <f ca="1">IF(OR(AND($AV22="⤵",'Map 4'!R23="Mountain",'Map 4'!R22&lt;&gt;"Mountain",'Map 4'!R22&lt;&gt;"Ocean",'Map 4'!R22&lt;&gt;"Trench"),AND($AV22="⤴",'Map 4'!R21="Mountain",'Map 4'!R22&lt;&gt;"Mountain",'Map 4'!R22&lt;&gt;"Ocean",'Map 4'!R22&lt;&gt;"Trench")),CONCATENATE("Rainshadow ",'Map 4'!R22),'Map 4'!R22)</f>
        <v>Coast</v>
      </c>
      <c r="S22" s="3" t="str">
        <f ca="1">IF(OR(AND($AV22="⤵",'Map 4'!S23="Mountain",'Map 4'!S22&lt;&gt;"Mountain",'Map 4'!S22&lt;&gt;"Ocean",'Map 4'!S22&lt;&gt;"Trench"),AND($AV22="⤴",'Map 4'!S21="Mountain",'Map 4'!S22&lt;&gt;"Mountain",'Map 4'!S22&lt;&gt;"Ocean",'Map 4'!S22&lt;&gt;"Trench")),CONCATENATE("Rainshadow ",'Map 4'!S22),'Map 4'!S22)</f>
        <v>Coast</v>
      </c>
      <c r="T22" s="3" t="str">
        <f ca="1">IF(OR(AND($AV22="⤵",'Map 4'!T23="Mountain",'Map 4'!T22&lt;&gt;"Mountain",'Map 4'!T22&lt;&gt;"Ocean",'Map 4'!T22&lt;&gt;"Trench"),AND($AV22="⤴",'Map 4'!T21="Mountain",'Map 4'!T22&lt;&gt;"Mountain",'Map 4'!T22&lt;&gt;"Ocean",'Map 4'!T22&lt;&gt;"Trench")),CONCATENATE("Rainshadow ",'Map 4'!T22),'Map 4'!T22)</f>
        <v>Ocean</v>
      </c>
      <c r="U22" s="3" t="str">
        <f ca="1">IF(OR(AND($AV22="⤵",'Map 4'!U23="Mountain",'Map 4'!U22&lt;&gt;"Mountain",'Map 4'!U22&lt;&gt;"Ocean",'Map 4'!U22&lt;&gt;"Trench"),AND($AV22="⤴",'Map 4'!U21="Mountain",'Map 4'!U22&lt;&gt;"Mountain",'Map 4'!U22&lt;&gt;"Ocean",'Map 4'!U22&lt;&gt;"Trench")),CONCATENATE("Rainshadow ",'Map 4'!U22),'Map 4'!U22)</f>
        <v>Ocean</v>
      </c>
      <c r="V22" s="3" t="str">
        <f ca="1">IF(OR(AND($AV22="⤵",'Map 4'!V23="Mountain",'Map 4'!V22&lt;&gt;"Mountain",'Map 4'!V22&lt;&gt;"Ocean",'Map 4'!V22&lt;&gt;"Trench"),AND($AV22="⤴",'Map 4'!V21="Mountain",'Map 4'!V22&lt;&gt;"Mountain",'Map 4'!V22&lt;&gt;"Ocean",'Map 4'!V22&lt;&gt;"Trench")),CONCATENATE("Rainshadow ",'Map 4'!V22),'Map 4'!V22)</f>
        <v>Island</v>
      </c>
      <c r="W22" s="3" t="str">
        <f ca="1">IF(OR(AND($AV22="⤵",'Map 4'!W23="Mountain",'Map 4'!W22&lt;&gt;"Mountain",'Map 4'!W22&lt;&gt;"Ocean",'Map 4'!W22&lt;&gt;"Trench"),AND($AV22="⤴",'Map 4'!W21="Mountain",'Map 4'!W22&lt;&gt;"Mountain",'Map 4'!W22&lt;&gt;"Ocean",'Map 4'!W22&lt;&gt;"Trench")),CONCATENATE("Rainshadow ",'Map 4'!W22),'Map 4'!W22)</f>
        <v>Coast</v>
      </c>
      <c r="X22" s="3" t="str">
        <f ca="1">IF(OR(AND($AV22="⤵",'Map 4'!X23="Mountain",'Map 4'!X22&lt;&gt;"Mountain",'Map 4'!X22&lt;&gt;"Ocean",'Map 4'!X22&lt;&gt;"Trench"),AND($AV22="⤴",'Map 4'!X21="Mountain",'Map 4'!X22&lt;&gt;"Mountain",'Map 4'!X22&lt;&gt;"Ocean",'Map 4'!X22&lt;&gt;"Trench")),CONCATENATE("Rainshadow ",'Map 4'!X22),'Map 4'!X22)</f>
        <v>Coast</v>
      </c>
      <c r="Y22" s="3" t="str">
        <f ca="1">IF(OR(AND($AV22="⤵",'Map 4'!Y23="Mountain",'Map 4'!Y22&lt;&gt;"Mountain",'Map 4'!Y22&lt;&gt;"Ocean",'Map 4'!Y22&lt;&gt;"Trench"),AND($AV22="⤴",'Map 4'!Y21="Mountain",'Map 4'!Y22&lt;&gt;"Mountain",'Map 4'!Y22&lt;&gt;"Ocean",'Map 4'!Y22&lt;&gt;"Trench")),CONCATENATE("Rainshadow ",'Map 4'!Y22),'Map 4'!Y22)</f>
        <v>Coast</v>
      </c>
      <c r="Z22" s="3" t="str">
        <f ca="1">IF(OR(AND($AV22="⤵",'Map 4'!Z23="Mountain",'Map 4'!Z22&lt;&gt;"Mountain",'Map 4'!Z22&lt;&gt;"Ocean",'Map 4'!Z22&lt;&gt;"Trench"),AND($AV22="⤴",'Map 4'!Z21="Mountain",'Map 4'!Z22&lt;&gt;"Mountain",'Map 4'!Z22&lt;&gt;"Ocean",'Map 4'!Z22&lt;&gt;"Trench")),CONCATENATE("Rainshadow ",'Map 4'!Z22),'Map 4'!Z22)</f>
        <v>Flatland</v>
      </c>
      <c r="AA22" s="3" t="str">
        <f ca="1">IF(OR(AND($AV22="⤵",'Map 4'!AA23="Mountain",'Map 4'!AA22&lt;&gt;"Mountain",'Map 4'!AA22&lt;&gt;"Ocean",'Map 4'!AA22&lt;&gt;"Trench"),AND($AV22="⤴",'Map 4'!AA21="Mountain",'Map 4'!AA22&lt;&gt;"Mountain",'Map 4'!AA22&lt;&gt;"Ocean",'Map 4'!AA22&lt;&gt;"Trench")),CONCATENATE("Rainshadow ",'Map 4'!AA22),'Map 4'!AA22)</f>
        <v>Coast</v>
      </c>
      <c r="AB22" s="3" t="str">
        <f ca="1">IF(OR(AND($AV22="⤵",'Map 4'!AB23="Mountain",'Map 4'!AB22&lt;&gt;"Mountain",'Map 4'!AB22&lt;&gt;"Ocean",'Map 4'!AB22&lt;&gt;"Trench"),AND($AV22="⤴",'Map 4'!AB21="Mountain",'Map 4'!AB22&lt;&gt;"Mountain",'Map 4'!AB22&lt;&gt;"Ocean",'Map 4'!AB22&lt;&gt;"Trench")),CONCATENATE("Rainshadow ",'Map 4'!AB22),'Map 4'!AB22)</f>
        <v>Ocean</v>
      </c>
      <c r="AC22" s="3" t="str">
        <f ca="1">IF(OR(AND($AV22="⤵",'Map 4'!AC23="Mountain",'Map 4'!AC22&lt;&gt;"Mountain",'Map 4'!AC22&lt;&gt;"Ocean",'Map 4'!AC22&lt;&gt;"Trench"),AND($AV22="⤴",'Map 4'!AC21="Mountain",'Map 4'!AC22&lt;&gt;"Mountain",'Map 4'!AC22&lt;&gt;"Ocean",'Map 4'!AC22&lt;&gt;"Trench")),CONCATENATE("Rainshadow ",'Map 4'!AC22),'Map 4'!AC22)</f>
        <v>Coast</v>
      </c>
      <c r="AD22" s="3" t="str">
        <f ca="1">IF(OR(AND($AV22="⤵",'Map 4'!AD23="Mountain",'Map 4'!AD22&lt;&gt;"Mountain",'Map 4'!AD22&lt;&gt;"Ocean",'Map 4'!AD22&lt;&gt;"Trench"),AND($AV22="⤴",'Map 4'!AD21="Mountain",'Map 4'!AD22&lt;&gt;"Mountain",'Map 4'!AD22&lt;&gt;"Ocean",'Map 4'!AD22&lt;&gt;"Trench")),CONCATENATE("Rainshadow ",'Map 4'!AD22),'Map 4'!AD22)</f>
        <v>Ocean</v>
      </c>
      <c r="AE22" s="3" t="str">
        <f ca="1">IF(OR(AND($AV22="⤵",'Map 4'!AE23="Mountain",'Map 4'!AE22&lt;&gt;"Mountain",'Map 4'!AE22&lt;&gt;"Ocean",'Map 4'!AE22&lt;&gt;"Trench"),AND($AV22="⤴",'Map 4'!AE21="Mountain",'Map 4'!AE22&lt;&gt;"Mountain",'Map 4'!AE22&lt;&gt;"Ocean",'Map 4'!AE22&lt;&gt;"Trench")),CONCATENATE("Rainshadow ",'Map 4'!AE22),'Map 4'!AE22)</f>
        <v>Ocean</v>
      </c>
      <c r="AF22" s="3" t="str">
        <f ca="1">IF(OR(AND($AV22="⤵",'Map 4'!AF23="Mountain",'Map 4'!AF22&lt;&gt;"Mountain",'Map 4'!AF22&lt;&gt;"Ocean",'Map 4'!AF22&lt;&gt;"Trench"),AND($AV22="⤴",'Map 4'!AF21="Mountain",'Map 4'!AF22&lt;&gt;"Mountain",'Map 4'!AF22&lt;&gt;"Ocean",'Map 4'!AF22&lt;&gt;"Trench")),CONCATENATE("Rainshadow ",'Map 4'!AF22),'Map 4'!AF22)</f>
        <v>Ocean</v>
      </c>
      <c r="AG22" s="3" t="str">
        <f ca="1">IF(OR(AND($AV22="⤵",'Map 4'!AG23="Mountain",'Map 4'!AG22&lt;&gt;"Mountain",'Map 4'!AG22&lt;&gt;"Ocean",'Map 4'!AG22&lt;&gt;"Trench"),AND($AV22="⤴",'Map 4'!AG21="Mountain",'Map 4'!AG22&lt;&gt;"Mountain",'Map 4'!AG22&lt;&gt;"Ocean",'Map 4'!AG22&lt;&gt;"Trench")),CONCATENATE("Rainshadow ",'Map 4'!AG22),'Map 4'!AG22)</f>
        <v>Ocean</v>
      </c>
      <c r="AH22" s="3" t="str">
        <f ca="1">IF(OR(AND($AV22="⤵",'Map 4'!AH23="Mountain",'Map 4'!AH22&lt;&gt;"Mountain",'Map 4'!AH22&lt;&gt;"Ocean",'Map 4'!AH22&lt;&gt;"Trench"),AND($AV22="⤴",'Map 4'!AH21="Mountain",'Map 4'!AH22&lt;&gt;"Mountain",'Map 4'!AH22&lt;&gt;"Ocean",'Map 4'!AH22&lt;&gt;"Trench")),CONCATENATE("Rainshadow ",'Map 4'!AH22),'Map 4'!AH22)</f>
        <v>Ocean</v>
      </c>
      <c r="AI22" s="3" t="str">
        <f ca="1">IF(OR(AND($AV22="⤵",'Map 4'!AI23="Mountain",'Map 4'!AI22&lt;&gt;"Mountain",'Map 4'!AI22&lt;&gt;"Ocean",'Map 4'!AI22&lt;&gt;"Trench"),AND($AV22="⤴",'Map 4'!AI21="Mountain",'Map 4'!AI22&lt;&gt;"Mountain",'Map 4'!AI22&lt;&gt;"Ocean",'Map 4'!AI22&lt;&gt;"Trench")),CONCATENATE("Rainshadow ",'Map 4'!AI22),'Map 4'!AI22)</f>
        <v>Ocean</v>
      </c>
      <c r="AJ22" s="3" t="str">
        <f ca="1">IF(OR(AND($AV22="⤵",'Map 4'!AJ23="Mountain",'Map 4'!AJ22&lt;&gt;"Mountain",'Map 4'!AJ22&lt;&gt;"Ocean",'Map 4'!AJ22&lt;&gt;"Trench"),AND($AV22="⤴",'Map 4'!AJ21="Mountain",'Map 4'!AJ22&lt;&gt;"Mountain",'Map 4'!AJ22&lt;&gt;"Ocean",'Map 4'!AJ22&lt;&gt;"Trench")),CONCATENATE("Rainshadow ",'Map 4'!AJ22),'Map 4'!AJ22)</f>
        <v>Ocean</v>
      </c>
      <c r="AK22" s="3" t="str">
        <f ca="1">IF(OR(AND($AV22="⤵",'Map 4'!AK23="Mountain",'Map 4'!AK22&lt;&gt;"Mountain",'Map 4'!AK22&lt;&gt;"Ocean",'Map 4'!AK22&lt;&gt;"Trench"),AND($AV22="⤴",'Map 4'!AK21="Mountain",'Map 4'!AK22&lt;&gt;"Mountain",'Map 4'!AK22&lt;&gt;"Ocean",'Map 4'!AK22&lt;&gt;"Trench")),CONCATENATE("Rainshadow ",'Map 4'!AK22),'Map 4'!AK22)</f>
        <v>Ocean</v>
      </c>
      <c r="AL22" s="3" t="str">
        <f ca="1">IF(OR(AND($AV22="⤵",'Map 4'!AL23="Mountain",'Map 4'!AL22&lt;&gt;"Mountain",'Map 4'!AL22&lt;&gt;"Ocean",'Map 4'!AL22&lt;&gt;"Trench"),AND($AV22="⤴",'Map 4'!AL21="Mountain",'Map 4'!AL22&lt;&gt;"Mountain",'Map 4'!AL22&lt;&gt;"Ocean",'Map 4'!AL22&lt;&gt;"Trench")),CONCATENATE("Rainshadow ",'Map 4'!AL22),'Map 4'!AL22)</f>
        <v>Ocean</v>
      </c>
      <c r="AM22" s="3" t="str">
        <f ca="1">IF(OR(AND($AV22="⤵",'Map 4'!AM23="Mountain",'Map 4'!AM22&lt;&gt;"Mountain",'Map 4'!AM22&lt;&gt;"Ocean",'Map 4'!AM22&lt;&gt;"Trench"),AND($AV22="⤴",'Map 4'!AM21="Mountain",'Map 4'!AM22&lt;&gt;"Mountain",'Map 4'!AM22&lt;&gt;"Ocean",'Map 4'!AM22&lt;&gt;"Trench")),CONCATENATE("Rainshadow ",'Map 4'!AM22),'Map 4'!AM22)</f>
        <v>Ocean</v>
      </c>
      <c r="AN22" s="3" t="str">
        <f ca="1">IF(OR(AND($AV22="⤵",'Map 4'!AN23="Mountain",'Map 4'!AN22&lt;&gt;"Mountain",'Map 4'!AN22&lt;&gt;"Ocean",'Map 4'!AN22&lt;&gt;"Trench"),AND($AV22="⤴",'Map 4'!AN21="Mountain",'Map 4'!AN22&lt;&gt;"Mountain",'Map 4'!AN22&lt;&gt;"Ocean",'Map 4'!AN22&lt;&gt;"Trench")),CONCATENATE("Rainshadow ",'Map 4'!AN22),'Map 4'!AN22)</f>
        <v>Ocean</v>
      </c>
      <c r="AO22" s="3" t="str">
        <f ca="1">IF(OR(AND($AV22="⤵",'Map 4'!AO23="Mountain",'Map 4'!AO22&lt;&gt;"Mountain",'Map 4'!AO22&lt;&gt;"Ocean",'Map 4'!AO22&lt;&gt;"Trench"),AND($AV22="⤴",'Map 4'!AO21="Mountain",'Map 4'!AO22&lt;&gt;"Mountain",'Map 4'!AO22&lt;&gt;"Ocean",'Map 4'!AO22&lt;&gt;"Trench")),CONCATENATE("Rainshadow ",'Map 4'!AO22),'Map 4'!AO22)</f>
        <v>Ocean</v>
      </c>
      <c r="AP22" s="3">
        <f t="shared" si="1"/>
        <v>42.25</v>
      </c>
      <c r="AQ22" s="3">
        <f t="shared" si="2"/>
        <v>108.05</v>
      </c>
      <c r="AR22" s="3"/>
      <c r="AS22" s="3">
        <f t="shared" si="3"/>
        <v>315.40000000000009</v>
      </c>
      <c r="AT22" s="41">
        <v>36</v>
      </c>
      <c r="AU22" s="41" t="str" cm="1">
        <f t="array" ref="AU22">_xlfn.IFS(AND(IF(AP22&lt;25,"Cold","Hot")="Cold",IF(AW22&gt;=0.5,"High","Low")="Low"),"Tundra",AND(IF(AP22&lt;25,"Cold","Hot")="Cold",IF(AW22&gt;=0.5,"High","Low")="High"),"Forest",AND(IF(AP22&lt;25,"Cold","Hot")="Hot",IF(AW22&gt;=0.5,"High","Low")="Low"),"Desert",AND(IF(AP22&lt;25,"Cold","Hot")="Hot",IF(AW22&gt;=0.5,"High","Low")="High"),"Rainforest")</f>
        <v>Desert</v>
      </c>
      <c r="AV22" s="41" t="str" cm="1">
        <f t="array" ref="AV22">_xlfn.IFS(AT22&lt;-90,"⤴",AND(AT22&gt;=-90,AT22&lt;-60),"⤴",AND(AT22&gt;=-60,AT22&lt;-30),"⤵",AND(AT22&gt;=-30,AT22&lt;0),"⤴",AND(AT22&gt;=0,AT22&lt;30),"⤵",AND(AT22&gt;=30,AT22&lt;60),"⤴",AT22&gt;=60,"⤵")</f>
        <v>⤴</v>
      </c>
      <c r="AW22" s="41">
        <f t="shared" si="4"/>
        <v>0.15999999999999992</v>
      </c>
    </row>
    <row r="23" spans="1:49" ht="15" customHeight="1">
      <c r="A23" s="3">
        <v>14</v>
      </c>
      <c r="B23" s="3" t="str">
        <f ca="1">IF(OR(AND($AV23="⤵",'Map 4'!B24="Mountain",'Map 4'!B23&lt;&gt;"Mountain",'Map 4'!B23&lt;&gt;"Ocean",'Map 4'!B23&lt;&gt;"Trench"),AND($AV23="⤴",'Map 4'!B22="Mountain",'Map 4'!B23&lt;&gt;"Mountain",'Map 4'!B23&lt;&gt;"Ocean",'Map 4'!B23&lt;&gt;"Trench")),CONCATENATE("Rainshadow ",'Map 4'!B23),'Map 4'!B23)</f>
        <v>Ocean</v>
      </c>
      <c r="C23" s="3" t="str">
        <f ca="1">IF(OR(AND($AV23="⤵",'Map 4'!C24="Mountain",'Map 4'!C23&lt;&gt;"Mountain",'Map 4'!C23&lt;&gt;"Ocean",'Map 4'!C23&lt;&gt;"Trench"),AND($AV23="⤴",'Map 4'!C22="Mountain",'Map 4'!C23&lt;&gt;"Mountain",'Map 4'!C23&lt;&gt;"Ocean",'Map 4'!C23&lt;&gt;"Trench")),CONCATENATE("Rainshadow ",'Map 4'!C23),'Map 4'!C23)</f>
        <v>Ocean</v>
      </c>
      <c r="D23" s="3" t="str">
        <f ca="1">IF(OR(AND($AV23="⤵",'Map 4'!D24="Mountain",'Map 4'!D23&lt;&gt;"Mountain",'Map 4'!D23&lt;&gt;"Ocean",'Map 4'!D23&lt;&gt;"Trench"),AND($AV23="⤴",'Map 4'!D22="Mountain",'Map 4'!D23&lt;&gt;"Mountain",'Map 4'!D23&lt;&gt;"Ocean",'Map 4'!D23&lt;&gt;"Trench")),CONCATENATE("Rainshadow ",'Map 4'!D23),'Map 4'!D23)</f>
        <v>Ocean</v>
      </c>
      <c r="E23" s="3" t="str">
        <f ca="1">IF(OR(AND($AV23="⤵",'Map 4'!E24="Mountain",'Map 4'!E23&lt;&gt;"Mountain",'Map 4'!E23&lt;&gt;"Ocean",'Map 4'!E23&lt;&gt;"Trench"),AND($AV23="⤴",'Map 4'!E22="Mountain",'Map 4'!E23&lt;&gt;"Mountain",'Map 4'!E23&lt;&gt;"Ocean",'Map 4'!E23&lt;&gt;"Trench")),CONCATENATE("Rainshadow ",'Map 4'!E23),'Map 4'!E23)</f>
        <v>Ocean</v>
      </c>
      <c r="F23" s="3" t="str">
        <f ca="1">IF(OR(AND($AV23="⤵",'Map 4'!F24="Mountain",'Map 4'!F23&lt;&gt;"Mountain",'Map 4'!F23&lt;&gt;"Ocean",'Map 4'!F23&lt;&gt;"Trench"),AND($AV23="⤴",'Map 4'!F22="Mountain",'Map 4'!F23&lt;&gt;"Mountain",'Map 4'!F23&lt;&gt;"Ocean",'Map 4'!F23&lt;&gt;"Trench")),CONCATENATE("Rainshadow ",'Map 4'!F23),'Map 4'!F23)</f>
        <v>Ocean</v>
      </c>
      <c r="G23" s="3" t="str">
        <f ca="1">IF(OR(AND($AV23="⤵",'Map 4'!G24="Mountain",'Map 4'!G23&lt;&gt;"Mountain",'Map 4'!G23&lt;&gt;"Ocean",'Map 4'!G23&lt;&gt;"Trench"),AND($AV23="⤴",'Map 4'!G22="Mountain",'Map 4'!G23&lt;&gt;"Mountain",'Map 4'!G23&lt;&gt;"Ocean",'Map 4'!G23&lt;&gt;"Trench")),CONCATENATE("Rainshadow ",'Map 4'!G23),'Map 4'!G23)</f>
        <v>Ocean</v>
      </c>
      <c r="H23" s="3" t="str">
        <f ca="1">IF(OR(AND($AV23="⤵",'Map 4'!H24="Mountain",'Map 4'!H23&lt;&gt;"Mountain",'Map 4'!H23&lt;&gt;"Ocean",'Map 4'!H23&lt;&gt;"Trench"),AND($AV23="⤴",'Map 4'!H22="Mountain",'Map 4'!H23&lt;&gt;"Mountain",'Map 4'!H23&lt;&gt;"Ocean",'Map 4'!H23&lt;&gt;"Trench")),CONCATENATE("Rainshadow ",'Map 4'!H23),'Map 4'!H23)</f>
        <v>Ocean</v>
      </c>
      <c r="I23" s="3" t="str">
        <f ca="1">IF(OR(AND($AV23="⤵",'Map 4'!I24="Mountain",'Map 4'!I23&lt;&gt;"Mountain",'Map 4'!I23&lt;&gt;"Ocean",'Map 4'!I23&lt;&gt;"Trench"),AND($AV23="⤴",'Map 4'!I22="Mountain",'Map 4'!I23&lt;&gt;"Mountain",'Map 4'!I23&lt;&gt;"Ocean",'Map 4'!I23&lt;&gt;"Trench")),CONCATENATE("Rainshadow ",'Map 4'!I23),'Map 4'!I23)</f>
        <v>Ocean</v>
      </c>
      <c r="J23" s="3" t="str">
        <f ca="1">IF(OR(AND($AV23="⤵",'Map 4'!J24="Mountain",'Map 4'!J23&lt;&gt;"Mountain",'Map 4'!J23&lt;&gt;"Ocean",'Map 4'!J23&lt;&gt;"Trench"),AND($AV23="⤴",'Map 4'!J22="Mountain",'Map 4'!J23&lt;&gt;"Mountain",'Map 4'!J23&lt;&gt;"Ocean",'Map 4'!J23&lt;&gt;"Trench")),CONCATENATE("Rainshadow ",'Map 4'!J23),'Map 4'!J23)</f>
        <v>Ocean</v>
      </c>
      <c r="K23" s="3" t="str">
        <f ca="1">IF(OR(AND($AV23="⤵",'Map 4'!K24="Mountain",'Map 4'!K23&lt;&gt;"Mountain",'Map 4'!K23&lt;&gt;"Ocean",'Map 4'!K23&lt;&gt;"Trench"),AND($AV23="⤴",'Map 4'!K22="Mountain",'Map 4'!K23&lt;&gt;"Mountain",'Map 4'!K23&lt;&gt;"Ocean",'Map 4'!K23&lt;&gt;"Trench")),CONCATENATE("Rainshadow ",'Map 4'!K23),'Map 4'!K23)</f>
        <v>Ocean</v>
      </c>
      <c r="L23" s="3" t="str">
        <f ca="1">IF(OR(AND($AV23="⤵",'Map 4'!L24="Mountain",'Map 4'!L23&lt;&gt;"Mountain",'Map 4'!L23&lt;&gt;"Ocean",'Map 4'!L23&lt;&gt;"Trench"),AND($AV23="⤴",'Map 4'!L22="Mountain",'Map 4'!L23&lt;&gt;"Mountain",'Map 4'!L23&lt;&gt;"Ocean",'Map 4'!L23&lt;&gt;"Trench")),CONCATENATE("Rainshadow ",'Map 4'!L23),'Map 4'!L23)</f>
        <v>Ocean</v>
      </c>
      <c r="M23" s="3" t="str">
        <f ca="1">IF(OR(AND($AV23="⤵",'Map 4'!M24="Mountain",'Map 4'!M23&lt;&gt;"Mountain",'Map 4'!M23&lt;&gt;"Ocean",'Map 4'!M23&lt;&gt;"Trench"),AND($AV23="⤴",'Map 4'!M22="Mountain",'Map 4'!M23&lt;&gt;"Mountain",'Map 4'!M23&lt;&gt;"Ocean",'Map 4'!M23&lt;&gt;"Trench")),CONCATENATE("Rainshadow ",'Map 4'!M23),'Map 4'!M23)</f>
        <v>Ocean</v>
      </c>
      <c r="N23" s="3" t="str">
        <f ca="1">IF(OR(AND($AV23="⤵",'Map 4'!N24="Mountain",'Map 4'!N23&lt;&gt;"Mountain",'Map 4'!N23&lt;&gt;"Ocean",'Map 4'!N23&lt;&gt;"Trench"),AND($AV23="⤴",'Map 4'!N22="Mountain",'Map 4'!N23&lt;&gt;"Mountain",'Map 4'!N23&lt;&gt;"Ocean",'Map 4'!N23&lt;&gt;"Trench")),CONCATENATE("Rainshadow ",'Map 4'!N23),'Map 4'!N23)</f>
        <v>Ocean</v>
      </c>
      <c r="O23" s="3" t="str">
        <f ca="1">IF(OR(AND($AV23="⤵",'Map 4'!O24="Mountain",'Map 4'!O23&lt;&gt;"Mountain",'Map 4'!O23&lt;&gt;"Ocean",'Map 4'!O23&lt;&gt;"Trench"),AND($AV23="⤴",'Map 4'!O22="Mountain",'Map 4'!O23&lt;&gt;"Mountain",'Map 4'!O23&lt;&gt;"Ocean",'Map 4'!O23&lt;&gt;"Trench")),CONCATENATE("Rainshadow ",'Map 4'!O23),'Map 4'!O23)</f>
        <v>Coast</v>
      </c>
      <c r="P23" s="3" t="str">
        <f ca="1">IF(OR(AND($AV23="⤵",'Map 4'!P24="Mountain",'Map 4'!P23&lt;&gt;"Mountain",'Map 4'!P23&lt;&gt;"Ocean",'Map 4'!P23&lt;&gt;"Trench"),AND($AV23="⤴",'Map 4'!P22="Mountain",'Map 4'!P23&lt;&gt;"Mountain",'Map 4'!P23&lt;&gt;"Ocean",'Map 4'!P23&lt;&gt;"Trench")),CONCATENATE("Rainshadow ",'Map 4'!P23),'Map 4'!P23)</f>
        <v>Ocean</v>
      </c>
      <c r="Q23" s="3" t="str">
        <f ca="1">IF(OR(AND($AV23="⤵",'Map 4'!Q24="Mountain",'Map 4'!Q23&lt;&gt;"Mountain",'Map 4'!Q23&lt;&gt;"Ocean",'Map 4'!Q23&lt;&gt;"Trench"),AND($AV23="⤴",'Map 4'!Q22="Mountain",'Map 4'!Q23&lt;&gt;"Mountain",'Map 4'!Q23&lt;&gt;"Ocean",'Map 4'!Q23&lt;&gt;"Trench")),CONCATENATE("Rainshadow ",'Map 4'!Q23),'Map 4'!Q23)</f>
        <v>Ocean</v>
      </c>
      <c r="R23" s="3" t="str">
        <f ca="1">IF(OR(AND($AV23="⤵",'Map 4'!R24="Mountain",'Map 4'!R23&lt;&gt;"Mountain",'Map 4'!R23&lt;&gt;"Ocean",'Map 4'!R23&lt;&gt;"Trench"),AND($AV23="⤴",'Map 4'!R22="Mountain",'Map 4'!R23&lt;&gt;"Mountain",'Map 4'!R23&lt;&gt;"Ocean",'Map 4'!R23&lt;&gt;"Trench")),CONCATENATE("Rainshadow ",'Map 4'!R23),'Map 4'!R23)</f>
        <v>Ocean</v>
      </c>
      <c r="S23" s="3" t="str">
        <f ca="1">IF(OR(AND($AV23="⤵",'Map 4'!S24="Mountain",'Map 4'!S23&lt;&gt;"Mountain",'Map 4'!S23&lt;&gt;"Ocean",'Map 4'!S23&lt;&gt;"Trench"),AND($AV23="⤴",'Map 4'!S22="Mountain",'Map 4'!S23&lt;&gt;"Mountain",'Map 4'!S23&lt;&gt;"Ocean",'Map 4'!S23&lt;&gt;"Trench")),CONCATENATE("Rainshadow ",'Map 4'!S23),'Map 4'!S23)</f>
        <v>Ocean</v>
      </c>
      <c r="T23" s="3" t="str">
        <f ca="1">IF(OR(AND($AV23="⤵",'Map 4'!T24="Mountain",'Map 4'!T23&lt;&gt;"Mountain",'Map 4'!T23&lt;&gt;"Ocean",'Map 4'!T23&lt;&gt;"Trench"),AND($AV23="⤴",'Map 4'!T22="Mountain",'Map 4'!T23&lt;&gt;"Mountain",'Map 4'!T23&lt;&gt;"Ocean",'Map 4'!T23&lt;&gt;"Trench")),CONCATENATE("Rainshadow ",'Map 4'!T23),'Map 4'!T23)</f>
        <v>Ocean</v>
      </c>
      <c r="U23" s="3" t="str">
        <f ca="1">IF(OR(AND($AV23="⤵",'Map 4'!U24="Mountain",'Map 4'!U23&lt;&gt;"Mountain",'Map 4'!U23&lt;&gt;"Ocean",'Map 4'!U23&lt;&gt;"Trench"),AND($AV23="⤴",'Map 4'!U22="Mountain",'Map 4'!U23&lt;&gt;"Mountain",'Map 4'!U23&lt;&gt;"Ocean",'Map 4'!U23&lt;&gt;"Trench")),CONCATENATE("Rainshadow ",'Map 4'!U23),'Map 4'!U23)</f>
        <v>Coast</v>
      </c>
      <c r="V23" s="3" t="str">
        <f ca="1">IF(OR(AND($AV23="⤵",'Map 4'!V24="Mountain",'Map 4'!V23&lt;&gt;"Mountain",'Map 4'!V23&lt;&gt;"Ocean",'Map 4'!V23&lt;&gt;"Trench"),AND($AV23="⤴",'Map 4'!V22="Mountain",'Map 4'!V23&lt;&gt;"Mountain",'Map 4'!V23&lt;&gt;"Ocean",'Map 4'!V23&lt;&gt;"Trench")),CONCATENATE("Rainshadow ",'Map 4'!V23),'Map 4'!V23)</f>
        <v>Flatland</v>
      </c>
      <c r="W23" s="3" t="str">
        <f ca="1">IF(OR(AND($AV23="⤵",'Map 4'!W24="Mountain",'Map 4'!W23&lt;&gt;"Mountain",'Map 4'!W23&lt;&gt;"Ocean",'Map 4'!W23&lt;&gt;"Trench"),AND($AV23="⤴",'Map 4'!W22="Mountain",'Map 4'!W23&lt;&gt;"Mountain",'Map 4'!W23&lt;&gt;"Ocean",'Map 4'!W23&lt;&gt;"Trench")),CONCATENATE("Rainshadow ",'Map 4'!W23),'Map 4'!W23)</f>
        <v>Flatland</v>
      </c>
      <c r="X23" s="3" t="str">
        <f ca="1">IF(OR(AND($AV23="⤵",'Map 4'!X24="Mountain",'Map 4'!X23&lt;&gt;"Mountain",'Map 4'!X23&lt;&gt;"Ocean",'Map 4'!X23&lt;&gt;"Trench"),AND($AV23="⤴",'Map 4'!X22="Mountain",'Map 4'!X23&lt;&gt;"Mountain",'Map 4'!X23&lt;&gt;"Ocean",'Map 4'!X23&lt;&gt;"Trench")),CONCATENATE("Rainshadow ",'Map 4'!X23),'Map 4'!X23)</f>
        <v>Coast</v>
      </c>
      <c r="Y23" s="3" t="str">
        <f ca="1">IF(OR(AND($AV23="⤵",'Map 4'!Y24="Mountain",'Map 4'!Y23&lt;&gt;"Mountain",'Map 4'!Y23&lt;&gt;"Ocean",'Map 4'!Y23&lt;&gt;"Trench"),AND($AV23="⤴",'Map 4'!Y22="Mountain",'Map 4'!Y23&lt;&gt;"Mountain",'Map 4'!Y23&lt;&gt;"Ocean",'Map 4'!Y23&lt;&gt;"Trench")),CONCATENATE("Rainshadow ",'Map 4'!Y23),'Map 4'!Y23)</f>
        <v>Coast</v>
      </c>
      <c r="Z23" s="3" t="str">
        <f ca="1">IF(OR(AND($AV23="⤵",'Map 4'!Z24="Mountain",'Map 4'!Z23&lt;&gt;"Mountain",'Map 4'!Z23&lt;&gt;"Ocean",'Map 4'!Z23&lt;&gt;"Trench"),AND($AV23="⤴",'Map 4'!Z22="Mountain",'Map 4'!Z23&lt;&gt;"Mountain",'Map 4'!Z23&lt;&gt;"Ocean",'Map 4'!Z23&lt;&gt;"Trench")),CONCATENATE("Rainshadow ",'Map 4'!Z23),'Map 4'!Z23)</f>
        <v>Coast</v>
      </c>
      <c r="AA23" s="3" t="str">
        <f ca="1">IF(OR(AND($AV23="⤵",'Map 4'!AA24="Mountain",'Map 4'!AA23&lt;&gt;"Mountain",'Map 4'!AA23&lt;&gt;"Ocean",'Map 4'!AA23&lt;&gt;"Trench"),AND($AV23="⤴",'Map 4'!AA22="Mountain",'Map 4'!AA23&lt;&gt;"Mountain",'Map 4'!AA23&lt;&gt;"Ocean",'Map 4'!AA23&lt;&gt;"Trench")),CONCATENATE("Rainshadow ",'Map 4'!AA23),'Map 4'!AA23)</f>
        <v>Ocean</v>
      </c>
      <c r="AB23" s="3" t="str">
        <f ca="1">IF(OR(AND($AV23="⤵",'Map 4'!AB24="Mountain",'Map 4'!AB23&lt;&gt;"Mountain",'Map 4'!AB23&lt;&gt;"Ocean",'Map 4'!AB23&lt;&gt;"Trench"),AND($AV23="⤴",'Map 4'!AB22="Mountain",'Map 4'!AB23&lt;&gt;"Mountain",'Map 4'!AB23&lt;&gt;"Ocean",'Map 4'!AB23&lt;&gt;"Trench")),CONCATENATE("Rainshadow ",'Map 4'!AB23),'Map 4'!AB23)</f>
        <v>Ocean</v>
      </c>
      <c r="AC23" s="3" t="str">
        <f ca="1">IF(OR(AND($AV23="⤵",'Map 4'!AC24="Mountain",'Map 4'!AC23&lt;&gt;"Mountain",'Map 4'!AC23&lt;&gt;"Ocean",'Map 4'!AC23&lt;&gt;"Trench"),AND($AV23="⤴",'Map 4'!AC22="Mountain",'Map 4'!AC23&lt;&gt;"Mountain",'Map 4'!AC23&lt;&gt;"Ocean",'Map 4'!AC23&lt;&gt;"Trench")),CONCATENATE("Rainshadow ",'Map 4'!AC23),'Map 4'!AC23)</f>
        <v>Ocean</v>
      </c>
      <c r="AD23" s="3" t="str">
        <f ca="1">IF(OR(AND($AV23="⤵",'Map 4'!AD24="Mountain",'Map 4'!AD23&lt;&gt;"Mountain",'Map 4'!AD23&lt;&gt;"Ocean",'Map 4'!AD23&lt;&gt;"Trench"),AND($AV23="⤴",'Map 4'!AD22="Mountain",'Map 4'!AD23&lt;&gt;"Mountain",'Map 4'!AD23&lt;&gt;"Ocean",'Map 4'!AD23&lt;&gt;"Trench")),CONCATENATE("Rainshadow ",'Map 4'!AD23),'Map 4'!AD23)</f>
        <v>Ocean</v>
      </c>
      <c r="AE23" s="3" t="str">
        <f ca="1">IF(OR(AND($AV23="⤵",'Map 4'!AE24="Mountain",'Map 4'!AE23&lt;&gt;"Mountain",'Map 4'!AE23&lt;&gt;"Ocean",'Map 4'!AE23&lt;&gt;"Trench"),AND($AV23="⤴",'Map 4'!AE22="Mountain",'Map 4'!AE23&lt;&gt;"Mountain",'Map 4'!AE23&lt;&gt;"Ocean",'Map 4'!AE23&lt;&gt;"Trench")),CONCATENATE("Rainshadow ",'Map 4'!AE23),'Map 4'!AE23)</f>
        <v>Ocean</v>
      </c>
      <c r="AF23" s="3" t="str">
        <f ca="1">IF(OR(AND($AV23="⤵",'Map 4'!AF24="Mountain",'Map 4'!AF23&lt;&gt;"Mountain",'Map 4'!AF23&lt;&gt;"Ocean",'Map 4'!AF23&lt;&gt;"Trench"),AND($AV23="⤴",'Map 4'!AF22="Mountain",'Map 4'!AF23&lt;&gt;"Mountain",'Map 4'!AF23&lt;&gt;"Ocean",'Map 4'!AF23&lt;&gt;"Trench")),CONCATENATE("Rainshadow ",'Map 4'!AF23),'Map 4'!AF23)</f>
        <v>Ocean</v>
      </c>
      <c r="AG23" s="3" t="str">
        <f ca="1">IF(OR(AND($AV23="⤵",'Map 4'!AG24="Mountain",'Map 4'!AG23&lt;&gt;"Mountain",'Map 4'!AG23&lt;&gt;"Ocean",'Map 4'!AG23&lt;&gt;"Trench"),AND($AV23="⤴",'Map 4'!AG22="Mountain",'Map 4'!AG23&lt;&gt;"Mountain",'Map 4'!AG23&lt;&gt;"Ocean",'Map 4'!AG23&lt;&gt;"Trench")),CONCATENATE("Rainshadow ",'Map 4'!AG23),'Map 4'!AG23)</f>
        <v>Ocean</v>
      </c>
      <c r="AH23" s="3" t="str">
        <f ca="1">IF(OR(AND($AV23="⤵",'Map 4'!AH24="Mountain",'Map 4'!AH23&lt;&gt;"Mountain",'Map 4'!AH23&lt;&gt;"Ocean",'Map 4'!AH23&lt;&gt;"Trench"),AND($AV23="⤴",'Map 4'!AH22="Mountain",'Map 4'!AH23&lt;&gt;"Mountain",'Map 4'!AH23&lt;&gt;"Ocean",'Map 4'!AH23&lt;&gt;"Trench")),CONCATENATE("Rainshadow ",'Map 4'!AH23),'Map 4'!AH23)</f>
        <v>Ocean</v>
      </c>
      <c r="AI23" s="3" t="str">
        <f ca="1">IF(OR(AND($AV23="⤵",'Map 4'!AI24="Mountain",'Map 4'!AI23&lt;&gt;"Mountain",'Map 4'!AI23&lt;&gt;"Ocean",'Map 4'!AI23&lt;&gt;"Trench"),AND($AV23="⤴",'Map 4'!AI22="Mountain",'Map 4'!AI23&lt;&gt;"Mountain",'Map 4'!AI23&lt;&gt;"Ocean",'Map 4'!AI23&lt;&gt;"Trench")),CONCATENATE("Rainshadow ",'Map 4'!AI23),'Map 4'!AI23)</f>
        <v>Ocean</v>
      </c>
      <c r="AJ23" s="3" t="str">
        <f ca="1">IF(OR(AND($AV23="⤵",'Map 4'!AJ24="Mountain",'Map 4'!AJ23&lt;&gt;"Mountain",'Map 4'!AJ23&lt;&gt;"Ocean",'Map 4'!AJ23&lt;&gt;"Trench"),AND($AV23="⤴",'Map 4'!AJ22="Mountain",'Map 4'!AJ23&lt;&gt;"Mountain",'Map 4'!AJ23&lt;&gt;"Ocean",'Map 4'!AJ23&lt;&gt;"Trench")),CONCATENATE("Rainshadow ",'Map 4'!AJ23),'Map 4'!AJ23)</f>
        <v>Ocean</v>
      </c>
      <c r="AK23" s="3" t="str">
        <f ca="1">IF(OR(AND($AV23="⤵",'Map 4'!AK24="Mountain",'Map 4'!AK23&lt;&gt;"Mountain",'Map 4'!AK23&lt;&gt;"Ocean",'Map 4'!AK23&lt;&gt;"Trench"),AND($AV23="⤴",'Map 4'!AK22="Mountain",'Map 4'!AK23&lt;&gt;"Mountain",'Map 4'!AK23&lt;&gt;"Ocean",'Map 4'!AK23&lt;&gt;"Trench")),CONCATENATE("Rainshadow ",'Map 4'!AK23),'Map 4'!AK23)</f>
        <v>Ocean</v>
      </c>
      <c r="AL23" s="3" t="str">
        <f ca="1">IF(OR(AND($AV23="⤵",'Map 4'!AL24="Mountain",'Map 4'!AL23&lt;&gt;"Mountain",'Map 4'!AL23&lt;&gt;"Ocean",'Map 4'!AL23&lt;&gt;"Trench"),AND($AV23="⤴",'Map 4'!AL22="Mountain",'Map 4'!AL23&lt;&gt;"Mountain",'Map 4'!AL23&lt;&gt;"Ocean",'Map 4'!AL23&lt;&gt;"Trench")),CONCATENATE("Rainshadow ",'Map 4'!AL23),'Map 4'!AL23)</f>
        <v>Ocean</v>
      </c>
      <c r="AM23" s="3" t="str">
        <f ca="1">IF(OR(AND($AV23="⤵",'Map 4'!AM24="Mountain",'Map 4'!AM23&lt;&gt;"Mountain",'Map 4'!AM23&lt;&gt;"Ocean",'Map 4'!AM23&lt;&gt;"Trench"),AND($AV23="⤴",'Map 4'!AM22="Mountain",'Map 4'!AM23&lt;&gt;"Mountain",'Map 4'!AM23&lt;&gt;"Ocean",'Map 4'!AM23&lt;&gt;"Trench")),CONCATENATE("Rainshadow ",'Map 4'!AM23),'Map 4'!AM23)</f>
        <v>Ocean</v>
      </c>
      <c r="AN23" s="3" t="str">
        <f ca="1">IF(OR(AND($AV23="⤵",'Map 4'!AN24="Mountain",'Map 4'!AN23&lt;&gt;"Mountain",'Map 4'!AN23&lt;&gt;"Ocean",'Map 4'!AN23&lt;&gt;"Trench"),AND($AV23="⤴",'Map 4'!AN22="Mountain",'Map 4'!AN23&lt;&gt;"Mountain",'Map 4'!AN23&lt;&gt;"Ocean",'Map 4'!AN23&lt;&gt;"Trench")),CONCATENATE("Rainshadow ",'Map 4'!AN23),'Map 4'!AN23)</f>
        <v>Ocean</v>
      </c>
      <c r="AO23" s="3" t="str">
        <f ca="1">IF(OR(AND($AV23="⤵",'Map 4'!AO24="Mountain",'Map 4'!AO23&lt;&gt;"Mountain",'Map 4'!AO23&lt;&gt;"Ocean",'Map 4'!AO23&lt;&gt;"Trench"),AND($AV23="⤴",'Map 4'!AO22="Mountain",'Map 4'!AO23&lt;&gt;"Mountain",'Map 4'!AO23&lt;&gt;"Ocean",'Map 4'!AO23&lt;&gt;"Trench")),CONCATENATE("Rainshadow ",'Map 4'!AO23),'Map 4'!AO23)</f>
        <v>Trench</v>
      </c>
      <c r="AP23" s="3">
        <f t="shared" si="1"/>
        <v>49.2</v>
      </c>
      <c r="AQ23" s="3">
        <f t="shared" si="2"/>
        <v>120.56</v>
      </c>
      <c r="AR23" s="3"/>
      <c r="AS23" s="3">
        <f t="shared" si="3"/>
        <v>322.35000000000008</v>
      </c>
      <c r="AT23" s="41">
        <v>31.5</v>
      </c>
      <c r="AU23" s="41" t="str" cm="1">
        <f t="array" ref="AU23">_xlfn.IFS(AND(IF(AP23&lt;25,"Cold","Hot")="Cold",IF(AW23&gt;=0.5,"High","Low")="Low"),"Tundra",AND(IF(AP23&lt;25,"Cold","Hot")="Cold",IF(AW23&gt;=0.5,"High","Low")="High"),"Forest",AND(IF(AP23&lt;25,"Cold","Hot")="Hot",IF(AW23&gt;=0.5,"High","Low")="Low"),"Desert",AND(IF(AP23&lt;25,"Cold","Hot")="Hot",IF(AW23&gt;=0.5,"High","Low")="High"),"Rainforest")</f>
        <v>Desert</v>
      </c>
      <c r="AV23" s="41" t="str" cm="1">
        <f t="array" ref="AV23">_xlfn.IFS(AT23&lt;-90,"⤴",AND(AT23&gt;=-90,AT23&lt;-60),"⤴",AND(AT23&gt;=-60,AT23&lt;-30),"⤵",AND(AT23&gt;=-30,AT23&lt;0),"⤴",AND(AT23&gt;=0,AT23&lt;30),"⤵",AND(AT23&gt;=30,AT23&lt;60),"⤴",AT23&gt;=60,"⤵")</f>
        <v>⤴</v>
      </c>
      <c r="AW23" s="41">
        <f t="shared" si="4"/>
        <v>1.9999999999999907E-2</v>
      </c>
    </row>
    <row r="24" spans="1:49" ht="15" customHeight="1">
      <c r="A24" s="3">
        <v>15</v>
      </c>
      <c r="B24" s="3" t="str">
        <f ca="1">IF(OR(AND($AV24="⤵",'Map 4'!B25="Mountain",'Map 4'!B24&lt;&gt;"Mountain",'Map 4'!B24&lt;&gt;"Ocean",'Map 4'!B24&lt;&gt;"Trench"),AND($AV24="⤴",'Map 4'!B23="Mountain",'Map 4'!B24&lt;&gt;"Mountain",'Map 4'!B24&lt;&gt;"Ocean",'Map 4'!B24&lt;&gt;"Trench")),CONCATENATE("Rainshadow ",'Map 4'!B24),'Map 4'!B24)</f>
        <v>Ocean</v>
      </c>
      <c r="C24" s="3" t="str">
        <f ca="1">IF(OR(AND($AV24="⤵",'Map 4'!C25="Mountain",'Map 4'!C24&lt;&gt;"Mountain",'Map 4'!C24&lt;&gt;"Ocean",'Map 4'!C24&lt;&gt;"Trench"),AND($AV24="⤴",'Map 4'!C23="Mountain",'Map 4'!C24&lt;&gt;"Mountain",'Map 4'!C24&lt;&gt;"Ocean",'Map 4'!C24&lt;&gt;"Trench")),CONCATENATE("Rainshadow ",'Map 4'!C24),'Map 4'!C24)</f>
        <v>Ocean</v>
      </c>
      <c r="D24" s="3" t="str">
        <f ca="1">IF(OR(AND($AV24="⤵",'Map 4'!D25="Mountain",'Map 4'!D24&lt;&gt;"Mountain",'Map 4'!D24&lt;&gt;"Ocean",'Map 4'!D24&lt;&gt;"Trench"),AND($AV24="⤴",'Map 4'!D23="Mountain",'Map 4'!D24&lt;&gt;"Mountain",'Map 4'!D24&lt;&gt;"Ocean",'Map 4'!D24&lt;&gt;"Trench")),CONCATENATE("Rainshadow ",'Map 4'!D24),'Map 4'!D24)</f>
        <v>Ocean</v>
      </c>
      <c r="E24" s="3" t="str">
        <f ca="1">IF(OR(AND($AV24="⤵",'Map 4'!E25="Mountain",'Map 4'!E24&lt;&gt;"Mountain",'Map 4'!E24&lt;&gt;"Ocean",'Map 4'!E24&lt;&gt;"Trench"),AND($AV24="⤴",'Map 4'!E23="Mountain",'Map 4'!E24&lt;&gt;"Mountain",'Map 4'!E24&lt;&gt;"Ocean",'Map 4'!E24&lt;&gt;"Trench")),CONCATENATE("Rainshadow ",'Map 4'!E24),'Map 4'!E24)</f>
        <v>Ocean</v>
      </c>
      <c r="F24" s="3" t="str">
        <f ca="1">IF(OR(AND($AV24="⤵",'Map 4'!F25="Mountain",'Map 4'!F24&lt;&gt;"Mountain",'Map 4'!F24&lt;&gt;"Ocean",'Map 4'!F24&lt;&gt;"Trench"),AND($AV24="⤴",'Map 4'!F23="Mountain",'Map 4'!F24&lt;&gt;"Mountain",'Map 4'!F24&lt;&gt;"Ocean",'Map 4'!F24&lt;&gt;"Trench")),CONCATENATE("Rainshadow ",'Map 4'!F24),'Map 4'!F24)</f>
        <v>Island</v>
      </c>
      <c r="G24" s="3" t="str">
        <f ca="1">IF(OR(AND($AV24="⤵",'Map 4'!G25="Mountain",'Map 4'!G24&lt;&gt;"Mountain",'Map 4'!G24&lt;&gt;"Ocean",'Map 4'!G24&lt;&gt;"Trench"),AND($AV24="⤴",'Map 4'!G23="Mountain",'Map 4'!G24&lt;&gt;"Mountain",'Map 4'!G24&lt;&gt;"Ocean",'Map 4'!G24&lt;&gt;"Trench")),CONCATENATE("Rainshadow ",'Map 4'!G24),'Map 4'!G24)</f>
        <v>Island</v>
      </c>
      <c r="H24" s="3" t="str">
        <f ca="1">IF(OR(AND($AV24="⤵",'Map 4'!H25="Mountain",'Map 4'!H24&lt;&gt;"Mountain",'Map 4'!H24&lt;&gt;"Ocean",'Map 4'!H24&lt;&gt;"Trench"),AND($AV24="⤴",'Map 4'!H23="Mountain",'Map 4'!H24&lt;&gt;"Mountain",'Map 4'!H24&lt;&gt;"Ocean",'Map 4'!H24&lt;&gt;"Trench")),CONCATENATE("Rainshadow ",'Map 4'!H24),'Map 4'!H24)</f>
        <v>Trench</v>
      </c>
      <c r="I24" s="3" t="str">
        <f ca="1">IF(OR(AND($AV24="⤵",'Map 4'!I25="Mountain",'Map 4'!I24&lt;&gt;"Mountain",'Map 4'!I24&lt;&gt;"Ocean",'Map 4'!I24&lt;&gt;"Trench"),AND($AV24="⤴",'Map 4'!I23="Mountain",'Map 4'!I24&lt;&gt;"Mountain",'Map 4'!I24&lt;&gt;"Ocean",'Map 4'!I24&lt;&gt;"Trench")),CONCATENATE("Rainshadow ",'Map 4'!I24),'Map 4'!I24)</f>
        <v>Island</v>
      </c>
      <c r="J24" s="3" t="str">
        <f ca="1">IF(OR(AND($AV24="⤵",'Map 4'!J25="Mountain",'Map 4'!J24&lt;&gt;"Mountain",'Map 4'!J24&lt;&gt;"Ocean",'Map 4'!J24&lt;&gt;"Trench"),AND($AV24="⤴",'Map 4'!J23="Mountain",'Map 4'!J24&lt;&gt;"Mountain",'Map 4'!J24&lt;&gt;"Ocean",'Map 4'!J24&lt;&gt;"Trench")),CONCATENATE("Rainshadow ",'Map 4'!J24),'Map 4'!J24)</f>
        <v>Ocean</v>
      </c>
      <c r="K24" s="3" t="str">
        <f ca="1">IF(OR(AND($AV24="⤵",'Map 4'!K25="Mountain",'Map 4'!K24&lt;&gt;"Mountain",'Map 4'!K24&lt;&gt;"Ocean",'Map 4'!K24&lt;&gt;"Trench"),AND($AV24="⤴",'Map 4'!K23="Mountain",'Map 4'!K24&lt;&gt;"Mountain",'Map 4'!K24&lt;&gt;"Ocean",'Map 4'!K24&lt;&gt;"Trench")),CONCATENATE("Rainshadow ",'Map 4'!K24),'Map 4'!K24)</f>
        <v>Ocean</v>
      </c>
      <c r="L24" s="3" t="str">
        <f ca="1">IF(OR(AND($AV24="⤵",'Map 4'!L25="Mountain",'Map 4'!L24&lt;&gt;"Mountain",'Map 4'!L24&lt;&gt;"Ocean",'Map 4'!L24&lt;&gt;"Trench"),AND($AV24="⤴",'Map 4'!L23="Mountain",'Map 4'!L24&lt;&gt;"Mountain",'Map 4'!L24&lt;&gt;"Ocean",'Map 4'!L24&lt;&gt;"Trench")),CONCATENATE("Rainshadow ",'Map 4'!L24),'Map 4'!L24)</f>
        <v>Ocean</v>
      </c>
      <c r="M24" s="3" t="str">
        <f ca="1">IF(OR(AND($AV24="⤵",'Map 4'!M25="Mountain",'Map 4'!M24&lt;&gt;"Mountain",'Map 4'!M24&lt;&gt;"Ocean",'Map 4'!M24&lt;&gt;"Trench"),AND($AV24="⤴",'Map 4'!M23="Mountain",'Map 4'!M24&lt;&gt;"Mountain",'Map 4'!M24&lt;&gt;"Ocean",'Map 4'!M24&lt;&gt;"Trench")),CONCATENATE("Rainshadow ",'Map 4'!M24),'Map 4'!M24)</f>
        <v>Ocean</v>
      </c>
      <c r="N24" s="3" t="str">
        <f ca="1">IF(OR(AND($AV24="⤵",'Map 4'!N25="Mountain",'Map 4'!N24&lt;&gt;"Mountain",'Map 4'!N24&lt;&gt;"Ocean",'Map 4'!N24&lt;&gt;"Trench"),AND($AV24="⤴",'Map 4'!N23="Mountain",'Map 4'!N24&lt;&gt;"Mountain",'Map 4'!N24&lt;&gt;"Ocean",'Map 4'!N24&lt;&gt;"Trench")),CONCATENATE("Rainshadow ",'Map 4'!N24),'Map 4'!N24)</f>
        <v>Ocean</v>
      </c>
      <c r="O24" s="3" t="str">
        <f ca="1">IF(OR(AND($AV24="⤵",'Map 4'!O25="Mountain",'Map 4'!O24&lt;&gt;"Mountain",'Map 4'!O24&lt;&gt;"Ocean",'Map 4'!O24&lt;&gt;"Trench"),AND($AV24="⤴",'Map 4'!O23="Mountain",'Map 4'!O24&lt;&gt;"Mountain",'Map 4'!O24&lt;&gt;"Ocean",'Map 4'!O24&lt;&gt;"Trench")),CONCATENATE("Rainshadow ",'Map 4'!O24),'Map 4'!O24)</f>
        <v>Ocean</v>
      </c>
      <c r="P24" s="3" t="str">
        <f ca="1">IF(OR(AND($AV24="⤵",'Map 4'!P25="Mountain",'Map 4'!P24&lt;&gt;"Mountain",'Map 4'!P24&lt;&gt;"Ocean",'Map 4'!P24&lt;&gt;"Trench"),AND($AV24="⤴",'Map 4'!P23="Mountain",'Map 4'!P24&lt;&gt;"Mountain",'Map 4'!P24&lt;&gt;"Ocean",'Map 4'!P24&lt;&gt;"Trench")),CONCATENATE("Rainshadow ",'Map 4'!P24),'Map 4'!P24)</f>
        <v>Ocean</v>
      </c>
      <c r="Q24" s="3" t="str">
        <f ca="1">IF(OR(AND($AV24="⤵",'Map 4'!Q25="Mountain",'Map 4'!Q24&lt;&gt;"Mountain",'Map 4'!Q24&lt;&gt;"Ocean",'Map 4'!Q24&lt;&gt;"Trench"),AND($AV24="⤴",'Map 4'!Q23="Mountain",'Map 4'!Q24&lt;&gt;"Mountain",'Map 4'!Q24&lt;&gt;"Ocean",'Map 4'!Q24&lt;&gt;"Trench")),CONCATENATE("Rainshadow ",'Map 4'!Q24),'Map 4'!Q24)</f>
        <v>Ocean</v>
      </c>
      <c r="R24" s="3" t="str">
        <f ca="1">IF(OR(AND($AV24="⤵",'Map 4'!R25="Mountain",'Map 4'!R24&lt;&gt;"Mountain",'Map 4'!R24&lt;&gt;"Ocean",'Map 4'!R24&lt;&gt;"Trench"),AND($AV24="⤴",'Map 4'!R23="Mountain",'Map 4'!R24&lt;&gt;"Mountain",'Map 4'!R24&lt;&gt;"Ocean",'Map 4'!R24&lt;&gt;"Trench")),CONCATENATE("Rainshadow ",'Map 4'!R24),'Map 4'!R24)</f>
        <v>Trench</v>
      </c>
      <c r="S24" s="3" t="str">
        <f ca="1">IF(OR(AND($AV24="⤵",'Map 4'!S25="Mountain",'Map 4'!S24&lt;&gt;"Mountain",'Map 4'!S24&lt;&gt;"Ocean",'Map 4'!S24&lt;&gt;"Trench"),AND($AV24="⤴",'Map 4'!S23="Mountain",'Map 4'!S24&lt;&gt;"Mountain",'Map 4'!S24&lt;&gt;"Ocean",'Map 4'!S24&lt;&gt;"Trench")),CONCATENATE("Rainshadow ",'Map 4'!S24),'Map 4'!S24)</f>
        <v>Ocean</v>
      </c>
      <c r="T24" s="3" t="str">
        <f ca="1">IF(OR(AND($AV24="⤵",'Map 4'!T25="Mountain",'Map 4'!T24&lt;&gt;"Mountain",'Map 4'!T24&lt;&gt;"Ocean",'Map 4'!T24&lt;&gt;"Trench"),AND($AV24="⤴",'Map 4'!T23="Mountain",'Map 4'!T24&lt;&gt;"Mountain",'Map 4'!T24&lt;&gt;"Ocean",'Map 4'!T24&lt;&gt;"Trench")),CONCATENATE("Rainshadow ",'Map 4'!T24),'Map 4'!T24)</f>
        <v>Ocean</v>
      </c>
      <c r="U24" s="3" t="str">
        <f ca="1">IF(OR(AND($AV24="⤵",'Map 4'!U25="Mountain",'Map 4'!U24&lt;&gt;"Mountain",'Map 4'!U24&lt;&gt;"Ocean",'Map 4'!U24&lt;&gt;"Trench"),AND($AV24="⤴",'Map 4'!U23="Mountain",'Map 4'!U24&lt;&gt;"Mountain",'Map 4'!U24&lt;&gt;"Ocean",'Map 4'!U24&lt;&gt;"Trench")),CONCATENATE("Rainshadow ",'Map 4'!U24),'Map 4'!U24)</f>
        <v>Flatland</v>
      </c>
      <c r="V24" s="3" t="str">
        <f ca="1">IF(OR(AND($AV24="⤵",'Map 4'!V25="Mountain",'Map 4'!V24&lt;&gt;"Mountain",'Map 4'!V24&lt;&gt;"Ocean",'Map 4'!V24&lt;&gt;"Trench"),AND($AV24="⤴",'Map 4'!V23="Mountain",'Map 4'!V24&lt;&gt;"Mountain",'Map 4'!V24&lt;&gt;"Ocean",'Map 4'!V24&lt;&gt;"Trench")),CONCATENATE("Rainshadow ",'Map 4'!V24),'Map 4'!V24)</f>
        <v>Coast</v>
      </c>
      <c r="W24" s="3" t="str">
        <f ca="1">IF(OR(AND($AV24="⤵",'Map 4'!W25="Mountain",'Map 4'!W24&lt;&gt;"Mountain",'Map 4'!W24&lt;&gt;"Ocean",'Map 4'!W24&lt;&gt;"Trench"),AND($AV24="⤴",'Map 4'!W23="Mountain",'Map 4'!W24&lt;&gt;"Mountain",'Map 4'!W24&lt;&gt;"Ocean",'Map 4'!W24&lt;&gt;"Trench")),CONCATENATE("Rainshadow ",'Map 4'!W24),'Map 4'!W24)</f>
        <v>Coast</v>
      </c>
      <c r="X24" s="3" t="str">
        <f ca="1">IF(OR(AND($AV24="⤵",'Map 4'!X25="Mountain",'Map 4'!X24&lt;&gt;"Mountain",'Map 4'!X24&lt;&gt;"Ocean",'Map 4'!X24&lt;&gt;"Trench"),AND($AV24="⤴",'Map 4'!X23="Mountain",'Map 4'!X24&lt;&gt;"Mountain",'Map 4'!X24&lt;&gt;"Ocean",'Map 4'!X24&lt;&gt;"Trench")),CONCATENATE("Rainshadow ",'Map 4'!X24),'Map 4'!X24)</f>
        <v>Flatland</v>
      </c>
      <c r="Y24" s="3" t="str">
        <f ca="1">IF(OR(AND($AV24="⤵",'Map 4'!Y25="Mountain",'Map 4'!Y24&lt;&gt;"Mountain",'Map 4'!Y24&lt;&gt;"Ocean",'Map 4'!Y24&lt;&gt;"Trench"),AND($AV24="⤴",'Map 4'!Y23="Mountain",'Map 4'!Y24&lt;&gt;"Mountain",'Map 4'!Y24&lt;&gt;"Ocean",'Map 4'!Y24&lt;&gt;"Trench")),CONCATENATE("Rainshadow ",'Map 4'!Y24),'Map 4'!Y24)</f>
        <v>Coast</v>
      </c>
      <c r="Z24" s="3" t="str">
        <f ca="1">IF(OR(AND($AV24="⤵",'Map 4'!Z25="Mountain",'Map 4'!Z24&lt;&gt;"Mountain",'Map 4'!Z24&lt;&gt;"Ocean",'Map 4'!Z24&lt;&gt;"Trench"),AND($AV24="⤴",'Map 4'!Z23="Mountain",'Map 4'!Z24&lt;&gt;"Mountain",'Map 4'!Z24&lt;&gt;"Ocean",'Map 4'!Z24&lt;&gt;"Trench")),CONCATENATE("Rainshadow ",'Map 4'!Z24),'Map 4'!Z24)</f>
        <v>Coast</v>
      </c>
      <c r="AA24" s="3" t="str">
        <f ca="1">IF(OR(AND($AV24="⤵",'Map 4'!AA25="Mountain",'Map 4'!AA24&lt;&gt;"Mountain",'Map 4'!AA24&lt;&gt;"Ocean",'Map 4'!AA24&lt;&gt;"Trench"),AND($AV24="⤴",'Map 4'!AA23="Mountain",'Map 4'!AA24&lt;&gt;"Mountain",'Map 4'!AA24&lt;&gt;"Ocean",'Map 4'!AA24&lt;&gt;"Trench")),CONCATENATE("Rainshadow ",'Map 4'!AA24),'Map 4'!AA24)</f>
        <v>Island</v>
      </c>
      <c r="AB24" s="3" t="str">
        <f ca="1">IF(OR(AND($AV24="⤵",'Map 4'!AB25="Mountain",'Map 4'!AB24&lt;&gt;"Mountain",'Map 4'!AB24&lt;&gt;"Ocean",'Map 4'!AB24&lt;&gt;"Trench"),AND($AV24="⤴",'Map 4'!AB23="Mountain",'Map 4'!AB24&lt;&gt;"Mountain",'Map 4'!AB24&lt;&gt;"Ocean",'Map 4'!AB24&lt;&gt;"Trench")),CONCATENATE("Rainshadow ",'Map 4'!AB24),'Map 4'!AB24)</f>
        <v>Trench</v>
      </c>
      <c r="AC24" s="3" t="str">
        <f ca="1">IF(OR(AND($AV24="⤵",'Map 4'!AC25="Mountain",'Map 4'!AC24&lt;&gt;"Mountain",'Map 4'!AC24&lt;&gt;"Ocean",'Map 4'!AC24&lt;&gt;"Trench"),AND($AV24="⤴",'Map 4'!AC23="Mountain",'Map 4'!AC24&lt;&gt;"Mountain",'Map 4'!AC24&lt;&gt;"Ocean",'Map 4'!AC24&lt;&gt;"Trench")),CONCATENATE("Rainshadow ",'Map 4'!AC24),'Map 4'!AC24)</f>
        <v>Ocean</v>
      </c>
      <c r="AD24" s="3" t="str">
        <f ca="1">IF(OR(AND($AV24="⤵",'Map 4'!AD25="Mountain",'Map 4'!AD24&lt;&gt;"Mountain",'Map 4'!AD24&lt;&gt;"Ocean",'Map 4'!AD24&lt;&gt;"Trench"),AND($AV24="⤴",'Map 4'!AD23="Mountain",'Map 4'!AD24&lt;&gt;"Mountain",'Map 4'!AD24&lt;&gt;"Ocean",'Map 4'!AD24&lt;&gt;"Trench")),CONCATENATE("Rainshadow ",'Map 4'!AD24),'Map 4'!AD24)</f>
        <v>Trench</v>
      </c>
      <c r="AE24" s="3" t="str">
        <f ca="1">IF(OR(AND($AV24="⤵",'Map 4'!AE25="Mountain",'Map 4'!AE24&lt;&gt;"Mountain",'Map 4'!AE24&lt;&gt;"Ocean",'Map 4'!AE24&lt;&gt;"Trench"),AND($AV24="⤴",'Map 4'!AE23="Mountain",'Map 4'!AE24&lt;&gt;"Mountain",'Map 4'!AE24&lt;&gt;"Ocean",'Map 4'!AE24&lt;&gt;"Trench")),CONCATENATE("Rainshadow ",'Map 4'!AE24),'Map 4'!AE24)</f>
        <v>Trench</v>
      </c>
      <c r="AF24" s="3" t="str">
        <f ca="1">IF(OR(AND($AV24="⤵",'Map 4'!AF25="Mountain",'Map 4'!AF24&lt;&gt;"Mountain",'Map 4'!AF24&lt;&gt;"Ocean",'Map 4'!AF24&lt;&gt;"Trench"),AND($AV24="⤴",'Map 4'!AF23="Mountain",'Map 4'!AF24&lt;&gt;"Mountain",'Map 4'!AF24&lt;&gt;"Ocean",'Map 4'!AF24&lt;&gt;"Trench")),CONCATENATE("Rainshadow ",'Map 4'!AF24),'Map 4'!AF24)</f>
        <v>Ocean</v>
      </c>
      <c r="AG24" s="3" t="str">
        <f ca="1">IF(OR(AND($AV24="⤵",'Map 4'!AG25="Mountain",'Map 4'!AG24&lt;&gt;"Mountain",'Map 4'!AG24&lt;&gt;"Ocean",'Map 4'!AG24&lt;&gt;"Trench"),AND($AV24="⤴",'Map 4'!AG23="Mountain",'Map 4'!AG24&lt;&gt;"Mountain",'Map 4'!AG24&lt;&gt;"Ocean",'Map 4'!AG24&lt;&gt;"Trench")),CONCATENATE("Rainshadow ",'Map 4'!AG24),'Map 4'!AG24)</f>
        <v>Ocean</v>
      </c>
      <c r="AH24" s="3" t="str">
        <f ca="1">IF(OR(AND($AV24="⤵",'Map 4'!AH25="Mountain",'Map 4'!AH24&lt;&gt;"Mountain",'Map 4'!AH24&lt;&gt;"Ocean",'Map 4'!AH24&lt;&gt;"Trench"),AND($AV24="⤴",'Map 4'!AH23="Mountain",'Map 4'!AH24&lt;&gt;"Mountain",'Map 4'!AH24&lt;&gt;"Ocean",'Map 4'!AH24&lt;&gt;"Trench")),CONCATENATE("Rainshadow ",'Map 4'!AH24),'Map 4'!AH24)</f>
        <v>Trench</v>
      </c>
      <c r="AI24" s="3" t="str">
        <f ca="1">IF(OR(AND($AV24="⤵",'Map 4'!AI25="Mountain",'Map 4'!AI24&lt;&gt;"Mountain",'Map 4'!AI24&lt;&gt;"Ocean",'Map 4'!AI24&lt;&gt;"Trench"),AND($AV24="⤴",'Map 4'!AI23="Mountain",'Map 4'!AI24&lt;&gt;"Mountain",'Map 4'!AI24&lt;&gt;"Ocean",'Map 4'!AI24&lt;&gt;"Trench")),CONCATENATE("Rainshadow ",'Map 4'!AI24),'Map 4'!AI24)</f>
        <v>Ocean</v>
      </c>
      <c r="AJ24" s="3" t="str">
        <f ca="1">IF(OR(AND($AV24="⤵",'Map 4'!AJ25="Mountain",'Map 4'!AJ24&lt;&gt;"Mountain",'Map 4'!AJ24&lt;&gt;"Ocean",'Map 4'!AJ24&lt;&gt;"Trench"),AND($AV24="⤴",'Map 4'!AJ23="Mountain",'Map 4'!AJ24&lt;&gt;"Mountain",'Map 4'!AJ24&lt;&gt;"Ocean",'Map 4'!AJ24&lt;&gt;"Trench")),CONCATENATE("Rainshadow ",'Map 4'!AJ24),'Map 4'!AJ24)</f>
        <v>Ocean</v>
      </c>
      <c r="AK24" s="3" t="str">
        <f ca="1">IF(OR(AND($AV24="⤵",'Map 4'!AK25="Mountain",'Map 4'!AK24&lt;&gt;"Mountain",'Map 4'!AK24&lt;&gt;"Ocean",'Map 4'!AK24&lt;&gt;"Trench"),AND($AV24="⤴",'Map 4'!AK23="Mountain",'Map 4'!AK24&lt;&gt;"Mountain",'Map 4'!AK24&lt;&gt;"Ocean",'Map 4'!AK24&lt;&gt;"Trench")),CONCATENATE("Rainshadow ",'Map 4'!AK24),'Map 4'!AK24)</f>
        <v>Ocean</v>
      </c>
      <c r="AL24" s="3" t="str">
        <f ca="1">IF(OR(AND($AV24="⤵",'Map 4'!AL25="Mountain",'Map 4'!AL24&lt;&gt;"Mountain",'Map 4'!AL24&lt;&gt;"Ocean",'Map 4'!AL24&lt;&gt;"Trench"),AND($AV24="⤴",'Map 4'!AL23="Mountain",'Map 4'!AL24&lt;&gt;"Mountain",'Map 4'!AL24&lt;&gt;"Ocean",'Map 4'!AL24&lt;&gt;"Trench")),CONCATENATE("Rainshadow ",'Map 4'!AL24),'Map 4'!AL24)</f>
        <v>Ocean</v>
      </c>
      <c r="AM24" s="3" t="str">
        <f ca="1">IF(OR(AND($AV24="⤵",'Map 4'!AM25="Mountain",'Map 4'!AM24&lt;&gt;"Mountain",'Map 4'!AM24&lt;&gt;"Ocean",'Map 4'!AM24&lt;&gt;"Trench"),AND($AV24="⤴",'Map 4'!AM23="Mountain",'Map 4'!AM24&lt;&gt;"Mountain",'Map 4'!AM24&lt;&gt;"Ocean",'Map 4'!AM24&lt;&gt;"Trench")),CONCATENATE("Rainshadow ",'Map 4'!AM24),'Map 4'!AM24)</f>
        <v>Ocean</v>
      </c>
      <c r="AN24" s="3" t="str">
        <f ca="1">IF(OR(AND($AV24="⤵",'Map 4'!AN25="Mountain",'Map 4'!AN24&lt;&gt;"Mountain",'Map 4'!AN24&lt;&gt;"Ocean",'Map 4'!AN24&lt;&gt;"Trench"),AND($AV24="⤴",'Map 4'!AN23="Mountain",'Map 4'!AN24&lt;&gt;"Mountain",'Map 4'!AN24&lt;&gt;"Ocean",'Map 4'!AN24&lt;&gt;"Trench")),CONCATENATE("Rainshadow ",'Map 4'!AN24),'Map 4'!AN24)</f>
        <v>Ocean</v>
      </c>
      <c r="AO24" s="3" t="str">
        <f ca="1">IF(OR(AND($AV24="⤵",'Map 4'!AO25="Mountain",'Map 4'!AO24&lt;&gt;"Mountain",'Map 4'!AO24&lt;&gt;"Ocean",'Map 4'!AO24&lt;&gt;"Trench"),AND($AV24="⤴",'Map 4'!AO23="Mountain",'Map 4'!AO24&lt;&gt;"Mountain",'Map 4'!AO24&lt;&gt;"Ocean",'Map 4'!AO24&lt;&gt;"Trench")),CONCATENATE("Rainshadow ",'Map 4'!AO24),'Map 4'!AO24)</f>
        <v>Island</v>
      </c>
      <c r="AP24" s="3">
        <f t="shared" si="1"/>
        <v>56.15</v>
      </c>
      <c r="AQ24" s="3">
        <f t="shared" si="2"/>
        <v>133.07</v>
      </c>
      <c r="AR24" s="3"/>
      <c r="AS24" s="3">
        <f t="shared" si="3"/>
        <v>329.30000000000007</v>
      </c>
      <c r="AT24" s="41">
        <v>27</v>
      </c>
      <c r="AU24" s="41" t="str" cm="1">
        <f t="array" ref="AU24">_xlfn.IFS(AND(IF(AP24&lt;25,"Cold","Hot")="Cold",IF(AW24&gt;=0.5,"High","Low")="Low"),"Tundra",AND(IF(AP24&lt;25,"Cold","Hot")="Cold",IF(AW24&gt;=0.5,"High","Low")="High"),"Forest",AND(IF(AP24&lt;25,"Cold","Hot")="Hot",IF(AW24&gt;=0.5,"High","Low")="Low"),"Desert",AND(IF(AP24&lt;25,"Cold","Hot")="Hot",IF(AW24&gt;=0.5,"High","Low")="High"),"Rainforest")</f>
        <v>Desert</v>
      </c>
      <c r="AV24" s="41" t="str" cm="1">
        <f t="array" ref="AV24">_xlfn.IFS(AT24&lt;-90,"⤴",AND(AT24&gt;=-90,AT24&lt;-60),"⤴",AND(AT24&gt;=-60,AT24&lt;-30),"⤵",AND(AT24&gt;=-30,AT24&lt;0),"⤴",AND(AT24&gt;=0,AT24&lt;30),"⤵",AND(AT24&gt;=30,AT24&lt;60),"⤴",AT24&gt;=60,"⤵")</f>
        <v>⤵</v>
      </c>
      <c r="AW24" s="41">
        <f t="shared" si="4"/>
        <v>0.15999999999999992</v>
      </c>
    </row>
    <row r="25" spans="1:49" ht="15" customHeight="1">
      <c r="A25" s="3">
        <v>16</v>
      </c>
      <c r="B25" s="3" t="str">
        <f ca="1">IF(OR(AND($AV25="⤵",'Map 4'!B26="Mountain",'Map 4'!B25&lt;&gt;"Mountain",'Map 4'!B25&lt;&gt;"Ocean",'Map 4'!B25&lt;&gt;"Trench"),AND($AV25="⤴",'Map 4'!B24="Mountain",'Map 4'!B25&lt;&gt;"Mountain",'Map 4'!B25&lt;&gt;"Ocean",'Map 4'!B25&lt;&gt;"Trench")),CONCATENATE("Rainshadow ",'Map 4'!B25),'Map 4'!B25)</f>
        <v>Ocean</v>
      </c>
      <c r="C25" s="3" t="str">
        <f ca="1">IF(OR(AND($AV25="⤵",'Map 4'!C26="Mountain",'Map 4'!C25&lt;&gt;"Mountain",'Map 4'!C25&lt;&gt;"Ocean",'Map 4'!C25&lt;&gt;"Trench"),AND($AV25="⤴",'Map 4'!C24="Mountain",'Map 4'!C25&lt;&gt;"Mountain",'Map 4'!C25&lt;&gt;"Ocean",'Map 4'!C25&lt;&gt;"Trench")),CONCATENATE("Rainshadow ",'Map 4'!C25),'Map 4'!C25)</f>
        <v>Ocean</v>
      </c>
      <c r="D25" s="3" t="str">
        <f ca="1">IF(OR(AND($AV25="⤵",'Map 4'!D26="Mountain",'Map 4'!D25&lt;&gt;"Mountain",'Map 4'!D25&lt;&gt;"Ocean",'Map 4'!D25&lt;&gt;"Trench"),AND($AV25="⤴",'Map 4'!D24="Mountain",'Map 4'!D25&lt;&gt;"Mountain",'Map 4'!D25&lt;&gt;"Ocean",'Map 4'!D25&lt;&gt;"Trench")),CONCATENATE("Rainshadow ",'Map 4'!D25),'Map 4'!D25)</f>
        <v>Ocean</v>
      </c>
      <c r="E25" s="3" t="str">
        <f ca="1">IF(OR(AND($AV25="⤵",'Map 4'!E26="Mountain",'Map 4'!E25&lt;&gt;"Mountain",'Map 4'!E25&lt;&gt;"Ocean",'Map 4'!E25&lt;&gt;"Trench"),AND($AV25="⤴",'Map 4'!E24="Mountain",'Map 4'!E25&lt;&gt;"Mountain",'Map 4'!E25&lt;&gt;"Ocean",'Map 4'!E25&lt;&gt;"Trench")),CONCATENATE("Rainshadow ",'Map 4'!E25),'Map 4'!E25)</f>
        <v>Ocean</v>
      </c>
      <c r="F25" s="3" t="str">
        <f ca="1">IF(OR(AND($AV25="⤵",'Map 4'!F26="Mountain",'Map 4'!F25&lt;&gt;"Mountain",'Map 4'!F25&lt;&gt;"Ocean",'Map 4'!F25&lt;&gt;"Trench"),AND($AV25="⤴",'Map 4'!F24="Mountain",'Map 4'!F25&lt;&gt;"Mountain",'Map 4'!F25&lt;&gt;"Ocean",'Map 4'!F25&lt;&gt;"Trench")),CONCATENATE("Rainshadow ",'Map 4'!F25),'Map 4'!F25)</f>
        <v>Ocean</v>
      </c>
      <c r="G25" s="3" t="str">
        <f ca="1">IF(OR(AND($AV25="⤵",'Map 4'!G26="Mountain",'Map 4'!G25&lt;&gt;"Mountain",'Map 4'!G25&lt;&gt;"Ocean",'Map 4'!G25&lt;&gt;"Trench"),AND($AV25="⤴",'Map 4'!G24="Mountain",'Map 4'!G25&lt;&gt;"Mountain",'Map 4'!G25&lt;&gt;"Ocean",'Map 4'!G25&lt;&gt;"Trench")),CONCATENATE("Rainshadow ",'Map 4'!G25),'Map 4'!G25)</f>
        <v>Rainshadow Coast</v>
      </c>
      <c r="H25" s="3" t="str">
        <f ca="1">IF(OR(AND($AV25="⤵",'Map 4'!H26="Mountain",'Map 4'!H25&lt;&gt;"Mountain",'Map 4'!H25&lt;&gt;"Ocean",'Map 4'!H25&lt;&gt;"Trench"),AND($AV25="⤴",'Map 4'!H24="Mountain",'Map 4'!H25&lt;&gt;"Mountain",'Map 4'!H25&lt;&gt;"Ocean",'Map 4'!H25&lt;&gt;"Trench")),CONCATENATE("Rainshadow ",'Map 4'!H25),'Map 4'!H25)</f>
        <v>Valley</v>
      </c>
      <c r="I25" s="3" t="str">
        <f ca="1">IF(OR(AND($AV25="⤵",'Map 4'!I26="Mountain",'Map 4'!I25&lt;&gt;"Mountain",'Map 4'!I25&lt;&gt;"Ocean",'Map 4'!I25&lt;&gt;"Trench"),AND($AV25="⤴",'Map 4'!I24="Mountain",'Map 4'!I25&lt;&gt;"Mountain",'Map 4'!I25&lt;&gt;"Ocean",'Map 4'!I25&lt;&gt;"Trench")),CONCATENATE("Rainshadow ",'Map 4'!I25),'Map 4'!I25)</f>
        <v>Cliff</v>
      </c>
      <c r="J25" s="3" t="str">
        <f ca="1">IF(OR(AND($AV25="⤵",'Map 4'!J26="Mountain",'Map 4'!J25&lt;&gt;"Mountain",'Map 4'!J25&lt;&gt;"Ocean",'Map 4'!J25&lt;&gt;"Trench"),AND($AV25="⤴",'Map 4'!J24="Mountain",'Map 4'!J25&lt;&gt;"Mountain",'Map 4'!J25&lt;&gt;"Ocean",'Map 4'!J25&lt;&gt;"Trench")),CONCATENATE("Rainshadow ",'Map 4'!J25),'Map 4'!J25)</f>
        <v>Island</v>
      </c>
      <c r="K25" s="3" t="str">
        <f ca="1">IF(OR(AND($AV25="⤵",'Map 4'!K26="Mountain",'Map 4'!K25&lt;&gt;"Mountain",'Map 4'!K25&lt;&gt;"Ocean",'Map 4'!K25&lt;&gt;"Trench"),AND($AV25="⤴",'Map 4'!K24="Mountain",'Map 4'!K25&lt;&gt;"Mountain",'Map 4'!K25&lt;&gt;"Ocean",'Map 4'!K25&lt;&gt;"Trench")),CONCATENATE("Rainshadow ",'Map 4'!K25),'Map 4'!K25)</f>
        <v>Island</v>
      </c>
      <c r="L25" s="3" t="str">
        <f ca="1">IF(OR(AND($AV25="⤵",'Map 4'!L26="Mountain",'Map 4'!L25&lt;&gt;"Mountain",'Map 4'!L25&lt;&gt;"Ocean",'Map 4'!L25&lt;&gt;"Trench"),AND($AV25="⤴",'Map 4'!L24="Mountain",'Map 4'!L25&lt;&gt;"Mountain",'Map 4'!L25&lt;&gt;"Ocean",'Map 4'!L25&lt;&gt;"Trench")),CONCATENATE("Rainshadow ",'Map 4'!L25),'Map 4'!L25)</f>
        <v>Ocean</v>
      </c>
      <c r="M25" s="3" t="str">
        <f ca="1">IF(OR(AND($AV25="⤵",'Map 4'!M26="Mountain",'Map 4'!M25&lt;&gt;"Mountain",'Map 4'!M25&lt;&gt;"Ocean",'Map 4'!M25&lt;&gt;"Trench"),AND($AV25="⤴",'Map 4'!M24="Mountain",'Map 4'!M25&lt;&gt;"Mountain",'Map 4'!M25&lt;&gt;"Ocean",'Map 4'!M25&lt;&gt;"Trench")),CONCATENATE("Rainshadow ",'Map 4'!M25),'Map 4'!M25)</f>
        <v>Ocean</v>
      </c>
      <c r="N25" s="3" t="str">
        <f ca="1">IF(OR(AND($AV25="⤵",'Map 4'!N26="Mountain",'Map 4'!N25&lt;&gt;"Mountain",'Map 4'!N25&lt;&gt;"Ocean",'Map 4'!N25&lt;&gt;"Trench"),AND($AV25="⤴",'Map 4'!N24="Mountain",'Map 4'!N25&lt;&gt;"Mountain",'Map 4'!N25&lt;&gt;"Ocean",'Map 4'!N25&lt;&gt;"Trench")),CONCATENATE("Rainshadow ",'Map 4'!N25),'Map 4'!N25)</f>
        <v>Ocean</v>
      </c>
      <c r="O25" s="3" t="str">
        <f ca="1">IF(OR(AND($AV25="⤵",'Map 4'!O26="Mountain",'Map 4'!O25&lt;&gt;"Mountain",'Map 4'!O25&lt;&gt;"Ocean",'Map 4'!O25&lt;&gt;"Trench"),AND($AV25="⤴",'Map 4'!O24="Mountain",'Map 4'!O25&lt;&gt;"Mountain",'Map 4'!O25&lt;&gt;"Ocean",'Map 4'!O25&lt;&gt;"Trench")),CONCATENATE("Rainshadow ",'Map 4'!O25),'Map 4'!O25)</f>
        <v>Ocean</v>
      </c>
      <c r="P25" s="3" t="str">
        <f ca="1">IF(OR(AND($AV25="⤵",'Map 4'!P26="Mountain",'Map 4'!P25&lt;&gt;"Mountain",'Map 4'!P25&lt;&gt;"Ocean",'Map 4'!P25&lt;&gt;"Trench"),AND($AV25="⤴",'Map 4'!P24="Mountain",'Map 4'!P25&lt;&gt;"Mountain",'Map 4'!P25&lt;&gt;"Ocean",'Map 4'!P25&lt;&gt;"Trench")),CONCATENATE("Rainshadow ",'Map 4'!P25),'Map 4'!P25)</f>
        <v>Ocean</v>
      </c>
      <c r="Q25" s="3" t="str">
        <f ca="1">IF(OR(AND($AV25="⤵",'Map 4'!Q26="Mountain",'Map 4'!Q25&lt;&gt;"Mountain",'Map 4'!Q25&lt;&gt;"Ocean",'Map 4'!Q25&lt;&gt;"Trench"),AND($AV25="⤴",'Map 4'!Q24="Mountain",'Map 4'!Q25&lt;&gt;"Mountain",'Map 4'!Q25&lt;&gt;"Ocean",'Map 4'!Q25&lt;&gt;"Trench")),CONCATENATE("Rainshadow ",'Map 4'!Q25),'Map 4'!Q25)</f>
        <v>Trench</v>
      </c>
      <c r="R25" s="3" t="str">
        <f ca="1">IF(OR(AND($AV25="⤵",'Map 4'!R26="Mountain",'Map 4'!R25&lt;&gt;"Mountain",'Map 4'!R25&lt;&gt;"Ocean",'Map 4'!R25&lt;&gt;"Trench"),AND($AV25="⤴",'Map 4'!R24="Mountain",'Map 4'!R25&lt;&gt;"Mountain",'Map 4'!R25&lt;&gt;"Ocean",'Map 4'!R25&lt;&gt;"Trench")),CONCATENATE("Rainshadow ",'Map 4'!R25),'Map 4'!R25)</f>
        <v>Ocean</v>
      </c>
      <c r="S25" s="3" t="str">
        <f ca="1">IF(OR(AND($AV25="⤵",'Map 4'!S26="Mountain",'Map 4'!S25&lt;&gt;"Mountain",'Map 4'!S25&lt;&gt;"Ocean",'Map 4'!S25&lt;&gt;"Trench"),AND($AV25="⤴",'Map 4'!S24="Mountain",'Map 4'!S25&lt;&gt;"Mountain",'Map 4'!S25&lt;&gt;"Ocean",'Map 4'!S25&lt;&gt;"Trench")),CONCATENATE("Rainshadow ",'Map 4'!S25),'Map 4'!S25)</f>
        <v>Ocean</v>
      </c>
      <c r="T25" s="3" t="str">
        <f ca="1">IF(OR(AND($AV25="⤵",'Map 4'!T26="Mountain",'Map 4'!T25&lt;&gt;"Mountain",'Map 4'!T25&lt;&gt;"Ocean",'Map 4'!T25&lt;&gt;"Trench"),AND($AV25="⤴",'Map 4'!T24="Mountain",'Map 4'!T25&lt;&gt;"Mountain",'Map 4'!T25&lt;&gt;"Ocean",'Map 4'!T25&lt;&gt;"Trench")),CONCATENATE("Rainshadow ",'Map 4'!T25),'Map 4'!T25)</f>
        <v>Ocean</v>
      </c>
      <c r="U25" s="3" t="str">
        <f ca="1">IF(OR(AND($AV25="⤵",'Map 4'!U26="Mountain",'Map 4'!U25&lt;&gt;"Mountain",'Map 4'!U25&lt;&gt;"Ocean",'Map 4'!U25&lt;&gt;"Trench"),AND($AV25="⤴",'Map 4'!U24="Mountain",'Map 4'!U25&lt;&gt;"Mountain",'Map 4'!U25&lt;&gt;"Ocean",'Map 4'!U25&lt;&gt;"Trench")),CONCATENATE("Rainshadow ",'Map 4'!U25),'Map 4'!U25)</f>
        <v>Flatland</v>
      </c>
      <c r="V25" s="3" t="str">
        <f ca="1">IF(OR(AND($AV25="⤵",'Map 4'!V26="Mountain",'Map 4'!V25&lt;&gt;"Mountain",'Map 4'!V25&lt;&gt;"Ocean",'Map 4'!V25&lt;&gt;"Trench"),AND($AV25="⤴",'Map 4'!V24="Mountain",'Map 4'!V25&lt;&gt;"Mountain",'Map 4'!V25&lt;&gt;"Ocean",'Map 4'!V25&lt;&gt;"Trench")),CONCATENATE("Rainshadow ",'Map 4'!V25),'Map 4'!V25)</f>
        <v>Ocean</v>
      </c>
      <c r="W25" s="3" t="str">
        <f ca="1">IF(OR(AND($AV25="⤵",'Map 4'!W26="Mountain",'Map 4'!W25&lt;&gt;"Mountain",'Map 4'!W25&lt;&gt;"Ocean",'Map 4'!W25&lt;&gt;"Trench"),AND($AV25="⤴",'Map 4'!W24="Mountain",'Map 4'!W25&lt;&gt;"Mountain",'Map 4'!W25&lt;&gt;"Ocean",'Map 4'!W25&lt;&gt;"Trench")),CONCATENATE("Rainshadow ",'Map 4'!W25),'Map 4'!W25)</f>
        <v>Coast</v>
      </c>
      <c r="X25" s="3" t="str">
        <f ca="1">IF(OR(AND($AV25="⤵",'Map 4'!X26="Mountain",'Map 4'!X25&lt;&gt;"Mountain",'Map 4'!X25&lt;&gt;"Ocean",'Map 4'!X25&lt;&gt;"Trench"),AND($AV25="⤴",'Map 4'!X24="Mountain",'Map 4'!X25&lt;&gt;"Mountain",'Map 4'!X25&lt;&gt;"Ocean",'Map 4'!X25&lt;&gt;"Trench")),CONCATENATE("Rainshadow ",'Map 4'!X25),'Map 4'!X25)</f>
        <v>Coast</v>
      </c>
      <c r="Y25" s="3" t="str">
        <f ca="1">IF(OR(AND($AV25="⤵",'Map 4'!Y26="Mountain",'Map 4'!Y25&lt;&gt;"Mountain",'Map 4'!Y25&lt;&gt;"Ocean",'Map 4'!Y25&lt;&gt;"Trench"),AND($AV25="⤴",'Map 4'!Y24="Mountain",'Map 4'!Y25&lt;&gt;"Mountain",'Map 4'!Y25&lt;&gt;"Ocean",'Map 4'!Y25&lt;&gt;"Trench")),CONCATENATE("Rainshadow ",'Map 4'!Y25),'Map 4'!Y25)</f>
        <v>Coast</v>
      </c>
      <c r="Z25" s="3" t="str">
        <f ca="1">IF(OR(AND($AV25="⤵",'Map 4'!Z26="Mountain",'Map 4'!Z25&lt;&gt;"Mountain",'Map 4'!Z25&lt;&gt;"Ocean",'Map 4'!Z25&lt;&gt;"Trench"),AND($AV25="⤴",'Map 4'!Z24="Mountain",'Map 4'!Z25&lt;&gt;"Mountain",'Map 4'!Z25&lt;&gt;"Ocean",'Map 4'!Z25&lt;&gt;"Trench")),CONCATENATE("Rainshadow ",'Map 4'!Z25),'Map 4'!Z25)</f>
        <v>Ocean</v>
      </c>
      <c r="AA25" s="3" t="str">
        <f ca="1">IF(OR(AND($AV25="⤵",'Map 4'!AA26="Mountain",'Map 4'!AA25&lt;&gt;"Mountain",'Map 4'!AA25&lt;&gt;"Ocean",'Map 4'!AA25&lt;&gt;"Trench"),AND($AV25="⤴",'Map 4'!AA24="Mountain",'Map 4'!AA25&lt;&gt;"Mountain",'Map 4'!AA25&lt;&gt;"Ocean",'Map 4'!AA25&lt;&gt;"Trench")),CONCATENATE("Rainshadow ",'Map 4'!AA25),'Map 4'!AA25)</f>
        <v>Ocean</v>
      </c>
      <c r="AB25" s="3" t="str">
        <f ca="1">IF(OR(AND($AV25="⤵",'Map 4'!AB26="Mountain",'Map 4'!AB25&lt;&gt;"Mountain",'Map 4'!AB25&lt;&gt;"Ocean",'Map 4'!AB25&lt;&gt;"Trench"),AND($AV25="⤴",'Map 4'!AB24="Mountain",'Map 4'!AB25&lt;&gt;"Mountain",'Map 4'!AB25&lt;&gt;"Ocean",'Map 4'!AB25&lt;&gt;"Trench")),CONCATENATE("Rainshadow ",'Map 4'!AB25),'Map 4'!AB25)</f>
        <v>Ocean</v>
      </c>
      <c r="AC25" s="3" t="str">
        <f ca="1">IF(OR(AND($AV25="⤵",'Map 4'!AC26="Mountain",'Map 4'!AC25&lt;&gt;"Mountain",'Map 4'!AC25&lt;&gt;"Ocean",'Map 4'!AC25&lt;&gt;"Trench"),AND($AV25="⤴",'Map 4'!AC24="Mountain",'Map 4'!AC25&lt;&gt;"Mountain",'Map 4'!AC25&lt;&gt;"Ocean",'Map 4'!AC25&lt;&gt;"Trench")),CONCATENATE("Rainshadow ",'Map 4'!AC25),'Map 4'!AC25)</f>
        <v>Trench</v>
      </c>
      <c r="AD25" s="3" t="str">
        <f ca="1">IF(OR(AND($AV25="⤵",'Map 4'!AD26="Mountain",'Map 4'!AD25&lt;&gt;"Mountain",'Map 4'!AD25&lt;&gt;"Ocean",'Map 4'!AD25&lt;&gt;"Trench"),AND($AV25="⤴",'Map 4'!AD24="Mountain",'Map 4'!AD25&lt;&gt;"Mountain",'Map 4'!AD25&lt;&gt;"Ocean",'Map 4'!AD25&lt;&gt;"Trench")),CONCATENATE("Rainshadow ",'Map 4'!AD25),'Map 4'!AD25)</f>
        <v>Ocean</v>
      </c>
      <c r="AE25" s="3" t="str">
        <f ca="1">IF(OR(AND($AV25="⤵",'Map 4'!AE26="Mountain",'Map 4'!AE25&lt;&gt;"Mountain",'Map 4'!AE25&lt;&gt;"Ocean",'Map 4'!AE25&lt;&gt;"Trench"),AND($AV25="⤴",'Map 4'!AE24="Mountain",'Map 4'!AE25&lt;&gt;"Mountain",'Map 4'!AE25&lt;&gt;"Ocean",'Map 4'!AE25&lt;&gt;"Trench")),CONCATENATE("Rainshadow ",'Map 4'!AE25),'Map 4'!AE25)</f>
        <v>Trench</v>
      </c>
      <c r="AF25" s="3" t="str">
        <f ca="1">IF(OR(AND($AV25="⤵",'Map 4'!AF26="Mountain",'Map 4'!AF25&lt;&gt;"Mountain",'Map 4'!AF25&lt;&gt;"Ocean",'Map 4'!AF25&lt;&gt;"Trench"),AND($AV25="⤴",'Map 4'!AF24="Mountain",'Map 4'!AF25&lt;&gt;"Mountain",'Map 4'!AF25&lt;&gt;"Ocean",'Map 4'!AF25&lt;&gt;"Trench")),CONCATENATE("Rainshadow ",'Map 4'!AF25),'Map 4'!AF25)</f>
        <v>Ocean</v>
      </c>
      <c r="AG25" s="3" t="str">
        <f ca="1">IF(OR(AND($AV25="⤵",'Map 4'!AG26="Mountain",'Map 4'!AG25&lt;&gt;"Mountain",'Map 4'!AG25&lt;&gt;"Ocean",'Map 4'!AG25&lt;&gt;"Trench"),AND($AV25="⤴",'Map 4'!AG24="Mountain",'Map 4'!AG25&lt;&gt;"Mountain",'Map 4'!AG25&lt;&gt;"Ocean",'Map 4'!AG25&lt;&gt;"Trench")),CONCATENATE("Rainshadow ",'Map 4'!AG25),'Map 4'!AG25)</f>
        <v>Ocean</v>
      </c>
      <c r="AH25" s="3" t="str">
        <f ca="1">IF(OR(AND($AV25="⤵",'Map 4'!AH26="Mountain",'Map 4'!AH25&lt;&gt;"Mountain",'Map 4'!AH25&lt;&gt;"Ocean",'Map 4'!AH25&lt;&gt;"Trench"),AND($AV25="⤴",'Map 4'!AH24="Mountain",'Map 4'!AH25&lt;&gt;"Mountain",'Map 4'!AH25&lt;&gt;"Ocean",'Map 4'!AH25&lt;&gt;"Trench")),CONCATENATE("Rainshadow ",'Map 4'!AH25),'Map 4'!AH25)</f>
        <v>Ocean</v>
      </c>
      <c r="AI25" s="3" t="str">
        <f ca="1">IF(OR(AND($AV25="⤵",'Map 4'!AI26="Mountain",'Map 4'!AI25&lt;&gt;"Mountain",'Map 4'!AI25&lt;&gt;"Ocean",'Map 4'!AI25&lt;&gt;"Trench"),AND($AV25="⤴",'Map 4'!AI24="Mountain",'Map 4'!AI25&lt;&gt;"Mountain",'Map 4'!AI25&lt;&gt;"Ocean",'Map 4'!AI25&lt;&gt;"Trench")),CONCATENATE("Rainshadow ",'Map 4'!AI25),'Map 4'!AI25)</f>
        <v>Ocean</v>
      </c>
      <c r="AJ25" s="3" t="str">
        <f ca="1">IF(OR(AND($AV25="⤵",'Map 4'!AJ26="Mountain",'Map 4'!AJ25&lt;&gt;"Mountain",'Map 4'!AJ25&lt;&gt;"Ocean",'Map 4'!AJ25&lt;&gt;"Trench"),AND($AV25="⤴",'Map 4'!AJ24="Mountain",'Map 4'!AJ25&lt;&gt;"Mountain",'Map 4'!AJ25&lt;&gt;"Ocean",'Map 4'!AJ25&lt;&gt;"Trench")),CONCATENATE("Rainshadow ",'Map 4'!AJ25),'Map 4'!AJ25)</f>
        <v>Trench</v>
      </c>
      <c r="AK25" s="3" t="str">
        <f ca="1">IF(OR(AND($AV25="⤵",'Map 4'!AK26="Mountain",'Map 4'!AK25&lt;&gt;"Mountain",'Map 4'!AK25&lt;&gt;"Ocean",'Map 4'!AK25&lt;&gt;"Trench"),AND($AV25="⤴",'Map 4'!AK24="Mountain",'Map 4'!AK25&lt;&gt;"Mountain",'Map 4'!AK25&lt;&gt;"Ocean",'Map 4'!AK25&lt;&gt;"Trench")),CONCATENATE("Rainshadow ",'Map 4'!AK25),'Map 4'!AK25)</f>
        <v>Ocean</v>
      </c>
      <c r="AL25" s="3" t="str">
        <f ca="1">IF(OR(AND($AV25="⤵",'Map 4'!AL26="Mountain",'Map 4'!AL25&lt;&gt;"Mountain",'Map 4'!AL25&lt;&gt;"Ocean",'Map 4'!AL25&lt;&gt;"Trench"),AND($AV25="⤴",'Map 4'!AL24="Mountain",'Map 4'!AL25&lt;&gt;"Mountain",'Map 4'!AL25&lt;&gt;"Ocean",'Map 4'!AL25&lt;&gt;"Trench")),CONCATENATE("Rainshadow ",'Map 4'!AL25),'Map 4'!AL25)</f>
        <v>Ocean</v>
      </c>
      <c r="AM25" s="3" t="str">
        <f ca="1">IF(OR(AND($AV25="⤵",'Map 4'!AM26="Mountain",'Map 4'!AM25&lt;&gt;"Mountain",'Map 4'!AM25&lt;&gt;"Ocean",'Map 4'!AM25&lt;&gt;"Trench"),AND($AV25="⤴",'Map 4'!AM24="Mountain",'Map 4'!AM25&lt;&gt;"Mountain",'Map 4'!AM25&lt;&gt;"Ocean",'Map 4'!AM25&lt;&gt;"Trench")),CONCATENATE("Rainshadow ",'Map 4'!AM25),'Map 4'!AM25)</f>
        <v>Ocean</v>
      </c>
      <c r="AN25" s="3" t="str">
        <f ca="1">IF(OR(AND($AV25="⤵",'Map 4'!AN26="Mountain",'Map 4'!AN25&lt;&gt;"Mountain",'Map 4'!AN25&lt;&gt;"Ocean",'Map 4'!AN25&lt;&gt;"Trench"),AND($AV25="⤴",'Map 4'!AN24="Mountain",'Map 4'!AN25&lt;&gt;"Mountain",'Map 4'!AN25&lt;&gt;"Ocean",'Map 4'!AN25&lt;&gt;"Trench")),CONCATENATE("Rainshadow ",'Map 4'!AN25),'Map 4'!AN25)</f>
        <v>Ocean</v>
      </c>
      <c r="AO25" s="3" t="str">
        <f ca="1">IF(OR(AND($AV25="⤵",'Map 4'!AO26="Mountain",'Map 4'!AO25&lt;&gt;"Mountain",'Map 4'!AO25&lt;&gt;"Ocean",'Map 4'!AO25&lt;&gt;"Trench"),AND($AV25="⤴",'Map 4'!AO24="Mountain",'Map 4'!AO25&lt;&gt;"Mountain",'Map 4'!AO25&lt;&gt;"Ocean",'Map 4'!AO25&lt;&gt;"Trench")),CONCATENATE("Rainshadow ",'Map 4'!AO25),'Map 4'!AO25)</f>
        <v>Drop Off</v>
      </c>
      <c r="AP25" s="3">
        <f t="shared" si="1"/>
        <v>63.1</v>
      </c>
      <c r="AQ25" s="3">
        <f t="shared" si="2"/>
        <v>145.58000000000001</v>
      </c>
      <c r="AR25" s="3"/>
      <c r="AS25" s="3">
        <f t="shared" si="3"/>
        <v>336.25000000000006</v>
      </c>
      <c r="AT25" s="41">
        <v>22.5</v>
      </c>
      <c r="AU25" s="41" t="str" cm="1">
        <f t="array" ref="AU25">_xlfn.IFS(AND(IF(AP25&lt;25,"Cold","Hot")="Cold",IF(AW25&gt;=0.5,"High","Low")="Low"),"Tundra",AND(IF(AP25&lt;25,"Cold","Hot")="Cold",IF(AW25&gt;=0.5,"High","Low")="High"),"Forest",AND(IF(AP25&lt;25,"Cold","Hot")="Hot",IF(AW25&gt;=0.5,"High","Low")="Low"),"Desert",AND(IF(AP25&lt;25,"Cold","Hot")="Hot",IF(AW25&gt;=0.5,"High","Low")="High"),"Rainforest")</f>
        <v>Desert</v>
      </c>
      <c r="AV25" s="41" t="str" cm="1">
        <f t="array" ref="AV25">_xlfn.IFS(AT25&lt;-90,"⤴",AND(AT25&gt;=-90,AT25&lt;-60),"⤴",AND(AT25&gt;=-60,AT25&lt;-30),"⤵",AND(AT25&gt;=-30,AT25&lt;0),"⤴",AND(AT25&gt;=0,AT25&lt;30),"⤵",AND(AT25&gt;=30,AT25&lt;60),"⤴",AT25&gt;=60,"⤵")</f>
        <v>⤵</v>
      </c>
      <c r="AW25" s="41">
        <f t="shared" si="4"/>
        <v>0.29999999999999993</v>
      </c>
    </row>
    <row r="26" spans="1:49" ht="15" customHeight="1">
      <c r="A26" s="3">
        <v>17</v>
      </c>
      <c r="B26" s="3" t="str">
        <f ca="1">IF(OR(AND($AV26="⤵",'Map 4'!B27="Mountain",'Map 4'!B26&lt;&gt;"Mountain",'Map 4'!B26&lt;&gt;"Ocean",'Map 4'!B26&lt;&gt;"Trench"),AND($AV26="⤴",'Map 4'!B25="Mountain",'Map 4'!B26&lt;&gt;"Mountain",'Map 4'!B26&lt;&gt;"Ocean",'Map 4'!B26&lt;&gt;"Trench")),CONCATENATE("Rainshadow ",'Map 4'!B26),'Map 4'!B26)</f>
        <v>Ocean</v>
      </c>
      <c r="C26" s="3" t="str">
        <f ca="1">IF(OR(AND($AV26="⤵",'Map 4'!C27="Mountain",'Map 4'!C26&lt;&gt;"Mountain",'Map 4'!C26&lt;&gt;"Ocean",'Map 4'!C26&lt;&gt;"Trench"),AND($AV26="⤴",'Map 4'!C25="Mountain",'Map 4'!C26&lt;&gt;"Mountain",'Map 4'!C26&lt;&gt;"Ocean",'Map 4'!C26&lt;&gt;"Trench")),CONCATENATE("Rainshadow ",'Map 4'!C26),'Map 4'!C26)</f>
        <v>Ocean</v>
      </c>
      <c r="D26" s="3" t="str">
        <f ca="1">IF(OR(AND($AV26="⤵",'Map 4'!D27="Mountain",'Map 4'!D26&lt;&gt;"Mountain",'Map 4'!D26&lt;&gt;"Ocean",'Map 4'!D26&lt;&gt;"Trench"),AND($AV26="⤴",'Map 4'!D25="Mountain",'Map 4'!D26&lt;&gt;"Mountain",'Map 4'!D26&lt;&gt;"Ocean",'Map 4'!D26&lt;&gt;"Trench")),CONCATENATE("Rainshadow ",'Map 4'!D26),'Map 4'!D26)</f>
        <v>Coast</v>
      </c>
      <c r="E26" s="3" t="str">
        <f ca="1">IF(OR(AND($AV26="⤵",'Map 4'!E27="Mountain",'Map 4'!E26&lt;&gt;"Mountain",'Map 4'!E26&lt;&gt;"Ocean",'Map 4'!E26&lt;&gt;"Trench"),AND($AV26="⤴",'Map 4'!E25="Mountain",'Map 4'!E26&lt;&gt;"Mountain",'Map 4'!E26&lt;&gt;"Ocean",'Map 4'!E26&lt;&gt;"Trench")),CONCATENATE("Rainshadow ",'Map 4'!E26),'Map 4'!E26)</f>
        <v>Coast</v>
      </c>
      <c r="F26" s="3" t="str">
        <f ca="1">IF(OR(AND($AV26="⤵",'Map 4'!F27="Mountain",'Map 4'!F26&lt;&gt;"Mountain",'Map 4'!F26&lt;&gt;"Ocean",'Map 4'!F26&lt;&gt;"Trench"),AND($AV26="⤴",'Map 4'!F25="Mountain",'Map 4'!F26&lt;&gt;"Mountain",'Map 4'!F26&lt;&gt;"Ocean",'Map 4'!F26&lt;&gt;"Trench")),CONCATENATE("Rainshadow ",'Map 4'!F26),'Map 4'!F26)</f>
        <v>Ocean</v>
      </c>
      <c r="G26" s="3" t="str">
        <f ca="1">IF(OR(AND($AV26="⤵",'Map 4'!G27="Mountain",'Map 4'!G26&lt;&gt;"Mountain",'Map 4'!G26&lt;&gt;"Ocean",'Map 4'!G26&lt;&gt;"Trench"),AND($AV26="⤴",'Map 4'!G25="Mountain",'Map 4'!G26&lt;&gt;"Mountain",'Map 4'!G26&lt;&gt;"Ocean",'Map 4'!G26&lt;&gt;"Trench")),CONCATENATE("Rainshadow ",'Map 4'!G26),'Map 4'!G26)</f>
        <v>Mountain</v>
      </c>
      <c r="H26" s="3" t="str">
        <f ca="1">IF(OR(AND($AV26="⤵",'Map 4'!H27="Mountain",'Map 4'!H26&lt;&gt;"Mountain",'Map 4'!H26&lt;&gt;"Ocean",'Map 4'!H26&lt;&gt;"Trench"),AND($AV26="⤴",'Map 4'!H25="Mountain",'Map 4'!H26&lt;&gt;"Mountain",'Map 4'!H26&lt;&gt;"Ocean",'Map 4'!H26&lt;&gt;"Trench")),CONCATENATE("Rainshadow ",'Map 4'!H26),'Map 4'!H26)</f>
        <v>Flatland</v>
      </c>
      <c r="I26" s="3" t="str">
        <f ca="1">IF(OR(AND($AV26="⤵",'Map 4'!I27="Mountain",'Map 4'!I26&lt;&gt;"Mountain",'Map 4'!I26&lt;&gt;"Ocean",'Map 4'!I26&lt;&gt;"Trench"),AND($AV26="⤴",'Map 4'!I25="Mountain",'Map 4'!I26&lt;&gt;"Mountain",'Map 4'!I26&lt;&gt;"Ocean",'Map 4'!I26&lt;&gt;"Trench")),CONCATENATE("Rainshadow ",'Map 4'!I26),'Map 4'!I26)</f>
        <v>Island</v>
      </c>
      <c r="J26" s="3" t="str">
        <f ca="1">IF(OR(AND($AV26="⤵",'Map 4'!J27="Mountain",'Map 4'!J26&lt;&gt;"Mountain",'Map 4'!J26&lt;&gt;"Ocean",'Map 4'!J26&lt;&gt;"Trench"),AND($AV26="⤴",'Map 4'!J25="Mountain",'Map 4'!J26&lt;&gt;"Mountain",'Map 4'!J26&lt;&gt;"Ocean",'Map 4'!J26&lt;&gt;"Trench")),CONCATENATE("Rainshadow ",'Map 4'!J26),'Map 4'!J26)</f>
        <v>Ocean</v>
      </c>
      <c r="K26" s="3" t="str">
        <f ca="1">IF(OR(AND($AV26="⤵",'Map 4'!K27="Mountain",'Map 4'!K26&lt;&gt;"Mountain",'Map 4'!K26&lt;&gt;"Ocean",'Map 4'!K26&lt;&gt;"Trench"),AND($AV26="⤴",'Map 4'!K25="Mountain",'Map 4'!K26&lt;&gt;"Mountain",'Map 4'!K26&lt;&gt;"Ocean",'Map 4'!K26&lt;&gt;"Trench")),CONCATENATE("Rainshadow ",'Map 4'!K26),'Map 4'!K26)</f>
        <v>Island</v>
      </c>
      <c r="L26" s="3" t="str">
        <f ca="1">IF(OR(AND($AV26="⤵",'Map 4'!L27="Mountain",'Map 4'!L26&lt;&gt;"Mountain",'Map 4'!L26&lt;&gt;"Ocean",'Map 4'!L26&lt;&gt;"Trench"),AND($AV26="⤴",'Map 4'!L25="Mountain",'Map 4'!L26&lt;&gt;"Mountain",'Map 4'!L26&lt;&gt;"Ocean",'Map 4'!L26&lt;&gt;"Trench")),CONCATENATE("Rainshadow ",'Map 4'!L26),'Map 4'!L26)</f>
        <v>Island</v>
      </c>
      <c r="M26" s="3" t="str">
        <f ca="1">IF(OR(AND($AV26="⤵",'Map 4'!M27="Mountain",'Map 4'!M26&lt;&gt;"Mountain",'Map 4'!M26&lt;&gt;"Ocean",'Map 4'!M26&lt;&gt;"Trench"),AND($AV26="⤴",'Map 4'!M25="Mountain",'Map 4'!M26&lt;&gt;"Mountain",'Map 4'!M26&lt;&gt;"Ocean",'Map 4'!M26&lt;&gt;"Trench")),CONCATENATE("Rainshadow ",'Map 4'!M26),'Map 4'!M26)</f>
        <v>Ocean</v>
      </c>
      <c r="N26" s="3" t="str">
        <f ca="1">IF(OR(AND($AV26="⤵",'Map 4'!N27="Mountain",'Map 4'!N26&lt;&gt;"Mountain",'Map 4'!N26&lt;&gt;"Ocean",'Map 4'!N26&lt;&gt;"Trench"),AND($AV26="⤴",'Map 4'!N25="Mountain",'Map 4'!N26&lt;&gt;"Mountain",'Map 4'!N26&lt;&gt;"Ocean",'Map 4'!N26&lt;&gt;"Trench")),CONCATENATE("Rainshadow ",'Map 4'!N26),'Map 4'!N26)</f>
        <v>Ocean</v>
      </c>
      <c r="O26" s="3" t="str">
        <f ca="1">IF(OR(AND($AV26="⤵",'Map 4'!O27="Mountain",'Map 4'!O26&lt;&gt;"Mountain",'Map 4'!O26&lt;&gt;"Ocean",'Map 4'!O26&lt;&gt;"Trench"),AND($AV26="⤴",'Map 4'!O25="Mountain",'Map 4'!O26&lt;&gt;"Mountain",'Map 4'!O26&lt;&gt;"Ocean",'Map 4'!O26&lt;&gt;"Trench")),CONCATENATE("Rainshadow ",'Map 4'!O26),'Map 4'!O26)</f>
        <v>Ocean</v>
      </c>
      <c r="P26" s="3" t="str">
        <f ca="1">IF(OR(AND($AV26="⤵",'Map 4'!P27="Mountain",'Map 4'!P26&lt;&gt;"Mountain",'Map 4'!P26&lt;&gt;"Ocean",'Map 4'!P26&lt;&gt;"Trench"),AND($AV26="⤴",'Map 4'!P25="Mountain",'Map 4'!P26&lt;&gt;"Mountain",'Map 4'!P26&lt;&gt;"Ocean",'Map 4'!P26&lt;&gt;"Trench")),CONCATENATE("Rainshadow ",'Map 4'!P26),'Map 4'!P26)</f>
        <v>Trench</v>
      </c>
      <c r="Q26" s="3" t="str">
        <f ca="1">IF(OR(AND($AV26="⤵",'Map 4'!Q27="Mountain",'Map 4'!Q26&lt;&gt;"Mountain",'Map 4'!Q26&lt;&gt;"Ocean",'Map 4'!Q26&lt;&gt;"Trench"),AND($AV26="⤴",'Map 4'!Q25="Mountain",'Map 4'!Q26&lt;&gt;"Mountain",'Map 4'!Q26&lt;&gt;"Ocean",'Map 4'!Q26&lt;&gt;"Trench")),CONCATENATE("Rainshadow ",'Map 4'!Q26),'Map 4'!Q26)</f>
        <v>Coast</v>
      </c>
      <c r="R26" s="3" t="str">
        <f ca="1">IF(OR(AND($AV26="⤵",'Map 4'!R27="Mountain",'Map 4'!R26&lt;&gt;"Mountain",'Map 4'!R26&lt;&gt;"Ocean",'Map 4'!R26&lt;&gt;"Trench"),AND($AV26="⤴",'Map 4'!R25="Mountain",'Map 4'!R26&lt;&gt;"Mountain",'Map 4'!R26&lt;&gt;"Ocean",'Map 4'!R26&lt;&gt;"Trench")),CONCATENATE("Rainshadow ",'Map 4'!R26),'Map 4'!R26)</f>
        <v>Coast</v>
      </c>
      <c r="S26" s="3" t="str">
        <f ca="1">IF(OR(AND($AV26="⤵",'Map 4'!S27="Mountain",'Map 4'!S26&lt;&gt;"Mountain",'Map 4'!S26&lt;&gt;"Ocean",'Map 4'!S26&lt;&gt;"Trench"),AND($AV26="⤴",'Map 4'!S25="Mountain",'Map 4'!S26&lt;&gt;"Mountain",'Map 4'!S26&lt;&gt;"Ocean",'Map 4'!S26&lt;&gt;"Trench")),CONCATENATE("Rainshadow ",'Map 4'!S26),'Map 4'!S26)</f>
        <v>Coast</v>
      </c>
      <c r="T26" s="3" t="str">
        <f ca="1">IF(OR(AND($AV26="⤵",'Map 4'!T27="Mountain",'Map 4'!T26&lt;&gt;"Mountain",'Map 4'!T26&lt;&gt;"Ocean",'Map 4'!T26&lt;&gt;"Trench"),AND($AV26="⤴",'Map 4'!T25="Mountain",'Map 4'!T26&lt;&gt;"Mountain",'Map 4'!T26&lt;&gt;"Ocean",'Map 4'!T26&lt;&gt;"Trench")),CONCATENATE("Rainshadow ",'Map 4'!T26),'Map 4'!T26)</f>
        <v>Flatland</v>
      </c>
      <c r="U26" s="3" t="str">
        <f ca="1">IF(OR(AND($AV26="⤵",'Map 4'!U27="Mountain",'Map 4'!U26&lt;&gt;"Mountain",'Map 4'!U26&lt;&gt;"Ocean",'Map 4'!U26&lt;&gt;"Trench"),AND($AV26="⤴",'Map 4'!U25="Mountain",'Map 4'!U26&lt;&gt;"Mountain",'Map 4'!U26&lt;&gt;"Ocean",'Map 4'!U26&lt;&gt;"Trench")),CONCATENATE("Rainshadow ",'Map 4'!U26),'Map 4'!U26)</f>
        <v>Flatland</v>
      </c>
      <c r="V26" s="3" t="str">
        <f ca="1">IF(OR(AND($AV26="⤵",'Map 4'!V27="Mountain",'Map 4'!V26&lt;&gt;"Mountain",'Map 4'!V26&lt;&gt;"Ocean",'Map 4'!V26&lt;&gt;"Trench"),AND($AV26="⤴",'Map 4'!V25="Mountain",'Map 4'!V26&lt;&gt;"Mountain",'Map 4'!V26&lt;&gt;"Ocean",'Map 4'!V26&lt;&gt;"Trench")),CONCATENATE("Rainshadow ",'Map 4'!V26),'Map 4'!V26)</f>
        <v>Flatland</v>
      </c>
      <c r="W26" s="3" t="str">
        <f ca="1">IF(OR(AND($AV26="⤵",'Map 4'!W27="Mountain",'Map 4'!W26&lt;&gt;"Mountain",'Map 4'!W26&lt;&gt;"Ocean",'Map 4'!W26&lt;&gt;"Trench"),AND($AV26="⤴",'Map 4'!W25="Mountain",'Map 4'!W26&lt;&gt;"Mountain",'Map 4'!W26&lt;&gt;"Ocean",'Map 4'!W26&lt;&gt;"Trench")),CONCATENATE("Rainshadow ",'Map 4'!W26),'Map 4'!W26)</f>
        <v>Coast</v>
      </c>
      <c r="X26" s="3" t="str">
        <f ca="1">IF(OR(AND($AV26="⤵",'Map 4'!X27="Mountain",'Map 4'!X26&lt;&gt;"Mountain",'Map 4'!X26&lt;&gt;"Ocean",'Map 4'!X26&lt;&gt;"Trench"),AND($AV26="⤴",'Map 4'!X25="Mountain",'Map 4'!X26&lt;&gt;"Mountain",'Map 4'!X26&lt;&gt;"Ocean",'Map 4'!X26&lt;&gt;"Trench")),CONCATENATE("Rainshadow ",'Map 4'!X26),'Map 4'!X26)</f>
        <v>Flatland</v>
      </c>
      <c r="Y26" s="3" t="str">
        <f ca="1">IF(OR(AND($AV26="⤵",'Map 4'!Y27="Mountain",'Map 4'!Y26&lt;&gt;"Mountain",'Map 4'!Y26&lt;&gt;"Ocean",'Map 4'!Y26&lt;&gt;"Trench"),AND($AV26="⤴",'Map 4'!Y25="Mountain",'Map 4'!Y26&lt;&gt;"Mountain",'Map 4'!Y26&lt;&gt;"Ocean",'Map 4'!Y26&lt;&gt;"Trench")),CONCATENATE("Rainshadow ",'Map 4'!Y26),'Map 4'!Y26)</f>
        <v>Ocean</v>
      </c>
      <c r="Z26" s="3" t="str">
        <f ca="1">IF(OR(AND($AV26="⤵",'Map 4'!Z27="Mountain",'Map 4'!Z26&lt;&gt;"Mountain",'Map 4'!Z26&lt;&gt;"Ocean",'Map 4'!Z26&lt;&gt;"Trench"),AND($AV26="⤴",'Map 4'!Z25="Mountain",'Map 4'!Z26&lt;&gt;"Mountain",'Map 4'!Z26&lt;&gt;"Ocean",'Map 4'!Z26&lt;&gt;"Trench")),CONCATENATE("Rainshadow ",'Map 4'!Z26),'Map 4'!Z26)</f>
        <v>Trench</v>
      </c>
      <c r="AA26" s="3" t="str">
        <f ca="1">IF(OR(AND($AV26="⤵",'Map 4'!AA27="Mountain",'Map 4'!AA26&lt;&gt;"Mountain",'Map 4'!AA26&lt;&gt;"Ocean",'Map 4'!AA26&lt;&gt;"Trench"),AND($AV26="⤴",'Map 4'!AA25="Mountain",'Map 4'!AA26&lt;&gt;"Mountain",'Map 4'!AA26&lt;&gt;"Ocean",'Map 4'!AA26&lt;&gt;"Trench")),CONCATENATE("Rainshadow ",'Map 4'!AA26),'Map 4'!AA26)</f>
        <v>Island</v>
      </c>
      <c r="AB26" s="3" t="str">
        <f ca="1">IF(OR(AND($AV26="⤵",'Map 4'!AB27="Mountain",'Map 4'!AB26&lt;&gt;"Mountain",'Map 4'!AB26&lt;&gt;"Ocean",'Map 4'!AB26&lt;&gt;"Trench"),AND($AV26="⤴",'Map 4'!AB25="Mountain",'Map 4'!AB26&lt;&gt;"Mountain",'Map 4'!AB26&lt;&gt;"Ocean",'Map 4'!AB26&lt;&gt;"Trench")),CONCATENATE("Rainshadow ",'Map 4'!AB26),'Map 4'!AB26)</f>
        <v>Ocean</v>
      </c>
      <c r="AC26" s="3" t="str">
        <f ca="1">IF(OR(AND($AV26="⤵",'Map 4'!AC27="Mountain",'Map 4'!AC26&lt;&gt;"Mountain",'Map 4'!AC26&lt;&gt;"Ocean",'Map 4'!AC26&lt;&gt;"Trench"),AND($AV26="⤴",'Map 4'!AC25="Mountain",'Map 4'!AC26&lt;&gt;"Mountain",'Map 4'!AC26&lt;&gt;"Ocean",'Map 4'!AC26&lt;&gt;"Trench")),CONCATENATE("Rainshadow ",'Map 4'!AC26),'Map 4'!AC26)</f>
        <v>Ocean</v>
      </c>
      <c r="AD26" s="3" t="str">
        <f ca="1">IF(OR(AND($AV26="⤵",'Map 4'!AD27="Mountain",'Map 4'!AD26&lt;&gt;"Mountain",'Map 4'!AD26&lt;&gt;"Ocean",'Map 4'!AD26&lt;&gt;"Trench"),AND($AV26="⤴",'Map 4'!AD25="Mountain",'Map 4'!AD26&lt;&gt;"Mountain",'Map 4'!AD26&lt;&gt;"Ocean",'Map 4'!AD26&lt;&gt;"Trench")),CONCATENATE("Rainshadow ",'Map 4'!AD26),'Map 4'!AD26)</f>
        <v>Ocean</v>
      </c>
      <c r="AE26" s="3" t="str">
        <f ca="1">IF(OR(AND($AV26="⤵",'Map 4'!AE27="Mountain",'Map 4'!AE26&lt;&gt;"Mountain",'Map 4'!AE26&lt;&gt;"Ocean",'Map 4'!AE26&lt;&gt;"Trench"),AND($AV26="⤴",'Map 4'!AE25="Mountain",'Map 4'!AE26&lt;&gt;"Mountain",'Map 4'!AE26&lt;&gt;"Ocean",'Map 4'!AE26&lt;&gt;"Trench")),CONCATENATE("Rainshadow ",'Map 4'!AE26),'Map 4'!AE26)</f>
        <v>Island</v>
      </c>
      <c r="AF26" s="3" t="str">
        <f ca="1">IF(OR(AND($AV26="⤵",'Map 4'!AF27="Mountain",'Map 4'!AF26&lt;&gt;"Mountain",'Map 4'!AF26&lt;&gt;"Ocean",'Map 4'!AF26&lt;&gt;"Trench"),AND($AV26="⤴",'Map 4'!AF25="Mountain",'Map 4'!AF26&lt;&gt;"Mountain",'Map 4'!AF26&lt;&gt;"Ocean",'Map 4'!AF26&lt;&gt;"Trench")),CONCATENATE("Rainshadow ",'Map 4'!AF26),'Map 4'!AF26)</f>
        <v>Ocean</v>
      </c>
      <c r="AG26" s="3" t="str">
        <f ca="1">IF(OR(AND($AV26="⤵",'Map 4'!AG27="Mountain",'Map 4'!AG26&lt;&gt;"Mountain",'Map 4'!AG26&lt;&gt;"Ocean",'Map 4'!AG26&lt;&gt;"Trench"),AND($AV26="⤴",'Map 4'!AG25="Mountain",'Map 4'!AG26&lt;&gt;"Mountain",'Map 4'!AG26&lt;&gt;"Ocean",'Map 4'!AG26&lt;&gt;"Trench")),CONCATENATE("Rainshadow ",'Map 4'!AG26),'Map 4'!AG26)</f>
        <v>Trench</v>
      </c>
      <c r="AH26" s="3" t="str">
        <f ca="1">IF(OR(AND($AV26="⤵",'Map 4'!AH27="Mountain",'Map 4'!AH26&lt;&gt;"Mountain",'Map 4'!AH26&lt;&gt;"Ocean",'Map 4'!AH26&lt;&gt;"Trench"),AND($AV26="⤴",'Map 4'!AH25="Mountain",'Map 4'!AH26&lt;&gt;"Mountain",'Map 4'!AH26&lt;&gt;"Ocean",'Map 4'!AH26&lt;&gt;"Trench")),CONCATENATE("Rainshadow ",'Map 4'!AH26),'Map 4'!AH26)</f>
        <v>Trench</v>
      </c>
      <c r="AI26" s="3" t="str">
        <f ca="1">IF(OR(AND($AV26="⤵",'Map 4'!AI27="Mountain",'Map 4'!AI26&lt;&gt;"Mountain",'Map 4'!AI26&lt;&gt;"Ocean",'Map 4'!AI26&lt;&gt;"Trench"),AND($AV26="⤴",'Map 4'!AI25="Mountain",'Map 4'!AI26&lt;&gt;"Mountain",'Map 4'!AI26&lt;&gt;"Ocean",'Map 4'!AI26&lt;&gt;"Trench")),CONCATENATE("Rainshadow ",'Map 4'!AI26),'Map 4'!AI26)</f>
        <v>Ocean</v>
      </c>
      <c r="AJ26" s="3" t="str">
        <f ca="1">IF(OR(AND($AV26="⤵",'Map 4'!AJ27="Mountain",'Map 4'!AJ26&lt;&gt;"Mountain",'Map 4'!AJ26&lt;&gt;"Ocean",'Map 4'!AJ26&lt;&gt;"Trench"),AND($AV26="⤴",'Map 4'!AJ25="Mountain",'Map 4'!AJ26&lt;&gt;"Mountain",'Map 4'!AJ26&lt;&gt;"Ocean",'Map 4'!AJ26&lt;&gt;"Trench")),CONCATENATE("Rainshadow ",'Map 4'!AJ26),'Map 4'!AJ26)</f>
        <v>Ocean</v>
      </c>
      <c r="AK26" s="3" t="str">
        <f ca="1">IF(OR(AND($AV26="⤵",'Map 4'!AK27="Mountain",'Map 4'!AK26&lt;&gt;"Mountain",'Map 4'!AK26&lt;&gt;"Ocean",'Map 4'!AK26&lt;&gt;"Trench"),AND($AV26="⤴",'Map 4'!AK25="Mountain",'Map 4'!AK26&lt;&gt;"Mountain",'Map 4'!AK26&lt;&gt;"Ocean",'Map 4'!AK26&lt;&gt;"Trench")),CONCATENATE("Rainshadow ",'Map 4'!AK26),'Map 4'!AK26)</f>
        <v>Island</v>
      </c>
      <c r="AL26" s="3" t="str">
        <f ca="1">IF(OR(AND($AV26="⤵",'Map 4'!AL27="Mountain",'Map 4'!AL26&lt;&gt;"Mountain",'Map 4'!AL26&lt;&gt;"Ocean",'Map 4'!AL26&lt;&gt;"Trench"),AND($AV26="⤴",'Map 4'!AL25="Mountain",'Map 4'!AL26&lt;&gt;"Mountain",'Map 4'!AL26&lt;&gt;"Ocean",'Map 4'!AL26&lt;&gt;"Trench")),CONCATENATE("Rainshadow ",'Map 4'!AL26),'Map 4'!AL26)</f>
        <v>Ocean</v>
      </c>
      <c r="AM26" s="3" t="str">
        <f ca="1">IF(OR(AND($AV26="⤵",'Map 4'!AM27="Mountain",'Map 4'!AM26&lt;&gt;"Mountain",'Map 4'!AM26&lt;&gt;"Ocean",'Map 4'!AM26&lt;&gt;"Trench"),AND($AV26="⤴",'Map 4'!AM25="Mountain",'Map 4'!AM26&lt;&gt;"Mountain",'Map 4'!AM26&lt;&gt;"Ocean",'Map 4'!AM26&lt;&gt;"Trench")),CONCATENATE("Rainshadow ",'Map 4'!AM26),'Map 4'!AM26)</f>
        <v>Ocean</v>
      </c>
      <c r="AN26" s="3" t="str">
        <f ca="1">IF(OR(AND($AV26="⤵",'Map 4'!AN27="Mountain",'Map 4'!AN26&lt;&gt;"Mountain",'Map 4'!AN26&lt;&gt;"Ocean",'Map 4'!AN26&lt;&gt;"Trench"),AND($AV26="⤴",'Map 4'!AN25="Mountain",'Map 4'!AN26&lt;&gt;"Mountain",'Map 4'!AN26&lt;&gt;"Ocean",'Map 4'!AN26&lt;&gt;"Trench")),CONCATENATE("Rainshadow ",'Map 4'!AN26),'Map 4'!AN26)</f>
        <v>Ocean</v>
      </c>
      <c r="AO26" s="3" t="str">
        <f ca="1">IF(OR(AND($AV26="⤵",'Map 4'!AO27="Mountain",'Map 4'!AO26&lt;&gt;"Mountain",'Map 4'!AO26&lt;&gt;"Ocean",'Map 4'!AO26&lt;&gt;"Trench"),AND($AV26="⤴",'Map 4'!AO25="Mountain",'Map 4'!AO26&lt;&gt;"Mountain",'Map 4'!AO26&lt;&gt;"Ocean",'Map 4'!AO26&lt;&gt;"Trench")),CONCATENATE("Rainshadow ",'Map 4'!AO26),'Map 4'!AO26)</f>
        <v>Flatland</v>
      </c>
      <c r="AP26" s="3">
        <f t="shared" si="1"/>
        <v>70.05</v>
      </c>
      <c r="AQ26" s="3">
        <f t="shared" si="2"/>
        <v>158.09</v>
      </c>
      <c r="AR26" s="3"/>
      <c r="AS26" s="3">
        <f t="shared" si="3"/>
        <v>343.20000000000005</v>
      </c>
      <c r="AT26" s="41">
        <v>18</v>
      </c>
      <c r="AU26" s="41" t="str" cm="1">
        <f t="array" ref="AU26">_xlfn.IFS(AND(IF(AP26&lt;25,"Cold","Hot")="Cold",IF(AW26&gt;=0.5,"High","Low")="Low"),"Tundra",AND(IF(AP26&lt;25,"Cold","Hot")="Cold",IF(AW26&gt;=0.5,"High","Low")="High"),"Forest",AND(IF(AP26&lt;25,"Cold","Hot")="Hot",IF(AW26&gt;=0.5,"High","Low")="Low"),"Desert",AND(IF(AP26&lt;25,"Cold","Hot")="Hot",IF(AW26&gt;=0.5,"High","Low")="High"),"Rainforest")</f>
        <v>Desert</v>
      </c>
      <c r="AV26" s="41" t="str" cm="1">
        <f t="array" ref="AV26">_xlfn.IFS(AT26&lt;-90,"⤴",AND(AT26&gt;=-90,AT26&lt;-60),"⤴",AND(AT26&gt;=-60,AT26&lt;-30),"⤵",AND(AT26&gt;=-30,AT26&lt;0),"⤴",AND(AT26&gt;=0,AT26&lt;30),"⤵",AND(AT26&gt;=30,AT26&lt;60),"⤴",AT26&gt;=60,"⤵")</f>
        <v>⤵</v>
      </c>
      <c r="AW26" s="41">
        <f t="shared" si="4"/>
        <v>0.43999999999999995</v>
      </c>
    </row>
    <row r="27" spans="1:49" ht="15" customHeight="1">
      <c r="A27" s="3">
        <v>18</v>
      </c>
      <c r="B27" s="3" t="str">
        <f ca="1">IF(OR(AND($AV27="⤵",'Map 4'!B28="Mountain",'Map 4'!B27&lt;&gt;"Mountain",'Map 4'!B27&lt;&gt;"Ocean",'Map 4'!B27&lt;&gt;"Trench"),AND($AV27="⤴",'Map 4'!B26="Mountain",'Map 4'!B27&lt;&gt;"Mountain",'Map 4'!B27&lt;&gt;"Ocean",'Map 4'!B27&lt;&gt;"Trench")),CONCATENATE("Rainshadow ",'Map 4'!B27),'Map 4'!B27)</f>
        <v>Ocean</v>
      </c>
      <c r="C27" s="3" t="str">
        <f ca="1">IF(OR(AND($AV27="⤵",'Map 4'!C28="Mountain",'Map 4'!C27&lt;&gt;"Mountain",'Map 4'!C27&lt;&gt;"Ocean",'Map 4'!C27&lt;&gt;"Trench"),AND($AV27="⤴",'Map 4'!C26="Mountain",'Map 4'!C27&lt;&gt;"Mountain",'Map 4'!C27&lt;&gt;"Ocean",'Map 4'!C27&lt;&gt;"Trench")),CONCATENATE("Rainshadow ",'Map 4'!C27),'Map 4'!C27)</f>
        <v>Coast</v>
      </c>
      <c r="D27" s="3" t="str">
        <f ca="1">IF(OR(AND($AV27="⤵",'Map 4'!D28="Mountain",'Map 4'!D27&lt;&gt;"Mountain",'Map 4'!D27&lt;&gt;"Ocean",'Map 4'!D27&lt;&gt;"Trench"),AND($AV27="⤴",'Map 4'!D26="Mountain",'Map 4'!D27&lt;&gt;"Mountain",'Map 4'!D27&lt;&gt;"Ocean",'Map 4'!D27&lt;&gt;"Trench")),CONCATENATE("Rainshadow ",'Map 4'!D27),'Map 4'!D27)</f>
        <v>Flatland</v>
      </c>
      <c r="E27" s="3" t="str">
        <f ca="1">IF(OR(AND($AV27="⤵",'Map 4'!E28="Mountain",'Map 4'!E27&lt;&gt;"Mountain",'Map 4'!E27&lt;&gt;"Ocean",'Map 4'!E27&lt;&gt;"Trench"),AND($AV27="⤴",'Map 4'!E26="Mountain",'Map 4'!E27&lt;&gt;"Mountain",'Map 4'!E27&lt;&gt;"Ocean",'Map 4'!E27&lt;&gt;"Trench")),CONCATENATE("Rainshadow ",'Map 4'!E27),'Map 4'!E27)</f>
        <v>Coast</v>
      </c>
      <c r="F27" s="3" t="str">
        <f ca="1">IF(OR(AND($AV27="⤵",'Map 4'!F28="Mountain",'Map 4'!F27&lt;&gt;"Mountain",'Map 4'!F27&lt;&gt;"Ocean",'Map 4'!F27&lt;&gt;"Trench"),AND($AV27="⤴",'Map 4'!F26="Mountain",'Map 4'!F27&lt;&gt;"Mountain",'Map 4'!F27&lt;&gt;"Ocean",'Map 4'!F27&lt;&gt;"Trench")),CONCATENATE("Rainshadow ",'Map 4'!F27),'Map 4'!F27)</f>
        <v>Flatland</v>
      </c>
      <c r="G27" s="3" t="str">
        <f ca="1">IF(OR(AND($AV27="⤵",'Map 4'!G28="Mountain",'Map 4'!G27&lt;&gt;"Mountain",'Map 4'!G27&lt;&gt;"Ocean",'Map 4'!G27&lt;&gt;"Trench"),AND($AV27="⤴",'Map 4'!G26="Mountain",'Map 4'!G27&lt;&gt;"Mountain",'Map 4'!G27&lt;&gt;"Ocean",'Map 4'!G27&lt;&gt;"Trench")),CONCATENATE("Rainshadow ",'Map 4'!G27),'Map 4'!G27)</f>
        <v>Flatland</v>
      </c>
      <c r="H27" s="3" t="str">
        <f ca="1">IF(OR(AND($AV27="⤵",'Map 4'!H28="Mountain",'Map 4'!H27&lt;&gt;"Mountain",'Map 4'!H27&lt;&gt;"Ocean",'Map 4'!H27&lt;&gt;"Trench"),AND($AV27="⤴",'Map 4'!H26="Mountain",'Map 4'!H27&lt;&gt;"Mountain",'Map 4'!H27&lt;&gt;"Ocean",'Map 4'!H27&lt;&gt;"Trench")),CONCATENATE("Rainshadow ",'Map 4'!H27),'Map 4'!H27)</f>
        <v>Flatland</v>
      </c>
      <c r="I27" s="3" t="str">
        <f ca="1">IF(OR(AND($AV27="⤵",'Map 4'!I28="Mountain",'Map 4'!I27&lt;&gt;"Mountain",'Map 4'!I27&lt;&gt;"Ocean",'Map 4'!I27&lt;&gt;"Trench"),AND($AV27="⤴",'Map 4'!I26="Mountain",'Map 4'!I27&lt;&gt;"Mountain",'Map 4'!I27&lt;&gt;"Ocean",'Map 4'!I27&lt;&gt;"Trench")),CONCATENATE("Rainshadow ",'Map 4'!I27),'Map 4'!I27)</f>
        <v>Coast</v>
      </c>
      <c r="J27" s="3" t="str">
        <f ca="1">IF(OR(AND($AV27="⤵",'Map 4'!J28="Mountain",'Map 4'!J27&lt;&gt;"Mountain",'Map 4'!J27&lt;&gt;"Ocean",'Map 4'!J27&lt;&gt;"Trench"),AND($AV27="⤴",'Map 4'!J26="Mountain",'Map 4'!J27&lt;&gt;"Mountain",'Map 4'!J27&lt;&gt;"Ocean",'Map 4'!J27&lt;&gt;"Trench")),CONCATENATE("Rainshadow ",'Map 4'!J27),'Map 4'!J27)</f>
        <v>Coast</v>
      </c>
      <c r="K27" s="3" t="str">
        <f ca="1">IF(OR(AND($AV27="⤵",'Map 4'!K28="Mountain",'Map 4'!K27&lt;&gt;"Mountain",'Map 4'!K27&lt;&gt;"Ocean",'Map 4'!K27&lt;&gt;"Trench"),AND($AV27="⤴",'Map 4'!K26="Mountain",'Map 4'!K27&lt;&gt;"Mountain",'Map 4'!K27&lt;&gt;"Ocean",'Map 4'!K27&lt;&gt;"Trench")),CONCATENATE("Rainshadow ",'Map 4'!K27),'Map 4'!K27)</f>
        <v>Ocean</v>
      </c>
      <c r="L27" s="3" t="str">
        <f ca="1">IF(OR(AND($AV27="⤵",'Map 4'!L28="Mountain",'Map 4'!L27&lt;&gt;"Mountain",'Map 4'!L27&lt;&gt;"Ocean",'Map 4'!L27&lt;&gt;"Trench"),AND($AV27="⤴",'Map 4'!L26="Mountain",'Map 4'!L27&lt;&gt;"Mountain",'Map 4'!L27&lt;&gt;"Ocean",'Map 4'!L27&lt;&gt;"Trench")),CONCATENATE("Rainshadow ",'Map 4'!L27),'Map 4'!L27)</f>
        <v>Ocean</v>
      </c>
      <c r="M27" s="3" t="str">
        <f ca="1">IF(OR(AND($AV27="⤵",'Map 4'!M28="Mountain",'Map 4'!M27&lt;&gt;"Mountain",'Map 4'!M27&lt;&gt;"Ocean",'Map 4'!M27&lt;&gt;"Trench"),AND($AV27="⤴",'Map 4'!M26="Mountain",'Map 4'!M27&lt;&gt;"Mountain",'Map 4'!M27&lt;&gt;"Ocean",'Map 4'!M27&lt;&gt;"Trench")),CONCATENATE("Rainshadow ",'Map 4'!M27),'Map 4'!M27)</f>
        <v>Ocean</v>
      </c>
      <c r="N27" s="3" t="str">
        <f ca="1">IF(OR(AND($AV27="⤵",'Map 4'!N28="Mountain",'Map 4'!N27&lt;&gt;"Mountain",'Map 4'!N27&lt;&gt;"Ocean",'Map 4'!N27&lt;&gt;"Trench"),AND($AV27="⤴",'Map 4'!N26="Mountain",'Map 4'!N27&lt;&gt;"Mountain",'Map 4'!N27&lt;&gt;"Ocean",'Map 4'!N27&lt;&gt;"Trench")),CONCATENATE("Rainshadow ",'Map 4'!N27),'Map 4'!N27)</f>
        <v>Ocean</v>
      </c>
      <c r="O27" s="3" t="str">
        <f ca="1">IF(OR(AND($AV27="⤵",'Map 4'!O28="Mountain",'Map 4'!O27&lt;&gt;"Mountain",'Map 4'!O27&lt;&gt;"Ocean",'Map 4'!O27&lt;&gt;"Trench"),AND($AV27="⤴",'Map 4'!O26="Mountain",'Map 4'!O27&lt;&gt;"Mountain",'Map 4'!O27&lt;&gt;"Ocean",'Map 4'!O27&lt;&gt;"Trench")),CONCATENATE("Rainshadow ",'Map 4'!O27),'Map 4'!O27)</f>
        <v>Ocean</v>
      </c>
      <c r="P27" s="3" t="str">
        <f ca="1">IF(OR(AND($AV27="⤵",'Map 4'!P28="Mountain",'Map 4'!P27&lt;&gt;"Mountain",'Map 4'!P27&lt;&gt;"Ocean",'Map 4'!P27&lt;&gt;"Trench"),AND($AV27="⤴",'Map 4'!P26="Mountain",'Map 4'!P27&lt;&gt;"Mountain",'Map 4'!P27&lt;&gt;"Ocean",'Map 4'!P27&lt;&gt;"Trench")),CONCATENATE("Rainshadow ",'Map 4'!P27),'Map 4'!P27)</f>
        <v>Ocean</v>
      </c>
      <c r="Q27" s="3" t="str">
        <f ca="1">IF(OR(AND($AV27="⤵",'Map 4'!Q28="Mountain",'Map 4'!Q27&lt;&gt;"Mountain",'Map 4'!Q27&lt;&gt;"Ocean",'Map 4'!Q27&lt;&gt;"Trench"),AND($AV27="⤴",'Map 4'!Q26="Mountain",'Map 4'!Q27&lt;&gt;"Mountain",'Map 4'!Q27&lt;&gt;"Ocean",'Map 4'!Q27&lt;&gt;"Trench")),CONCATENATE("Rainshadow ",'Map 4'!Q27),'Map 4'!Q27)</f>
        <v>Coast</v>
      </c>
      <c r="R27" s="3" t="str">
        <f ca="1">IF(OR(AND($AV27="⤵",'Map 4'!R28="Mountain",'Map 4'!R27&lt;&gt;"Mountain",'Map 4'!R27&lt;&gt;"Ocean",'Map 4'!R27&lt;&gt;"Trench"),AND($AV27="⤴",'Map 4'!R26="Mountain",'Map 4'!R27&lt;&gt;"Mountain",'Map 4'!R27&lt;&gt;"Ocean",'Map 4'!R27&lt;&gt;"Trench")),CONCATENATE("Rainshadow ",'Map 4'!R27),'Map 4'!R27)</f>
        <v>Ocean</v>
      </c>
      <c r="S27" s="3" t="str">
        <f ca="1">IF(OR(AND($AV27="⤵",'Map 4'!S28="Mountain",'Map 4'!S27&lt;&gt;"Mountain",'Map 4'!S27&lt;&gt;"Ocean",'Map 4'!S27&lt;&gt;"Trench"),AND($AV27="⤴",'Map 4'!S26="Mountain",'Map 4'!S27&lt;&gt;"Mountain",'Map 4'!S27&lt;&gt;"Ocean",'Map 4'!S27&lt;&gt;"Trench")),CONCATENATE("Rainshadow ",'Map 4'!S27),'Map 4'!S27)</f>
        <v>Flatland</v>
      </c>
      <c r="T27" s="3" t="str">
        <f ca="1">IF(OR(AND($AV27="⤵",'Map 4'!T28="Mountain",'Map 4'!T27&lt;&gt;"Mountain",'Map 4'!T27&lt;&gt;"Ocean",'Map 4'!T27&lt;&gt;"Trench"),AND($AV27="⤴",'Map 4'!T26="Mountain",'Map 4'!T27&lt;&gt;"Mountain",'Map 4'!T27&lt;&gt;"Ocean",'Map 4'!T27&lt;&gt;"Trench")),CONCATENATE("Rainshadow ",'Map 4'!T27),'Map 4'!T27)</f>
        <v>Flatland</v>
      </c>
      <c r="U27" s="3" t="str">
        <f ca="1">IF(OR(AND($AV27="⤵",'Map 4'!U28="Mountain",'Map 4'!U27&lt;&gt;"Mountain",'Map 4'!U27&lt;&gt;"Ocean",'Map 4'!U27&lt;&gt;"Trench"),AND($AV27="⤴",'Map 4'!U26="Mountain",'Map 4'!U27&lt;&gt;"Mountain",'Map 4'!U27&lt;&gt;"Ocean",'Map 4'!U27&lt;&gt;"Trench")),CONCATENATE("Rainshadow ",'Map 4'!U27),'Map 4'!U27)</f>
        <v>Flatland</v>
      </c>
      <c r="V27" s="3" t="str">
        <f ca="1">IF(OR(AND($AV27="⤵",'Map 4'!V28="Mountain",'Map 4'!V27&lt;&gt;"Mountain",'Map 4'!V27&lt;&gt;"Ocean",'Map 4'!V27&lt;&gt;"Trench"),AND($AV27="⤴",'Map 4'!V26="Mountain",'Map 4'!V27&lt;&gt;"Mountain",'Map 4'!V27&lt;&gt;"Ocean",'Map 4'!V27&lt;&gt;"Trench")),CONCATENATE("Rainshadow ",'Map 4'!V27),'Map 4'!V27)</f>
        <v>Flatland</v>
      </c>
      <c r="W27" s="3" t="str">
        <f ca="1">IF(OR(AND($AV27="⤵",'Map 4'!W28="Mountain",'Map 4'!W27&lt;&gt;"Mountain",'Map 4'!W27&lt;&gt;"Ocean",'Map 4'!W27&lt;&gt;"Trench"),AND($AV27="⤴",'Map 4'!W26="Mountain",'Map 4'!W27&lt;&gt;"Mountain",'Map 4'!W27&lt;&gt;"Ocean",'Map 4'!W27&lt;&gt;"Trench")),CONCATENATE("Rainshadow ",'Map 4'!W27),'Map 4'!W27)</f>
        <v>Ocean</v>
      </c>
      <c r="X27" s="3" t="str">
        <f ca="1">IF(OR(AND($AV27="⤵",'Map 4'!X28="Mountain",'Map 4'!X27&lt;&gt;"Mountain",'Map 4'!X27&lt;&gt;"Ocean",'Map 4'!X27&lt;&gt;"Trench"),AND($AV27="⤴",'Map 4'!X26="Mountain",'Map 4'!X27&lt;&gt;"Mountain",'Map 4'!X27&lt;&gt;"Ocean",'Map 4'!X27&lt;&gt;"Trench")),CONCATENATE("Rainshadow ",'Map 4'!X27),'Map 4'!X27)</f>
        <v>Coast</v>
      </c>
      <c r="Y27" s="3" t="str">
        <f ca="1">IF(OR(AND($AV27="⤵",'Map 4'!Y28="Mountain",'Map 4'!Y27&lt;&gt;"Mountain",'Map 4'!Y27&lt;&gt;"Ocean",'Map 4'!Y27&lt;&gt;"Trench"),AND($AV27="⤴",'Map 4'!Y26="Mountain",'Map 4'!Y27&lt;&gt;"Mountain",'Map 4'!Y27&lt;&gt;"Ocean",'Map 4'!Y27&lt;&gt;"Trench")),CONCATENATE("Rainshadow ",'Map 4'!Y27),'Map 4'!Y27)</f>
        <v>Ocean</v>
      </c>
      <c r="Z27" s="3" t="str">
        <f ca="1">IF(OR(AND($AV27="⤵",'Map 4'!Z28="Mountain",'Map 4'!Z27&lt;&gt;"Mountain",'Map 4'!Z27&lt;&gt;"Ocean",'Map 4'!Z27&lt;&gt;"Trench"),AND($AV27="⤴",'Map 4'!Z26="Mountain",'Map 4'!Z27&lt;&gt;"Mountain",'Map 4'!Z27&lt;&gt;"Ocean",'Map 4'!Z27&lt;&gt;"Trench")),CONCATENATE("Rainshadow ",'Map 4'!Z27),'Map 4'!Z27)</f>
        <v>Island</v>
      </c>
      <c r="AA27" s="3" t="str">
        <f ca="1">IF(OR(AND($AV27="⤵",'Map 4'!AA28="Mountain",'Map 4'!AA27&lt;&gt;"Mountain",'Map 4'!AA27&lt;&gt;"Ocean",'Map 4'!AA27&lt;&gt;"Trench"),AND($AV27="⤴",'Map 4'!AA26="Mountain",'Map 4'!AA27&lt;&gt;"Mountain",'Map 4'!AA27&lt;&gt;"Ocean",'Map 4'!AA27&lt;&gt;"Trench")),CONCATENATE("Rainshadow ",'Map 4'!AA27),'Map 4'!AA27)</f>
        <v>Ocean</v>
      </c>
      <c r="AB27" s="3" t="str">
        <f ca="1">IF(OR(AND($AV27="⤵",'Map 4'!AB28="Mountain",'Map 4'!AB27&lt;&gt;"Mountain",'Map 4'!AB27&lt;&gt;"Ocean",'Map 4'!AB27&lt;&gt;"Trench"),AND($AV27="⤴",'Map 4'!AB26="Mountain",'Map 4'!AB27&lt;&gt;"Mountain",'Map 4'!AB27&lt;&gt;"Ocean",'Map 4'!AB27&lt;&gt;"Trench")),CONCATENATE("Rainshadow ",'Map 4'!AB27),'Map 4'!AB27)</f>
        <v>Ocean</v>
      </c>
      <c r="AC27" s="3" t="str">
        <f ca="1">IF(OR(AND($AV27="⤵",'Map 4'!AC28="Mountain",'Map 4'!AC27&lt;&gt;"Mountain",'Map 4'!AC27&lt;&gt;"Ocean",'Map 4'!AC27&lt;&gt;"Trench"),AND($AV27="⤴",'Map 4'!AC26="Mountain",'Map 4'!AC27&lt;&gt;"Mountain",'Map 4'!AC27&lt;&gt;"Ocean",'Map 4'!AC27&lt;&gt;"Trench")),CONCATENATE("Rainshadow ",'Map 4'!AC27),'Map 4'!AC27)</f>
        <v>Ocean</v>
      </c>
      <c r="AD27" s="3" t="str">
        <f ca="1">IF(OR(AND($AV27="⤵",'Map 4'!AD28="Mountain",'Map 4'!AD27&lt;&gt;"Mountain",'Map 4'!AD27&lt;&gt;"Ocean",'Map 4'!AD27&lt;&gt;"Trench"),AND($AV27="⤴",'Map 4'!AD26="Mountain",'Map 4'!AD27&lt;&gt;"Mountain",'Map 4'!AD27&lt;&gt;"Ocean",'Map 4'!AD27&lt;&gt;"Trench")),CONCATENATE("Rainshadow ",'Map 4'!AD27),'Map 4'!AD27)</f>
        <v>Ocean</v>
      </c>
      <c r="AE27" s="3" t="str">
        <f ca="1">IF(OR(AND($AV27="⤵",'Map 4'!AE28="Mountain",'Map 4'!AE27&lt;&gt;"Mountain",'Map 4'!AE27&lt;&gt;"Ocean",'Map 4'!AE27&lt;&gt;"Trench"),AND($AV27="⤴",'Map 4'!AE26="Mountain",'Map 4'!AE27&lt;&gt;"Mountain",'Map 4'!AE27&lt;&gt;"Ocean",'Map 4'!AE27&lt;&gt;"Trench")),CONCATENATE("Rainshadow ",'Map 4'!AE27),'Map 4'!AE27)</f>
        <v>Ocean</v>
      </c>
      <c r="AF27" s="3" t="str">
        <f ca="1">IF(OR(AND($AV27="⤵",'Map 4'!AF28="Mountain",'Map 4'!AF27&lt;&gt;"Mountain",'Map 4'!AF27&lt;&gt;"Ocean",'Map 4'!AF27&lt;&gt;"Trench"),AND($AV27="⤴",'Map 4'!AF26="Mountain",'Map 4'!AF27&lt;&gt;"Mountain",'Map 4'!AF27&lt;&gt;"Ocean",'Map 4'!AF27&lt;&gt;"Trench")),CONCATENATE("Rainshadow ",'Map 4'!AF27),'Map 4'!AF27)</f>
        <v>Ocean</v>
      </c>
      <c r="AG27" s="3" t="str">
        <f ca="1">IF(OR(AND($AV27="⤵",'Map 4'!AG28="Mountain",'Map 4'!AG27&lt;&gt;"Mountain",'Map 4'!AG27&lt;&gt;"Ocean",'Map 4'!AG27&lt;&gt;"Trench"),AND($AV27="⤴",'Map 4'!AG26="Mountain",'Map 4'!AG27&lt;&gt;"Mountain",'Map 4'!AG27&lt;&gt;"Ocean",'Map 4'!AG27&lt;&gt;"Trench")),CONCATENATE("Rainshadow ",'Map 4'!AG27),'Map 4'!AG27)</f>
        <v>Ocean</v>
      </c>
      <c r="AH27" s="3" t="str">
        <f ca="1">IF(OR(AND($AV27="⤵",'Map 4'!AH28="Mountain",'Map 4'!AH27&lt;&gt;"Mountain",'Map 4'!AH27&lt;&gt;"Ocean",'Map 4'!AH27&lt;&gt;"Trench"),AND($AV27="⤴",'Map 4'!AH26="Mountain",'Map 4'!AH27&lt;&gt;"Mountain",'Map 4'!AH27&lt;&gt;"Ocean",'Map 4'!AH27&lt;&gt;"Trench")),CONCATENATE("Rainshadow ",'Map 4'!AH27),'Map 4'!AH27)</f>
        <v>Ocean</v>
      </c>
      <c r="AI27" s="3" t="str">
        <f ca="1">IF(OR(AND($AV27="⤵",'Map 4'!AI28="Mountain",'Map 4'!AI27&lt;&gt;"Mountain",'Map 4'!AI27&lt;&gt;"Ocean",'Map 4'!AI27&lt;&gt;"Trench"),AND($AV27="⤴",'Map 4'!AI26="Mountain",'Map 4'!AI27&lt;&gt;"Mountain",'Map 4'!AI27&lt;&gt;"Ocean",'Map 4'!AI27&lt;&gt;"Trench")),CONCATENATE("Rainshadow ",'Map 4'!AI27),'Map 4'!AI27)</f>
        <v>Ocean</v>
      </c>
      <c r="AJ27" s="3" t="str">
        <f ca="1">IF(OR(AND($AV27="⤵",'Map 4'!AJ28="Mountain",'Map 4'!AJ27&lt;&gt;"Mountain",'Map 4'!AJ27&lt;&gt;"Ocean",'Map 4'!AJ27&lt;&gt;"Trench"),AND($AV27="⤴",'Map 4'!AJ26="Mountain",'Map 4'!AJ27&lt;&gt;"Mountain",'Map 4'!AJ27&lt;&gt;"Ocean",'Map 4'!AJ27&lt;&gt;"Trench")),CONCATENATE("Rainshadow ",'Map 4'!AJ27),'Map 4'!AJ27)</f>
        <v>Ocean</v>
      </c>
      <c r="AK27" s="3" t="str">
        <f ca="1">IF(OR(AND($AV27="⤵",'Map 4'!AK28="Mountain",'Map 4'!AK27&lt;&gt;"Mountain",'Map 4'!AK27&lt;&gt;"Ocean",'Map 4'!AK27&lt;&gt;"Trench"),AND($AV27="⤴",'Map 4'!AK26="Mountain",'Map 4'!AK27&lt;&gt;"Mountain",'Map 4'!AK27&lt;&gt;"Ocean",'Map 4'!AK27&lt;&gt;"Trench")),CONCATENATE("Rainshadow ",'Map 4'!AK27),'Map 4'!AK27)</f>
        <v>Ocean</v>
      </c>
      <c r="AL27" s="3" t="str">
        <f ca="1">IF(OR(AND($AV27="⤵",'Map 4'!AL28="Mountain",'Map 4'!AL27&lt;&gt;"Mountain",'Map 4'!AL27&lt;&gt;"Ocean",'Map 4'!AL27&lt;&gt;"Trench"),AND($AV27="⤴",'Map 4'!AL26="Mountain",'Map 4'!AL27&lt;&gt;"Mountain",'Map 4'!AL27&lt;&gt;"Ocean",'Map 4'!AL27&lt;&gt;"Trench")),CONCATENATE("Rainshadow ",'Map 4'!AL27),'Map 4'!AL27)</f>
        <v>Ocean</v>
      </c>
      <c r="AM27" s="3" t="str">
        <f ca="1">IF(OR(AND($AV27="⤵",'Map 4'!AM28="Mountain",'Map 4'!AM27&lt;&gt;"Mountain",'Map 4'!AM27&lt;&gt;"Ocean",'Map 4'!AM27&lt;&gt;"Trench"),AND($AV27="⤴",'Map 4'!AM26="Mountain",'Map 4'!AM27&lt;&gt;"Mountain",'Map 4'!AM27&lt;&gt;"Ocean",'Map 4'!AM27&lt;&gt;"Trench")),CONCATENATE("Rainshadow ",'Map 4'!AM27),'Map 4'!AM27)</f>
        <v>Ocean</v>
      </c>
      <c r="AN27" s="3" t="str">
        <f ca="1">IF(OR(AND($AV27="⤵",'Map 4'!AN28="Mountain",'Map 4'!AN27&lt;&gt;"Mountain",'Map 4'!AN27&lt;&gt;"Ocean",'Map 4'!AN27&lt;&gt;"Trench"),AND($AV27="⤴",'Map 4'!AN26="Mountain",'Map 4'!AN27&lt;&gt;"Mountain",'Map 4'!AN27&lt;&gt;"Ocean",'Map 4'!AN27&lt;&gt;"Trench")),CONCATENATE("Rainshadow ",'Map 4'!AN27),'Map 4'!AN27)</f>
        <v>Ocean</v>
      </c>
      <c r="AO27" s="3" t="str">
        <f ca="1">IF(OR(AND($AV27="⤵",'Map 4'!AO28="Mountain",'Map 4'!AO27&lt;&gt;"Mountain",'Map 4'!AO27&lt;&gt;"Ocean",'Map 4'!AO27&lt;&gt;"Trench"),AND($AV27="⤴",'Map 4'!AO26="Mountain",'Map 4'!AO27&lt;&gt;"Mountain",'Map 4'!AO27&lt;&gt;"Ocean",'Map 4'!AO27&lt;&gt;"Trench")),CONCATENATE("Rainshadow ",'Map 4'!AO27),'Map 4'!AO27)</f>
        <v>Rainshadow Flatland</v>
      </c>
      <c r="AP27" s="3">
        <f t="shared" si="1"/>
        <v>77</v>
      </c>
      <c r="AQ27" s="3">
        <f t="shared" si="2"/>
        <v>170.6</v>
      </c>
      <c r="AR27" s="3"/>
      <c r="AS27" s="3">
        <f t="shared" si="3"/>
        <v>350.15000000000003</v>
      </c>
      <c r="AT27" s="41">
        <v>13.5</v>
      </c>
      <c r="AU27" s="41" t="str" cm="1">
        <f t="array" ref="AU27">_xlfn.IFS(AND(IF(AP27&lt;25,"Cold","Hot")="Cold",IF(AW27&gt;=0.5,"High","Low")="Low"),"Tundra",AND(IF(AP27&lt;25,"Cold","Hot")="Cold",IF(AW27&gt;=0.5,"High","Low")="High"),"Forest",AND(IF(AP27&lt;25,"Cold","Hot")="Hot",IF(AW27&gt;=0.5,"High","Low")="Low"),"Desert",AND(IF(AP27&lt;25,"Cold","Hot")="Hot",IF(AW27&gt;=0.5,"High","Low")="High"),"Rainforest")</f>
        <v>Rainforest</v>
      </c>
      <c r="AV27" s="41" t="str" cm="1">
        <f t="array" ref="AV27">_xlfn.IFS(AT27&lt;-90,"⤴",AND(AT27&gt;=-90,AT27&lt;-60),"⤴",AND(AT27&gt;=-60,AT27&lt;-30),"⤵",AND(AT27&gt;=-30,AT27&lt;0),"⤴",AND(AT27&gt;=0,AT27&lt;30),"⤵",AND(AT27&gt;=30,AT27&lt;60),"⤴",AT27&gt;=60,"⤵")</f>
        <v>⤵</v>
      </c>
      <c r="AW27" s="41">
        <f t="shared" si="4"/>
        <v>0.57999999999999996</v>
      </c>
    </row>
    <row r="28" spans="1:49" ht="15" customHeight="1">
      <c r="A28" s="3">
        <v>19</v>
      </c>
      <c r="B28" s="3" t="str">
        <f ca="1">IF(OR(AND($AV28="⤵",'Map 4'!B29="Mountain",'Map 4'!B28&lt;&gt;"Mountain",'Map 4'!B28&lt;&gt;"Ocean",'Map 4'!B28&lt;&gt;"Trench"),AND($AV28="⤴",'Map 4'!B27="Mountain",'Map 4'!B28&lt;&gt;"Mountain",'Map 4'!B28&lt;&gt;"Ocean",'Map 4'!B28&lt;&gt;"Trench")),CONCATENATE("Rainshadow ",'Map 4'!B28),'Map 4'!B28)</f>
        <v>Valley</v>
      </c>
      <c r="C28" s="3" t="str">
        <f ca="1">IF(OR(AND($AV28="⤵",'Map 4'!C29="Mountain",'Map 4'!C28&lt;&gt;"Mountain",'Map 4'!C28&lt;&gt;"Ocean",'Map 4'!C28&lt;&gt;"Trench"),AND($AV28="⤴",'Map 4'!C27="Mountain",'Map 4'!C28&lt;&gt;"Mountain",'Map 4'!C28&lt;&gt;"Ocean",'Map 4'!C28&lt;&gt;"Trench")),CONCATENATE("Rainshadow ",'Map 4'!C28),'Map 4'!C28)</f>
        <v>Flatland</v>
      </c>
      <c r="D28" s="3" t="str">
        <f ca="1">IF(OR(AND($AV28="⤵",'Map 4'!D29="Mountain",'Map 4'!D28&lt;&gt;"Mountain",'Map 4'!D28&lt;&gt;"Ocean",'Map 4'!D28&lt;&gt;"Trench"),AND($AV28="⤴",'Map 4'!D27="Mountain",'Map 4'!D28&lt;&gt;"Mountain",'Map 4'!D28&lt;&gt;"Ocean",'Map 4'!D28&lt;&gt;"Trench")),CONCATENATE("Rainshadow ",'Map 4'!D28),'Map 4'!D28)</f>
        <v>Flatland</v>
      </c>
      <c r="E28" s="3" t="str">
        <f ca="1">IF(OR(AND($AV28="⤵",'Map 4'!E29="Mountain",'Map 4'!E28&lt;&gt;"Mountain",'Map 4'!E28&lt;&gt;"Ocean",'Map 4'!E28&lt;&gt;"Trench"),AND($AV28="⤴",'Map 4'!E27="Mountain",'Map 4'!E28&lt;&gt;"Mountain",'Map 4'!E28&lt;&gt;"Ocean",'Map 4'!E28&lt;&gt;"Trench")),CONCATENATE("Rainshadow ",'Map 4'!E28),'Map 4'!E28)</f>
        <v>Flatland</v>
      </c>
      <c r="F28" s="3" t="str">
        <f ca="1">IF(OR(AND($AV28="⤵",'Map 4'!F29="Mountain",'Map 4'!F28&lt;&gt;"Mountain",'Map 4'!F28&lt;&gt;"Ocean",'Map 4'!F28&lt;&gt;"Trench"),AND($AV28="⤴",'Map 4'!F27="Mountain",'Map 4'!F28&lt;&gt;"Mountain",'Map 4'!F28&lt;&gt;"Ocean",'Map 4'!F28&lt;&gt;"Trench")),CONCATENATE("Rainshadow ",'Map 4'!F28),'Map 4'!F28)</f>
        <v>Flatland</v>
      </c>
      <c r="G28" s="3" t="str">
        <f ca="1">IF(OR(AND($AV28="⤵",'Map 4'!G29="Mountain",'Map 4'!G28&lt;&gt;"Mountain",'Map 4'!G28&lt;&gt;"Ocean",'Map 4'!G28&lt;&gt;"Trench"),AND($AV28="⤴",'Map 4'!G27="Mountain",'Map 4'!G28&lt;&gt;"Mountain",'Map 4'!G28&lt;&gt;"Ocean",'Map 4'!G28&lt;&gt;"Trench")),CONCATENATE("Rainshadow ",'Map 4'!G28),'Map 4'!G28)</f>
        <v>Flatland</v>
      </c>
      <c r="H28" s="3" t="str">
        <f ca="1">IF(OR(AND($AV28="⤵",'Map 4'!H29="Mountain",'Map 4'!H28&lt;&gt;"Mountain",'Map 4'!H28&lt;&gt;"Ocean",'Map 4'!H28&lt;&gt;"Trench"),AND($AV28="⤴",'Map 4'!H27="Mountain",'Map 4'!H28&lt;&gt;"Mountain",'Map 4'!H28&lt;&gt;"Ocean",'Map 4'!H28&lt;&gt;"Trench")),CONCATENATE("Rainshadow ",'Map 4'!H28),'Map 4'!H28)</f>
        <v>Flatland</v>
      </c>
      <c r="I28" s="3" t="str">
        <f ca="1">IF(OR(AND($AV28="⤵",'Map 4'!I29="Mountain",'Map 4'!I28&lt;&gt;"Mountain",'Map 4'!I28&lt;&gt;"Ocean",'Map 4'!I28&lt;&gt;"Trench"),AND($AV28="⤴",'Map 4'!I27="Mountain",'Map 4'!I28&lt;&gt;"Mountain",'Map 4'!I28&lt;&gt;"Ocean",'Map 4'!I28&lt;&gt;"Trench")),CONCATENATE("Rainshadow ",'Map 4'!I28),'Map 4'!I28)</f>
        <v>Flatland</v>
      </c>
      <c r="J28" s="3" t="str">
        <f ca="1">IF(OR(AND($AV28="⤵",'Map 4'!J29="Mountain",'Map 4'!J28&lt;&gt;"Mountain",'Map 4'!J28&lt;&gt;"Ocean",'Map 4'!J28&lt;&gt;"Trench"),AND($AV28="⤴",'Map 4'!J27="Mountain",'Map 4'!J28&lt;&gt;"Mountain",'Map 4'!J28&lt;&gt;"Ocean",'Map 4'!J28&lt;&gt;"Trench")),CONCATENATE("Rainshadow ",'Map 4'!J28),'Map 4'!J28)</f>
        <v>Ocean</v>
      </c>
      <c r="K28" s="3" t="str">
        <f ca="1">IF(OR(AND($AV28="⤵",'Map 4'!K29="Mountain",'Map 4'!K28&lt;&gt;"Mountain",'Map 4'!K28&lt;&gt;"Ocean",'Map 4'!K28&lt;&gt;"Trench"),AND($AV28="⤴",'Map 4'!K27="Mountain",'Map 4'!K28&lt;&gt;"Mountain",'Map 4'!K28&lt;&gt;"Ocean",'Map 4'!K28&lt;&gt;"Trench")),CONCATENATE("Rainshadow ",'Map 4'!K28),'Map 4'!K28)</f>
        <v>Ocean</v>
      </c>
      <c r="L28" s="3" t="str">
        <f ca="1">IF(OR(AND($AV28="⤵",'Map 4'!L29="Mountain",'Map 4'!L28&lt;&gt;"Mountain",'Map 4'!L28&lt;&gt;"Ocean",'Map 4'!L28&lt;&gt;"Trench"),AND($AV28="⤴",'Map 4'!L27="Mountain",'Map 4'!L28&lt;&gt;"Mountain",'Map 4'!L28&lt;&gt;"Ocean",'Map 4'!L28&lt;&gt;"Trench")),CONCATENATE("Rainshadow ",'Map 4'!L28),'Map 4'!L28)</f>
        <v>Island</v>
      </c>
      <c r="M28" s="3" t="str">
        <f ca="1">IF(OR(AND($AV28="⤵",'Map 4'!M29="Mountain",'Map 4'!M28&lt;&gt;"Mountain",'Map 4'!M28&lt;&gt;"Ocean",'Map 4'!M28&lt;&gt;"Trench"),AND($AV28="⤴",'Map 4'!M27="Mountain",'Map 4'!M28&lt;&gt;"Mountain",'Map 4'!M28&lt;&gt;"Ocean",'Map 4'!M28&lt;&gt;"Trench")),CONCATENATE("Rainshadow ",'Map 4'!M28),'Map 4'!M28)</f>
        <v>Island</v>
      </c>
      <c r="N28" s="3" t="str">
        <f ca="1">IF(OR(AND($AV28="⤵",'Map 4'!N29="Mountain",'Map 4'!N28&lt;&gt;"Mountain",'Map 4'!N28&lt;&gt;"Ocean",'Map 4'!N28&lt;&gt;"Trench"),AND($AV28="⤴",'Map 4'!N27="Mountain",'Map 4'!N28&lt;&gt;"Mountain",'Map 4'!N28&lt;&gt;"Ocean",'Map 4'!N28&lt;&gt;"Trench")),CONCATENATE("Rainshadow ",'Map 4'!N28),'Map 4'!N28)</f>
        <v>Ocean</v>
      </c>
      <c r="O28" s="3" t="str">
        <f ca="1">IF(OR(AND($AV28="⤵",'Map 4'!O29="Mountain",'Map 4'!O28&lt;&gt;"Mountain",'Map 4'!O28&lt;&gt;"Ocean",'Map 4'!O28&lt;&gt;"Trench"),AND($AV28="⤴",'Map 4'!O27="Mountain",'Map 4'!O28&lt;&gt;"Mountain",'Map 4'!O28&lt;&gt;"Ocean",'Map 4'!O28&lt;&gt;"Trench")),CONCATENATE("Rainshadow ",'Map 4'!O28),'Map 4'!O28)</f>
        <v>Ocean</v>
      </c>
      <c r="P28" s="3" t="str">
        <f ca="1">IF(OR(AND($AV28="⤵",'Map 4'!P29="Mountain",'Map 4'!P28&lt;&gt;"Mountain",'Map 4'!P28&lt;&gt;"Ocean",'Map 4'!P28&lt;&gt;"Trench"),AND($AV28="⤴",'Map 4'!P27="Mountain",'Map 4'!P28&lt;&gt;"Mountain",'Map 4'!P28&lt;&gt;"Ocean",'Map 4'!P28&lt;&gt;"Trench")),CONCATENATE("Rainshadow ",'Map 4'!P28),'Map 4'!P28)</f>
        <v>Ocean</v>
      </c>
      <c r="Q28" s="3" t="str">
        <f ca="1">IF(OR(AND($AV28="⤵",'Map 4'!Q29="Mountain",'Map 4'!Q28&lt;&gt;"Mountain",'Map 4'!Q28&lt;&gt;"Ocean",'Map 4'!Q28&lt;&gt;"Trench"),AND($AV28="⤴",'Map 4'!Q27="Mountain",'Map 4'!Q28&lt;&gt;"Mountain",'Map 4'!Q28&lt;&gt;"Ocean",'Map 4'!Q28&lt;&gt;"Trench")),CONCATENATE("Rainshadow ",'Map 4'!Q28),'Map 4'!Q28)</f>
        <v>Ocean</v>
      </c>
      <c r="R28" s="3" t="str">
        <f ca="1">IF(OR(AND($AV28="⤵",'Map 4'!R29="Mountain",'Map 4'!R28&lt;&gt;"Mountain",'Map 4'!R28&lt;&gt;"Ocean",'Map 4'!R28&lt;&gt;"Trench"),AND($AV28="⤴",'Map 4'!R27="Mountain",'Map 4'!R28&lt;&gt;"Mountain",'Map 4'!R28&lt;&gt;"Ocean",'Map 4'!R28&lt;&gt;"Trench")),CONCATENATE("Rainshadow ",'Map 4'!R28),'Map 4'!R28)</f>
        <v>Ocean</v>
      </c>
      <c r="S28" s="3" t="str">
        <f ca="1">IF(OR(AND($AV28="⤵",'Map 4'!S29="Mountain",'Map 4'!S28&lt;&gt;"Mountain",'Map 4'!S28&lt;&gt;"Ocean",'Map 4'!S28&lt;&gt;"Trench"),AND($AV28="⤴",'Map 4'!S27="Mountain",'Map 4'!S28&lt;&gt;"Mountain",'Map 4'!S28&lt;&gt;"Ocean",'Map 4'!S28&lt;&gt;"Trench")),CONCATENATE("Rainshadow ",'Map 4'!S28),'Map 4'!S28)</f>
        <v>Flatland</v>
      </c>
      <c r="T28" s="3" t="str">
        <f ca="1">IF(OR(AND($AV28="⤵",'Map 4'!T29="Mountain",'Map 4'!T28&lt;&gt;"Mountain",'Map 4'!T28&lt;&gt;"Ocean",'Map 4'!T28&lt;&gt;"Trench"),AND($AV28="⤴",'Map 4'!T27="Mountain",'Map 4'!T28&lt;&gt;"Mountain",'Map 4'!T28&lt;&gt;"Ocean",'Map 4'!T28&lt;&gt;"Trench")),CONCATENATE("Rainshadow ",'Map 4'!T28),'Map 4'!T28)</f>
        <v>Flatland</v>
      </c>
      <c r="U28" s="3" t="str">
        <f ca="1">IF(OR(AND($AV28="⤵",'Map 4'!U29="Mountain",'Map 4'!U28&lt;&gt;"Mountain",'Map 4'!U28&lt;&gt;"Ocean",'Map 4'!U28&lt;&gt;"Trench"),AND($AV28="⤴",'Map 4'!U27="Mountain",'Map 4'!U28&lt;&gt;"Mountain",'Map 4'!U28&lt;&gt;"Ocean",'Map 4'!U28&lt;&gt;"Trench")),CONCATENATE("Rainshadow ",'Map 4'!U28),'Map 4'!U28)</f>
        <v>Coast</v>
      </c>
      <c r="V28" s="3" t="str">
        <f ca="1">IF(OR(AND($AV28="⤵",'Map 4'!V29="Mountain",'Map 4'!V28&lt;&gt;"Mountain",'Map 4'!V28&lt;&gt;"Ocean",'Map 4'!V28&lt;&gt;"Trench"),AND($AV28="⤴",'Map 4'!V27="Mountain",'Map 4'!V28&lt;&gt;"Mountain",'Map 4'!V28&lt;&gt;"Ocean",'Map 4'!V28&lt;&gt;"Trench")),CONCATENATE("Rainshadow ",'Map 4'!V28),'Map 4'!V28)</f>
        <v>Coast</v>
      </c>
      <c r="W28" s="3" t="str">
        <f ca="1">IF(OR(AND($AV28="⤵",'Map 4'!W29="Mountain",'Map 4'!W28&lt;&gt;"Mountain",'Map 4'!W28&lt;&gt;"Ocean",'Map 4'!W28&lt;&gt;"Trench"),AND($AV28="⤴",'Map 4'!W27="Mountain",'Map 4'!W28&lt;&gt;"Mountain",'Map 4'!W28&lt;&gt;"Ocean",'Map 4'!W28&lt;&gt;"Trench")),CONCATENATE("Rainshadow ",'Map 4'!W28),'Map 4'!W28)</f>
        <v>Ocean</v>
      </c>
      <c r="X28" s="3" t="str">
        <f ca="1">IF(OR(AND($AV28="⤵",'Map 4'!X29="Mountain",'Map 4'!X28&lt;&gt;"Mountain",'Map 4'!X28&lt;&gt;"Ocean",'Map 4'!X28&lt;&gt;"Trench"),AND($AV28="⤴",'Map 4'!X27="Mountain",'Map 4'!X28&lt;&gt;"Mountain",'Map 4'!X28&lt;&gt;"Ocean",'Map 4'!X28&lt;&gt;"Trench")),CONCATENATE("Rainshadow ",'Map 4'!X28),'Map 4'!X28)</f>
        <v>Ocean</v>
      </c>
      <c r="Y28" s="3" t="str">
        <f ca="1">IF(OR(AND($AV28="⤵",'Map 4'!Y29="Mountain",'Map 4'!Y28&lt;&gt;"Mountain",'Map 4'!Y28&lt;&gt;"Ocean",'Map 4'!Y28&lt;&gt;"Trench"),AND($AV28="⤴",'Map 4'!Y27="Mountain",'Map 4'!Y28&lt;&gt;"Mountain",'Map 4'!Y28&lt;&gt;"Ocean",'Map 4'!Y28&lt;&gt;"Trench")),CONCATENATE("Rainshadow ",'Map 4'!Y28),'Map 4'!Y28)</f>
        <v>Ocean</v>
      </c>
      <c r="Z28" s="3" t="str">
        <f ca="1">IF(OR(AND($AV28="⤵",'Map 4'!Z29="Mountain",'Map 4'!Z28&lt;&gt;"Mountain",'Map 4'!Z28&lt;&gt;"Ocean",'Map 4'!Z28&lt;&gt;"Trench"),AND($AV28="⤴",'Map 4'!Z27="Mountain",'Map 4'!Z28&lt;&gt;"Mountain",'Map 4'!Z28&lt;&gt;"Ocean",'Map 4'!Z28&lt;&gt;"Trench")),CONCATENATE("Rainshadow ",'Map 4'!Z28),'Map 4'!Z28)</f>
        <v>Trench</v>
      </c>
      <c r="AA28" s="3" t="str">
        <f ca="1">IF(OR(AND($AV28="⤵",'Map 4'!AA29="Mountain",'Map 4'!AA28&lt;&gt;"Mountain",'Map 4'!AA28&lt;&gt;"Ocean",'Map 4'!AA28&lt;&gt;"Trench"),AND($AV28="⤴",'Map 4'!AA27="Mountain",'Map 4'!AA28&lt;&gt;"Mountain",'Map 4'!AA28&lt;&gt;"Ocean",'Map 4'!AA28&lt;&gt;"Trench")),CONCATENATE("Rainshadow ",'Map 4'!AA28),'Map 4'!AA28)</f>
        <v>Island</v>
      </c>
      <c r="AB28" s="3" t="str">
        <f ca="1">IF(OR(AND($AV28="⤵",'Map 4'!AB29="Mountain",'Map 4'!AB28&lt;&gt;"Mountain",'Map 4'!AB28&lt;&gt;"Ocean",'Map 4'!AB28&lt;&gt;"Trench"),AND($AV28="⤴",'Map 4'!AB27="Mountain",'Map 4'!AB28&lt;&gt;"Mountain",'Map 4'!AB28&lt;&gt;"Ocean",'Map 4'!AB28&lt;&gt;"Trench")),CONCATENATE("Rainshadow ",'Map 4'!AB28),'Map 4'!AB28)</f>
        <v>Ocean</v>
      </c>
      <c r="AC28" s="3" t="str">
        <f ca="1">IF(OR(AND($AV28="⤵",'Map 4'!AC29="Mountain",'Map 4'!AC28&lt;&gt;"Mountain",'Map 4'!AC28&lt;&gt;"Ocean",'Map 4'!AC28&lt;&gt;"Trench"),AND($AV28="⤴",'Map 4'!AC27="Mountain",'Map 4'!AC28&lt;&gt;"Mountain",'Map 4'!AC28&lt;&gt;"Ocean",'Map 4'!AC28&lt;&gt;"Trench")),CONCATENATE("Rainshadow ",'Map 4'!AC28),'Map 4'!AC28)</f>
        <v>Ocean</v>
      </c>
      <c r="AD28" s="3" t="str">
        <f ca="1">IF(OR(AND($AV28="⤵",'Map 4'!AD29="Mountain",'Map 4'!AD28&lt;&gt;"Mountain",'Map 4'!AD28&lt;&gt;"Ocean",'Map 4'!AD28&lt;&gt;"Trench"),AND($AV28="⤴",'Map 4'!AD27="Mountain",'Map 4'!AD28&lt;&gt;"Mountain",'Map 4'!AD28&lt;&gt;"Ocean",'Map 4'!AD28&lt;&gt;"Trench")),CONCATENATE("Rainshadow ",'Map 4'!AD28),'Map 4'!AD28)</f>
        <v>Ocean</v>
      </c>
      <c r="AE28" s="3" t="str">
        <f ca="1">IF(OR(AND($AV28="⤵",'Map 4'!AE29="Mountain",'Map 4'!AE28&lt;&gt;"Mountain",'Map 4'!AE28&lt;&gt;"Ocean",'Map 4'!AE28&lt;&gt;"Trench"),AND($AV28="⤴",'Map 4'!AE27="Mountain",'Map 4'!AE28&lt;&gt;"Mountain",'Map 4'!AE28&lt;&gt;"Ocean",'Map 4'!AE28&lt;&gt;"Trench")),CONCATENATE("Rainshadow ",'Map 4'!AE28),'Map 4'!AE28)</f>
        <v>Ocean</v>
      </c>
      <c r="AF28" s="3" t="str">
        <f ca="1">IF(OR(AND($AV28="⤵",'Map 4'!AF29="Mountain",'Map 4'!AF28&lt;&gt;"Mountain",'Map 4'!AF28&lt;&gt;"Ocean",'Map 4'!AF28&lt;&gt;"Trench"),AND($AV28="⤴",'Map 4'!AF27="Mountain",'Map 4'!AF28&lt;&gt;"Mountain",'Map 4'!AF28&lt;&gt;"Ocean",'Map 4'!AF28&lt;&gt;"Trench")),CONCATENATE("Rainshadow ",'Map 4'!AF28),'Map 4'!AF28)</f>
        <v>Ocean</v>
      </c>
      <c r="AG28" s="3" t="str">
        <f ca="1">IF(OR(AND($AV28="⤵",'Map 4'!AG29="Mountain",'Map 4'!AG28&lt;&gt;"Mountain",'Map 4'!AG28&lt;&gt;"Ocean",'Map 4'!AG28&lt;&gt;"Trench"),AND($AV28="⤴",'Map 4'!AG27="Mountain",'Map 4'!AG28&lt;&gt;"Mountain",'Map 4'!AG28&lt;&gt;"Ocean",'Map 4'!AG28&lt;&gt;"Trench")),CONCATENATE("Rainshadow ",'Map 4'!AG28),'Map 4'!AG28)</f>
        <v>Ocean</v>
      </c>
      <c r="AH28" s="3" t="str">
        <f ca="1">IF(OR(AND($AV28="⤵",'Map 4'!AH29="Mountain",'Map 4'!AH28&lt;&gt;"Mountain",'Map 4'!AH28&lt;&gt;"Ocean",'Map 4'!AH28&lt;&gt;"Trench"),AND($AV28="⤴",'Map 4'!AH27="Mountain",'Map 4'!AH28&lt;&gt;"Mountain",'Map 4'!AH28&lt;&gt;"Ocean",'Map 4'!AH28&lt;&gt;"Trench")),CONCATENATE("Rainshadow ",'Map 4'!AH28),'Map 4'!AH28)</f>
        <v>Ocean</v>
      </c>
      <c r="AI28" s="3" t="str">
        <f ca="1">IF(OR(AND($AV28="⤵",'Map 4'!AI29="Mountain",'Map 4'!AI28&lt;&gt;"Mountain",'Map 4'!AI28&lt;&gt;"Ocean",'Map 4'!AI28&lt;&gt;"Trench"),AND($AV28="⤴",'Map 4'!AI27="Mountain",'Map 4'!AI28&lt;&gt;"Mountain",'Map 4'!AI28&lt;&gt;"Ocean",'Map 4'!AI28&lt;&gt;"Trench")),CONCATENATE("Rainshadow ",'Map 4'!AI28),'Map 4'!AI28)</f>
        <v>Ocean</v>
      </c>
      <c r="AJ28" s="3" t="str">
        <f ca="1">IF(OR(AND($AV28="⤵",'Map 4'!AJ29="Mountain",'Map 4'!AJ28&lt;&gt;"Mountain",'Map 4'!AJ28&lt;&gt;"Ocean",'Map 4'!AJ28&lt;&gt;"Trench"),AND($AV28="⤴",'Map 4'!AJ27="Mountain",'Map 4'!AJ28&lt;&gt;"Mountain",'Map 4'!AJ28&lt;&gt;"Ocean",'Map 4'!AJ28&lt;&gt;"Trench")),CONCATENATE("Rainshadow ",'Map 4'!AJ28),'Map 4'!AJ28)</f>
        <v>Island</v>
      </c>
      <c r="AK28" s="3" t="str">
        <f ca="1">IF(OR(AND($AV28="⤵",'Map 4'!AK29="Mountain",'Map 4'!AK28&lt;&gt;"Mountain",'Map 4'!AK28&lt;&gt;"Ocean",'Map 4'!AK28&lt;&gt;"Trench"),AND($AV28="⤴",'Map 4'!AK27="Mountain",'Map 4'!AK28&lt;&gt;"Mountain",'Map 4'!AK28&lt;&gt;"Ocean",'Map 4'!AK28&lt;&gt;"Trench")),CONCATENATE("Rainshadow ",'Map 4'!AK28),'Map 4'!AK28)</f>
        <v>Ocean</v>
      </c>
      <c r="AL28" s="3" t="str">
        <f ca="1">IF(OR(AND($AV28="⤵",'Map 4'!AL29="Mountain",'Map 4'!AL28&lt;&gt;"Mountain",'Map 4'!AL28&lt;&gt;"Ocean",'Map 4'!AL28&lt;&gt;"Trench"),AND($AV28="⤴",'Map 4'!AL27="Mountain",'Map 4'!AL28&lt;&gt;"Mountain",'Map 4'!AL28&lt;&gt;"Ocean",'Map 4'!AL28&lt;&gt;"Trench")),CONCATENATE("Rainshadow ",'Map 4'!AL28),'Map 4'!AL28)</f>
        <v>Ocean</v>
      </c>
      <c r="AM28" s="3" t="str">
        <f ca="1">IF(OR(AND($AV28="⤵",'Map 4'!AM29="Mountain",'Map 4'!AM28&lt;&gt;"Mountain",'Map 4'!AM28&lt;&gt;"Ocean",'Map 4'!AM28&lt;&gt;"Trench"),AND($AV28="⤴",'Map 4'!AM27="Mountain",'Map 4'!AM28&lt;&gt;"Mountain",'Map 4'!AM28&lt;&gt;"Ocean",'Map 4'!AM28&lt;&gt;"Trench")),CONCATENATE("Rainshadow ",'Map 4'!AM28),'Map 4'!AM28)</f>
        <v>Ocean</v>
      </c>
      <c r="AN28" s="3" t="str">
        <f ca="1">IF(OR(AND($AV28="⤵",'Map 4'!AN29="Mountain",'Map 4'!AN28&lt;&gt;"Mountain",'Map 4'!AN28&lt;&gt;"Ocean",'Map 4'!AN28&lt;&gt;"Trench"),AND($AV28="⤴",'Map 4'!AN27="Mountain",'Map 4'!AN28&lt;&gt;"Mountain",'Map 4'!AN28&lt;&gt;"Ocean",'Map 4'!AN28&lt;&gt;"Trench")),CONCATENATE("Rainshadow ",'Map 4'!AN28),'Map 4'!AN28)</f>
        <v>Ocean</v>
      </c>
      <c r="AO28" s="3" t="str">
        <f ca="1">IF(OR(AND($AV28="⤵",'Map 4'!AO29="Mountain",'Map 4'!AO28&lt;&gt;"Mountain",'Map 4'!AO28&lt;&gt;"Ocean",'Map 4'!AO28&lt;&gt;"Trench"),AND($AV28="⤴",'Map 4'!AO27="Mountain",'Map 4'!AO28&lt;&gt;"Mountain",'Map 4'!AO28&lt;&gt;"Ocean",'Map 4'!AO28&lt;&gt;"Trench")),CONCATENATE("Rainshadow ",'Map 4'!AO28),'Map 4'!AO28)</f>
        <v>Mountain</v>
      </c>
      <c r="AP28" s="3">
        <f t="shared" si="1"/>
        <v>83.95</v>
      </c>
      <c r="AQ28" s="3">
        <f t="shared" si="2"/>
        <v>183.11</v>
      </c>
      <c r="AR28" s="3"/>
      <c r="AS28" s="3">
        <f>AS29-$E$3</f>
        <v>357.1</v>
      </c>
      <c r="AT28" s="41">
        <v>9</v>
      </c>
      <c r="AU28" s="41" t="str" cm="1">
        <f t="array" ref="AU28">_xlfn.IFS(AND(IF(AP28&lt;25,"Cold","Hot")="Cold",IF(AW28&gt;=0.5,"High","Low")="Low"),"Tundra",AND(IF(AP28&lt;25,"Cold","Hot")="Cold",IF(AW28&gt;=0.5,"High","Low")="High"),"Forest",AND(IF(AP28&lt;25,"Cold","Hot")="Hot",IF(AW28&gt;=0.5,"High","Low")="Low"),"Desert",AND(IF(AP28&lt;25,"Cold","Hot")="Hot",IF(AW28&gt;=0.5,"High","Low")="High"),"Rainforest")</f>
        <v>Rainforest</v>
      </c>
      <c r="AV28" s="41" t="str" cm="1">
        <f t="array" ref="AV28">_xlfn.IFS(AT28&lt;-90,"⤴",AND(AT28&gt;=-90,AT28&lt;-60),"⤴",AND(AT28&gt;=-60,AT28&lt;-30),"⤵",AND(AT28&gt;=-30,AT28&lt;0),"⤴",AND(AT28&gt;=0,AT28&lt;30),"⤵",AND(AT28&gt;=30,AT28&lt;60),"⤴",AT28&gt;=60,"⤵")</f>
        <v>⤵</v>
      </c>
      <c r="AW28" s="41">
        <f t="shared" si="4"/>
        <v>0.72</v>
      </c>
    </row>
    <row r="29" spans="1:49" ht="15" customHeight="1">
      <c r="A29" s="3">
        <v>20</v>
      </c>
      <c r="B29" s="3" t="str">
        <f ca="1">IF(OR(AND($AV29="⤵",'Map 4'!B30="Mountain",'Map 4'!B29&lt;&gt;"Mountain",'Map 4'!B29&lt;&gt;"Ocean",'Map 4'!B29&lt;&gt;"Trench"),AND($AV29="⤴",'Map 4'!B28="Mountain",'Map 4'!B29&lt;&gt;"Mountain",'Map 4'!B29&lt;&gt;"Ocean",'Map 4'!B29&lt;&gt;"Trench")),CONCATENATE("Rainshadow ",'Map 4'!B29),'Map 4'!B29)</f>
        <v>Ocean</v>
      </c>
      <c r="C29" s="3" t="str">
        <f ca="1">IF(OR(AND($AV29="⤵",'Map 4'!C30="Mountain",'Map 4'!C29&lt;&gt;"Mountain",'Map 4'!C29&lt;&gt;"Ocean",'Map 4'!C29&lt;&gt;"Trench"),AND($AV29="⤴",'Map 4'!C28="Mountain",'Map 4'!C29&lt;&gt;"Mountain",'Map 4'!C29&lt;&gt;"Ocean",'Map 4'!C29&lt;&gt;"Trench")),CONCATENATE("Rainshadow ",'Map 4'!C29),'Map 4'!C29)</f>
        <v>Drop Off</v>
      </c>
      <c r="D29" s="3" t="str">
        <f ca="1">IF(OR(AND($AV29="⤵",'Map 4'!D30="Mountain",'Map 4'!D29&lt;&gt;"Mountain",'Map 4'!D29&lt;&gt;"Ocean",'Map 4'!D29&lt;&gt;"Trench"),AND($AV29="⤴",'Map 4'!D28="Mountain",'Map 4'!D29&lt;&gt;"Mountain",'Map 4'!D29&lt;&gt;"Ocean",'Map 4'!D29&lt;&gt;"Trench")),CONCATENATE("Rainshadow ",'Map 4'!D29),'Map 4'!D29)</f>
        <v>Rainshadow Valley</v>
      </c>
      <c r="E29" s="3" t="str">
        <f ca="1">IF(OR(AND($AV29="⤵",'Map 4'!E30="Mountain",'Map 4'!E29&lt;&gt;"Mountain",'Map 4'!E29&lt;&gt;"Ocean",'Map 4'!E29&lt;&gt;"Trench"),AND($AV29="⤴",'Map 4'!E28="Mountain",'Map 4'!E29&lt;&gt;"Mountain",'Map 4'!E29&lt;&gt;"Ocean",'Map 4'!E29&lt;&gt;"Trench")),CONCATENATE("Rainshadow ",'Map 4'!E29),'Map 4'!E29)</f>
        <v>Flatland</v>
      </c>
      <c r="F29" s="3" t="str">
        <f ca="1">IF(OR(AND($AV29="⤵",'Map 4'!F30="Mountain",'Map 4'!F29&lt;&gt;"Mountain",'Map 4'!F29&lt;&gt;"Ocean",'Map 4'!F29&lt;&gt;"Trench"),AND($AV29="⤴",'Map 4'!F28="Mountain",'Map 4'!F29&lt;&gt;"Mountain",'Map 4'!F29&lt;&gt;"Ocean",'Map 4'!F29&lt;&gt;"Trench")),CONCATENATE("Rainshadow ",'Map 4'!F29),'Map 4'!F29)</f>
        <v>Valley</v>
      </c>
      <c r="G29" s="3" t="str">
        <f ca="1">IF(OR(AND($AV29="⤵",'Map 4'!G30="Mountain",'Map 4'!G29&lt;&gt;"Mountain",'Map 4'!G29&lt;&gt;"Ocean",'Map 4'!G29&lt;&gt;"Trench"),AND($AV29="⤴",'Map 4'!G28="Mountain",'Map 4'!G29&lt;&gt;"Mountain",'Map 4'!G29&lt;&gt;"Ocean",'Map 4'!G29&lt;&gt;"Trench")),CONCATENATE("Rainshadow ",'Map 4'!G29),'Map 4'!G29)</f>
        <v>Valley</v>
      </c>
      <c r="H29" s="3" t="str">
        <f ca="1">IF(OR(AND($AV29="⤵",'Map 4'!H30="Mountain",'Map 4'!H29&lt;&gt;"Mountain",'Map 4'!H29&lt;&gt;"Ocean",'Map 4'!H29&lt;&gt;"Trench"),AND($AV29="⤴",'Map 4'!H28="Mountain",'Map 4'!H29&lt;&gt;"Mountain",'Map 4'!H29&lt;&gt;"Ocean",'Map 4'!H29&lt;&gt;"Trench")),CONCATENATE("Rainshadow ",'Map 4'!H29),'Map 4'!H29)</f>
        <v>Valley</v>
      </c>
      <c r="I29" s="3" t="str">
        <f ca="1">IF(OR(AND($AV29="⤵",'Map 4'!I30="Mountain",'Map 4'!I29&lt;&gt;"Mountain",'Map 4'!I29&lt;&gt;"Ocean",'Map 4'!I29&lt;&gt;"Trench"),AND($AV29="⤴",'Map 4'!I28="Mountain",'Map 4'!I29&lt;&gt;"Mountain",'Map 4'!I29&lt;&gt;"Ocean",'Map 4'!I29&lt;&gt;"Trench")),CONCATENATE("Rainshadow ",'Map 4'!I29),'Map 4'!I29)</f>
        <v>Coast</v>
      </c>
      <c r="J29" s="3" t="str">
        <f ca="1">IF(OR(AND($AV29="⤵",'Map 4'!J30="Mountain",'Map 4'!J29&lt;&gt;"Mountain",'Map 4'!J29&lt;&gt;"Ocean",'Map 4'!J29&lt;&gt;"Trench"),AND($AV29="⤴",'Map 4'!J28="Mountain",'Map 4'!J29&lt;&gt;"Mountain",'Map 4'!J29&lt;&gt;"Ocean",'Map 4'!J29&lt;&gt;"Trench")),CONCATENATE("Rainshadow ",'Map 4'!J29),'Map 4'!J29)</f>
        <v>Coast</v>
      </c>
      <c r="K29" s="3" t="str">
        <f ca="1">IF(OR(AND($AV29="⤵",'Map 4'!K30="Mountain",'Map 4'!K29&lt;&gt;"Mountain",'Map 4'!K29&lt;&gt;"Ocean",'Map 4'!K29&lt;&gt;"Trench"),AND($AV29="⤴",'Map 4'!K28="Mountain",'Map 4'!K29&lt;&gt;"Mountain",'Map 4'!K29&lt;&gt;"Ocean",'Map 4'!K29&lt;&gt;"Trench")),CONCATENATE("Rainshadow ",'Map 4'!K29),'Map 4'!K29)</f>
        <v>Drop Off</v>
      </c>
      <c r="L29" s="3" t="str">
        <f ca="1">IF(OR(AND($AV29="⤵",'Map 4'!L30="Mountain",'Map 4'!L29&lt;&gt;"Mountain",'Map 4'!L29&lt;&gt;"Ocean",'Map 4'!L29&lt;&gt;"Trench"),AND($AV29="⤴",'Map 4'!L28="Mountain",'Map 4'!L29&lt;&gt;"Mountain",'Map 4'!L29&lt;&gt;"Ocean",'Map 4'!L29&lt;&gt;"Trench")),CONCATENATE("Rainshadow ",'Map 4'!L29),'Map 4'!L29)</f>
        <v>Trench</v>
      </c>
      <c r="M29" s="3" t="str">
        <f ca="1">IF(OR(AND($AV29="⤵",'Map 4'!M30="Mountain",'Map 4'!M29&lt;&gt;"Mountain",'Map 4'!M29&lt;&gt;"Ocean",'Map 4'!M29&lt;&gt;"Trench"),AND($AV29="⤴",'Map 4'!M28="Mountain",'Map 4'!M29&lt;&gt;"Mountain",'Map 4'!M29&lt;&gt;"Ocean",'Map 4'!M29&lt;&gt;"Trench")),CONCATENATE("Rainshadow ",'Map 4'!M29),'Map 4'!M29)</f>
        <v>Ocean</v>
      </c>
      <c r="N29" s="3" t="str">
        <f ca="1">IF(OR(AND($AV29="⤵",'Map 4'!N30="Mountain",'Map 4'!N29&lt;&gt;"Mountain",'Map 4'!N29&lt;&gt;"Ocean",'Map 4'!N29&lt;&gt;"Trench"),AND($AV29="⤴",'Map 4'!N28="Mountain",'Map 4'!N29&lt;&gt;"Mountain",'Map 4'!N29&lt;&gt;"Ocean",'Map 4'!N29&lt;&gt;"Trench")),CONCATENATE("Rainshadow ",'Map 4'!N29),'Map 4'!N29)</f>
        <v>Ocean</v>
      </c>
      <c r="O29" s="3" t="str">
        <f ca="1">IF(OR(AND($AV29="⤵",'Map 4'!O30="Mountain",'Map 4'!O29&lt;&gt;"Mountain",'Map 4'!O29&lt;&gt;"Ocean",'Map 4'!O29&lt;&gt;"Trench"),AND($AV29="⤴",'Map 4'!O28="Mountain",'Map 4'!O29&lt;&gt;"Mountain",'Map 4'!O29&lt;&gt;"Ocean",'Map 4'!O29&lt;&gt;"Trench")),CONCATENATE("Rainshadow ",'Map 4'!O29),'Map 4'!O29)</f>
        <v>Ocean</v>
      </c>
      <c r="P29" s="3" t="str">
        <f ca="1">IF(OR(AND($AV29="⤵",'Map 4'!P30="Mountain",'Map 4'!P29&lt;&gt;"Mountain",'Map 4'!P29&lt;&gt;"Ocean",'Map 4'!P29&lt;&gt;"Trench"),AND($AV29="⤴",'Map 4'!P28="Mountain",'Map 4'!P29&lt;&gt;"Mountain",'Map 4'!P29&lt;&gt;"Ocean",'Map 4'!P29&lt;&gt;"Trench")),CONCATENATE("Rainshadow ",'Map 4'!P29),'Map 4'!P29)</f>
        <v>Ocean</v>
      </c>
      <c r="Q29" s="3" t="str">
        <f ca="1">IF(OR(AND($AV29="⤵",'Map 4'!Q30="Mountain",'Map 4'!Q29&lt;&gt;"Mountain",'Map 4'!Q29&lt;&gt;"Ocean",'Map 4'!Q29&lt;&gt;"Trench"),AND($AV29="⤴",'Map 4'!Q28="Mountain",'Map 4'!Q29&lt;&gt;"Mountain",'Map 4'!Q29&lt;&gt;"Ocean",'Map 4'!Q29&lt;&gt;"Trench")),CONCATENATE("Rainshadow ",'Map 4'!Q29),'Map 4'!Q29)</f>
        <v>Ocean</v>
      </c>
      <c r="R29" s="3" t="str">
        <f ca="1">IF(OR(AND($AV29="⤵",'Map 4'!R30="Mountain",'Map 4'!R29&lt;&gt;"Mountain",'Map 4'!R29&lt;&gt;"Ocean",'Map 4'!R29&lt;&gt;"Trench"),AND($AV29="⤴",'Map 4'!R28="Mountain",'Map 4'!R29&lt;&gt;"Mountain",'Map 4'!R29&lt;&gt;"Ocean",'Map 4'!R29&lt;&gt;"Trench")),CONCATENATE("Rainshadow ",'Map 4'!R29),'Map 4'!R29)</f>
        <v>Ocean</v>
      </c>
      <c r="S29" s="3" t="str">
        <f ca="1">IF(OR(AND($AV29="⤵",'Map 4'!S30="Mountain",'Map 4'!S29&lt;&gt;"Mountain",'Map 4'!S29&lt;&gt;"Ocean",'Map 4'!S29&lt;&gt;"Trench"),AND($AV29="⤴",'Map 4'!S28="Mountain",'Map 4'!S29&lt;&gt;"Mountain",'Map 4'!S29&lt;&gt;"Ocean",'Map 4'!S29&lt;&gt;"Trench")),CONCATENATE("Rainshadow ",'Map 4'!S29),'Map 4'!S29)</f>
        <v>Flatland</v>
      </c>
      <c r="T29" s="3" t="str">
        <f ca="1">IF(OR(AND($AV29="⤵",'Map 4'!T30="Mountain",'Map 4'!T29&lt;&gt;"Mountain",'Map 4'!T29&lt;&gt;"Ocean",'Map 4'!T29&lt;&gt;"Trench"),AND($AV29="⤴",'Map 4'!T28="Mountain",'Map 4'!T29&lt;&gt;"Mountain",'Map 4'!T29&lt;&gt;"Ocean",'Map 4'!T29&lt;&gt;"Trench")),CONCATENATE("Rainshadow ",'Map 4'!T29),'Map 4'!T29)</f>
        <v>Coast</v>
      </c>
      <c r="U29" s="3" t="str">
        <f ca="1">IF(OR(AND($AV29="⤵",'Map 4'!U30="Mountain",'Map 4'!U29&lt;&gt;"Mountain",'Map 4'!U29&lt;&gt;"Ocean",'Map 4'!U29&lt;&gt;"Trench"),AND($AV29="⤴",'Map 4'!U28="Mountain",'Map 4'!U29&lt;&gt;"Mountain",'Map 4'!U29&lt;&gt;"Ocean",'Map 4'!U29&lt;&gt;"Trench")),CONCATENATE("Rainshadow ",'Map 4'!U29),'Map 4'!U29)</f>
        <v>Ocean</v>
      </c>
      <c r="V29" s="3" t="str">
        <f ca="1">IF(OR(AND($AV29="⤵",'Map 4'!V30="Mountain",'Map 4'!V29&lt;&gt;"Mountain",'Map 4'!V29&lt;&gt;"Ocean",'Map 4'!V29&lt;&gt;"Trench"),AND($AV29="⤴",'Map 4'!V28="Mountain",'Map 4'!V29&lt;&gt;"Mountain",'Map 4'!V29&lt;&gt;"Ocean",'Map 4'!V29&lt;&gt;"Trench")),CONCATENATE("Rainshadow ",'Map 4'!V29),'Map 4'!V29)</f>
        <v>Flatland</v>
      </c>
      <c r="W29" s="3" t="str">
        <f ca="1">IF(OR(AND($AV29="⤵",'Map 4'!W30="Mountain",'Map 4'!W29&lt;&gt;"Mountain",'Map 4'!W29&lt;&gt;"Ocean",'Map 4'!W29&lt;&gt;"Trench"),AND($AV29="⤴",'Map 4'!W28="Mountain",'Map 4'!W29&lt;&gt;"Mountain",'Map 4'!W29&lt;&gt;"Ocean",'Map 4'!W29&lt;&gt;"Trench")),CONCATENATE("Rainshadow ",'Map 4'!W29),'Map 4'!W29)</f>
        <v>Ocean</v>
      </c>
      <c r="X29" s="3" t="str">
        <f ca="1">IF(OR(AND($AV29="⤵",'Map 4'!X30="Mountain",'Map 4'!X29&lt;&gt;"Mountain",'Map 4'!X29&lt;&gt;"Ocean",'Map 4'!X29&lt;&gt;"Trench"),AND($AV29="⤴",'Map 4'!X28="Mountain",'Map 4'!X29&lt;&gt;"Mountain",'Map 4'!X29&lt;&gt;"Ocean",'Map 4'!X29&lt;&gt;"Trench")),CONCATENATE("Rainshadow ",'Map 4'!X29),'Map 4'!X29)</f>
        <v>Ocean</v>
      </c>
      <c r="Y29" s="3" t="str">
        <f ca="1">IF(OR(AND($AV29="⤵",'Map 4'!Y30="Mountain",'Map 4'!Y29&lt;&gt;"Mountain",'Map 4'!Y29&lt;&gt;"Ocean",'Map 4'!Y29&lt;&gt;"Trench"),AND($AV29="⤴",'Map 4'!Y28="Mountain",'Map 4'!Y29&lt;&gt;"Mountain",'Map 4'!Y29&lt;&gt;"Ocean",'Map 4'!Y29&lt;&gt;"Trench")),CONCATENATE("Rainshadow ",'Map 4'!Y29),'Map 4'!Y29)</f>
        <v>Ocean</v>
      </c>
      <c r="Z29" s="3" t="str">
        <f ca="1">IF(OR(AND($AV29="⤵",'Map 4'!Z30="Mountain",'Map 4'!Z29&lt;&gt;"Mountain",'Map 4'!Z29&lt;&gt;"Ocean",'Map 4'!Z29&lt;&gt;"Trench"),AND($AV29="⤴",'Map 4'!Z28="Mountain",'Map 4'!Z29&lt;&gt;"Mountain",'Map 4'!Z29&lt;&gt;"Ocean",'Map 4'!Z29&lt;&gt;"Trench")),CONCATENATE("Rainshadow ",'Map 4'!Z29),'Map 4'!Z29)</f>
        <v>Ocean</v>
      </c>
      <c r="AA29" s="3" t="str">
        <f ca="1">IF(OR(AND($AV29="⤵",'Map 4'!AA30="Mountain",'Map 4'!AA29&lt;&gt;"Mountain",'Map 4'!AA29&lt;&gt;"Ocean",'Map 4'!AA29&lt;&gt;"Trench"),AND($AV29="⤴",'Map 4'!AA28="Mountain",'Map 4'!AA29&lt;&gt;"Mountain",'Map 4'!AA29&lt;&gt;"Ocean",'Map 4'!AA29&lt;&gt;"Trench")),CONCATENATE("Rainshadow ",'Map 4'!AA29),'Map 4'!AA29)</f>
        <v>Ocean</v>
      </c>
      <c r="AB29" s="3" t="str">
        <f ca="1">IF(OR(AND($AV29="⤵",'Map 4'!AB30="Mountain",'Map 4'!AB29&lt;&gt;"Mountain",'Map 4'!AB29&lt;&gt;"Ocean",'Map 4'!AB29&lt;&gt;"Trench"),AND($AV29="⤴",'Map 4'!AB28="Mountain",'Map 4'!AB29&lt;&gt;"Mountain",'Map 4'!AB29&lt;&gt;"Ocean",'Map 4'!AB29&lt;&gt;"Trench")),CONCATENATE("Rainshadow ",'Map 4'!AB29),'Map 4'!AB29)</f>
        <v>Ocean</v>
      </c>
      <c r="AC29" s="3" t="str">
        <f ca="1">IF(OR(AND($AV29="⤵",'Map 4'!AC30="Mountain",'Map 4'!AC29&lt;&gt;"Mountain",'Map 4'!AC29&lt;&gt;"Ocean",'Map 4'!AC29&lt;&gt;"Trench"),AND($AV29="⤴",'Map 4'!AC28="Mountain",'Map 4'!AC29&lt;&gt;"Mountain",'Map 4'!AC29&lt;&gt;"Ocean",'Map 4'!AC29&lt;&gt;"Trench")),CONCATENATE("Rainshadow ",'Map 4'!AC29),'Map 4'!AC29)</f>
        <v>Ocean</v>
      </c>
      <c r="AD29" s="3" t="str">
        <f ca="1">IF(OR(AND($AV29="⤵",'Map 4'!AD30="Mountain",'Map 4'!AD29&lt;&gt;"Mountain",'Map 4'!AD29&lt;&gt;"Ocean",'Map 4'!AD29&lt;&gt;"Trench"),AND($AV29="⤴",'Map 4'!AD28="Mountain",'Map 4'!AD29&lt;&gt;"Mountain",'Map 4'!AD29&lt;&gt;"Ocean",'Map 4'!AD29&lt;&gt;"Trench")),CONCATENATE("Rainshadow ",'Map 4'!AD29),'Map 4'!AD29)</f>
        <v>Ocean</v>
      </c>
      <c r="AE29" s="3" t="str">
        <f ca="1">IF(OR(AND($AV29="⤵",'Map 4'!AE30="Mountain",'Map 4'!AE29&lt;&gt;"Mountain",'Map 4'!AE29&lt;&gt;"Ocean",'Map 4'!AE29&lt;&gt;"Trench"),AND($AV29="⤴",'Map 4'!AE28="Mountain",'Map 4'!AE29&lt;&gt;"Mountain",'Map 4'!AE29&lt;&gt;"Ocean",'Map 4'!AE29&lt;&gt;"Trench")),CONCATENATE("Rainshadow ",'Map 4'!AE29),'Map 4'!AE29)</f>
        <v>Trench</v>
      </c>
      <c r="AF29" s="3" t="str">
        <f ca="1">IF(OR(AND($AV29="⤵",'Map 4'!AF30="Mountain",'Map 4'!AF29&lt;&gt;"Mountain",'Map 4'!AF29&lt;&gt;"Ocean",'Map 4'!AF29&lt;&gt;"Trench"),AND($AV29="⤴",'Map 4'!AF28="Mountain",'Map 4'!AF29&lt;&gt;"Mountain",'Map 4'!AF29&lt;&gt;"Ocean",'Map 4'!AF29&lt;&gt;"Trench")),CONCATENATE("Rainshadow ",'Map 4'!AF29),'Map 4'!AF29)</f>
        <v>Island</v>
      </c>
      <c r="AG29" s="3" t="str">
        <f ca="1">IF(OR(AND($AV29="⤵",'Map 4'!AG30="Mountain",'Map 4'!AG29&lt;&gt;"Mountain",'Map 4'!AG29&lt;&gt;"Ocean",'Map 4'!AG29&lt;&gt;"Trench"),AND($AV29="⤴",'Map 4'!AG28="Mountain",'Map 4'!AG29&lt;&gt;"Mountain",'Map 4'!AG29&lt;&gt;"Ocean",'Map 4'!AG29&lt;&gt;"Trench")),CONCATENATE("Rainshadow ",'Map 4'!AG29),'Map 4'!AG29)</f>
        <v>Ocean</v>
      </c>
      <c r="AH29" s="3" t="str">
        <f ca="1">IF(OR(AND($AV29="⤵",'Map 4'!AH30="Mountain",'Map 4'!AH29&lt;&gt;"Mountain",'Map 4'!AH29&lt;&gt;"Ocean",'Map 4'!AH29&lt;&gt;"Trench"),AND($AV29="⤴",'Map 4'!AH28="Mountain",'Map 4'!AH29&lt;&gt;"Mountain",'Map 4'!AH29&lt;&gt;"Ocean",'Map 4'!AH29&lt;&gt;"Trench")),CONCATENATE("Rainshadow ",'Map 4'!AH29),'Map 4'!AH29)</f>
        <v>Ocean</v>
      </c>
      <c r="AI29" s="3" t="str">
        <f ca="1">IF(OR(AND($AV29="⤵",'Map 4'!AI30="Mountain",'Map 4'!AI29&lt;&gt;"Mountain",'Map 4'!AI29&lt;&gt;"Ocean",'Map 4'!AI29&lt;&gt;"Trench"),AND($AV29="⤴",'Map 4'!AI28="Mountain",'Map 4'!AI29&lt;&gt;"Mountain",'Map 4'!AI29&lt;&gt;"Ocean",'Map 4'!AI29&lt;&gt;"Trench")),CONCATENATE("Rainshadow ",'Map 4'!AI29),'Map 4'!AI29)</f>
        <v>Ocean</v>
      </c>
      <c r="AJ29" s="3" t="str">
        <f ca="1">IF(OR(AND($AV29="⤵",'Map 4'!AJ30="Mountain",'Map 4'!AJ29&lt;&gt;"Mountain",'Map 4'!AJ29&lt;&gt;"Ocean",'Map 4'!AJ29&lt;&gt;"Trench"),AND($AV29="⤴",'Map 4'!AJ28="Mountain",'Map 4'!AJ29&lt;&gt;"Mountain",'Map 4'!AJ29&lt;&gt;"Ocean",'Map 4'!AJ29&lt;&gt;"Trench")),CONCATENATE("Rainshadow ",'Map 4'!AJ29),'Map 4'!AJ29)</f>
        <v>Trench</v>
      </c>
      <c r="AK29" s="3" t="str">
        <f ca="1">IF(OR(AND($AV29="⤵",'Map 4'!AK30="Mountain",'Map 4'!AK29&lt;&gt;"Mountain",'Map 4'!AK29&lt;&gt;"Ocean",'Map 4'!AK29&lt;&gt;"Trench"),AND($AV29="⤴",'Map 4'!AK28="Mountain",'Map 4'!AK29&lt;&gt;"Mountain",'Map 4'!AK29&lt;&gt;"Ocean",'Map 4'!AK29&lt;&gt;"Trench")),CONCATENATE("Rainshadow ",'Map 4'!AK29),'Map 4'!AK29)</f>
        <v>Ocean</v>
      </c>
      <c r="AL29" s="3" t="str">
        <f ca="1">IF(OR(AND($AV29="⤵",'Map 4'!AL30="Mountain",'Map 4'!AL29&lt;&gt;"Mountain",'Map 4'!AL29&lt;&gt;"Ocean",'Map 4'!AL29&lt;&gt;"Trench"),AND($AV29="⤴",'Map 4'!AL28="Mountain",'Map 4'!AL29&lt;&gt;"Mountain",'Map 4'!AL29&lt;&gt;"Ocean",'Map 4'!AL29&lt;&gt;"Trench")),CONCATENATE("Rainshadow ",'Map 4'!AL29),'Map 4'!AL29)</f>
        <v>Ocean</v>
      </c>
      <c r="AM29" s="3" t="str">
        <f ca="1">IF(OR(AND($AV29="⤵",'Map 4'!AM30="Mountain",'Map 4'!AM29&lt;&gt;"Mountain",'Map 4'!AM29&lt;&gt;"Ocean",'Map 4'!AM29&lt;&gt;"Trench"),AND($AV29="⤴",'Map 4'!AM28="Mountain",'Map 4'!AM29&lt;&gt;"Mountain",'Map 4'!AM29&lt;&gt;"Ocean",'Map 4'!AM29&lt;&gt;"Trench")),CONCATENATE("Rainshadow ",'Map 4'!AM29),'Map 4'!AM29)</f>
        <v>Trench</v>
      </c>
      <c r="AN29" s="3" t="str">
        <f ca="1">IF(OR(AND($AV29="⤵",'Map 4'!AN30="Mountain",'Map 4'!AN29&lt;&gt;"Mountain",'Map 4'!AN29&lt;&gt;"Ocean",'Map 4'!AN29&lt;&gt;"Trench"),AND($AV29="⤴",'Map 4'!AN28="Mountain",'Map 4'!AN29&lt;&gt;"Mountain",'Map 4'!AN29&lt;&gt;"Ocean",'Map 4'!AN29&lt;&gt;"Trench")),CONCATENATE("Rainshadow ",'Map 4'!AN29),'Map 4'!AN29)</f>
        <v>Trench</v>
      </c>
      <c r="AO29" s="3" t="str">
        <f ca="1">IF(OR(AND($AV29="⤵",'Map 4'!AO30="Mountain",'Map 4'!AO29&lt;&gt;"Mountain",'Map 4'!AO29&lt;&gt;"Ocean",'Map 4'!AO29&lt;&gt;"Trench"),AND($AV29="⤴",'Map 4'!AO28="Mountain",'Map 4'!AO29&lt;&gt;"Mountain",'Map 4'!AO29&lt;&gt;"Ocean",'Map 4'!AO29&lt;&gt;"Trench")),CONCATENATE("Rainshadow ",'Map 4'!AO29),'Map 4'!AO29)</f>
        <v>Drop Off</v>
      </c>
      <c r="AP29" s="3">
        <f>ROUND(AS29-273.15,2)</f>
        <v>90.9</v>
      </c>
      <c r="AQ29" s="3">
        <f>ROUND((AP29*(9/5))+ 32,2)</f>
        <v>195.62</v>
      </c>
      <c r="AR29" s="3"/>
      <c r="AS29" s="3">
        <f>C2-$E$3</f>
        <v>364.05</v>
      </c>
      <c r="AT29" s="41">
        <v>4.5</v>
      </c>
      <c r="AU29" s="41" t="str" cm="1">
        <f t="array" ref="AU29">_xlfn.IFS(AND(IF(AP29&lt;25,"Cold","Hot")="Cold",IF(AW29&gt;=0.5,"High","Low")="Low"),"Tundra",AND(IF(AP29&lt;25,"Cold","Hot")="Cold",IF(AW29&gt;=0.5,"High","Low")="High"),"Forest",AND(IF(AP29&lt;25,"Cold","Hot")="Hot",IF(AW29&gt;=0.5,"High","Low")="Low"),"Desert",AND(IF(AP29&lt;25,"Cold","Hot")="Hot",IF(AW29&gt;=0.5,"High","Low")="High"),"Rainforest")</f>
        <v>Rainforest</v>
      </c>
      <c r="AV29" s="41" t="str" cm="1">
        <f t="array" ref="AV29">_xlfn.IFS(AT29&lt;-90,"⤴",AND(AT29&gt;=-90,AT29&lt;-60),"⤴",AND(AT29&gt;=-60,AT29&lt;-30),"⤵",AND(AT29&gt;=-30,AT29&lt;0),"⤴",AND(AT29&gt;=0,AT29&lt;30),"⤵",AND(AT29&gt;=30,AT29&lt;60),"⤴",AT29&gt;=60,"⤵")</f>
        <v>⤵</v>
      </c>
      <c r="AW29" s="41">
        <f t="shared" si="4"/>
        <v>0.86</v>
      </c>
    </row>
    <row r="30" spans="1:49" ht="15" customHeight="1">
      <c r="A30" s="3">
        <v>21</v>
      </c>
      <c r="B30" s="3" t="str">
        <f ca="1">IF(OR(AND($AV30="⤵",'Map 4'!B31="Mountain",'Map 4'!B30&lt;&gt;"Mountain",'Map 4'!B30&lt;&gt;"Ocean",'Map 4'!B30&lt;&gt;"Trench"),AND($AV30="⤴",'Map 4'!B29="Mountain",'Map 4'!B30&lt;&gt;"Mountain",'Map 4'!B30&lt;&gt;"Ocean",'Map 4'!B30&lt;&gt;"Trench")),CONCATENATE("Rainshadow ",'Map 4'!B30),'Map 4'!B30)</f>
        <v>Coast</v>
      </c>
      <c r="C30" s="3" t="str">
        <f ca="1">IF(OR(AND($AV30="⤵",'Map 4'!C31="Mountain",'Map 4'!C30&lt;&gt;"Mountain",'Map 4'!C30&lt;&gt;"Ocean",'Map 4'!C30&lt;&gt;"Trench"),AND($AV30="⤴",'Map 4'!C29="Mountain",'Map 4'!C30&lt;&gt;"Mountain",'Map 4'!C30&lt;&gt;"Ocean",'Map 4'!C30&lt;&gt;"Trench")),CONCATENATE("Rainshadow ",'Map 4'!C30),'Map 4'!C30)</f>
        <v>Flatland</v>
      </c>
      <c r="D30" s="3" t="str">
        <f ca="1">IF(OR(AND($AV30="⤵",'Map 4'!D31="Mountain",'Map 4'!D30&lt;&gt;"Mountain",'Map 4'!D30&lt;&gt;"Ocean",'Map 4'!D30&lt;&gt;"Trench"),AND($AV30="⤴",'Map 4'!D29="Mountain",'Map 4'!D30&lt;&gt;"Mountain",'Map 4'!D30&lt;&gt;"Ocean",'Map 4'!D30&lt;&gt;"Trench")),CONCATENATE("Rainshadow ",'Map 4'!D30),'Map 4'!D30)</f>
        <v>Mountain</v>
      </c>
      <c r="E30" s="3" t="str">
        <f ca="1">IF(OR(AND($AV30="⤵",'Map 4'!E31="Mountain",'Map 4'!E30&lt;&gt;"Mountain",'Map 4'!E30&lt;&gt;"Ocean",'Map 4'!E30&lt;&gt;"Trench"),AND($AV30="⤴",'Map 4'!E29="Mountain",'Map 4'!E30&lt;&gt;"Mountain",'Map 4'!E30&lt;&gt;"Ocean",'Map 4'!E30&lt;&gt;"Trench")),CONCATENATE("Rainshadow ",'Map 4'!E30),'Map 4'!E30)</f>
        <v>Flatland</v>
      </c>
      <c r="F30" s="3" t="str">
        <f ca="1">IF(OR(AND($AV30="⤵",'Map 4'!F31="Mountain",'Map 4'!F30&lt;&gt;"Mountain",'Map 4'!F30&lt;&gt;"Ocean",'Map 4'!F30&lt;&gt;"Trench"),AND($AV30="⤴",'Map 4'!F29="Mountain",'Map 4'!F30&lt;&gt;"Mountain",'Map 4'!F30&lt;&gt;"Ocean",'Map 4'!F30&lt;&gt;"Trench")),CONCATENATE("Rainshadow ",'Map 4'!F30),'Map 4'!F30)</f>
        <v>Flatland</v>
      </c>
      <c r="G30" s="3" t="str">
        <f ca="1">IF(OR(AND($AV30="⤵",'Map 4'!G31="Mountain",'Map 4'!G30&lt;&gt;"Mountain",'Map 4'!G30&lt;&gt;"Ocean",'Map 4'!G30&lt;&gt;"Trench"),AND($AV30="⤴",'Map 4'!G29="Mountain",'Map 4'!G30&lt;&gt;"Mountain",'Map 4'!G30&lt;&gt;"Ocean",'Map 4'!G30&lt;&gt;"Trench")),CONCATENATE("Rainshadow ",'Map 4'!G30),'Map 4'!G30)</f>
        <v>Flatland</v>
      </c>
      <c r="H30" s="3" t="str">
        <f ca="1">IF(OR(AND($AV30="⤵",'Map 4'!H31="Mountain",'Map 4'!H30&lt;&gt;"Mountain",'Map 4'!H30&lt;&gt;"Ocean",'Map 4'!H30&lt;&gt;"Trench"),AND($AV30="⤴",'Map 4'!H29="Mountain",'Map 4'!H30&lt;&gt;"Mountain",'Map 4'!H30&lt;&gt;"Ocean",'Map 4'!H30&lt;&gt;"Trench")),CONCATENATE("Rainshadow ",'Map 4'!H30),'Map 4'!H30)</f>
        <v>Flatland</v>
      </c>
      <c r="I30" s="3" t="str">
        <f ca="1">IF(OR(AND($AV30="⤵",'Map 4'!I31="Mountain",'Map 4'!I30&lt;&gt;"Mountain",'Map 4'!I30&lt;&gt;"Ocean",'Map 4'!I30&lt;&gt;"Trench"),AND($AV30="⤴",'Map 4'!I29="Mountain",'Map 4'!I30&lt;&gt;"Mountain",'Map 4'!I30&lt;&gt;"Ocean",'Map 4'!I30&lt;&gt;"Trench")),CONCATENATE("Rainshadow ",'Map 4'!I30),'Map 4'!I30)</f>
        <v>Coast</v>
      </c>
      <c r="J30" s="3" t="str">
        <f ca="1">IF(OR(AND($AV30="⤵",'Map 4'!J31="Mountain",'Map 4'!J30&lt;&gt;"Mountain",'Map 4'!J30&lt;&gt;"Ocean",'Map 4'!J30&lt;&gt;"Trench"),AND($AV30="⤴",'Map 4'!J29="Mountain",'Map 4'!J30&lt;&gt;"Mountain",'Map 4'!J30&lt;&gt;"Ocean",'Map 4'!J30&lt;&gt;"Trench")),CONCATENATE("Rainshadow ",'Map 4'!J30),'Map 4'!J30)</f>
        <v>Flatland</v>
      </c>
      <c r="K30" s="3" t="str">
        <f ca="1">IF(OR(AND($AV30="⤵",'Map 4'!K31="Mountain",'Map 4'!K30&lt;&gt;"Mountain",'Map 4'!K30&lt;&gt;"Ocean",'Map 4'!K30&lt;&gt;"Trench"),AND($AV30="⤴",'Map 4'!K29="Mountain",'Map 4'!K30&lt;&gt;"Mountain",'Map 4'!K30&lt;&gt;"Ocean",'Map 4'!K30&lt;&gt;"Trench")),CONCATENATE("Rainshadow ",'Map 4'!K30),'Map 4'!K30)</f>
        <v>Trench</v>
      </c>
      <c r="L30" s="3" t="str">
        <f ca="1">IF(OR(AND($AV30="⤵",'Map 4'!L31="Mountain",'Map 4'!L30&lt;&gt;"Mountain",'Map 4'!L30&lt;&gt;"Ocean",'Map 4'!L30&lt;&gt;"Trench"),AND($AV30="⤴",'Map 4'!L29="Mountain",'Map 4'!L30&lt;&gt;"Mountain",'Map 4'!L30&lt;&gt;"Ocean",'Map 4'!L30&lt;&gt;"Trench")),CONCATENATE("Rainshadow ",'Map 4'!L30),'Map 4'!L30)</f>
        <v>Ocean</v>
      </c>
      <c r="M30" s="3" t="str">
        <f ca="1">IF(OR(AND($AV30="⤵",'Map 4'!M31="Mountain",'Map 4'!M30&lt;&gt;"Mountain",'Map 4'!M30&lt;&gt;"Ocean",'Map 4'!M30&lt;&gt;"Trench"),AND($AV30="⤴",'Map 4'!M29="Mountain",'Map 4'!M30&lt;&gt;"Mountain",'Map 4'!M30&lt;&gt;"Ocean",'Map 4'!M30&lt;&gt;"Trench")),CONCATENATE("Rainshadow ",'Map 4'!M30),'Map 4'!M30)</f>
        <v>Ocean</v>
      </c>
      <c r="N30" s="3" t="str">
        <f ca="1">IF(OR(AND($AV30="⤵",'Map 4'!N31="Mountain",'Map 4'!N30&lt;&gt;"Mountain",'Map 4'!N30&lt;&gt;"Ocean",'Map 4'!N30&lt;&gt;"Trench"),AND($AV30="⤴",'Map 4'!N29="Mountain",'Map 4'!N30&lt;&gt;"Mountain",'Map 4'!N30&lt;&gt;"Ocean",'Map 4'!N30&lt;&gt;"Trench")),CONCATENATE("Rainshadow ",'Map 4'!N30),'Map 4'!N30)</f>
        <v>Ocean</v>
      </c>
      <c r="O30" s="3" t="str">
        <f ca="1">IF(OR(AND($AV30="⤵",'Map 4'!O31="Mountain",'Map 4'!O30&lt;&gt;"Mountain",'Map 4'!O30&lt;&gt;"Ocean",'Map 4'!O30&lt;&gt;"Trench"),AND($AV30="⤴",'Map 4'!O29="Mountain",'Map 4'!O30&lt;&gt;"Mountain",'Map 4'!O30&lt;&gt;"Ocean",'Map 4'!O30&lt;&gt;"Trench")),CONCATENATE("Rainshadow ",'Map 4'!O30),'Map 4'!O30)</f>
        <v>Ocean</v>
      </c>
      <c r="P30" s="3" t="str">
        <f ca="1">IF(OR(AND($AV30="⤵",'Map 4'!P31="Mountain",'Map 4'!P30&lt;&gt;"Mountain",'Map 4'!P30&lt;&gt;"Ocean",'Map 4'!P30&lt;&gt;"Trench"),AND($AV30="⤴",'Map 4'!P29="Mountain",'Map 4'!P30&lt;&gt;"Mountain",'Map 4'!P30&lt;&gt;"Ocean",'Map 4'!P30&lt;&gt;"Trench")),CONCATENATE("Rainshadow ",'Map 4'!P30),'Map 4'!P30)</f>
        <v>Ocean</v>
      </c>
      <c r="Q30" s="3" t="str">
        <f ca="1">IF(OR(AND($AV30="⤵",'Map 4'!Q31="Mountain",'Map 4'!Q30&lt;&gt;"Mountain",'Map 4'!Q30&lt;&gt;"Ocean",'Map 4'!Q30&lt;&gt;"Trench"),AND($AV30="⤴",'Map 4'!Q29="Mountain",'Map 4'!Q30&lt;&gt;"Mountain",'Map 4'!Q30&lt;&gt;"Ocean",'Map 4'!Q30&lt;&gt;"Trench")),CONCATENATE("Rainshadow ",'Map 4'!Q30),'Map 4'!Q30)</f>
        <v>Ocean</v>
      </c>
      <c r="R30" s="3" t="str">
        <f ca="1">IF(OR(AND($AV30="⤵",'Map 4'!R31="Mountain",'Map 4'!R30&lt;&gt;"Mountain",'Map 4'!R30&lt;&gt;"Ocean",'Map 4'!R30&lt;&gt;"Trench"),AND($AV30="⤴",'Map 4'!R29="Mountain",'Map 4'!R30&lt;&gt;"Mountain",'Map 4'!R30&lt;&gt;"Ocean",'Map 4'!R30&lt;&gt;"Trench")),CONCATENATE("Rainshadow ",'Map 4'!R30),'Map 4'!R30)</f>
        <v>Ocean</v>
      </c>
      <c r="S30" s="3" t="str">
        <f ca="1">IF(OR(AND($AV30="⤵",'Map 4'!S31="Mountain",'Map 4'!S30&lt;&gt;"Mountain",'Map 4'!S30&lt;&gt;"Ocean",'Map 4'!S30&lt;&gt;"Trench"),AND($AV30="⤴",'Map 4'!S29="Mountain",'Map 4'!S30&lt;&gt;"Mountain",'Map 4'!S30&lt;&gt;"Ocean",'Map 4'!S30&lt;&gt;"Trench")),CONCATENATE("Rainshadow ",'Map 4'!S30),'Map 4'!S30)</f>
        <v>Coast</v>
      </c>
      <c r="T30" s="3" t="str">
        <f ca="1">IF(OR(AND($AV30="⤵",'Map 4'!T31="Mountain",'Map 4'!T30&lt;&gt;"Mountain",'Map 4'!T30&lt;&gt;"Ocean",'Map 4'!T30&lt;&gt;"Trench"),AND($AV30="⤴",'Map 4'!T29="Mountain",'Map 4'!T30&lt;&gt;"Mountain",'Map 4'!T30&lt;&gt;"Ocean",'Map 4'!T30&lt;&gt;"Trench")),CONCATENATE("Rainshadow ",'Map 4'!T30),'Map 4'!T30)</f>
        <v>Coast</v>
      </c>
      <c r="U30" s="3" t="str">
        <f ca="1">IF(OR(AND($AV30="⤵",'Map 4'!U31="Mountain",'Map 4'!U30&lt;&gt;"Mountain",'Map 4'!U30&lt;&gt;"Ocean",'Map 4'!U30&lt;&gt;"Trench"),AND($AV30="⤴",'Map 4'!U29="Mountain",'Map 4'!U30&lt;&gt;"Mountain",'Map 4'!U30&lt;&gt;"Ocean",'Map 4'!U30&lt;&gt;"Trench")),CONCATENATE("Rainshadow ",'Map 4'!U30),'Map 4'!U30)</f>
        <v>Coast</v>
      </c>
      <c r="V30" s="3" t="str">
        <f ca="1">IF(OR(AND($AV30="⤵",'Map 4'!V31="Mountain",'Map 4'!V30&lt;&gt;"Mountain",'Map 4'!V30&lt;&gt;"Ocean",'Map 4'!V30&lt;&gt;"Trench"),AND($AV30="⤴",'Map 4'!V29="Mountain",'Map 4'!V30&lt;&gt;"Mountain",'Map 4'!V30&lt;&gt;"Ocean",'Map 4'!V30&lt;&gt;"Trench")),CONCATENATE("Rainshadow ",'Map 4'!V30),'Map 4'!V30)</f>
        <v>Coast</v>
      </c>
      <c r="W30" s="3" t="str">
        <f ca="1">IF(OR(AND($AV30="⤵",'Map 4'!W31="Mountain",'Map 4'!W30&lt;&gt;"Mountain",'Map 4'!W30&lt;&gt;"Ocean",'Map 4'!W30&lt;&gt;"Trench"),AND($AV30="⤴",'Map 4'!W29="Mountain",'Map 4'!W30&lt;&gt;"Mountain",'Map 4'!W30&lt;&gt;"Ocean",'Map 4'!W30&lt;&gt;"Trench")),CONCATENATE("Rainshadow ",'Map 4'!W30),'Map 4'!W30)</f>
        <v>Ocean</v>
      </c>
      <c r="X30" s="3" t="str">
        <f ca="1">IF(OR(AND($AV30="⤵",'Map 4'!X31="Mountain",'Map 4'!X30&lt;&gt;"Mountain",'Map 4'!X30&lt;&gt;"Ocean",'Map 4'!X30&lt;&gt;"Trench"),AND($AV30="⤴",'Map 4'!X29="Mountain",'Map 4'!X30&lt;&gt;"Mountain",'Map 4'!X30&lt;&gt;"Ocean",'Map 4'!X30&lt;&gt;"Trench")),CONCATENATE("Rainshadow ",'Map 4'!X30),'Map 4'!X30)</f>
        <v>Ocean</v>
      </c>
      <c r="Y30" s="3" t="str">
        <f ca="1">IF(OR(AND($AV30="⤵",'Map 4'!Y31="Mountain",'Map 4'!Y30&lt;&gt;"Mountain",'Map 4'!Y30&lt;&gt;"Ocean",'Map 4'!Y30&lt;&gt;"Trench"),AND($AV30="⤴",'Map 4'!Y29="Mountain",'Map 4'!Y30&lt;&gt;"Mountain",'Map 4'!Y30&lt;&gt;"Ocean",'Map 4'!Y30&lt;&gt;"Trench")),CONCATENATE("Rainshadow ",'Map 4'!Y30),'Map 4'!Y30)</f>
        <v>Ocean</v>
      </c>
      <c r="Z30" s="3" t="str">
        <f ca="1">IF(OR(AND($AV30="⤵",'Map 4'!Z31="Mountain",'Map 4'!Z30&lt;&gt;"Mountain",'Map 4'!Z30&lt;&gt;"Ocean",'Map 4'!Z30&lt;&gt;"Trench"),AND($AV30="⤴",'Map 4'!Z29="Mountain",'Map 4'!Z30&lt;&gt;"Mountain",'Map 4'!Z30&lt;&gt;"Ocean",'Map 4'!Z30&lt;&gt;"Trench")),CONCATENATE("Rainshadow ",'Map 4'!Z30),'Map 4'!Z30)</f>
        <v>Ocean</v>
      </c>
      <c r="AA30" s="3" t="str">
        <f ca="1">IF(OR(AND($AV30="⤵",'Map 4'!AA31="Mountain",'Map 4'!AA30&lt;&gt;"Mountain",'Map 4'!AA30&lt;&gt;"Ocean",'Map 4'!AA30&lt;&gt;"Trench"),AND($AV30="⤴",'Map 4'!AA29="Mountain",'Map 4'!AA30&lt;&gt;"Mountain",'Map 4'!AA30&lt;&gt;"Ocean",'Map 4'!AA30&lt;&gt;"Trench")),CONCATENATE("Rainshadow ",'Map 4'!AA30),'Map 4'!AA30)</f>
        <v>Ocean</v>
      </c>
      <c r="AB30" s="3" t="str">
        <f ca="1">IF(OR(AND($AV30="⤵",'Map 4'!AB31="Mountain",'Map 4'!AB30&lt;&gt;"Mountain",'Map 4'!AB30&lt;&gt;"Ocean",'Map 4'!AB30&lt;&gt;"Trench"),AND($AV30="⤴",'Map 4'!AB29="Mountain",'Map 4'!AB30&lt;&gt;"Mountain",'Map 4'!AB30&lt;&gt;"Ocean",'Map 4'!AB30&lt;&gt;"Trench")),CONCATENATE("Rainshadow ",'Map 4'!AB30),'Map 4'!AB30)</f>
        <v>Ocean</v>
      </c>
      <c r="AC30" s="3" t="str">
        <f ca="1">IF(OR(AND($AV30="⤵",'Map 4'!AC31="Mountain",'Map 4'!AC30&lt;&gt;"Mountain",'Map 4'!AC30&lt;&gt;"Ocean",'Map 4'!AC30&lt;&gt;"Trench"),AND($AV30="⤴",'Map 4'!AC29="Mountain",'Map 4'!AC30&lt;&gt;"Mountain",'Map 4'!AC30&lt;&gt;"Ocean",'Map 4'!AC30&lt;&gt;"Trench")),CONCATENATE("Rainshadow ",'Map 4'!AC30),'Map 4'!AC30)</f>
        <v>Ocean</v>
      </c>
      <c r="AD30" s="3" t="str">
        <f ca="1">IF(OR(AND($AV30="⤵",'Map 4'!AD31="Mountain",'Map 4'!AD30&lt;&gt;"Mountain",'Map 4'!AD30&lt;&gt;"Ocean",'Map 4'!AD30&lt;&gt;"Trench"),AND($AV30="⤴",'Map 4'!AD29="Mountain",'Map 4'!AD30&lt;&gt;"Mountain",'Map 4'!AD30&lt;&gt;"Ocean",'Map 4'!AD30&lt;&gt;"Trench")),CONCATENATE("Rainshadow ",'Map 4'!AD30),'Map 4'!AD30)</f>
        <v>Ocean</v>
      </c>
      <c r="AE30" s="3" t="str">
        <f ca="1">IF(OR(AND($AV30="⤵",'Map 4'!AE31="Mountain",'Map 4'!AE30&lt;&gt;"Mountain",'Map 4'!AE30&lt;&gt;"Ocean",'Map 4'!AE30&lt;&gt;"Trench"),AND($AV30="⤴",'Map 4'!AE29="Mountain",'Map 4'!AE30&lt;&gt;"Mountain",'Map 4'!AE30&lt;&gt;"Ocean",'Map 4'!AE30&lt;&gt;"Trench")),CONCATENATE("Rainshadow ",'Map 4'!AE30),'Map 4'!AE30)</f>
        <v>Island</v>
      </c>
      <c r="AF30" s="3" t="str">
        <f ca="1">IF(OR(AND($AV30="⤵",'Map 4'!AF31="Mountain",'Map 4'!AF30&lt;&gt;"Mountain",'Map 4'!AF30&lt;&gt;"Ocean",'Map 4'!AF30&lt;&gt;"Trench"),AND($AV30="⤴",'Map 4'!AF29="Mountain",'Map 4'!AF30&lt;&gt;"Mountain",'Map 4'!AF30&lt;&gt;"Ocean",'Map 4'!AF30&lt;&gt;"Trench")),CONCATENATE("Rainshadow ",'Map 4'!AF30),'Map 4'!AF30)</f>
        <v>Trench</v>
      </c>
      <c r="AG30" s="3" t="str">
        <f ca="1">IF(OR(AND($AV30="⤵",'Map 4'!AG31="Mountain",'Map 4'!AG30&lt;&gt;"Mountain",'Map 4'!AG30&lt;&gt;"Ocean",'Map 4'!AG30&lt;&gt;"Trench"),AND($AV30="⤴",'Map 4'!AG29="Mountain",'Map 4'!AG30&lt;&gt;"Mountain",'Map 4'!AG30&lt;&gt;"Ocean",'Map 4'!AG30&lt;&gt;"Trench")),CONCATENATE("Rainshadow ",'Map 4'!AG30),'Map 4'!AG30)</f>
        <v>Ocean</v>
      </c>
      <c r="AH30" s="3" t="str">
        <f ca="1">IF(OR(AND($AV30="⤵",'Map 4'!AH31="Mountain",'Map 4'!AH30&lt;&gt;"Mountain",'Map 4'!AH30&lt;&gt;"Ocean",'Map 4'!AH30&lt;&gt;"Trench"),AND($AV30="⤴",'Map 4'!AH29="Mountain",'Map 4'!AH30&lt;&gt;"Mountain",'Map 4'!AH30&lt;&gt;"Ocean",'Map 4'!AH30&lt;&gt;"Trench")),CONCATENATE("Rainshadow ",'Map 4'!AH30),'Map 4'!AH30)</f>
        <v>Ocean</v>
      </c>
      <c r="AI30" s="3" t="str">
        <f ca="1">IF(OR(AND($AV30="⤵",'Map 4'!AI31="Mountain",'Map 4'!AI30&lt;&gt;"Mountain",'Map 4'!AI30&lt;&gt;"Ocean",'Map 4'!AI30&lt;&gt;"Trench"),AND($AV30="⤴",'Map 4'!AI29="Mountain",'Map 4'!AI30&lt;&gt;"Mountain",'Map 4'!AI30&lt;&gt;"Ocean",'Map 4'!AI30&lt;&gt;"Trench")),CONCATENATE("Rainshadow ",'Map 4'!AI30),'Map 4'!AI30)</f>
        <v>Ocean</v>
      </c>
      <c r="AJ30" s="3" t="str">
        <f ca="1">IF(OR(AND($AV30="⤵",'Map 4'!AJ31="Mountain",'Map 4'!AJ30&lt;&gt;"Mountain",'Map 4'!AJ30&lt;&gt;"Ocean",'Map 4'!AJ30&lt;&gt;"Trench"),AND($AV30="⤴",'Map 4'!AJ29="Mountain",'Map 4'!AJ30&lt;&gt;"Mountain",'Map 4'!AJ30&lt;&gt;"Ocean",'Map 4'!AJ30&lt;&gt;"Trench")),CONCATENATE("Rainshadow ",'Map 4'!AJ30),'Map 4'!AJ30)</f>
        <v>Ocean</v>
      </c>
      <c r="AK30" s="3" t="str">
        <f ca="1">IF(OR(AND($AV30="⤵",'Map 4'!AK31="Mountain",'Map 4'!AK30&lt;&gt;"Mountain",'Map 4'!AK30&lt;&gt;"Ocean",'Map 4'!AK30&lt;&gt;"Trench"),AND($AV30="⤴",'Map 4'!AK29="Mountain",'Map 4'!AK30&lt;&gt;"Mountain",'Map 4'!AK30&lt;&gt;"Ocean",'Map 4'!AK30&lt;&gt;"Trench")),CONCATENATE("Rainshadow ",'Map 4'!AK30),'Map 4'!AK30)</f>
        <v>Trench</v>
      </c>
      <c r="AL30" s="3" t="str">
        <f ca="1">IF(OR(AND($AV30="⤵",'Map 4'!AL31="Mountain",'Map 4'!AL30&lt;&gt;"Mountain",'Map 4'!AL30&lt;&gt;"Ocean",'Map 4'!AL30&lt;&gt;"Trench"),AND($AV30="⤴",'Map 4'!AL29="Mountain",'Map 4'!AL30&lt;&gt;"Mountain",'Map 4'!AL30&lt;&gt;"Ocean",'Map 4'!AL30&lt;&gt;"Trench")),CONCATENATE("Rainshadow ",'Map 4'!AL30),'Map 4'!AL30)</f>
        <v>Island</v>
      </c>
      <c r="AM30" s="3" t="str">
        <f ca="1">IF(OR(AND($AV30="⤵",'Map 4'!AM31="Mountain",'Map 4'!AM30&lt;&gt;"Mountain",'Map 4'!AM30&lt;&gt;"Ocean",'Map 4'!AM30&lt;&gt;"Trench"),AND($AV30="⤴",'Map 4'!AM29="Mountain",'Map 4'!AM30&lt;&gt;"Mountain",'Map 4'!AM30&lt;&gt;"Ocean",'Map 4'!AM30&lt;&gt;"Trench")),CONCATENATE("Rainshadow ",'Map 4'!AM30),'Map 4'!AM30)</f>
        <v>Ocean</v>
      </c>
      <c r="AN30" s="3" t="str">
        <f ca="1">IF(OR(AND($AV30="⤵",'Map 4'!AN31="Mountain",'Map 4'!AN30&lt;&gt;"Mountain",'Map 4'!AN30&lt;&gt;"Ocean",'Map 4'!AN30&lt;&gt;"Trench"),AND($AV30="⤴",'Map 4'!AN29="Mountain",'Map 4'!AN30&lt;&gt;"Mountain",'Map 4'!AN30&lt;&gt;"Ocean",'Map 4'!AN30&lt;&gt;"Trench")),CONCATENATE("Rainshadow ",'Map 4'!AN30),'Map 4'!AN30)</f>
        <v>Trench</v>
      </c>
      <c r="AO30" s="3" t="str">
        <f ca="1">IF(OR(AND($AV30="⤵",'Map 4'!AO31="Mountain",'Map 4'!AO30&lt;&gt;"Mountain",'Map 4'!AO30&lt;&gt;"Ocean",'Map 4'!AO30&lt;&gt;"Trench"),AND($AV30="⤴",'Map 4'!AO29="Mountain",'Map 4'!AO30&lt;&gt;"Mountain",'Map 4'!AO30&lt;&gt;"Ocean",'Map 4'!AO30&lt;&gt;"Trench")),CONCATENATE("Rainshadow ",'Map 4'!AO30),'Map 4'!AO30)</f>
        <v>Ocean</v>
      </c>
      <c r="AP30" s="3">
        <f t="shared" si="1"/>
        <v>90.9</v>
      </c>
      <c r="AQ30" s="3">
        <f t="shared" si="2"/>
        <v>195.62</v>
      </c>
      <c r="AR30" s="3"/>
      <c r="AS30" s="3">
        <f>C2-$E$3</f>
        <v>364.05</v>
      </c>
      <c r="AT30" s="41">
        <v>-4.5</v>
      </c>
      <c r="AU30" s="41" t="str">
        <f>AU29</f>
        <v>Rainforest</v>
      </c>
      <c r="AV30" s="41" t="str" cm="1">
        <f t="array" ref="AV30">_xlfn.IFS(AT30&lt;-90,"⤴",AND(AT30&gt;=-90,AT30&lt;-60),"⤴",AND(AT30&gt;=-60,AT30&lt;-30),"⤵",AND(AT30&gt;=-30,AT30&lt;0),"⤴",AND(AT30&gt;=0,AT30&lt;30),"⤵",AND(AT30&gt;=30,AT30&lt;60),"⤴",AT30&gt;=60,"⤵")</f>
        <v>⤴</v>
      </c>
      <c r="AW30" s="41">
        <f>AW29</f>
        <v>0.86</v>
      </c>
    </row>
    <row r="31" spans="1:49" ht="15" customHeight="1">
      <c r="A31" s="3">
        <v>22</v>
      </c>
      <c r="B31" s="3" t="str">
        <f ca="1">IF(OR(AND($AV31="⤵",'Map 4'!B32="Mountain",'Map 4'!B31&lt;&gt;"Mountain",'Map 4'!B31&lt;&gt;"Ocean",'Map 4'!B31&lt;&gt;"Trench"),AND($AV31="⤴",'Map 4'!B30="Mountain",'Map 4'!B31&lt;&gt;"Mountain",'Map 4'!B31&lt;&gt;"Ocean",'Map 4'!B31&lt;&gt;"Trench")),CONCATENATE("Rainshadow ",'Map 4'!B31),'Map 4'!B31)</f>
        <v>Flatland</v>
      </c>
      <c r="C31" s="3" t="str">
        <f ca="1">IF(OR(AND($AV31="⤵",'Map 4'!C32="Mountain",'Map 4'!C31&lt;&gt;"Mountain",'Map 4'!C31&lt;&gt;"Ocean",'Map 4'!C31&lt;&gt;"Trench"),AND($AV31="⤴",'Map 4'!C30="Mountain",'Map 4'!C31&lt;&gt;"Mountain",'Map 4'!C31&lt;&gt;"Ocean",'Map 4'!C31&lt;&gt;"Trench")),CONCATENATE("Rainshadow ",'Map 4'!C31),'Map 4'!C31)</f>
        <v>Flatland</v>
      </c>
      <c r="D31" s="3" t="str">
        <f ca="1">IF(OR(AND($AV31="⤵",'Map 4'!D32="Mountain",'Map 4'!D31&lt;&gt;"Mountain",'Map 4'!D31&lt;&gt;"Ocean",'Map 4'!D31&lt;&gt;"Trench"),AND($AV31="⤴",'Map 4'!D30="Mountain",'Map 4'!D31&lt;&gt;"Mountain",'Map 4'!D31&lt;&gt;"Ocean",'Map 4'!D31&lt;&gt;"Trench")),CONCATENATE("Rainshadow ",'Map 4'!D31),'Map 4'!D31)</f>
        <v>Rainshadow Flatland</v>
      </c>
      <c r="E31" s="3" t="str">
        <f ca="1">IF(OR(AND($AV31="⤵",'Map 4'!E32="Mountain",'Map 4'!E31&lt;&gt;"Mountain",'Map 4'!E31&lt;&gt;"Ocean",'Map 4'!E31&lt;&gt;"Trench"),AND($AV31="⤴",'Map 4'!E30="Mountain",'Map 4'!E31&lt;&gt;"Mountain",'Map 4'!E31&lt;&gt;"Ocean",'Map 4'!E31&lt;&gt;"Trench")),CONCATENATE("Rainshadow ",'Map 4'!E31),'Map 4'!E31)</f>
        <v>Flatland</v>
      </c>
      <c r="F31" s="3" t="str">
        <f ca="1">IF(OR(AND($AV31="⤵",'Map 4'!F32="Mountain",'Map 4'!F31&lt;&gt;"Mountain",'Map 4'!F31&lt;&gt;"Ocean",'Map 4'!F31&lt;&gt;"Trench"),AND($AV31="⤴",'Map 4'!F30="Mountain",'Map 4'!F31&lt;&gt;"Mountain",'Map 4'!F31&lt;&gt;"Ocean",'Map 4'!F31&lt;&gt;"Trench")),CONCATENATE("Rainshadow ",'Map 4'!F31),'Map 4'!F31)</f>
        <v>Mountain</v>
      </c>
      <c r="G31" s="3" t="str">
        <f ca="1">IF(OR(AND($AV31="⤵",'Map 4'!G32="Mountain",'Map 4'!G31&lt;&gt;"Mountain",'Map 4'!G31&lt;&gt;"Ocean",'Map 4'!G31&lt;&gt;"Trench"),AND($AV31="⤴",'Map 4'!G30="Mountain",'Map 4'!G31&lt;&gt;"Mountain",'Map 4'!G31&lt;&gt;"Ocean",'Map 4'!G31&lt;&gt;"Trench")),CONCATENATE("Rainshadow ",'Map 4'!G31),'Map 4'!G31)</f>
        <v>Flatland</v>
      </c>
      <c r="H31" s="3" t="str">
        <f ca="1">IF(OR(AND($AV31="⤵",'Map 4'!H32="Mountain",'Map 4'!H31&lt;&gt;"Mountain",'Map 4'!H31&lt;&gt;"Ocean",'Map 4'!H31&lt;&gt;"Trench"),AND($AV31="⤴",'Map 4'!H30="Mountain",'Map 4'!H31&lt;&gt;"Mountain",'Map 4'!H31&lt;&gt;"Ocean",'Map 4'!H31&lt;&gt;"Trench")),CONCATENATE("Rainshadow ",'Map 4'!H31),'Map 4'!H31)</f>
        <v>Flatland</v>
      </c>
      <c r="I31" s="3" t="str">
        <f ca="1">IF(OR(AND($AV31="⤵",'Map 4'!I32="Mountain",'Map 4'!I31&lt;&gt;"Mountain",'Map 4'!I31&lt;&gt;"Ocean",'Map 4'!I31&lt;&gt;"Trench"),AND($AV31="⤴",'Map 4'!I30="Mountain",'Map 4'!I31&lt;&gt;"Mountain",'Map 4'!I31&lt;&gt;"Ocean",'Map 4'!I31&lt;&gt;"Trench")),CONCATENATE("Rainshadow ",'Map 4'!I31),'Map 4'!I31)</f>
        <v>Flatland</v>
      </c>
      <c r="J31" s="3" t="str">
        <f ca="1">IF(OR(AND($AV31="⤵",'Map 4'!J32="Mountain",'Map 4'!J31&lt;&gt;"Mountain",'Map 4'!J31&lt;&gt;"Ocean",'Map 4'!J31&lt;&gt;"Trench"),AND($AV31="⤴",'Map 4'!J30="Mountain",'Map 4'!J31&lt;&gt;"Mountain",'Map 4'!J31&lt;&gt;"Ocean",'Map 4'!J31&lt;&gt;"Trench")),CONCATENATE("Rainshadow ",'Map 4'!J31),'Map 4'!J31)</f>
        <v>Flatland</v>
      </c>
      <c r="K31" s="3" t="str">
        <f ca="1">IF(OR(AND($AV31="⤵",'Map 4'!K32="Mountain",'Map 4'!K31&lt;&gt;"Mountain",'Map 4'!K31&lt;&gt;"Ocean",'Map 4'!K31&lt;&gt;"Trench"),AND($AV31="⤴",'Map 4'!K30="Mountain",'Map 4'!K31&lt;&gt;"Mountain",'Map 4'!K31&lt;&gt;"Ocean",'Map 4'!K31&lt;&gt;"Trench")),CONCATENATE("Rainshadow ",'Map 4'!K31),'Map 4'!K31)</f>
        <v>Ocean</v>
      </c>
      <c r="L31" s="3" t="str">
        <f ca="1">IF(OR(AND($AV31="⤵",'Map 4'!L32="Mountain",'Map 4'!L31&lt;&gt;"Mountain",'Map 4'!L31&lt;&gt;"Ocean",'Map 4'!L31&lt;&gt;"Trench"),AND($AV31="⤴",'Map 4'!L30="Mountain",'Map 4'!L31&lt;&gt;"Mountain",'Map 4'!L31&lt;&gt;"Ocean",'Map 4'!L31&lt;&gt;"Trench")),CONCATENATE("Rainshadow ",'Map 4'!L31),'Map 4'!L31)</f>
        <v>Ocean</v>
      </c>
      <c r="M31" s="3" t="str">
        <f ca="1">IF(OR(AND($AV31="⤵",'Map 4'!M32="Mountain",'Map 4'!M31&lt;&gt;"Mountain",'Map 4'!M31&lt;&gt;"Ocean",'Map 4'!M31&lt;&gt;"Trench"),AND($AV31="⤴",'Map 4'!M30="Mountain",'Map 4'!M31&lt;&gt;"Mountain",'Map 4'!M31&lt;&gt;"Ocean",'Map 4'!M31&lt;&gt;"Trench")),CONCATENATE("Rainshadow ",'Map 4'!M31),'Map 4'!M31)</f>
        <v>Ocean</v>
      </c>
      <c r="N31" s="3" t="str">
        <f ca="1">IF(OR(AND($AV31="⤵",'Map 4'!N32="Mountain",'Map 4'!N31&lt;&gt;"Mountain",'Map 4'!N31&lt;&gt;"Ocean",'Map 4'!N31&lt;&gt;"Trench"),AND($AV31="⤴",'Map 4'!N30="Mountain",'Map 4'!N31&lt;&gt;"Mountain",'Map 4'!N31&lt;&gt;"Ocean",'Map 4'!N31&lt;&gt;"Trench")),CONCATENATE("Rainshadow ",'Map 4'!N31),'Map 4'!N31)</f>
        <v>Ocean</v>
      </c>
      <c r="O31" s="3" t="str">
        <f ca="1">IF(OR(AND($AV31="⤵",'Map 4'!O32="Mountain",'Map 4'!O31&lt;&gt;"Mountain",'Map 4'!O31&lt;&gt;"Ocean",'Map 4'!O31&lt;&gt;"Trench"),AND($AV31="⤴",'Map 4'!O30="Mountain",'Map 4'!O31&lt;&gt;"Mountain",'Map 4'!O31&lt;&gt;"Ocean",'Map 4'!O31&lt;&gt;"Trench")),CONCATENATE("Rainshadow ",'Map 4'!O31),'Map 4'!O31)</f>
        <v>Ocean</v>
      </c>
      <c r="P31" s="3" t="str">
        <f ca="1">IF(OR(AND($AV31="⤵",'Map 4'!P32="Mountain",'Map 4'!P31&lt;&gt;"Mountain",'Map 4'!P31&lt;&gt;"Ocean",'Map 4'!P31&lt;&gt;"Trench"),AND($AV31="⤴",'Map 4'!P30="Mountain",'Map 4'!P31&lt;&gt;"Mountain",'Map 4'!P31&lt;&gt;"Ocean",'Map 4'!P31&lt;&gt;"Trench")),CONCATENATE("Rainshadow ",'Map 4'!P31),'Map 4'!P31)</f>
        <v>Ocean</v>
      </c>
      <c r="Q31" s="3" t="str">
        <f ca="1">IF(OR(AND($AV31="⤵",'Map 4'!Q32="Mountain",'Map 4'!Q31&lt;&gt;"Mountain",'Map 4'!Q31&lt;&gt;"Ocean",'Map 4'!Q31&lt;&gt;"Trench"),AND($AV31="⤴",'Map 4'!Q30="Mountain",'Map 4'!Q31&lt;&gt;"Mountain",'Map 4'!Q31&lt;&gt;"Ocean",'Map 4'!Q31&lt;&gt;"Trench")),CONCATENATE("Rainshadow ",'Map 4'!Q31),'Map 4'!Q31)</f>
        <v>Ocean</v>
      </c>
      <c r="R31" s="3" t="str">
        <f ca="1">IF(OR(AND($AV31="⤵",'Map 4'!R32="Mountain",'Map 4'!R31&lt;&gt;"Mountain",'Map 4'!R31&lt;&gt;"Ocean",'Map 4'!R31&lt;&gt;"Trench"),AND($AV31="⤴",'Map 4'!R30="Mountain",'Map 4'!R31&lt;&gt;"Mountain",'Map 4'!R31&lt;&gt;"Ocean",'Map 4'!R31&lt;&gt;"Trench")),CONCATENATE("Rainshadow ",'Map 4'!R31),'Map 4'!R31)</f>
        <v>Ocean</v>
      </c>
      <c r="S31" s="3" t="str">
        <f ca="1">IF(OR(AND($AV31="⤵",'Map 4'!S32="Mountain",'Map 4'!S31&lt;&gt;"Mountain",'Map 4'!S31&lt;&gt;"Ocean",'Map 4'!S31&lt;&gt;"Trench"),AND($AV31="⤴",'Map 4'!S30="Mountain",'Map 4'!S31&lt;&gt;"Mountain",'Map 4'!S31&lt;&gt;"Ocean",'Map 4'!S31&lt;&gt;"Trench")),CONCATENATE("Rainshadow ",'Map 4'!S31),'Map 4'!S31)</f>
        <v>Ocean</v>
      </c>
      <c r="T31" s="3" t="str">
        <f ca="1">IF(OR(AND($AV31="⤵",'Map 4'!T32="Mountain",'Map 4'!T31&lt;&gt;"Mountain",'Map 4'!T31&lt;&gt;"Ocean",'Map 4'!T31&lt;&gt;"Trench"),AND($AV31="⤴",'Map 4'!T30="Mountain",'Map 4'!T31&lt;&gt;"Mountain",'Map 4'!T31&lt;&gt;"Ocean",'Map 4'!T31&lt;&gt;"Trench")),CONCATENATE("Rainshadow ",'Map 4'!T31),'Map 4'!T31)</f>
        <v>Coast</v>
      </c>
      <c r="U31" s="3" t="str">
        <f ca="1">IF(OR(AND($AV31="⤵",'Map 4'!U32="Mountain",'Map 4'!U31&lt;&gt;"Mountain",'Map 4'!U31&lt;&gt;"Ocean",'Map 4'!U31&lt;&gt;"Trench"),AND($AV31="⤴",'Map 4'!U30="Mountain",'Map 4'!U31&lt;&gt;"Mountain",'Map 4'!U31&lt;&gt;"Ocean",'Map 4'!U31&lt;&gt;"Trench")),CONCATENATE("Rainshadow ",'Map 4'!U31),'Map 4'!U31)</f>
        <v>Ocean</v>
      </c>
      <c r="V31" s="3" t="str">
        <f ca="1">IF(OR(AND($AV31="⤵",'Map 4'!V32="Mountain",'Map 4'!V31&lt;&gt;"Mountain",'Map 4'!V31&lt;&gt;"Ocean",'Map 4'!V31&lt;&gt;"Trench"),AND($AV31="⤴",'Map 4'!V30="Mountain",'Map 4'!V31&lt;&gt;"Mountain",'Map 4'!V31&lt;&gt;"Ocean",'Map 4'!V31&lt;&gt;"Trench")),CONCATENATE("Rainshadow ",'Map 4'!V31),'Map 4'!V31)</f>
        <v>Ocean</v>
      </c>
      <c r="W31" s="3" t="str">
        <f ca="1">IF(OR(AND($AV31="⤵",'Map 4'!W32="Mountain",'Map 4'!W31&lt;&gt;"Mountain",'Map 4'!W31&lt;&gt;"Ocean",'Map 4'!W31&lt;&gt;"Trench"),AND($AV31="⤴",'Map 4'!W30="Mountain",'Map 4'!W31&lt;&gt;"Mountain",'Map 4'!W31&lt;&gt;"Ocean",'Map 4'!W31&lt;&gt;"Trench")),CONCATENATE("Rainshadow ",'Map 4'!W31),'Map 4'!W31)</f>
        <v>Ocean</v>
      </c>
      <c r="X31" s="3" t="str">
        <f ca="1">IF(OR(AND($AV31="⤵",'Map 4'!X32="Mountain",'Map 4'!X31&lt;&gt;"Mountain",'Map 4'!X31&lt;&gt;"Ocean",'Map 4'!X31&lt;&gt;"Trench"),AND($AV31="⤴",'Map 4'!X30="Mountain",'Map 4'!X31&lt;&gt;"Mountain",'Map 4'!X31&lt;&gt;"Ocean",'Map 4'!X31&lt;&gt;"Trench")),CONCATENATE("Rainshadow ",'Map 4'!X31),'Map 4'!X31)</f>
        <v>Ocean</v>
      </c>
      <c r="Y31" s="3" t="str">
        <f ca="1">IF(OR(AND($AV31="⤵",'Map 4'!Y32="Mountain",'Map 4'!Y31&lt;&gt;"Mountain",'Map 4'!Y31&lt;&gt;"Ocean",'Map 4'!Y31&lt;&gt;"Trench"),AND($AV31="⤴",'Map 4'!Y30="Mountain",'Map 4'!Y31&lt;&gt;"Mountain",'Map 4'!Y31&lt;&gt;"Ocean",'Map 4'!Y31&lt;&gt;"Trench")),CONCATENATE("Rainshadow ",'Map 4'!Y31),'Map 4'!Y31)</f>
        <v>Ocean</v>
      </c>
      <c r="Z31" s="3" t="str">
        <f ca="1">IF(OR(AND($AV31="⤵",'Map 4'!Z32="Mountain",'Map 4'!Z31&lt;&gt;"Mountain",'Map 4'!Z31&lt;&gt;"Ocean",'Map 4'!Z31&lt;&gt;"Trench"),AND($AV31="⤴",'Map 4'!Z30="Mountain",'Map 4'!Z31&lt;&gt;"Mountain",'Map 4'!Z31&lt;&gt;"Ocean",'Map 4'!Z31&lt;&gt;"Trench")),CONCATENATE("Rainshadow ",'Map 4'!Z31),'Map 4'!Z31)</f>
        <v>Ocean</v>
      </c>
      <c r="AA31" s="3" t="str">
        <f ca="1">IF(OR(AND($AV31="⤵",'Map 4'!AA32="Mountain",'Map 4'!AA31&lt;&gt;"Mountain",'Map 4'!AA31&lt;&gt;"Ocean",'Map 4'!AA31&lt;&gt;"Trench"),AND($AV31="⤴",'Map 4'!AA30="Mountain",'Map 4'!AA31&lt;&gt;"Mountain",'Map 4'!AA31&lt;&gt;"Ocean",'Map 4'!AA31&lt;&gt;"Trench")),CONCATENATE("Rainshadow ",'Map 4'!AA31),'Map 4'!AA31)</f>
        <v>Trench</v>
      </c>
      <c r="AB31" s="3" t="str">
        <f ca="1">IF(OR(AND($AV31="⤵",'Map 4'!AB32="Mountain",'Map 4'!AB31&lt;&gt;"Mountain",'Map 4'!AB31&lt;&gt;"Ocean",'Map 4'!AB31&lt;&gt;"Trench"),AND($AV31="⤴",'Map 4'!AB30="Mountain",'Map 4'!AB31&lt;&gt;"Mountain",'Map 4'!AB31&lt;&gt;"Ocean",'Map 4'!AB31&lt;&gt;"Trench")),CONCATENATE("Rainshadow ",'Map 4'!AB31),'Map 4'!AB31)</f>
        <v>Island</v>
      </c>
      <c r="AC31" s="3" t="str">
        <f ca="1">IF(OR(AND($AV31="⤵",'Map 4'!AC32="Mountain",'Map 4'!AC31&lt;&gt;"Mountain",'Map 4'!AC31&lt;&gt;"Ocean",'Map 4'!AC31&lt;&gt;"Trench"),AND($AV31="⤴",'Map 4'!AC30="Mountain",'Map 4'!AC31&lt;&gt;"Mountain",'Map 4'!AC31&lt;&gt;"Ocean",'Map 4'!AC31&lt;&gt;"Trench")),CONCATENATE("Rainshadow ",'Map 4'!AC31),'Map 4'!AC31)</f>
        <v>Ocean</v>
      </c>
      <c r="AD31" s="3" t="str">
        <f ca="1">IF(OR(AND($AV31="⤵",'Map 4'!AD32="Mountain",'Map 4'!AD31&lt;&gt;"Mountain",'Map 4'!AD31&lt;&gt;"Ocean",'Map 4'!AD31&lt;&gt;"Trench"),AND($AV31="⤴",'Map 4'!AD30="Mountain",'Map 4'!AD31&lt;&gt;"Mountain",'Map 4'!AD31&lt;&gt;"Ocean",'Map 4'!AD31&lt;&gt;"Trench")),CONCATENATE("Rainshadow ",'Map 4'!AD31),'Map 4'!AD31)</f>
        <v>Ocean</v>
      </c>
      <c r="AE31" s="3" t="str">
        <f ca="1">IF(OR(AND($AV31="⤵",'Map 4'!AE32="Mountain",'Map 4'!AE31&lt;&gt;"Mountain",'Map 4'!AE31&lt;&gt;"Ocean",'Map 4'!AE31&lt;&gt;"Trench"),AND($AV31="⤴",'Map 4'!AE30="Mountain",'Map 4'!AE31&lt;&gt;"Mountain",'Map 4'!AE31&lt;&gt;"Ocean",'Map 4'!AE31&lt;&gt;"Trench")),CONCATENATE("Rainshadow ",'Map 4'!AE31),'Map 4'!AE31)</f>
        <v>Ocean</v>
      </c>
      <c r="AF31" s="3" t="str">
        <f ca="1">IF(OR(AND($AV31="⤵",'Map 4'!AF32="Mountain",'Map 4'!AF31&lt;&gt;"Mountain",'Map 4'!AF31&lt;&gt;"Ocean",'Map 4'!AF31&lt;&gt;"Trench"),AND($AV31="⤴",'Map 4'!AF30="Mountain",'Map 4'!AF31&lt;&gt;"Mountain",'Map 4'!AF31&lt;&gt;"Ocean",'Map 4'!AF31&lt;&gt;"Trench")),CONCATENATE("Rainshadow ",'Map 4'!AF31),'Map 4'!AF31)</f>
        <v>Island</v>
      </c>
      <c r="AG31" s="3" t="str">
        <f ca="1">IF(OR(AND($AV31="⤵",'Map 4'!AG32="Mountain",'Map 4'!AG31&lt;&gt;"Mountain",'Map 4'!AG31&lt;&gt;"Ocean",'Map 4'!AG31&lt;&gt;"Trench"),AND($AV31="⤴",'Map 4'!AG30="Mountain",'Map 4'!AG31&lt;&gt;"Mountain",'Map 4'!AG31&lt;&gt;"Ocean",'Map 4'!AG31&lt;&gt;"Trench")),CONCATENATE("Rainshadow ",'Map 4'!AG31),'Map 4'!AG31)</f>
        <v>Trench</v>
      </c>
      <c r="AH31" s="3" t="str">
        <f ca="1">IF(OR(AND($AV31="⤵",'Map 4'!AH32="Mountain",'Map 4'!AH31&lt;&gt;"Mountain",'Map 4'!AH31&lt;&gt;"Ocean",'Map 4'!AH31&lt;&gt;"Trench"),AND($AV31="⤴",'Map 4'!AH30="Mountain",'Map 4'!AH31&lt;&gt;"Mountain",'Map 4'!AH31&lt;&gt;"Ocean",'Map 4'!AH31&lt;&gt;"Trench")),CONCATENATE("Rainshadow ",'Map 4'!AH31),'Map 4'!AH31)</f>
        <v>Ocean</v>
      </c>
      <c r="AI31" s="3" t="str">
        <f ca="1">IF(OR(AND($AV31="⤵",'Map 4'!AI32="Mountain",'Map 4'!AI31&lt;&gt;"Mountain",'Map 4'!AI31&lt;&gt;"Ocean",'Map 4'!AI31&lt;&gt;"Trench"),AND($AV31="⤴",'Map 4'!AI30="Mountain",'Map 4'!AI31&lt;&gt;"Mountain",'Map 4'!AI31&lt;&gt;"Ocean",'Map 4'!AI31&lt;&gt;"Trench")),CONCATENATE("Rainshadow ",'Map 4'!AI31),'Map 4'!AI31)</f>
        <v>Ocean</v>
      </c>
      <c r="AJ31" s="3" t="str">
        <f ca="1">IF(OR(AND($AV31="⤵",'Map 4'!AJ32="Mountain",'Map 4'!AJ31&lt;&gt;"Mountain",'Map 4'!AJ31&lt;&gt;"Ocean",'Map 4'!AJ31&lt;&gt;"Trench"),AND($AV31="⤴",'Map 4'!AJ30="Mountain",'Map 4'!AJ31&lt;&gt;"Mountain",'Map 4'!AJ31&lt;&gt;"Ocean",'Map 4'!AJ31&lt;&gt;"Trench")),CONCATENATE("Rainshadow ",'Map 4'!AJ31),'Map 4'!AJ31)</f>
        <v>Island</v>
      </c>
      <c r="AK31" s="3" t="str">
        <f ca="1">IF(OR(AND($AV31="⤵",'Map 4'!AK32="Mountain",'Map 4'!AK31&lt;&gt;"Mountain",'Map 4'!AK31&lt;&gt;"Ocean",'Map 4'!AK31&lt;&gt;"Trench"),AND($AV31="⤴",'Map 4'!AK30="Mountain",'Map 4'!AK31&lt;&gt;"Mountain",'Map 4'!AK31&lt;&gt;"Ocean",'Map 4'!AK31&lt;&gt;"Trench")),CONCATENATE("Rainshadow ",'Map 4'!AK31),'Map 4'!AK31)</f>
        <v>Ocean</v>
      </c>
      <c r="AL31" s="3" t="str">
        <f ca="1">IF(OR(AND($AV31="⤵",'Map 4'!AL32="Mountain",'Map 4'!AL31&lt;&gt;"Mountain",'Map 4'!AL31&lt;&gt;"Ocean",'Map 4'!AL31&lt;&gt;"Trench"),AND($AV31="⤴",'Map 4'!AL30="Mountain",'Map 4'!AL31&lt;&gt;"Mountain",'Map 4'!AL31&lt;&gt;"Ocean",'Map 4'!AL31&lt;&gt;"Trench")),CONCATENATE("Rainshadow ",'Map 4'!AL31),'Map 4'!AL31)</f>
        <v>Ocean</v>
      </c>
      <c r="AM31" s="3" t="str">
        <f ca="1">IF(OR(AND($AV31="⤵",'Map 4'!AM32="Mountain",'Map 4'!AM31&lt;&gt;"Mountain",'Map 4'!AM31&lt;&gt;"Ocean",'Map 4'!AM31&lt;&gt;"Trench"),AND($AV31="⤴",'Map 4'!AM30="Mountain",'Map 4'!AM31&lt;&gt;"Mountain",'Map 4'!AM31&lt;&gt;"Ocean",'Map 4'!AM31&lt;&gt;"Trench")),CONCATENATE("Rainshadow ",'Map 4'!AM31),'Map 4'!AM31)</f>
        <v>Ocean</v>
      </c>
      <c r="AN31" s="3" t="str">
        <f ca="1">IF(OR(AND($AV31="⤵",'Map 4'!AN32="Mountain",'Map 4'!AN31&lt;&gt;"Mountain",'Map 4'!AN31&lt;&gt;"Ocean",'Map 4'!AN31&lt;&gt;"Trench"),AND($AV31="⤴",'Map 4'!AN30="Mountain",'Map 4'!AN31&lt;&gt;"Mountain",'Map 4'!AN31&lt;&gt;"Ocean",'Map 4'!AN31&lt;&gt;"Trench")),CONCATENATE("Rainshadow ",'Map 4'!AN31),'Map 4'!AN31)</f>
        <v>Ocean</v>
      </c>
      <c r="AO31" s="3" t="str">
        <f ca="1">IF(OR(AND($AV31="⤵",'Map 4'!AO32="Mountain",'Map 4'!AO31&lt;&gt;"Mountain",'Map 4'!AO31&lt;&gt;"Ocean",'Map 4'!AO31&lt;&gt;"Trench"),AND($AV31="⤴",'Map 4'!AO30="Mountain",'Map 4'!AO31&lt;&gt;"Mountain",'Map 4'!AO31&lt;&gt;"Ocean",'Map 4'!AO31&lt;&gt;"Trench")),CONCATENATE("Rainshadow ",'Map 4'!AO31),'Map 4'!AO31)</f>
        <v>Ocean</v>
      </c>
      <c r="AP31" s="3">
        <f t="shared" si="1"/>
        <v>83.95</v>
      </c>
      <c r="AQ31" s="3">
        <f t="shared" si="2"/>
        <v>183.11</v>
      </c>
      <c r="AR31" s="3"/>
      <c r="AS31" s="3">
        <f t="shared" ref="AS31:AS49" si="5">AS30-$E$3</f>
        <v>357.1</v>
      </c>
      <c r="AT31" s="41">
        <v>-9</v>
      </c>
      <c r="AU31" s="41" t="str">
        <f>AU28</f>
        <v>Rainforest</v>
      </c>
      <c r="AV31" s="41" t="str" cm="1">
        <f t="array" ref="AV31">_xlfn.IFS(AT31&lt;-90,"⤴",AND(AT31&gt;=-90,AT31&lt;-60),"⤴",AND(AT31&gt;=-60,AT31&lt;-30),"⤵",AND(AT31&gt;=-30,AT31&lt;0),"⤴",AND(AT31&gt;=0,AT31&lt;30),"⤵",AND(AT31&gt;=30,AT31&lt;60),"⤴",AT31&gt;=60,"⤵")</f>
        <v>⤴</v>
      </c>
      <c r="AW31" s="41">
        <f>AW28</f>
        <v>0.72</v>
      </c>
    </row>
    <row r="32" spans="1:49" ht="15" customHeight="1">
      <c r="A32" s="3">
        <v>23</v>
      </c>
      <c r="B32" s="3" t="str">
        <f ca="1">IF(OR(AND($AV32="⤵",'Map 4'!B33="Mountain",'Map 4'!B32&lt;&gt;"Mountain",'Map 4'!B32&lt;&gt;"Ocean",'Map 4'!B32&lt;&gt;"Trench"),AND($AV32="⤴",'Map 4'!B31="Mountain",'Map 4'!B32&lt;&gt;"Mountain",'Map 4'!B32&lt;&gt;"Ocean",'Map 4'!B32&lt;&gt;"Trench")),CONCATENATE("Rainshadow ",'Map 4'!B32),'Map 4'!B32)</f>
        <v>Ocean</v>
      </c>
      <c r="C32" s="3" t="str">
        <f ca="1">IF(OR(AND($AV32="⤵",'Map 4'!C33="Mountain",'Map 4'!C32&lt;&gt;"Mountain",'Map 4'!C32&lt;&gt;"Ocean",'Map 4'!C32&lt;&gt;"Trench"),AND($AV32="⤴",'Map 4'!C31="Mountain",'Map 4'!C32&lt;&gt;"Mountain",'Map 4'!C32&lt;&gt;"Ocean",'Map 4'!C32&lt;&gt;"Trench")),CONCATENATE("Rainshadow ",'Map 4'!C32),'Map 4'!C32)</f>
        <v>Drop Off</v>
      </c>
      <c r="D32" s="3" t="str">
        <f ca="1">IF(OR(AND($AV32="⤵",'Map 4'!D33="Mountain",'Map 4'!D32&lt;&gt;"Mountain",'Map 4'!D32&lt;&gt;"Ocean",'Map 4'!D32&lt;&gt;"Trench"),AND($AV32="⤴",'Map 4'!D31="Mountain",'Map 4'!D32&lt;&gt;"Mountain",'Map 4'!D32&lt;&gt;"Ocean",'Map 4'!D32&lt;&gt;"Trench")),CONCATENATE("Rainshadow ",'Map 4'!D32),'Map 4'!D32)</f>
        <v>Flatland</v>
      </c>
      <c r="E32" s="3" t="str">
        <f ca="1">IF(OR(AND($AV32="⤵",'Map 4'!E33="Mountain",'Map 4'!E32&lt;&gt;"Mountain",'Map 4'!E32&lt;&gt;"Ocean",'Map 4'!E32&lt;&gt;"Trench"),AND($AV32="⤴",'Map 4'!E31="Mountain",'Map 4'!E32&lt;&gt;"Mountain",'Map 4'!E32&lt;&gt;"Ocean",'Map 4'!E32&lt;&gt;"Trench")),CONCATENATE("Rainshadow ",'Map 4'!E32),'Map 4'!E32)</f>
        <v>Flatland</v>
      </c>
      <c r="F32" s="3" t="str">
        <f ca="1">IF(OR(AND($AV32="⤵",'Map 4'!F33="Mountain",'Map 4'!F32&lt;&gt;"Mountain",'Map 4'!F32&lt;&gt;"Ocean",'Map 4'!F32&lt;&gt;"Trench"),AND($AV32="⤴",'Map 4'!F31="Mountain",'Map 4'!F32&lt;&gt;"Mountain",'Map 4'!F32&lt;&gt;"Ocean",'Map 4'!F32&lt;&gt;"Trench")),CONCATENATE("Rainshadow ",'Map 4'!F32),'Map 4'!F32)</f>
        <v>Rainshadow Flatland</v>
      </c>
      <c r="G32" s="3" t="str">
        <f ca="1">IF(OR(AND($AV32="⤵",'Map 4'!G33="Mountain",'Map 4'!G32&lt;&gt;"Mountain",'Map 4'!G32&lt;&gt;"Ocean",'Map 4'!G32&lt;&gt;"Trench"),AND($AV32="⤴",'Map 4'!G31="Mountain",'Map 4'!G32&lt;&gt;"Mountain",'Map 4'!G32&lt;&gt;"Ocean",'Map 4'!G32&lt;&gt;"Trench")),CONCATENATE("Rainshadow ",'Map 4'!G32),'Map 4'!G32)</f>
        <v>Flatland</v>
      </c>
      <c r="H32" s="3" t="str">
        <f ca="1">IF(OR(AND($AV32="⤵",'Map 4'!H33="Mountain",'Map 4'!H32&lt;&gt;"Mountain",'Map 4'!H32&lt;&gt;"Ocean",'Map 4'!H32&lt;&gt;"Trench"),AND($AV32="⤴",'Map 4'!H31="Mountain",'Map 4'!H32&lt;&gt;"Mountain",'Map 4'!H32&lt;&gt;"Ocean",'Map 4'!H32&lt;&gt;"Trench")),CONCATENATE("Rainshadow ",'Map 4'!H32),'Map 4'!H32)</f>
        <v>Flatland</v>
      </c>
      <c r="I32" s="3" t="str">
        <f ca="1">IF(OR(AND($AV32="⤵",'Map 4'!I33="Mountain",'Map 4'!I32&lt;&gt;"Mountain",'Map 4'!I32&lt;&gt;"Ocean",'Map 4'!I32&lt;&gt;"Trench"),AND($AV32="⤴",'Map 4'!I31="Mountain",'Map 4'!I32&lt;&gt;"Mountain",'Map 4'!I32&lt;&gt;"Ocean",'Map 4'!I32&lt;&gt;"Trench")),CONCATENATE("Rainshadow ",'Map 4'!I32),'Map 4'!I32)</f>
        <v>Flatland</v>
      </c>
      <c r="J32" s="3" t="str">
        <f ca="1">IF(OR(AND($AV32="⤵",'Map 4'!J33="Mountain",'Map 4'!J32&lt;&gt;"Mountain",'Map 4'!J32&lt;&gt;"Ocean",'Map 4'!J32&lt;&gt;"Trench"),AND($AV32="⤴",'Map 4'!J31="Mountain",'Map 4'!J32&lt;&gt;"Mountain",'Map 4'!J32&lt;&gt;"Ocean",'Map 4'!J32&lt;&gt;"Trench")),CONCATENATE("Rainshadow ",'Map 4'!J32),'Map 4'!J32)</f>
        <v>Coast</v>
      </c>
      <c r="K32" s="3" t="str">
        <f ca="1">IF(OR(AND($AV32="⤵",'Map 4'!K33="Mountain",'Map 4'!K32&lt;&gt;"Mountain",'Map 4'!K32&lt;&gt;"Ocean",'Map 4'!K32&lt;&gt;"Trench"),AND($AV32="⤴",'Map 4'!K31="Mountain",'Map 4'!K32&lt;&gt;"Mountain",'Map 4'!K32&lt;&gt;"Ocean",'Map 4'!K32&lt;&gt;"Trench")),CONCATENATE("Rainshadow ",'Map 4'!K32),'Map 4'!K32)</f>
        <v>Ocean</v>
      </c>
      <c r="L32" s="3" t="str">
        <f ca="1">IF(OR(AND($AV32="⤵",'Map 4'!L33="Mountain",'Map 4'!L32&lt;&gt;"Mountain",'Map 4'!L32&lt;&gt;"Ocean",'Map 4'!L32&lt;&gt;"Trench"),AND($AV32="⤴",'Map 4'!L31="Mountain",'Map 4'!L32&lt;&gt;"Mountain",'Map 4'!L32&lt;&gt;"Ocean",'Map 4'!L32&lt;&gt;"Trench")),CONCATENATE("Rainshadow ",'Map 4'!L32),'Map 4'!L32)</f>
        <v>Ocean</v>
      </c>
      <c r="M32" s="3" t="str">
        <f ca="1">IF(OR(AND($AV32="⤵",'Map 4'!M33="Mountain",'Map 4'!M32&lt;&gt;"Mountain",'Map 4'!M32&lt;&gt;"Ocean",'Map 4'!M32&lt;&gt;"Trench"),AND($AV32="⤴",'Map 4'!M31="Mountain",'Map 4'!M32&lt;&gt;"Mountain",'Map 4'!M32&lt;&gt;"Ocean",'Map 4'!M32&lt;&gt;"Trench")),CONCATENATE("Rainshadow ",'Map 4'!M32),'Map 4'!M32)</f>
        <v>Ocean</v>
      </c>
      <c r="N32" s="3" t="str">
        <f ca="1">IF(OR(AND($AV32="⤵",'Map 4'!N33="Mountain",'Map 4'!N32&lt;&gt;"Mountain",'Map 4'!N32&lt;&gt;"Ocean",'Map 4'!N32&lt;&gt;"Trench"),AND($AV32="⤴",'Map 4'!N31="Mountain",'Map 4'!N32&lt;&gt;"Mountain",'Map 4'!N32&lt;&gt;"Ocean",'Map 4'!N32&lt;&gt;"Trench")),CONCATENATE("Rainshadow ",'Map 4'!N32),'Map 4'!N32)</f>
        <v>Ocean</v>
      </c>
      <c r="O32" s="3" t="str">
        <f ca="1">IF(OR(AND($AV32="⤵",'Map 4'!O33="Mountain",'Map 4'!O32&lt;&gt;"Mountain",'Map 4'!O32&lt;&gt;"Ocean",'Map 4'!O32&lt;&gt;"Trench"),AND($AV32="⤴",'Map 4'!O31="Mountain",'Map 4'!O32&lt;&gt;"Mountain",'Map 4'!O32&lt;&gt;"Ocean",'Map 4'!O32&lt;&gt;"Trench")),CONCATENATE("Rainshadow ",'Map 4'!O32),'Map 4'!O32)</f>
        <v>Ocean</v>
      </c>
      <c r="P32" s="3" t="str">
        <f ca="1">IF(OR(AND($AV32="⤵",'Map 4'!P33="Mountain",'Map 4'!P32&lt;&gt;"Mountain",'Map 4'!P32&lt;&gt;"Ocean",'Map 4'!P32&lt;&gt;"Trench"),AND($AV32="⤴",'Map 4'!P31="Mountain",'Map 4'!P32&lt;&gt;"Mountain",'Map 4'!P32&lt;&gt;"Ocean",'Map 4'!P32&lt;&gt;"Trench")),CONCATENATE("Rainshadow ",'Map 4'!P32),'Map 4'!P32)</f>
        <v>Ocean</v>
      </c>
      <c r="Q32" s="3" t="str">
        <f ca="1">IF(OR(AND($AV32="⤵",'Map 4'!Q33="Mountain",'Map 4'!Q32&lt;&gt;"Mountain",'Map 4'!Q32&lt;&gt;"Ocean",'Map 4'!Q32&lt;&gt;"Trench"),AND($AV32="⤴",'Map 4'!Q31="Mountain",'Map 4'!Q32&lt;&gt;"Mountain",'Map 4'!Q32&lt;&gt;"Ocean",'Map 4'!Q32&lt;&gt;"Trench")),CONCATENATE("Rainshadow ",'Map 4'!Q32),'Map 4'!Q32)</f>
        <v>Ocean</v>
      </c>
      <c r="R32" s="3" t="str">
        <f ca="1">IF(OR(AND($AV32="⤵",'Map 4'!R33="Mountain",'Map 4'!R32&lt;&gt;"Mountain",'Map 4'!R32&lt;&gt;"Ocean",'Map 4'!R32&lt;&gt;"Trench"),AND($AV32="⤴",'Map 4'!R31="Mountain",'Map 4'!R32&lt;&gt;"Mountain",'Map 4'!R32&lt;&gt;"Ocean",'Map 4'!R32&lt;&gt;"Trench")),CONCATENATE("Rainshadow ",'Map 4'!R32),'Map 4'!R32)</f>
        <v>Ocean</v>
      </c>
      <c r="S32" s="3" t="str">
        <f ca="1">IF(OR(AND($AV32="⤵",'Map 4'!S33="Mountain",'Map 4'!S32&lt;&gt;"Mountain",'Map 4'!S32&lt;&gt;"Ocean",'Map 4'!S32&lt;&gt;"Trench"),AND($AV32="⤴",'Map 4'!S31="Mountain",'Map 4'!S32&lt;&gt;"Mountain",'Map 4'!S32&lt;&gt;"Ocean",'Map 4'!S32&lt;&gt;"Trench")),CONCATENATE("Rainshadow ",'Map 4'!S32),'Map 4'!S32)</f>
        <v>Ocean</v>
      </c>
      <c r="T32" s="3" t="str">
        <f ca="1">IF(OR(AND($AV32="⤵",'Map 4'!T33="Mountain",'Map 4'!T32&lt;&gt;"Mountain",'Map 4'!T32&lt;&gt;"Ocean",'Map 4'!T32&lt;&gt;"Trench"),AND($AV32="⤴",'Map 4'!T31="Mountain",'Map 4'!T32&lt;&gt;"Mountain",'Map 4'!T32&lt;&gt;"Ocean",'Map 4'!T32&lt;&gt;"Trench")),CONCATENATE("Rainshadow ",'Map 4'!T32),'Map 4'!T32)</f>
        <v>Ocean</v>
      </c>
      <c r="U32" s="3" t="str">
        <f ca="1">IF(OR(AND($AV32="⤵",'Map 4'!U33="Mountain",'Map 4'!U32&lt;&gt;"Mountain",'Map 4'!U32&lt;&gt;"Ocean",'Map 4'!U32&lt;&gt;"Trench"),AND($AV32="⤴",'Map 4'!U31="Mountain",'Map 4'!U32&lt;&gt;"Mountain",'Map 4'!U32&lt;&gt;"Ocean",'Map 4'!U32&lt;&gt;"Trench")),CONCATENATE("Rainshadow ",'Map 4'!U32),'Map 4'!U32)</f>
        <v>Ocean</v>
      </c>
      <c r="V32" s="3" t="str">
        <f ca="1">IF(OR(AND($AV32="⤵",'Map 4'!V33="Mountain",'Map 4'!V32&lt;&gt;"Mountain",'Map 4'!V32&lt;&gt;"Ocean",'Map 4'!V32&lt;&gt;"Trench"),AND($AV32="⤴",'Map 4'!V31="Mountain",'Map 4'!V32&lt;&gt;"Mountain",'Map 4'!V32&lt;&gt;"Ocean",'Map 4'!V32&lt;&gt;"Trench")),CONCATENATE("Rainshadow ",'Map 4'!V32),'Map 4'!V32)</f>
        <v>Ocean</v>
      </c>
      <c r="W32" s="3" t="str">
        <f ca="1">IF(OR(AND($AV32="⤵",'Map 4'!W33="Mountain",'Map 4'!W32&lt;&gt;"Mountain",'Map 4'!W32&lt;&gt;"Ocean",'Map 4'!W32&lt;&gt;"Trench"),AND($AV32="⤴",'Map 4'!W31="Mountain",'Map 4'!W32&lt;&gt;"Mountain",'Map 4'!W32&lt;&gt;"Ocean",'Map 4'!W32&lt;&gt;"Trench")),CONCATENATE("Rainshadow ",'Map 4'!W32),'Map 4'!W32)</f>
        <v>Ocean</v>
      </c>
      <c r="X32" s="3" t="str">
        <f ca="1">IF(OR(AND($AV32="⤵",'Map 4'!X33="Mountain",'Map 4'!X32&lt;&gt;"Mountain",'Map 4'!X32&lt;&gt;"Ocean",'Map 4'!X32&lt;&gt;"Trench"),AND($AV32="⤴",'Map 4'!X31="Mountain",'Map 4'!X32&lt;&gt;"Mountain",'Map 4'!X32&lt;&gt;"Ocean",'Map 4'!X32&lt;&gt;"Trench")),CONCATENATE("Rainshadow ",'Map 4'!X32),'Map 4'!X32)</f>
        <v>Ocean</v>
      </c>
      <c r="Y32" s="3" t="str">
        <f ca="1">IF(OR(AND($AV32="⤵",'Map 4'!Y33="Mountain",'Map 4'!Y32&lt;&gt;"Mountain",'Map 4'!Y32&lt;&gt;"Ocean",'Map 4'!Y32&lt;&gt;"Trench"),AND($AV32="⤴",'Map 4'!Y31="Mountain",'Map 4'!Y32&lt;&gt;"Mountain",'Map 4'!Y32&lt;&gt;"Ocean",'Map 4'!Y32&lt;&gt;"Trench")),CONCATENATE("Rainshadow ",'Map 4'!Y32),'Map 4'!Y32)</f>
        <v>Ocean</v>
      </c>
      <c r="Z32" s="3" t="str">
        <f ca="1">IF(OR(AND($AV32="⤵",'Map 4'!Z33="Mountain",'Map 4'!Z32&lt;&gt;"Mountain",'Map 4'!Z32&lt;&gt;"Ocean",'Map 4'!Z32&lt;&gt;"Trench"),AND($AV32="⤴",'Map 4'!Z31="Mountain",'Map 4'!Z32&lt;&gt;"Mountain",'Map 4'!Z32&lt;&gt;"Ocean",'Map 4'!Z32&lt;&gt;"Trench")),CONCATENATE("Rainshadow ",'Map 4'!Z32),'Map 4'!Z32)</f>
        <v>Island</v>
      </c>
      <c r="AA32" s="3" t="str">
        <f ca="1">IF(OR(AND($AV32="⤵",'Map 4'!AA33="Mountain",'Map 4'!AA32&lt;&gt;"Mountain",'Map 4'!AA32&lt;&gt;"Ocean",'Map 4'!AA32&lt;&gt;"Trench"),AND($AV32="⤴",'Map 4'!AA31="Mountain",'Map 4'!AA32&lt;&gt;"Mountain",'Map 4'!AA32&lt;&gt;"Ocean",'Map 4'!AA32&lt;&gt;"Trench")),CONCATENATE("Rainshadow ",'Map 4'!AA32),'Map 4'!AA32)</f>
        <v>Ocean</v>
      </c>
      <c r="AB32" s="3" t="str">
        <f ca="1">IF(OR(AND($AV32="⤵",'Map 4'!AB33="Mountain",'Map 4'!AB32&lt;&gt;"Mountain",'Map 4'!AB32&lt;&gt;"Ocean",'Map 4'!AB32&lt;&gt;"Trench"),AND($AV32="⤴",'Map 4'!AB31="Mountain",'Map 4'!AB32&lt;&gt;"Mountain",'Map 4'!AB32&lt;&gt;"Ocean",'Map 4'!AB32&lt;&gt;"Trench")),CONCATENATE("Rainshadow ",'Map 4'!AB32),'Map 4'!AB32)</f>
        <v>Ocean</v>
      </c>
      <c r="AC32" s="3" t="str">
        <f ca="1">IF(OR(AND($AV32="⤵",'Map 4'!AC33="Mountain",'Map 4'!AC32&lt;&gt;"Mountain",'Map 4'!AC32&lt;&gt;"Ocean",'Map 4'!AC32&lt;&gt;"Trench"),AND($AV32="⤴",'Map 4'!AC31="Mountain",'Map 4'!AC32&lt;&gt;"Mountain",'Map 4'!AC32&lt;&gt;"Ocean",'Map 4'!AC32&lt;&gt;"Trench")),CONCATENATE("Rainshadow ",'Map 4'!AC32),'Map 4'!AC32)</f>
        <v>Ocean</v>
      </c>
      <c r="AD32" s="3" t="str">
        <f ca="1">IF(OR(AND($AV32="⤵",'Map 4'!AD33="Mountain",'Map 4'!AD32&lt;&gt;"Mountain",'Map 4'!AD32&lt;&gt;"Ocean",'Map 4'!AD32&lt;&gt;"Trench"),AND($AV32="⤴",'Map 4'!AD31="Mountain",'Map 4'!AD32&lt;&gt;"Mountain",'Map 4'!AD32&lt;&gt;"Ocean",'Map 4'!AD32&lt;&gt;"Trench")),CONCATENATE("Rainshadow ",'Map 4'!AD32),'Map 4'!AD32)</f>
        <v>Ocean</v>
      </c>
      <c r="AE32" s="3" t="str">
        <f ca="1">IF(OR(AND($AV32="⤵",'Map 4'!AE33="Mountain",'Map 4'!AE32&lt;&gt;"Mountain",'Map 4'!AE32&lt;&gt;"Ocean",'Map 4'!AE32&lt;&gt;"Trench"),AND($AV32="⤴",'Map 4'!AE31="Mountain",'Map 4'!AE32&lt;&gt;"Mountain",'Map 4'!AE32&lt;&gt;"Ocean",'Map 4'!AE32&lt;&gt;"Trench")),CONCATENATE("Rainshadow ",'Map 4'!AE32),'Map 4'!AE32)</f>
        <v>Trench</v>
      </c>
      <c r="AF32" s="3" t="str">
        <f ca="1">IF(OR(AND($AV32="⤵",'Map 4'!AF33="Mountain",'Map 4'!AF32&lt;&gt;"Mountain",'Map 4'!AF32&lt;&gt;"Ocean",'Map 4'!AF32&lt;&gt;"Trench"),AND($AV32="⤴",'Map 4'!AF31="Mountain",'Map 4'!AF32&lt;&gt;"Mountain",'Map 4'!AF32&lt;&gt;"Ocean",'Map 4'!AF32&lt;&gt;"Trench")),CONCATENATE("Rainshadow ",'Map 4'!AF32),'Map 4'!AF32)</f>
        <v>Island</v>
      </c>
      <c r="AG32" s="3" t="str">
        <f ca="1">IF(OR(AND($AV32="⤵",'Map 4'!AG33="Mountain",'Map 4'!AG32&lt;&gt;"Mountain",'Map 4'!AG32&lt;&gt;"Ocean",'Map 4'!AG32&lt;&gt;"Trench"),AND($AV32="⤴",'Map 4'!AG31="Mountain",'Map 4'!AG32&lt;&gt;"Mountain",'Map 4'!AG32&lt;&gt;"Ocean",'Map 4'!AG32&lt;&gt;"Trench")),CONCATENATE("Rainshadow ",'Map 4'!AG32),'Map 4'!AG32)</f>
        <v>Ocean</v>
      </c>
      <c r="AH32" s="3" t="str">
        <f ca="1">IF(OR(AND($AV32="⤵",'Map 4'!AH33="Mountain",'Map 4'!AH32&lt;&gt;"Mountain",'Map 4'!AH32&lt;&gt;"Ocean",'Map 4'!AH32&lt;&gt;"Trench"),AND($AV32="⤴",'Map 4'!AH31="Mountain",'Map 4'!AH32&lt;&gt;"Mountain",'Map 4'!AH32&lt;&gt;"Ocean",'Map 4'!AH32&lt;&gt;"Trench")),CONCATENATE("Rainshadow ",'Map 4'!AH32),'Map 4'!AH32)</f>
        <v>Ocean</v>
      </c>
      <c r="AI32" s="3" t="str">
        <f ca="1">IF(OR(AND($AV32="⤵",'Map 4'!AI33="Mountain",'Map 4'!AI32&lt;&gt;"Mountain",'Map 4'!AI32&lt;&gt;"Ocean",'Map 4'!AI32&lt;&gt;"Trench"),AND($AV32="⤴",'Map 4'!AI31="Mountain",'Map 4'!AI32&lt;&gt;"Mountain",'Map 4'!AI32&lt;&gt;"Ocean",'Map 4'!AI32&lt;&gt;"Trench")),CONCATENATE("Rainshadow ",'Map 4'!AI32),'Map 4'!AI32)</f>
        <v>Ocean</v>
      </c>
      <c r="AJ32" s="3" t="str">
        <f ca="1">IF(OR(AND($AV32="⤵",'Map 4'!AJ33="Mountain",'Map 4'!AJ32&lt;&gt;"Mountain",'Map 4'!AJ32&lt;&gt;"Ocean",'Map 4'!AJ32&lt;&gt;"Trench"),AND($AV32="⤴",'Map 4'!AJ31="Mountain",'Map 4'!AJ32&lt;&gt;"Mountain",'Map 4'!AJ32&lt;&gt;"Ocean",'Map 4'!AJ32&lt;&gt;"Trench")),CONCATENATE("Rainshadow ",'Map 4'!AJ32),'Map 4'!AJ32)</f>
        <v>Trench</v>
      </c>
      <c r="AK32" s="3" t="str">
        <f ca="1">IF(OR(AND($AV32="⤵",'Map 4'!AK33="Mountain",'Map 4'!AK32&lt;&gt;"Mountain",'Map 4'!AK32&lt;&gt;"Ocean",'Map 4'!AK32&lt;&gt;"Trench"),AND($AV32="⤴",'Map 4'!AK31="Mountain",'Map 4'!AK32&lt;&gt;"Mountain",'Map 4'!AK32&lt;&gt;"Ocean",'Map 4'!AK32&lt;&gt;"Trench")),CONCATENATE("Rainshadow ",'Map 4'!AK32),'Map 4'!AK32)</f>
        <v>Ocean</v>
      </c>
      <c r="AL32" s="3" t="str">
        <f ca="1">IF(OR(AND($AV32="⤵",'Map 4'!AL33="Mountain",'Map 4'!AL32&lt;&gt;"Mountain",'Map 4'!AL32&lt;&gt;"Ocean",'Map 4'!AL32&lt;&gt;"Trench"),AND($AV32="⤴",'Map 4'!AL31="Mountain",'Map 4'!AL32&lt;&gt;"Mountain",'Map 4'!AL32&lt;&gt;"Ocean",'Map 4'!AL32&lt;&gt;"Trench")),CONCATENATE("Rainshadow ",'Map 4'!AL32),'Map 4'!AL32)</f>
        <v>Island</v>
      </c>
      <c r="AM32" s="3" t="str">
        <f ca="1">IF(OR(AND($AV32="⤵",'Map 4'!AM33="Mountain",'Map 4'!AM32&lt;&gt;"Mountain",'Map 4'!AM32&lt;&gt;"Ocean",'Map 4'!AM32&lt;&gt;"Trench"),AND($AV32="⤴",'Map 4'!AM31="Mountain",'Map 4'!AM32&lt;&gt;"Mountain",'Map 4'!AM32&lt;&gt;"Ocean",'Map 4'!AM32&lt;&gt;"Trench")),CONCATENATE("Rainshadow ",'Map 4'!AM32),'Map 4'!AM32)</f>
        <v>Ocean</v>
      </c>
      <c r="AN32" s="3" t="str">
        <f ca="1">IF(OR(AND($AV32="⤵",'Map 4'!AN33="Mountain",'Map 4'!AN32&lt;&gt;"Mountain",'Map 4'!AN32&lt;&gt;"Ocean",'Map 4'!AN32&lt;&gt;"Trench"),AND($AV32="⤴",'Map 4'!AN31="Mountain",'Map 4'!AN32&lt;&gt;"Mountain",'Map 4'!AN32&lt;&gt;"Ocean",'Map 4'!AN32&lt;&gt;"Trench")),CONCATENATE("Rainshadow ",'Map 4'!AN32),'Map 4'!AN32)</f>
        <v>Ocean</v>
      </c>
      <c r="AO32" s="3" t="str">
        <f ca="1">IF(OR(AND($AV32="⤵",'Map 4'!AO33="Mountain",'Map 4'!AO32&lt;&gt;"Mountain",'Map 4'!AO32&lt;&gt;"Ocean",'Map 4'!AO32&lt;&gt;"Trench"),AND($AV32="⤴",'Map 4'!AO31="Mountain",'Map 4'!AO32&lt;&gt;"Mountain",'Map 4'!AO32&lt;&gt;"Ocean",'Map 4'!AO32&lt;&gt;"Trench")),CONCATENATE("Rainshadow ",'Map 4'!AO32),'Map 4'!AO32)</f>
        <v>Ocean</v>
      </c>
      <c r="AP32" s="3">
        <f t="shared" si="1"/>
        <v>77</v>
      </c>
      <c r="AQ32" s="3">
        <f t="shared" si="2"/>
        <v>170.6</v>
      </c>
      <c r="AR32" s="3"/>
      <c r="AS32" s="3">
        <f t="shared" si="5"/>
        <v>350.15000000000003</v>
      </c>
      <c r="AT32" s="41">
        <v>-13.5</v>
      </c>
      <c r="AU32" s="41" t="str">
        <f>AU27</f>
        <v>Rainforest</v>
      </c>
      <c r="AV32" s="41" t="str" cm="1">
        <f t="array" ref="AV32">_xlfn.IFS(AT32&lt;-90,"⤴",AND(AT32&gt;=-90,AT32&lt;-60),"⤴",AND(AT32&gt;=-60,AT32&lt;-30),"⤵",AND(AT32&gt;=-30,AT32&lt;0),"⤴",AND(AT32&gt;=0,AT32&lt;30),"⤵",AND(AT32&gt;=30,AT32&lt;60),"⤴",AT32&gt;=60,"⤵")</f>
        <v>⤴</v>
      </c>
      <c r="AW32" s="41">
        <f>AW27</f>
        <v>0.57999999999999996</v>
      </c>
    </row>
    <row r="33" spans="1:49" ht="15" customHeight="1">
      <c r="A33" s="3">
        <v>24</v>
      </c>
      <c r="B33" s="3" t="str">
        <f ca="1">IF(OR(AND($AV33="⤵",'Map 4'!B34="Mountain",'Map 4'!B33&lt;&gt;"Mountain",'Map 4'!B33&lt;&gt;"Ocean",'Map 4'!B33&lt;&gt;"Trench"),AND($AV33="⤴",'Map 4'!B32="Mountain",'Map 4'!B33&lt;&gt;"Mountain",'Map 4'!B33&lt;&gt;"Ocean",'Map 4'!B33&lt;&gt;"Trench")),CONCATENATE("Rainshadow ",'Map 4'!B33),'Map 4'!B33)</f>
        <v>Ocean</v>
      </c>
      <c r="C33" s="3" t="str">
        <f ca="1">IF(OR(AND($AV33="⤵",'Map 4'!C34="Mountain",'Map 4'!C33&lt;&gt;"Mountain",'Map 4'!C33&lt;&gt;"Ocean",'Map 4'!C33&lt;&gt;"Trench"),AND($AV33="⤴",'Map 4'!C32="Mountain",'Map 4'!C33&lt;&gt;"Mountain",'Map 4'!C33&lt;&gt;"Ocean",'Map 4'!C33&lt;&gt;"Trench")),CONCATENATE("Rainshadow ",'Map 4'!C33),'Map 4'!C33)</f>
        <v>Coast</v>
      </c>
      <c r="D33" s="3" t="str">
        <f ca="1">IF(OR(AND($AV33="⤵",'Map 4'!D34="Mountain",'Map 4'!D33&lt;&gt;"Mountain",'Map 4'!D33&lt;&gt;"Ocean",'Map 4'!D33&lt;&gt;"Trench"),AND($AV33="⤴",'Map 4'!D32="Mountain",'Map 4'!D33&lt;&gt;"Mountain",'Map 4'!D33&lt;&gt;"Ocean",'Map 4'!D33&lt;&gt;"Trench")),CONCATENATE("Rainshadow ",'Map 4'!D33),'Map 4'!D33)</f>
        <v>Coast</v>
      </c>
      <c r="E33" s="3" t="str">
        <f ca="1">IF(OR(AND($AV33="⤵",'Map 4'!E34="Mountain",'Map 4'!E33&lt;&gt;"Mountain",'Map 4'!E33&lt;&gt;"Ocean",'Map 4'!E33&lt;&gt;"Trench"),AND($AV33="⤴",'Map 4'!E32="Mountain",'Map 4'!E33&lt;&gt;"Mountain",'Map 4'!E33&lt;&gt;"Ocean",'Map 4'!E33&lt;&gt;"Trench")),CONCATENATE("Rainshadow ",'Map 4'!E33),'Map 4'!E33)</f>
        <v>Coast</v>
      </c>
      <c r="F33" s="3" t="str">
        <f ca="1">IF(OR(AND($AV33="⤵",'Map 4'!F34="Mountain",'Map 4'!F33&lt;&gt;"Mountain",'Map 4'!F33&lt;&gt;"Ocean",'Map 4'!F33&lt;&gt;"Trench"),AND($AV33="⤴",'Map 4'!F32="Mountain",'Map 4'!F33&lt;&gt;"Mountain",'Map 4'!F33&lt;&gt;"Ocean",'Map 4'!F33&lt;&gt;"Trench")),CONCATENATE("Rainshadow ",'Map 4'!F33),'Map 4'!F33)</f>
        <v>Coast</v>
      </c>
      <c r="G33" s="3" t="str">
        <f ca="1">IF(OR(AND($AV33="⤵",'Map 4'!G34="Mountain",'Map 4'!G33&lt;&gt;"Mountain",'Map 4'!G33&lt;&gt;"Ocean",'Map 4'!G33&lt;&gt;"Trench"),AND($AV33="⤴",'Map 4'!G32="Mountain",'Map 4'!G33&lt;&gt;"Mountain",'Map 4'!G33&lt;&gt;"Ocean",'Map 4'!G33&lt;&gt;"Trench")),CONCATENATE("Rainshadow ",'Map 4'!G33),'Map 4'!G33)</f>
        <v>Coast</v>
      </c>
      <c r="H33" s="3" t="str">
        <f ca="1">IF(OR(AND($AV33="⤵",'Map 4'!H34="Mountain",'Map 4'!H33&lt;&gt;"Mountain",'Map 4'!H33&lt;&gt;"Ocean",'Map 4'!H33&lt;&gt;"Trench"),AND($AV33="⤴",'Map 4'!H32="Mountain",'Map 4'!H33&lt;&gt;"Mountain",'Map 4'!H33&lt;&gt;"Ocean",'Map 4'!H33&lt;&gt;"Trench")),CONCATENATE("Rainshadow ",'Map 4'!H33),'Map 4'!H33)</f>
        <v>Flatland</v>
      </c>
      <c r="I33" s="3" t="str">
        <f ca="1">IF(OR(AND($AV33="⤵",'Map 4'!I34="Mountain",'Map 4'!I33&lt;&gt;"Mountain",'Map 4'!I33&lt;&gt;"Ocean",'Map 4'!I33&lt;&gt;"Trench"),AND($AV33="⤴",'Map 4'!I32="Mountain",'Map 4'!I33&lt;&gt;"Mountain",'Map 4'!I33&lt;&gt;"Ocean",'Map 4'!I33&lt;&gt;"Trench")),CONCATENATE("Rainshadow ",'Map 4'!I33),'Map 4'!I33)</f>
        <v>Coast</v>
      </c>
      <c r="J33" s="3" t="str">
        <f ca="1">IF(OR(AND($AV33="⤵",'Map 4'!J34="Mountain",'Map 4'!J33&lt;&gt;"Mountain",'Map 4'!J33&lt;&gt;"Ocean",'Map 4'!J33&lt;&gt;"Trench"),AND($AV33="⤴",'Map 4'!J32="Mountain",'Map 4'!J33&lt;&gt;"Mountain",'Map 4'!J33&lt;&gt;"Ocean",'Map 4'!J33&lt;&gt;"Trench")),CONCATENATE("Rainshadow ",'Map 4'!J33),'Map 4'!J33)</f>
        <v>Ocean</v>
      </c>
      <c r="K33" s="3" t="str">
        <f ca="1">IF(OR(AND($AV33="⤵",'Map 4'!K34="Mountain",'Map 4'!K33&lt;&gt;"Mountain",'Map 4'!K33&lt;&gt;"Ocean",'Map 4'!K33&lt;&gt;"Trench"),AND($AV33="⤴",'Map 4'!K32="Mountain",'Map 4'!K33&lt;&gt;"Mountain",'Map 4'!K33&lt;&gt;"Ocean",'Map 4'!K33&lt;&gt;"Trench")),CONCATENATE("Rainshadow ",'Map 4'!K33),'Map 4'!K33)</f>
        <v>Ocean</v>
      </c>
      <c r="L33" s="3" t="str">
        <f ca="1">IF(OR(AND($AV33="⤵",'Map 4'!L34="Mountain",'Map 4'!L33&lt;&gt;"Mountain",'Map 4'!L33&lt;&gt;"Ocean",'Map 4'!L33&lt;&gt;"Trench"),AND($AV33="⤴",'Map 4'!L32="Mountain",'Map 4'!L33&lt;&gt;"Mountain",'Map 4'!L33&lt;&gt;"Ocean",'Map 4'!L33&lt;&gt;"Trench")),CONCATENATE("Rainshadow ",'Map 4'!L33),'Map 4'!L33)</f>
        <v>Ocean</v>
      </c>
      <c r="M33" s="3" t="str">
        <f ca="1">IF(OR(AND($AV33="⤵",'Map 4'!M34="Mountain",'Map 4'!M33&lt;&gt;"Mountain",'Map 4'!M33&lt;&gt;"Ocean",'Map 4'!M33&lt;&gt;"Trench"),AND($AV33="⤴",'Map 4'!M32="Mountain",'Map 4'!M33&lt;&gt;"Mountain",'Map 4'!M33&lt;&gt;"Ocean",'Map 4'!M33&lt;&gt;"Trench")),CONCATENATE("Rainshadow ",'Map 4'!M33),'Map 4'!M33)</f>
        <v>Ocean</v>
      </c>
      <c r="N33" s="3" t="str">
        <f ca="1">IF(OR(AND($AV33="⤵",'Map 4'!N34="Mountain",'Map 4'!N33&lt;&gt;"Mountain",'Map 4'!N33&lt;&gt;"Ocean",'Map 4'!N33&lt;&gt;"Trench"),AND($AV33="⤴",'Map 4'!N32="Mountain",'Map 4'!N33&lt;&gt;"Mountain",'Map 4'!N33&lt;&gt;"Ocean",'Map 4'!N33&lt;&gt;"Trench")),CONCATENATE("Rainshadow ",'Map 4'!N33),'Map 4'!N33)</f>
        <v>Ocean</v>
      </c>
      <c r="O33" s="3" t="str">
        <f ca="1">IF(OR(AND($AV33="⤵",'Map 4'!O34="Mountain",'Map 4'!O33&lt;&gt;"Mountain",'Map 4'!O33&lt;&gt;"Ocean",'Map 4'!O33&lt;&gt;"Trench"),AND($AV33="⤴",'Map 4'!O32="Mountain",'Map 4'!O33&lt;&gt;"Mountain",'Map 4'!O33&lt;&gt;"Ocean",'Map 4'!O33&lt;&gt;"Trench")),CONCATENATE("Rainshadow ",'Map 4'!O33),'Map 4'!O33)</f>
        <v>Ocean</v>
      </c>
      <c r="P33" s="3" t="str">
        <f ca="1">IF(OR(AND($AV33="⤵",'Map 4'!P34="Mountain",'Map 4'!P33&lt;&gt;"Mountain",'Map 4'!P33&lt;&gt;"Ocean",'Map 4'!P33&lt;&gt;"Trench"),AND($AV33="⤴",'Map 4'!P32="Mountain",'Map 4'!P33&lt;&gt;"Mountain",'Map 4'!P33&lt;&gt;"Ocean",'Map 4'!P33&lt;&gt;"Trench")),CONCATENATE("Rainshadow ",'Map 4'!P33),'Map 4'!P33)</f>
        <v>Ocean</v>
      </c>
      <c r="Q33" s="3" t="str">
        <f ca="1">IF(OR(AND($AV33="⤵",'Map 4'!Q34="Mountain",'Map 4'!Q33&lt;&gt;"Mountain",'Map 4'!Q33&lt;&gt;"Ocean",'Map 4'!Q33&lt;&gt;"Trench"),AND($AV33="⤴",'Map 4'!Q32="Mountain",'Map 4'!Q33&lt;&gt;"Mountain",'Map 4'!Q33&lt;&gt;"Ocean",'Map 4'!Q33&lt;&gt;"Trench")),CONCATENATE("Rainshadow ",'Map 4'!Q33),'Map 4'!Q33)</f>
        <v>Ocean</v>
      </c>
      <c r="R33" s="3" t="str">
        <f ca="1">IF(OR(AND($AV33="⤵",'Map 4'!R34="Mountain",'Map 4'!R33&lt;&gt;"Mountain",'Map 4'!R33&lt;&gt;"Ocean",'Map 4'!R33&lt;&gt;"Trench"),AND($AV33="⤴",'Map 4'!R32="Mountain",'Map 4'!R33&lt;&gt;"Mountain",'Map 4'!R33&lt;&gt;"Ocean",'Map 4'!R33&lt;&gt;"Trench")),CONCATENATE("Rainshadow ",'Map 4'!R33),'Map 4'!R33)</f>
        <v>Ocean</v>
      </c>
      <c r="S33" s="3" t="str">
        <f ca="1">IF(OR(AND($AV33="⤵",'Map 4'!S34="Mountain",'Map 4'!S33&lt;&gt;"Mountain",'Map 4'!S33&lt;&gt;"Ocean",'Map 4'!S33&lt;&gt;"Trench"),AND($AV33="⤴",'Map 4'!S32="Mountain",'Map 4'!S33&lt;&gt;"Mountain",'Map 4'!S33&lt;&gt;"Ocean",'Map 4'!S33&lt;&gt;"Trench")),CONCATENATE("Rainshadow ",'Map 4'!S33),'Map 4'!S33)</f>
        <v>Ocean</v>
      </c>
      <c r="T33" s="3" t="str">
        <f ca="1">IF(OR(AND($AV33="⤵",'Map 4'!T34="Mountain",'Map 4'!T33&lt;&gt;"Mountain",'Map 4'!T33&lt;&gt;"Ocean",'Map 4'!T33&lt;&gt;"Trench"),AND($AV33="⤴",'Map 4'!T32="Mountain",'Map 4'!T33&lt;&gt;"Mountain",'Map 4'!T33&lt;&gt;"Ocean",'Map 4'!T33&lt;&gt;"Trench")),CONCATENATE("Rainshadow ",'Map 4'!T33),'Map 4'!T33)</f>
        <v>Ocean</v>
      </c>
      <c r="U33" s="3" t="str">
        <f ca="1">IF(OR(AND($AV33="⤵",'Map 4'!U34="Mountain",'Map 4'!U33&lt;&gt;"Mountain",'Map 4'!U33&lt;&gt;"Ocean",'Map 4'!U33&lt;&gt;"Trench"),AND($AV33="⤴",'Map 4'!U32="Mountain",'Map 4'!U33&lt;&gt;"Mountain",'Map 4'!U33&lt;&gt;"Ocean",'Map 4'!U33&lt;&gt;"Trench")),CONCATENATE("Rainshadow ",'Map 4'!U33),'Map 4'!U33)</f>
        <v>Ocean</v>
      </c>
      <c r="V33" s="3" t="str">
        <f ca="1">IF(OR(AND($AV33="⤵",'Map 4'!V34="Mountain",'Map 4'!V33&lt;&gt;"Mountain",'Map 4'!V33&lt;&gt;"Ocean",'Map 4'!V33&lt;&gt;"Trench"),AND($AV33="⤴",'Map 4'!V32="Mountain",'Map 4'!V33&lt;&gt;"Mountain",'Map 4'!V33&lt;&gt;"Ocean",'Map 4'!V33&lt;&gt;"Trench")),CONCATENATE("Rainshadow ",'Map 4'!V33),'Map 4'!V33)</f>
        <v>Ocean</v>
      </c>
      <c r="W33" s="3" t="str">
        <f ca="1">IF(OR(AND($AV33="⤵",'Map 4'!W34="Mountain",'Map 4'!W33&lt;&gt;"Mountain",'Map 4'!W33&lt;&gt;"Ocean",'Map 4'!W33&lt;&gt;"Trench"),AND($AV33="⤴",'Map 4'!W32="Mountain",'Map 4'!W33&lt;&gt;"Mountain",'Map 4'!W33&lt;&gt;"Ocean",'Map 4'!W33&lt;&gt;"Trench")),CONCATENATE("Rainshadow ",'Map 4'!W33),'Map 4'!W33)</f>
        <v>Ocean</v>
      </c>
      <c r="X33" s="3" t="str">
        <f ca="1">IF(OR(AND($AV33="⤵",'Map 4'!X34="Mountain",'Map 4'!X33&lt;&gt;"Mountain",'Map 4'!X33&lt;&gt;"Ocean",'Map 4'!X33&lt;&gt;"Trench"),AND($AV33="⤴",'Map 4'!X32="Mountain",'Map 4'!X33&lt;&gt;"Mountain",'Map 4'!X33&lt;&gt;"Ocean",'Map 4'!X33&lt;&gt;"Trench")),CONCATENATE("Rainshadow ",'Map 4'!X33),'Map 4'!X33)</f>
        <v>Ocean</v>
      </c>
      <c r="Y33" s="3" t="str">
        <f ca="1">IF(OR(AND($AV33="⤵",'Map 4'!Y34="Mountain",'Map 4'!Y33&lt;&gt;"Mountain",'Map 4'!Y33&lt;&gt;"Ocean",'Map 4'!Y33&lt;&gt;"Trench"),AND($AV33="⤴",'Map 4'!Y32="Mountain",'Map 4'!Y33&lt;&gt;"Mountain",'Map 4'!Y33&lt;&gt;"Ocean",'Map 4'!Y33&lt;&gt;"Trench")),CONCATENATE("Rainshadow ",'Map 4'!Y33),'Map 4'!Y33)</f>
        <v>Ocean</v>
      </c>
      <c r="Z33" s="3" t="str">
        <f ca="1">IF(OR(AND($AV33="⤵",'Map 4'!Z34="Mountain",'Map 4'!Z33&lt;&gt;"Mountain",'Map 4'!Z33&lt;&gt;"Ocean",'Map 4'!Z33&lt;&gt;"Trench"),AND($AV33="⤴",'Map 4'!Z32="Mountain",'Map 4'!Z33&lt;&gt;"Mountain",'Map 4'!Z33&lt;&gt;"Ocean",'Map 4'!Z33&lt;&gt;"Trench")),CONCATENATE("Rainshadow ",'Map 4'!Z33),'Map 4'!Z33)</f>
        <v>Ocean</v>
      </c>
      <c r="AA33" s="3" t="str">
        <f ca="1">IF(OR(AND($AV33="⤵",'Map 4'!AA34="Mountain",'Map 4'!AA33&lt;&gt;"Mountain",'Map 4'!AA33&lt;&gt;"Ocean",'Map 4'!AA33&lt;&gt;"Trench"),AND($AV33="⤴",'Map 4'!AA32="Mountain",'Map 4'!AA33&lt;&gt;"Mountain",'Map 4'!AA33&lt;&gt;"Ocean",'Map 4'!AA33&lt;&gt;"Trench")),CONCATENATE("Rainshadow ",'Map 4'!AA33),'Map 4'!AA33)</f>
        <v>Ocean</v>
      </c>
      <c r="AB33" s="3" t="str">
        <f ca="1">IF(OR(AND($AV33="⤵",'Map 4'!AB34="Mountain",'Map 4'!AB33&lt;&gt;"Mountain",'Map 4'!AB33&lt;&gt;"Ocean",'Map 4'!AB33&lt;&gt;"Trench"),AND($AV33="⤴",'Map 4'!AB32="Mountain",'Map 4'!AB33&lt;&gt;"Mountain",'Map 4'!AB33&lt;&gt;"Ocean",'Map 4'!AB33&lt;&gt;"Trench")),CONCATENATE("Rainshadow ",'Map 4'!AB33),'Map 4'!AB33)</f>
        <v>Ocean</v>
      </c>
      <c r="AC33" s="3" t="str">
        <f ca="1">IF(OR(AND($AV33="⤵",'Map 4'!AC34="Mountain",'Map 4'!AC33&lt;&gt;"Mountain",'Map 4'!AC33&lt;&gt;"Ocean",'Map 4'!AC33&lt;&gt;"Trench"),AND($AV33="⤴",'Map 4'!AC32="Mountain",'Map 4'!AC33&lt;&gt;"Mountain",'Map 4'!AC33&lt;&gt;"Ocean",'Map 4'!AC33&lt;&gt;"Trench")),CONCATENATE("Rainshadow ",'Map 4'!AC33),'Map 4'!AC33)</f>
        <v>Ocean</v>
      </c>
      <c r="AD33" s="3" t="str">
        <f ca="1">IF(OR(AND($AV33="⤵",'Map 4'!AD34="Mountain",'Map 4'!AD33&lt;&gt;"Mountain",'Map 4'!AD33&lt;&gt;"Ocean",'Map 4'!AD33&lt;&gt;"Trench"),AND($AV33="⤴",'Map 4'!AD32="Mountain",'Map 4'!AD33&lt;&gt;"Mountain",'Map 4'!AD33&lt;&gt;"Ocean",'Map 4'!AD33&lt;&gt;"Trench")),CONCATENATE("Rainshadow ",'Map 4'!AD33),'Map 4'!AD33)</f>
        <v>Ocean</v>
      </c>
      <c r="AE33" s="3" t="str">
        <f ca="1">IF(OR(AND($AV33="⤵",'Map 4'!AE34="Mountain",'Map 4'!AE33&lt;&gt;"Mountain",'Map 4'!AE33&lt;&gt;"Ocean",'Map 4'!AE33&lt;&gt;"Trench"),AND($AV33="⤴",'Map 4'!AE32="Mountain",'Map 4'!AE33&lt;&gt;"Mountain",'Map 4'!AE33&lt;&gt;"Ocean",'Map 4'!AE33&lt;&gt;"Trench")),CONCATENATE("Rainshadow ",'Map 4'!AE33),'Map 4'!AE33)</f>
        <v>Ocean</v>
      </c>
      <c r="AF33" s="3" t="str">
        <f ca="1">IF(OR(AND($AV33="⤵",'Map 4'!AF34="Mountain",'Map 4'!AF33&lt;&gt;"Mountain",'Map 4'!AF33&lt;&gt;"Ocean",'Map 4'!AF33&lt;&gt;"Trench"),AND($AV33="⤴",'Map 4'!AF32="Mountain",'Map 4'!AF33&lt;&gt;"Mountain",'Map 4'!AF33&lt;&gt;"Ocean",'Map 4'!AF33&lt;&gt;"Trench")),CONCATENATE("Rainshadow ",'Map 4'!AF33),'Map 4'!AF33)</f>
        <v>Trench</v>
      </c>
      <c r="AG33" s="3" t="str">
        <f ca="1">IF(OR(AND($AV33="⤵",'Map 4'!AG34="Mountain",'Map 4'!AG33&lt;&gt;"Mountain",'Map 4'!AG33&lt;&gt;"Ocean",'Map 4'!AG33&lt;&gt;"Trench"),AND($AV33="⤴",'Map 4'!AG32="Mountain",'Map 4'!AG33&lt;&gt;"Mountain",'Map 4'!AG33&lt;&gt;"Ocean",'Map 4'!AG33&lt;&gt;"Trench")),CONCATENATE("Rainshadow ",'Map 4'!AG33),'Map 4'!AG33)</f>
        <v>Ocean</v>
      </c>
      <c r="AH33" s="3" t="str">
        <f ca="1">IF(OR(AND($AV33="⤵",'Map 4'!AH34="Mountain",'Map 4'!AH33&lt;&gt;"Mountain",'Map 4'!AH33&lt;&gt;"Ocean",'Map 4'!AH33&lt;&gt;"Trench"),AND($AV33="⤴",'Map 4'!AH32="Mountain",'Map 4'!AH33&lt;&gt;"Mountain",'Map 4'!AH33&lt;&gt;"Ocean",'Map 4'!AH33&lt;&gt;"Trench")),CONCATENATE("Rainshadow ",'Map 4'!AH33),'Map 4'!AH33)</f>
        <v>Ocean</v>
      </c>
      <c r="AI33" s="3" t="str">
        <f ca="1">IF(OR(AND($AV33="⤵",'Map 4'!AI34="Mountain",'Map 4'!AI33&lt;&gt;"Mountain",'Map 4'!AI33&lt;&gt;"Ocean",'Map 4'!AI33&lt;&gt;"Trench"),AND($AV33="⤴",'Map 4'!AI32="Mountain",'Map 4'!AI33&lt;&gt;"Mountain",'Map 4'!AI33&lt;&gt;"Ocean",'Map 4'!AI33&lt;&gt;"Trench")),CONCATENATE("Rainshadow ",'Map 4'!AI33),'Map 4'!AI33)</f>
        <v>Ocean</v>
      </c>
      <c r="AJ33" s="3" t="str">
        <f ca="1">IF(OR(AND($AV33="⤵",'Map 4'!AJ34="Mountain",'Map 4'!AJ33&lt;&gt;"Mountain",'Map 4'!AJ33&lt;&gt;"Ocean",'Map 4'!AJ33&lt;&gt;"Trench"),AND($AV33="⤴",'Map 4'!AJ32="Mountain",'Map 4'!AJ33&lt;&gt;"Mountain",'Map 4'!AJ33&lt;&gt;"Ocean",'Map 4'!AJ33&lt;&gt;"Trench")),CONCATENATE("Rainshadow ",'Map 4'!AJ33),'Map 4'!AJ33)</f>
        <v>Island</v>
      </c>
      <c r="AK33" s="3" t="str">
        <f ca="1">IF(OR(AND($AV33="⤵",'Map 4'!AK34="Mountain",'Map 4'!AK33&lt;&gt;"Mountain",'Map 4'!AK33&lt;&gt;"Ocean",'Map 4'!AK33&lt;&gt;"Trench"),AND($AV33="⤴",'Map 4'!AK32="Mountain",'Map 4'!AK33&lt;&gt;"Mountain",'Map 4'!AK33&lt;&gt;"Ocean",'Map 4'!AK33&lt;&gt;"Trench")),CONCATENATE("Rainshadow ",'Map 4'!AK33),'Map 4'!AK33)</f>
        <v>Ocean</v>
      </c>
      <c r="AL33" s="3" t="str">
        <f ca="1">IF(OR(AND($AV33="⤵",'Map 4'!AL34="Mountain",'Map 4'!AL33&lt;&gt;"Mountain",'Map 4'!AL33&lt;&gt;"Ocean",'Map 4'!AL33&lt;&gt;"Trench"),AND($AV33="⤴",'Map 4'!AL32="Mountain",'Map 4'!AL33&lt;&gt;"Mountain",'Map 4'!AL33&lt;&gt;"Ocean",'Map 4'!AL33&lt;&gt;"Trench")),CONCATENATE("Rainshadow ",'Map 4'!AL33),'Map 4'!AL33)</f>
        <v>Ocean</v>
      </c>
      <c r="AM33" s="3" t="str">
        <f ca="1">IF(OR(AND($AV33="⤵",'Map 4'!AM34="Mountain",'Map 4'!AM33&lt;&gt;"Mountain",'Map 4'!AM33&lt;&gt;"Ocean",'Map 4'!AM33&lt;&gt;"Trench"),AND($AV33="⤴",'Map 4'!AM32="Mountain",'Map 4'!AM33&lt;&gt;"Mountain",'Map 4'!AM33&lt;&gt;"Ocean",'Map 4'!AM33&lt;&gt;"Trench")),CONCATENATE("Rainshadow ",'Map 4'!AM33),'Map 4'!AM33)</f>
        <v>Ocean</v>
      </c>
      <c r="AN33" s="3" t="str">
        <f ca="1">IF(OR(AND($AV33="⤵",'Map 4'!AN34="Mountain",'Map 4'!AN33&lt;&gt;"Mountain",'Map 4'!AN33&lt;&gt;"Ocean",'Map 4'!AN33&lt;&gt;"Trench"),AND($AV33="⤴",'Map 4'!AN32="Mountain",'Map 4'!AN33&lt;&gt;"Mountain",'Map 4'!AN33&lt;&gt;"Ocean",'Map 4'!AN33&lt;&gt;"Trench")),CONCATENATE("Rainshadow ",'Map 4'!AN33),'Map 4'!AN33)</f>
        <v>Ocean</v>
      </c>
      <c r="AO33" s="3" t="str">
        <f ca="1">IF(OR(AND($AV33="⤵",'Map 4'!AO34="Mountain",'Map 4'!AO33&lt;&gt;"Mountain",'Map 4'!AO33&lt;&gt;"Ocean",'Map 4'!AO33&lt;&gt;"Trench"),AND($AV33="⤴",'Map 4'!AO32="Mountain",'Map 4'!AO33&lt;&gt;"Mountain",'Map 4'!AO33&lt;&gt;"Ocean",'Map 4'!AO33&lt;&gt;"Trench")),CONCATENATE("Rainshadow ",'Map 4'!AO33),'Map 4'!AO33)</f>
        <v>Island</v>
      </c>
      <c r="AP33" s="3">
        <f t="shared" si="1"/>
        <v>70.05</v>
      </c>
      <c r="AQ33" s="3">
        <f t="shared" si="2"/>
        <v>158.09</v>
      </c>
      <c r="AR33" s="3"/>
      <c r="AS33" s="3">
        <f t="shared" si="5"/>
        <v>343.20000000000005</v>
      </c>
      <c r="AT33" s="41">
        <v>-18</v>
      </c>
      <c r="AU33" s="41" t="str">
        <f>AU26</f>
        <v>Desert</v>
      </c>
      <c r="AV33" s="41" t="str" cm="1">
        <f t="array" ref="AV33">_xlfn.IFS(AT33&lt;-90,"⤴",AND(AT33&gt;=-90,AT33&lt;-60),"⤴",AND(AT33&gt;=-60,AT33&lt;-30),"⤵",AND(AT33&gt;=-30,AT33&lt;0),"⤴",AND(AT33&gt;=0,AT33&lt;30),"⤵",AND(AT33&gt;=30,AT33&lt;60),"⤴",AT33&gt;=60,"⤵")</f>
        <v>⤴</v>
      </c>
      <c r="AW33" s="41">
        <f>AW26</f>
        <v>0.43999999999999995</v>
      </c>
    </row>
    <row r="34" spans="1:49" ht="15" customHeight="1">
      <c r="A34" s="3">
        <v>25</v>
      </c>
      <c r="B34" s="3" t="str">
        <f ca="1">IF(OR(AND($AV34="⤵",'Map 4'!B35="Mountain",'Map 4'!B34&lt;&gt;"Mountain",'Map 4'!B34&lt;&gt;"Ocean",'Map 4'!B34&lt;&gt;"Trench"),AND($AV34="⤴",'Map 4'!B33="Mountain",'Map 4'!B34&lt;&gt;"Mountain",'Map 4'!B34&lt;&gt;"Ocean",'Map 4'!B34&lt;&gt;"Trench")),CONCATENATE("Rainshadow ",'Map 4'!B34),'Map 4'!B34)</f>
        <v>Ocean</v>
      </c>
      <c r="C34" s="3" t="str">
        <f ca="1">IF(OR(AND($AV34="⤵",'Map 4'!C35="Mountain",'Map 4'!C34&lt;&gt;"Mountain",'Map 4'!C34&lt;&gt;"Ocean",'Map 4'!C34&lt;&gt;"Trench"),AND($AV34="⤴",'Map 4'!C33="Mountain",'Map 4'!C34&lt;&gt;"Mountain",'Map 4'!C34&lt;&gt;"Ocean",'Map 4'!C34&lt;&gt;"Trench")),CONCATENATE("Rainshadow ",'Map 4'!C34),'Map 4'!C34)</f>
        <v>Coast</v>
      </c>
      <c r="D34" s="3" t="str">
        <f ca="1">IF(OR(AND($AV34="⤵",'Map 4'!D35="Mountain",'Map 4'!D34&lt;&gt;"Mountain",'Map 4'!D34&lt;&gt;"Ocean",'Map 4'!D34&lt;&gt;"Trench"),AND($AV34="⤴",'Map 4'!D33="Mountain",'Map 4'!D34&lt;&gt;"Mountain",'Map 4'!D34&lt;&gt;"Ocean",'Map 4'!D34&lt;&gt;"Trench")),CONCATENATE("Rainshadow ",'Map 4'!D34),'Map 4'!D34)</f>
        <v>Coast</v>
      </c>
      <c r="E34" s="3" t="str">
        <f ca="1">IF(OR(AND($AV34="⤵",'Map 4'!E35="Mountain",'Map 4'!E34&lt;&gt;"Mountain",'Map 4'!E34&lt;&gt;"Ocean",'Map 4'!E34&lt;&gt;"Trench"),AND($AV34="⤴",'Map 4'!E33="Mountain",'Map 4'!E34&lt;&gt;"Mountain",'Map 4'!E34&lt;&gt;"Ocean",'Map 4'!E34&lt;&gt;"Trench")),CONCATENATE("Rainshadow ",'Map 4'!E34),'Map 4'!E34)</f>
        <v>Flatland</v>
      </c>
      <c r="F34" s="3" t="str">
        <f ca="1">IF(OR(AND($AV34="⤵",'Map 4'!F35="Mountain",'Map 4'!F34&lt;&gt;"Mountain",'Map 4'!F34&lt;&gt;"Ocean",'Map 4'!F34&lt;&gt;"Trench"),AND($AV34="⤴",'Map 4'!F33="Mountain",'Map 4'!F34&lt;&gt;"Mountain",'Map 4'!F34&lt;&gt;"Ocean",'Map 4'!F34&lt;&gt;"Trench")),CONCATENATE("Rainshadow ",'Map 4'!F34),'Map 4'!F34)</f>
        <v>Coast</v>
      </c>
      <c r="G34" s="3" t="str">
        <f ca="1">IF(OR(AND($AV34="⤵",'Map 4'!G35="Mountain",'Map 4'!G34&lt;&gt;"Mountain",'Map 4'!G34&lt;&gt;"Ocean",'Map 4'!G34&lt;&gt;"Trench"),AND($AV34="⤴",'Map 4'!G33="Mountain",'Map 4'!G34&lt;&gt;"Mountain",'Map 4'!G34&lt;&gt;"Ocean",'Map 4'!G34&lt;&gt;"Trench")),CONCATENATE("Rainshadow ",'Map 4'!G34),'Map 4'!G34)</f>
        <v>Flatland</v>
      </c>
      <c r="H34" s="3" t="str">
        <f ca="1">IF(OR(AND($AV34="⤵",'Map 4'!H35="Mountain",'Map 4'!H34&lt;&gt;"Mountain",'Map 4'!H34&lt;&gt;"Ocean",'Map 4'!H34&lt;&gt;"Trench"),AND($AV34="⤴",'Map 4'!H33="Mountain",'Map 4'!H34&lt;&gt;"Mountain",'Map 4'!H34&lt;&gt;"Ocean",'Map 4'!H34&lt;&gt;"Trench")),CONCATENATE("Rainshadow ",'Map 4'!H34),'Map 4'!H34)</f>
        <v>Flatland</v>
      </c>
      <c r="I34" s="3" t="str">
        <f ca="1">IF(OR(AND($AV34="⤵",'Map 4'!I35="Mountain",'Map 4'!I34&lt;&gt;"Mountain",'Map 4'!I34&lt;&gt;"Ocean",'Map 4'!I34&lt;&gt;"Trench"),AND($AV34="⤴",'Map 4'!I33="Mountain",'Map 4'!I34&lt;&gt;"Mountain",'Map 4'!I34&lt;&gt;"Ocean",'Map 4'!I34&lt;&gt;"Trench")),CONCATENATE("Rainshadow ",'Map 4'!I34),'Map 4'!I34)</f>
        <v>Coast</v>
      </c>
      <c r="J34" s="3" t="str">
        <f ca="1">IF(OR(AND($AV34="⤵",'Map 4'!J35="Mountain",'Map 4'!J34&lt;&gt;"Mountain",'Map 4'!J34&lt;&gt;"Ocean",'Map 4'!J34&lt;&gt;"Trench"),AND($AV34="⤴",'Map 4'!J33="Mountain",'Map 4'!J34&lt;&gt;"Mountain",'Map 4'!J34&lt;&gt;"Ocean",'Map 4'!J34&lt;&gt;"Trench")),CONCATENATE("Rainshadow ",'Map 4'!J34),'Map 4'!J34)</f>
        <v>Flatland</v>
      </c>
      <c r="K34" s="3" t="str">
        <f ca="1">IF(OR(AND($AV34="⤵",'Map 4'!K35="Mountain",'Map 4'!K34&lt;&gt;"Mountain",'Map 4'!K34&lt;&gt;"Ocean",'Map 4'!K34&lt;&gt;"Trench"),AND($AV34="⤴",'Map 4'!K33="Mountain",'Map 4'!K34&lt;&gt;"Mountain",'Map 4'!K34&lt;&gt;"Ocean",'Map 4'!K34&lt;&gt;"Trench")),CONCATENATE("Rainshadow ",'Map 4'!K34),'Map 4'!K34)</f>
        <v>Coast</v>
      </c>
      <c r="L34" s="3" t="str">
        <f ca="1">IF(OR(AND($AV34="⤵",'Map 4'!L35="Mountain",'Map 4'!L34&lt;&gt;"Mountain",'Map 4'!L34&lt;&gt;"Ocean",'Map 4'!L34&lt;&gt;"Trench"),AND($AV34="⤴",'Map 4'!L33="Mountain",'Map 4'!L34&lt;&gt;"Mountain",'Map 4'!L34&lt;&gt;"Ocean",'Map 4'!L34&lt;&gt;"Trench")),CONCATENATE("Rainshadow ",'Map 4'!L34),'Map 4'!L34)</f>
        <v>Island</v>
      </c>
      <c r="M34" s="3" t="str">
        <f ca="1">IF(OR(AND($AV34="⤵",'Map 4'!M35="Mountain",'Map 4'!M34&lt;&gt;"Mountain",'Map 4'!M34&lt;&gt;"Ocean",'Map 4'!M34&lt;&gt;"Trench"),AND($AV34="⤴",'Map 4'!M33="Mountain",'Map 4'!M34&lt;&gt;"Mountain",'Map 4'!M34&lt;&gt;"Ocean",'Map 4'!M34&lt;&gt;"Trench")),CONCATENATE("Rainshadow ",'Map 4'!M34),'Map 4'!M34)</f>
        <v>Ocean</v>
      </c>
      <c r="N34" s="3" t="str">
        <f ca="1">IF(OR(AND($AV34="⤵",'Map 4'!N35="Mountain",'Map 4'!N34&lt;&gt;"Mountain",'Map 4'!N34&lt;&gt;"Ocean",'Map 4'!N34&lt;&gt;"Trench"),AND($AV34="⤴",'Map 4'!N33="Mountain",'Map 4'!N34&lt;&gt;"Mountain",'Map 4'!N34&lt;&gt;"Ocean",'Map 4'!N34&lt;&gt;"Trench")),CONCATENATE("Rainshadow ",'Map 4'!N34),'Map 4'!N34)</f>
        <v>Island</v>
      </c>
      <c r="O34" s="3" t="str">
        <f ca="1">IF(OR(AND($AV34="⤵",'Map 4'!O35="Mountain",'Map 4'!O34&lt;&gt;"Mountain",'Map 4'!O34&lt;&gt;"Ocean",'Map 4'!O34&lt;&gt;"Trench"),AND($AV34="⤴",'Map 4'!O33="Mountain",'Map 4'!O34&lt;&gt;"Mountain",'Map 4'!O34&lt;&gt;"Ocean",'Map 4'!O34&lt;&gt;"Trench")),CONCATENATE("Rainshadow ",'Map 4'!O34),'Map 4'!O34)</f>
        <v>Ocean</v>
      </c>
      <c r="P34" s="3" t="str">
        <f ca="1">IF(OR(AND($AV34="⤵",'Map 4'!P35="Mountain",'Map 4'!P34&lt;&gt;"Mountain",'Map 4'!P34&lt;&gt;"Ocean",'Map 4'!P34&lt;&gt;"Trench"),AND($AV34="⤴",'Map 4'!P33="Mountain",'Map 4'!P34&lt;&gt;"Mountain",'Map 4'!P34&lt;&gt;"Ocean",'Map 4'!P34&lt;&gt;"Trench")),CONCATENATE("Rainshadow ",'Map 4'!P34),'Map 4'!P34)</f>
        <v>Ocean</v>
      </c>
      <c r="Q34" s="3" t="str">
        <f ca="1">IF(OR(AND($AV34="⤵",'Map 4'!Q35="Mountain",'Map 4'!Q34&lt;&gt;"Mountain",'Map 4'!Q34&lt;&gt;"Ocean",'Map 4'!Q34&lt;&gt;"Trench"),AND($AV34="⤴",'Map 4'!Q33="Mountain",'Map 4'!Q34&lt;&gt;"Mountain",'Map 4'!Q34&lt;&gt;"Ocean",'Map 4'!Q34&lt;&gt;"Trench")),CONCATENATE("Rainshadow ",'Map 4'!Q34),'Map 4'!Q34)</f>
        <v>Ocean</v>
      </c>
      <c r="R34" s="3" t="str">
        <f ca="1">IF(OR(AND($AV34="⤵",'Map 4'!R35="Mountain",'Map 4'!R34&lt;&gt;"Mountain",'Map 4'!R34&lt;&gt;"Ocean",'Map 4'!R34&lt;&gt;"Trench"),AND($AV34="⤴",'Map 4'!R33="Mountain",'Map 4'!R34&lt;&gt;"Mountain",'Map 4'!R34&lt;&gt;"Ocean",'Map 4'!R34&lt;&gt;"Trench")),CONCATENATE("Rainshadow ",'Map 4'!R34),'Map 4'!R34)</f>
        <v>Island</v>
      </c>
      <c r="S34" s="3" t="str">
        <f ca="1">IF(OR(AND($AV34="⤵",'Map 4'!S35="Mountain",'Map 4'!S34&lt;&gt;"Mountain",'Map 4'!S34&lt;&gt;"Ocean",'Map 4'!S34&lt;&gt;"Trench"),AND($AV34="⤴",'Map 4'!S33="Mountain",'Map 4'!S34&lt;&gt;"Mountain",'Map 4'!S34&lt;&gt;"Ocean",'Map 4'!S34&lt;&gt;"Trench")),CONCATENATE("Rainshadow ",'Map 4'!S34),'Map 4'!S34)</f>
        <v>Trench</v>
      </c>
      <c r="T34" s="3" t="str">
        <f ca="1">IF(OR(AND($AV34="⤵",'Map 4'!T35="Mountain",'Map 4'!T34&lt;&gt;"Mountain",'Map 4'!T34&lt;&gt;"Ocean",'Map 4'!T34&lt;&gt;"Trench"),AND($AV34="⤴",'Map 4'!T33="Mountain",'Map 4'!T34&lt;&gt;"Mountain",'Map 4'!T34&lt;&gt;"Ocean",'Map 4'!T34&lt;&gt;"Trench")),CONCATENATE("Rainshadow ",'Map 4'!T34),'Map 4'!T34)</f>
        <v>Ocean</v>
      </c>
      <c r="U34" s="3" t="str">
        <f ca="1">IF(OR(AND($AV34="⤵",'Map 4'!U35="Mountain",'Map 4'!U34&lt;&gt;"Mountain",'Map 4'!U34&lt;&gt;"Ocean",'Map 4'!U34&lt;&gt;"Trench"),AND($AV34="⤴",'Map 4'!U33="Mountain",'Map 4'!U34&lt;&gt;"Mountain",'Map 4'!U34&lt;&gt;"Ocean",'Map 4'!U34&lt;&gt;"Trench")),CONCATENATE("Rainshadow ",'Map 4'!U34),'Map 4'!U34)</f>
        <v>Ocean</v>
      </c>
      <c r="V34" s="3" t="str">
        <f ca="1">IF(OR(AND($AV34="⤵",'Map 4'!V35="Mountain",'Map 4'!V34&lt;&gt;"Mountain",'Map 4'!V34&lt;&gt;"Ocean",'Map 4'!V34&lt;&gt;"Trench"),AND($AV34="⤴",'Map 4'!V33="Mountain",'Map 4'!V34&lt;&gt;"Mountain",'Map 4'!V34&lt;&gt;"Ocean",'Map 4'!V34&lt;&gt;"Trench")),CONCATENATE("Rainshadow ",'Map 4'!V34),'Map 4'!V34)</f>
        <v>Ocean</v>
      </c>
      <c r="W34" s="3" t="str">
        <f ca="1">IF(OR(AND($AV34="⤵",'Map 4'!W35="Mountain",'Map 4'!W34&lt;&gt;"Mountain",'Map 4'!W34&lt;&gt;"Ocean",'Map 4'!W34&lt;&gt;"Trench"),AND($AV34="⤴",'Map 4'!W33="Mountain",'Map 4'!W34&lt;&gt;"Mountain",'Map 4'!W34&lt;&gt;"Ocean",'Map 4'!W34&lt;&gt;"Trench")),CONCATENATE("Rainshadow ",'Map 4'!W34),'Map 4'!W34)</f>
        <v>Ocean</v>
      </c>
      <c r="X34" s="3" t="str">
        <f ca="1">IF(OR(AND($AV34="⤵",'Map 4'!X35="Mountain",'Map 4'!X34&lt;&gt;"Mountain",'Map 4'!X34&lt;&gt;"Ocean",'Map 4'!X34&lt;&gt;"Trench"),AND($AV34="⤴",'Map 4'!X33="Mountain",'Map 4'!X34&lt;&gt;"Mountain",'Map 4'!X34&lt;&gt;"Ocean",'Map 4'!X34&lt;&gt;"Trench")),CONCATENATE("Rainshadow ",'Map 4'!X34),'Map 4'!X34)</f>
        <v>Ocean</v>
      </c>
      <c r="Y34" s="3" t="str">
        <f ca="1">IF(OR(AND($AV34="⤵",'Map 4'!Y35="Mountain",'Map 4'!Y34&lt;&gt;"Mountain",'Map 4'!Y34&lt;&gt;"Ocean",'Map 4'!Y34&lt;&gt;"Trench"),AND($AV34="⤴",'Map 4'!Y33="Mountain",'Map 4'!Y34&lt;&gt;"Mountain",'Map 4'!Y34&lt;&gt;"Ocean",'Map 4'!Y34&lt;&gt;"Trench")),CONCATENATE("Rainshadow ",'Map 4'!Y34),'Map 4'!Y34)</f>
        <v>Ocean</v>
      </c>
      <c r="Z34" s="3" t="str">
        <f ca="1">IF(OR(AND($AV34="⤵",'Map 4'!Z35="Mountain",'Map 4'!Z34&lt;&gt;"Mountain",'Map 4'!Z34&lt;&gt;"Ocean",'Map 4'!Z34&lt;&gt;"Trench"),AND($AV34="⤴",'Map 4'!Z33="Mountain",'Map 4'!Z34&lt;&gt;"Mountain",'Map 4'!Z34&lt;&gt;"Ocean",'Map 4'!Z34&lt;&gt;"Trench")),CONCATENATE("Rainshadow ",'Map 4'!Z34),'Map 4'!Z34)</f>
        <v>Trench</v>
      </c>
      <c r="AA34" s="3" t="str">
        <f ca="1">IF(OR(AND($AV34="⤵",'Map 4'!AA35="Mountain",'Map 4'!AA34&lt;&gt;"Mountain",'Map 4'!AA34&lt;&gt;"Ocean",'Map 4'!AA34&lt;&gt;"Trench"),AND($AV34="⤴",'Map 4'!AA33="Mountain",'Map 4'!AA34&lt;&gt;"Mountain",'Map 4'!AA34&lt;&gt;"Ocean",'Map 4'!AA34&lt;&gt;"Trench")),CONCATENATE("Rainshadow ",'Map 4'!AA34),'Map 4'!AA34)</f>
        <v>Island</v>
      </c>
      <c r="AB34" s="3" t="str">
        <f ca="1">IF(OR(AND($AV34="⤵",'Map 4'!AB35="Mountain",'Map 4'!AB34&lt;&gt;"Mountain",'Map 4'!AB34&lt;&gt;"Ocean",'Map 4'!AB34&lt;&gt;"Trench"),AND($AV34="⤴",'Map 4'!AB33="Mountain",'Map 4'!AB34&lt;&gt;"Mountain",'Map 4'!AB34&lt;&gt;"Ocean",'Map 4'!AB34&lt;&gt;"Trench")),CONCATENATE("Rainshadow ",'Map 4'!AB34),'Map 4'!AB34)</f>
        <v>Ocean</v>
      </c>
      <c r="AC34" s="3" t="str">
        <f ca="1">IF(OR(AND($AV34="⤵",'Map 4'!AC35="Mountain",'Map 4'!AC34&lt;&gt;"Mountain",'Map 4'!AC34&lt;&gt;"Ocean",'Map 4'!AC34&lt;&gt;"Trench"),AND($AV34="⤴",'Map 4'!AC33="Mountain",'Map 4'!AC34&lt;&gt;"Mountain",'Map 4'!AC34&lt;&gt;"Ocean",'Map 4'!AC34&lt;&gt;"Trench")),CONCATENATE("Rainshadow ",'Map 4'!AC34),'Map 4'!AC34)</f>
        <v>Ocean</v>
      </c>
      <c r="AD34" s="3" t="str">
        <f ca="1">IF(OR(AND($AV34="⤵",'Map 4'!AD35="Mountain",'Map 4'!AD34&lt;&gt;"Mountain",'Map 4'!AD34&lt;&gt;"Ocean",'Map 4'!AD34&lt;&gt;"Trench"),AND($AV34="⤴",'Map 4'!AD33="Mountain",'Map 4'!AD34&lt;&gt;"Mountain",'Map 4'!AD34&lt;&gt;"Ocean",'Map 4'!AD34&lt;&gt;"Trench")),CONCATENATE("Rainshadow ",'Map 4'!AD34),'Map 4'!AD34)</f>
        <v>Ocean</v>
      </c>
      <c r="AE34" s="3" t="str">
        <f ca="1">IF(OR(AND($AV34="⤵",'Map 4'!AE35="Mountain",'Map 4'!AE34&lt;&gt;"Mountain",'Map 4'!AE34&lt;&gt;"Ocean",'Map 4'!AE34&lt;&gt;"Trench"),AND($AV34="⤴",'Map 4'!AE33="Mountain",'Map 4'!AE34&lt;&gt;"Mountain",'Map 4'!AE34&lt;&gt;"Ocean",'Map 4'!AE34&lt;&gt;"Trench")),CONCATENATE("Rainshadow ",'Map 4'!AE34),'Map 4'!AE34)</f>
        <v>Ocean</v>
      </c>
      <c r="AF34" s="3" t="str">
        <f ca="1">IF(OR(AND($AV34="⤵",'Map 4'!AF35="Mountain",'Map 4'!AF34&lt;&gt;"Mountain",'Map 4'!AF34&lt;&gt;"Ocean",'Map 4'!AF34&lt;&gt;"Trench"),AND($AV34="⤴",'Map 4'!AF33="Mountain",'Map 4'!AF34&lt;&gt;"Mountain",'Map 4'!AF34&lt;&gt;"Ocean",'Map 4'!AF34&lt;&gt;"Trench")),CONCATENATE("Rainshadow ",'Map 4'!AF34),'Map 4'!AF34)</f>
        <v>Ocean</v>
      </c>
      <c r="AG34" s="3" t="str">
        <f ca="1">IF(OR(AND($AV34="⤵",'Map 4'!AG35="Mountain",'Map 4'!AG34&lt;&gt;"Mountain",'Map 4'!AG34&lt;&gt;"Ocean",'Map 4'!AG34&lt;&gt;"Trench"),AND($AV34="⤴",'Map 4'!AG33="Mountain",'Map 4'!AG34&lt;&gt;"Mountain",'Map 4'!AG34&lt;&gt;"Ocean",'Map 4'!AG34&lt;&gt;"Trench")),CONCATENATE("Rainshadow ",'Map 4'!AG34),'Map 4'!AG34)</f>
        <v>Island</v>
      </c>
      <c r="AH34" s="3" t="str">
        <f ca="1">IF(OR(AND($AV34="⤵",'Map 4'!AH35="Mountain",'Map 4'!AH34&lt;&gt;"Mountain",'Map 4'!AH34&lt;&gt;"Ocean",'Map 4'!AH34&lt;&gt;"Trench"),AND($AV34="⤴",'Map 4'!AH33="Mountain",'Map 4'!AH34&lt;&gt;"Mountain",'Map 4'!AH34&lt;&gt;"Ocean",'Map 4'!AH34&lt;&gt;"Trench")),CONCATENATE("Rainshadow ",'Map 4'!AH34),'Map 4'!AH34)</f>
        <v>Trench</v>
      </c>
      <c r="AI34" s="3" t="str">
        <f ca="1">IF(OR(AND($AV34="⤵",'Map 4'!AI35="Mountain",'Map 4'!AI34&lt;&gt;"Mountain",'Map 4'!AI34&lt;&gt;"Ocean",'Map 4'!AI34&lt;&gt;"Trench"),AND($AV34="⤴",'Map 4'!AI33="Mountain",'Map 4'!AI34&lt;&gt;"Mountain",'Map 4'!AI34&lt;&gt;"Ocean",'Map 4'!AI34&lt;&gt;"Trench")),CONCATENATE("Rainshadow ",'Map 4'!AI34),'Map 4'!AI34)</f>
        <v>Island</v>
      </c>
      <c r="AJ34" s="3" t="str">
        <f ca="1">IF(OR(AND($AV34="⤵",'Map 4'!AJ35="Mountain",'Map 4'!AJ34&lt;&gt;"Mountain",'Map 4'!AJ34&lt;&gt;"Ocean",'Map 4'!AJ34&lt;&gt;"Trench"),AND($AV34="⤴",'Map 4'!AJ33="Mountain",'Map 4'!AJ34&lt;&gt;"Mountain",'Map 4'!AJ34&lt;&gt;"Ocean",'Map 4'!AJ34&lt;&gt;"Trench")),CONCATENATE("Rainshadow ",'Map 4'!AJ34),'Map 4'!AJ34)</f>
        <v>Ocean</v>
      </c>
      <c r="AK34" s="3" t="str">
        <f ca="1">IF(OR(AND($AV34="⤵",'Map 4'!AK35="Mountain",'Map 4'!AK34&lt;&gt;"Mountain",'Map 4'!AK34&lt;&gt;"Ocean",'Map 4'!AK34&lt;&gt;"Trench"),AND($AV34="⤴",'Map 4'!AK33="Mountain",'Map 4'!AK34&lt;&gt;"Mountain",'Map 4'!AK34&lt;&gt;"Ocean",'Map 4'!AK34&lt;&gt;"Trench")),CONCATENATE("Rainshadow ",'Map 4'!AK34),'Map 4'!AK34)</f>
        <v>Ocean</v>
      </c>
      <c r="AL34" s="3" t="str">
        <f ca="1">IF(OR(AND($AV34="⤵",'Map 4'!AL35="Mountain",'Map 4'!AL34&lt;&gt;"Mountain",'Map 4'!AL34&lt;&gt;"Ocean",'Map 4'!AL34&lt;&gt;"Trench"),AND($AV34="⤴",'Map 4'!AL33="Mountain",'Map 4'!AL34&lt;&gt;"Mountain",'Map 4'!AL34&lt;&gt;"Ocean",'Map 4'!AL34&lt;&gt;"Trench")),CONCATENATE("Rainshadow ",'Map 4'!AL34),'Map 4'!AL34)</f>
        <v>Trench</v>
      </c>
      <c r="AM34" s="3" t="str">
        <f ca="1">IF(OR(AND($AV34="⤵",'Map 4'!AM35="Mountain",'Map 4'!AM34&lt;&gt;"Mountain",'Map 4'!AM34&lt;&gt;"Ocean",'Map 4'!AM34&lt;&gt;"Trench"),AND($AV34="⤴",'Map 4'!AM33="Mountain",'Map 4'!AM34&lt;&gt;"Mountain",'Map 4'!AM34&lt;&gt;"Ocean",'Map 4'!AM34&lt;&gt;"Trench")),CONCATENATE("Rainshadow ",'Map 4'!AM34),'Map 4'!AM34)</f>
        <v>Ocean</v>
      </c>
      <c r="AN34" s="3" t="str">
        <f ca="1">IF(OR(AND($AV34="⤵",'Map 4'!AN35="Mountain",'Map 4'!AN34&lt;&gt;"Mountain",'Map 4'!AN34&lt;&gt;"Ocean",'Map 4'!AN34&lt;&gt;"Trench"),AND($AV34="⤴",'Map 4'!AN33="Mountain",'Map 4'!AN34&lt;&gt;"Mountain",'Map 4'!AN34&lt;&gt;"Ocean",'Map 4'!AN34&lt;&gt;"Trench")),CONCATENATE("Rainshadow ",'Map 4'!AN34),'Map 4'!AN34)</f>
        <v>Island</v>
      </c>
      <c r="AO34" s="3" t="str">
        <f ca="1">IF(OR(AND($AV34="⤵",'Map 4'!AO35="Mountain",'Map 4'!AO34&lt;&gt;"Mountain",'Map 4'!AO34&lt;&gt;"Ocean",'Map 4'!AO34&lt;&gt;"Trench"),AND($AV34="⤴",'Map 4'!AO33="Mountain",'Map 4'!AO34&lt;&gt;"Mountain",'Map 4'!AO34&lt;&gt;"Ocean",'Map 4'!AO34&lt;&gt;"Trench")),CONCATENATE("Rainshadow ",'Map 4'!AO34),'Map 4'!AO34)</f>
        <v>Trench</v>
      </c>
      <c r="AP34" s="3">
        <f t="shared" si="1"/>
        <v>63.1</v>
      </c>
      <c r="AQ34" s="3">
        <f t="shared" si="2"/>
        <v>145.58000000000001</v>
      </c>
      <c r="AR34" s="3"/>
      <c r="AS34" s="3">
        <f t="shared" si="5"/>
        <v>336.25000000000006</v>
      </c>
      <c r="AT34" s="41">
        <v>-22.5</v>
      </c>
      <c r="AU34" s="41" t="str">
        <f>AU25</f>
        <v>Desert</v>
      </c>
      <c r="AV34" s="41" t="str" cm="1">
        <f t="array" ref="AV34">_xlfn.IFS(AT34&lt;-90,"⤴",AND(AT34&gt;=-90,AT34&lt;-60),"⤴",AND(AT34&gt;=-60,AT34&lt;-30),"⤵",AND(AT34&gt;=-30,AT34&lt;0),"⤴",AND(AT34&gt;=0,AT34&lt;30),"⤵",AND(AT34&gt;=30,AT34&lt;60),"⤴",AT34&gt;=60,"⤵")</f>
        <v>⤴</v>
      </c>
      <c r="AW34" s="41">
        <f>AW25</f>
        <v>0.29999999999999993</v>
      </c>
    </row>
    <row r="35" spans="1:49" ht="15" customHeight="1">
      <c r="A35" s="3">
        <v>26</v>
      </c>
      <c r="B35" s="3" t="str">
        <f ca="1">IF(OR(AND($AV35="⤵",'Map 4'!B36="Mountain",'Map 4'!B35&lt;&gt;"Mountain",'Map 4'!B35&lt;&gt;"Ocean",'Map 4'!B35&lt;&gt;"Trench"),AND($AV35="⤴",'Map 4'!B34="Mountain",'Map 4'!B35&lt;&gt;"Mountain",'Map 4'!B35&lt;&gt;"Ocean",'Map 4'!B35&lt;&gt;"Trench")),CONCATENATE("Rainshadow ",'Map 4'!B35),'Map 4'!B35)</f>
        <v>Ocean</v>
      </c>
      <c r="C35" s="3" t="str">
        <f ca="1">IF(OR(AND($AV35="⤵",'Map 4'!C36="Mountain",'Map 4'!C35&lt;&gt;"Mountain",'Map 4'!C35&lt;&gt;"Ocean",'Map 4'!C35&lt;&gt;"Trench"),AND($AV35="⤴",'Map 4'!C34="Mountain",'Map 4'!C35&lt;&gt;"Mountain",'Map 4'!C35&lt;&gt;"Ocean",'Map 4'!C35&lt;&gt;"Trench")),CONCATENATE("Rainshadow ",'Map 4'!C35),'Map 4'!C35)</f>
        <v>Trench</v>
      </c>
      <c r="D35" s="3" t="str">
        <f ca="1">IF(OR(AND($AV35="⤵",'Map 4'!D36="Mountain",'Map 4'!D35&lt;&gt;"Mountain",'Map 4'!D35&lt;&gt;"Ocean",'Map 4'!D35&lt;&gt;"Trench"),AND($AV35="⤴",'Map 4'!D34="Mountain",'Map 4'!D35&lt;&gt;"Mountain",'Map 4'!D35&lt;&gt;"Ocean",'Map 4'!D35&lt;&gt;"Trench")),CONCATENATE("Rainshadow ",'Map 4'!D35),'Map 4'!D35)</f>
        <v>Island</v>
      </c>
      <c r="E35" s="3" t="str">
        <f ca="1">IF(OR(AND($AV35="⤵",'Map 4'!E36="Mountain",'Map 4'!E35&lt;&gt;"Mountain",'Map 4'!E35&lt;&gt;"Ocean",'Map 4'!E35&lt;&gt;"Trench"),AND($AV35="⤴",'Map 4'!E34="Mountain",'Map 4'!E35&lt;&gt;"Mountain",'Map 4'!E35&lt;&gt;"Ocean",'Map 4'!E35&lt;&gt;"Trench")),CONCATENATE("Rainshadow ",'Map 4'!E35),'Map 4'!E35)</f>
        <v>Trench</v>
      </c>
      <c r="F35" s="3" t="str">
        <f ca="1">IF(OR(AND($AV35="⤵",'Map 4'!F36="Mountain",'Map 4'!F35&lt;&gt;"Mountain",'Map 4'!F35&lt;&gt;"Ocean",'Map 4'!F35&lt;&gt;"Trench"),AND($AV35="⤴",'Map 4'!F34="Mountain",'Map 4'!F35&lt;&gt;"Mountain",'Map 4'!F35&lt;&gt;"Ocean",'Map 4'!F35&lt;&gt;"Trench")),CONCATENATE("Rainshadow ",'Map 4'!F35),'Map 4'!F35)</f>
        <v>Cliff</v>
      </c>
      <c r="G35" s="3" t="str">
        <f ca="1">IF(OR(AND($AV35="⤵",'Map 4'!G36="Mountain",'Map 4'!G35&lt;&gt;"Mountain",'Map 4'!G35&lt;&gt;"Ocean",'Map 4'!G35&lt;&gt;"Trench"),AND($AV35="⤴",'Map 4'!G34="Mountain",'Map 4'!G35&lt;&gt;"Mountain",'Map 4'!G35&lt;&gt;"Ocean",'Map 4'!G35&lt;&gt;"Trench")),CONCATENATE("Rainshadow ",'Map 4'!G35),'Map 4'!G35)</f>
        <v>Valley</v>
      </c>
      <c r="H35" s="3" t="str">
        <f ca="1">IF(OR(AND($AV35="⤵",'Map 4'!H36="Mountain",'Map 4'!H35&lt;&gt;"Mountain",'Map 4'!H35&lt;&gt;"Ocean",'Map 4'!H35&lt;&gt;"Trench"),AND($AV35="⤴",'Map 4'!H34="Mountain",'Map 4'!H35&lt;&gt;"Mountain",'Map 4'!H35&lt;&gt;"Ocean",'Map 4'!H35&lt;&gt;"Trench")),CONCATENATE("Rainshadow ",'Map 4'!H35),'Map 4'!H35)</f>
        <v>Mountain</v>
      </c>
      <c r="I35" s="3" t="str">
        <f ca="1">IF(OR(AND($AV35="⤵",'Map 4'!I36="Mountain",'Map 4'!I35&lt;&gt;"Mountain",'Map 4'!I35&lt;&gt;"Ocean",'Map 4'!I35&lt;&gt;"Trench"),AND($AV35="⤴",'Map 4'!I34="Mountain",'Map 4'!I35&lt;&gt;"Mountain",'Map 4'!I35&lt;&gt;"Ocean",'Map 4'!I35&lt;&gt;"Trench")),CONCATENATE("Rainshadow ",'Map 4'!I35),'Map 4'!I35)</f>
        <v>Flatland</v>
      </c>
      <c r="J35" s="3" t="str">
        <f ca="1">IF(OR(AND($AV35="⤵",'Map 4'!J36="Mountain",'Map 4'!J35&lt;&gt;"Mountain",'Map 4'!J35&lt;&gt;"Ocean",'Map 4'!J35&lt;&gt;"Trench"),AND($AV35="⤴",'Map 4'!J34="Mountain",'Map 4'!J35&lt;&gt;"Mountain",'Map 4'!J35&lt;&gt;"Ocean",'Map 4'!J35&lt;&gt;"Trench")),CONCATENATE("Rainshadow ",'Map 4'!J35),'Map 4'!J35)</f>
        <v>Flatland</v>
      </c>
      <c r="K35" s="3" t="str">
        <f ca="1">IF(OR(AND($AV35="⤵",'Map 4'!K36="Mountain",'Map 4'!K35&lt;&gt;"Mountain",'Map 4'!K35&lt;&gt;"Ocean",'Map 4'!K35&lt;&gt;"Trench"),AND($AV35="⤴",'Map 4'!K34="Mountain",'Map 4'!K35&lt;&gt;"Mountain",'Map 4'!K35&lt;&gt;"Ocean",'Map 4'!K35&lt;&gt;"Trench")),CONCATENATE("Rainshadow ",'Map 4'!K35),'Map 4'!K35)</f>
        <v>Ocean</v>
      </c>
      <c r="L35" s="3" t="str">
        <f ca="1">IF(OR(AND($AV35="⤵",'Map 4'!L36="Mountain",'Map 4'!L35&lt;&gt;"Mountain",'Map 4'!L35&lt;&gt;"Ocean",'Map 4'!L35&lt;&gt;"Trench"),AND($AV35="⤴",'Map 4'!L34="Mountain",'Map 4'!L35&lt;&gt;"Mountain",'Map 4'!L35&lt;&gt;"Ocean",'Map 4'!L35&lt;&gt;"Trench")),CONCATENATE("Rainshadow ",'Map 4'!L35),'Map 4'!L35)</f>
        <v>Trench</v>
      </c>
      <c r="M35" s="3" t="str">
        <f ca="1">IF(OR(AND($AV35="⤵",'Map 4'!M36="Mountain",'Map 4'!M35&lt;&gt;"Mountain",'Map 4'!M35&lt;&gt;"Ocean",'Map 4'!M35&lt;&gt;"Trench"),AND($AV35="⤴",'Map 4'!M34="Mountain",'Map 4'!M35&lt;&gt;"Mountain",'Map 4'!M35&lt;&gt;"Ocean",'Map 4'!M35&lt;&gt;"Trench")),CONCATENATE("Rainshadow ",'Map 4'!M35),'Map 4'!M35)</f>
        <v>Trench</v>
      </c>
      <c r="N35" s="3" t="str">
        <f ca="1">IF(OR(AND($AV35="⤵",'Map 4'!N36="Mountain",'Map 4'!N35&lt;&gt;"Mountain",'Map 4'!N35&lt;&gt;"Ocean",'Map 4'!N35&lt;&gt;"Trench"),AND($AV35="⤴",'Map 4'!N34="Mountain",'Map 4'!N35&lt;&gt;"Mountain",'Map 4'!N35&lt;&gt;"Ocean",'Map 4'!N35&lt;&gt;"Trench")),CONCATENATE("Rainshadow ",'Map 4'!N35),'Map 4'!N35)</f>
        <v>Ocean</v>
      </c>
      <c r="O35" s="3" t="str">
        <f ca="1">IF(OR(AND($AV35="⤵",'Map 4'!O36="Mountain",'Map 4'!O35&lt;&gt;"Mountain",'Map 4'!O35&lt;&gt;"Ocean",'Map 4'!O35&lt;&gt;"Trench"),AND($AV35="⤴",'Map 4'!O34="Mountain",'Map 4'!O35&lt;&gt;"Mountain",'Map 4'!O35&lt;&gt;"Ocean",'Map 4'!O35&lt;&gt;"Trench")),CONCATENATE("Rainshadow ",'Map 4'!O35),'Map 4'!O35)</f>
        <v>Island</v>
      </c>
      <c r="P35" s="3" t="str">
        <f ca="1">IF(OR(AND($AV35="⤵",'Map 4'!P36="Mountain",'Map 4'!P35&lt;&gt;"Mountain",'Map 4'!P35&lt;&gt;"Ocean",'Map 4'!P35&lt;&gt;"Trench"),AND($AV35="⤴",'Map 4'!P34="Mountain",'Map 4'!P35&lt;&gt;"Mountain",'Map 4'!P35&lt;&gt;"Ocean",'Map 4'!P35&lt;&gt;"Trench")),CONCATENATE("Rainshadow ",'Map 4'!P35),'Map 4'!P35)</f>
        <v>Ocean</v>
      </c>
      <c r="Q35" s="3" t="str">
        <f ca="1">IF(OR(AND($AV35="⤵",'Map 4'!Q36="Mountain",'Map 4'!Q35&lt;&gt;"Mountain",'Map 4'!Q35&lt;&gt;"Ocean",'Map 4'!Q35&lt;&gt;"Trench"),AND($AV35="⤴",'Map 4'!Q34="Mountain",'Map 4'!Q35&lt;&gt;"Mountain",'Map 4'!Q35&lt;&gt;"Ocean",'Map 4'!Q35&lt;&gt;"Trench")),CONCATENATE("Rainshadow ",'Map 4'!Q35),'Map 4'!Q35)</f>
        <v>Island</v>
      </c>
      <c r="R35" s="3" t="str">
        <f ca="1">IF(OR(AND($AV35="⤵",'Map 4'!R36="Mountain",'Map 4'!R35&lt;&gt;"Mountain",'Map 4'!R35&lt;&gt;"Ocean",'Map 4'!R35&lt;&gt;"Trench"),AND($AV35="⤴",'Map 4'!R34="Mountain",'Map 4'!R35&lt;&gt;"Mountain",'Map 4'!R35&lt;&gt;"Ocean",'Map 4'!R35&lt;&gt;"Trench")),CONCATENATE("Rainshadow ",'Map 4'!R35),'Map 4'!R35)</f>
        <v>Trench</v>
      </c>
      <c r="S35" s="3" t="str">
        <f ca="1">IF(OR(AND($AV35="⤵",'Map 4'!S36="Mountain",'Map 4'!S35&lt;&gt;"Mountain",'Map 4'!S35&lt;&gt;"Ocean",'Map 4'!S35&lt;&gt;"Trench"),AND($AV35="⤴",'Map 4'!S34="Mountain",'Map 4'!S35&lt;&gt;"Mountain",'Map 4'!S35&lt;&gt;"Ocean",'Map 4'!S35&lt;&gt;"Trench")),CONCATENATE("Rainshadow ",'Map 4'!S35),'Map 4'!S35)</f>
        <v>Ocean</v>
      </c>
      <c r="T35" s="3" t="str">
        <f ca="1">IF(OR(AND($AV35="⤵",'Map 4'!T36="Mountain",'Map 4'!T35&lt;&gt;"Mountain",'Map 4'!T35&lt;&gt;"Ocean",'Map 4'!T35&lt;&gt;"Trench"),AND($AV35="⤴",'Map 4'!T34="Mountain",'Map 4'!T35&lt;&gt;"Mountain",'Map 4'!T35&lt;&gt;"Ocean",'Map 4'!T35&lt;&gt;"Trench")),CONCATENATE("Rainshadow ",'Map 4'!T35),'Map 4'!T35)</f>
        <v>Ocean</v>
      </c>
      <c r="U35" s="3" t="str">
        <f ca="1">IF(OR(AND($AV35="⤵",'Map 4'!U36="Mountain",'Map 4'!U35&lt;&gt;"Mountain",'Map 4'!U35&lt;&gt;"Ocean",'Map 4'!U35&lt;&gt;"Trench"),AND($AV35="⤴",'Map 4'!U34="Mountain",'Map 4'!U35&lt;&gt;"Mountain",'Map 4'!U35&lt;&gt;"Ocean",'Map 4'!U35&lt;&gt;"Trench")),CONCATENATE("Rainshadow ",'Map 4'!U35),'Map 4'!U35)</f>
        <v>Ocean</v>
      </c>
      <c r="V35" s="3" t="str">
        <f ca="1">IF(OR(AND($AV35="⤵",'Map 4'!V36="Mountain",'Map 4'!V35&lt;&gt;"Mountain",'Map 4'!V35&lt;&gt;"Ocean",'Map 4'!V35&lt;&gt;"Trench"),AND($AV35="⤴",'Map 4'!V34="Mountain",'Map 4'!V35&lt;&gt;"Mountain",'Map 4'!V35&lt;&gt;"Ocean",'Map 4'!V35&lt;&gt;"Trench")),CONCATENATE("Rainshadow ",'Map 4'!V35),'Map 4'!V35)</f>
        <v>Ocean</v>
      </c>
      <c r="W35" s="3" t="str">
        <f ca="1">IF(OR(AND($AV35="⤵",'Map 4'!W36="Mountain",'Map 4'!W35&lt;&gt;"Mountain",'Map 4'!W35&lt;&gt;"Ocean",'Map 4'!W35&lt;&gt;"Trench"),AND($AV35="⤴",'Map 4'!W34="Mountain",'Map 4'!W35&lt;&gt;"Mountain",'Map 4'!W35&lt;&gt;"Ocean",'Map 4'!W35&lt;&gt;"Trench")),CONCATENATE("Rainshadow ",'Map 4'!W35),'Map 4'!W35)</f>
        <v>Ocean</v>
      </c>
      <c r="X35" s="3" t="str">
        <f ca="1">IF(OR(AND($AV35="⤵",'Map 4'!X36="Mountain",'Map 4'!X35&lt;&gt;"Mountain",'Map 4'!X35&lt;&gt;"Ocean",'Map 4'!X35&lt;&gt;"Trench"),AND($AV35="⤴",'Map 4'!X34="Mountain",'Map 4'!X35&lt;&gt;"Mountain",'Map 4'!X35&lt;&gt;"Ocean",'Map 4'!X35&lt;&gt;"Trench")),CONCATENATE("Rainshadow ",'Map 4'!X35),'Map 4'!X35)</f>
        <v>Ocean</v>
      </c>
      <c r="Y35" s="3" t="str">
        <f ca="1">IF(OR(AND($AV35="⤵",'Map 4'!Y36="Mountain",'Map 4'!Y35&lt;&gt;"Mountain",'Map 4'!Y35&lt;&gt;"Ocean",'Map 4'!Y35&lt;&gt;"Trench"),AND($AV35="⤴",'Map 4'!Y34="Mountain",'Map 4'!Y35&lt;&gt;"Mountain",'Map 4'!Y35&lt;&gt;"Ocean",'Map 4'!Y35&lt;&gt;"Trench")),CONCATENATE("Rainshadow ",'Map 4'!Y35),'Map 4'!Y35)</f>
        <v>Ocean</v>
      </c>
      <c r="Z35" s="3" t="str">
        <f ca="1">IF(OR(AND($AV35="⤵",'Map 4'!Z36="Mountain",'Map 4'!Z35&lt;&gt;"Mountain",'Map 4'!Z35&lt;&gt;"Ocean",'Map 4'!Z35&lt;&gt;"Trench"),AND($AV35="⤴",'Map 4'!Z34="Mountain",'Map 4'!Z35&lt;&gt;"Mountain",'Map 4'!Z35&lt;&gt;"Ocean",'Map 4'!Z35&lt;&gt;"Trench")),CONCATENATE("Rainshadow ",'Map 4'!Z35),'Map 4'!Z35)</f>
        <v>Island</v>
      </c>
      <c r="AA35" s="3" t="str">
        <f ca="1">IF(OR(AND($AV35="⤵",'Map 4'!AA36="Mountain",'Map 4'!AA35&lt;&gt;"Mountain",'Map 4'!AA35&lt;&gt;"Ocean",'Map 4'!AA35&lt;&gt;"Trench"),AND($AV35="⤴",'Map 4'!AA34="Mountain",'Map 4'!AA35&lt;&gt;"Mountain",'Map 4'!AA35&lt;&gt;"Ocean",'Map 4'!AA35&lt;&gt;"Trench")),CONCATENATE("Rainshadow ",'Map 4'!AA35),'Map 4'!AA35)</f>
        <v>Trench</v>
      </c>
      <c r="AB35" s="3" t="str">
        <f ca="1">IF(OR(AND($AV35="⤵",'Map 4'!AB36="Mountain",'Map 4'!AB35&lt;&gt;"Mountain",'Map 4'!AB35&lt;&gt;"Ocean",'Map 4'!AB35&lt;&gt;"Trench"),AND($AV35="⤴",'Map 4'!AB34="Mountain",'Map 4'!AB35&lt;&gt;"Mountain",'Map 4'!AB35&lt;&gt;"Ocean",'Map 4'!AB35&lt;&gt;"Trench")),CONCATENATE("Rainshadow ",'Map 4'!AB35),'Map 4'!AB35)</f>
        <v>Ocean</v>
      </c>
      <c r="AC35" s="3" t="str">
        <f ca="1">IF(OR(AND($AV35="⤵",'Map 4'!AC36="Mountain",'Map 4'!AC35&lt;&gt;"Mountain",'Map 4'!AC35&lt;&gt;"Ocean",'Map 4'!AC35&lt;&gt;"Trench"),AND($AV35="⤴",'Map 4'!AC34="Mountain",'Map 4'!AC35&lt;&gt;"Mountain",'Map 4'!AC35&lt;&gt;"Ocean",'Map 4'!AC35&lt;&gt;"Trench")),CONCATENATE("Rainshadow ",'Map 4'!AC35),'Map 4'!AC35)</f>
        <v>Ocean</v>
      </c>
      <c r="AD35" s="3" t="str">
        <f ca="1">IF(OR(AND($AV35="⤵",'Map 4'!AD36="Mountain",'Map 4'!AD35&lt;&gt;"Mountain",'Map 4'!AD35&lt;&gt;"Ocean",'Map 4'!AD35&lt;&gt;"Trench"),AND($AV35="⤴",'Map 4'!AD34="Mountain",'Map 4'!AD35&lt;&gt;"Mountain",'Map 4'!AD35&lt;&gt;"Ocean",'Map 4'!AD35&lt;&gt;"Trench")),CONCATENATE("Rainshadow ",'Map 4'!AD35),'Map 4'!AD35)</f>
        <v>Ocean</v>
      </c>
      <c r="AE35" s="3" t="str">
        <f ca="1">IF(OR(AND($AV35="⤵",'Map 4'!AE36="Mountain",'Map 4'!AE35&lt;&gt;"Mountain",'Map 4'!AE35&lt;&gt;"Ocean",'Map 4'!AE35&lt;&gt;"Trench"),AND($AV35="⤴",'Map 4'!AE34="Mountain",'Map 4'!AE35&lt;&gt;"Mountain",'Map 4'!AE35&lt;&gt;"Ocean",'Map 4'!AE35&lt;&gt;"Trench")),CONCATENATE("Rainshadow ",'Map 4'!AE35),'Map 4'!AE35)</f>
        <v>Ocean</v>
      </c>
      <c r="AF35" s="3" t="str">
        <f ca="1">IF(OR(AND($AV35="⤵",'Map 4'!AF36="Mountain",'Map 4'!AF35&lt;&gt;"Mountain",'Map 4'!AF35&lt;&gt;"Ocean",'Map 4'!AF35&lt;&gt;"Trench"),AND($AV35="⤴",'Map 4'!AF34="Mountain",'Map 4'!AF35&lt;&gt;"Mountain",'Map 4'!AF35&lt;&gt;"Ocean",'Map 4'!AF35&lt;&gt;"Trench")),CONCATENATE("Rainshadow ",'Map 4'!AF35),'Map 4'!AF35)</f>
        <v>Island</v>
      </c>
      <c r="AG35" s="3" t="str">
        <f ca="1">IF(OR(AND($AV35="⤵",'Map 4'!AG36="Mountain",'Map 4'!AG35&lt;&gt;"Mountain",'Map 4'!AG35&lt;&gt;"Ocean",'Map 4'!AG35&lt;&gt;"Trench"),AND($AV35="⤴",'Map 4'!AG34="Mountain",'Map 4'!AG35&lt;&gt;"Mountain",'Map 4'!AG35&lt;&gt;"Ocean",'Map 4'!AG35&lt;&gt;"Trench")),CONCATENATE("Rainshadow ",'Map 4'!AG35),'Map 4'!AG35)</f>
        <v>Trench</v>
      </c>
      <c r="AH35" s="3" t="str">
        <f ca="1">IF(OR(AND($AV35="⤵",'Map 4'!AH36="Mountain",'Map 4'!AH35&lt;&gt;"Mountain",'Map 4'!AH35&lt;&gt;"Ocean",'Map 4'!AH35&lt;&gt;"Trench"),AND($AV35="⤴",'Map 4'!AH34="Mountain",'Map 4'!AH35&lt;&gt;"Mountain",'Map 4'!AH35&lt;&gt;"Ocean",'Map 4'!AH35&lt;&gt;"Trench")),CONCATENATE("Rainshadow ",'Map 4'!AH35),'Map 4'!AH35)</f>
        <v>Island</v>
      </c>
      <c r="AI35" s="3" t="str">
        <f ca="1">IF(OR(AND($AV35="⤵",'Map 4'!AI36="Mountain",'Map 4'!AI35&lt;&gt;"Mountain",'Map 4'!AI35&lt;&gt;"Ocean",'Map 4'!AI35&lt;&gt;"Trench"),AND($AV35="⤴",'Map 4'!AI34="Mountain",'Map 4'!AI35&lt;&gt;"Mountain",'Map 4'!AI35&lt;&gt;"Ocean",'Map 4'!AI35&lt;&gt;"Trench")),CONCATENATE("Rainshadow ",'Map 4'!AI35),'Map 4'!AI35)</f>
        <v>Ocean</v>
      </c>
      <c r="AJ35" s="3" t="str">
        <f ca="1">IF(OR(AND($AV35="⤵",'Map 4'!AJ36="Mountain",'Map 4'!AJ35&lt;&gt;"Mountain",'Map 4'!AJ35&lt;&gt;"Ocean",'Map 4'!AJ35&lt;&gt;"Trench"),AND($AV35="⤴",'Map 4'!AJ34="Mountain",'Map 4'!AJ35&lt;&gt;"Mountain",'Map 4'!AJ35&lt;&gt;"Ocean",'Map 4'!AJ35&lt;&gt;"Trench")),CONCATENATE("Rainshadow ",'Map 4'!AJ35),'Map 4'!AJ35)</f>
        <v>Ocean</v>
      </c>
      <c r="AK35" s="3" t="str">
        <f ca="1">IF(OR(AND($AV35="⤵",'Map 4'!AK36="Mountain",'Map 4'!AK35&lt;&gt;"Mountain",'Map 4'!AK35&lt;&gt;"Ocean",'Map 4'!AK35&lt;&gt;"Trench"),AND($AV35="⤴",'Map 4'!AK34="Mountain",'Map 4'!AK35&lt;&gt;"Mountain",'Map 4'!AK35&lt;&gt;"Ocean",'Map 4'!AK35&lt;&gt;"Trench")),CONCATENATE("Rainshadow ",'Map 4'!AK35),'Map 4'!AK35)</f>
        <v>Ocean</v>
      </c>
      <c r="AL35" s="3" t="str">
        <f ca="1">IF(OR(AND($AV35="⤵",'Map 4'!AL36="Mountain",'Map 4'!AL35&lt;&gt;"Mountain",'Map 4'!AL35&lt;&gt;"Ocean",'Map 4'!AL35&lt;&gt;"Trench"),AND($AV35="⤴",'Map 4'!AL34="Mountain",'Map 4'!AL35&lt;&gt;"Mountain",'Map 4'!AL35&lt;&gt;"Ocean",'Map 4'!AL35&lt;&gt;"Trench")),CONCATENATE("Rainshadow ",'Map 4'!AL35),'Map 4'!AL35)</f>
        <v>Ocean</v>
      </c>
      <c r="AM35" s="3" t="str">
        <f ca="1">IF(OR(AND($AV35="⤵",'Map 4'!AM36="Mountain",'Map 4'!AM35&lt;&gt;"Mountain",'Map 4'!AM35&lt;&gt;"Ocean",'Map 4'!AM35&lt;&gt;"Trench"),AND($AV35="⤴",'Map 4'!AM34="Mountain",'Map 4'!AM35&lt;&gt;"Mountain",'Map 4'!AM35&lt;&gt;"Ocean",'Map 4'!AM35&lt;&gt;"Trench")),CONCATENATE("Rainshadow ",'Map 4'!AM35),'Map 4'!AM35)</f>
        <v>Ocean</v>
      </c>
      <c r="AN35" s="3" t="str">
        <f ca="1">IF(OR(AND($AV35="⤵",'Map 4'!AN36="Mountain",'Map 4'!AN35&lt;&gt;"Mountain",'Map 4'!AN35&lt;&gt;"Ocean",'Map 4'!AN35&lt;&gt;"Trench"),AND($AV35="⤴",'Map 4'!AN34="Mountain",'Map 4'!AN35&lt;&gt;"Mountain",'Map 4'!AN35&lt;&gt;"Ocean",'Map 4'!AN35&lt;&gt;"Trench")),CONCATENATE("Rainshadow ",'Map 4'!AN35),'Map 4'!AN35)</f>
        <v>Ocean</v>
      </c>
      <c r="AO35" s="3" t="str">
        <f ca="1">IF(OR(AND($AV35="⤵",'Map 4'!AO36="Mountain",'Map 4'!AO35&lt;&gt;"Mountain",'Map 4'!AO35&lt;&gt;"Ocean",'Map 4'!AO35&lt;&gt;"Trench"),AND($AV35="⤴",'Map 4'!AO34="Mountain",'Map 4'!AO35&lt;&gt;"Mountain",'Map 4'!AO35&lt;&gt;"Ocean",'Map 4'!AO35&lt;&gt;"Trench")),CONCATENATE("Rainshadow ",'Map 4'!AO35),'Map 4'!AO35)</f>
        <v>Trench</v>
      </c>
      <c r="AP35" s="3">
        <f t="shared" si="1"/>
        <v>56.15</v>
      </c>
      <c r="AQ35" s="3">
        <f t="shared" si="2"/>
        <v>133.07</v>
      </c>
      <c r="AR35" s="3"/>
      <c r="AS35" s="3">
        <f t="shared" si="5"/>
        <v>329.30000000000007</v>
      </c>
      <c r="AT35" s="41">
        <v>-27</v>
      </c>
      <c r="AU35" s="41" t="str">
        <f>AU24</f>
        <v>Desert</v>
      </c>
      <c r="AV35" s="41" t="str" cm="1">
        <f t="array" ref="AV35">_xlfn.IFS(AT35&lt;-90,"⤴",AND(AT35&gt;=-90,AT35&lt;-60),"⤴",AND(AT35&gt;=-60,AT35&lt;-30),"⤵",AND(AT35&gt;=-30,AT35&lt;0),"⤴",AND(AT35&gt;=0,AT35&lt;30),"⤵",AND(AT35&gt;=30,AT35&lt;60),"⤴",AT35&gt;=60,"⤵")</f>
        <v>⤴</v>
      </c>
      <c r="AW35" s="41">
        <f>AW24</f>
        <v>0.15999999999999992</v>
      </c>
    </row>
    <row r="36" spans="1:49" ht="15" customHeight="1">
      <c r="A36" s="3">
        <v>27</v>
      </c>
      <c r="B36" s="3" t="str">
        <f ca="1">IF(OR(AND($AV36="⤵",'Map 4'!B37="Mountain",'Map 4'!B36&lt;&gt;"Mountain",'Map 4'!B36&lt;&gt;"Ocean",'Map 4'!B36&lt;&gt;"Trench"),AND($AV36="⤴",'Map 4'!B35="Mountain",'Map 4'!B36&lt;&gt;"Mountain",'Map 4'!B36&lt;&gt;"Ocean",'Map 4'!B36&lt;&gt;"Trench")),CONCATENATE("Rainshadow ",'Map 4'!B36),'Map 4'!B36)</f>
        <v>Trench</v>
      </c>
      <c r="C36" s="3" t="str">
        <f ca="1">IF(OR(AND($AV36="⤵",'Map 4'!C37="Mountain",'Map 4'!C36&lt;&gt;"Mountain",'Map 4'!C36&lt;&gt;"Ocean",'Map 4'!C36&lt;&gt;"Trench"),AND($AV36="⤴",'Map 4'!C35="Mountain",'Map 4'!C36&lt;&gt;"Mountain",'Map 4'!C36&lt;&gt;"Ocean",'Map 4'!C36&lt;&gt;"Trench")),CONCATENATE("Rainshadow ",'Map 4'!C36),'Map 4'!C36)</f>
        <v>Ocean</v>
      </c>
      <c r="D36" s="3" t="str">
        <f ca="1">IF(OR(AND($AV36="⤵",'Map 4'!D37="Mountain",'Map 4'!D36&lt;&gt;"Mountain",'Map 4'!D36&lt;&gt;"Ocean",'Map 4'!D36&lt;&gt;"Trench"),AND($AV36="⤴",'Map 4'!D35="Mountain",'Map 4'!D36&lt;&gt;"Mountain",'Map 4'!D36&lt;&gt;"Ocean",'Map 4'!D36&lt;&gt;"Trench")),CONCATENATE("Rainshadow ",'Map 4'!D36),'Map 4'!D36)</f>
        <v>Trench</v>
      </c>
      <c r="E36" s="3" t="str">
        <f ca="1">IF(OR(AND($AV36="⤵",'Map 4'!E37="Mountain",'Map 4'!E36&lt;&gt;"Mountain",'Map 4'!E36&lt;&gt;"Ocean",'Map 4'!E36&lt;&gt;"Trench"),AND($AV36="⤴",'Map 4'!E35="Mountain",'Map 4'!E36&lt;&gt;"Mountain",'Map 4'!E36&lt;&gt;"Ocean",'Map 4'!E36&lt;&gt;"Trench")),CONCATENATE("Rainshadow ",'Map 4'!E36),'Map 4'!E36)</f>
        <v>Ocean</v>
      </c>
      <c r="F36" s="3" t="str">
        <f ca="1">IF(OR(AND($AV36="⤵",'Map 4'!F37="Mountain",'Map 4'!F36&lt;&gt;"Mountain",'Map 4'!F36&lt;&gt;"Ocean",'Map 4'!F36&lt;&gt;"Trench"),AND($AV36="⤴",'Map 4'!F35="Mountain",'Map 4'!F36&lt;&gt;"Mountain",'Map 4'!F36&lt;&gt;"Ocean",'Map 4'!F36&lt;&gt;"Trench")),CONCATENATE("Rainshadow ",'Map 4'!F36),'Map 4'!F36)</f>
        <v>Mountain</v>
      </c>
      <c r="G36" s="3" t="str">
        <f ca="1">IF(OR(AND($AV36="⤵",'Map 4'!G37="Mountain",'Map 4'!G36&lt;&gt;"Mountain",'Map 4'!G36&lt;&gt;"Ocean",'Map 4'!G36&lt;&gt;"Trench"),AND($AV36="⤴",'Map 4'!G35="Mountain",'Map 4'!G36&lt;&gt;"Mountain",'Map 4'!G36&lt;&gt;"Ocean",'Map 4'!G36&lt;&gt;"Trench")),CONCATENATE("Rainshadow ",'Map 4'!G36),'Map 4'!G36)</f>
        <v>Flatland</v>
      </c>
      <c r="H36" s="3" t="str">
        <f ca="1">IF(OR(AND($AV36="⤵",'Map 4'!H37="Mountain",'Map 4'!H36&lt;&gt;"Mountain",'Map 4'!H36&lt;&gt;"Ocean",'Map 4'!H36&lt;&gt;"Trench"),AND($AV36="⤴",'Map 4'!H35="Mountain",'Map 4'!H36&lt;&gt;"Mountain",'Map 4'!H36&lt;&gt;"Ocean",'Map 4'!H36&lt;&gt;"Trench")),CONCATENATE("Rainshadow ",'Map 4'!H36),'Map 4'!H36)</f>
        <v>Flatland</v>
      </c>
      <c r="I36" s="3" t="str">
        <f ca="1">IF(OR(AND($AV36="⤵",'Map 4'!I37="Mountain",'Map 4'!I36&lt;&gt;"Mountain",'Map 4'!I36&lt;&gt;"Ocean",'Map 4'!I36&lt;&gt;"Trench"),AND($AV36="⤴",'Map 4'!I35="Mountain",'Map 4'!I36&lt;&gt;"Mountain",'Map 4'!I36&lt;&gt;"Ocean",'Map 4'!I36&lt;&gt;"Trench")),CONCATENATE("Rainshadow ",'Map 4'!I36),'Map 4'!I36)</f>
        <v>Coast</v>
      </c>
      <c r="J36" s="3" t="str">
        <f ca="1">IF(OR(AND($AV36="⤵",'Map 4'!J37="Mountain",'Map 4'!J36&lt;&gt;"Mountain",'Map 4'!J36&lt;&gt;"Ocean",'Map 4'!J36&lt;&gt;"Trench"),AND($AV36="⤴",'Map 4'!J35="Mountain",'Map 4'!J36&lt;&gt;"Mountain",'Map 4'!J36&lt;&gt;"Ocean",'Map 4'!J36&lt;&gt;"Trench")),CONCATENATE("Rainshadow ",'Map 4'!J36),'Map 4'!J36)</f>
        <v>Ocean</v>
      </c>
      <c r="K36" s="3" t="str">
        <f ca="1">IF(OR(AND($AV36="⤵",'Map 4'!K37="Mountain",'Map 4'!K36&lt;&gt;"Mountain",'Map 4'!K36&lt;&gt;"Ocean",'Map 4'!K36&lt;&gt;"Trench"),AND($AV36="⤴",'Map 4'!K35="Mountain",'Map 4'!K36&lt;&gt;"Mountain",'Map 4'!K36&lt;&gt;"Ocean",'Map 4'!K36&lt;&gt;"Trench")),CONCATENATE("Rainshadow ",'Map 4'!K36),'Map 4'!K36)</f>
        <v>Ocean</v>
      </c>
      <c r="L36" s="3" t="str">
        <f ca="1">IF(OR(AND($AV36="⤵",'Map 4'!L37="Mountain",'Map 4'!L36&lt;&gt;"Mountain",'Map 4'!L36&lt;&gt;"Ocean",'Map 4'!L36&lt;&gt;"Trench"),AND($AV36="⤴",'Map 4'!L35="Mountain",'Map 4'!L36&lt;&gt;"Mountain",'Map 4'!L36&lt;&gt;"Ocean",'Map 4'!L36&lt;&gt;"Trench")),CONCATENATE("Rainshadow ",'Map 4'!L36),'Map 4'!L36)</f>
        <v>Island</v>
      </c>
      <c r="M36" s="3" t="str">
        <f ca="1">IF(OR(AND($AV36="⤵",'Map 4'!M37="Mountain",'Map 4'!M36&lt;&gt;"Mountain",'Map 4'!M36&lt;&gt;"Ocean",'Map 4'!M36&lt;&gt;"Trench"),AND($AV36="⤴",'Map 4'!M35="Mountain",'Map 4'!M36&lt;&gt;"Mountain",'Map 4'!M36&lt;&gt;"Ocean",'Map 4'!M36&lt;&gt;"Trench")),CONCATENATE("Rainshadow ",'Map 4'!M36),'Map 4'!M36)</f>
        <v>Ocean</v>
      </c>
      <c r="N36" s="3" t="str">
        <f ca="1">IF(OR(AND($AV36="⤵",'Map 4'!N37="Mountain",'Map 4'!N36&lt;&gt;"Mountain",'Map 4'!N36&lt;&gt;"Ocean",'Map 4'!N36&lt;&gt;"Trench"),AND($AV36="⤴",'Map 4'!N35="Mountain",'Map 4'!N36&lt;&gt;"Mountain",'Map 4'!N36&lt;&gt;"Ocean",'Map 4'!N36&lt;&gt;"Trench")),CONCATENATE("Rainshadow ",'Map 4'!N36),'Map 4'!N36)</f>
        <v>Island</v>
      </c>
      <c r="O36" s="3" t="str">
        <f ca="1">IF(OR(AND($AV36="⤵",'Map 4'!O37="Mountain",'Map 4'!O36&lt;&gt;"Mountain",'Map 4'!O36&lt;&gt;"Ocean",'Map 4'!O36&lt;&gt;"Trench"),AND($AV36="⤴",'Map 4'!O35="Mountain",'Map 4'!O36&lt;&gt;"Mountain",'Map 4'!O36&lt;&gt;"Ocean",'Map 4'!O36&lt;&gt;"Trench")),CONCATENATE("Rainshadow ",'Map 4'!O36),'Map 4'!O36)</f>
        <v>Ocean</v>
      </c>
      <c r="P36" s="3" t="str">
        <f ca="1">IF(OR(AND($AV36="⤵",'Map 4'!P37="Mountain",'Map 4'!P36&lt;&gt;"Mountain",'Map 4'!P36&lt;&gt;"Ocean",'Map 4'!P36&lt;&gt;"Trench"),AND($AV36="⤴",'Map 4'!P35="Mountain",'Map 4'!P36&lt;&gt;"Mountain",'Map 4'!P36&lt;&gt;"Ocean",'Map 4'!P36&lt;&gt;"Trench")),CONCATENATE("Rainshadow ",'Map 4'!P36),'Map 4'!P36)</f>
        <v>Ocean</v>
      </c>
      <c r="Q36" s="3" t="str">
        <f ca="1">IF(OR(AND($AV36="⤵",'Map 4'!Q37="Mountain",'Map 4'!Q36&lt;&gt;"Mountain",'Map 4'!Q36&lt;&gt;"Ocean",'Map 4'!Q36&lt;&gt;"Trench"),AND($AV36="⤴",'Map 4'!Q35="Mountain",'Map 4'!Q36&lt;&gt;"Mountain",'Map 4'!Q36&lt;&gt;"Ocean",'Map 4'!Q36&lt;&gt;"Trench")),CONCATENATE("Rainshadow ",'Map 4'!Q36),'Map 4'!Q36)</f>
        <v>Ocean</v>
      </c>
      <c r="R36" s="3" t="str">
        <f ca="1">IF(OR(AND($AV36="⤵",'Map 4'!R37="Mountain",'Map 4'!R36&lt;&gt;"Mountain",'Map 4'!R36&lt;&gt;"Ocean",'Map 4'!R36&lt;&gt;"Trench"),AND($AV36="⤴",'Map 4'!R35="Mountain",'Map 4'!R36&lt;&gt;"Mountain",'Map 4'!R36&lt;&gt;"Ocean",'Map 4'!R36&lt;&gt;"Trench")),CONCATENATE("Rainshadow ",'Map 4'!R36),'Map 4'!R36)</f>
        <v>Island</v>
      </c>
      <c r="S36" s="3" t="str">
        <f ca="1">IF(OR(AND($AV36="⤵",'Map 4'!S37="Mountain",'Map 4'!S36&lt;&gt;"Mountain",'Map 4'!S36&lt;&gt;"Ocean",'Map 4'!S36&lt;&gt;"Trench"),AND($AV36="⤴",'Map 4'!S35="Mountain",'Map 4'!S36&lt;&gt;"Mountain",'Map 4'!S36&lt;&gt;"Ocean",'Map 4'!S36&lt;&gt;"Trench")),CONCATENATE("Rainshadow ",'Map 4'!S36),'Map 4'!S36)</f>
        <v>Ocean</v>
      </c>
      <c r="T36" s="3" t="str">
        <f ca="1">IF(OR(AND($AV36="⤵",'Map 4'!T37="Mountain",'Map 4'!T36&lt;&gt;"Mountain",'Map 4'!T36&lt;&gt;"Ocean",'Map 4'!T36&lt;&gt;"Trench"),AND($AV36="⤴",'Map 4'!T35="Mountain",'Map 4'!T36&lt;&gt;"Mountain",'Map 4'!T36&lt;&gt;"Ocean",'Map 4'!T36&lt;&gt;"Trench")),CONCATENATE("Rainshadow ",'Map 4'!T36),'Map 4'!T36)</f>
        <v>Ocean</v>
      </c>
      <c r="U36" s="3" t="str">
        <f ca="1">IF(OR(AND($AV36="⤵",'Map 4'!U37="Mountain",'Map 4'!U36&lt;&gt;"Mountain",'Map 4'!U36&lt;&gt;"Ocean",'Map 4'!U36&lt;&gt;"Trench"),AND($AV36="⤴",'Map 4'!U35="Mountain",'Map 4'!U36&lt;&gt;"Mountain",'Map 4'!U36&lt;&gt;"Ocean",'Map 4'!U36&lt;&gt;"Trench")),CONCATENATE("Rainshadow ",'Map 4'!U36),'Map 4'!U36)</f>
        <v>Trench</v>
      </c>
      <c r="V36" s="3" t="str">
        <f ca="1">IF(OR(AND($AV36="⤵",'Map 4'!V37="Mountain",'Map 4'!V36&lt;&gt;"Mountain",'Map 4'!V36&lt;&gt;"Ocean",'Map 4'!V36&lt;&gt;"Trench"),AND($AV36="⤴",'Map 4'!V35="Mountain",'Map 4'!V36&lt;&gt;"Mountain",'Map 4'!V36&lt;&gt;"Ocean",'Map 4'!V36&lt;&gt;"Trench")),CONCATENATE("Rainshadow ",'Map 4'!V36),'Map 4'!V36)</f>
        <v>Island</v>
      </c>
      <c r="W36" s="3" t="str">
        <f ca="1">IF(OR(AND($AV36="⤵",'Map 4'!W37="Mountain",'Map 4'!W36&lt;&gt;"Mountain",'Map 4'!W36&lt;&gt;"Ocean",'Map 4'!W36&lt;&gt;"Trench"),AND($AV36="⤴",'Map 4'!W35="Mountain",'Map 4'!W36&lt;&gt;"Mountain",'Map 4'!W36&lt;&gt;"Ocean",'Map 4'!W36&lt;&gt;"Trench")),CONCATENATE("Rainshadow ",'Map 4'!W36),'Map 4'!W36)</f>
        <v>Trench</v>
      </c>
      <c r="X36" s="3" t="str">
        <f ca="1">IF(OR(AND($AV36="⤵",'Map 4'!X37="Mountain",'Map 4'!X36&lt;&gt;"Mountain",'Map 4'!X36&lt;&gt;"Ocean",'Map 4'!X36&lt;&gt;"Trench"),AND($AV36="⤴",'Map 4'!X35="Mountain",'Map 4'!X36&lt;&gt;"Mountain",'Map 4'!X36&lt;&gt;"Ocean",'Map 4'!X36&lt;&gt;"Trench")),CONCATENATE("Rainshadow ",'Map 4'!X36),'Map 4'!X36)</f>
        <v>Ocean</v>
      </c>
      <c r="Y36" s="3" t="str">
        <f ca="1">IF(OR(AND($AV36="⤵",'Map 4'!Y37="Mountain",'Map 4'!Y36&lt;&gt;"Mountain",'Map 4'!Y36&lt;&gt;"Ocean",'Map 4'!Y36&lt;&gt;"Trench"),AND($AV36="⤴",'Map 4'!Y35="Mountain",'Map 4'!Y36&lt;&gt;"Mountain",'Map 4'!Y36&lt;&gt;"Ocean",'Map 4'!Y36&lt;&gt;"Trench")),CONCATENATE("Rainshadow ",'Map 4'!Y36),'Map 4'!Y36)</f>
        <v>Ocean</v>
      </c>
      <c r="Z36" s="3" t="str">
        <f ca="1">IF(OR(AND($AV36="⤵",'Map 4'!Z37="Mountain",'Map 4'!Z36&lt;&gt;"Mountain",'Map 4'!Z36&lt;&gt;"Ocean",'Map 4'!Z36&lt;&gt;"Trench"),AND($AV36="⤴",'Map 4'!Z35="Mountain",'Map 4'!Z36&lt;&gt;"Mountain",'Map 4'!Z36&lt;&gt;"Ocean",'Map 4'!Z36&lt;&gt;"Trench")),CONCATENATE("Rainshadow ",'Map 4'!Z36),'Map 4'!Z36)</f>
        <v>Trench</v>
      </c>
      <c r="AA36" s="3" t="str">
        <f ca="1">IF(OR(AND($AV36="⤵",'Map 4'!AA37="Mountain",'Map 4'!AA36&lt;&gt;"Mountain",'Map 4'!AA36&lt;&gt;"Ocean",'Map 4'!AA36&lt;&gt;"Trench"),AND($AV36="⤴",'Map 4'!AA35="Mountain",'Map 4'!AA36&lt;&gt;"Mountain",'Map 4'!AA36&lt;&gt;"Ocean",'Map 4'!AA36&lt;&gt;"Trench")),CONCATENATE("Rainshadow ",'Map 4'!AA36),'Map 4'!AA36)</f>
        <v>Ocean</v>
      </c>
      <c r="AB36" s="3" t="str">
        <f ca="1">IF(OR(AND($AV36="⤵",'Map 4'!AB37="Mountain",'Map 4'!AB36&lt;&gt;"Mountain",'Map 4'!AB36&lt;&gt;"Ocean",'Map 4'!AB36&lt;&gt;"Trench"),AND($AV36="⤴",'Map 4'!AB35="Mountain",'Map 4'!AB36&lt;&gt;"Mountain",'Map 4'!AB36&lt;&gt;"Ocean",'Map 4'!AB36&lt;&gt;"Trench")),CONCATENATE("Rainshadow ",'Map 4'!AB36),'Map 4'!AB36)</f>
        <v>Ocean</v>
      </c>
      <c r="AC36" s="3" t="str">
        <f ca="1">IF(OR(AND($AV36="⤵",'Map 4'!AC37="Mountain",'Map 4'!AC36&lt;&gt;"Mountain",'Map 4'!AC36&lt;&gt;"Ocean",'Map 4'!AC36&lt;&gt;"Trench"),AND($AV36="⤴",'Map 4'!AC35="Mountain",'Map 4'!AC36&lt;&gt;"Mountain",'Map 4'!AC36&lt;&gt;"Ocean",'Map 4'!AC36&lt;&gt;"Trench")),CONCATENATE("Rainshadow ",'Map 4'!AC36),'Map 4'!AC36)</f>
        <v>Ocean</v>
      </c>
      <c r="AD36" s="3" t="str">
        <f ca="1">IF(OR(AND($AV36="⤵",'Map 4'!AD37="Mountain",'Map 4'!AD36&lt;&gt;"Mountain",'Map 4'!AD36&lt;&gt;"Ocean",'Map 4'!AD36&lt;&gt;"Trench"),AND($AV36="⤴",'Map 4'!AD35="Mountain",'Map 4'!AD36&lt;&gt;"Mountain",'Map 4'!AD36&lt;&gt;"Ocean",'Map 4'!AD36&lt;&gt;"Trench")),CONCATENATE("Rainshadow ",'Map 4'!AD36),'Map 4'!AD36)</f>
        <v>Ocean</v>
      </c>
      <c r="AE36" s="3" t="str">
        <f ca="1">IF(OR(AND($AV36="⤵",'Map 4'!AE37="Mountain",'Map 4'!AE36&lt;&gt;"Mountain",'Map 4'!AE36&lt;&gt;"Ocean",'Map 4'!AE36&lt;&gt;"Trench"),AND($AV36="⤴",'Map 4'!AE35="Mountain",'Map 4'!AE36&lt;&gt;"Mountain",'Map 4'!AE36&lt;&gt;"Ocean",'Map 4'!AE36&lt;&gt;"Trench")),CONCATENATE("Rainshadow ",'Map 4'!AE36),'Map 4'!AE36)</f>
        <v>Ocean</v>
      </c>
      <c r="AF36" s="3" t="str">
        <f ca="1">IF(OR(AND($AV36="⤵",'Map 4'!AF37="Mountain",'Map 4'!AF36&lt;&gt;"Mountain",'Map 4'!AF36&lt;&gt;"Ocean",'Map 4'!AF36&lt;&gt;"Trench"),AND($AV36="⤴",'Map 4'!AF35="Mountain",'Map 4'!AF36&lt;&gt;"Mountain",'Map 4'!AF36&lt;&gt;"Ocean",'Map 4'!AF36&lt;&gt;"Trench")),CONCATENATE("Rainshadow ",'Map 4'!AF36),'Map 4'!AF36)</f>
        <v>Ocean</v>
      </c>
      <c r="AG36" s="3" t="str">
        <f ca="1">IF(OR(AND($AV36="⤵",'Map 4'!AG37="Mountain",'Map 4'!AG36&lt;&gt;"Mountain",'Map 4'!AG36&lt;&gt;"Ocean",'Map 4'!AG36&lt;&gt;"Trench"),AND($AV36="⤴",'Map 4'!AG35="Mountain",'Map 4'!AG36&lt;&gt;"Mountain",'Map 4'!AG36&lt;&gt;"Ocean",'Map 4'!AG36&lt;&gt;"Trench")),CONCATENATE("Rainshadow ",'Map 4'!AG36),'Map 4'!AG36)</f>
        <v>Island</v>
      </c>
      <c r="AH36" s="3" t="str">
        <f ca="1">IF(OR(AND($AV36="⤵",'Map 4'!AH37="Mountain",'Map 4'!AH36&lt;&gt;"Mountain",'Map 4'!AH36&lt;&gt;"Ocean",'Map 4'!AH36&lt;&gt;"Trench"),AND($AV36="⤴",'Map 4'!AH35="Mountain",'Map 4'!AH36&lt;&gt;"Mountain",'Map 4'!AH36&lt;&gt;"Ocean",'Map 4'!AH36&lt;&gt;"Trench")),CONCATENATE("Rainshadow ",'Map 4'!AH36),'Map 4'!AH36)</f>
        <v>Ocean</v>
      </c>
      <c r="AI36" s="3" t="str">
        <f ca="1">IF(OR(AND($AV36="⤵",'Map 4'!AI37="Mountain",'Map 4'!AI36&lt;&gt;"Mountain",'Map 4'!AI36&lt;&gt;"Ocean",'Map 4'!AI36&lt;&gt;"Trench"),AND($AV36="⤴",'Map 4'!AI35="Mountain",'Map 4'!AI36&lt;&gt;"Mountain",'Map 4'!AI36&lt;&gt;"Ocean",'Map 4'!AI36&lt;&gt;"Trench")),CONCATENATE("Rainshadow ",'Map 4'!AI36),'Map 4'!AI36)</f>
        <v>Ocean</v>
      </c>
      <c r="AJ36" s="3" t="str">
        <f ca="1">IF(OR(AND($AV36="⤵",'Map 4'!AJ37="Mountain",'Map 4'!AJ36&lt;&gt;"Mountain",'Map 4'!AJ36&lt;&gt;"Ocean",'Map 4'!AJ36&lt;&gt;"Trench"),AND($AV36="⤴",'Map 4'!AJ35="Mountain",'Map 4'!AJ36&lt;&gt;"Mountain",'Map 4'!AJ36&lt;&gt;"Ocean",'Map 4'!AJ36&lt;&gt;"Trench")),CONCATENATE("Rainshadow ",'Map 4'!AJ36),'Map 4'!AJ36)</f>
        <v>Ocean</v>
      </c>
      <c r="AK36" s="3" t="str">
        <f ca="1">IF(OR(AND($AV36="⤵",'Map 4'!AK37="Mountain",'Map 4'!AK36&lt;&gt;"Mountain",'Map 4'!AK36&lt;&gt;"Ocean",'Map 4'!AK36&lt;&gt;"Trench"),AND($AV36="⤴",'Map 4'!AK35="Mountain",'Map 4'!AK36&lt;&gt;"Mountain",'Map 4'!AK36&lt;&gt;"Ocean",'Map 4'!AK36&lt;&gt;"Trench")),CONCATENATE("Rainshadow ",'Map 4'!AK36),'Map 4'!AK36)</f>
        <v>Ocean</v>
      </c>
      <c r="AL36" s="3" t="str">
        <f ca="1">IF(OR(AND($AV36="⤵",'Map 4'!AL37="Mountain",'Map 4'!AL36&lt;&gt;"Mountain",'Map 4'!AL36&lt;&gt;"Ocean",'Map 4'!AL36&lt;&gt;"Trench"),AND($AV36="⤴",'Map 4'!AL35="Mountain",'Map 4'!AL36&lt;&gt;"Mountain",'Map 4'!AL36&lt;&gt;"Ocean",'Map 4'!AL36&lt;&gt;"Trench")),CONCATENATE("Rainshadow ",'Map 4'!AL36),'Map 4'!AL36)</f>
        <v>Ocean</v>
      </c>
      <c r="AM36" s="3" t="str">
        <f ca="1">IF(OR(AND($AV36="⤵",'Map 4'!AM37="Mountain",'Map 4'!AM36&lt;&gt;"Mountain",'Map 4'!AM36&lt;&gt;"Ocean",'Map 4'!AM36&lt;&gt;"Trench"),AND($AV36="⤴",'Map 4'!AM35="Mountain",'Map 4'!AM36&lt;&gt;"Mountain",'Map 4'!AM36&lt;&gt;"Ocean",'Map 4'!AM36&lt;&gt;"Trench")),CONCATENATE("Rainshadow ",'Map 4'!AM36),'Map 4'!AM36)</f>
        <v>Ocean</v>
      </c>
      <c r="AN36" s="3" t="str">
        <f ca="1">IF(OR(AND($AV36="⤵",'Map 4'!AN37="Mountain",'Map 4'!AN36&lt;&gt;"Mountain",'Map 4'!AN36&lt;&gt;"Ocean",'Map 4'!AN36&lt;&gt;"Trench"),AND($AV36="⤴",'Map 4'!AN35="Mountain",'Map 4'!AN36&lt;&gt;"Mountain",'Map 4'!AN36&lt;&gt;"Ocean",'Map 4'!AN36&lt;&gt;"Trench")),CONCATENATE("Rainshadow ",'Map 4'!AN36),'Map 4'!AN36)</f>
        <v>Trench</v>
      </c>
      <c r="AO36" s="3" t="str">
        <f ca="1">IF(OR(AND($AV36="⤵",'Map 4'!AO37="Mountain",'Map 4'!AO36&lt;&gt;"Mountain",'Map 4'!AO36&lt;&gt;"Ocean",'Map 4'!AO36&lt;&gt;"Trench"),AND($AV36="⤴",'Map 4'!AO35="Mountain",'Map 4'!AO36&lt;&gt;"Mountain",'Map 4'!AO36&lt;&gt;"Ocean",'Map 4'!AO36&lt;&gt;"Trench")),CONCATENATE("Rainshadow ",'Map 4'!AO36),'Map 4'!AO36)</f>
        <v>Ocean</v>
      </c>
      <c r="AP36" s="3">
        <f t="shared" si="1"/>
        <v>49.2</v>
      </c>
      <c r="AQ36" s="3">
        <f t="shared" si="2"/>
        <v>120.56</v>
      </c>
      <c r="AR36" s="3"/>
      <c r="AS36" s="3">
        <f t="shared" si="5"/>
        <v>322.35000000000008</v>
      </c>
      <c r="AT36" s="41">
        <v>-31.5</v>
      </c>
      <c r="AU36" s="41" t="str">
        <f>AU23</f>
        <v>Desert</v>
      </c>
      <c r="AV36" s="41" t="str" cm="1">
        <f t="array" ref="AV36">_xlfn.IFS(AT36&lt;-90,"⤴",AND(AT36&gt;=-90,AT36&lt;-60),"⤴",AND(AT36&gt;=-60,AT36&lt;-30),"⤵",AND(AT36&gt;=-30,AT36&lt;0),"⤴",AND(AT36&gt;=0,AT36&lt;30),"⤵",AND(AT36&gt;=30,AT36&lt;60),"⤴",AT36&gt;=60,"⤵")</f>
        <v>⤵</v>
      </c>
      <c r="AW36" s="41">
        <f>AW23</f>
        <v>1.9999999999999907E-2</v>
      </c>
    </row>
    <row r="37" spans="1:49" ht="15" customHeight="1">
      <c r="A37" s="3">
        <v>28</v>
      </c>
      <c r="B37" s="3" t="str">
        <f ca="1">IF(OR(AND($AV37="⤵",'Map 4'!B38="Mountain",'Map 4'!B37&lt;&gt;"Mountain",'Map 4'!B37&lt;&gt;"Ocean",'Map 4'!B37&lt;&gt;"Trench"),AND($AV37="⤴",'Map 4'!B36="Mountain",'Map 4'!B37&lt;&gt;"Mountain",'Map 4'!B37&lt;&gt;"Ocean",'Map 4'!B37&lt;&gt;"Trench")),CONCATENATE("Rainshadow ",'Map 4'!B37),'Map 4'!B37)</f>
        <v>Drop Off</v>
      </c>
      <c r="C37" s="3" t="str">
        <f ca="1">IF(OR(AND($AV37="⤵",'Map 4'!C38="Mountain",'Map 4'!C37&lt;&gt;"Mountain",'Map 4'!C37&lt;&gt;"Ocean",'Map 4'!C37&lt;&gt;"Trench"),AND($AV37="⤴",'Map 4'!C36="Mountain",'Map 4'!C37&lt;&gt;"Mountain",'Map 4'!C37&lt;&gt;"Ocean",'Map 4'!C37&lt;&gt;"Trench")),CONCATENATE("Rainshadow ",'Map 4'!C37),'Map 4'!C37)</f>
        <v>Coast</v>
      </c>
      <c r="D37" s="3" t="str">
        <f ca="1">IF(OR(AND($AV37="⤵",'Map 4'!D38="Mountain",'Map 4'!D37&lt;&gt;"Mountain",'Map 4'!D37&lt;&gt;"Ocean",'Map 4'!D37&lt;&gt;"Trench"),AND($AV37="⤴",'Map 4'!D36="Mountain",'Map 4'!D37&lt;&gt;"Mountain",'Map 4'!D37&lt;&gt;"Ocean",'Map 4'!D37&lt;&gt;"Trench")),CONCATENATE("Rainshadow ",'Map 4'!D37),'Map 4'!D37)</f>
        <v>Ocean</v>
      </c>
      <c r="E37" s="3" t="str">
        <f ca="1">IF(OR(AND($AV37="⤵",'Map 4'!E38="Mountain",'Map 4'!E37&lt;&gt;"Mountain",'Map 4'!E37&lt;&gt;"Ocean",'Map 4'!E37&lt;&gt;"Trench"),AND($AV37="⤴",'Map 4'!E36="Mountain",'Map 4'!E37&lt;&gt;"Mountain",'Map 4'!E37&lt;&gt;"Ocean",'Map 4'!E37&lt;&gt;"Trench")),CONCATENATE("Rainshadow ",'Map 4'!E37),'Map 4'!E37)</f>
        <v>Ocean</v>
      </c>
      <c r="F37" s="3" t="str">
        <f ca="1">IF(OR(AND($AV37="⤵",'Map 4'!F38="Mountain",'Map 4'!F37&lt;&gt;"Mountain",'Map 4'!F37&lt;&gt;"Ocean",'Map 4'!F37&lt;&gt;"Trench"),AND($AV37="⤴",'Map 4'!F36="Mountain",'Map 4'!F37&lt;&gt;"Mountain",'Map 4'!F37&lt;&gt;"Ocean",'Map 4'!F37&lt;&gt;"Trench")),CONCATENATE("Rainshadow ",'Map 4'!F37),'Map 4'!F37)</f>
        <v>Flatland</v>
      </c>
      <c r="G37" s="3" t="str">
        <f ca="1">IF(OR(AND($AV37="⤵",'Map 4'!G38="Mountain",'Map 4'!G37&lt;&gt;"Mountain",'Map 4'!G37&lt;&gt;"Ocean",'Map 4'!G37&lt;&gt;"Trench"),AND($AV37="⤴",'Map 4'!G36="Mountain",'Map 4'!G37&lt;&gt;"Mountain",'Map 4'!G37&lt;&gt;"Ocean",'Map 4'!G37&lt;&gt;"Trench")),CONCATENATE("Rainshadow ",'Map 4'!G37),'Map 4'!G37)</f>
        <v>Flatland</v>
      </c>
      <c r="H37" s="3" t="str">
        <f ca="1">IF(OR(AND($AV37="⤵",'Map 4'!H38="Mountain",'Map 4'!H37&lt;&gt;"Mountain",'Map 4'!H37&lt;&gt;"Ocean",'Map 4'!H37&lt;&gt;"Trench"),AND($AV37="⤴",'Map 4'!H36="Mountain",'Map 4'!H37&lt;&gt;"Mountain",'Map 4'!H37&lt;&gt;"Ocean",'Map 4'!H37&lt;&gt;"Trench")),CONCATENATE("Rainshadow ",'Map 4'!H37),'Map 4'!H37)</f>
        <v>Flatland</v>
      </c>
      <c r="I37" s="3" t="str">
        <f ca="1">IF(OR(AND($AV37="⤵",'Map 4'!I38="Mountain",'Map 4'!I37&lt;&gt;"Mountain",'Map 4'!I37&lt;&gt;"Ocean",'Map 4'!I37&lt;&gt;"Trench"),AND($AV37="⤴",'Map 4'!I36="Mountain",'Map 4'!I37&lt;&gt;"Mountain",'Map 4'!I37&lt;&gt;"Ocean",'Map 4'!I37&lt;&gt;"Trench")),CONCATENATE("Rainshadow ",'Map 4'!I37),'Map 4'!I37)</f>
        <v>Coast</v>
      </c>
      <c r="J37" s="3" t="str">
        <f ca="1">IF(OR(AND($AV37="⤵",'Map 4'!J38="Mountain",'Map 4'!J37&lt;&gt;"Mountain",'Map 4'!J37&lt;&gt;"Ocean",'Map 4'!J37&lt;&gt;"Trench"),AND($AV37="⤴",'Map 4'!J36="Mountain",'Map 4'!J37&lt;&gt;"Mountain",'Map 4'!J37&lt;&gt;"Ocean",'Map 4'!J37&lt;&gt;"Trench")),CONCATENATE("Rainshadow ",'Map 4'!J37),'Map 4'!J37)</f>
        <v>Coast</v>
      </c>
      <c r="K37" s="3" t="str">
        <f ca="1">IF(OR(AND($AV37="⤵",'Map 4'!K38="Mountain",'Map 4'!K37&lt;&gt;"Mountain",'Map 4'!K37&lt;&gt;"Ocean",'Map 4'!K37&lt;&gt;"Trench"),AND($AV37="⤴",'Map 4'!K36="Mountain",'Map 4'!K37&lt;&gt;"Mountain",'Map 4'!K37&lt;&gt;"Ocean",'Map 4'!K37&lt;&gt;"Trench")),CONCATENATE("Rainshadow ",'Map 4'!K37),'Map 4'!K37)</f>
        <v>Ocean</v>
      </c>
      <c r="L37" s="3" t="str">
        <f ca="1">IF(OR(AND($AV37="⤵",'Map 4'!L38="Mountain",'Map 4'!L37&lt;&gt;"Mountain",'Map 4'!L37&lt;&gt;"Ocean",'Map 4'!L37&lt;&gt;"Trench"),AND($AV37="⤴",'Map 4'!L36="Mountain",'Map 4'!L37&lt;&gt;"Mountain",'Map 4'!L37&lt;&gt;"Ocean",'Map 4'!L37&lt;&gt;"Trench")),CONCATENATE("Rainshadow ",'Map 4'!L37),'Map 4'!L37)</f>
        <v>Trench</v>
      </c>
      <c r="M37" s="3" t="str">
        <f ca="1">IF(OR(AND($AV37="⤵",'Map 4'!M38="Mountain",'Map 4'!M37&lt;&gt;"Mountain",'Map 4'!M37&lt;&gt;"Ocean",'Map 4'!M37&lt;&gt;"Trench"),AND($AV37="⤴",'Map 4'!M36="Mountain",'Map 4'!M37&lt;&gt;"Mountain",'Map 4'!M37&lt;&gt;"Ocean",'Map 4'!M37&lt;&gt;"Trench")),CONCATENATE("Rainshadow ",'Map 4'!M37),'Map 4'!M37)</f>
        <v>Trench</v>
      </c>
      <c r="N37" s="3" t="str">
        <f ca="1">IF(OR(AND($AV37="⤵",'Map 4'!N38="Mountain",'Map 4'!N37&lt;&gt;"Mountain",'Map 4'!N37&lt;&gt;"Ocean",'Map 4'!N37&lt;&gt;"Trench"),AND($AV37="⤴",'Map 4'!N36="Mountain",'Map 4'!N37&lt;&gt;"Mountain",'Map 4'!N37&lt;&gt;"Ocean",'Map 4'!N37&lt;&gt;"Trench")),CONCATENATE("Rainshadow ",'Map 4'!N37),'Map 4'!N37)</f>
        <v>Ocean</v>
      </c>
      <c r="O37" s="3" t="str">
        <f ca="1">IF(OR(AND($AV37="⤵",'Map 4'!O38="Mountain",'Map 4'!O37&lt;&gt;"Mountain",'Map 4'!O37&lt;&gt;"Ocean",'Map 4'!O37&lt;&gt;"Trench"),AND($AV37="⤴",'Map 4'!O36="Mountain",'Map 4'!O37&lt;&gt;"Mountain",'Map 4'!O37&lt;&gt;"Ocean",'Map 4'!O37&lt;&gt;"Trench")),CONCATENATE("Rainshadow ",'Map 4'!O37),'Map 4'!O37)</f>
        <v>Ocean</v>
      </c>
      <c r="P37" s="3" t="str">
        <f ca="1">IF(OR(AND($AV37="⤵",'Map 4'!P38="Mountain",'Map 4'!P37&lt;&gt;"Mountain",'Map 4'!P37&lt;&gt;"Ocean",'Map 4'!P37&lt;&gt;"Trench"),AND($AV37="⤴",'Map 4'!P36="Mountain",'Map 4'!P37&lt;&gt;"Mountain",'Map 4'!P37&lt;&gt;"Ocean",'Map 4'!P37&lt;&gt;"Trench")),CONCATENATE("Rainshadow ",'Map 4'!P37),'Map 4'!P37)</f>
        <v>Ocean</v>
      </c>
      <c r="Q37" s="3" t="str">
        <f ca="1">IF(OR(AND($AV37="⤵",'Map 4'!Q38="Mountain",'Map 4'!Q37&lt;&gt;"Mountain",'Map 4'!Q37&lt;&gt;"Ocean",'Map 4'!Q37&lt;&gt;"Trench"),AND($AV37="⤴",'Map 4'!Q36="Mountain",'Map 4'!Q37&lt;&gt;"Mountain",'Map 4'!Q37&lt;&gt;"Ocean",'Map 4'!Q37&lt;&gt;"Trench")),CONCATENATE("Rainshadow ",'Map 4'!Q37),'Map 4'!Q37)</f>
        <v>Ocean</v>
      </c>
      <c r="R37" s="3" t="str">
        <f ca="1">IF(OR(AND($AV37="⤵",'Map 4'!R38="Mountain",'Map 4'!R37&lt;&gt;"Mountain",'Map 4'!R37&lt;&gt;"Ocean",'Map 4'!R37&lt;&gt;"Trench"),AND($AV37="⤴",'Map 4'!R36="Mountain",'Map 4'!R37&lt;&gt;"Mountain",'Map 4'!R37&lt;&gt;"Ocean",'Map 4'!R37&lt;&gt;"Trench")),CONCATENATE("Rainshadow ",'Map 4'!R37),'Map 4'!R37)</f>
        <v>Island</v>
      </c>
      <c r="S37" s="3" t="str">
        <f ca="1">IF(OR(AND($AV37="⤵",'Map 4'!S38="Mountain",'Map 4'!S37&lt;&gt;"Mountain",'Map 4'!S37&lt;&gt;"Ocean",'Map 4'!S37&lt;&gt;"Trench"),AND($AV37="⤴",'Map 4'!S36="Mountain",'Map 4'!S37&lt;&gt;"Mountain",'Map 4'!S37&lt;&gt;"Ocean",'Map 4'!S37&lt;&gt;"Trench")),CONCATENATE("Rainshadow ",'Map 4'!S37),'Map 4'!S37)</f>
        <v>Ocean</v>
      </c>
      <c r="T37" s="3" t="str">
        <f ca="1">IF(OR(AND($AV37="⤵",'Map 4'!T38="Mountain",'Map 4'!T37&lt;&gt;"Mountain",'Map 4'!T37&lt;&gt;"Ocean",'Map 4'!T37&lt;&gt;"Trench"),AND($AV37="⤴",'Map 4'!T36="Mountain",'Map 4'!T37&lt;&gt;"Mountain",'Map 4'!T37&lt;&gt;"Ocean",'Map 4'!T37&lt;&gt;"Trench")),CONCATENATE("Rainshadow ",'Map 4'!T37),'Map 4'!T37)</f>
        <v>Ocean</v>
      </c>
      <c r="U37" s="3" t="str">
        <f ca="1">IF(OR(AND($AV37="⤵",'Map 4'!U38="Mountain",'Map 4'!U37&lt;&gt;"Mountain",'Map 4'!U37&lt;&gt;"Ocean",'Map 4'!U37&lt;&gt;"Trench"),AND($AV37="⤴",'Map 4'!U36="Mountain",'Map 4'!U37&lt;&gt;"Mountain",'Map 4'!U37&lt;&gt;"Ocean",'Map 4'!U37&lt;&gt;"Trench")),CONCATENATE("Rainshadow ",'Map 4'!U37),'Map 4'!U37)</f>
        <v>Island</v>
      </c>
      <c r="V37" s="3" t="str">
        <f ca="1">IF(OR(AND($AV37="⤵",'Map 4'!V38="Mountain",'Map 4'!V37&lt;&gt;"Mountain",'Map 4'!V37&lt;&gt;"Ocean",'Map 4'!V37&lt;&gt;"Trench"),AND($AV37="⤴",'Map 4'!V36="Mountain",'Map 4'!V37&lt;&gt;"Mountain",'Map 4'!V37&lt;&gt;"Ocean",'Map 4'!V37&lt;&gt;"Trench")),CONCATENATE("Rainshadow ",'Map 4'!V37),'Map 4'!V37)</f>
        <v>Trench</v>
      </c>
      <c r="W37" s="3" t="str">
        <f ca="1">IF(OR(AND($AV37="⤵",'Map 4'!W38="Mountain",'Map 4'!W37&lt;&gt;"Mountain",'Map 4'!W37&lt;&gt;"Ocean",'Map 4'!W37&lt;&gt;"Trench"),AND($AV37="⤴",'Map 4'!W36="Mountain",'Map 4'!W37&lt;&gt;"Mountain",'Map 4'!W37&lt;&gt;"Ocean",'Map 4'!W37&lt;&gt;"Trench")),CONCATENATE("Rainshadow ",'Map 4'!W37),'Map 4'!W37)</f>
        <v>Ocean</v>
      </c>
      <c r="X37" s="3" t="str">
        <f ca="1">IF(OR(AND($AV37="⤵",'Map 4'!X38="Mountain",'Map 4'!X37&lt;&gt;"Mountain",'Map 4'!X37&lt;&gt;"Ocean",'Map 4'!X37&lt;&gt;"Trench"),AND($AV37="⤴",'Map 4'!X36="Mountain",'Map 4'!X37&lt;&gt;"Mountain",'Map 4'!X37&lt;&gt;"Ocean",'Map 4'!X37&lt;&gt;"Trench")),CONCATENATE("Rainshadow ",'Map 4'!X37),'Map 4'!X37)</f>
        <v>Ocean</v>
      </c>
      <c r="Y37" s="3" t="str">
        <f ca="1">IF(OR(AND($AV37="⤵",'Map 4'!Y38="Mountain",'Map 4'!Y37&lt;&gt;"Mountain",'Map 4'!Y37&lt;&gt;"Ocean",'Map 4'!Y37&lt;&gt;"Trench"),AND($AV37="⤴",'Map 4'!Y36="Mountain",'Map 4'!Y37&lt;&gt;"Mountain",'Map 4'!Y37&lt;&gt;"Ocean",'Map 4'!Y37&lt;&gt;"Trench")),CONCATENATE("Rainshadow ",'Map 4'!Y37),'Map 4'!Y37)</f>
        <v>Ocean</v>
      </c>
      <c r="Z37" s="3" t="str">
        <f ca="1">IF(OR(AND($AV37="⤵",'Map 4'!Z38="Mountain",'Map 4'!Z37&lt;&gt;"Mountain",'Map 4'!Z37&lt;&gt;"Ocean",'Map 4'!Z37&lt;&gt;"Trench"),AND($AV37="⤴",'Map 4'!Z36="Mountain",'Map 4'!Z37&lt;&gt;"Mountain",'Map 4'!Z37&lt;&gt;"Ocean",'Map 4'!Z37&lt;&gt;"Trench")),CONCATENATE("Rainshadow ",'Map 4'!Z37),'Map 4'!Z37)</f>
        <v>Ocean</v>
      </c>
      <c r="AA37" s="3" t="str">
        <f ca="1">IF(OR(AND($AV37="⤵",'Map 4'!AA38="Mountain",'Map 4'!AA37&lt;&gt;"Mountain",'Map 4'!AA37&lt;&gt;"Ocean",'Map 4'!AA37&lt;&gt;"Trench"),AND($AV37="⤴",'Map 4'!AA36="Mountain",'Map 4'!AA37&lt;&gt;"Mountain",'Map 4'!AA37&lt;&gt;"Ocean",'Map 4'!AA37&lt;&gt;"Trench")),CONCATENATE("Rainshadow ",'Map 4'!AA37),'Map 4'!AA37)</f>
        <v>Ocean</v>
      </c>
      <c r="AB37" s="3" t="str">
        <f ca="1">IF(OR(AND($AV37="⤵",'Map 4'!AB38="Mountain",'Map 4'!AB37&lt;&gt;"Mountain",'Map 4'!AB37&lt;&gt;"Ocean",'Map 4'!AB37&lt;&gt;"Trench"),AND($AV37="⤴",'Map 4'!AB36="Mountain",'Map 4'!AB37&lt;&gt;"Mountain",'Map 4'!AB37&lt;&gt;"Ocean",'Map 4'!AB37&lt;&gt;"Trench")),CONCATENATE("Rainshadow ",'Map 4'!AB37),'Map 4'!AB37)</f>
        <v>Ocean</v>
      </c>
      <c r="AC37" s="3" t="str">
        <f ca="1">IF(OR(AND($AV37="⤵",'Map 4'!AC38="Mountain",'Map 4'!AC37&lt;&gt;"Mountain",'Map 4'!AC37&lt;&gt;"Ocean",'Map 4'!AC37&lt;&gt;"Trench"),AND($AV37="⤴",'Map 4'!AC36="Mountain",'Map 4'!AC37&lt;&gt;"Mountain",'Map 4'!AC37&lt;&gt;"Ocean",'Map 4'!AC37&lt;&gt;"Trench")),CONCATENATE("Rainshadow ",'Map 4'!AC37),'Map 4'!AC37)</f>
        <v>Ocean</v>
      </c>
      <c r="AD37" s="3" t="str">
        <f ca="1">IF(OR(AND($AV37="⤵",'Map 4'!AD38="Mountain",'Map 4'!AD37&lt;&gt;"Mountain",'Map 4'!AD37&lt;&gt;"Ocean",'Map 4'!AD37&lt;&gt;"Trench"),AND($AV37="⤴",'Map 4'!AD36="Mountain",'Map 4'!AD37&lt;&gt;"Mountain",'Map 4'!AD37&lt;&gt;"Ocean",'Map 4'!AD37&lt;&gt;"Trench")),CONCATENATE("Rainshadow ",'Map 4'!AD37),'Map 4'!AD37)</f>
        <v>Ocean</v>
      </c>
      <c r="AE37" s="3" t="str">
        <f ca="1">IF(OR(AND($AV37="⤵",'Map 4'!AE38="Mountain",'Map 4'!AE37&lt;&gt;"Mountain",'Map 4'!AE37&lt;&gt;"Ocean",'Map 4'!AE37&lt;&gt;"Trench"),AND($AV37="⤴",'Map 4'!AE36="Mountain",'Map 4'!AE37&lt;&gt;"Mountain",'Map 4'!AE37&lt;&gt;"Ocean",'Map 4'!AE37&lt;&gt;"Trench")),CONCATENATE("Rainshadow ",'Map 4'!AE37),'Map 4'!AE37)</f>
        <v>Island</v>
      </c>
      <c r="AF37" s="3" t="str">
        <f ca="1">IF(OR(AND($AV37="⤵",'Map 4'!AF38="Mountain",'Map 4'!AF37&lt;&gt;"Mountain",'Map 4'!AF37&lt;&gt;"Ocean",'Map 4'!AF37&lt;&gt;"Trench"),AND($AV37="⤴",'Map 4'!AF36="Mountain",'Map 4'!AF37&lt;&gt;"Mountain",'Map 4'!AF37&lt;&gt;"Ocean",'Map 4'!AF37&lt;&gt;"Trench")),CONCATENATE("Rainshadow ",'Map 4'!AF37),'Map 4'!AF37)</f>
        <v>Ocean</v>
      </c>
      <c r="AG37" s="3" t="str">
        <f ca="1">IF(OR(AND($AV37="⤵",'Map 4'!AG38="Mountain",'Map 4'!AG37&lt;&gt;"Mountain",'Map 4'!AG37&lt;&gt;"Ocean",'Map 4'!AG37&lt;&gt;"Trench"),AND($AV37="⤴",'Map 4'!AG36="Mountain",'Map 4'!AG37&lt;&gt;"Mountain",'Map 4'!AG37&lt;&gt;"Ocean",'Map 4'!AG37&lt;&gt;"Trench")),CONCATENATE("Rainshadow ",'Map 4'!AG37),'Map 4'!AG37)</f>
        <v>Ocean</v>
      </c>
      <c r="AH37" s="3" t="str">
        <f ca="1">IF(OR(AND($AV37="⤵",'Map 4'!AH38="Mountain",'Map 4'!AH37&lt;&gt;"Mountain",'Map 4'!AH37&lt;&gt;"Ocean",'Map 4'!AH37&lt;&gt;"Trench"),AND($AV37="⤴",'Map 4'!AH36="Mountain",'Map 4'!AH37&lt;&gt;"Mountain",'Map 4'!AH37&lt;&gt;"Ocean",'Map 4'!AH37&lt;&gt;"Trench")),CONCATENATE("Rainshadow ",'Map 4'!AH37),'Map 4'!AH37)</f>
        <v>Ocean</v>
      </c>
      <c r="AI37" s="3" t="str">
        <f ca="1">IF(OR(AND($AV37="⤵",'Map 4'!AI38="Mountain",'Map 4'!AI37&lt;&gt;"Mountain",'Map 4'!AI37&lt;&gt;"Ocean",'Map 4'!AI37&lt;&gt;"Trench"),AND($AV37="⤴",'Map 4'!AI36="Mountain",'Map 4'!AI37&lt;&gt;"Mountain",'Map 4'!AI37&lt;&gt;"Ocean",'Map 4'!AI37&lt;&gt;"Trench")),CONCATENATE("Rainshadow ",'Map 4'!AI37),'Map 4'!AI37)</f>
        <v>Ocean</v>
      </c>
      <c r="AJ37" s="3" t="str">
        <f ca="1">IF(OR(AND($AV37="⤵",'Map 4'!AJ38="Mountain",'Map 4'!AJ37&lt;&gt;"Mountain",'Map 4'!AJ37&lt;&gt;"Ocean",'Map 4'!AJ37&lt;&gt;"Trench"),AND($AV37="⤴",'Map 4'!AJ36="Mountain",'Map 4'!AJ37&lt;&gt;"Mountain",'Map 4'!AJ37&lt;&gt;"Ocean",'Map 4'!AJ37&lt;&gt;"Trench")),CONCATENATE("Rainshadow ",'Map 4'!AJ37),'Map 4'!AJ37)</f>
        <v>Trench</v>
      </c>
      <c r="AK37" s="3" t="str">
        <f ca="1">IF(OR(AND($AV37="⤵",'Map 4'!AK38="Mountain",'Map 4'!AK37&lt;&gt;"Mountain",'Map 4'!AK37&lt;&gt;"Ocean",'Map 4'!AK37&lt;&gt;"Trench"),AND($AV37="⤴",'Map 4'!AK36="Mountain",'Map 4'!AK37&lt;&gt;"Mountain",'Map 4'!AK37&lt;&gt;"Ocean",'Map 4'!AK37&lt;&gt;"Trench")),CONCATENATE("Rainshadow ",'Map 4'!AK37),'Map 4'!AK37)</f>
        <v>Island</v>
      </c>
      <c r="AL37" s="3" t="str">
        <f ca="1">IF(OR(AND($AV37="⤵",'Map 4'!AL38="Mountain",'Map 4'!AL37&lt;&gt;"Mountain",'Map 4'!AL37&lt;&gt;"Ocean",'Map 4'!AL37&lt;&gt;"Trench"),AND($AV37="⤴",'Map 4'!AL36="Mountain",'Map 4'!AL37&lt;&gt;"Mountain",'Map 4'!AL37&lt;&gt;"Ocean",'Map 4'!AL37&lt;&gt;"Trench")),CONCATENATE("Rainshadow ",'Map 4'!AL37),'Map 4'!AL37)</f>
        <v>Ocean</v>
      </c>
      <c r="AM37" s="3" t="str">
        <f ca="1">IF(OR(AND($AV37="⤵",'Map 4'!AM38="Mountain",'Map 4'!AM37&lt;&gt;"Mountain",'Map 4'!AM37&lt;&gt;"Ocean",'Map 4'!AM37&lt;&gt;"Trench"),AND($AV37="⤴",'Map 4'!AM36="Mountain",'Map 4'!AM37&lt;&gt;"Mountain",'Map 4'!AM37&lt;&gt;"Ocean",'Map 4'!AM37&lt;&gt;"Trench")),CONCATENATE("Rainshadow ",'Map 4'!AM37),'Map 4'!AM37)</f>
        <v>Ocean</v>
      </c>
      <c r="AN37" s="3" t="str">
        <f ca="1">IF(OR(AND($AV37="⤵",'Map 4'!AN38="Mountain",'Map 4'!AN37&lt;&gt;"Mountain",'Map 4'!AN37&lt;&gt;"Ocean",'Map 4'!AN37&lt;&gt;"Trench"),AND($AV37="⤴",'Map 4'!AN36="Mountain",'Map 4'!AN37&lt;&gt;"Mountain",'Map 4'!AN37&lt;&gt;"Ocean",'Map 4'!AN37&lt;&gt;"Trench")),CONCATENATE("Rainshadow ",'Map 4'!AN37),'Map 4'!AN37)</f>
        <v>Ocean</v>
      </c>
      <c r="AO37" s="3" t="str">
        <f ca="1">IF(OR(AND($AV37="⤵",'Map 4'!AO38="Mountain",'Map 4'!AO37&lt;&gt;"Mountain",'Map 4'!AO37&lt;&gt;"Ocean",'Map 4'!AO37&lt;&gt;"Trench"),AND($AV37="⤴",'Map 4'!AO36="Mountain",'Map 4'!AO37&lt;&gt;"Mountain",'Map 4'!AO37&lt;&gt;"Ocean",'Map 4'!AO37&lt;&gt;"Trench")),CONCATENATE("Rainshadow ",'Map 4'!AO37),'Map 4'!AO37)</f>
        <v>Ocean</v>
      </c>
      <c r="AP37" s="3">
        <f t="shared" si="1"/>
        <v>42.25</v>
      </c>
      <c r="AQ37" s="3">
        <f t="shared" si="2"/>
        <v>108.05</v>
      </c>
      <c r="AR37" s="3"/>
      <c r="AS37" s="3">
        <f t="shared" si="5"/>
        <v>315.40000000000009</v>
      </c>
      <c r="AT37" s="41">
        <v>-36</v>
      </c>
      <c r="AU37" s="41" t="str">
        <f>AU22</f>
        <v>Desert</v>
      </c>
      <c r="AV37" s="41" t="str" cm="1">
        <f t="array" ref="AV37">_xlfn.IFS(AT37&lt;-90,"⤴",AND(AT37&gt;=-90,AT37&lt;-60),"⤴",AND(AT37&gt;=-60,AT37&lt;-30),"⤵",AND(AT37&gt;=-30,AT37&lt;0),"⤴",AND(AT37&gt;=0,AT37&lt;30),"⤵",AND(AT37&gt;=30,AT37&lt;60),"⤴",AT37&gt;=60,"⤵")</f>
        <v>⤵</v>
      </c>
      <c r="AW37" s="41">
        <f>AW22</f>
        <v>0.15999999999999992</v>
      </c>
    </row>
    <row r="38" spans="1:49" ht="15" customHeight="1">
      <c r="A38" s="3">
        <v>29</v>
      </c>
      <c r="B38" s="3" t="str">
        <f ca="1">IF(OR(AND($AV38="⤵",'Map 4'!B39="Mountain",'Map 4'!B38&lt;&gt;"Mountain",'Map 4'!B38&lt;&gt;"Ocean",'Map 4'!B38&lt;&gt;"Trench"),AND($AV38="⤴",'Map 4'!B37="Mountain",'Map 4'!B38&lt;&gt;"Mountain",'Map 4'!B38&lt;&gt;"Ocean",'Map 4'!B38&lt;&gt;"Trench")),CONCATENATE("Rainshadow ",'Map 4'!B38),'Map 4'!B38)</f>
        <v>Ocean</v>
      </c>
      <c r="C38" s="3" t="str">
        <f ca="1">IF(OR(AND($AV38="⤵",'Map 4'!C39="Mountain",'Map 4'!C38&lt;&gt;"Mountain",'Map 4'!C38&lt;&gt;"Ocean",'Map 4'!C38&lt;&gt;"Trench"),AND($AV38="⤴",'Map 4'!C37="Mountain",'Map 4'!C38&lt;&gt;"Mountain",'Map 4'!C38&lt;&gt;"Ocean",'Map 4'!C38&lt;&gt;"Trench")),CONCATENATE("Rainshadow ",'Map 4'!C38),'Map 4'!C38)</f>
        <v>Trench</v>
      </c>
      <c r="D38" s="3" t="str">
        <f ca="1">IF(OR(AND($AV38="⤵",'Map 4'!D39="Mountain",'Map 4'!D38&lt;&gt;"Mountain",'Map 4'!D38&lt;&gt;"Ocean",'Map 4'!D38&lt;&gt;"Trench"),AND($AV38="⤴",'Map 4'!D37="Mountain",'Map 4'!D38&lt;&gt;"Mountain",'Map 4'!D38&lt;&gt;"Ocean",'Map 4'!D38&lt;&gt;"Trench")),CONCATENATE("Rainshadow ",'Map 4'!D38),'Map 4'!D38)</f>
        <v>Coast</v>
      </c>
      <c r="E38" s="3" t="str">
        <f ca="1">IF(OR(AND($AV38="⤵",'Map 4'!E39="Mountain",'Map 4'!E38&lt;&gt;"Mountain",'Map 4'!E38&lt;&gt;"Ocean",'Map 4'!E38&lt;&gt;"Trench"),AND($AV38="⤴",'Map 4'!E37="Mountain",'Map 4'!E38&lt;&gt;"Mountain",'Map 4'!E38&lt;&gt;"Ocean",'Map 4'!E38&lt;&gt;"Trench")),CONCATENATE("Rainshadow ",'Map 4'!E38),'Map 4'!E38)</f>
        <v>Flatland</v>
      </c>
      <c r="F38" s="3" t="str">
        <f ca="1">IF(OR(AND($AV38="⤵",'Map 4'!F39="Mountain",'Map 4'!F38&lt;&gt;"Mountain",'Map 4'!F38&lt;&gt;"Ocean",'Map 4'!F38&lt;&gt;"Trench"),AND($AV38="⤴",'Map 4'!F37="Mountain",'Map 4'!F38&lt;&gt;"Mountain",'Map 4'!F38&lt;&gt;"Ocean",'Map 4'!F38&lt;&gt;"Trench")),CONCATENATE("Rainshadow ",'Map 4'!F38),'Map 4'!F38)</f>
        <v>Flatland</v>
      </c>
      <c r="G38" s="3" t="str">
        <f ca="1">IF(OR(AND($AV38="⤵",'Map 4'!G39="Mountain",'Map 4'!G38&lt;&gt;"Mountain",'Map 4'!G38&lt;&gt;"Ocean",'Map 4'!G38&lt;&gt;"Trench"),AND($AV38="⤴",'Map 4'!G37="Mountain",'Map 4'!G38&lt;&gt;"Mountain",'Map 4'!G38&lt;&gt;"Ocean",'Map 4'!G38&lt;&gt;"Trench")),CONCATENATE("Rainshadow ",'Map 4'!G38),'Map 4'!G38)</f>
        <v>Flatland</v>
      </c>
      <c r="H38" s="3" t="str">
        <f ca="1">IF(OR(AND($AV38="⤵",'Map 4'!H39="Mountain",'Map 4'!H38&lt;&gt;"Mountain",'Map 4'!H38&lt;&gt;"Ocean",'Map 4'!H38&lt;&gt;"Trench"),AND($AV38="⤴",'Map 4'!H37="Mountain",'Map 4'!H38&lt;&gt;"Mountain",'Map 4'!H38&lt;&gt;"Ocean",'Map 4'!H38&lt;&gt;"Trench")),CONCATENATE("Rainshadow ",'Map 4'!H38),'Map 4'!H38)</f>
        <v>Flatland</v>
      </c>
      <c r="I38" s="3" t="str">
        <f ca="1">IF(OR(AND($AV38="⤵",'Map 4'!I39="Mountain",'Map 4'!I38&lt;&gt;"Mountain",'Map 4'!I38&lt;&gt;"Ocean",'Map 4'!I38&lt;&gt;"Trench"),AND($AV38="⤴",'Map 4'!I37="Mountain",'Map 4'!I38&lt;&gt;"Mountain",'Map 4'!I38&lt;&gt;"Ocean",'Map 4'!I38&lt;&gt;"Trench")),CONCATENATE("Rainshadow ",'Map 4'!I38),'Map 4'!I38)</f>
        <v>Flatland</v>
      </c>
      <c r="J38" s="3" t="str">
        <f ca="1">IF(OR(AND($AV38="⤵",'Map 4'!J39="Mountain",'Map 4'!J38&lt;&gt;"Mountain",'Map 4'!J38&lt;&gt;"Ocean",'Map 4'!J38&lt;&gt;"Trench"),AND($AV38="⤴",'Map 4'!J37="Mountain",'Map 4'!J38&lt;&gt;"Mountain",'Map 4'!J38&lt;&gt;"Ocean",'Map 4'!J38&lt;&gt;"Trench")),CONCATENATE("Rainshadow ",'Map 4'!J38),'Map 4'!J38)</f>
        <v>Ocean</v>
      </c>
      <c r="K38" s="3" t="str">
        <f ca="1">IF(OR(AND($AV38="⤵",'Map 4'!K39="Mountain",'Map 4'!K38&lt;&gt;"Mountain",'Map 4'!K38&lt;&gt;"Ocean",'Map 4'!K38&lt;&gt;"Trench"),AND($AV38="⤴",'Map 4'!K37="Mountain",'Map 4'!K38&lt;&gt;"Mountain",'Map 4'!K38&lt;&gt;"Ocean",'Map 4'!K38&lt;&gt;"Trench")),CONCATENATE("Rainshadow ",'Map 4'!K38),'Map 4'!K38)</f>
        <v>Ocean</v>
      </c>
      <c r="L38" s="3" t="str">
        <f ca="1">IF(OR(AND($AV38="⤵",'Map 4'!L39="Mountain",'Map 4'!L38&lt;&gt;"Mountain",'Map 4'!L38&lt;&gt;"Ocean",'Map 4'!L38&lt;&gt;"Trench"),AND($AV38="⤴",'Map 4'!L37="Mountain",'Map 4'!L38&lt;&gt;"Mountain",'Map 4'!L38&lt;&gt;"Ocean",'Map 4'!L38&lt;&gt;"Trench")),CONCATENATE("Rainshadow ",'Map 4'!L38),'Map 4'!L38)</f>
        <v>Island</v>
      </c>
      <c r="M38" s="3" t="str">
        <f ca="1">IF(OR(AND($AV38="⤵",'Map 4'!M39="Mountain",'Map 4'!M38&lt;&gt;"Mountain",'Map 4'!M38&lt;&gt;"Ocean",'Map 4'!M38&lt;&gt;"Trench"),AND($AV38="⤴",'Map 4'!M37="Mountain",'Map 4'!M38&lt;&gt;"Mountain",'Map 4'!M38&lt;&gt;"Ocean",'Map 4'!M38&lt;&gt;"Trench")),CONCATENATE("Rainshadow ",'Map 4'!M38),'Map 4'!M38)</f>
        <v>Ocean</v>
      </c>
      <c r="N38" s="3" t="str">
        <f ca="1">IF(OR(AND($AV38="⤵",'Map 4'!N39="Mountain",'Map 4'!N38&lt;&gt;"Mountain",'Map 4'!N38&lt;&gt;"Ocean",'Map 4'!N38&lt;&gt;"Trench"),AND($AV38="⤴",'Map 4'!N37="Mountain",'Map 4'!N38&lt;&gt;"Mountain",'Map 4'!N38&lt;&gt;"Ocean",'Map 4'!N38&lt;&gt;"Trench")),CONCATENATE("Rainshadow ",'Map 4'!N38),'Map 4'!N38)</f>
        <v>Ocean</v>
      </c>
      <c r="O38" s="3" t="str">
        <f ca="1">IF(OR(AND($AV38="⤵",'Map 4'!O39="Mountain",'Map 4'!O38&lt;&gt;"Mountain",'Map 4'!O38&lt;&gt;"Ocean",'Map 4'!O38&lt;&gt;"Trench"),AND($AV38="⤴",'Map 4'!O37="Mountain",'Map 4'!O38&lt;&gt;"Mountain",'Map 4'!O38&lt;&gt;"Ocean",'Map 4'!O38&lt;&gt;"Trench")),CONCATENATE("Rainshadow ",'Map 4'!O38),'Map 4'!O38)</f>
        <v>Ocean</v>
      </c>
      <c r="P38" s="3" t="str">
        <f ca="1">IF(OR(AND($AV38="⤵",'Map 4'!P39="Mountain",'Map 4'!P38&lt;&gt;"Mountain",'Map 4'!P38&lt;&gt;"Ocean",'Map 4'!P38&lt;&gt;"Trench"),AND($AV38="⤴",'Map 4'!P37="Mountain",'Map 4'!P38&lt;&gt;"Mountain",'Map 4'!P38&lt;&gt;"Ocean",'Map 4'!P38&lt;&gt;"Trench")),CONCATENATE("Rainshadow ",'Map 4'!P38),'Map 4'!P38)</f>
        <v>Ocean</v>
      </c>
      <c r="Q38" s="3" t="str">
        <f ca="1">IF(OR(AND($AV38="⤵",'Map 4'!Q39="Mountain",'Map 4'!Q38&lt;&gt;"Mountain",'Map 4'!Q38&lt;&gt;"Ocean",'Map 4'!Q38&lt;&gt;"Trench"),AND($AV38="⤴",'Map 4'!Q37="Mountain",'Map 4'!Q38&lt;&gt;"Mountain",'Map 4'!Q38&lt;&gt;"Ocean",'Map 4'!Q38&lt;&gt;"Trench")),CONCATENATE("Rainshadow ",'Map 4'!Q38),'Map 4'!Q38)</f>
        <v>Ocean</v>
      </c>
      <c r="R38" s="3" t="str">
        <f ca="1">IF(OR(AND($AV38="⤵",'Map 4'!R39="Mountain",'Map 4'!R38&lt;&gt;"Mountain",'Map 4'!R38&lt;&gt;"Ocean",'Map 4'!R38&lt;&gt;"Trench"),AND($AV38="⤴",'Map 4'!R37="Mountain",'Map 4'!R38&lt;&gt;"Mountain",'Map 4'!R38&lt;&gt;"Ocean",'Map 4'!R38&lt;&gt;"Trench")),CONCATENATE("Rainshadow ",'Map 4'!R38),'Map 4'!R38)</f>
        <v>Ocean</v>
      </c>
      <c r="S38" s="3" t="str">
        <f ca="1">IF(OR(AND($AV38="⤵",'Map 4'!S39="Mountain",'Map 4'!S38&lt;&gt;"Mountain",'Map 4'!S38&lt;&gt;"Ocean",'Map 4'!S38&lt;&gt;"Trench"),AND($AV38="⤴",'Map 4'!S37="Mountain",'Map 4'!S38&lt;&gt;"Mountain",'Map 4'!S38&lt;&gt;"Ocean",'Map 4'!S38&lt;&gt;"Trench")),CONCATENATE("Rainshadow ",'Map 4'!S38),'Map 4'!S38)</f>
        <v>Ocean</v>
      </c>
      <c r="T38" s="3" t="str">
        <f ca="1">IF(OR(AND($AV38="⤵",'Map 4'!T39="Mountain",'Map 4'!T38&lt;&gt;"Mountain",'Map 4'!T38&lt;&gt;"Ocean",'Map 4'!T38&lt;&gt;"Trench"),AND($AV38="⤴",'Map 4'!T37="Mountain",'Map 4'!T38&lt;&gt;"Mountain",'Map 4'!T38&lt;&gt;"Ocean",'Map 4'!T38&lt;&gt;"Trench")),CONCATENATE("Rainshadow ",'Map 4'!T38),'Map 4'!T38)</f>
        <v>Ocean</v>
      </c>
      <c r="U38" s="3" t="str">
        <f ca="1">IF(OR(AND($AV38="⤵",'Map 4'!U39="Mountain",'Map 4'!U38&lt;&gt;"Mountain",'Map 4'!U38&lt;&gt;"Ocean",'Map 4'!U38&lt;&gt;"Trench"),AND($AV38="⤴",'Map 4'!U37="Mountain",'Map 4'!U38&lt;&gt;"Mountain",'Map 4'!U38&lt;&gt;"Ocean",'Map 4'!U38&lt;&gt;"Trench")),CONCATENATE("Rainshadow ",'Map 4'!U38),'Map 4'!U38)</f>
        <v>Ocean</v>
      </c>
      <c r="V38" s="3" t="str">
        <f ca="1">IF(OR(AND($AV38="⤵",'Map 4'!V39="Mountain",'Map 4'!V38&lt;&gt;"Mountain",'Map 4'!V38&lt;&gt;"Ocean",'Map 4'!V38&lt;&gt;"Trench"),AND($AV38="⤴",'Map 4'!V37="Mountain",'Map 4'!V38&lt;&gt;"Mountain",'Map 4'!V38&lt;&gt;"Ocean",'Map 4'!V38&lt;&gt;"Trench")),CONCATENATE("Rainshadow ",'Map 4'!V38),'Map 4'!V38)</f>
        <v>Ocean</v>
      </c>
      <c r="W38" s="3" t="str">
        <f ca="1">IF(OR(AND($AV38="⤵",'Map 4'!W39="Mountain",'Map 4'!W38&lt;&gt;"Mountain",'Map 4'!W38&lt;&gt;"Ocean",'Map 4'!W38&lt;&gt;"Trench"),AND($AV38="⤴",'Map 4'!W37="Mountain",'Map 4'!W38&lt;&gt;"Mountain",'Map 4'!W38&lt;&gt;"Ocean",'Map 4'!W38&lt;&gt;"Trench")),CONCATENATE("Rainshadow ",'Map 4'!W38),'Map 4'!W38)</f>
        <v>Ocean</v>
      </c>
      <c r="X38" s="3" t="str">
        <f ca="1">IF(OR(AND($AV38="⤵",'Map 4'!X39="Mountain",'Map 4'!X38&lt;&gt;"Mountain",'Map 4'!X38&lt;&gt;"Ocean",'Map 4'!X38&lt;&gt;"Trench"),AND($AV38="⤴",'Map 4'!X37="Mountain",'Map 4'!X38&lt;&gt;"Mountain",'Map 4'!X38&lt;&gt;"Ocean",'Map 4'!X38&lt;&gt;"Trench")),CONCATENATE("Rainshadow ",'Map 4'!X38),'Map 4'!X38)</f>
        <v>Ocean</v>
      </c>
      <c r="Y38" s="3" t="str">
        <f ca="1">IF(OR(AND($AV38="⤵",'Map 4'!Y39="Mountain",'Map 4'!Y38&lt;&gt;"Mountain",'Map 4'!Y38&lt;&gt;"Ocean",'Map 4'!Y38&lt;&gt;"Trench"),AND($AV38="⤴",'Map 4'!Y37="Mountain",'Map 4'!Y38&lt;&gt;"Mountain",'Map 4'!Y38&lt;&gt;"Ocean",'Map 4'!Y38&lt;&gt;"Trench")),CONCATENATE("Rainshadow ",'Map 4'!Y38),'Map 4'!Y38)</f>
        <v>Ocean</v>
      </c>
      <c r="Z38" s="3" t="str">
        <f ca="1">IF(OR(AND($AV38="⤵",'Map 4'!Z39="Mountain",'Map 4'!Z38&lt;&gt;"Mountain",'Map 4'!Z38&lt;&gt;"Ocean",'Map 4'!Z38&lt;&gt;"Trench"),AND($AV38="⤴",'Map 4'!Z37="Mountain",'Map 4'!Z38&lt;&gt;"Mountain",'Map 4'!Z38&lt;&gt;"Ocean",'Map 4'!Z38&lt;&gt;"Trench")),CONCATENATE("Rainshadow ",'Map 4'!Z38),'Map 4'!Z38)</f>
        <v>Ocean</v>
      </c>
      <c r="AA38" s="3" t="str">
        <f ca="1">IF(OR(AND($AV38="⤵",'Map 4'!AA39="Mountain",'Map 4'!AA38&lt;&gt;"Mountain",'Map 4'!AA38&lt;&gt;"Ocean",'Map 4'!AA38&lt;&gt;"Trench"),AND($AV38="⤴",'Map 4'!AA37="Mountain",'Map 4'!AA38&lt;&gt;"Mountain",'Map 4'!AA38&lt;&gt;"Ocean",'Map 4'!AA38&lt;&gt;"Trench")),CONCATENATE("Rainshadow ",'Map 4'!AA38),'Map 4'!AA38)</f>
        <v>Ocean</v>
      </c>
      <c r="AB38" s="3" t="str">
        <f ca="1">IF(OR(AND($AV38="⤵",'Map 4'!AB39="Mountain",'Map 4'!AB38&lt;&gt;"Mountain",'Map 4'!AB38&lt;&gt;"Ocean",'Map 4'!AB38&lt;&gt;"Trench"),AND($AV38="⤴",'Map 4'!AB37="Mountain",'Map 4'!AB38&lt;&gt;"Mountain",'Map 4'!AB38&lt;&gt;"Ocean",'Map 4'!AB38&lt;&gt;"Trench")),CONCATENATE("Rainshadow ",'Map 4'!AB38),'Map 4'!AB38)</f>
        <v>Ocean</v>
      </c>
      <c r="AC38" s="3" t="str">
        <f ca="1">IF(OR(AND($AV38="⤵",'Map 4'!AC39="Mountain",'Map 4'!AC38&lt;&gt;"Mountain",'Map 4'!AC38&lt;&gt;"Ocean",'Map 4'!AC38&lt;&gt;"Trench"),AND($AV38="⤴",'Map 4'!AC37="Mountain",'Map 4'!AC38&lt;&gt;"Mountain",'Map 4'!AC38&lt;&gt;"Ocean",'Map 4'!AC38&lt;&gt;"Trench")),CONCATENATE("Rainshadow ",'Map 4'!AC38),'Map 4'!AC38)</f>
        <v>Ocean</v>
      </c>
      <c r="AD38" s="3" t="str">
        <f ca="1">IF(OR(AND($AV38="⤵",'Map 4'!AD39="Mountain",'Map 4'!AD38&lt;&gt;"Mountain",'Map 4'!AD38&lt;&gt;"Ocean",'Map 4'!AD38&lt;&gt;"Trench"),AND($AV38="⤴",'Map 4'!AD37="Mountain",'Map 4'!AD38&lt;&gt;"Mountain",'Map 4'!AD38&lt;&gt;"Ocean",'Map 4'!AD38&lt;&gt;"Trench")),CONCATENATE("Rainshadow ",'Map 4'!AD38),'Map 4'!AD38)</f>
        <v>Ocean</v>
      </c>
      <c r="AE38" s="3" t="str">
        <f ca="1">IF(OR(AND($AV38="⤵",'Map 4'!AE39="Mountain",'Map 4'!AE38&lt;&gt;"Mountain",'Map 4'!AE38&lt;&gt;"Ocean",'Map 4'!AE38&lt;&gt;"Trench"),AND($AV38="⤴",'Map 4'!AE37="Mountain",'Map 4'!AE38&lt;&gt;"Mountain",'Map 4'!AE38&lt;&gt;"Ocean",'Map 4'!AE38&lt;&gt;"Trench")),CONCATENATE("Rainshadow ",'Map 4'!AE38),'Map 4'!AE38)</f>
        <v>Trench</v>
      </c>
      <c r="AF38" s="3" t="str">
        <f ca="1">IF(OR(AND($AV38="⤵",'Map 4'!AF39="Mountain",'Map 4'!AF38&lt;&gt;"Mountain",'Map 4'!AF38&lt;&gt;"Ocean",'Map 4'!AF38&lt;&gt;"Trench"),AND($AV38="⤴",'Map 4'!AF37="Mountain",'Map 4'!AF38&lt;&gt;"Mountain",'Map 4'!AF38&lt;&gt;"Ocean",'Map 4'!AF38&lt;&gt;"Trench")),CONCATENATE("Rainshadow ",'Map 4'!AF38),'Map 4'!AF38)</f>
        <v>Ocean</v>
      </c>
      <c r="AG38" s="3" t="str">
        <f ca="1">IF(OR(AND($AV38="⤵",'Map 4'!AG39="Mountain",'Map 4'!AG38&lt;&gt;"Mountain",'Map 4'!AG38&lt;&gt;"Ocean",'Map 4'!AG38&lt;&gt;"Trench"),AND($AV38="⤴",'Map 4'!AG37="Mountain",'Map 4'!AG38&lt;&gt;"Mountain",'Map 4'!AG38&lt;&gt;"Ocean",'Map 4'!AG38&lt;&gt;"Trench")),CONCATENATE("Rainshadow ",'Map 4'!AG38),'Map 4'!AG38)</f>
        <v>Island</v>
      </c>
      <c r="AH38" s="3" t="str">
        <f ca="1">IF(OR(AND($AV38="⤵",'Map 4'!AH39="Mountain",'Map 4'!AH38&lt;&gt;"Mountain",'Map 4'!AH38&lt;&gt;"Ocean",'Map 4'!AH38&lt;&gt;"Trench"),AND($AV38="⤴",'Map 4'!AH37="Mountain",'Map 4'!AH38&lt;&gt;"Mountain",'Map 4'!AH38&lt;&gt;"Ocean",'Map 4'!AH38&lt;&gt;"Trench")),CONCATENATE("Rainshadow ",'Map 4'!AH38),'Map 4'!AH38)</f>
        <v>Ocean</v>
      </c>
      <c r="AI38" s="3" t="str">
        <f ca="1">IF(OR(AND($AV38="⤵",'Map 4'!AI39="Mountain",'Map 4'!AI38&lt;&gt;"Mountain",'Map 4'!AI38&lt;&gt;"Ocean",'Map 4'!AI38&lt;&gt;"Trench"),AND($AV38="⤴",'Map 4'!AI37="Mountain",'Map 4'!AI38&lt;&gt;"Mountain",'Map 4'!AI38&lt;&gt;"Ocean",'Map 4'!AI38&lt;&gt;"Trench")),CONCATENATE("Rainshadow ",'Map 4'!AI38),'Map 4'!AI38)</f>
        <v>Ocean</v>
      </c>
      <c r="AJ38" s="3" t="str">
        <f ca="1">IF(OR(AND($AV38="⤵",'Map 4'!AJ39="Mountain",'Map 4'!AJ38&lt;&gt;"Mountain",'Map 4'!AJ38&lt;&gt;"Ocean",'Map 4'!AJ38&lt;&gt;"Trench"),AND($AV38="⤴",'Map 4'!AJ37="Mountain",'Map 4'!AJ38&lt;&gt;"Mountain",'Map 4'!AJ38&lt;&gt;"Ocean",'Map 4'!AJ38&lt;&gt;"Trench")),CONCATENATE("Rainshadow ",'Map 4'!AJ38),'Map 4'!AJ38)</f>
        <v>Ocean</v>
      </c>
      <c r="AK38" s="3" t="str">
        <f ca="1">IF(OR(AND($AV38="⤵",'Map 4'!AK39="Mountain",'Map 4'!AK38&lt;&gt;"Mountain",'Map 4'!AK38&lt;&gt;"Ocean",'Map 4'!AK38&lt;&gt;"Trench"),AND($AV38="⤴",'Map 4'!AK37="Mountain",'Map 4'!AK38&lt;&gt;"Mountain",'Map 4'!AK38&lt;&gt;"Ocean",'Map 4'!AK38&lt;&gt;"Trench")),CONCATENATE("Rainshadow ",'Map 4'!AK38),'Map 4'!AK38)</f>
        <v>Trench</v>
      </c>
      <c r="AL38" s="3" t="str">
        <f ca="1">IF(OR(AND($AV38="⤵",'Map 4'!AL39="Mountain",'Map 4'!AL38&lt;&gt;"Mountain",'Map 4'!AL38&lt;&gt;"Ocean",'Map 4'!AL38&lt;&gt;"Trench"),AND($AV38="⤴",'Map 4'!AL37="Mountain",'Map 4'!AL38&lt;&gt;"Mountain",'Map 4'!AL38&lt;&gt;"Ocean",'Map 4'!AL38&lt;&gt;"Trench")),CONCATENATE("Rainshadow ",'Map 4'!AL38),'Map 4'!AL38)</f>
        <v>Ocean</v>
      </c>
      <c r="AM38" s="3" t="str">
        <f ca="1">IF(OR(AND($AV38="⤵",'Map 4'!AM39="Mountain",'Map 4'!AM38&lt;&gt;"Mountain",'Map 4'!AM38&lt;&gt;"Ocean",'Map 4'!AM38&lt;&gt;"Trench"),AND($AV38="⤴",'Map 4'!AM37="Mountain",'Map 4'!AM38&lt;&gt;"Mountain",'Map 4'!AM38&lt;&gt;"Ocean",'Map 4'!AM38&lt;&gt;"Trench")),CONCATENATE("Rainshadow ",'Map 4'!AM38),'Map 4'!AM38)</f>
        <v>Ocean</v>
      </c>
      <c r="AN38" s="3" t="str">
        <f ca="1">IF(OR(AND($AV38="⤵",'Map 4'!AN39="Mountain",'Map 4'!AN38&lt;&gt;"Mountain",'Map 4'!AN38&lt;&gt;"Ocean",'Map 4'!AN38&lt;&gt;"Trench"),AND($AV38="⤴",'Map 4'!AN37="Mountain",'Map 4'!AN38&lt;&gt;"Mountain",'Map 4'!AN38&lt;&gt;"Ocean",'Map 4'!AN38&lt;&gt;"Trench")),CONCATENATE("Rainshadow ",'Map 4'!AN38),'Map 4'!AN38)</f>
        <v>Ocean</v>
      </c>
      <c r="AO38" s="3" t="str">
        <f ca="1">IF(OR(AND($AV38="⤵",'Map 4'!AO39="Mountain",'Map 4'!AO38&lt;&gt;"Mountain",'Map 4'!AO38&lt;&gt;"Ocean",'Map 4'!AO38&lt;&gt;"Trench"),AND($AV38="⤴",'Map 4'!AO37="Mountain",'Map 4'!AO38&lt;&gt;"Mountain",'Map 4'!AO38&lt;&gt;"Ocean",'Map 4'!AO38&lt;&gt;"Trench")),CONCATENATE("Rainshadow ",'Map 4'!AO38),'Map 4'!AO38)</f>
        <v>Ocean</v>
      </c>
      <c r="AP38" s="3">
        <f t="shared" si="1"/>
        <v>35.299999999999997</v>
      </c>
      <c r="AQ38" s="3">
        <f t="shared" si="2"/>
        <v>95.54</v>
      </c>
      <c r="AR38" s="3"/>
      <c r="AS38" s="3">
        <f t="shared" si="5"/>
        <v>308.4500000000001</v>
      </c>
      <c r="AT38" s="41">
        <v>-40.5</v>
      </c>
      <c r="AU38" s="41" t="str">
        <f>AU21</f>
        <v>Desert</v>
      </c>
      <c r="AV38" s="41" t="str" cm="1">
        <f t="array" ref="AV38">_xlfn.IFS(AT38&lt;-90,"⤴",AND(AT38&gt;=-90,AT38&lt;-60),"⤴",AND(AT38&gt;=-60,AT38&lt;-30),"⤵",AND(AT38&gt;=-30,AT38&lt;0),"⤴",AND(AT38&gt;=0,AT38&lt;30),"⤵",AND(AT38&gt;=30,AT38&lt;60),"⤴",AT38&gt;=60,"⤵")</f>
        <v>⤵</v>
      </c>
      <c r="AW38" s="41">
        <f>AW21</f>
        <v>0.29999999999999993</v>
      </c>
    </row>
    <row r="39" spans="1:49" ht="15" customHeight="1">
      <c r="A39" s="3">
        <v>30</v>
      </c>
      <c r="B39" s="3" t="str">
        <f ca="1">IF(OR(AND($AV39="⤵",'Map 4'!B40="Mountain",'Map 4'!B39&lt;&gt;"Mountain",'Map 4'!B39&lt;&gt;"Ocean",'Map 4'!B39&lt;&gt;"Trench"),AND($AV39="⤴",'Map 4'!B38="Mountain",'Map 4'!B39&lt;&gt;"Mountain",'Map 4'!B39&lt;&gt;"Ocean",'Map 4'!B39&lt;&gt;"Trench")),CONCATENATE("Rainshadow ",'Map 4'!B39),'Map 4'!B39)</f>
        <v>Ocean</v>
      </c>
      <c r="C39" s="3" t="str">
        <f ca="1">IF(OR(AND($AV39="⤵",'Map 4'!C40="Mountain",'Map 4'!C39&lt;&gt;"Mountain",'Map 4'!C39&lt;&gt;"Ocean",'Map 4'!C39&lt;&gt;"Trench"),AND($AV39="⤴",'Map 4'!C38="Mountain",'Map 4'!C39&lt;&gt;"Mountain",'Map 4'!C39&lt;&gt;"Ocean",'Map 4'!C39&lt;&gt;"Trench")),CONCATENATE("Rainshadow ",'Map 4'!C39),'Map 4'!C39)</f>
        <v>Drop Off</v>
      </c>
      <c r="D39" s="3" t="str">
        <f ca="1">IF(OR(AND($AV39="⤵",'Map 4'!D40="Mountain",'Map 4'!D39&lt;&gt;"Mountain",'Map 4'!D39&lt;&gt;"Ocean",'Map 4'!D39&lt;&gt;"Trench"),AND($AV39="⤴",'Map 4'!D38="Mountain",'Map 4'!D39&lt;&gt;"Mountain",'Map 4'!D39&lt;&gt;"Ocean",'Map 4'!D39&lt;&gt;"Trench")),CONCATENATE("Rainshadow ",'Map 4'!D39),'Map 4'!D39)</f>
        <v>Valley</v>
      </c>
      <c r="E39" s="3" t="str">
        <f ca="1">IF(OR(AND($AV39="⤵",'Map 4'!E40="Mountain",'Map 4'!E39&lt;&gt;"Mountain",'Map 4'!E39&lt;&gt;"Ocean",'Map 4'!E39&lt;&gt;"Trench"),AND($AV39="⤴",'Map 4'!E38="Mountain",'Map 4'!E39&lt;&gt;"Mountain",'Map 4'!E39&lt;&gt;"Ocean",'Map 4'!E39&lt;&gt;"Trench")),CONCATENATE("Rainshadow ",'Map 4'!E39),'Map 4'!E39)</f>
        <v>Flatland</v>
      </c>
      <c r="F39" s="3" t="str">
        <f ca="1">IF(OR(AND($AV39="⤵",'Map 4'!F40="Mountain",'Map 4'!F39&lt;&gt;"Mountain",'Map 4'!F39&lt;&gt;"Ocean",'Map 4'!F39&lt;&gt;"Trench"),AND($AV39="⤴",'Map 4'!F38="Mountain",'Map 4'!F39&lt;&gt;"Mountain",'Map 4'!F39&lt;&gt;"Ocean",'Map 4'!F39&lt;&gt;"Trench")),CONCATENATE("Rainshadow ",'Map 4'!F39),'Map 4'!F39)</f>
        <v>Valley</v>
      </c>
      <c r="G39" s="3" t="str">
        <f ca="1">IF(OR(AND($AV39="⤵",'Map 4'!G40="Mountain",'Map 4'!G39&lt;&gt;"Mountain",'Map 4'!G39&lt;&gt;"Ocean",'Map 4'!G39&lt;&gt;"Trench"),AND($AV39="⤴",'Map 4'!G38="Mountain",'Map 4'!G39&lt;&gt;"Mountain",'Map 4'!G39&lt;&gt;"Ocean",'Map 4'!G39&lt;&gt;"Trench")),CONCATENATE("Rainshadow ",'Map 4'!G39),'Map 4'!G39)</f>
        <v>Flatland</v>
      </c>
      <c r="H39" s="3" t="str">
        <f ca="1">IF(OR(AND($AV39="⤵",'Map 4'!H40="Mountain",'Map 4'!H39&lt;&gt;"Mountain",'Map 4'!H39&lt;&gt;"Ocean",'Map 4'!H39&lt;&gt;"Trench"),AND($AV39="⤴",'Map 4'!H38="Mountain",'Map 4'!H39&lt;&gt;"Mountain",'Map 4'!H39&lt;&gt;"Ocean",'Map 4'!H39&lt;&gt;"Trench")),CONCATENATE("Rainshadow ",'Map 4'!H39),'Map 4'!H39)</f>
        <v>Flatland</v>
      </c>
      <c r="I39" s="3" t="str">
        <f ca="1">IF(OR(AND($AV39="⤵",'Map 4'!I40="Mountain",'Map 4'!I39&lt;&gt;"Mountain",'Map 4'!I39&lt;&gt;"Ocean",'Map 4'!I39&lt;&gt;"Trench"),AND($AV39="⤴",'Map 4'!I38="Mountain",'Map 4'!I39&lt;&gt;"Mountain",'Map 4'!I39&lt;&gt;"Ocean",'Map 4'!I39&lt;&gt;"Trench")),CONCATENATE("Rainshadow ",'Map 4'!I39),'Map 4'!I39)</f>
        <v>Coast</v>
      </c>
      <c r="J39" s="3" t="str">
        <f ca="1">IF(OR(AND($AV39="⤵",'Map 4'!J40="Mountain",'Map 4'!J39&lt;&gt;"Mountain",'Map 4'!J39&lt;&gt;"Ocean",'Map 4'!J39&lt;&gt;"Trench"),AND($AV39="⤴",'Map 4'!J38="Mountain",'Map 4'!J39&lt;&gt;"Mountain",'Map 4'!J39&lt;&gt;"Ocean",'Map 4'!J39&lt;&gt;"Trench")),CONCATENATE("Rainshadow ",'Map 4'!J39),'Map 4'!J39)</f>
        <v>Ocean</v>
      </c>
      <c r="K39" s="3" t="str">
        <f ca="1">IF(OR(AND($AV39="⤵",'Map 4'!K40="Mountain",'Map 4'!K39&lt;&gt;"Mountain",'Map 4'!K39&lt;&gt;"Ocean",'Map 4'!K39&lt;&gt;"Trench"),AND($AV39="⤴",'Map 4'!K38="Mountain",'Map 4'!K39&lt;&gt;"Mountain",'Map 4'!K39&lt;&gt;"Ocean",'Map 4'!K39&lt;&gt;"Trench")),CONCATENATE("Rainshadow ",'Map 4'!K39),'Map 4'!K39)</f>
        <v>Ocean</v>
      </c>
      <c r="L39" s="3" t="str">
        <f ca="1">IF(OR(AND($AV39="⤵",'Map 4'!L40="Mountain",'Map 4'!L39&lt;&gt;"Mountain",'Map 4'!L39&lt;&gt;"Ocean",'Map 4'!L39&lt;&gt;"Trench"),AND($AV39="⤴",'Map 4'!L38="Mountain",'Map 4'!L39&lt;&gt;"Mountain",'Map 4'!L39&lt;&gt;"Ocean",'Map 4'!L39&lt;&gt;"Trench")),CONCATENATE("Rainshadow ",'Map 4'!L39),'Map 4'!L39)</f>
        <v>Trench</v>
      </c>
      <c r="M39" s="3" t="str">
        <f ca="1">IF(OR(AND($AV39="⤵",'Map 4'!M40="Mountain",'Map 4'!M39&lt;&gt;"Mountain",'Map 4'!M39&lt;&gt;"Ocean",'Map 4'!M39&lt;&gt;"Trench"),AND($AV39="⤴",'Map 4'!M38="Mountain",'Map 4'!M39&lt;&gt;"Mountain",'Map 4'!M39&lt;&gt;"Ocean",'Map 4'!M39&lt;&gt;"Trench")),CONCATENATE("Rainshadow ",'Map 4'!M39),'Map 4'!M39)</f>
        <v>Ocean</v>
      </c>
      <c r="N39" s="3" t="str">
        <f ca="1">IF(OR(AND($AV39="⤵",'Map 4'!N40="Mountain",'Map 4'!N39&lt;&gt;"Mountain",'Map 4'!N39&lt;&gt;"Ocean",'Map 4'!N39&lt;&gt;"Trench"),AND($AV39="⤴",'Map 4'!N38="Mountain",'Map 4'!N39&lt;&gt;"Mountain",'Map 4'!N39&lt;&gt;"Ocean",'Map 4'!N39&lt;&gt;"Trench")),CONCATENATE("Rainshadow ",'Map 4'!N39),'Map 4'!N39)</f>
        <v>Ocean</v>
      </c>
      <c r="O39" s="3" t="str">
        <f ca="1">IF(OR(AND($AV39="⤵",'Map 4'!O40="Mountain",'Map 4'!O39&lt;&gt;"Mountain",'Map 4'!O39&lt;&gt;"Ocean",'Map 4'!O39&lt;&gt;"Trench"),AND($AV39="⤴",'Map 4'!O38="Mountain",'Map 4'!O39&lt;&gt;"Mountain",'Map 4'!O39&lt;&gt;"Ocean",'Map 4'!O39&lt;&gt;"Trench")),CONCATENATE("Rainshadow ",'Map 4'!O39),'Map 4'!O39)</f>
        <v>Trench</v>
      </c>
      <c r="P39" s="3" t="str">
        <f ca="1">IF(OR(AND($AV39="⤵",'Map 4'!P40="Mountain",'Map 4'!P39&lt;&gt;"Mountain",'Map 4'!P39&lt;&gt;"Ocean",'Map 4'!P39&lt;&gt;"Trench"),AND($AV39="⤴",'Map 4'!P38="Mountain",'Map 4'!P39&lt;&gt;"Mountain",'Map 4'!P39&lt;&gt;"Ocean",'Map 4'!P39&lt;&gt;"Trench")),CONCATENATE("Rainshadow ",'Map 4'!P39),'Map 4'!P39)</f>
        <v>Trench</v>
      </c>
      <c r="Q39" s="3" t="str">
        <f ca="1">IF(OR(AND($AV39="⤵",'Map 4'!Q40="Mountain",'Map 4'!Q39&lt;&gt;"Mountain",'Map 4'!Q39&lt;&gt;"Ocean",'Map 4'!Q39&lt;&gt;"Trench"),AND($AV39="⤴",'Map 4'!Q38="Mountain",'Map 4'!Q39&lt;&gt;"Mountain",'Map 4'!Q39&lt;&gt;"Ocean",'Map 4'!Q39&lt;&gt;"Trench")),CONCATENATE("Rainshadow ",'Map 4'!Q39),'Map 4'!Q39)</f>
        <v>Trench</v>
      </c>
      <c r="R39" s="3" t="str">
        <f ca="1">IF(OR(AND($AV39="⤵",'Map 4'!R40="Mountain",'Map 4'!R39&lt;&gt;"Mountain",'Map 4'!R39&lt;&gt;"Ocean",'Map 4'!R39&lt;&gt;"Trench"),AND($AV39="⤴",'Map 4'!R38="Mountain",'Map 4'!R39&lt;&gt;"Mountain",'Map 4'!R39&lt;&gt;"Ocean",'Map 4'!R39&lt;&gt;"Trench")),CONCATENATE("Rainshadow ",'Map 4'!R39),'Map 4'!R39)</f>
        <v>Island</v>
      </c>
      <c r="S39" s="3" t="str">
        <f ca="1">IF(OR(AND($AV39="⤵",'Map 4'!S40="Mountain",'Map 4'!S39&lt;&gt;"Mountain",'Map 4'!S39&lt;&gt;"Ocean",'Map 4'!S39&lt;&gt;"Trench"),AND($AV39="⤴",'Map 4'!S38="Mountain",'Map 4'!S39&lt;&gt;"Mountain",'Map 4'!S39&lt;&gt;"Ocean",'Map 4'!S39&lt;&gt;"Trench")),CONCATENATE("Rainshadow ",'Map 4'!S39),'Map 4'!S39)</f>
        <v>Island</v>
      </c>
      <c r="T39" s="3" t="str">
        <f ca="1">IF(OR(AND($AV39="⤵",'Map 4'!T40="Mountain",'Map 4'!T39&lt;&gt;"Mountain",'Map 4'!T39&lt;&gt;"Ocean",'Map 4'!T39&lt;&gt;"Trench"),AND($AV39="⤴",'Map 4'!T38="Mountain",'Map 4'!T39&lt;&gt;"Mountain",'Map 4'!T39&lt;&gt;"Ocean",'Map 4'!T39&lt;&gt;"Trench")),CONCATENATE("Rainshadow ",'Map 4'!T39),'Map 4'!T39)</f>
        <v>Ocean</v>
      </c>
      <c r="U39" s="3" t="str">
        <f ca="1">IF(OR(AND($AV39="⤵",'Map 4'!U40="Mountain",'Map 4'!U39&lt;&gt;"Mountain",'Map 4'!U39&lt;&gt;"Ocean",'Map 4'!U39&lt;&gt;"Trench"),AND($AV39="⤴",'Map 4'!U38="Mountain",'Map 4'!U39&lt;&gt;"Mountain",'Map 4'!U39&lt;&gt;"Ocean",'Map 4'!U39&lt;&gt;"Trench")),CONCATENATE("Rainshadow ",'Map 4'!U39),'Map 4'!U39)</f>
        <v>Trench</v>
      </c>
      <c r="V39" s="3" t="str">
        <f ca="1">IF(OR(AND($AV39="⤵",'Map 4'!V40="Mountain",'Map 4'!V39&lt;&gt;"Mountain",'Map 4'!V39&lt;&gt;"Ocean",'Map 4'!V39&lt;&gt;"Trench"),AND($AV39="⤴",'Map 4'!V38="Mountain",'Map 4'!V39&lt;&gt;"Mountain",'Map 4'!V39&lt;&gt;"Ocean",'Map 4'!V39&lt;&gt;"Trench")),CONCATENATE("Rainshadow ",'Map 4'!V39),'Map 4'!V39)</f>
        <v>Ocean</v>
      </c>
      <c r="W39" s="3" t="str">
        <f ca="1">IF(OR(AND($AV39="⤵",'Map 4'!W40="Mountain",'Map 4'!W39&lt;&gt;"Mountain",'Map 4'!W39&lt;&gt;"Ocean",'Map 4'!W39&lt;&gt;"Trench"),AND($AV39="⤴",'Map 4'!W38="Mountain",'Map 4'!W39&lt;&gt;"Mountain",'Map 4'!W39&lt;&gt;"Ocean",'Map 4'!W39&lt;&gt;"Trench")),CONCATENATE("Rainshadow ",'Map 4'!W39),'Map 4'!W39)</f>
        <v>Ocean</v>
      </c>
      <c r="X39" s="3" t="str">
        <f ca="1">IF(OR(AND($AV39="⤵",'Map 4'!X40="Mountain",'Map 4'!X39&lt;&gt;"Mountain",'Map 4'!X39&lt;&gt;"Ocean",'Map 4'!X39&lt;&gt;"Trench"),AND($AV39="⤴",'Map 4'!X38="Mountain",'Map 4'!X39&lt;&gt;"Mountain",'Map 4'!X39&lt;&gt;"Ocean",'Map 4'!X39&lt;&gt;"Trench")),CONCATENATE("Rainshadow ",'Map 4'!X39),'Map 4'!X39)</f>
        <v>Ocean</v>
      </c>
      <c r="Y39" s="3" t="str">
        <f ca="1">IF(OR(AND($AV39="⤵",'Map 4'!Y40="Mountain",'Map 4'!Y39&lt;&gt;"Mountain",'Map 4'!Y39&lt;&gt;"Ocean",'Map 4'!Y39&lt;&gt;"Trench"),AND($AV39="⤴",'Map 4'!Y38="Mountain",'Map 4'!Y39&lt;&gt;"Mountain",'Map 4'!Y39&lt;&gt;"Ocean",'Map 4'!Y39&lt;&gt;"Trench")),CONCATENATE("Rainshadow ",'Map 4'!Y39),'Map 4'!Y39)</f>
        <v>Ocean</v>
      </c>
      <c r="Z39" s="3" t="str">
        <f ca="1">IF(OR(AND($AV39="⤵",'Map 4'!Z40="Mountain",'Map 4'!Z39&lt;&gt;"Mountain",'Map 4'!Z39&lt;&gt;"Ocean",'Map 4'!Z39&lt;&gt;"Trench"),AND($AV39="⤴",'Map 4'!Z38="Mountain",'Map 4'!Z39&lt;&gt;"Mountain",'Map 4'!Z39&lt;&gt;"Ocean",'Map 4'!Z39&lt;&gt;"Trench")),CONCATENATE("Rainshadow ",'Map 4'!Z39),'Map 4'!Z39)</f>
        <v>Ocean</v>
      </c>
      <c r="AA39" s="3" t="str">
        <f ca="1">IF(OR(AND($AV39="⤵",'Map 4'!AA40="Mountain",'Map 4'!AA39&lt;&gt;"Mountain",'Map 4'!AA39&lt;&gt;"Ocean",'Map 4'!AA39&lt;&gt;"Trench"),AND($AV39="⤴",'Map 4'!AA38="Mountain",'Map 4'!AA39&lt;&gt;"Mountain",'Map 4'!AA39&lt;&gt;"Ocean",'Map 4'!AA39&lt;&gt;"Trench")),CONCATENATE("Rainshadow ",'Map 4'!AA39),'Map 4'!AA39)</f>
        <v>Ocean</v>
      </c>
      <c r="AB39" s="3" t="str">
        <f ca="1">IF(OR(AND($AV39="⤵",'Map 4'!AB40="Mountain",'Map 4'!AB39&lt;&gt;"Mountain",'Map 4'!AB39&lt;&gt;"Ocean",'Map 4'!AB39&lt;&gt;"Trench"),AND($AV39="⤴",'Map 4'!AB38="Mountain",'Map 4'!AB39&lt;&gt;"Mountain",'Map 4'!AB39&lt;&gt;"Ocean",'Map 4'!AB39&lt;&gt;"Trench")),CONCATENATE("Rainshadow ",'Map 4'!AB39),'Map 4'!AB39)</f>
        <v>Island</v>
      </c>
      <c r="AC39" s="3" t="str">
        <f ca="1">IF(OR(AND($AV39="⤵",'Map 4'!AC40="Mountain",'Map 4'!AC39&lt;&gt;"Mountain",'Map 4'!AC39&lt;&gt;"Ocean",'Map 4'!AC39&lt;&gt;"Trench"),AND($AV39="⤴",'Map 4'!AC38="Mountain",'Map 4'!AC39&lt;&gt;"Mountain",'Map 4'!AC39&lt;&gt;"Ocean",'Map 4'!AC39&lt;&gt;"Trench")),CONCATENATE("Rainshadow ",'Map 4'!AC39),'Map 4'!AC39)</f>
        <v>Ocean</v>
      </c>
      <c r="AD39" s="3" t="str">
        <f ca="1">IF(OR(AND($AV39="⤵",'Map 4'!AD40="Mountain",'Map 4'!AD39&lt;&gt;"Mountain",'Map 4'!AD39&lt;&gt;"Ocean",'Map 4'!AD39&lt;&gt;"Trench"),AND($AV39="⤴",'Map 4'!AD38="Mountain",'Map 4'!AD39&lt;&gt;"Mountain",'Map 4'!AD39&lt;&gt;"Ocean",'Map 4'!AD39&lt;&gt;"Trench")),CONCATENATE("Rainshadow ",'Map 4'!AD39),'Map 4'!AD39)</f>
        <v>Trench</v>
      </c>
      <c r="AE39" s="3" t="str">
        <f ca="1">IF(OR(AND($AV39="⤵",'Map 4'!AE40="Mountain",'Map 4'!AE39&lt;&gt;"Mountain",'Map 4'!AE39&lt;&gt;"Ocean",'Map 4'!AE39&lt;&gt;"Trench"),AND($AV39="⤴",'Map 4'!AE38="Mountain",'Map 4'!AE39&lt;&gt;"Mountain",'Map 4'!AE39&lt;&gt;"Ocean",'Map 4'!AE39&lt;&gt;"Trench")),CONCATENATE("Rainshadow ",'Map 4'!AE39),'Map 4'!AE39)</f>
        <v>Island</v>
      </c>
      <c r="AF39" s="3" t="str">
        <f ca="1">IF(OR(AND($AV39="⤵",'Map 4'!AF40="Mountain",'Map 4'!AF39&lt;&gt;"Mountain",'Map 4'!AF39&lt;&gt;"Ocean",'Map 4'!AF39&lt;&gt;"Trench"),AND($AV39="⤴",'Map 4'!AF38="Mountain",'Map 4'!AF39&lt;&gt;"Mountain",'Map 4'!AF39&lt;&gt;"Ocean",'Map 4'!AF39&lt;&gt;"Trench")),CONCATENATE("Rainshadow ",'Map 4'!AF39),'Map 4'!AF39)</f>
        <v>Ocean</v>
      </c>
      <c r="AG39" s="3" t="str">
        <f ca="1">IF(OR(AND($AV39="⤵",'Map 4'!AG40="Mountain",'Map 4'!AG39&lt;&gt;"Mountain",'Map 4'!AG39&lt;&gt;"Ocean",'Map 4'!AG39&lt;&gt;"Trench"),AND($AV39="⤴",'Map 4'!AG38="Mountain",'Map 4'!AG39&lt;&gt;"Mountain",'Map 4'!AG39&lt;&gt;"Ocean",'Map 4'!AG39&lt;&gt;"Trench")),CONCATENATE("Rainshadow ",'Map 4'!AG39),'Map 4'!AG39)</f>
        <v>Ocean</v>
      </c>
      <c r="AH39" s="3" t="str">
        <f ca="1">IF(OR(AND($AV39="⤵",'Map 4'!AH40="Mountain",'Map 4'!AH39&lt;&gt;"Mountain",'Map 4'!AH39&lt;&gt;"Ocean",'Map 4'!AH39&lt;&gt;"Trench"),AND($AV39="⤴",'Map 4'!AH38="Mountain",'Map 4'!AH39&lt;&gt;"Mountain",'Map 4'!AH39&lt;&gt;"Ocean",'Map 4'!AH39&lt;&gt;"Trench")),CONCATENATE("Rainshadow ",'Map 4'!AH39),'Map 4'!AH39)</f>
        <v>Ocean</v>
      </c>
      <c r="AI39" s="3" t="str">
        <f ca="1">IF(OR(AND($AV39="⤵",'Map 4'!AI40="Mountain",'Map 4'!AI39&lt;&gt;"Mountain",'Map 4'!AI39&lt;&gt;"Ocean",'Map 4'!AI39&lt;&gt;"Trench"),AND($AV39="⤴",'Map 4'!AI38="Mountain",'Map 4'!AI39&lt;&gt;"Mountain",'Map 4'!AI39&lt;&gt;"Ocean",'Map 4'!AI39&lt;&gt;"Trench")),CONCATENATE("Rainshadow ",'Map 4'!AI39),'Map 4'!AI39)</f>
        <v>Island</v>
      </c>
      <c r="AJ39" s="3" t="str">
        <f ca="1">IF(OR(AND($AV39="⤵",'Map 4'!AJ40="Mountain",'Map 4'!AJ39&lt;&gt;"Mountain",'Map 4'!AJ39&lt;&gt;"Ocean",'Map 4'!AJ39&lt;&gt;"Trench"),AND($AV39="⤴",'Map 4'!AJ38="Mountain",'Map 4'!AJ39&lt;&gt;"Mountain",'Map 4'!AJ39&lt;&gt;"Ocean",'Map 4'!AJ39&lt;&gt;"Trench")),CONCATENATE("Rainshadow ",'Map 4'!AJ39),'Map 4'!AJ39)</f>
        <v>Ocean</v>
      </c>
      <c r="AK39" s="3" t="str">
        <f ca="1">IF(OR(AND($AV39="⤵",'Map 4'!AK40="Mountain",'Map 4'!AK39&lt;&gt;"Mountain",'Map 4'!AK39&lt;&gt;"Ocean",'Map 4'!AK39&lt;&gt;"Trench"),AND($AV39="⤴",'Map 4'!AK38="Mountain",'Map 4'!AK39&lt;&gt;"Mountain",'Map 4'!AK39&lt;&gt;"Ocean",'Map 4'!AK39&lt;&gt;"Trench")),CONCATENATE("Rainshadow ",'Map 4'!AK39),'Map 4'!AK39)</f>
        <v>Island</v>
      </c>
      <c r="AL39" s="3" t="str">
        <f ca="1">IF(OR(AND($AV39="⤵",'Map 4'!AL40="Mountain",'Map 4'!AL39&lt;&gt;"Mountain",'Map 4'!AL39&lt;&gt;"Ocean",'Map 4'!AL39&lt;&gt;"Trench"),AND($AV39="⤴",'Map 4'!AL38="Mountain",'Map 4'!AL39&lt;&gt;"Mountain",'Map 4'!AL39&lt;&gt;"Ocean",'Map 4'!AL39&lt;&gt;"Trench")),CONCATENATE("Rainshadow ",'Map 4'!AL39),'Map 4'!AL39)</f>
        <v>Trench</v>
      </c>
      <c r="AM39" s="3" t="str">
        <f ca="1">IF(OR(AND($AV39="⤵",'Map 4'!AM40="Mountain",'Map 4'!AM39&lt;&gt;"Mountain",'Map 4'!AM39&lt;&gt;"Ocean",'Map 4'!AM39&lt;&gt;"Trench"),AND($AV39="⤴",'Map 4'!AM38="Mountain",'Map 4'!AM39&lt;&gt;"Mountain",'Map 4'!AM39&lt;&gt;"Ocean",'Map 4'!AM39&lt;&gt;"Trench")),CONCATENATE("Rainshadow ",'Map 4'!AM39),'Map 4'!AM39)</f>
        <v>Ocean</v>
      </c>
      <c r="AN39" s="3" t="str">
        <f ca="1">IF(OR(AND($AV39="⤵",'Map 4'!AN40="Mountain",'Map 4'!AN39&lt;&gt;"Mountain",'Map 4'!AN39&lt;&gt;"Ocean",'Map 4'!AN39&lt;&gt;"Trench"),AND($AV39="⤴",'Map 4'!AN38="Mountain",'Map 4'!AN39&lt;&gt;"Mountain",'Map 4'!AN39&lt;&gt;"Ocean",'Map 4'!AN39&lt;&gt;"Trench")),CONCATENATE("Rainshadow ",'Map 4'!AN39),'Map 4'!AN39)</f>
        <v>Ocean</v>
      </c>
      <c r="AO39" s="3" t="str">
        <f ca="1">IF(OR(AND($AV39="⤵",'Map 4'!AO40="Mountain",'Map 4'!AO39&lt;&gt;"Mountain",'Map 4'!AO39&lt;&gt;"Ocean",'Map 4'!AO39&lt;&gt;"Trench"),AND($AV39="⤴",'Map 4'!AO38="Mountain",'Map 4'!AO39&lt;&gt;"Mountain",'Map 4'!AO39&lt;&gt;"Ocean",'Map 4'!AO39&lt;&gt;"Trench")),CONCATENATE("Rainshadow ",'Map 4'!AO39),'Map 4'!AO39)</f>
        <v>Rainshadow Coast</v>
      </c>
      <c r="AP39" s="3">
        <f t="shared" si="1"/>
        <v>28.35</v>
      </c>
      <c r="AQ39" s="3">
        <f t="shared" si="2"/>
        <v>83.03</v>
      </c>
      <c r="AR39" s="3"/>
      <c r="AS39" s="3">
        <f t="shared" si="5"/>
        <v>301.50000000000011</v>
      </c>
      <c r="AT39" s="41">
        <v>-45</v>
      </c>
      <c r="AU39" s="41" t="str">
        <f>AU20</f>
        <v>Desert</v>
      </c>
      <c r="AV39" s="41" t="str" cm="1">
        <f t="array" ref="AV39">_xlfn.IFS(AT39&lt;-90,"⤴",AND(AT39&gt;=-90,AT39&lt;-60),"⤴",AND(AT39&gt;=-60,AT39&lt;-30),"⤵",AND(AT39&gt;=-30,AT39&lt;0),"⤴",AND(AT39&gt;=0,AT39&lt;30),"⤵",AND(AT39&gt;=30,AT39&lt;60),"⤴",AT39&gt;=60,"⤵")</f>
        <v>⤵</v>
      </c>
      <c r="AW39" s="41">
        <f>AW20</f>
        <v>0.43999999999999995</v>
      </c>
    </row>
    <row r="40" spans="1:49" ht="15" customHeight="1">
      <c r="A40" s="3">
        <v>31</v>
      </c>
      <c r="B40" s="3" t="str">
        <f ca="1">IF(OR(AND($AV40="⤵",'Map 4'!B41="Mountain",'Map 4'!B40&lt;&gt;"Mountain",'Map 4'!B40&lt;&gt;"Ocean",'Map 4'!B40&lt;&gt;"Trench"),AND($AV40="⤴",'Map 4'!B39="Mountain",'Map 4'!B40&lt;&gt;"Mountain",'Map 4'!B40&lt;&gt;"Ocean",'Map 4'!B40&lt;&gt;"Trench")),CONCATENATE("Rainshadow ",'Map 4'!B40),'Map 4'!B40)</f>
        <v>Flatland</v>
      </c>
      <c r="C40" s="3" t="str">
        <f ca="1">IF(OR(AND($AV40="⤵",'Map 4'!C41="Mountain",'Map 4'!C40&lt;&gt;"Mountain",'Map 4'!C40&lt;&gt;"Ocean",'Map 4'!C40&lt;&gt;"Trench"),AND($AV40="⤴",'Map 4'!C39="Mountain",'Map 4'!C40&lt;&gt;"Mountain",'Map 4'!C40&lt;&gt;"Ocean",'Map 4'!C40&lt;&gt;"Trench")),CONCATENATE("Rainshadow ",'Map 4'!C40),'Map 4'!C40)</f>
        <v>Flatland</v>
      </c>
      <c r="D40" s="3" t="str">
        <f ca="1">IF(OR(AND($AV40="⤵",'Map 4'!D41="Mountain",'Map 4'!D40&lt;&gt;"Mountain",'Map 4'!D40&lt;&gt;"Ocean",'Map 4'!D40&lt;&gt;"Trench"),AND($AV40="⤴",'Map 4'!D39="Mountain",'Map 4'!D40&lt;&gt;"Mountain",'Map 4'!D40&lt;&gt;"Ocean",'Map 4'!D40&lt;&gt;"Trench")),CONCATENATE("Rainshadow ",'Map 4'!D40),'Map 4'!D40)</f>
        <v>Flatland</v>
      </c>
      <c r="E40" s="3" t="str">
        <f ca="1">IF(OR(AND($AV40="⤵",'Map 4'!E41="Mountain",'Map 4'!E40&lt;&gt;"Mountain",'Map 4'!E40&lt;&gt;"Ocean",'Map 4'!E40&lt;&gt;"Trench"),AND($AV40="⤴",'Map 4'!E39="Mountain",'Map 4'!E40&lt;&gt;"Mountain",'Map 4'!E40&lt;&gt;"Ocean",'Map 4'!E40&lt;&gt;"Trench")),CONCATENATE("Rainshadow ",'Map 4'!E40),'Map 4'!E40)</f>
        <v>Valley</v>
      </c>
      <c r="F40" s="3" t="str">
        <f ca="1">IF(OR(AND($AV40="⤵",'Map 4'!F41="Mountain",'Map 4'!F40&lt;&gt;"Mountain",'Map 4'!F40&lt;&gt;"Ocean",'Map 4'!F40&lt;&gt;"Trench"),AND($AV40="⤴",'Map 4'!F39="Mountain",'Map 4'!F40&lt;&gt;"Mountain",'Map 4'!F40&lt;&gt;"Ocean",'Map 4'!F40&lt;&gt;"Trench")),CONCATENATE("Rainshadow ",'Map 4'!F40),'Map 4'!F40)</f>
        <v>Flatland</v>
      </c>
      <c r="G40" s="3" t="str">
        <f ca="1">IF(OR(AND($AV40="⤵",'Map 4'!G41="Mountain",'Map 4'!G40&lt;&gt;"Mountain",'Map 4'!G40&lt;&gt;"Ocean",'Map 4'!G40&lt;&gt;"Trench"),AND($AV40="⤴",'Map 4'!G39="Mountain",'Map 4'!G40&lt;&gt;"Mountain",'Map 4'!G40&lt;&gt;"Ocean",'Map 4'!G40&lt;&gt;"Trench")),CONCATENATE("Rainshadow ",'Map 4'!G40),'Map 4'!G40)</f>
        <v>Flatland</v>
      </c>
      <c r="H40" s="3" t="str">
        <f ca="1">IF(OR(AND($AV40="⤵",'Map 4'!H41="Mountain",'Map 4'!H40&lt;&gt;"Mountain",'Map 4'!H40&lt;&gt;"Ocean",'Map 4'!H40&lt;&gt;"Trench"),AND($AV40="⤴",'Map 4'!H39="Mountain",'Map 4'!H40&lt;&gt;"Mountain",'Map 4'!H40&lt;&gt;"Ocean",'Map 4'!H40&lt;&gt;"Trench")),CONCATENATE("Rainshadow ",'Map 4'!H40),'Map 4'!H40)</f>
        <v>Flatland</v>
      </c>
      <c r="I40" s="3" t="str">
        <f ca="1">IF(OR(AND($AV40="⤵",'Map 4'!I41="Mountain",'Map 4'!I40&lt;&gt;"Mountain",'Map 4'!I40&lt;&gt;"Ocean",'Map 4'!I40&lt;&gt;"Trench"),AND($AV40="⤴",'Map 4'!I39="Mountain",'Map 4'!I40&lt;&gt;"Mountain",'Map 4'!I40&lt;&gt;"Ocean",'Map 4'!I40&lt;&gt;"Trench")),CONCATENATE("Rainshadow ",'Map 4'!I40),'Map 4'!I40)</f>
        <v>Ocean</v>
      </c>
      <c r="J40" s="3" t="str">
        <f ca="1">IF(OR(AND($AV40="⤵",'Map 4'!J41="Mountain",'Map 4'!J40&lt;&gt;"Mountain",'Map 4'!J40&lt;&gt;"Ocean",'Map 4'!J40&lt;&gt;"Trench"),AND($AV40="⤴",'Map 4'!J39="Mountain",'Map 4'!J40&lt;&gt;"Mountain",'Map 4'!J40&lt;&gt;"Ocean",'Map 4'!J40&lt;&gt;"Trench")),CONCATENATE("Rainshadow ",'Map 4'!J40),'Map 4'!J40)</f>
        <v>Coast</v>
      </c>
      <c r="K40" s="3" t="str">
        <f ca="1">IF(OR(AND($AV40="⤵",'Map 4'!K41="Mountain",'Map 4'!K40&lt;&gt;"Mountain",'Map 4'!K40&lt;&gt;"Ocean",'Map 4'!K40&lt;&gt;"Trench"),AND($AV40="⤴",'Map 4'!K39="Mountain",'Map 4'!K40&lt;&gt;"Mountain",'Map 4'!K40&lt;&gt;"Ocean",'Map 4'!K40&lt;&gt;"Trench")),CONCATENATE("Rainshadow ",'Map 4'!K40),'Map 4'!K40)</f>
        <v>Coast</v>
      </c>
      <c r="L40" s="3" t="str">
        <f ca="1">IF(OR(AND($AV40="⤵",'Map 4'!L41="Mountain",'Map 4'!L40&lt;&gt;"Mountain",'Map 4'!L40&lt;&gt;"Ocean",'Map 4'!L40&lt;&gt;"Trench"),AND($AV40="⤴",'Map 4'!L39="Mountain",'Map 4'!L40&lt;&gt;"Mountain",'Map 4'!L40&lt;&gt;"Ocean",'Map 4'!L40&lt;&gt;"Trench")),CONCATENATE("Rainshadow ",'Map 4'!L40),'Map 4'!L40)</f>
        <v>Ocean</v>
      </c>
      <c r="M40" s="3" t="str">
        <f ca="1">IF(OR(AND($AV40="⤵",'Map 4'!M41="Mountain",'Map 4'!M40&lt;&gt;"Mountain",'Map 4'!M40&lt;&gt;"Ocean",'Map 4'!M40&lt;&gt;"Trench"),AND($AV40="⤴",'Map 4'!M39="Mountain",'Map 4'!M40&lt;&gt;"Mountain",'Map 4'!M40&lt;&gt;"Ocean",'Map 4'!M40&lt;&gt;"Trench")),CONCATENATE("Rainshadow ",'Map 4'!M40),'Map 4'!M40)</f>
        <v>Island</v>
      </c>
      <c r="N40" s="3" t="str">
        <f ca="1">IF(OR(AND($AV40="⤵",'Map 4'!N41="Mountain",'Map 4'!N40&lt;&gt;"Mountain",'Map 4'!N40&lt;&gt;"Ocean",'Map 4'!N40&lt;&gt;"Trench"),AND($AV40="⤴",'Map 4'!N39="Mountain",'Map 4'!N40&lt;&gt;"Mountain",'Map 4'!N40&lt;&gt;"Ocean",'Map 4'!N40&lt;&gt;"Trench")),CONCATENATE("Rainshadow ",'Map 4'!N40),'Map 4'!N40)</f>
        <v>Island</v>
      </c>
      <c r="O40" s="3" t="str">
        <f ca="1">IF(OR(AND($AV40="⤵",'Map 4'!O41="Mountain",'Map 4'!O40&lt;&gt;"Mountain",'Map 4'!O40&lt;&gt;"Ocean",'Map 4'!O40&lt;&gt;"Trench"),AND($AV40="⤴",'Map 4'!O39="Mountain",'Map 4'!O40&lt;&gt;"Mountain",'Map 4'!O40&lt;&gt;"Ocean",'Map 4'!O40&lt;&gt;"Trench")),CONCATENATE("Rainshadow ",'Map 4'!O40),'Map 4'!O40)</f>
        <v>Trench</v>
      </c>
      <c r="P40" s="3" t="str">
        <f ca="1">IF(OR(AND($AV40="⤵",'Map 4'!P41="Mountain",'Map 4'!P40&lt;&gt;"Mountain",'Map 4'!P40&lt;&gt;"Ocean",'Map 4'!P40&lt;&gt;"Trench"),AND($AV40="⤴",'Map 4'!P39="Mountain",'Map 4'!P40&lt;&gt;"Mountain",'Map 4'!P40&lt;&gt;"Ocean",'Map 4'!P40&lt;&gt;"Trench")),CONCATENATE("Rainshadow ",'Map 4'!P40),'Map 4'!P40)</f>
        <v>Ocean</v>
      </c>
      <c r="Q40" s="3" t="str">
        <f ca="1">IF(OR(AND($AV40="⤵",'Map 4'!Q41="Mountain",'Map 4'!Q40&lt;&gt;"Mountain",'Map 4'!Q40&lt;&gt;"Ocean",'Map 4'!Q40&lt;&gt;"Trench"),AND($AV40="⤴",'Map 4'!Q39="Mountain",'Map 4'!Q40&lt;&gt;"Mountain",'Map 4'!Q40&lt;&gt;"Ocean",'Map 4'!Q40&lt;&gt;"Trench")),CONCATENATE("Rainshadow ",'Map 4'!Q40),'Map 4'!Q40)</f>
        <v>Trench</v>
      </c>
      <c r="R40" s="3" t="str">
        <f ca="1">IF(OR(AND($AV40="⤵",'Map 4'!R41="Mountain",'Map 4'!R40&lt;&gt;"Mountain",'Map 4'!R40&lt;&gt;"Ocean",'Map 4'!R40&lt;&gt;"Trench"),AND($AV40="⤴",'Map 4'!R39="Mountain",'Map 4'!R40&lt;&gt;"Mountain",'Map 4'!R40&lt;&gt;"Ocean",'Map 4'!R40&lt;&gt;"Trench")),CONCATENATE("Rainshadow ",'Map 4'!R40),'Map 4'!R40)</f>
        <v>Island</v>
      </c>
      <c r="S40" s="3" t="str">
        <f ca="1">IF(OR(AND($AV40="⤵",'Map 4'!S41="Mountain",'Map 4'!S40&lt;&gt;"Mountain",'Map 4'!S40&lt;&gt;"Ocean",'Map 4'!S40&lt;&gt;"Trench"),AND($AV40="⤴",'Map 4'!S39="Mountain",'Map 4'!S40&lt;&gt;"Mountain",'Map 4'!S40&lt;&gt;"Ocean",'Map 4'!S40&lt;&gt;"Trench")),CONCATENATE("Rainshadow ",'Map 4'!S40),'Map 4'!S40)</f>
        <v>Trench</v>
      </c>
      <c r="T40" s="3" t="str">
        <f ca="1">IF(OR(AND($AV40="⤵",'Map 4'!T41="Mountain",'Map 4'!T40&lt;&gt;"Mountain",'Map 4'!T40&lt;&gt;"Ocean",'Map 4'!T40&lt;&gt;"Trench"),AND($AV40="⤴",'Map 4'!T39="Mountain",'Map 4'!T40&lt;&gt;"Mountain",'Map 4'!T40&lt;&gt;"Ocean",'Map 4'!T40&lt;&gt;"Trench")),CONCATENATE("Rainshadow ",'Map 4'!T40),'Map 4'!T40)</f>
        <v>Ocean</v>
      </c>
      <c r="U40" s="3" t="str">
        <f ca="1">IF(OR(AND($AV40="⤵",'Map 4'!U41="Mountain",'Map 4'!U40&lt;&gt;"Mountain",'Map 4'!U40&lt;&gt;"Ocean",'Map 4'!U40&lt;&gt;"Trench"),AND($AV40="⤴",'Map 4'!U39="Mountain",'Map 4'!U40&lt;&gt;"Mountain",'Map 4'!U40&lt;&gt;"Ocean",'Map 4'!U40&lt;&gt;"Trench")),CONCATENATE("Rainshadow ",'Map 4'!U40),'Map 4'!U40)</f>
        <v>Island</v>
      </c>
      <c r="V40" s="3" t="str">
        <f ca="1">IF(OR(AND($AV40="⤵",'Map 4'!V41="Mountain",'Map 4'!V40&lt;&gt;"Mountain",'Map 4'!V40&lt;&gt;"Ocean",'Map 4'!V40&lt;&gt;"Trench"),AND($AV40="⤴",'Map 4'!V39="Mountain",'Map 4'!V40&lt;&gt;"Mountain",'Map 4'!V40&lt;&gt;"Ocean",'Map 4'!V40&lt;&gt;"Trench")),CONCATENATE("Rainshadow ",'Map 4'!V40),'Map 4'!V40)</f>
        <v>Trench</v>
      </c>
      <c r="W40" s="3" t="str">
        <f ca="1">IF(OR(AND($AV40="⤵",'Map 4'!W41="Mountain",'Map 4'!W40&lt;&gt;"Mountain",'Map 4'!W40&lt;&gt;"Ocean",'Map 4'!W40&lt;&gt;"Trench"),AND($AV40="⤴",'Map 4'!W39="Mountain",'Map 4'!W40&lt;&gt;"Mountain",'Map 4'!W40&lt;&gt;"Ocean",'Map 4'!W40&lt;&gt;"Trench")),CONCATENATE("Rainshadow ",'Map 4'!W40),'Map 4'!W40)</f>
        <v>Ocean</v>
      </c>
      <c r="X40" s="3" t="str">
        <f ca="1">IF(OR(AND($AV40="⤵",'Map 4'!X41="Mountain",'Map 4'!X40&lt;&gt;"Mountain",'Map 4'!X40&lt;&gt;"Ocean",'Map 4'!X40&lt;&gt;"Trench"),AND($AV40="⤴",'Map 4'!X39="Mountain",'Map 4'!X40&lt;&gt;"Mountain",'Map 4'!X40&lt;&gt;"Ocean",'Map 4'!X40&lt;&gt;"Trench")),CONCATENATE("Rainshadow ",'Map 4'!X40),'Map 4'!X40)</f>
        <v>Ocean</v>
      </c>
      <c r="Y40" s="3" t="str">
        <f ca="1">IF(OR(AND($AV40="⤵",'Map 4'!Y41="Mountain",'Map 4'!Y40&lt;&gt;"Mountain",'Map 4'!Y40&lt;&gt;"Ocean",'Map 4'!Y40&lt;&gt;"Trench"),AND($AV40="⤴",'Map 4'!Y39="Mountain",'Map 4'!Y40&lt;&gt;"Mountain",'Map 4'!Y40&lt;&gt;"Ocean",'Map 4'!Y40&lt;&gt;"Trench")),CONCATENATE("Rainshadow ",'Map 4'!Y40),'Map 4'!Y40)</f>
        <v>Ocean</v>
      </c>
      <c r="Z40" s="3" t="str">
        <f ca="1">IF(OR(AND($AV40="⤵",'Map 4'!Z41="Mountain",'Map 4'!Z40&lt;&gt;"Mountain",'Map 4'!Z40&lt;&gt;"Ocean",'Map 4'!Z40&lt;&gt;"Trench"),AND($AV40="⤴",'Map 4'!Z39="Mountain",'Map 4'!Z40&lt;&gt;"Mountain",'Map 4'!Z40&lt;&gt;"Ocean",'Map 4'!Z40&lt;&gt;"Trench")),CONCATENATE("Rainshadow ",'Map 4'!Z40),'Map 4'!Z40)</f>
        <v>Ocean</v>
      </c>
      <c r="AA40" s="3" t="str">
        <f ca="1">IF(OR(AND($AV40="⤵",'Map 4'!AA41="Mountain",'Map 4'!AA40&lt;&gt;"Mountain",'Map 4'!AA40&lt;&gt;"Ocean",'Map 4'!AA40&lt;&gt;"Trench"),AND($AV40="⤴",'Map 4'!AA39="Mountain",'Map 4'!AA40&lt;&gt;"Mountain",'Map 4'!AA40&lt;&gt;"Ocean",'Map 4'!AA40&lt;&gt;"Trench")),CONCATENATE("Rainshadow ",'Map 4'!AA40),'Map 4'!AA40)</f>
        <v>Island</v>
      </c>
      <c r="AB40" s="3" t="str">
        <f ca="1">IF(OR(AND($AV40="⤵",'Map 4'!AB41="Mountain",'Map 4'!AB40&lt;&gt;"Mountain",'Map 4'!AB40&lt;&gt;"Ocean",'Map 4'!AB40&lt;&gt;"Trench"),AND($AV40="⤴",'Map 4'!AB39="Mountain",'Map 4'!AB40&lt;&gt;"Mountain",'Map 4'!AB40&lt;&gt;"Ocean",'Map 4'!AB40&lt;&gt;"Trench")),CONCATENATE("Rainshadow ",'Map 4'!AB40),'Map 4'!AB40)</f>
        <v>Ocean</v>
      </c>
      <c r="AC40" s="3" t="str">
        <f ca="1">IF(OR(AND($AV40="⤵",'Map 4'!AC41="Mountain",'Map 4'!AC40&lt;&gt;"Mountain",'Map 4'!AC40&lt;&gt;"Ocean",'Map 4'!AC40&lt;&gt;"Trench"),AND($AV40="⤴",'Map 4'!AC39="Mountain",'Map 4'!AC40&lt;&gt;"Mountain",'Map 4'!AC40&lt;&gt;"Ocean",'Map 4'!AC40&lt;&gt;"Trench")),CONCATENATE("Rainshadow ",'Map 4'!AC40),'Map 4'!AC40)</f>
        <v>Trench</v>
      </c>
      <c r="AD40" s="3" t="str">
        <f ca="1">IF(OR(AND($AV40="⤵",'Map 4'!AD41="Mountain",'Map 4'!AD40&lt;&gt;"Mountain",'Map 4'!AD40&lt;&gt;"Ocean",'Map 4'!AD40&lt;&gt;"Trench"),AND($AV40="⤴",'Map 4'!AD39="Mountain",'Map 4'!AD40&lt;&gt;"Mountain",'Map 4'!AD40&lt;&gt;"Ocean",'Map 4'!AD40&lt;&gt;"Trench")),CONCATENATE("Rainshadow ",'Map 4'!AD40),'Map 4'!AD40)</f>
        <v>Island</v>
      </c>
      <c r="AE40" s="3" t="str">
        <f ca="1">IF(OR(AND($AV40="⤵",'Map 4'!AE41="Mountain",'Map 4'!AE40&lt;&gt;"Mountain",'Map 4'!AE40&lt;&gt;"Ocean",'Map 4'!AE40&lt;&gt;"Trench"),AND($AV40="⤴",'Map 4'!AE39="Mountain",'Map 4'!AE40&lt;&gt;"Mountain",'Map 4'!AE40&lt;&gt;"Ocean",'Map 4'!AE40&lt;&gt;"Trench")),CONCATENATE("Rainshadow ",'Map 4'!AE40),'Map 4'!AE40)</f>
        <v>Ocean</v>
      </c>
      <c r="AF40" s="3" t="str">
        <f ca="1">IF(OR(AND($AV40="⤵",'Map 4'!AF41="Mountain",'Map 4'!AF40&lt;&gt;"Mountain",'Map 4'!AF40&lt;&gt;"Ocean",'Map 4'!AF40&lt;&gt;"Trench"),AND($AV40="⤴",'Map 4'!AF39="Mountain",'Map 4'!AF40&lt;&gt;"Mountain",'Map 4'!AF40&lt;&gt;"Ocean",'Map 4'!AF40&lt;&gt;"Trench")),CONCATENATE("Rainshadow ",'Map 4'!AF40),'Map 4'!AF40)</f>
        <v>Island</v>
      </c>
      <c r="AG40" s="3" t="str">
        <f ca="1">IF(OR(AND($AV40="⤵",'Map 4'!AG41="Mountain",'Map 4'!AG40&lt;&gt;"Mountain",'Map 4'!AG40&lt;&gt;"Ocean",'Map 4'!AG40&lt;&gt;"Trench"),AND($AV40="⤴",'Map 4'!AG39="Mountain",'Map 4'!AG40&lt;&gt;"Mountain",'Map 4'!AG40&lt;&gt;"Ocean",'Map 4'!AG40&lt;&gt;"Trench")),CONCATENATE("Rainshadow ",'Map 4'!AG40),'Map 4'!AG40)</f>
        <v>Island</v>
      </c>
      <c r="AH40" s="3" t="str">
        <f ca="1">IF(OR(AND($AV40="⤵",'Map 4'!AH41="Mountain",'Map 4'!AH40&lt;&gt;"Mountain",'Map 4'!AH40&lt;&gt;"Ocean",'Map 4'!AH40&lt;&gt;"Trench"),AND($AV40="⤴",'Map 4'!AH39="Mountain",'Map 4'!AH40&lt;&gt;"Mountain",'Map 4'!AH40&lt;&gt;"Ocean",'Map 4'!AH40&lt;&gt;"Trench")),CONCATENATE("Rainshadow ",'Map 4'!AH40),'Map 4'!AH40)</f>
        <v>Ocean</v>
      </c>
      <c r="AI40" s="3" t="str">
        <f ca="1">IF(OR(AND($AV40="⤵",'Map 4'!AI41="Mountain",'Map 4'!AI40&lt;&gt;"Mountain",'Map 4'!AI40&lt;&gt;"Ocean",'Map 4'!AI40&lt;&gt;"Trench"),AND($AV40="⤴",'Map 4'!AI39="Mountain",'Map 4'!AI40&lt;&gt;"Mountain",'Map 4'!AI40&lt;&gt;"Ocean",'Map 4'!AI40&lt;&gt;"Trench")),CONCATENATE("Rainshadow ",'Map 4'!AI40),'Map 4'!AI40)</f>
        <v>Ocean</v>
      </c>
      <c r="AJ40" s="3" t="str">
        <f ca="1">IF(OR(AND($AV40="⤵",'Map 4'!AJ41="Mountain",'Map 4'!AJ40&lt;&gt;"Mountain",'Map 4'!AJ40&lt;&gt;"Ocean",'Map 4'!AJ40&lt;&gt;"Trench"),AND($AV40="⤴",'Map 4'!AJ39="Mountain",'Map 4'!AJ40&lt;&gt;"Mountain",'Map 4'!AJ40&lt;&gt;"Ocean",'Map 4'!AJ40&lt;&gt;"Trench")),CONCATENATE("Rainshadow ",'Map 4'!AJ40),'Map 4'!AJ40)</f>
        <v>Island</v>
      </c>
      <c r="AK40" s="3" t="str">
        <f ca="1">IF(OR(AND($AV40="⤵",'Map 4'!AK41="Mountain",'Map 4'!AK40&lt;&gt;"Mountain",'Map 4'!AK40&lt;&gt;"Ocean",'Map 4'!AK40&lt;&gt;"Trench"),AND($AV40="⤴",'Map 4'!AK39="Mountain",'Map 4'!AK40&lt;&gt;"Mountain",'Map 4'!AK40&lt;&gt;"Ocean",'Map 4'!AK40&lt;&gt;"Trench")),CONCATENATE("Rainshadow ",'Map 4'!AK40),'Map 4'!AK40)</f>
        <v>Ocean</v>
      </c>
      <c r="AL40" s="3" t="str">
        <f ca="1">IF(OR(AND($AV40="⤵",'Map 4'!AL41="Mountain",'Map 4'!AL40&lt;&gt;"Mountain",'Map 4'!AL40&lt;&gt;"Ocean",'Map 4'!AL40&lt;&gt;"Trench"),AND($AV40="⤴",'Map 4'!AL39="Mountain",'Map 4'!AL40&lt;&gt;"Mountain",'Map 4'!AL40&lt;&gt;"Ocean",'Map 4'!AL40&lt;&gt;"Trench")),CONCATENATE("Rainshadow ",'Map 4'!AL40),'Map 4'!AL40)</f>
        <v>Ocean</v>
      </c>
      <c r="AM40" s="3" t="str">
        <f ca="1">IF(OR(AND($AV40="⤵",'Map 4'!AM41="Mountain",'Map 4'!AM40&lt;&gt;"Mountain",'Map 4'!AM40&lt;&gt;"Ocean",'Map 4'!AM40&lt;&gt;"Trench"),AND($AV40="⤴",'Map 4'!AM39="Mountain",'Map 4'!AM40&lt;&gt;"Mountain",'Map 4'!AM40&lt;&gt;"Ocean",'Map 4'!AM40&lt;&gt;"Trench")),CONCATENATE("Rainshadow ",'Map 4'!AM40),'Map 4'!AM40)</f>
        <v>Island</v>
      </c>
      <c r="AN40" s="3" t="str">
        <f ca="1">IF(OR(AND($AV40="⤵",'Map 4'!AN41="Mountain",'Map 4'!AN40&lt;&gt;"Mountain",'Map 4'!AN40&lt;&gt;"Ocean",'Map 4'!AN40&lt;&gt;"Trench"),AND($AV40="⤴",'Map 4'!AN39="Mountain",'Map 4'!AN40&lt;&gt;"Mountain",'Map 4'!AN40&lt;&gt;"Ocean",'Map 4'!AN40&lt;&gt;"Trench")),CONCATENATE("Rainshadow ",'Map 4'!AN40),'Map 4'!AN40)</f>
        <v>Ocean</v>
      </c>
      <c r="AO40" s="3" t="str">
        <f ca="1">IF(OR(AND($AV40="⤵",'Map 4'!AO41="Mountain",'Map 4'!AO40&lt;&gt;"Mountain",'Map 4'!AO40&lt;&gt;"Ocean",'Map 4'!AO40&lt;&gt;"Trench"),AND($AV40="⤴",'Map 4'!AO39="Mountain",'Map 4'!AO40&lt;&gt;"Mountain",'Map 4'!AO40&lt;&gt;"Ocean",'Map 4'!AO40&lt;&gt;"Trench")),CONCATENATE("Rainshadow ",'Map 4'!AO40),'Map 4'!AO40)</f>
        <v>Mountain</v>
      </c>
      <c r="AP40" s="3">
        <f t="shared" si="1"/>
        <v>21.4</v>
      </c>
      <c r="AQ40" s="3">
        <f t="shared" si="2"/>
        <v>70.52</v>
      </c>
      <c r="AR40" s="3"/>
      <c r="AS40" s="3">
        <f t="shared" si="5"/>
        <v>294.55000000000013</v>
      </c>
      <c r="AT40" s="41">
        <v>-49.5</v>
      </c>
      <c r="AU40" s="41" t="str">
        <f>AU19</f>
        <v>Forest</v>
      </c>
      <c r="AV40" s="41" t="str" cm="1">
        <f t="array" ref="AV40">_xlfn.IFS(AT40&lt;-90,"⤴",AND(AT40&gt;=-90,AT40&lt;-60),"⤴",AND(AT40&gt;=-60,AT40&lt;-30),"⤵",AND(AT40&gt;=-30,AT40&lt;0),"⤴",AND(AT40&gt;=0,AT40&lt;30),"⤵",AND(AT40&gt;=30,AT40&lt;60),"⤴",AT40&gt;=60,"⤵")</f>
        <v>⤵</v>
      </c>
      <c r="AW40" s="41">
        <f>AW19</f>
        <v>0.57999999999999996</v>
      </c>
    </row>
    <row r="41" spans="1:49" ht="15" customHeight="1">
      <c r="A41" s="3">
        <v>32</v>
      </c>
      <c r="B41" s="3" t="str">
        <f ca="1">IF(OR(AND($AV41="⤵",'Map 4'!B42="Mountain",'Map 4'!B41&lt;&gt;"Mountain",'Map 4'!B41&lt;&gt;"Ocean",'Map 4'!B41&lt;&gt;"Trench"),AND($AV41="⤴",'Map 4'!B40="Mountain",'Map 4'!B41&lt;&gt;"Mountain",'Map 4'!B41&lt;&gt;"Ocean",'Map 4'!B41&lt;&gt;"Trench")),CONCATENATE("Rainshadow ",'Map 4'!B41),'Map 4'!B41)</f>
        <v>Drop Off</v>
      </c>
      <c r="C41" s="3" t="str">
        <f ca="1">IF(OR(AND($AV41="⤵",'Map 4'!C42="Mountain",'Map 4'!C41&lt;&gt;"Mountain",'Map 4'!C41&lt;&gt;"Ocean",'Map 4'!C41&lt;&gt;"Trench"),AND($AV41="⤴",'Map 4'!C40="Mountain",'Map 4'!C41&lt;&gt;"Mountain",'Map 4'!C41&lt;&gt;"Ocean",'Map 4'!C41&lt;&gt;"Trench")),CONCATENATE("Rainshadow ",'Map 4'!C41),'Map 4'!C41)</f>
        <v>Flatland</v>
      </c>
      <c r="D41" s="3" t="str">
        <f ca="1">IF(OR(AND($AV41="⤵",'Map 4'!D42="Mountain",'Map 4'!D41&lt;&gt;"Mountain",'Map 4'!D41&lt;&gt;"Ocean",'Map 4'!D41&lt;&gt;"Trench"),AND($AV41="⤴",'Map 4'!D40="Mountain",'Map 4'!D41&lt;&gt;"Mountain",'Map 4'!D41&lt;&gt;"Ocean",'Map 4'!D41&lt;&gt;"Trench")),CONCATENATE("Rainshadow ",'Map 4'!D41),'Map 4'!D41)</f>
        <v>Drop Off</v>
      </c>
      <c r="E41" s="3" t="str">
        <f ca="1">IF(OR(AND($AV41="⤵",'Map 4'!E42="Mountain",'Map 4'!E41&lt;&gt;"Mountain",'Map 4'!E41&lt;&gt;"Ocean",'Map 4'!E41&lt;&gt;"Trench"),AND($AV41="⤴",'Map 4'!E40="Mountain",'Map 4'!E41&lt;&gt;"Mountain",'Map 4'!E41&lt;&gt;"Ocean",'Map 4'!E41&lt;&gt;"Trench")),CONCATENATE("Rainshadow ",'Map 4'!E41),'Map 4'!E41)</f>
        <v>Coast</v>
      </c>
      <c r="F41" s="3" t="str">
        <f ca="1">IF(OR(AND($AV41="⤵",'Map 4'!F42="Mountain",'Map 4'!F41&lt;&gt;"Mountain",'Map 4'!F41&lt;&gt;"Ocean",'Map 4'!F41&lt;&gt;"Trench"),AND($AV41="⤴",'Map 4'!F40="Mountain",'Map 4'!F41&lt;&gt;"Mountain",'Map 4'!F41&lt;&gt;"Ocean",'Map 4'!F41&lt;&gt;"Trench")),CONCATENATE("Rainshadow ",'Map 4'!F41),'Map 4'!F41)</f>
        <v>Flatland</v>
      </c>
      <c r="G41" s="3" t="str">
        <f ca="1">IF(OR(AND($AV41="⤵",'Map 4'!G42="Mountain",'Map 4'!G41&lt;&gt;"Mountain",'Map 4'!G41&lt;&gt;"Ocean",'Map 4'!G41&lt;&gt;"Trench"),AND($AV41="⤴",'Map 4'!G40="Mountain",'Map 4'!G41&lt;&gt;"Mountain",'Map 4'!G41&lt;&gt;"Ocean",'Map 4'!G41&lt;&gt;"Trench")),CONCATENATE("Rainshadow ",'Map 4'!G41),'Map 4'!G41)</f>
        <v>Flatland</v>
      </c>
      <c r="H41" s="3" t="str">
        <f ca="1">IF(OR(AND($AV41="⤵",'Map 4'!H42="Mountain",'Map 4'!H41&lt;&gt;"Mountain",'Map 4'!H41&lt;&gt;"Ocean",'Map 4'!H41&lt;&gt;"Trench"),AND($AV41="⤴",'Map 4'!H40="Mountain",'Map 4'!H41&lt;&gt;"Mountain",'Map 4'!H41&lt;&gt;"Ocean",'Map 4'!H41&lt;&gt;"Trench")),CONCATENATE("Rainshadow ",'Map 4'!H41),'Map 4'!H41)</f>
        <v>Flatland</v>
      </c>
      <c r="I41" s="3" t="str">
        <f ca="1">IF(OR(AND($AV41="⤵",'Map 4'!I42="Mountain",'Map 4'!I41&lt;&gt;"Mountain",'Map 4'!I41&lt;&gt;"Ocean",'Map 4'!I41&lt;&gt;"Trench"),AND($AV41="⤴",'Map 4'!I40="Mountain",'Map 4'!I41&lt;&gt;"Mountain",'Map 4'!I41&lt;&gt;"Ocean",'Map 4'!I41&lt;&gt;"Trench")),CONCATENATE("Rainshadow ",'Map 4'!I41),'Map 4'!I41)</f>
        <v>Ocean</v>
      </c>
      <c r="J41" s="3" t="str">
        <f ca="1">IF(OR(AND($AV41="⤵",'Map 4'!J42="Mountain",'Map 4'!J41&lt;&gt;"Mountain",'Map 4'!J41&lt;&gt;"Ocean",'Map 4'!J41&lt;&gt;"Trench"),AND($AV41="⤴",'Map 4'!J40="Mountain",'Map 4'!J41&lt;&gt;"Mountain",'Map 4'!J41&lt;&gt;"Ocean",'Map 4'!J41&lt;&gt;"Trench")),CONCATENATE("Rainshadow ",'Map 4'!J41),'Map 4'!J41)</f>
        <v>Coast</v>
      </c>
      <c r="K41" s="3" t="str">
        <f ca="1">IF(OR(AND($AV41="⤵",'Map 4'!K42="Mountain",'Map 4'!K41&lt;&gt;"Mountain",'Map 4'!K41&lt;&gt;"Ocean",'Map 4'!K41&lt;&gt;"Trench"),AND($AV41="⤴",'Map 4'!K40="Mountain",'Map 4'!K41&lt;&gt;"Mountain",'Map 4'!K41&lt;&gt;"Ocean",'Map 4'!K41&lt;&gt;"Trench")),CONCATENATE("Rainshadow ",'Map 4'!K41),'Map 4'!K41)</f>
        <v>Ocean</v>
      </c>
      <c r="L41" s="3" t="str">
        <f ca="1">IF(OR(AND($AV41="⤵",'Map 4'!L42="Mountain",'Map 4'!L41&lt;&gt;"Mountain",'Map 4'!L41&lt;&gt;"Ocean",'Map 4'!L41&lt;&gt;"Trench"),AND($AV41="⤴",'Map 4'!L40="Mountain",'Map 4'!L41&lt;&gt;"Mountain",'Map 4'!L41&lt;&gt;"Ocean",'Map 4'!L41&lt;&gt;"Trench")),CONCATENATE("Rainshadow ",'Map 4'!L41),'Map 4'!L41)</f>
        <v>Ocean</v>
      </c>
      <c r="M41" s="3" t="str">
        <f ca="1">IF(OR(AND($AV41="⤵",'Map 4'!M42="Mountain",'Map 4'!M41&lt;&gt;"Mountain",'Map 4'!M41&lt;&gt;"Ocean",'Map 4'!M41&lt;&gt;"Trench"),AND($AV41="⤴",'Map 4'!M40="Mountain",'Map 4'!M41&lt;&gt;"Mountain",'Map 4'!M41&lt;&gt;"Ocean",'Map 4'!M41&lt;&gt;"Trench")),CONCATENATE("Rainshadow ",'Map 4'!M41),'Map 4'!M41)</f>
        <v>Trench</v>
      </c>
      <c r="N41" s="3" t="str">
        <f ca="1">IF(OR(AND($AV41="⤵",'Map 4'!N42="Mountain",'Map 4'!N41&lt;&gt;"Mountain",'Map 4'!N41&lt;&gt;"Ocean",'Map 4'!N41&lt;&gt;"Trench"),AND($AV41="⤴",'Map 4'!N40="Mountain",'Map 4'!N41&lt;&gt;"Mountain",'Map 4'!N41&lt;&gt;"Ocean",'Map 4'!N41&lt;&gt;"Trench")),CONCATENATE("Rainshadow ",'Map 4'!N41),'Map 4'!N41)</f>
        <v>Coast</v>
      </c>
      <c r="O41" s="3" t="str">
        <f ca="1">IF(OR(AND($AV41="⤵",'Map 4'!O42="Mountain",'Map 4'!O41&lt;&gt;"Mountain",'Map 4'!O41&lt;&gt;"Ocean",'Map 4'!O41&lt;&gt;"Trench"),AND($AV41="⤴",'Map 4'!O40="Mountain",'Map 4'!O41&lt;&gt;"Mountain",'Map 4'!O41&lt;&gt;"Ocean",'Map 4'!O41&lt;&gt;"Trench")),CONCATENATE("Rainshadow ",'Map 4'!O41),'Map 4'!O41)</f>
        <v>Coast</v>
      </c>
      <c r="P41" s="3" t="str">
        <f ca="1">IF(OR(AND($AV41="⤵",'Map 4'!P42="Mountain",'Map 4'!P41&lt;&gt;"Mountain",'Map 4'!P41&lt;&gt;"Ocean",'Map 4'!P41&lt;&gt;"Trench"),AND($AV41="⤴",'Map 4'!P40="Mountain",'Map 4'!P41&lt;&gt;"Mountain",'Map 4'!P41&lt;&gt;"Ocean",'Map 4'!P41&lt;&gt;"Trench")),CONCATENATE("Rainshadow ",'Map 4'!P41),'Map 4'!P41)</f>
        <v>Coast</v>
      </c>
      <c r="Q41" s="3" t="str">
        <f ca="1">IF(OR(AND($AV41="⤵",'Map 4'!Q42="Mountain",'Map 4'!Q41&lt;&gt;"Mountain",'Map 4'!Q41&lt;&gt;"Ocean",'Map 4'!Q41&lt;&gt;"Trench"),AND($AV41="⤴",'Map 4'!Q40="Mountain",'Map 4'!Q41&lt;&gt;"Mountain",'Map 4'!Q41&lt;&gt;"Ocean",'Map 4'!Q41&lt;&gt;"Trench")),CONCATENATE("Rainshadow ",'Map 4'!Q41),'Map 4'!Q41)</f>
        <v>Coast</v>
      </c>
      <c r="R41" s="3" t="str">
        <f ca="1">IF(OR(AND($AV41="⤵",'Map 4'!R42="Mountain",'Map 4'!R41&lt;&gt;"Mountain",'Map 4'!R41&lt;&gt;"Ocean",'Map 4'!R41&lt;&gt;"Trench"),AND($AV41="⤴",'Map 4'!R40="Mountain",'Map 4'!R41&lt;&gt;"Mountain",'Map 4'!R41&lt;&gt;"Ocean",'Map 4'!R41&lt;&gt;"Trench")),CONCATENATE("Rainshadow ",'Map 4'!R41),'Map 4'!R41)</f>
        <v>Trench</v>
      </c>
      <c r="S41" s="3" t="str">
        <f ca="1">IF(OR(AND($AV41="⤵",'Map 4'!S42="Mountain",'Map 4'!S41&lt;&gt;"Mountain",'Map 4'!S41&lt;&gt;"Ocean",'Map 4'!S41&lt;&gt;"Trench"),AND($AV41="⤴",'Map 4'!S40="Mountain",'Map 4'!S41&lt;&gt;"Mountain",'Map 4'!S41&lt;&gt;"Ocean",'Map 4'!S41&lt;&gt;"Trench")),CONCATENATE("Rainshadow ",'Map 4'!S41),'Map 4'!S41)</f>
        <v>Ocean</v>
      </c>
      <c r="T41" s="3" t="str">
        <f ca="1">IF(OR(AND($AV41="⤵",'Map 4'!T42="Mountain",'Map 4'!T41&lt;&gt;"Mountain",'Map 4'!T41&lt;&gt;"Ocean",'Map 4'!T41&lt;&gt;"Trench"),AND($AV41="⤴",'Map 4'!T40="Mountain",'Map 4'!T41&lt;&gt;"Mountain",'Map 4'!T41&lt;&gt;"Ocean",'Map 4'!T41&lt;&gt;"Trench")),CONCATENATE("Rainshadow ",'Map 4'!T41),'Map 4'!T41)</f>
        <v>Ocean</v>
      </c>
      <c r="U41" s="3" t="str">
        <f ca="1">IF(OR(AND($AV41="⤵",'Map 4'!U42="Mountain",'Map 4'!U41&lt;&gt;"Mountain",'Map 4'!U41&lt;&gt;"Ocean",'Map 4'!U41&lt;&gt;"Trench"),AND($AV41="⤴",'Map 4'!U40="Mountain",'Map 4'!U41&lt;&gt;"Mountain",'Map 4'!U41&lt;&gt;"Ocean",'Map 4'!U41&lt;&gt;"Trench")),CONCATENATE("Rainshadow ",'Map 4'!U41),'Map 4'!U41)</f>
        <v>Trench</v>
      </c>
      <c r="V41" s="3" t="str">
        <f ca="1">IF(OR(AND($AV41="⤵",'Map 4'!V42="Mountain",'Map 4'!V41&lt;&gt;"Mountain",'Map 4'!V41&lt;&gt;"Ocean",'Map 4'!V41&lt;&gt;"Trench"),AND($AV41="⤴",'Map 4'!V40="Mountain",'Map 4'!V41&lt;&gt;"Mountain",'Map 4'!V41&lt;&gt;"Ocean",'Map 4'!V41&lt;&gt;"Trench")),CONCATENATE("Rainshadow ",'Map 4'!V41),'Map 4'!V41)</f>
        <v>Ocean</v>
      </c>
      <c r="W41" s="3" t="str">
        <f ca="1">IF(OR(AND($AV41="⤵",'Map 4'!W42="Mountain",'Map 4'!W41&lt;&gt;"Mountain",'Map 4'!W41&lt;&gt;"Ocean",'Map 4'!W41&lt;&gt;"Trench"),AND($AV41="⤴",'Map 4'!W40="Mountain",'Map 4'!W41&lt;&gt;"Mountain",'Map 4'!W41&lt;&gt;"Ocean",'Map 4'!W41&lt;&gt;"Trench")),CONCATENATE("Rainshadow ",'Map 4'!W41),'Map 4'!W41)</f>
        <v>Ocean</v>
      </c>
      <c r="X41" s="3" t="str">
        <f ca="1">IF(OR(AND($AV41="⤵",'Map 4'!X42="Mountain",'Map 4'!X41&lt;&gt;"Mountain",'Map 4'!X41&lt;&gt;"Ocean",'Map 4'!X41&lt;&gt;"Trench"),AND($AV41="⤴",'Map 4'!X40="Mountain",'Map 4'!X41&lt;&gt;"Mountain",'Map 4'!X41&lt;&gt;"Ocean",'Map 4'!X41&lt;&gt;"Trench")),CONCATENATE("Rainshadow ",'Map 4'!X41),'Map 4'!X41)</f>
        <v>Ocean</v>
      </c>
      <c r="Y41" s="3" t="str">
        <f ca="1">IF(OR(AND($AV41="⤵",'Map 4'!Y42="Mountain",'Map 4'!Y41&lt;&gt;"Mountain",'Map 4'!Y41&lt;&gt;"Ocean",'Map 4'!Y41&lt;&gt;"Trench"),AND($AV41="⤴",'Map 4'!Y40="Mountain",'Map 4'!Y41&lt;&gt;"Mountain",'Map 4'!Y41&lt;&gt;"Ocean",'Map 4'!Y41&lt;&gt;"Trench")),CONCATENATE("Rainshadow ",'Map 4'!Y41),'Map 4'!Y41)</f>
        <v>Ocean</v>
      </c>
      <c r="Z41" s="3" t="str">
        <f ca="1">IF(OR(AND($AV41="⤵",'Map 4'!Z42="Mountain",'Map 4'!Z41&lt;&gt;"Mountain",'Map 4'!Z41&lt;&gt;"Ocean",'Map 4'!Z41&lt;&gt;"Trench"),AND($AV41="⤴",'Map 4'!Z40="Mountain",'Map 4'!Z41&lt;&gt;"Mountain",'Map 4'!Z41&lt;&gt;"Ocean",'Map 4'!Z41&lt;&gt;"Trench")),CONCATENATE("Rainshadow ",'Map 4'!Z41),'Map 4'!Z41)</f>
        <v>Island</v>
      </c>
      <c r="AA41" s="3" t="str">
        <f ca="1">IF(OR(AND($AV41="⤵",'Map 4'!AA42="Mountain",'Map 4'!AA41&lt;&gt;"Mountain",'Map 4'!AA41&lt;&gt;"Ocean",'Map 4'!AA41&lt;&gt;"Trench"),AND($AV41="⤴",'Map 4'!AA40="Mountain",'Map 4'!AA41&lt;&gt;"Mountain",'Map 4'!AA41&lt;&gt;"Ocean",'Map 4'!AA41&lt;&gt;"Trench")),CONCATENATE("Rainshadow ",'Map 4'!AA41),'Map 4'!AA41)</f>
        <v>Ocean</v>
      </c>
      <c r="AB41" s="3" t="str">
        <f ca="1">IF(OR(AND($AV41="⤵",'Map 4'!AB42="Mountain",'Map 4'!AB41&lt;&gt;"Mountain",'Map 4'!AB41&lt;&gt;"Ocean",'Map 4'!AB41&lt;&gt;"Trench"),AND($AV41="⤴",'Map 4'!AB40="Mountain",'Map 4'!AB41&lt;&gt;"Mountain",'Map 4'!AB41&lt;&gt;"Ocean",'Map 4'!AB41&lt;&gt;"Trench")),CONCATENATE("Rainshadow ",'Map 4'!AB41),'Map 4'!AB41)</f>
        <v>Ocean</v>
      </c>
      <c r="AC41" s="3" t="str">
        <f ca="1">IF(OR(AND($AV41="⤵",'Map 4'!AC42="Mountain",'Map 4'!AC41&lt;&gt;"Mountain",'Map 4'!AC41&lt;&gt;"Ocean",'Map 4'!AC41&lt;&gt;"Trench"),AND($AV41="⤴",'Map 4'!AC40="Mountain",'Map 4'!AC41&lt;&gt;"Mountain",'Map 4'!AC41&lt;&gt;"Ocean",'Map 4'!AC41&lt;&gt;"Trench")),CONCATENATE("Rainshadow ",'Map 4'!AC41),'Map 4'!AC41)</f>
        <v>Island</v>
      </c>
      <c r="AD41" s="3" t="str">
        <f ca="1">IF(OR(AND($AV41="⤵",'Map 4'!AD42="Mountain",'Map 4'!AD41&lt;&gt;"Mountain",'Map 4'!AD41&lt;&gt;"Ocean",'Map 4'!AD41&lt;&gt;"Trench"),AND($AV41="⤴",'Map 4'!AD40="Mountain",'Map 4'!AD41&lt;&gt;"Mountain",'Map 4'!AD41&lt;&gt;"Ocean",'Map 4'!AD41&lt;&gt;"Trench")),CONCATENATE("Rainshadow ",'Map 4'!AD41),'Map 4'!AD41)</f>
        <v>Ocean</v>
      </c>
      <c r="AE41" s="3" t="str">
        <f ca="1">IF(OR(AND($AV41="⤵",'Map 4'!AE42="Mountain",'Map 4'!AE41&lt;&gt;"Mountain",'Map 4'!AE41&lt;&gt;"Ocean",'Map 4'!AE41&lt;&gt;"Trench"),AND($AV41="⤴",'Map 4'!AE40="Mountain",'Map 4'!AE41&lt;&gt;"Mountain",'Map 4'!AE41&lt;&gt;"Ocean",'Map 4'!AE41&lt;&gt;"Trench")),CONCATENATE("Rainshadow ",'Map 4'!AE41),'Map 4'!AE41)</f>
        <v>Island</v>
      </c>
      <c r="AF41" s="3" t="str">
        <f ca="1">IF(OR(AND($AV41="⤵",'Map 4'!AF42="Mountain",'Map 4'!AF41&lt;&gt;"Mountain",'Map 4'!AF41&lt;&gt;"Ocean",'Map 4'!AF41&lt;&gt;"Trench"),AND($AV41="⤴",'Map 4'!AF40="Mountain",'Map 4'!AF41&lt;&gt;"Mountain",'Map 4'!AF41&lt;&gt;"Ocean",'Map 4'!AF41&lt;&gt;"Trench")),CONCATENATE("Rainshadow ",'Map 4'!AF41),'Map 4'!AF41)</f>
        <v>Island</v>
      </c>
      <c r="AG41" s="3" t="str">
        <f ca="1">IF(OR(AND($AV41="⤵",'Map 4'!AG42="Mountain",'Map 4'!AG41&lt;&gt;"Mountain",'Map 4'!AG41&lt;&gt;"Ocean",'Map 4'!AG41&lt;&gt;"Trench"),AND($AV41="⤴",'Map 4'!AG40="Mountain",'Map 4'!AG41&lt;&gt;"Mountain",'Map 4'!AG41&lt;&gt;"Ocean",'Map 4'!AG41&lt;&gt;"Trench")),CONCATENATE("Rainshadow ",'Map 4'!AG41),'Map 4'!AG41)</f>
        <v>Trench</v>
      </c>
      <c r="AH41" s="3" t="str">
        <f ca="1">IF(OR(AND($AV41="⤵",'Map 4'!AH42="Mountain",'Map 4'!AH41&lt;&gt;"Mountain",'Map 4'!AH41&lt;&gt;"Ocean",'Map 4'!AH41&lt;&gt;"Trench"),AND($AV41="⤴",'Map 4'!AH40="Mountain",'Map 4'!AH41&lt;&gt;"Mountain",'Map 4'!AH41&lt;&gt;"Ocean",'Map 4'!AH41&lt;&gt;"Trench")),CONCATENATE("Rainshadow ",'Map 4'!AH41),'Map 4'!AH41)</f>
        <v>Ocean</v>
      </c>
      <c r="AI41" s="3" t="str">
        <f ca="1">IF(OR(AND($AV41="⤵",'Map 4'!AI42="Mountain",'Map 4'!AI41&lt;&gt;"Mountain",'Map 4'!AI41&lt;&gt;"Ocean",'Map 4'!AI41&lt;&gt;"Trench"),AND($AV41="⤴",'Map 4'!AI40="Mountain",'Map 4'!AI41&lt;&gt;"Mountain",'Map 4'!AI41&lt;&gt;"Ocean",'Map 4'!AI41&lt;&gt;"Trench")),CONCATENATE("Rainshadow ",'Map 4'!AI41),'Map 4'!AI41)</f>
        <v>Ocean</v>
      </c>
      <c r="AJ41" s="3" t="str">
        <f ca="1">IF(OR(AND($AV41="⤵",'Map 4'!AJ42="Mountain",'Map 4'!AJ41&lt;&gt;"Mountain",'Map 4'!AJ41&lt;&gt;"Ocean",'Map 4'!AJ41&lt;&gt;"Trench"),AND($AV41="⤴",'Map 4'!AJ40="Mountain",'Map 4'!AJ41&lt;&gt;"Mountain",'Map 4'!AJ41&lt;&gt;"Ocean",'Map 4'!AJ41&lt;&gt;"Trench")),CONCATENATE("Rainshadow ",'Map 4'!AJ41),'Map 4'!AJ41)</f>
        <v>Ocean</v>
      </c>
      <c r="AK41" s="3" t="str">
        <f ca="1">IF(OR(AND($AV41="⤵",'Map 4'!AK42="Mountain",'Map 4'!AK41&lt;&gt;"Mountain",'Map 4'!AK41&lt;&gt;"Ocean",'Map 4'!AK41&lt;&gt;"Trench"),AND($AV41="⤴",'Map 4'!AK40="Mountain",'Map 4'!AK41&lt;&gt;"Mountain",'Map 4'!AK41&lt;&gt;"Ocean",'Map 4'!AK41&lt;&gt;"Trench")),CONCATENATE("Rainshadow ",'Map 4'!AK41),'Map 4'!AK41)</f>
        <v>Ocean</v>
      </c>
      <c r="AL41" s="3" t="str">
        <f ca="1">IF(OR(AND($AV41="⤵",'Map 4'!AL42="Mountain",'Map 4'!AL41&lt;&gt;"Mountain",'Map 4'!AL41&lt;&gt;"Ocean",'Map 4'!AL41&lt;&gt;"Trench"),AND($AV41="⤴",'Map 4'!AL40="Mountain",'Map 4'!AL41&lt;&gt;"Mountain",'Map 4'!AL41&lt;&gt;"Ocean",'Map 4'!AL41&lt;&gt;"Trench")),CONCATENATE("Rainshadow ",'Map 4'!AL41),'Map 4'!AL41)</f>
        <v>Ocean</v>
      </c>
      <c r="AM41" s="3" t="str">
        <f ca="1">IF(OR(AND($AV41="⤵",'Map 4'!AM42="Mountain",'Map 4'!AM41&lt;&gt;"Mountain",'Map 4'!AM41&lt;&gt;"Ocean",'Map 4'!AM41&lt;&gt;"Trench"),AND($AV41="⤴",'Map 4'!AM40="Mountain",'Map 4'!AM41&lt;&gt;"Mountain",'Map 4'!AM41&lt;&gt;"Ocean",'Map 4'!AM41&lt;&gt;"Trench")),CONCATENATE("Rainshadow ",'Map 4'!AM41),'Map 4'!AM41)</f>
        <v>Ocean</v>
      </c>
      <c r="AN41" s="3" t="str">
        <f ca="1">IF(OR(AND($AV41="⤵",'Map 4'!AN42="Mountain",'Map 4'!AN41&lt;&gt;"Mountain",'Map 4'!AN41&lt;&gt;"Ocean",'Map 4'!AN41&lt;&gt;"Trench"),AND($AV41="⤴",'Map 4'!AN40="Mountain",'Map 4'!AN41&lt;&gt;"Mountain",'Map 4'!AN41&lt;&gt;"Ocean",'Map 4'!AN41&lt;&gt;"Trench")),CONCATENATE("Rainshadow ",'Map 4'!AN41),'Map 4'!AN41)</f>
        <v>Island</v>
      </c>
      <c r="AO41" s="3" t="str">
        <f ca="1">IF(OR(AND($AV41="⤵",'Map 4'!AO42="Mountain",'Map 4'!AO41&lt;&gt;"Mountain",'Map 4'!AO41&lt;&gt;"Ocean",'Map 4'!AO41&lt;&gt;"Trench"),AND($AV41="⤴",'Map 4'!AO40="Mountain",'Map 4'!AO41&lt;&gt;"Mountain",'Map 4'!AO41&lt;&gt;"Ocean",'Map 4'!AO41&lt;&gt;"Trench")),CONCATENATE("Rainshadow ",'Map 4'!AO41),'Map 4'!AO41)</f>
        <v>Ocean</v>
      </c>
      <c r="AP41" s="3">
        <f t="shared" si="1"/>
        <v>14.45</v>
      </c>
      <c r="AQ41" s="3">
        <f t="shared" si="2"/>
        <v>58.01</v>
      </c>
      <c r="AR41" s="3"/>
      <c r="AS41" s="3">
        <f t="shared" si="5"/>
        <v>287.60000000000014</v>
      </c>
      <c r="AT41" s="41">
        <v>-54</v>
      </c>
      <c r="AU41" s="41" t="str">
        <f>AU18</f>
        <v>Forest</v>
      </c>
      <c r="AV41" s="41" t="str" cm="1">
        <f t="array" ref="AV41">_xlfn.IFS(AT41&lt;-90,"⤴",AND(AT41&gt;=-90,AT41&lt;-60),"⤴",AND(AT41&gt;=-60,AT41&lt;-30),"⤵",AND(AT41&gt;=-30,AT41&lt;0),"⤴",AND(AT41&gt;=0,AT41&lt;30),"⤵",AND(AT41&gt;=30,AT41&lt;60),"⤴",AT41&gt;=60,"⤵")</f>
        <v>⤵</v>
      </c>
      <c r="AW41" s="41">
        <f>AW18</f>
        <v>0.72</v>
      </c>
    </row>
    <row r="42" spans="1:49" ht="15" customHeight="1">
      <c r="A42" s="3">
        <v>33</v>
      </c>
      <c r="B42" s="3" t="str">
        <f ca="1">IF(OR(AND($AV42="⤵",'Map 4'!B43="Mountain",'Map 4'!B42&lt;&gt;"Mountain",'Map 4'!B42&lt;&gt;"Ocean",'Map 4'!B42&lt;&gt;"Trench"),AND($AV42="⤴",'Map 4'!B41="Mountain",'Map 4'!B42&lt;&gt;"Mountain",'Map 4'!B42&lt;&gt;"Ocean",'Map 4'!B42&lt;&gt;"Trench")),CONCATENATE("Rainshadow ",'Map 4'!B42),'Map 4'!B42)</f>
        <v>Ocean</v>
      </c>
      <c r="C42" s="3" t="str">
        <f ca="1">IF(OR(AND($AV42="⤵",'Map 4'!C43="Mountain",'Map 4'!C42&lt;&gt;"Mountain",'Map 4'!C42&lt;&gt;"Ocean",'Map 4'!C42&lt;&gt;"Trench"),AND($AV42="⤴",'Map 4'!C41="Mountain",'Map 4'!C42&lt;&gt;"Mountain",'Map 4'!C42&lt;&gt;"Ocean",'Map 4'!C42&lt;&gt;"Trench")),CONCATENATE("Rainshadow ",'Map 4'!C42),'Map 4'!C42)</f>
        <v>Ocean</v>
      </c>
      <c r="D42" s="3" t="str">
        <f ca="1">IF(OR(AND($AV42="⤵",'Map 4'!D43="Mountain",'Map 4'!D42&lt;&gt;"Mountain",'Map 4'!D42&lt;&gt;"Ocean",'Map 4'!D42&lt;&gt;"Trench"),AND($AV42="⤴",'Map 4'!D41="Mountain",'Map 4'!D42&lt;&gt;"Mountain",'Map 4'!D42&lt;&gt;"Ocean",'Map 4'!D42&lt;&gt;"Trench")),CONCATENATE("Rainshadow ",'Map 4'!D42),'Map 4'!D42)</f>
        <v>Coast</v>
      </c>
      <c r="E42" s="3" t="str">
        <f ca="1">IF(OR(AND($AV42="⤵",'Map 4'!E43="Mountain",'Map 4'!E42&lt;&gt;"Mountain",'Map 4'!E42&lt;&gt;"Ocean",'Map 4'!E42&lt;&gt;"Trench"),AND($AV42="⤴",'Map 4'!E41="Mountain",'Map 4'!E42&lt;&gt;"Mountain",'Map 4'!E42&lt;&gt;"Ocean",'Map 4'!E42&lt;&gt;"Trench")),CONCATENATE("Rainshadow ",'Map 4'!E42),'Map 4'!E42)</f>
        <v>Flatland</v>
      </c>
      <c r="F42" s="3" t="str">
        <f ca="1">IF(OR(AND($AV42="⤵",'Map 4'!F43="Mountain",'Map 4'!F42&lt;&gt;"Mountain",'Map 4'!F42&lt;&gt;"Ocean",'Map 4'!F42&lt;&gt;"Trench"),AND($AV42="⤴",'Map 4'!F41="Mountain",'Map 4'!F42&lt;&gt;"Mountain",'Map 4'!F42&lt;&gt;"Ocean",'Map 4'!F42&lt;&gt;"Trench")),CONCATENATE("Rainshadow ",'Map 4'!F42),'Map 4'!F42)</f>
        <v>Flatland</v>
      </c>
      <c r="G42" s="3" t="str">
        <f ca="1">IF(OR(AND($AV42="⤵",'Map 4'!G43="Mountain",'Map 4'!G42&lt;&gt;"Mountain",'Map 4'!G42&lt;&gt;"Ocean",'Map 4'!G42&lt;&gt;"Trench"),AND($AV42="⤴",'Map 4'!G41="Mountain",'Map 4'!G42&lt;&gt;"Mountain",'Map 4'!G42&lt;&gt;"Ocean",'Map 4'!G42&lt;&gt;"Trench")),CONCATENATE("Rainshadow ",'Map 4'!G42),'Map 4'!G42)</f>
        <v>Flatland</v>
      </c>
      <c r="H42" s="3" t="str">
        <f ca="1">IF(OR(AND($AV42="⤵",'Map 4'!H43="Mountain",'Map 4'!H42&lt;&gt;"Mountain",'Map 4'!H42&lt;&gt;"Ocean",'Map 4'!H42&lt;&gt;"Trench"),AND($AV42="⤴",'Map 4'!H41="Mountain",'Map 4'!H42&lt;&gt;"Mountain",'Map 4'!H42&lt;&gt;"Ocean",'Map 4'!H42&lt;&gt;"Trench")),CONCATENATE("Rainshadow ",'Map 4'!H42),'Map 4'!H42)</f>
        <v>Flatland</v>
      </c>
      <c r="I42" s="3" t="str">
        <f ca="1">IF(OR(AND($AV42="⤵",'Map 4'!I43="Mountain",'Map 4'!I42&lt;&gt;"Mountain",'Map 4'!I42&lt;&gt;"Ocean",'Map 4'!I42&lt;&gt;"Trench"),AND($AV42="⤴",'Map 4'!I41="Mountain",'Map 4'!I42&lt;&gt;"Mountain",'Map 4'!I42&lt;&gt;"Ocean",'Map 4'!I42&lt;&gt;"Trench")),CONCATENATE("Rainshadow ",'Map 4'!I42),'Map 4'!I42)</f>
        <v>Ocean</v>
      </c>
      <c r="J42" s="3" t="str">
        <f ca="1">IF(OR(AND($AV42="⤵",'Map 4'!J43="Mountain",'Map 4'!J42&lt;&gt;"Mountain",'Map 4'!J42&lt;&gt;"Ocean",'Map 4'!J42&lt;&gt;"Trench"),AND($AV42="⤴",'Map 4'!J41="Mountain",'Map 4'!J42&lt;&gt;"Mountain",'Map 4'!J42&lt;&gt;"Ocean",'Map 4'!J42&lt;&gt;"Trench")),CONCATENATE("Rainshadow ",'Map 4'!J42),'Map 4'!J42)</f>
        <v>Ocean</v>
      </c>
      <c r="K42" s="3" t="str">
        <f ca="1">IF(OR(AND($AV42="⤵",'Map 4'!K43="Mountain",'Map 4'!K42&lt;&gt;"Mountain",'Map 4'!K42&lt;&gt;"Ocean",'Map 4'!K42&lt;&gt;"Trench"),AND($AV42="⤴",'Map 4'!K41="Mountain",'Map 4'!K42&lt;&gt;"Mountain",'Map 4'!K42&lt;&gt;"Ocean",'Map 4'!K42&lt;&gt;"Trench")),CONCATENATE("Rainshadow ",'Map 4'!K42),'Map 4'!K42)</f>
        <v>Coast</v>
      </c>
      <c r="L42" s="3" t="str">
        <f ca="1">IF(OR(AND($AV42="⤵",'Map 4'!L43="Mountain",'Map 4'!L42&lt;&gt;"Mountain",'Map 4'!L42&lt;&gt;"Ocean",'Map 4'!L42&lt;&gt;"Trench"),AND($AV42="⤴",'Map 4'!L41="Mountain",'Map 4'!L42&lt;&gt;"Mountain",'Map 4'!L42&lt;&gt;"Ocean",'Map 4'!L42&lt;&gt;"Trench")),CONCATENATE("Rainshadow ",'Map 4'!L42),'Map 4'!L42)</f>
        <v>Coast</v>
      </c>
      <c r="M42" s="3" t="str">
        <f ca="1">IF(OR(AND($AV42="⤵",'Map 4'!M43="Mountain",'Map 4'!M42&lt;&gt;"Mountain",'Map 4'!M42&lt;&gt;"Ocean",'Map 4'!M42&lt;&gt;"Trench"),AND($AV42="⤴",'Map 4'!M41="Mountain",'Map 4'!M42&lt;&gt;"Mountain",'Map 4'!M42&lt;&gt;"Ocean",'Map 4'!M42&lt;&gt;"Trench")),CONCATENATE("Rainshadow ",'Map 4'!M42),'Map 4'!M42)</f>
        <v>Ocean</v>
      </c>
      <c r="N42" s="3" t="str">
        <f ca="1">IF(OR(AND($AV42="⤵",'Map 4'!N43="Mountain",'Map 4'!N42&lt;&gt;"Mountain",'Map 4'!N42&lt;&gt;"Ocean",'Map 4'!N42&lt;&gt;"Trench"),AND($AV42="⤴",'Map 4'!N41="Mountain",'Map 4'!N42&lt;&gt;"Mountain",'Map 4'!N42&lt;&gt;"Ocean",'Map 4'!N42&lt;&gt;"Trench")),CONCATENATE("Rainshadow ",'Map 4'!N42),'Map 4'!N42)</f>
        <v>Flatland</v>
      </c>
      <c r="O42" s="3" t="str">
        <f ca="1">IF(OR(AND($AV42="⤵",'Map 4'!O43="Mountain",'Map 4'!O42&lt;&gt;"Mountain",'Map 4'!O42&lt;&gt;"Ocean",'Map 4'!O42&lt;&gt;"Trench"),AND($AV42="⤴",'Map 4'!O41="Mountain",'Map 4'!O42&lt;&gt;"Mountain",'Map 4'!O42&lt;&gt;"Ocean",'Map 4'!O42&lt;&gt;"Trench")),CONCATENATE("Rainshadow ",'Map 4'!O42),'Map 4'!O42)</f>
        <v>Coast</v>
      </c>
      <c r="P42" s="3" t="str">
        <f ca="1">IF(OR(AND($AV42="⤵",'Map 4'!P43="Mountain",'Map 4'!P42&lt;&gt;"Mountain",'Map 4'!P42&lt;&gt;"Ocean",'Map 4'!P42&lt;&gt;"Trench"),AND($AV42="⤴",'Map 4'!P41="Mountain",'Map 4'!P42&lt;&gt;"Mountain",'Map 4'!P42&lt;&gt;"Ocean",'Map 4'!P42&lt;&gt;"Trench")),CONCATENATE("Rainshadow ",'Map 4'!P42),'Map 4'!P42)</f>
        <v>Flatland</v>
      </c>
      <c r="Q42" s="3" t="str">
        <f ca="1">IF(OR(AND($AV42="⤵",'Map 4'!Q43="Mountain",'Map 4'!Q42&lt;&gt;"Mountain",'Map 4'!Q42&lt;&gt;"Ocean",'Map 4'!Q42&lt;&gt;"Trench"),AND($AV42="⤴",'Map 4'!Q41="Mountain",'Map 4'!Q42&lt;&gt;"Mountain",'Map 4'!Q42&lt;&gt;"Ocean",'Map 4'!Q42&lt;&gt;"Trench")),CONCATENATE("Rainshadow ",'Map 4'!Q42),'Map 4'!Q42)</f>
        <v>Coast</v>
      </c>
      <c r="R42" s="3" t="str">
        <f ca="1">IF(OR(AND($AV42="⤵",'Map 4'!R43="Mountain",'Map 4'!R42&lt;&gt;"Mountain",'Map 4'!R42&lt;&gt;"Ocean",'Map 4'!R42&lt;&gt;"Trench"),AND($AV42="⤴",'Map 4'!R41="Mountain",'Map 4'!R42&lt;&gt;"Mountain",'Map 4'!R42&lt;&gt;"Ocean",'Map 4'!R42&lt;&gt;"Trench")),CONCATENATE("Rainshadow ",'Map 4'!R42),'Map 4'!R42)</f>
        <v>Coast</v>
      </c>
      <c r="S42" s="3" t="str">
        <f ca="1">IF(OR(AND($AV42="⤵",'Map 4'!S43="Mountain",'Map 4'!S42&lt;&gt;"Mountain",'Map 4'!S42&lt;&gt;"Ocean",'Map 4'!S42&lt;&gt;"Trench"),AND($AV42="⤴",'Map 4'!S41="Mountain",'Map 4'!S42&lt;&gt;"Mountain",'Map 4'!S42&lt;&gt;"Ocean",'Map 4'!S42&lt;&gt;"Trench")),CONCATENATE("Rainshadow ",'Map 4'!S42),'Map 4'!S42)</f>
        <v>Ocean</v>
      </c>
      <c r="T42" s="3" t="str">
        <f ca="1">IF(OR(AND($AV42="⤵",'Map 4'!T43="Mountain",'Map 4'!T42&lt;&gt;"Mountain",'Map 4'!T42&lt;&gt;"Ocean",'Map 4'!T42&lt;&gt;"Trench"),AND($AV42="⤴",'Map 4'!T41="Mountain",'Map 4'!T42&lt;&gt;"Mountain",'Map 4'!T42&lt;&gt;"Ocean",'Map 4'!T42&lt;&gt;"Trench")),CONCATENATE("Rainshadow ",'Map 4'!T42),'Map 4'!T42)</f>
        <v>Ocean</v>
      </c>
      <c r="U42" s="3" t="str">
        <f ca="1">IF(OR(AND($AV42="⤵",'Map 4'!U43="Mountain",'Map 4'!U42&lt;&gt;"Mountain",'Map 4'!U42&lt;&gt;"Ocean",'Map 4'!U42&lt;&gt;"Trench"),AND($AV42="⤴",'Map 4'!U41="Mountain",'Map 4'!U42&lt;&gt;"Mountain",'Map 4'!U42&lt;&gt;"Ocean",'Map 4'!U42&lt;&gt;"Trench")),CONCATENATE("Rainshadow ",'Map 4'!U42),'Map 4'!U42)</f>
        <v>Ocean</v>
      </c>
      <c r="V42" s="3" t="str">
        <f ca="1">IF(OR(AND($AV42="⤵",'Map 4'!V43="Mountain",'Map 4'!V42&lt;&gt;"Mountain",'Map 4'!V42&lt;&gt;"Ocean",'Map 4'!V42&lt;&gt;"Trench"),AND($AV42="⤴",'Map 4'!V41="Mountain",'Map 4'!V42&lt;&gt;"Mountain",'Map 4'!V42&lt;&gt;"Ocean",'Map 4'!V42&lt;&gt;"Trench")),CONCATENATE("Rainshadow ",'Map 4'!V42),'Map 4'!V42)</f>
        <v>Ocean</v>
      </c>
      <c r="W42" s="3" t="str">
        <f ca="1">IF(OR(AND($AV42="⤵",'Map 4'!W43="Mountain",'Map 4'!W42&lt;&gt;"Mountain",'Map 4'!W42&lt;&gt;"Ocean",'Map 4'!W42&lt;&gt;"Trench"),AND($AV42="⤴",'Map 4'!W41="Mountain",'Map 4'!W42&lt;&gt;"Mountain",'Map 4'!W42&lt;&gt;"Ocean",'Map 4'!W42&lt;&gt;"Trench")),CONCATENATE("Rainshadow ",'Map 4'!W42),'Map 4'!W42)</f>
        <v>Ocean</v>
      </c>
      <c r="X42" s="3" t="str">
        <f ca="1">IF(OR(AND($AV42="⤵",'Map 4'!X43="Mountain",'Map 4'!X42&lt;&gt;"Mountain",'Map 4'!X42&lt;&gt;"Ocean",'Map 4'!X42&lt;&gt;"Trench"),AND($AV42="⤴",'Map 4'!X41="Mountain",'Map 4'!X42&lt;&gt;"Mountain",'Map 4'!X42&lt;&gt;"Ocean",'Map 4'!X42&lt;&gt;"Trench")),CONCATENATE("Rainshadow ",'Map 4'!X42),'Map 4'!X42)</f>
        <v>Ocean</v>
      </c>
      <c r="Y42" s="3" t="str">
        <f ca="1">IF(OR(AND($AV42="⤵",'Map 4'!Y43="Mountain",'Map 4'!Y42&lt;&gt;"Mountain",'Map 4'!Y42&lt;&gt;"Ocean",'Map 4'!Y42&lt;&gt;"Trench"),AND($AV42="⤴",'Map 4'!Y41="Mountain",'Map 4'!Y42&lt;&gt;"Mountain",'Map 4'!Y42&lt;&gt;"Ocean",'Map 4'!Y42&lt;&gt;"Trench")),CONCATENATE("Rainshadow ",'Map 4'!Y42),'Map 4'!Y42)</f>
        <v>Ocean</v>
      </c>
      <c r="Z42" s="3" t="str">
        <f ca="1">IF(OR(AND($AV42="⤵",'Map 4'!Z43="Mountain",'Map 4'!Z42&lt;&gt;"Mountain",'Map 4'!Z42&lt;&gt;"Ocean",'Map 4'!Z42&lt;&gt;"Trench"),AND($AV42="⤴",'Map 4'!Z41="Mountain",'Map 4'!Z42&lt;&gt;"Mountain",'Map 4'!Z42&lt;&gt;"Ocean",'Map 4'!Z42&lt;&gt;"Trench")),CONCATENATE("Rainshadow ",'Map 4'!Z42),'Map 4'!Z42)</f>
        <v>Ocean</v>
      </c>
      <c r="AA42" s="3" t="str">
        <f ca="1">IF(OR(AND($AV42="⤵",'Map 4'!AA43="Mountain",'Map 4'!AA42&lt;&gt;"Mountain",'Map 4'!AA42&lt;&gt;"Ocean",'Map 4'!AA42&lt;&gt;"Trench"),AND($AV42="⤴",'Map 4'!AA41="Mountain",'Map 4'!AA42&lt;&gt;"Mountain",'Map 4'!AA42&lt;&gt;"Ocean",'Map 4'!AA42&lt;&gt;"Trench")),CONCATENATE("Rainshadow ",'Map 4'!AA42),'Map 4'!AA42)</f>
        <v>Trench</v>
      </c>
      <c r="AB42" s="3" t="str">
        <f ca="1">IF(OR(AND($AV42="⤵",'Map 4'!AB43="Mountain",'Map 4'!AB42&lt;&gt;"Mountain",'Map 4'!AB42&lt;&gt;"Ocean",'Map 4'!AB42&lt;&gt;"Trench"),AND($AV42="⤴",'Map 4'!AB41="Mountain",'Map 4'!AB42&lt;&gt;"Mountain",'Map 4'!AB42&lt;&gt;"Ocean",'Map 4'!AB42&lt;&gt;"Trench")),CONCATENATE("Rainshadow ",'Map 4'!AB42),'Map 4'!AB42)</f>
        <v>Island</v>
      </c>
      <c r="AC42" s="3" t="str">
        <f ca="1">IF(OR(AND($AV42="⤵",'Map 4'!AC43="Mountain",'Map 4'!AC42&lt;&gt;"Mountain",'Map 4'!AC42&lt;&gt;"Ocean",'Map 4'!AC42&lt;&gt;"Trench"),AND($AV42="⤴",'Map 4'!AC41="Mountain",'Map 4'!AC42&lt;&gt;"Mountain",'Map 4'!AC42&lt;&gt;"Ocean",'Map 4'!AC42&lt;&gt;"Trench")),CONCATENATE("Rainshadow ",'Map 4'!AC42),'Map 4'!AC42)</f>
        <v>Ocean</v>
      </c>
      <c r="AD42" s="3" t="str">
        <f ca="1">IF(OR(AND($AV42="⤵",'Map 4'!AD43="Mountain",'Map 4'!AD42&lt;&gt;"Mountain",'Map 4'!AD42&lt;&gt;"Ocean",'Map 4'!AD42&lt;&gt;"Trench"),AND($AV42="⤴",'Map 4'!AD41="Mountain",'Map 4'!AD42&lt;&gt;"Mountain",'Map 4'!AD42&lt;&gt;"Ocean",'Map 4'!AD42&lt;&gt;"Trench")),CONCATENATE("Rainshadow ",'Map 4'!AD42),'Map 4'!AD42)</f>
        <v>Ocean</v>
      </c>
      <c r="AE42" s="3" t="str">
        <f ca="1">IF(OR(AND($AV42="⤵",'Map 4'!AE43="Mountain",'Map 4'!AE42&lt;&gt;"Mountain",'Map 4'!AE42&lt;&gt;"Ocean",'Map 4'!AE42&lt;&gt;"Trench"),AND($AV42="⤴",'Map 4'!AE41="Mountain",'Map 4'!AE42&lt;&gt;"Mountain",'Map 4'!AE42&lt;&gt;"Ocean",'Map 4'!AE42&lt;&gt;"Trench")),CONCATENATE("Rainshadow ",'Map 4'!AE42),'Map 4'!AE42)</f>
        <v>Trench</v>
      </c>
      <c r="AF42" s="3" t="str">
        <f ca="1">IF(OR(AND($AV42="⤵",'Map 4'!AF43="Mountain",'Map 4'!AF42&lt;&gt;"Mountain",'Map 4'!AF42&lt;&gt;"Ocean",'Map 4'!AF42&lt;&gt;"Trench"),AND($AV42="⤴",'Map 4'!AF41="Mountain",'Map 4'!AF42&lt;&gt;"Mountain",'Map 4'!AF42&lt;&gt;"Ocean",'Map 4'!AF42&lt;&gt;"Trench")),CONCATENATE("Rainshadow ",'Map 4'!AF42),'Map 4'!AF42)</f>
        <v>Trench</v>
      </c>
      <c r="AG42" s="3" t="str">
        <f ca="1">IF(OR(AND($AV42="⤵",'Map 4'!AG43="Mountain",'Map 4'!AG42&lt;&gt;"Mountain",'Map 4'!AG42&lt;&gt;"Ocean",'Map 4'!AG42&lt;&gt;"Trench"),AND($AV42="⤴",'Map 4'!AG41="Mountain",'Map 4'!AG42&lt;&gt;"Mountain",'Map 4'!AG42&lt;&gt;"Ocean",'Map 4'!AG42&lt;&gt;"Trench")),CONCATENATE("Rainshadow ",'Map 4'!AG42),'Map 4'!AG42)</f>
        <v>Ocean</v>
      </c>
      <c r="AH42" s="3" t="str">
        <f ca="1">IF(OR(AND($AV42="⤵",'Map 4'!AH43="Mountain",'Map 4'!AH42&lt;&gt;"Mountain",'Map 4'!AH42&lt;&gt;"Ocean",'Map 4'!AH42&lt;&gt;"Trench"),AND($AV42="⤴",'Map 4'!AH41="Mountain",'Map 4'!AH42&lt;&gt;"Mountain",'Map 4'!AH42&lt;&gt;"Ocean",'Map 4'!AH42&lt;&gt;"Trench")),CONCATENATE("Rainshadow ",'Map 4'!AH42),'Map 4'!AH42)</f>
        <v>Ocean</v>
      </c>
      <c r="AI42" s="3" t="str">
        <f ca="1">IF(OR(AND($AV42="⤵",'Map 4'!AI43="Mountain",'Map 4'!AI42&lt;&gt;"Mountain",'Map 4'!AI42&lt;&gt;"Ocean",'Map 4'!AI42&lt;&gt;"Trench"),AND($AV42="⤴",'Map 4'!AI41="Mountain",'Map 4'!AI42&lt;&gt;"Mountain",'Map 4'!AI42&lt;&gt;"Ocean",'Map 4'!AI42&lt;&gt;"Trench")),CONCATENATE("Rainshadow ",'Map 4'!AI42),'Map 4'!AI42)</f>
        <v>Ocean</v>
      </c>
      <c r="AJ42" s="3" t="str">
        <f ca="1">IF(OR(AND($AV42="⤵",'Map 4'!AJ43="Mountain",'Map 4'!AJ42&lt;&gt;"Mountain",'Map 4'!AJ42&lt;&gt;"Ocean",'Map 4'!AJ42&lt;&gt;"Trench"),AND($AV42="⤴",'Map 4'!AJ41="Mountain",'Map 4'!AJ42&lt;&gt;"Mountain",'Map 4'!AJ42&lt;&gt;"Ocean",'Map 4'!AJ42&lt;&gt;"Trench")),CONCATENATE("Rainshadow ",'Map 4'!AJ42),'Map 4'!AJ42)</f>
        <v>Ocean</v>
      </c>
      <c r="AK42" s="3" t="str">
        <f ca="1">IF(OR(AND($AV42="⤵",'Map 4'!AK43="Mountain",'Map 4'!AK42&lt;&gt;"Mountain",'Map 4'!AK42&lt;&gt;"Ocean",'Map 4'!AK42&lt;&gt;"Trench"),AND($AV42="⤴",'Map 4'!AK41="Mountain",'Map 4'!AK42&lt;&gt;"Mountain",'Map 4'!AK42&lt;&gt;"Ocean",'Map 4'!AK42&lt;&gt;"Trench")),CONCATENATE("Rainshadow ",'Map 4'!AK42),'Map 4'!AK42)</f>
        <v>Ocean</v>
      </c>
      <c r="AL42" s="3" t="str">
        <f ca="1">IF(OR(AND($AV42="⤵",'Map 4'!AL43="Mountain",'Map 4'!AL42&lt;&gt;"Mountain",'Map 4'!AL42&lt;&gt;"Ocean",'Map 4'!AL42&lt;&gt;"Trench"),AND($AV42="⤴",'Map 4'!AL41="Mountain",'Map 4'!AL42&lt;&gt;"Mountain",'Map 4'!AL42&lt;&gt;"Ocean",'Map 4'!AL42&lt;&gt;"Trench")),CONCATENATE("Rainshadow ",'Map 4'!AL42),'Map 4'!AL42)</f>
        <v>Ocean</v>
      </c>
      <c r="AM42" s="3" t="str">
        <f ca="1">IF(OR(AND($AV42="⤵",'Map 4'!AM43="Mountain",'Map 4'!AM42&lt;&gt;"Mountain",'Map 4'!AM42&lt;&gt;"Ocean",'Map 4'!AM42&lt;&gt;"Trench"),AND($AV42="⤴",'Map 4'!AM41="Mountain",'Map 4'!AM42&lt;&gt;"Mountain",'Map 4'!AM42&lt;&gt;"Ocean",'Map 4'!AM42&lt;&gt;"Trench")),CONCATENATE("Rainshadow ",'Map 4'!AM42),'Map 4'!AM42)</f>
        <v>Ocean</v>
      </c>
      <c r="AN42" s="3" t="str">
        <f ca="1">IF(OR(AND($AV42="⤵",'Map 4'!AN43="Mountain",'Map 4'!AN42&lt;&gt;"Mountain",'Map 4'!AN42&lt;&gt;"Ocean",'Map 4'!AN42&lt;&gt;"Trench"),AND($AV42="⤴",'Map 4'!AN41="Mountain",'Map 4'!AN42&lt;&gt;"Mountain",'Map 4'!AN42&lt;&gt;"Ocean",'Map 4'!AN42&lt;&gt;"Trench")),CONCATENATE("Rainshadow ",'Map 4'!AN42),'Map 4'!AN42)</f>
        <v>Ocean</v>
      </c>
      <c r="AO42" s="3" t="str">
        <f ca="1">IF(OR(AND($AV42="⤵",'Map 4'!AO43="Mountain",'Map 4'!AO42&lt;&gt;"Mountain",'Map 4'!AO42&lt;&gt;"Ocean",'Map 4'!AO42&lt;&gt;"Trench"),AND($AV42="⤴",'Map 4'!AO41="Mountain",'Map 4'!AO42&lt;&gt;"Mountain",'Map 4'!AO42&lt;&gt;"Ocean",'Map 4'!AO42&lt;&gt;"Trench")),CONCATENATE("Rainshadow ",'Map 4'!AO42),'Map 4'!AO42)</f>
        <v>Trench</v>
      </c>
      <c r="AP42" s="3">
        <f t="shared" si="1"/>
        <v>7.5</v>
      </c>
      <c r="AQ42" s="3">
        <f t="shared" si="2"/>
        <v>45.5</v>
      </c>
      <c r="AR42" s="3"/>
      <c r="AS42" s="3">
        <f t="shared" si="5"/>
        <v>280.65000000000015</v>
      </c>
      <c r="AT42" s="41">
        <v>-58.5</v>
      </c>
      <c r="AU42" s="41" t="str">
        <f>AU17</f>
        <v>Forest</v>
      </c>
      <c r="AV42" s="41" t="str" cm="1">
        <f t="array" ref="AV42">_xlfn.IFS(AT42&lt;-90,"⤴",AND(AT42&gt;=-90,AT42&lt;-60),"⤴",AND(AT42&gt;=-60,AT42&lt;-30),"⤵",AND(AT42&gt;=-30,AT42&lt;0),"⤴",AND(AT42&gt;=0,AT42&lt;30),"⤵",AND(AT42&gt;=30,AT42&lt;60),"⤴",AT42&gt;=60,"⤵")</f>
        <v>⤵</v>
      </c>
      <c r="AW42" s="41">
        <f>AW17</f>
        <v>0.86</v>
      </c>
    </row>
    <row r="43" spans="1:49" ht="15" customHeight="1">
      <c r="A43" s="3">
        <v>34</v>
      </c>
      <c r="B43" s="3" t="str">
        <f ca="1">IF(OR(AND($AV43="⤵",'Map 4'!B44="Mountain",'Map 4'!B43&lt;&gt;"Mountain",'Map 4'!B43&lt;&gt;"Ocean",'Map 4'!B43&lt;&gt;"Trench"),AND($AV43="⤴",'Map 4'!B42="Mountain",'Map 4'!B43&lt;&gt;"Mountain",'Map 4'!B43&lt;&gt;"Ocean",'Map 4'!B43&lt;&gt;"Trench")),CONCATENATE("Rainshadow ",'Map 4'!B43),'Map 4'!B43)</f>
        <v>Ocean</v>
      </c>
      <c r="C43" s="3" t="str">
        <f ca="1">IF(OR(AND($AV43="⤵",'Map 4'!C44="Mountain",'Map 4'!C43&lt;&gt;"Mountain",'Map 4'!C43&lt;&gt;"Ocean",'Map 4'!C43&lt;&gt;"Trench"),AND($AV43="⤴",'Map 4'!C42="Mountain",'Map 4'!C43&lt;&gt;"Mountain",'Map 4'!C43&lt;&gt;"Ocean",'Map 4'!C43&lt;&gt;"Trench")),CONCATENATE("Rainshadow ",'Map 4'!C43),'Map 4'!C43)</f>
        <v>Ocean</v>
      </c>
      <c r="D43" s="3" t="str">
        <f ca="1">IF(OR(AND($AV43="⤵",'Map 4'!D44="Mountain",'Map 4'!D43&lt;&gt;"Mountain",'Map 4'!D43&lt;&gt;"Ocean",'Map 4'!D43&lt;&gt;"Trench"),AND($AV43="⤴",'Map 4'!D42="Mountain",'Map 4'!D43&lt;&gt;"Mountain",'Map 4'!D43&lt;&gt;"Ocean",'Map 4'!D43&lt;&gt;"Trench")),CONCATENATE("Rainshadow ",'Map 4'!D43),'Map 4'!D43)</f>
        <v>Coast</v>
      </c>
      <c r="E43" s="3" t="str">
        <f ca="1">IF(OR(AND($AV43="⤵",'Map 4'!E44="Mountain",'Map 4'!E43&lt;&gt;"Mountain",'Map 4'!E43&lt;&gt;"Ocean",'Map 4'!E43&lt;&gt;"Trench"),AND($AV43="⤴",'Map 4'!E42="Mountain",'Map 4'!E43&lt;&gt;"Mountain",'Map 4'!E43&lt;&gt;"Ocean",'Map 4'!E43&lt;&gt;"Trench")),CONCATENATE("Rainshadow ",'Map 4'!E43),'Map 4'!E43)</f>
        <v>Ocean</v>
      </c>
      <c r="F43" s="3" t="str">
        <f ca="1">IF(OR(AND($AV43="⤵",'Map 4'!F44="Mountain",'Map 4'!F43&lt;&gt;"Mountain",'Map 4'!F43&lt;&gt;"Ocean",'Map 4'!F43&lt;&gt;"Trench"),AND($AV43="⤴",'Map 4'!F42="Mountain",'Map 4'!F43&lt;&gt;"Mountain",'Map 4'!F43&lt;&gt;"Ocean",'Map 4'!F43&lt;&gt;"Trench")),CONCATENATE("Rainshadow ",'Map 4'!F43),'Map 4'!F43)</f>
        <v>Ocean</v>
      </c>
      <c r="G43" s="3" t="str">
        <f ca="1">IF(OR(AND($AV43="⤵",'Map 4'!G44="Mountain",'Map 4'!G43&lt;&gt;"Mountain",'Map 4'!G43&lt;&gt;"Ocean",'Map 4'!G43&lt;&gt;"Trench"),AND($AV43="⤴",'Map 4'!G42="Mountain",'Map 4'!G43&lt;&gt;"Mountain",'Map 4'!G43&lt;&gt;"Ocean",'Map 4'!G43&lt;&gt;"Trench")),CONCATENATE("Rainshadow ",'Map 4'!G43),'Map 4'!G43)</f>
        <v>Ocean</v>
      </c>
      <c r="H43" s="3" t="str">
        <f ca="1">IF(OR(AND($AV43="⤵",'Map 4'!H44="Mountain",'Map 4'!H43&lt;&gt;"Mountain",'Map 4'!H43&lt;&gt;"Ocean",'Map 4'!H43&lt;&gt;"Trench"),AND($AV43="⤴",'Map 4'!H42="Mountain",'Map 4'!H43&lt;&gt;"Mountain",'Map 4'!H43&lt;&gt;"Ocean",'Map 4'!H43&lt;&gt;"Trench")),CONCATENATE("Rainshadow ",'Map 4'!H43),'Map 4'!H43)</f>
        <v>Ocean</v>
      </c>
      <c r="I43" s="3" t="str">
        <f ca="1">IF(OR(AND($AV43="⤵",'Map 4'!I44="Mountain",'Map 4'!I43&lt;&gt;"Mountain",'Map 4'!I43&lt;&gt;"Ocean",'Map 4'!I43&lt;&gt;"Trench"),AND($AV43="⤴",'Map 4'!I42="Mountain",'Map 4'!I43&lt;&gt;"Mountain",'Map 4'!I43&lt;&gt;"Ocean",'Map 4'!I43&lt;&gt;"Trench")),CONCATENATE("Rainshadow ",'Map 4'!I43),'Map 4'!I43)</f>
        <v>Ocean</v>
      </c>
      <c r="J43" s="3" t="str">
        <f ca="1">IF(OR(AND($AV43="⤵",'Map 4'!J44="Mountain",'Map 4'!J43&lt;&gt;"Mountain",'Map 4'!J43&lt;&gt;"Ocean",'Map 4'!J43&lt;&gt;"Trench"),AND($AV43="⤴",'Map 4'!J42="Mountain",'Map 4'!J43&lt;&gt;"Mountain",'Map 4'!J43&lt;&gt;"Ocean",'Map 4'!J43&lt;&gt;"Trench")),CONCATENATE("Rainshadow ",'Map 4'!J43),'Map 4'!J43)</f>
        <v>Coast</v>
      </c>
      <c r="K43" s="3" t="str">
        <f ca="1">IF(OR(AND($AV43="⤵",'Map 4'!K44="Mountain",'Map 4'!K43&lt;&gt;"Mountain",'Map 4'!K43&lt;&gt;"Ocean",'Map 4'!K43&lt;&gt;"Trench"),AND($AV43="⤴",'Map 4'!K42="Mountain",'Map 4'!K43&lt;&gt;"Mountain",'Map 4'!K43&lt;&gt;"Ocean",'Map 4'!K43&lt;&gt;"Trench")),CONCATENATE("Rainshadow ",'Map 4'!K43),'Map 4'!K43)</f>
        <v>Flatland</v>
      </c>
      <c r="L43" s="3" t="str">
        <f ca="1">IF(OR(AND($AV43="⤵",'Map 4'!L44="Mountain",'Map 4'!L43&lt;&gt;"Mountain",'Map 4'!L43&lt;&gt;"Ocean",'Map 4'!L43&lt;&gt;"Trench"),AND($AV43="⤴",'Map 4'!L42="Mountain",'Map 4'!L43&lt;&gt;"Mountain",'Map 4'!L43&lt;&gt;"Ocean",'Map 4'!L43&lt;&gt;"Trench")),CONCATENATE("Rainshadow ",'Map 4'!L43),'Map 4'!L43)</f>
        <v>Coast</v>
      </c>
      <c r="M43" s="3" t="str">
        <f ca="1">IF(OR(AND($AV43="⤵",'Map 4'!M44="Mountain",'Map 4'!M43&lt;&gt;"Mountain",'Map 4'!M43&lt;&gt;"Ocean",'Map 4'!M43&lt;&gt;"Trench"),AND($AV43="⤴",'Map 4'!M42="Mountain",'Map 4'!M43&lt;&gt;"Mountain",'Map 4'!M43&lt;&gt;"Ocean",'Map 4'!M43&lt;&gt;"Trench")),CONCATENATE("Rainshadow ",'Map 4'!M43),'Map 4'!M43)</f>
        <v>Flatland</v>
      </c>
      <c r="N43" s="3" t="str">
        <f ca="1">IF(OR(AND($AV43="⤵",'Map 4'!N44="Mountain",'Map 4'!N43&lt;&gt;"Mountain",'Map 4'!N43&lt;&gt;"Ocean",'Map 4'!N43&lt;&gt;"Trench"),AND($AV43="⤴",'Map 4'!N42="Mountain",'Map 4'!N43&lt;&gt;"Mountain",'Map 4'!N43&lt;&gt;"Ocean",'Map 4'!N43&lt;&gt;"Trench")),CONCATENATE("Rainshadow ",'Map 4'!N43),'Map 4'!N43)</f>
        <v>Flatland</v>
      </c>
      <c r="O43" s="3" t="str">
        <f ca="1">IF(OR(AND($AV43="⤵",'Map 4'!O44="Mountain",'Map 4'!O43&lt;&gt;"Mountain",'Map 4'!O43&lt;&gt;"Ocean",'Map 4'!O43&lt;&gt;"Trench"),AND($AV43="⤴",'Map 4'!O42="Mountain",'Map 4'!O43&lt;&gt;"Mountain",'Map 4'!O43&lt;&gt;"Ocean",'Map 4'!O43&lt;&gt;"Trench")),CONCATENATE("Rainshadow ",'Map 4'!O43),'Map 4'!O43)</f>
        <v>Flatland</v>
      </c>
      <c r="P43" s="3" t="str">
        <f ca="1">IF(OR(AND($AV43="⤵",'Map 4'!P44="Mountain",'Map 4'!P43&lt;&gt;"Mountain",'Map 4'!P43&lt;&gt;"Ocean",'Map 4'!P43&lt;&gt;"Trench"),AND($AV43="⤴",'Map 4'!P42="Mountain",'Map 4'!P43&lt;&gt;"Mountain",'Map 4'!P43&lt;&gt;"Ocean",'Map 4'!P43&lt;&gt;"Trench")),CONCATENATE("Rainshadow ",'Map 4'!P43),'Map 4'!P43)</f>
        <v>Flatland</v>
      </c>
      <c r="Q43" s="3" t="str">
        <f ca="1">IF(OR(AND($AV43="⤵",'Map 4'!Q44="Mountain",'Map 4'!Q43&lt;&gt;"Mountain",'Map 4'!Q43&lt;&gt;"Ocean",'Map 4'!Q43&lt;&gt;"Trench"),AND($AV43="⤴",'Map 4'!Q42="Mountain",'Map 4'!Q43&lt;&gt;"Mountain",'Map 4'!Q43&lt;&gt;"Ocean",'Map 4'!Q43&lt;&gt;"Trench")),CONCATENATE("Rainshadow ",'Map 4'!Q43),'Map 4'!Q43)</f>
        <v>Coast</v>
      </c>
      <c r="R43" s="3" t="str">
        <f ca="1">IF(OR(AND($AV43="⤵",'Map 4'!R44="Mountain",'Map 4'!R43&lt;&gt;"Mountain",'Map 4'!R43&lt;&gt;"Ocean",'Map 4'!R43&lt;&gt;"Trench"),AND($AV43="⤴",'Map 4'!R42="Mountain",'Map 4'!R43&lt;&gt;"Mountain",'Map 4'!R43&lt;&gt;"Ocean",'Map 4'!R43&lt;&gt;"Trench")),CONCATENATE("Rainshadow ",'Map 4'!R43),'Map 4'!R43)</f>
        <v>Ocean</v>
      </c>
      <c r="S43" s="3" t="str">
        <f ca="1">IF(OR(AND($AV43="⤵",'Map 4'!S44="Mountain",'Map 4'!S43&lt;&gt;"Mountain",'Map 4'!S43&lt;&gt;"Ocean",'Map 4'!S43&lt;&gt;"Trench"),AND($AV43="⤴",'Map 4'!S42="Mountain",'Map 4'!S43&lt;&gt;"Mountain",'Map 4'!S43&lt;&gt;"Ocean",'Map 4'!S43&lt;&gt;"Trench")),CONCATENATE("Rainshadow ",'Map 4'!S43),'Map 4'!S43)</f>
        <v>Ocean</v>
      </c>
      <c r="T43" s="3" t="str">
        <f ca="1">IF(OR(AND($AV43="⤵",'Map 4'!T44="Mountain",'Map 4'!T43&lt;&gt;"Mountain",'Map 4'!T43&lt;&gt;"Ocean",'Map 4'!T43&lt;&gt;"Trench"),AND($AV43="⤴",'Map 4'!T42="Mountain",'Map 4'!T43&lt;&gt;"Mountain",'Map 4'!T43&lt;&gt;"Ocean",'Map 4'!T43&lt;&gt;"Trench")),CONCATENATE("Rainshadow ",'Map 4'!T43),'Map 4'!T43)</f>
        <v>Ocean</v>
      </c>
      <c r="U43" s="3" t="str">
        <f ca="1">IF(OR(AND($AV43="⤵",'Map 4'!U44="Mountain",'Map 4'!U43&lt;&gt;"Mountain",'Map 4'!U43&lt;&gt;"Ocean",'Map 4'!U43&lt;&gt;"Trench"),AND($AV43="⤴",'Map 4'!U42="Mountain",'Map 4'!U43&lt;&gt;"Mountain",'Map 4'!U43&lt;&gt;"Ocean",'Map 4'!U43&lt;&gt;"Trench")),CONCATENATE("Rainshadow ",'Map 4'!U43),'Map 4'!U43)</f>
        <v>Ocean</v>
      </c>
      <c r="V43" s="3" t="str">
        <f ca="1">IF(OR(AND($AV43="⤵",'Map 4'!V44="Mountain",'Map 4'!V43&lt;&gt;"Mountain",'Map 4'!V43&lt;&gt;"Ocean",'Map 4'!V43&lt;&gt;"Trench"),AND($AV43="⤴",'Map 4'!V42="Mountain",'Map 4'!V43&lt;&gt;"Mountain",'Map 4'!V43&lt;&gt;"Ocean",'Map 4'!V43&lt;&gt;"Trench")),CONCATENATE("Rainshadow ",'Map 4'!V43),'Map 4'!V43)</f>
        <v>Ocean</v>
      </c>
      <c r="W43" s="3" t="str">
        <f ca="1">IF(OR(AND($AV43="⤵",'Map 4'!W44="Mountain",'Map 4'!W43&lt;&gt;"Mountain",'Map 4'!W43&lt;&gt;"Ocean",'Map 4'!W43&lt;&gt;"Trench"),AND($AV43="⤴",'Map 4'!W42="Mountain",'Map 4'!W43&lt;&gt;"Mountain",'Map 4'!W43&lt;&gt;"Ocean",'Map 4'!W43&lt;&gt;"Trench")),CONCATENATE("Rainshadow ",'Map 4'!W43),'Map 4'!W43)</f>
        <v>Ocean</v>
      </c>
      <c r="X43" s="3" t="str">
        <f ca="1">IF(OR(AND($AV43="⤵",'Map 4'!X44="Mountain",'Map 4'!X43&lt;&gt;"Mountain",'Map 4'!X43&lt;&gt;"Ocean",'Map 4'!X43&lt;&gt;"Trench"),AND($AV43="⤴",'Map 4'!X42="Mountain",'Map 4'!X43&lt;&gt;"Mountain",'Map 4'!X43&lt;&gt;"Ocean",'Map 4'!X43&lt;&gt;"Trench")),CONCATENATE("Rainshadow ",'Map 4'!X43),'Map 4'!X43)</f>
        <v>Ocean</v>
      </c>
      <c r="Y43" s="3" t="str">
        <f ca="1">IF(OR(AND($AV43="⤵",'Map 4'!Y44="Mountain",'Map 4'!Y43&lt;&gt;"Mountain",'Map 4'!Y43&lt;&gt;"Ocean",'Map 4'!Y43&lt;&gt;"Trench"),AND($AV43="⤴",'Map 4'!Y42="Mountain",'Map 4'!Y43&lt;&gt;"Mountain",'Map 4'!Y43&lt;&gt;"Ocean",'Map 4'!Y43&lt;&gt;"Trench")),CONCATENATE("Rainshadow ",'Map 4'!Y43),'Map 4'!Y43)</f>
        <v>Ocean</v>
      </c>
      <c r="Z43" s="3" t="str">
        <f ca="1">IF(OR(AND($AV43="⤵",'Map 4'!Z44="Mountain",'Map 4'!Z43&lt;&gt;"Mountain",'Map 4'!Z43&lt;&gt;"Ocean",'Map 4'!Z43&lt;&gt;"Trench"),AND($AV43="⤴",'Map 4'!Z42="Mountain",'Map 4'!Z43&lt;&gt;"Mountain",'Map 4'!Z43&lt;&gt;"Ocean",'Map 4'!Z43&lt;&gt;"Trench")),CONCATENATE("Rainshadow ",'Map 4'!Z43),'Map 4'!Z43)</f>
        <v>Trench</v>
      </c>
      <c r="AA43" s="3" t="str">
        <f ca="1">IF(OR(AND($AV43="⤵",'Map 4'!AA44="Mountain",'Map 4'!AA43&lt;&gt;"Mountain",'Map 4'!AA43&lt;&gt;"Ocean",'Map 4'!AA43&lt;&gt;"Trench"),AND($AV43="⤴",'Map 4'!AA42="Mountain",'Map 4'!AA43&lt;&gt;"Mountain",'Map 4'!AA43&lt;&gt;"Ocean",'Map 4'!AA43&lt;&gt;"Trench")),CONCATENATE("Rainshadow ",'Map 4'!AA43),'Map 4'!AA43)</f>
        <v>Island</v>
      </c>
      <c r="AB43" s="3" t="str">
        <f ca="1">IF(OR(AND($AV43="⤵",'Map 4'!AB44="Mountain",'Map 4'!AB43&lt;&gt;"Mountain",'Map 4'!AB43&lt;&gt;"Ocean",'Map 4'!AB43&lt;&gt;"Trench"),AND($AV43="⤴",'Map 4'!AB42="Mountain",'Map 4'!AB43&lt;&gt;"Mountain",'Map 4'!AB43&lt;&gt;"Ocean",'Map 4'!AB43&lt;&gt;"Trench")),CONCATENATE("Rainshadow ",'Map 4'!AB43),'Map 4'!AB43)</f>
        <v>Ocean</v>
      </c>
      <c r="AC43" s="3" t="str">
        <f ca="1">IF(OR(AND($AV43="⤵",'Map 4'!AC44="Mountain",'Map 4'!AC43&lt;&gt;"Mountain",'Map 4'!AC43&lt;&gt;"Ocean",'Map 4'!AC43&lt;&gt;"Trench"),AND($AV43="⤴",'Map 4'!AC42="Mountain",'Map 4'!AC43&lt;&gt;"Mountain",'Map 4'!AC43&lt;&gt;"Ocean",'Map 4'!AC43&lt;&gt;"Trench")),CONCATENATE("Rainshadow ",'Map 4'!AC43),'Map 4'!AC43)</f>
        <v>Ocean</v>
      </c>
      <c r="AD43" s="3" t="str">
        <f ca="1">IF(OR(AND($AV43="⤵",'Map 4'!AD44="Mountain",'Map 4'!AD43&lt;&gt;"Mountain",'Map 4'!AD43&lt;&gt;"Ocean",'Map 4'!AD43&lt;&gt;"Trench"),AND($AV43="⤴",'Map 4'!AD42="Mountain",'Map 4'!AD43&lt;&gt;"Mountain",'Map 4'!AD43&lt;&gt;"Ocean",'Map 4'!AD43&lt;&gt;"Trench")),CONCATENATE("Rainshadow ",'Map 4'!AD43),'Map 4'!AD43)</f>
        <v>Ocean</v>
      </c>
      <c r="AE43" s="3" t="str">
        <f ca="1">IF(OR(AND($AV43="⤵",'Map 4'!AE44="Mountain",'Map 4'!AE43&lt;&gt;"Mountain",'Map 4'!AE43&lt;&gt;"Ocean",'Map 4'!AE43&lt;&gt;"Trench"),AND($AV43="⤴",'Map 4'!AE42="Mountain",'Map 4'!AE43&lt;&gt;"Mountain",'Map 4'!AE43&lt;&gt;"Ocean",'Map 4'!AE43&lt;&gt;"Trench")),CONCATENATE("Rainshadow ",'Map 4'!AE43),'Map 4'!AE43)</f>
        <v>Ocean</v>
      </c>
      <c r="AF43" s="3" t="str">
        <f ca="1">IF(OR(AND($AV43="⤵",'Map 4'!AF44="Mountain",'Map 4'!AF43&lt;&gt;"Mountain",'Map 4'!AF43&lt;&gt;"Ocean",'Map 4'!AF43&lt;&gt;"Trench"),AND($AV43="⤴",'Map 4'!AF42="Mountain",'Map 4'!AF43&lt;&gt;"Mountain",'Map 4'!AF43&lt;&gt;"Ocean",'Map 4'!AF43&lt;&gt;"Trench")),CONCATENATE("Rainshadow ",'Map 4'!AF43),'Map 4'!AF43)</f>
        <v>Ocean</v>
      </c>
      <c r="AG43" s="3" t="str">
        <f ca="1">IF(OR(AND($AV43="⤵",'Map 4'!AG44="Mountain",'Map 4'!AG43&lt;&gt;"Mountain",'Map 4'!AG43&lt;&gt;"Ocean",'Map 4'!AG43&lt;&gt;"Trench"),AND($AV43="⤴",'Map 4'!AG42="Mountain",'Map 4'!AG43&lt;&gt;"Mountain",'Map 4'!AG43&lt;&gt;"Ocean",'Map 4'!AG43&lt;&gt;"Trench")),CONCATENATE("Rainshadow ",'Map 4'!AG43),'Map 4'!AG43)</f>
        <v>Ocean</v>
      </c>
      <c r="AH43" s="3" t="str">
        <f ca="1">IF(OR(AND($AV43="⤵",'Map 4'!AH44="Mountain",'Map 4'!AH43&lt;&gt;"Mountain",'Map 4'!AH43&lt;&gt;"Ocean",'Map 4'!AH43&lt;&gt;"Trench"),AND($AV43="⤴",'Map 4'!AH42="Mountain",'Map 4'!AH43&lt;&gt;"Mountain",'Map 4'!AH43&lt;&gt;"Ocean",'Map 4'!AH43&lt;&gt;"Trench")),CONCATENATE("Rainshadow ",'Map 4'!AH43),'Map 4'!AH43)</f>
        <v>Ocean</v>
      </c>
      <c r="AI43" s="3" t="str">
        <f ca="1">IF(OR(AND($AV43="⤵",'Map 4'!AI44="Mountain",'Map 4'!AI43&lt;&gt;"Mountain",'Map 4'!AI43&lt;&gt;"Ocean",'Map 4'!AI43&lt;&gt;"Trench"),AND($AV43="⤴",'Map 4'!AI42="Mountain",'Map 4'!AI43&lt;&gt;"Mountain",'Map 4'!AI43&lt;&gt;"Ocean",'Map 4'!AI43&lt;&gt;"Trench")),CONCATENATE("Rainshadow ",'Map 4'!AI43),'Map 4'!AI43)</f>
        <v>Ocean</v>
      </c>
      <c r="AJ43" s="3" t="str">
        <f ca="1">IF(OR(AND($AV43="⤵",'Map 4'!AJ44="Mountain",'Map 4'!AJ43&lt;&gt;"Mountain",'Map 4'!AJ43&lt;&gt;"Ocean",'Map 4'!AJ43&lt;&gt;"Trench"),AND($AV43="⤴",'Map 4'!AJ42="Mountain",'Map 4'!AJ43&lt;&gt;"Mountain",'Map 4'!AJ43&lt;&gt;"Ocean",'Map 4'!AJ43&lt;&gt;"Trench")),CONCATENATE("Rainshadow ",'Map 4'!AJ43),'Map 4'!AJ43)</f>
        <v>Ocean</v>
      </c>
      <c r="AK43" s="3" t="str">
        <f ca="1">IF(OR(AND($AV43="⤵",'Map 4'!AK44="Mountain",'Map 4'!AK43&lt;&gt;"Mountain",'Map 4'!AK43&lt;&gt;"Ocean",'Map 4'!AK43&lt;&gt;"Trench"),AND($AV43="⤴",'Map 4'!AK42="Mountain",'Map 4'!AK43&lt;&gt;"Mountain",'Map 4'!AK43&lt;&gt;"Ocean",'Map 4'!AK43&lt;&gt;"Trench")),CONCATENATE("Rainshadow ",'Map 4'!AK43),'Map 4'!AK43)</f>
        <v>Ocean</v>
      </c>
      <c r="AL43" s="3" t="str">
        <f ca="1">IF(OR(AND($AV43="⤵",'Map 4'!AL44="Mountain",'Map 4'!AL43&lt;&gt;"Mountain",'Map 4'!AL43&lt;&gt;"Ocean",'Map 4'!AL43&lt;&gt;"Trench"),AND($AV43="⤴",'Map 4'!AL42="Mountain",'Map 4'!AL43&lt;&gt;"Mountain",'Map 4'!AL43&lt;&gt;"Ocean",'Map 4'!AL43&lt;&gt;"Trench")),CONCATENATE("Rainshadow ",'Map 4'!AL43),'Map 4'!AL43)</f>
        <v>Ocean</v>
      </c>
      <c r="AM43" s="3" t="str">
        <f ca="1">IF(OR(AND($AV43="⤵",'Map 4'!AM44="Mountain",'Map 4'!AM43&lt;&gt;"Mountain",'Map 4'!AM43&lt;&gt;"Ocean",'Map 4'!AM43&lt;&gt;"Trench"),AND($AV43="⤴",'Map 4'!AM42="Mountain",'Map 4'!AM43&lt;&gt;"Mountain",'Map 4'!AM43&lt;&gt;"Ocean",'Map 4'!AM43&lt;&gt;"Trench")),CONCATENATE("Rainshadow ",'Map 4'!AM43),'Map 4'!AM43)</f>
        <v>Ocean</v>
      </c>
      <c r="AN43" s="3" t="str">
        <f ca="1">IF(OR(AND($AV43="⤵",'Map 4'!AN44="Mountain",'Map 4'!AN43&lt;&gt;"Mountain",'Map 4'!AN43&lt;&gt;"Ocean",'Map 4'!AN43&lt;&gt;"Trench"),AND($AV43="⤴",'Map 4'!AN42="Mountain",'Map 4'!AN43&lt;&gt;"Mountain",'Map 4'!AN43&lt;&gt;"Ocean",'Map 4'!AN43&lt;&gt;"Trench")),CONCATENATE("Rainshadow ",'Map 4'!AN43),'Map 4'!AN43)</f>
        <v>Ocean</v>
      </c>
      <c r="AO43" s="3" t="str">
        <f ca="1">IF(OR(AND($AV43="⤵",'Map 4'!AO44="Mountain",'Map 4'!AO43&lt;&gt;"Mountain",'Map 4'!AO43&lt;&gt;"Ocean",'Map 4'!AO43&lt;&gt;"Trench"),AND($AV43="⤴",'Map 4'!AO42="Mountain",'Map 4'!AO43&lt;&gt;"Mountain",'Map 4'!AO43&lt;&gt;"Ocean",'Map 4'!AO43&lt;&gt;"Trench")),CONCATENATE("Rainshadow ",'Map 4'!AO43),'Map 4'!AO43)</f>
        <v>Ocean</v>
      </c>
      <c r="AP43" s="3">
        <f t="shared" si="1"/>
        <v>0.55000000000000004</v>
      </c>
      <c r="AQ43" s="3">
        <f t="shared" si="2"/>
        <v>32.99</v>
      </c>
      <c r="AR43" s="3"/>
      <c r="AS43" s="3">
        <f t="shared" si="5"/>
        <v>273.70000000000016</v>
      </c>
      <c r="AT43" s="41">
        <v>-63</v>
      </c>
      <c r="AU43" s="41" t="str">
        <f>AU16</f>
        <v>Forest</v>
      </c>
      <c r="AV43" s="41" t="str" cm="1">
        <f t="array" ref="AV43">_xlfn.IFS(AT43&lt;-90,"⤴",AND(AT43&gt;=-90,AT43&lt;-60),"⤴",AND(AT43&gt;=-60,AT43&lt;-30),"⤵",AND(AT43&gt;=-30,AT43&lt;0),"⤴",AND(AT43&gt;=0,AT43&lt;30),"⤵",AND(AT43&gt;=30,AT43&lt;60),"⤴",AT43&gt;=60,"⤵")</f>
        <v>⤴</v>
      </c>
      <c r="AW43" s="41">
        <f>AW16</f>
        <v>1</v>
      </c>
    </row>
    <row r="44" spans="1:49" ht="15" customHeight="1">
      <c r="A44" s="3">
        <v>35</v>
      </c>
      <c r="B44" s="3" t="str">
        <f ca="1">IF(OR(AND($AV44="⤵",'Map 4'!B45="Mountain",'Map 4'!B44&lt;&gt;"Mountain",'Map 4'!B44&lt;&gt;"Ocean",'Map 4'!B44&lt;&gt;"Trench"),AND($AV44="⤴",'Map 4'!B43="Mountain",'Map 4'!B44&lt;&gt;"Mountain",'Map 4'!B44&lt;&gt;"Ocean",'Map 4'!B44&lt;&gt;"Trench")),CONCATENATE("Rainshadow ",'Map 4'!B44),'Map 4'!B44)</f>
        <v>Ocean</v>
      </c>
      <c r="C44" s="3" t="str">
        <f ca="1">IF(OR(AND($AV44="⤵",'Map 4'!C45="Mountain",'Map 4'!C44&lt;&gt;"Mountain",'Map 4'!C44&lt;&gt;"Ocean",'Map 4'!C44&lt;&gt;"Trench"),AND($AV44="⤴",'Map 4'!C43="Mountain",'Map 4'!C44&lt;&gt;"Mountain",'Map 4'!C44&lt;&gt;"Ocean",'Map 4'!C44&lt;&gt;"Trench")),CONCATENATE("Rainshadow ",'Map 4'!C44),'Map 4'!C44)</f>
        <v>Ocean</v>
      </c>
      <c r="D44" s="3" t="str">
        <f ca="1">IF(OR(AND($AV44="⤵",'Map 4'!D45="Mountain",'Map 4'!D44&lt;&gt;"Mountain",'Map 4'!D44&lt;&gt;"Ocean",'Map 4'!D44&lt;&gt;"Trench"),AND($AV44="⤴",'Map 4'!D43="Mountain",'Map 4'!D44&lt;&gt;"Mountain",'Map 4'!D44&lt;&gt;"Ocean",'Map 4'!D44&lt;&gt;"Trench")),CONCATENATE("Rainshadow ",'Map 4'!D44),'Map 4'!D44)</f>
        <v>Ocean</v>
      </c>
      <c r="E44" s="3" t="str">
        <f ca="1">IF(OR(AND($AV44="⤵",'Map 4'!E45="Mountain",'Map 4'!E44&lt;&gt;"Mountain",'Map 4'!E44&lt;&gt;"Ocean",'Map 4'!E44&lt;&gt;"Trench"),AND($AV44="⤴",'Map 4'!E43="Mountain",'Map 4'!E44&lt;&gt;"Mountain",'Map 4'!E44&lt;&gt;"Ocean",'Map 4'!E44&lt;&gt;"Trench")),CONCATENATE("Rainshadow ",'Map 4'!E44),'Map 4'!E44)</f>
        <v>Ocean</v>
      </c>
      <c r="F44" s="3" t="str">
        <f ca="1">IF(OR(AND($AV44="⤵",'Map 4'!F45="Mountain",'Map 4'!F44&lt;&gt;"Mountain",'Map 4'!F44&lt;&gt;"Ocean",'Map 4'!F44&lt;&gt;"Trench"),AND($AV44="⤴",'Map 4'!F43="Mountain",'Map 4'!F44&lt;&gt;"Mountain",'Map 4'!F44&lt;&gt;"Ocean",'Map 4'!F44&lt;&gt;"Trench")),CONCATENATE("Rainshadow ",'Map 4'!F44),'Map 4'!F44)</f>
        <v>Ocean</v>
      </c>
      <c r="G44" s="3" t="str">
        <f ca="1">IF(OR(AND($AV44="⤵",'Map 4'!G45="Mountain",'Map 4'!G44&lt;&gt;"Mountain",'Map 4'!G44&lt;&gt;"Ocean",'Map 4'!G44&lt;&gt;"Trench"),AND($AV44="⤴",'Map 4'!G43="Mountain",'Map 4'!G44&lt;&gt;"Mountain",'Map 4'!G44&lt;&gt;"Ocean",'Map 4'!G44&lt;&gt;"Trench")),CONCATENATE("Rainshadow ",'Map 4'!G44),'Map 4'!G44)</f>
        <v>Ocean</v>
      </c>
      <c r="H44" s="3" t="str">
        <f ca="1">IF(OR(AND($AV44="⤵",'Map 4'!H45="Mountain",'Map 4'!H44&lt;&gt;"Mountain",'Map 4'!H44&lt;&gt;"Ocean",'Map 4'!H44&lt;&gt;"Trench"),AND($AV44="⤴",'Map 4'!H43="Mountain",'Map 4'!H44&lt;&gt;"Mountain",'Map 4'!H44&lt;&gt;"Ocean",'Map 4'!H44&lt;&gt;"Trench")),CONCATENATE("Rainshadow ",'Map 4'!H44),'Map 4'!H44)</f>
        <v>Ocean</v>
      </c>
      <c r="I44" s="3" t="str">
        <f ca="1">IF(OR(AND($AV44="⤵",'Map 4'!I45="Mountain",'Map 4'!I44&lt;&gt;"Mountain",'Map 4'!I44&lt;&gt;"Ocean",'Map 4'!I44&lt;&gt;"Trench"),AND($AV44="⤴",'Map 4'!I43="Mountain",'Map 4'!I44&lt;&gt;"Mountain",'Map 4'!I44&lt;&gt;"Ocean",'Map 4'!I44&lt;&gt;"Trench")),CONCATENATE("Rainshadow ",'Map 4'!I44),'Map 4'!I44)</f>
        <v>Ocean</v>
      </c>
      <c r="J44" s="3" t="str">
        <f ca="1">IF(OR(AND($AV44="⤵",'Map 4'!J45="Mountain",'Map 4'!J44&lt;&gt;"Mountain",'Map 4'!J44&lt;&gt;"Ocean",'Map 4'!J44&lt;&gt;"Trench"),AND($AV44="⤴",'Map 4'!J43="Mountain",'Map 4'!J44&lt;&gt;"Mountain",'Map 4'!J44&lt;&gt;"Ocean",'Map 4'!J44&lt;&gt;"Trench")),CONCATENATE("Rainshadow ",'Map 4'!J44),'Map 4'!J44)</f>
        <v>Coast</v>
      </c>
      <c r="K44" s="3" t="str">
        <f ca="1">IF(OR(AND($AV44="⤵",'Map 4'!K45="Mountain",'Map 4'!K44&lt;&gt;"Mountain",'Map 4'!K44&lt;&gt;"Ocean",'Map 4'!K44&lt;&gt;"Trench"),AND($AV44="⤴",'Map 4'!K43="Mountain",'Map 4'!K44&lt;&gt;"Mountain",'Map 4'!K44&lt;&gt;"Ocean",'Map 4'!K44&lt;&gt;"Trench")),CONCATENATE("Rainshadow ",'Map 4'!K44),'Map 4'!K44)</f>
        <v>Coast</v>
      </c>
      <c r="L44" s="3" t="str">
        <f ca="1">IF(OR(AND($AV44="⤵",'Map 4'!L45="Mountain",'Map 4'!L44&lt;&gt;"Mountain",'Map 4'!L44&lt;&gt;"Ocean",'Map 4'!L44&lt;&gt;"Trench"),AND($AV44="⤴",'Map 4'!L43="Mountain",'Map 4'!L44&lt;&gt;"Mountain",'Map 4'!L44&lt;&gt;"Ocean",'Map 4'!L44&lt;&gt;"Trench")),CONCATENATE("Rainshadow ",'Map 4'!L44),'Map 4'!L44)</f>
        <v>Flatland</v>
      </c>
      <c r="M44" s="3" t="str">
        <f ca="1">IF(OR(AND($AV44="⤵",'Map 4'!M45="Mountain",'Map 4'!M44&lt;&gt;"Mountain",'Map 4'!M44&lt;&gt;"Ocean",'Map 4'!M44&lt;&gt;"Trench"),AND($AV44="⤴",'Map 4'!M43="Mountain",'Map 4'!M44&lt;&gt;"Mountain",'Map 4'!M44&lt;&gt;"Ocean",'Map 4'!M44&lt;&gt;"Trench")),CONCATENATE("Rainshadow ",'Map 4'!M44),'Map 4'!M44)</f>
        <v>Flatland</v>
      </c>
      <c r="N44" s="3" t="str">
        <f ca="1">IF(OR(AND($AV44="⤵",'Map 4'!N45="Mountain",'Map 4'!N44&lt;&gt;"Mountain",'Map 4'!N44&lt;&gt;"Ocean",'Map 4'!N44&lt;&gt;"Trench"),AND($AV44="⤴",'Map 4'!N43="Mountain",'Map 4'!N44&lt;&gt;"Mountain",'Map 4'!N44&lt;&gt;"Ocean",'Map 4'!N44&lt;&gt;"Trench")),CONCATENATE("Rainshadow ",'Map 4'!N44),'Map 4'!N44)</f>
        <v>Flatland</v>
      </c>
      <c r="O44" s="3" t="str">
        <f ca="1">IF(OR(AND($AV44="⤵",'Map 4'!O45="Mountain",'Map 4'!O44&lt;&gt;"Mountain",'Map 4'!O44&lt;&gt;"Ocean",'Map 4'!O44&lt;&gt;"Trench"),AND($AV44="⤴",'Map 4'!O43="Mountain",'Map 4'!O44&lt;&gt;"Mountain",'Map 4'!O44&lt;&gt;"Ocean",'Map 4'!O44&lt;&gt;"Trench")),CONCATENATE("Rainshadow ",'Map 4'!O44),'Map 4'!O44)</f>
        <v>Flatland</v>
      </c>
      <c r="P44" s="3" t="str">
        <f ca="1">IF(OR(AND($AV44="⤵",'Map 4'!P45="Mountain",'Map 4'!P44&lt;&gt;"Mountain",'Map 4'!P44&lt;&gt;"Ocean",'Map 4'!P44&lt;&gt;"Trench"),AND($AV44="⤴",'Map 4'!P43="Mountain",'Map 4'!P44&lt;&gt;"Mountain",'Map 4'!P44&lt;&gt;"Ocean",'Map 4'!P44&lt;&gt;"Trench")),CONCATENATE("Rainshadow ",'Map 4'!P44),'Map 4'!P44)</f>
        <v>Flatland</v>
      </c>
      <c r="Q44" s="3" t="str">
        <f ca="1">IF(OR(AND($AV44="⤵",'Map 4'!Q45="Mountain",'Map 4'!Q44&lt;&gt;"Mountain",'Map 4'!Q44&lt;&gt;"Ocean",'Map 4'!Q44&lt;&gt;"Trench"),AND($AV44="⤴",'Map 4'!Q43="Mountain",'Map 4'!Q44&lt;&gt;"Mountain",'Map 4'!Q44&lt;&gt;"Ocean",'Map 4'!Q44&lt;&gt;"Trench")),CONCATENATE("Rainshadow ",'Map 4'!Q44),'Map 4'!Q44)</f>
        <v>Coast</v>
      </c>
      <c r="R44" s="3" t="str">
        <f ca="1">IF(OR(AND($AV44="⤵",'Map 4'!R45="Mountain",'Map 4'!R44&lt;&gt;"Mountain",'Map 4'!R44&lt;&gt;"Ocean",'Map 4'!R44&lt;&gt;"Trench"),AND($AV44="⤴",'Map 4'!R43="Mountain",'Map 4'!R44&lt;&gt;"Mountain",'Map 4'!R44&lt;&gt;"Ocean",'Map 4'!R44&lt;&gt;"Trench")),CONCATENATE("Rainshadow ",'Map 4'!R44),'Map 4'!R44)</f>
        <v>Cliff</v>
      </c>
      <c r="S44" s="3" t="str">
        <f ca="1">IF(OR(AND($AV44="⤵",'Map 4'!S45="Mountain",'Map 4'!S44&lt;&gt;"Mountain",'Map 4'!S44&lt;&gt;"Ocean",'Map 4'!S44&lt;&gt;"Trench"),AND($AV44="⤴",'Map 4'!S43="Mountain",'Map 4'!S44&lt;&gt;"Mountain",'Map 4'!S44&lt;&gt;"Ocean",'Map 4'!S44&lt;&gt;"Trench")),CONCATENATE("Rainshadow ",'Map 4'!S44),'Map 4'!S44)</f>
        <v>Trench</v>
      </c>
      <c r="T44" s="3" t="str">
        <f ca="1">IF(OR(AND($AV44="⤵",'Map 4'!T45="Mountain",'Map 4'!T44&lt;&gt;"Mountain",'Map 4'!T44&lt;&gt;"Ocean",'Map 4'!T44&lt;&gt;"Trench"),AND($AV44="⤴",'Map 4'!T43="Mountain",'Map 4'!T44&lt;&gt;"Mountain",'Map 4'!T44&lt;&gt;"Ocean",'Map 4'!T44&lt;&gt;"Trench")),CONCATENATE("Rainshadow ",'Map 4'!T44),'Map 4'!T44)</f>
        <v>Ocean</v>
      </c>
      <c r="U44" s="3" t="str">
        <f ca="1">IF(OR(AND($AV44="⤵",'Map 4'!U45="Mountain",'Map 4'!U44&lt;&gt;"Mountain",'Map 4'!U44&lt;&gt;"Ocean",'Map 4'!U44&lt;&gt;"Trench"),AND($AV44="⤴",'Map 4'!U43="Mountain",'Map 4'!U44&lt;&gt;"Mountain",'Map 4'!U44&lt;&gt;"Ocean",'Map 4'!U44&lt;&gt;"Trench")),CONCATENATE("Rainshadow ",'Map 4'!U44),'Map 4'!U44)</f>
        <v>Ocean</v>
      </c>
      <c r="V44" s="3" t="str">
        <f ca="1">IF(OR(AND($AV44="⤵",'Map 4'!V45="Mountain",'Map 4'!V44&lt;&gt;"Mountain",'Map 4'!V44&lt;&gt;"Ocean",'Map 4'!V44&lt;&gt;"Trench"),AND($AV44="⤴",'Map 4'!V43="Mountain",'Map 4'!V44&lt;&gt;"Mountain",'Map 4'!V44&lt;&gt;"Ocean",'Map 4'!V44&lt;&gt;"Trench")),CONCATENATE("Rainshadow ",'Map 4'!V44),'Map 4'!V44)</f>
        <v>Ocean</v>
      </c>
      <c r="W44" s="3" t="str">
        <f ca="1">IF(OR(AND($AV44="⤵",'Map 4'!W45="Mountain",'Map 4'!W44&lt;&gt;"Mountain",'Map 4'!W44&lt;&gt;"Ocean",'Map 4'!W44&lt;&gt;"Trench"),AND($AV44="⤴",'Map 4'!W43="Mountain",'Map 4'!W44&lt;&gt;"Mountain",'Map 4'!W44&lt;&gt;"Ocean",'Map 4'!W44&lt;&gt;"Trench")),CONCATENATE("Rainshadow ",'Map 4'!W44),'Map 4'!W44)</f>
        <v>Ocean</v>
      </c>
      <c r="X44" s="3" t="str">
        <f ca="1">IF(OR(AND($AV44="⤵",'Map 4'!X45="Mountain",'Map 4'!X44&lt;&gt;"Mountain",'Map 4'!X44&lt;&gt;"Ocean",'Map 4'!X44&lt;&gt;"Trench"),AND($AV44="⤴",'Map 4'!X43="Mountain",'Map 4'!X44&lt;&gt;"Mountain",'Map 4'!X44&lt;&gt;"Ocean",'Map 4'!X44&lt;&gt;"Trench")),CONCATENATE("Rainshadow ",'Map 4'!X44),'Map 4'!X44)</f>
        <v>Ocean</v>
      </c>
      <c r="Y44" s="3" t="str">
        <f ca="1">IF(OR(AND($AV44="⤵",'Map 4'!Y45="Mountain",'Map 4'!Y44&lt;&gt;"Mountain",'Map 4'!Y44&lt;&gt;"Ocean",'Map 4'!Y44&lt;&gt;"Trench"),AND($AV44="⤴",'Map 4'!Y43="Mountain",'Map 4'!Y44&lt;&gt;"Mountain",'Map 4'!Y44&lt;&gt;"Ocean",'Map 4'!Y44&lt;&gt;"Trench")),CONCATENATE("Rainshadow ",'Map 4'!Y44),'Map 4'!Y44)</f>
        <v>Ocean</v>
      </c>
      <c r="Z44" s="3" t="str">
        <f ca="1">IF(OR(AND($AV44="⤵",'Map 4'!Z45="Mountain",'Map 4'!Z44&lt;&gt;"Mountain",'Map 4'!Z44&lt;&gt;"Ocean",'Map 4'!Z44&lt;&gt;"Trench"),AND($AV44="⤴",'Map 4'!Z43="Mountain",'Map 4'!Z44&lt;&gt;"Mountain",'Map 4'!Z44&lt;&gt;"Ocean",'Map 4'!Z44&lt;&gt;"Trench")),CONCATENATE("Rainshadow ",'Map 4'!Z44),'Map 4'!Z44)</f>
        <v>Ocean</v>
      </c>
      <c r="AA44" s="3" t="str">
        <f ca="1">IF(OR(AND($AV44="⤵",'Map 4'!AA45="Mountain",'Map 4'!AA44&lt;&gt;"Mountain",'Map 4'!AA44&lt;&gt;"Ocean",'Map 4'!AA44&lt;&gt;"Trench"),AND($AV44="⤴",'Map 4'!AA43="Mountain",'Map 4'!AA44&lt;&gt;"Mountain",'Map 4'!AA44&lt;&gt;"Ocean",'Map 4'!AA44&lt;&gt;"Trench")),CONCATENATE("Rainshadow ",'Map 4'!AA44),'Map 4'!AA44)</f>
        <v>Ocean</v>
      </c>
      <c r="AB44" s="3" t="str">
        <f ca="1">IF(OR(AND($AV44="⤵",'Map 4'!AB45="Mountain",'Map 4'!AB44&lt;&gt;"Mountain",'Map 4'!AB44&lt;&gt;"Ocean",'Map 4'!AB44&lt;&gt;"Trench"),AND($AV44="⤴",'Map 4'!AB43="Mountain",'Map 4'!AB44&lt;&gt;"Mountain",'Map 4'!AB44&lt;&gt;"Ocean",'Map 4'!AB44&lt;&gt;"Trench")),CONCATENATE("Rainshadow ",'Map 4'!AB44),'Map 4'!AB44)</f>
        <v>Ocean</v>
      </c>
      <c r="AC44" s="3" t="str">
        <f ca="1">IF(OR(AND($AV44="⤵",'Map 4'!AC45="Mountain",'Map 4'!AC44&lt;&gt;"Mountain",'Map 4'!AC44&lt;&gt;"Ocean",'Map 4'!AC44&lt;&gt;"Trench"),AND($AV44="⤴",'Map 4'!AC43="Mountain",'Map 4'!AC44&lt;&gt;"Mountain",'Map 4'!AC44&lt;&gt;"Ocean",'Map 4'!AC44&lt;&gt;"Trench")),CONCATENATE("Rainshadow ",'Map 4'!AC44),'Map 4'!AC44)</f>
        <v>Ocean</v>
      </c>
      <c r="AD44" s="3" t="str">
        <f ca="1">IF(OR(AND($AV44="⤵",'Map 4'!AD45="Mountain",'Map 4'!AD44&lt;&gt;"Mountain",'Map 4'!AD44&lt;&gt;"Ocean",'Map 4'!AD44&lt;&gt;"Trench"),AND($AV44="⤴",'Map 4'!AD43="Mountain",'Map 4'!AD44&lt;&gt;"Mountain",'Map 4'!AD44&lt;&gt;"Ocean",'Map 4'!AD44&lt;&gt;"Trench")),CONCATENATE("Rainshadow ",'Map 4'!AD44),'Map 4'!AD44)</f>
        <v>Ocean</v>
      </c>
      <c r="AE44" s="3" t="str">
        <f ca="1">IF(OR(AND($AV44="⤵",'Map 4'!AE45="Mountain",'Map 4'!AE44&lt;&gt;"Mountain",'Map 4'!AE44&lt;&gt;"Ocean",'Map 4'!AE44&lt;&gt;"Trench"),AND($AV44="⤴",'Map 4'!AE43="Mountain",'Map 4'!AE44&lt;&gt;"Mountain",'Map 4'!AE44&lt;&gt;"Ocean",'Map 4'!AE44&lt;&gt;"Trench")),CONCATENATE("Rainshadow ",'Map 4'!AE44),'Map 4'!AE44)</f>
        <v>Island</v>
      </c>
      <c r="AF44" s="3" t="str">
        <f ca="1">IF(OR(AND($AV44="⤵",'Map 4'!AF45="Mountain",'Map 4'!AF44&lt;&gt;"Mountain",'Map 4'!AF44&lt;&gt;"Ocean",'Map 4'!AF44&lt;&gt;"Trench"),AND($AV44="⤴",'Map 4'!AF43="Mountain",'Map 4'!AF44&lt;&gt;"Mountain",'Map 4'!AF44&lt;&gt;"Ocean",'Map 4'!AF44&lt;&gt;"Trench")),CONCATENATE("Rainshadow ",'Map 4'!AF44),'Map 4'!AF44)</f>
        <v>Island</v>
      </c>
      <c r="AG44" s="3" t="str">
        <f ca="1">IF(OR(AND($AV44="⤵",'Map 4'!AG45="Mountain",'Map 4'!AG44&lt;&gt;"Mountain",'Map 4'!AG44&lt;&gt;"Ocean",'Map 4'!AG44&lt;&gt;"Trench"),AND($AV44="⤴",'Map 4'!AG43="Mountain",'Map 4'!AG44&lt;&gt;"Mountain",'Map 4'!AG44&lt;&gt;"Ocean",'Map 4'!AG44&lt;&gt;"Trench")),CONCATENATE("Rainshadow ",'Map 4'!AG44),'Map 4'!AG44)</f>
        <v>Trench</v>
      </c>
      <c r="AH44" s="3" t="str">
        <f ca="1">IF(OR(AND($AV44="⤵",'Map 4'!AH45="Mountain",'Map 4'!AH44&lt;&gt;"Mountain",'Map 4'!AH44&lt;&gt;"Ocean",'Map 4'!AH44&lt;&gt;"Trench"),AND($AV44="⤴",'Map 4'!AH43="Mountain",'Map 4'!AH44&lt;&gt;"Mountain",'Map 4'!AH44&lt;&gt;"Ocean",'Map 4'!AH44&lt;&gt;"Trench")),CONCATENATE("Rainshadow ",'Map 4'!AH44),'Map 4'!AH44)</f>
        <v>Ocean</v>
      </c>
      <c r="AI44" s="3" t="str">
        <f ca="1">IF(OR(AND($AV44="⤵",'Map 4'!AI45="Mountain",'Map 4'!AI44&lt;&gt;"Mountain",'Map 4'!AI44&lt;&gt;"Ocean",'Map 4'!AI44&lt;&gt;"Trench"),AND($AV44="⤴",'Map 4'!AI43="Mountain",'Map 4'!AI44&lt;&gt;"Mountain",'Map 4'!AI44&lt;&gt;"Ocean",'Map 4'!AI44&lt;&gt;"Trench")),CONCATENATE("Rainshadow ",'Map 4'!AI44),'Map 4'!AI44)</f>
        <v>Ocean</v>
      </c>
      <c r="AJ44" s="3" t="str">
        <f ca="1">IF(OR(AND($AV44="⤵",'Map 4'!AJ45="Mountain",'Map 4'!AJ44&lt;&gt;"Mountain",'Map 4'!AJ44&lt;&gt;"Ocean",'Map 4'!AJ44&lt;&gt;"Trench"),AND($AV44="⤴",'Map 4'!AJ43="Mountain",'Map 4'!AJ44&lt;&gt;"Mountain",'Map 4'!AJ44&lt;&gt;"Ocean",'Map 4'!AJ44&lt;&gt;"Trench")),CONCATENATE("Rainshadow ",'Map 4'!AJ44),'Map 4'!AJ44)</f>
        <v>Ocean</v>
      </c>
      <c r="AK44" s="3" t="str">
        <f ca="1">IF(OR(AND($AV44="⤵",'Map 4'!AK45="Mountain",'Map 4'!AK44&lt;&gt;"Mountain",'Map 4'!AK44&lt;&gt;"Ocean",'Map 4'!AK44&lt;&gt;"Trench"),AND($AV44="⤴",'Map 4'!AK43="Mountain",'Map 4'!AK44&lt;&gt;"Mountain",'Map 4'!AK44&lt;&gt;"Ocean",'Map 4'!AK44&lt;&gt;"Trench")),CONCATENATE("Rainshadow ",'Map 4'!AK44),'Map 4'!AK44)</f>
        <v>Ocean</v>
      </c>
      <c r="AL44" s="3" t="str">
        <f ca="1">IF(OR(AND($AV44="⤵",'Map 4'!AL45="Mountain",'Map 4'!AL44&lt;&gt;"Mountain",'Map 4'!AL44&lt;&gt;"Ocean",'Map 4'!AL44&lt;&gt;"Trench"),AND($AV44="⤴",'Map 4'!AL43="Mountain",'Map 4'!AL44&lt;&gt;"Mountain",'Map 4'!AL44&lt;&gt;"Ocean",'Map 4'!AL44&lt;&gt;"Trench")),CONCATENATE("Rainshadow ",'Map 4'!AL44),'Map 4'!AL44)</f>
        <v>Ocean</v>
      </c>
      <c r="AM44" s="3" t="str">
        <f ca="1">IF(OR(AND($AV44="⤵",'Map 4'!AM45="Mountain",'Map 4'!AM44&lt;&gt;"Mountain",'Map 4'!AM44&lt;&gt;"Ocean",'Map 4'!AM44&lt;&gt;"Trench"),AND($AV44="⤴",'Map 4'!AM43="Mountain",'Map 4'!AM44&lt;&gt;"Mountain",'Map 4'!AM44&lt;&gt;"Ocean",'Map 4'!AM44&lt;&gt;"Trench")),CONCATENATE("Rainshadow ",'Map 4'!AM44),'Map 4'!AM44)</f>
        <v>Trench</v>
      </c>
      <c r="AN44" s="3" t="str">
        <f ca="1">IF(OR(AND($AV44="⤵",'Map 4'!AN45="Mountain",'Map 4'!AN44&lt;&gt;"Mountain",'Map 4'!AN44&lt;&gt;"Ocean",'Map 4'!AN44&lt;&gt;"Trench"),AND($AV44="⤴",'Map 4'!AN43="Mountain",'Map 4'!AN44&lt;&gt;"Mountain",'Map 4'!AN44&lt;&gt;"Ocean",'Map 4'!AN44&lt;&gt;"Trench")),CONCATENATE("Rainshadow ",'Map 4'!AN44),'Map 4'!AN44)</f>
        <v>Ocean</v>
      </c>
      <c r="AO44" s="3" t="str">
        <f ca="1">IF(OR(AND($AV44="⤵",'Map 4'!AO45="Mountain",'Map 4'!AO44&lt;&gt;"Mountain",'Map 4'!AO44&lt;&gt;"Ocean",'Map 4'!AO44&lt;&gt;"Trench"),AND($AV44="⤴",'Map 4'!AO43="Mountain",'Map 4'!AO44&lt;&gt;"Mountain",'Map 4'!AO44&lt;&gt;"Ocean",'Map 4'!AO44&lt;&gt;"Trench")),CONCATENATE("Rainshadow ",'Map 4'!AO44),'Map 4'!AO44)</f>
        <v>Ocean</v>
      </c>
      <c r="AP44" s="3">
        <f t="shared" si="1"/>
        <v>-6.4</v>
      </c>
      <c r="AQ44" s="3">
        <f t="shared" si="2"/>
        <v>20.48</v>
      </c>
      <c r="AR44" s="3"/>
      <c r="AS44" s="3">
        <f t="shared" si="5"/>
        <v>266.75000000000017</v>
      </c>
      <c r="AT44" s="41">
        <v>-67.5</v>
      </c>
      <c r="AU44" s="41" t="str">
        <f>AU15</f>
        <v>Forest</v>
      </c>
      <c r="AV44" s="41" t="str" cm="1">
        <f t="array" ref="AV44">_xlfn.IFS(AT44&lt;-90,"⤴",AND(AT44&gt;=-90,AT44&lt;-60),"⤴",AND(AT44&gt;=-60,AT44&lt;-30),"⤵",AND(AT44&gt;=-30,AT44&lt;0),"⤴",AND(AT44&gt;=0,AT44&lt;30),"⤵",AND(AT44&gt;=30,AT44&lt;60),"⤴",AT44&gt;=60,"⤵")</f>
        <v>⤴</v>
      </c>
      <c r="AW44" s="41">
        <f>AW15</f>
        <v>0.8600000000000001</v>
      </c>
    </row>
    <row r="45" spans="1:49" ht="15" customHeight="1">
      <c r="A45" s="3">
        <v>36</v>
      </c>
      <c r="B45" s="3" t="str">
        <f ca="1">IF(OR(AND($AV45="⤵",'Map 4'!B46="Mountain",'Map 4'!B45&lt;&gt;"Mountain",'Map 4'!B45&lt;&gt;"Ocean",'Map 4'!B45&lt;&gt;"Trench"),AND($AV45="⤴",'Map 4'!B44="Mountain",'Map 4'!B45&lt;&gt;"Mountain",'Map 4'!B45&lt;&gt;"Ocean",'Map 4'!B45&lt;&gt;"Trench")),CONCATENATE("Rainshadow ",'Map 4'!B45),'Map 4'!B45)</f>
        <v>Ocean</v>
      </c>
      <c r="C45" s="3" t="str">
        <f ca="1">IF(OR(AND($AV45="⤵",'Map 4'!C46="Mountain",'Map 4'!C45&lt;&gt;"Mountain",'Map 4'!C45&lt;&gt;"Ocean",'Map 4'!C45&lt;&gt;"Trench"),AND($AV45="⤴",'Map 4'!C44="Mountain",'Map 4'!C45&lt;&gt;"Mountain",'Map 4'!C45&lt;&gt;"Ocean",'Map 4'!C45&lt;&gt;"Trench")),CONCATENATE("Rainshadow ",'Map 4'!C45),'Map 4'!C45)</f>
        <v>Ocean</v>
      </c>
      <c r="D45" s="3" t="str">
        <f ca="1">IF(OR(AND($AV45="⤵",'Map 4'!D46="Mountain",'Map 4'!D45&lt;&gt;"Mountain",'Map 4'!D45&lt;&gt;"Ocean",'Map 4'!D45&lt;&gt;"Trench"),AND($AV45="⤴",'Map 4'!D44="Mountain",'Map 4'!D45&lt;&gt;"Mountain",'Map 4'!D45&lt;&gt;"Ocean",'Map 4'!D45&lt;&gt;"Trench")),CONCATENATE("Rainshadow ",'Map 4'!D45),'Map 4'!D45)</f>
        <v>Ocean</v>
      </c>
      <c r="E45" s="3" t="str">
        <f ca="1">IF(OR(AND($AV45="⤵",'Map 4'!E46="Mountain",'Map 4'!E45&lt;&gt;"Mountain",'Map 4'!E45&lt;&gt;"Ocean",'Map 4'!E45&lt;&gt;"Trench"),AND($AV45="⤴",'Map 4'!E44="Mountain",'Map 4'!E45&lt;&gt;"Mountain",'Map 4'!E45&lt;&gt;"Ocean",'Map 4'!E45&lt;&gt;"Trench")),CONCATENATE("Rainshadow ",'Map 4'!E45),'Map 4'!E45)</f>
        <v>Coast</v>
      </c>
      <c r="F45" s="3" t="str">
        <f ca="1">IF(OR(AND($AV45="⤵",'Map 4'!F46="Mountain",'Map 4'!F45&lt;&gt;"Mountain",'Map 4'!F45&lt;&gt;"Ocean",'Map 4'!F45&lt;&gt;"Trench"),AND($AV45="⤴",'Map 4'!F44="Mountain",'Map 4'!F45&lt;&gt;"Mountain",'Map 4'!F45&lt;&gt;"Ocean",'Map 4'!F45&lt;&gt;"Trench")),CONCATENATE("Rainshadow ",'Map 4'!F45),'Map 4'!F45)</f>
        <v>Coast</v>
      </c>
      <c r="G45" s="3" t="str">
        <f ca="1">IF(OR(AND($AV45="⤵",'Map 4'!G46="Mountain",'Map 4'!G45&lt;&gt;"Mountain",'Map 4'!G45&lt;&gt;"Ocean",'Map 4'!G45&lt;&gt;"Trench"),AND($AV45="⤴",'Map 4'!G44="Mountain",'Map 4'!G45&lt;&gt;"Mountain",'Map 4'!G45&lt;&gt;"Ocean",'Map 4'!G45&lt;&gt;"Trench")),CONCATENATE("Rainshadow ",'Map 4'!G45),'Map 4'!G45)</f>
        <v>Coast</v>
      </c>
      <c r="H45" s="3" t="str">
        <f ca="1">IF(OR(AND($AV45="⤵",'Map 4'!H46="Mountain",'Map 4'!H45&lt;&gt;"Mountain",'Map 4'!H45&lt;&gt;"Ocean",'Map 4'!H45&lt;&gt;"Trench"),AND($AV45="⤴",'Map 4'!H44="Mountain",'Map 4'!H45&lt;&gt;"Mountain",'Map 4'!H45&lt;&gt;"Ocean",'Map 4'!H45&lt;&gt;"Trench")),CONCATENATE("Rainshadow ",'Map 4'!H45),'Map 4'!H45)</f>
        <v>Coast</v>
      </c>
      <c r="I45" s="3" t="str">
        <f ca="1">IF(OR(AND($AV45="⤵",'Map 4'!I46="Mountain",'Map 4'!I45&lt;&gt;"Mountain",'Map 4'!I45&lt;&gt;"Ocean",'Map 4'!I45&lt;&gt;"Trench"),AND($AV45="⤴",'Map 4'!I44="Mountain",'Map 4'!I45&lt;&gt;"Mountain",'Map 4'!I45&lt;&gt;"Ocean",'Map 4'!I45&lt;&gt;"Trench")),CONCATENATE("Rainshadow ",'Map 4'!I45),'Map 4'!I45)</f>
        <v>Ocean</v>
      </c>
      <c r="J45" s="3" t="str">
        <f ca="1">IF(OR(AND($AV45="⤵",'Map 4'!J46="Mountain",'Map 4'!J45&lt;&gt;"Mountain",'Map 4'!J45&lt;&gt;"Ocean",'Map 4'!J45&lt;&gt;"Trench"),AND($AV45="⤴",'Map 4'!J44="Mountain",'Map 4'!J45&lt;&gt;"Mountain",'Map 4'!J45&lt;&gt;"Ocean",'Map 4'!J45&lt;&gt;"Trench")),CONCATENATE("Rainshadow ",'Map 4'!J45),'Map 4'!J45)</f>
        <v>Coast</v>
      </c>
      <c r="K45" s="3" t="str">
        <f ca="1">IF(OR(AND($AV45="⤵",'Map 4'!K46="Mountain",'Map 4'!K45&lt;&gt;"Mountain",'Map 4'!K45&lt;&gt;"Ocean",'Map 4'!K45&lt;&gt;"Trench"),AND($AV45="⤴",'Map 4'!K44="Mountain",'Map 4'!K45&lt;&gt;"Mountain",'Map 4'!K45&lt;&gt;"Ocean",'Map 4'!K45&lt;&gt;"Trench")),CONCATENATE("Rainshadow ",'Map 4'!K45),'Map 4'!K45)</f>
        <v>Flatland</v>
      </c>
      <c r="L45" s="3" t="str">
        <f ca="1">IF(OR(AND($AV45="⤵",'Map 4'!L46="Mountain",'Map 4'!L45&lt;&gt;"Mountain",'Map 4'!L45&lt;&gt;"Ocean",'Map 4'!L45&lt;&gt;"Trench"),AND($AV45="⤴",'Map 4'!L44="Mountain",'Map 4'!L45&lt;&gt;"Mountain",'Map 4'!L45&lt;&gt;"Ocean",'Map 4'!L45&lt;&gt;"Trench")),CONCATENATE("Rainshadow ",'Map 4'!L45),'Map 4'!L45)</f>
        <v>Coast</v>
      </c>
      <c r="M45" s="3" t="str">
        <f ca="1">IF(OR(AND($AV45="⤵",'Map 4'!M46="Mountain",'Map 4'!M45&lt;&gt;"Mountain",'Map 4'!M45&lt;&gt;"Ocean",'Map 4'!M45&lt;&gt;"Trench"),AND($AV45="⤴",'Map 4'!M44="Mountain",'Map 4'!M45&lt;&gt;"Mountain",'Map 4'!M45&lt;&gt;"Ocean",'Map 4'!M45&lt;&gt;"Trench")),CONCATENATE("Rainshadow ",'Map 4'!M45),'Map 4'!M45)</f>
        <v>Coast</v>
      </c>
      <c r="N45" s="3" t="str">
        <f ca="1">IF(OR(AND($AV45="⤵",'Map 4'!N46="Mountain",'Map 4'!N45&lt;&gt;"Mountain",'Map 4'!N45&lt;&gt;"Ocean",'Map 4'!N45&lt;&gt;"Trench"),AND($AV45="⤴",'Map 4'!N44="Mountain",'Map 4'!N45&lt;&gt;"Mountain",'Map 4'!N45&lt;&gt;"Ocean",'Map 4'!N45&lt;&gt;"Trench")),CONCATENATE("Rainshadow ",'Map 4'!N45),'Map 4'!N45)</f>
        <v>Flatland</v>
      </c>
      <c r="O45" s="3" t="str">
        <f ca="1">IF(OR(AND($AV45="⤵",'Map 4'!O46="Mountain",'Map 4'!O45&lt;&gt;"Mountain",'Map 4'!O45&lt;&gt;"Ocean",'Map 4'!O45&lt;&gt;"Trench"),AND($AV45="⤴",'Map 4'!O44="Mountain",'Map 4'!O45&lt;&gt;"Mountain",'Map 4'!O45&lt;&gt;"Ocean",'Map 4'!O45&lt;&gt;"Trench")),CONCATENATE("Rainshadow ",'Map 4'!O45),'Map 4'!O45)</f>
        <v>Flatland</v>
      </c>
      <c r="P45" s="3" t="str">
        <f ca="1">IF(OR(AND($AV45="⤵",'Map 4'!P46="Mountain",'Map 4'!P45&lt;&gt;"Mountain",'Map 4'!P45&lt;&gt;"Ocean",'Map 4'!P45&lt;&gt;"Trench"),AND($AV45="⤴",'Map 4'!P44="Mountain",'Map 4'!P45&lt;&gt;"Mountain",'Map 4'!P45&lt;&gt;"Ocean",'Map 4'!P45&lt;&gt;"Trench")),CONCATENATE("Rainshadow ",'Map 4'!P45),'Map 4'!P45)</f>
        <v>Flatland</v>
      </c>
      <c r="Q45" s="3" t="str">
        <f ca="1">IF(OR(AND($AV45="⤵",'Map 4'!Q46="Mountain",'Map 4'!Q45&lt;&gt;"Mountain",'Map 4'!Q45&lt;&gt;"Ocean",'Map 4'!Q45&lt;&gt;"Trench"),AND($AV45="⤴",'Map 4'!Q44="Mountain",'Map 4'!Q45&lt;&gt;"Mountain",'Map 4'!Q45&lt;&gt;"Ocean",'Map 4'!Q45&lt;&gt;"Trench")),CONCATENATE("Rainshadow ",'Map 4'!Q45),'Map 4'!Q45)</f>
        <v>Flatland</v>
      </c>
      <c r="R45" s="3" t="str">
        <f ca="1">IF(OR(AND($AV45="⤵",'Map 4'!R46="Mountain",'Map 4'!R45&lt;&gt;"Mountain",'Map 4'!R45&lt;&gt;"Ocean",'Map 4'!R45&lt;&gt;"Trench"),AND($AV45="⤴",'Map 4'!R44="Mountain",'Map 4'!R45&lt;&gt;"Mountain",'Map 4'!R45&lt;&gt;"Ocean",'Map 4'!R45&lt;&gt;"Trench")),CONCATENATE("Rainshadow ",'Map 4'!R45),'Map 4'!R45)</f>
        <v>Coast</v>
      </c>
      <c r="S45" s="3" t="str">
        <f ca="1">IF(OR(AND($AV45="⤵",'Map 4'!S46="Mountain",'Map 4'!S45&lt;&gt;"Mountain",'Map 4'!S45&lt;&gt;"Ocean",'Map 4'!S45&lt;&gt;"Trench"),AND($AV45="⤴",'Map 4'!S44="Mountain",'Map 4'!S45&lt;&gt;"Mountain",'Map 4'!S45&lt;&gt;"Ocean",'Map 4'!S45&lt;&gt;"Trench")),CONCATENATE("Rainshadow ",'Map 4'!S45),'Map 4'!S45)</f>
        <v>Coast</v>
      </c>
      <c r="T45" s="3" t="str">
        <f ca="1">IF(OR(AND($AV45="⤵",'Map 4'!T46="Mountain",'Map 4'!T45&lt;&gt;"Mountain",'Map 4'!T45&lt;&gt;"Ocean",'Map 4'!T45&lt;&gt;"Trench"),AND($AV45="⤴",'Map 4'!T44="Mountain",'Map 4'!T45&lt;&gt;"Mountain",'Map 4'!T45&lt;&gt;"Ocean",'Map 4'!T45&lt;&gt;"Trench")),CONCATENATE("Rainshadow ",'Map 4'!T45),'Map 4'!T45)</f>
        <v>Ocean</v>
      </c>
      <c r="U45" s="3" t="str">
        <f ca="1">IF(OR(AND($AV45="⤵",'Map 4'!U46="Mountain",'Map 4'!U45&lt;&gt;"Mountain",'Map 4'!U45&lt;&gt;"Ocean",'Map 4'!U45&lt;&gt;"Trench"),AND($AV45="⤴",'Map 4'!U44="Mountain",'Map 4'!U45&lt;&gt;"Mountain",'Map 4'!U45&lt;&gt;"Ocean",'Map 4'!U45&lt;&gt;"Trench")),CONCATENATE("Rainshadow ",'Map 4'!U45),'Map 4'!U45)</f>
        <v>Ocean</v>
      </c>
      <c r="V45" s="3" t="str">
        <f ca="1">IF(OR(AND($AV45="⤵",'Map 4'!V46="Mountain",'Map 4'!V45&lt;&gt;"Mountain",'Map 4'!V45&lt;&gt;"Ocean",'Map 4'!V45&lt;&gt;"Trench"),AND($AV45="⤴",'Map 4'!V44="Mountain",'Map 4'!V45&lt;&gt;"Mountain",'Map 4'!V45&lt;&gt;"Ocean",'Map 4'!V45&lt;&gt;"Trench")),CONCATENATE("Rainshadow ",'Map 4'!V45),'Map 4'!V45)</f>
        <v>Trench</v>
      </c>
      <c r="W45" s="3" t="str">
        <f ca="1">IF(OR(AND($AV45="⤵",'Map 4'!W46="Mountain",'Map 4'!W45&lt;&gt;"Mountain",'Map 4'!W45&lt;&gt;"Ocean",'Map 4'!W45&lt;&gt;"Trench"),AND($AV45="⤴",'Map 4'!W44="Mountain",'Map 4'!W45&lt;&gt;"Mountain",'Map 4'!W45&lt;&gt;"Ocean",'Map 4'!W45&lt;&gt;"Trench")),CONCATENATE("Rainshadow ",'Map 4'!W45),'Map 4'!W45)</f>
        <v>Ocean</v>
      </c>
      <c r="X45" s="3" t="str">
        <f ca="1">IF(OR(AND($AV45="⤵",'Map 4'!X46="Mountain",'Map 4'!X45&lt;&gt;"Mountain",'Map 4'!X45&lt;&gt;"Ocean",'Map 4'!X45&lt;&gt;"Trench"),AND($AV45="⤴",'Map 4'!X44="Mountain",'Map 4'!X45&lt;&gt;"Mountain",'Map 4'!X45&lt;&gt;"Ocean",'Map 4'!X45&lt;&gt;"Trench")),CONCATENATE("Rainshadow ",'Map 4'!X45),'Map 4'!X45)</f>
        <v>Ocean</v>
      </c>
      <c r="Y45" s="3" t="str">
        <f ca="1">IF(OR(AND($AV45="⤵",'Map 4'!Y46="Mountain",'Map 4'!Y45&lt;&gt;"Mountain",'Map 4'!Y45&lt;&gt;"Ocean",'Map 4'!Y45&lt;&gt;"Trench"),AND($AV45="⤴",'Map 4'!Y44="Mountain",'Map 4'!Y45&lt;&gt;"Mountain",'Map 4'!Y45&lt;&gt;"Ocean",'Map 4'!Y45&lt;&gt;"Trench")),CONCATENATE("Rainshadow ",'Map 4'!Y45),'Map 4'!Y45)</f>
        <v>Ocean</v>
      </c>
      <c r="Z45" s="3" t="str">
        <f ca="1">IF(OR(AND($AV45="⤵",'Map 4'!Z46="Mountain",'Map 4'!Z45&lt;&gt;"Mountain",'Map 4'!Z45&lt;&gt;"Ocean",'Map 4'!Z45&lt;&gt;"Trench"),AND($AV45="⤴",'Map 4'!Z44="Mountain",'Map 4'!Z45&lt;&gt;"Mountain",'Map 4'!Z45&lt;&gt;"Ocean",'Map 4'!Z45&lt;&gt;"Trench")),CONCATENATE("Rainshadow ",'Map 4'!Z45),'Map 4'!Z45)</f>
        <v>Island</v>
      </c>
      <c r="AA45" s="3" t="str">
        <f ca="1">IF(OR(AND($AV45="⤵",'Map 4'!AA46="Mountain",'Map 4'!AA45&lt;&gt;"Mountain",'Map 4'!AA45&lt;&gt;"Ocean",'Map 4'!AA45&lt;&gt;"Trench"),AND($AV45="⤴",'Map 4'!AA44="Mountain",'Map 4'!AA45&lt;&gt;"Mountain",'Map 4'!AA45&lt;&gt;"Ocean",'Map 4'!AA45&lt;&gt;"Trench")),CONCATENATE("Rainshadow ",'Map 4'!AA45),'Map 4'!AA45)</f>
        <v>Ocean</v>
      </c>
      <c r="AB45" s="3" t="str">
        <f ca="1">IF(OR(AND($AV45="⤵",'Map 4'!AB46="Mountain",'Map 4'!AB45&lt;&gt;"Mountain",'Map 4'!AB45&lt;&gt;"Ocean",'Map 4'!AB45&lt;&gt;"Trench"),AND($AV45="⤴",'Map 4'!AB44="Mountain",'Map 4'!AB45&lt;&gt;"Mountain",'Map 4'!AB45&lt;&gt;"Ocean",'Map 4'!AB45&lt;&gt;"Trench")),CONCATENATE("Rainshadow ",'Map 4'!AB45),'Map 4'!AB45)</f>
        <v>Ocean</v>
      </c>
      <c r="AC45" s="3" t="str">
        <f ca="1">IF(OR(AND($AV45="⤵",'Map 4'!AC46="Mountain",'Map 4'!AC45&lt;&gt;"Mountain",'Map 4'!AC45&lt;&gt;"Ocean",'Map 4'!AC45&lt;&gt;"Trench"),AND($AV45="⤴",'Map 4'!AC44="Mountain",'Map 4'!AC45&lt;&gt;"Mountain",'Map 4'!AC45&lt;&gt;"Ocean",'Map 4'!AC45&lt;&gt;"Trench")),CONCATENATE("Rainshadow ",'Map 4'!AC45),'Map 4'!AC45)</f>
        <v>Ocean</v>
      </c>
      <c r="AD45" s="3" t="str">
        <f ca="1">IF(OR(AND($AV45="⤵",'Map 4'!AD46="Mountain",'Map 4'!AD45&lt;&gt;"Mountain",'Map 4'!AD45&lt;&gt;"Ocean",'Map 4'!AD45&lt;&gt;"Trench"),AND($AV45="⤴",'Map 4'!AD44="Mountain",'Map 4'!AD45&lt;&gt;"Mountain",'Map 4'!AD45&lt;&gt;"Ocean",'Map 4'!AD45&lt;&gt;"Trench")),CONCATENATE("Rainshadow ",'Map 4'!AD45),'Map 4'!AD45)</f>
        <v>Ocean</v>
      </c>
      <c r="AE45" s="3" t="str">
        <f ca="1">IF(OR(AND($AV45="⤵",'Map 4'!AE46="Mountain",'Map 4'!AE45&lt;&gt;"Mountain",'Map 4'!AE45&lt;&gt;"Ocean",'Map 4'!AE45&lt;&gt;"Trench"),AND($AV45="⤴",'Map 4'!AE44="Mountain",'Map 4'!AE45&lt;&gt;"Mountain",'Map 4'!AE45&lt;&gt;"Ocean",'Map 4'!AE45&lt;&gt;"Trench")),CONCATENATE("Rainshadow ",'Map 4'!AE45),'Map 4'!AE45)</f>
        <v>Trench</v>
      </c>
      <c r="AF45" s="3" t="str">
        <f ca="1">IF(OR(AND($AV45="⤵",'Map 4'!AF46="Mountain",'Map 4'!AF45&lt;&gt;"Mountain",'Map 4'!AF45&lt;&gt;"Ocean",'Map 4'!AF45&lt;&gt;"Trench"),AND($AV45="⤴",'Map 4'!AF44="Mountain",'Map 4'!AF45&lt;&gt;"Mountain",'Map 4'!AF45&lt;&gt;"Ocean",'Map 4'!AF45&lt;&gt;"Trench")),CONCATENATE("Rainshadow ",'Map 4'!AF45),'Map 4'!AF45)</f>
        <v>Trench</v>
      </c>
      <c r="AG45" s="3" t="str">
        <f ca="1">IF(OR(AND($AV45="⤵",'Map 4'!AG46="Mountain",'Map 4'!AG45&lt;&gt;"Mountain",'Map 4'!AG45&lt;&gt;"Ocean",'Map 4'!AG45&lt;&gt;"Trench"),AND($AV45="⤴",'Map 4'!AG44="Mountain",'Map 4'!AG45&lt;&gt;"Mountain",'Map 4'!AG45&lt;&gt;"Ocean",'Map 4'!AG45&lt;&gt;"Trench")),CONCATENATE("Rainshadow ",'Map 4'!AG45),'Map 4'!AG45)</f>
        <v>Island</v>
      </c>
      <c r="AH45" s="3" t="str">
        <f ca="1">IF(OR(AND($AV45="⤵",'Map 4'!AH46="Mountain",'Map 4'!AH45&lt;&gt;"Mountain",'Map 4'!AH45&lt;&gt;"Ocean",'Map 4'!AH45&lt;&gt;"Trench"),AND($AV45="⤴",'Map 4'!AH44="Mountain",'Map 4'!AH45&lt;&gt;"Mountain",'Map 4'!AH45&lt;&gt;"Ocean",'Map 4'!AH45&lt;&gt;"Trench")),CONCATENATE("Rainshadow ",'Map 4'!AH45),'Map 4'!AH45)</f>
        <v>Ocean</v>
      </c>
      <c r="AI45" s="3" t="str">
        <f ca="1">IF(OR(AND($AV45="⤵",'Map 4'!AI46="Mountain",'Map 4'!AI45&lt;&gt;"Mountain",'Map 4'!AI45&lt;&gt;"Ocean",'Map 4'!AI45&lt;&gt;"Trench"),AND($AV45="⤴",'Map 4'!AI44="Mountain",'Map 4'!AI45&lt;&gt;"Mountain",'Map 4'!AI45&lt;&gt;"Ocean",'Map 4'!AI45&lt;&gt;"Trench")),CONCATENATE("Rainshadow ",'Map 4'!AI45),'Map 4'!AI45)</f>
        <v>Ocean</v>
      </c>
      <c r="AJ45" s="3" t="str">
        <f ca="1">IF(OR(AND($AV45="⤵",'Map 4'!AJ46="Mountain",'Map 4'!AJ45&lt;&gt;"Mountain",'Map 4'!AJ45&lt;&gt;"Ocean",'Map 4'!AJ45&lt;&gt;"Trench"),AND($AV45="⤴",'Map 4'!AJ44="Mountain",'Map 4'!AJ45&lt;&gt;"Mountain",'Map 4'!AJ45&lt;&gt;"Ocean",'Map 4'!AJ45&lt;&gt;"Trench")),CONCATENATE("Rainshadow ",'Map 4'!AJ45),'Map 4'!AJ45)</f>
        <v>Ocean</v>
      </c>
      <c r="AK45" s="3" t="str">
        <f ca="1">IF(OR(AND($AV45="⤵",'Map 4'!AK46="Mountain",'Map 4'!AK45&lt;&gt;"Mountain",'Map 4'!AK45&lt;&gt;"Ocean",'Map 4'!AK45&lt;&gt;"Trench"),AND($AV45="⤴",'Map 4'!AK44="Mountain",'Map 4'!AK45&lt;&gt;"Mountain",'Map 4'!AK45&lt;&gt;"Ocean",'Map 4'!AK45&lt;&gt;"Trench")),CONCATENATE("Rainshadow ",'Map 4'!AK45),'Map 4'!AK45)</f>
        <v>Trench</v>
      </c>
      <c r="AL45" s="3" t="str">
        <f ca="1">IF(OR(AND($AV45="⤵",'Map 4'!AL46="Mountain",'Map 4'!AL45&lt;&gt;"Mountain",'Map 4'!AL45&lt;&gt;"Ocean",'Map 4'!AL45&lt;&gt;"Trench"),AND($AV45="⤴",'Map 4'!AL44="Mountain",'Map 4'!AL45&lt;&gt;"Mountain",'Map 4'!AL45&lt;&gt;"Ocean",'Map 4'!AL45&lt;&gt;"Trench")),CONCATENATE("Rainshadow ",'Map 4'!AL45),'Map 4'!AL45)</f>
        <v>Trench</v>
      </c>
      <c r="AM45" s="3" t="str">
        <f ca="1">IF(OR(AND($AV45="⤵",'Map 4'!AM46="Mountain",'Map 4'!AM45&lt;&gt;"Mountain",'Map 4'!AM45&lt;&gt;"Ocean",'Map 4'!AM45&lt;&gt;"Trench"),AND($AV45="⤴",'Map 4'!AM44="Mountain",'Map 4'!AM45&lt;&gt;"Mountain",'Map 4'!AM45&lt;&gt;"Ocean",'Map 4'!AM45&lt;&gt;"Trench")),CONCATENATE("Rainshadow ",'Map 4'!AM45),'Map 4'!AM45)</f>
        <v>Ocean</v>
      </c>
      <c r="AN45" s="3" t="str">
        <f ca="1">IF(OR(AND($AV45="⤵",'Map 4'!AN46="Mountain",'Map 4'!AN45&lt;&gt;"Mountain",'Map 4'!AN45&lt;&gt;"Ocean",'Map 4'!AN45&lt;&gt;"Trench"),AND($AV45="⤴",'Map 4'!AN44="Mountain",'Map 4'!AN45&lt;&gt;"Mountain",'Map 4'!AN45&lt;&gt;"Ocean",'Map 4'!AN45&lt;&gt;"Trench")),CONCATENATE("Rainshadow ",'Map 4'!AN45),'Map 4'!AN45)</f>
        <v>Ocean</v>
      </c>
      <c r="AO45" s="3" t="str">
        <f ca="1">IF(OR(AND($AV45="⤵",'Map 4'!AO46="Mountain",'Map 4'!AO45&lt;&gt;"Mountain",'Map 4'!AO45&lt;&gt;"Ocean",'Map 4'!AO45&lt;&gt;"Trench"),AND($AV45="⤴",'Map 4'!AO44="Mountain",'Map 4'!AO45&lt;&gt;"Mountain",'Map 4'!AO45&lt;&gt;"Ocean",'Map 4'!AO45&lt;&gt;"Trench")),CONCATENATE("Rainshadow ",'Map 4'!AO45),'Map 4'!AO45)</f>
        <v>Ocean</v>
      </c>
      <c r="AP45" s="3">
        <f t="shared" si="1"/>
        <v>-13.35</v>
      </c>
      <c r="AQ45" s="3">
        <f t="shared" si="2"/>
        <v>7.97</v>
      </c>
      <c r="AR45" s="3"/>
      <c r="AS45" s="3">
        <f t="shared" si="5"/>
        <v>259.80000000000018</v>
      </c>
      <c r="AT45" s="41">
        <v>-72</v>
      </c>
      <c r="AU45" s="41" t="str">
        <f>AU14</f>
        <v>Forest</v>
      </c>
      <c r="AV45" s="41" t="str" cm="1">
        <f t="array" ref="AV45">_xlfn.IFS(AT45&lt;-90,"⤴",AND(AT45&gt;=-90,AT45&lt;-60),"⤴",AND(AT45&gt;=-60,AT45&lt;-30),"⤵",AND(AT45&gt;=-30,AT45&lt;0),"⤴",AND(AT45&gt;=0,AT45&lt;30),"⤵",AND(AT45&gt;=30,AT45&lt;60),"⤴",AT45&gt;=60,"⤵")</f>
        <v>⤴</v>
      </c>
      <c r="AW45" s="41">
        <f>AW14</f>
        <v>0.72000000000000008</v>
      </c>
    </row>
    <row r="46" spans="1:49" ht="15" customHeight="1">
      <c r="A46" s="3">
        <v>37</v>
      </c>
      <c r="B46" s="3" t="str">
        <f ca="1">IF(OR(AND($AV46="⤵",'Map 4'!B47="Mountain",'Map 4'!B46&lt;&gt;"Mountain",'Map 4'!B46&lt;&gt;"Ocean",'Map 4'!B46&lt;&gt;"Trench"),AND($AV46="⤴",'Map 4'!B45="Mountain",'Map 4'!B46&lt;&gt;"Mountain",'Map 4'!B46&lt;&gt;"Ocean",'Map 4'!B46&lt;&gt;"Trench")),CONCATENATE("Rainshadow ",'Map 4'!B46),'Map 4'!B46)</f>
        <v>Ocean</v>
      </c>
      <c r="C46" s="3" t="str">
        <f ca="1">IF(OR(AND($AV46="⤵",'Map 4'!C47="Mountain",'Map 4'!C46&lt;&gt;"Mountain",'Map 4'!C46&lt;&gt;"Ocean",'Map 4'!C46&lt;&gt;"Trench"),AND($AV46="⤴",'Map 4'!C45="Mountain",'Map 4'!C46&lt;&gt;"Mountain",'Map 4'!C46&lt;&gt;"Ocean",'Map 4'!C46&lt;&gt;"Trench")),CONCATENATE("Rainshadow ",'Map 4'!C46),'Map 4'!C46)</f>
        <v>Ocean</v>
      </c>
      <c r="D46" s="3" t="str">
        <f ca="1">IF(OR(AND($AV46="⤵",'Map 4'!D47="Mountain",'Map 4'!D46&lt;&gt;"Mountain",'Map 4'!D46&lt;&gt;"Ocean",'Map 4'!D46&lt;&gt;"Trench"),AND($AV46="⤴",'Map 4'!D45="Mountain",'Map 4'!D46&lt;&gt;"Mountain",'Map 4'!D46&lt;&gt;"Ocean",'Map 4'!D46&lt;&gt;"Trench")),CONCATENATE("Rainshadow ",'Map 4'!D46),'Map 4'!D46)</f>
        <v>Ocean</v>
      </c>
      <c r="E46" s="3" t="str">
        <f ca="1">IF(OR(AND($AV46="⤵",'Map 4'!E47="Mountain",'Map 4'!E46&lt;&gt;"Mountain",'Map 4'!E46&lt;&gt;"Ocean",'Map 4'!E46&lt;&gt;"Trench"),AND($AV46="⤴",'Map 4'!E45="Mountain",'Map 4'!E46&lt;&gt;"Mountain",'Map 4'!E46&lt;&gt;"Ocean",'Map 4'!E46&lt;&gt;"Trench")),CONCATENATE("Rainshadow ",'Map 4'!E46),'Map 4'!E46)</f>
        <v>Ocean</v>
      </c>
      <c r="F46" s="3" t="str">
        <f ca="1">IF(OR(AND($AV46="⤵",'Map 4'!F47="Mountain",'Map 4'!F46&lt;&gt;"Mountain",'Map 4'!F46&lt;&gt;"Ocean",'Map 4'!F46&lt;&gt;"Trench"),AND($AV46="⤴",'Map 4'!F45="Mountain",'Map 4'!F46&lt;&gt;"Mountain",'Map 4'!F46&lt;&gt;"Ocean",'Map 4'!F46&lt;&gt;"Trench")),CONCATENATE("Rainshadow ",'Map 4'!F46),'Map 4'!F46)</f>
        <v>Coast</v>
      </c>
      <c r="G46" s="3" t="str">
        <f ca="1">IF(OR(AND($AV46="⤵",'Map 4'!G47="Mountain",'Map 4'!G46&lt;&gt;"Mountain",'Map 4'!G46&lt;&gt;"Ocean",'Map 4'!G46&lt;&gt;"Trench"),AND($AV46="⤴",'Map 4'!G45="Mountain",'Map 4'!G46&lt;&gt;"Mountain",'Map 4'!G46&lt;&gt;"Ocean",'Map 4'!G46&lt;&gt;"Trench")),CONCATENATE("Rainshadow ",'Map 4'!G46),'Map 4'!G46)</f>
        <v>Flatland</v>
      </c>
      <c r="H46" s="3" t="str">
        <f ca="1">IF(OR(AND($AV46="⤵",'Map 4'!H47="Mountain",'Map 4'!H46&lt;&gt;"Mountain",'Map 4'!H46&lt;&gt;"Ocean",'Map 4'!H46&lt;&gt;"Trench"),AND($AV46="⤴",'Map 4'!H45="Mountain",'Map 4'!H46&lt;&gt;"Mountain",'Map 4'!H46&lt;&gt;"Ocean",'Map 4'!H46&lt;&gt;"Trench")),CONCATENATE("Rainshadow ",'Map 4'!H46),'Map 4'!H46)</f>
        <v>Coast</v>
      </c>
      <c r="I46" s="3" t="str">
        <f ca="1">IF(OR(AND($AV46="⤵",'Map 4'!I47="Mountain",'Map 4'!I46&lt;&gt;"Mountain",'Map 4'!I46&lt;&gt;"Ocean",'Map 4'!I46&lt;&gt;"Trench"),AND($AV46="⤴",'Map 4'!I45="Mountain",'Map 4'!I46&lt;&gt;"Mountain",'Map 4'!I46&lt;&gt;"Ocean",'Map 4'!I46&lt;&gt;"Trench")),CONCATENATE("Rainshadow ",'Map 4'!I46),'Map 4'!I46)</f>
        <v>Coast</v>
      </c>
      <c r="J46" s="3" t="str">
        <f ca="1">IF(OR(AND($AV46="⤵",'Map 4'!J47="Mountain",'Map 4'!J46&lt;&gt;"Mountain",'Map 4'!J46&lt;&gt;"Ocean",'Map 4'!J46&lt;&gt;"Trench"),AND($AV46="⤴",'Map 4'!J45="Mountain",'Map 4'!J46&lt;&gt;"Mountain",'Map 4'!J46&lt;&gt;"Ocean",'Map 4'!J46&lt;&gt;"Trench")),CONCATENATE("Rainshadow ",'Map 4'!J46),'Map 4'!J46)</f>
        <v>Flatland</v>
      </c>
      <c r="K46" s="3" t="str">
        <f ca="1">IF(OR(AND($AV46="⤵",'Map 4'!K47="Mountain",'Map 4'!K46&lt;&gt;"Mountain",'Map 4'!K46&lt;&gt;"Ocean",'Map 4'!K46&lt;&gt;"Trench"),AND($AV46="⤴",'Map 4'!K45="Mountain",'Map 4'!K46&lt;&gt;"Mountain",'Map 4'!K46&lt;&gt;"Ocean",'Map 4'!K46&lt;&gt;"Trench")),CONCATENATE("Rainshadow ",'Map 4'!K46),'Map 4'!K46)</f>
        <v>Coast</v>
      </c>
      <c r="L46" s="3" t="str">
        <f ca="1">IF(OR(AND($AV46="⤵",'Map 4'!L47="Mountain",'Map 4'!L46&lt;&gt;"Mountain",'Map 4'!L46&lt;&gt;"Ocean",'Map 4'!L46&lt;&gt;"Trench"),AND($AV46="⤴",'Map 4'!L45="Mountain",'Map 4'!L46&lt;&gt;"Mountain",'Map 4'!L46&lt;&gt;"Ocean",'Map 4'!L46&lt;&gt;"Trench")),CONCATENATE("Rainshadow ",'Map 4'!L46),'Map 4'!L46)</f>
        <v>Ocean</v>
      </c>
      <c r="M46" s="3" t="str">
        <f ca="1">IF(OR(AND($AV46="⤵",'Map 4'!M47="Mountain",'Map 4'!M46&lt;&gt;"Mountain",'Map 4'!M46&lt;&gt;"Ocean",'Map 4'!M46&lt;&gt;"Trench"),AND($AV46="⤴",'Map 4'!M45="Mountain",'Map 4'!M46&lt;&gt;"Mountain",'Map 4'!M46&lt;&gt;"Ocean",'Map 4'!M46&lt;&gt;"Trench")),CONCATENATE("Rainshadow ",'Map 4'!M46),'Map 4'!M46)</f>
        <v>Flatland</v>
      </c>
      <c r="N46" s="3" t="str">
        <f ca="1">IF(OR(AND($AV46="⤵",'Map 4'!N47="Mountain",'Map 4'!N46&lt;&gt;"Mountain",'Map 4'!N46&lt;&gt;"Ocean",'Map 4'!N46&lt;&gt;"Trench"),AND($AV46="⤴",'Map 4'!N45="Mountain",'Map 4'!N46&lt;&gt;"Mountain",'Map 4'!N46&lt;&gt;"Ocean",'Map 4'!N46&lt;&gt;"Trench")),CONCATENATE("Rainshadow ",'Map 4'!N46),'Map 4'!N46)</f>
        <v>Coast</v>
      </c>
      <c r="O46" s="3" t="str">
        <f ca="1">IF(OR(AND($AV46="⤵",'Map 4'!O47="Mountain",'Map 4'!O46&lt;&gt;"Mountain",'Map 4'!O46&lt;&gt;"Ocean",'Map 4'!O46&lt;&gt;"Trench"),AND($AV46="⤴",'Map 4'!O45="Mountain",'Map 4'!O46&lt;&gt;"Mountain",'Map 4'!O46&lt;&gt;"Ocean",'Map 4'!O46&lt;&gt;"Trench")),CONCATENATE("Rainshadow ",'Map 4'!O46),'Map 4'!O46)</f>
        <v>Coast</v>
      </c>
      <c r="P46" s="3" t="str">
        <f ca="1">IF(OR(AND($AV46="⤵",'Map 4'!P47="Mountain",'Map 4'!P46&lt;&gt;"Mountain",'Map 4'!P46&lt;&gt;"Ocean",'Map 4'!P46&lt;&gt;"Trench"),AND($AV46="⤴",'Map 4'!P45="Mountain",'Map 4'!P46&lt;&gt;"Mountain",'Map 4'!P46&lt;&gt;"Ocean",'Map 4'!P46&lt;&gt;"Trench")),CONCATENATE("Rainshadow ",'Map 4'!P46),'Map 4'!P46)</f>
        <v>Mountain</v>
      </c>
      <c r="Q46" s="3" t="str">
        <f ca="1">IF(OR(AND($AV46="⤵",'Map 4'!Q47="Mountain",'Map 4'!Q46&lt;&gt;"Mountain",'Map 4'!Q46&lt;&gt;"Ocean",'Map 4'!Q46&lt;&gt;"Trench"),AND($AV46="⤴",'Map 4'!Q45="Mountain",'Map 4'!Q46&lt;&gt;"Mountain",'Map 4'!Q46&lt;&gt;"Ocean",'Map 4'!Q46&lt;&gt;"Trench")),CONCATENATE("Rainshadow ",'Map 4'!Q46),'Map 4'!Q46)</f>
        <v>Flatland</v>
      </c>
      <c r="R46" s="3" t="str">
        <f ca="1">IF(OR(AND($AV46="⤵",'Map 4'!R47="Mountain",'Map 4'!R46&lt;&gt;"Mountain",'Map 4'!R46&lt;&gt;"Ocean",'Map 4'!R46&lt;&gt;"Trench"),AND($AV46="⤴",'Map 4'!R45="Mountain",'Map 4'!R46&lt;&gt;"Mountain",'Map 4'!R46&lt;&gt;"Ocean",'Map 4'!R46&lt;&gt;"Trench")),CONCATENATE("Rainshadow ",'Map 4'!R46),'Map 4'!R46)</f>
        <v>Flatland</v>
      </c>
      <c r="S46" s="3" t="str">
        <f ca="1">IF(OR(AND($AV46="⤵",'Map 4'!S47="Mountain",'Map 4'!S46&lt;&gt;"Mountain",'Map 4'!S46&lt;&gt;"Ocean",'Map 4'!S46&lt;&gt;"Trench"),AND($AV46="⤴",'Map 4'!S45="Mountain",'Map 4'!S46&lt;&gt;"Mountain",'Map 4'!S46&lt;&gt;"Ocean",'Map 4'!S46&lt;&gt;"Trench")),CONCATENATE("Rainshadow ",'Map 4'!S46),'Map 4'!S46)</f>
        <v>Ocean</v>
      </c>
      <c r="T46" s="3" t="str">
        <f ca="1">IF(OR(AND($AV46="⤵",'Map 4'!T47="Mountain",'Map 4'!T46&lt;&gt;"Mountain",'Map 4'!T46&lt;&gt;"Ocean",'Map 4'!T46&lt;&gt;"Trench"),AND($AV46="⤴",'Map 4'!T45="Mountain",'Map 4'!T46&lt;&gt;"Mountain",'Map 4'!T46&lt;&gt;"Ocean",'Map 4'!T46&lt;&gt;"Trench")),CONCATENATE("Rainshadow ",'Map 4'!T46),'Map 4'!T46)</f>
        <v>Coast</v>
      </c>
      <c r="U46" s="3" t="str">
        <f ca="1">IF(OR(AND($AV46="⤵",'Map 4'!U47="Mountain",'Map 4'!U46&lt;&gt;"Mountain",'Map 4'!U46&lt;&gt;"Ocean",'Map 4'!U46&lt;&gt;"Trench"),AND($AV46="⤴",'Map 4'!U45="Mountain",'Map 4'!U46&lt;&gt;"Mountain",'Map 4'!U46&lt;&gt;"Ocean",'Map 4'!U46&lt;&gt;"Trench")),CONCATENATE("Rainshadow ",'Map 4'!U46),'Map 4'!U46)</f>
        <v>Coast</v>
      </c>
      <c r="V46" s="3" t="str">
        <f ca="1">IF(OR(AND($AV46="⤵",'Map 4'!V47="Mountain",'Map 4'!V46&lt;&gt;"Mountain",'Map 4'!V46&lt;&gt;"Ocean",'Map 4'!V46&lt;&gt;"Trench"),AND($AV46="⤴",'Map 4'!V45="Mountain",'Map 4'!V46&lt;&gt;"Mountain",'Map 4'!V46&lt;&gt;"Ocean",'Map 4'!V46&lt;&gt;"Trench")),CONCATENATE("Rainshadow ",'Map 4'!V46),'Map 4'!V46)</f>
        <v>Island</v>
      </c>
      <c r="W46" s="3" t="str">
        <f ca="1">IF(OR(AND($AV46="⤵",'Map 4'!W47="Mountain",'Map 4'!W46&lt;&gt;"Mountain",'Map 4'!W46&lt;&gt;"Ocean",'Map 4'!W46&lt;&gt;"Trench"),AND($AV46="⤴",'Map 4'!W45="Mountain",'Map 4'!W46&lt;&gt;"Mountain",'Map 4'!W46&lt;&gt;"Ocean",'Map 4'!W46&lt;&gt;"Trench")),CONCATENATE("Rainshadow ",'Map 4'!W46),'Map 4'!W46)</f>
        <v>Trench</v>
      </c>
      <c r="X46" s="3" t="str">
        <f ca="1">IF(OR(AND($AV46="⤵",'Map 4'!X47="Mountain",'Map 4'!X46&lt;&gt;"Mountain",'Map 4'!X46&lt;&gt;"Ocean",'Map 4'!X46&lt;&gt;"Trench"),AND($AV46="⤴",'Map 4'!X45="Mountain",'Map 4'!X46&lt;&gt;"Mountain",'Map 4'!X46&lt;&gt;"Ocean",'Map 4'!X46&lt;&gt;"Trench")),CONCATENATE("Rainshadow ",'Map 4'!X46),'Map 4'!X46)</f>
        <v>Ocean</v>
      </c>
      <c r="Y46" s="3" t="str">
        <f ca="1">IF(OR(AND($AV46="⤵",'Map 4'!Y47="Mountain",'Map 4'!Y46&lt;&gt;"Mountain",'Map 4'!Y46&lt;&gt;"Ocean",'Map 4'!Y46&lt;&gt;"Trench"),AND($AV46="⤴",'Map 4'!Y45="Mountain",'Map 4'!Y46&lt;&gt;"Mountain",'Map 4'!Y46&lt;&gt;"Ocean",'Map 4'!Y46&lt;&gt;"Trench")),CONCATENATE("Rainshadow ",'Map 4'!Y46),'Map 4'!Y46)</f>
        <v>Ocean</v>
      </c>
      <c r="Z46" s="3" t="str">
        <f ca="1">IF(OR(AND($AV46="⤵",'Map 4'!Z47="Mountain",'Map 4'!Z46&lt;&gt;"Mountain",'Map 4'!Z46&lt;&gt;"Ocean",'Map 4'!Z46&lt;&gt;"Trench"),AND($AV46="⤴",'Map 4'!Z45="Mountain",'Map 4'!Z46&lt;&gt;"Mountain",'Map 4'!Z46&lt;&gt;"Ocean",'Map 4'!Z46&lt;&gt;"Trench")),CONCATENATE("Rainshadow ",'Map 4'!Z46),'Map 4'!Z46)</f>
        <v>Trench</v>
      </c>
      <c r="AA46" s="3" t="str">
        <f ca="1">IF(OR(AND($AV46="⤵",'Map 4'!AA47="Mountain",'Map 4'!AA46&lt;&gt;"Mountain",'Map 4'!AA46&lt;&gt;"Ocean",'Map 4'!AA46&lt;&gt;"Trench"),AND($AV46="⤴",'Map 4'!AA45="Mountain",'Map 4'!AA46&lt;&gt;"Mountain",'Map 4'!AA46&lt;&gt;"Ocean",'Map 4'!AA46&lt;&gt;"Trench")),CONCATENATE("Rainshadow ",'Map 4'!AA46),'Map 4'!AA46)</f>
        <v>Ocean</v>
      </c>
      <c r="AB46" s="3" t="str">
        <f ca="1">IF(OR(AND($AV46="⤵",'Map 4'!AB47="Mountain",'Map 4'!AB46&lt;&gt;"Mountain",'Map 4'!AB46&lt;&gt;"Ocean",'Map 4'!AB46&lt;&gt;"Trench"),AND($AV46="⤴",'Map 4'!AB45="Mountain",'Map 4'!AB46&lt;&gt;"Mountain",'Map 4'!AB46&lt;&gt;"Ocean",'Map 4'!AB46&lt;&gt;"Trench")),CONCATENATE("Rainshadow ",'Map 4'!AB46),'Map 4'!AB46)</f>
        <v>Island</v>
      </c>
      <c r="AC46" s="3" t="str">
        <f ca="1">IF(OR(AND($AV46="⤵",'Map 4'!AC47="Mountain",'Map 4'!AC46&lt;&gt;"Mountain",'Map 4'!AC46&lt;&gt;"Ocean",'Map 4'!AC46&lt;&gt;"Trench"),AND($AV46="⤴",'Map 4'!AC45="Mountain",'Map 4'!AC46&lt;&gt;"Mountain",'Map 4'!AC46&lt;&gt;"Ocean",'Map 4'!AC46&lt;&gt;"Trench")),CONCATENATE("Rainshadow ",'Map 4'!AC46),'Map 4'!AC46)</f>
        <v>Ocean</v>
      </c>
      <c r="AD46" s="3" t="str">
        <f ca="1">IF(OR(AND($AV46="⤵",'Map 4'!AD47="Mountain",'Map 4'!AD46&lt;&gt;"Mountain",'Map 4'!AD46&lt;&gt;"Ocean",'Map 4'!AD46&lt;&gt;"Trench"),AND($AV46="⤴",'Map 4'!AD45="Mountain",'Map 4'!AD46&lt;&gt;"Mountain",'Map 4'!AD46&lt;&gt;"Ocean",'Map 4'!AD46&lt;&gt;"Trench")),CONCATENATE("Rainshadow ",'Map 4'!AD46),'Map 4'!AD46)</f>
        <v>Ocean</v>
      </c>
      <c r="AE46" s="3" t="str">
        <f ca="1">IF(OR(AND($AV46="⤵",'Map 4'!AE47="Mountain",'Map 4'!AE46&lt;&gt;"Mountain",'Map 4'!AE46&lt;&gt;"Ocean",'Map 4'!AE46&lt;&gt;"Trench"),AND($AV46="⤴",'Map 4'!AE45="Mountain",'Map 4'!AE46&lt;&gt;"Mountain",'Map 4'!AE46&lt;&gt;"Ocean",'Map 4'!AE46&lt;&gt;"Trench")),CONCATENATE("Rainshadow ",'Map 4'!AE46),'Map 4'!AE46)</f>
        <v>Ocean</v>
      </c>
      <c r="AF46" s="3" t="str">
        <f ca="1">IF(OR(AND($AV46="⤵",'Map 4'!AF47="Mountain",'Map 4'!AF46&lt;&gt;"Mountain",'Map 4'!AF46&lt;&gt;"Ocean",'Map 4'!AF46&lt;&gt;"Trench"),AND($AV46="⤴",'Map 4'!AF45="Mountain",'Map 4'!AF46&lt;&gt;"Mountain",'Map 4'!AF46&lt;&gt;"Ocean",'Map 4'!AF46&lt;&gt;"Trench")),CONCATENATE("Rainshadow ",'Map 4'!AF46),'Map 4'!AF46)</f>
        <v>Trench</v>
      </c>
      <c r="AG46" s="3" t="str">
        <f ca="1">IF(OR(AND($AV46="⤵",'Map 4'!AG47="Mountain",'Map 4'!AG46&lt;&gt;"Mountain",'Map 4'!AG46&lt;&gt;"Ocean",'Map 4'!AG46&lt;&gt;"Trench"),AND($AV46="⤴",'Map 4'!AG45="Mountain",'Map 4'!AG46&lt;&gt;"Mountain",'Map 4'!AG46&lt;&gt;"Ocean",'Map 4'!AG46&lt;&gt;"Trench")),CONCATENATE("Rainshadow ",'Map 4'!AG46),'Map 4'!AG46)</f>
        <v>Ocean</v>
      </c>
      <c r="AH46" s="3" t="str">
        <f ca="1">IF(OR(AND($AV46="⤵",'Map 4'!AH47="Mountain",'Map 4'!AH46&lt;&gt;"Mountain",'Map 4'!AH46&lt;&gt;"Ocean",'Map 4'!AH46&lt;&gt;"Trench"),AND($AV46="⤴",'Map 4'!AH45="Mountain",'Map 4'!AH46&lt;&gt;"Mountain",'Map 4'!AH46&lt;&gt;"Ocean",'Map 4'!AH46&lt;&gt;"Trench")),CONCATENATE("Rainshadow ",'Map 4'!AH46),'Map 4'!AH46)</f>
        <v>Ocean</v>
      </c>
      <c r="AI46" s="3" t="str">
        <f ca="1">IF(OR(AND($AV46="⤵",'Map 4'!AI47="Mountain",'Map 4'!AI46&lt;&gt;"Mountain",'Map 4'!AI46&lt;&gt;"Ocean",'Map 4'!AI46&lt;&gt;"Trench"),AND($AV46="⤴",'Map 4'!AI45="Mountain",'Map 4'!AI46&lt;&gt;"Mountain",'Map 4'!AI46&lt;&gt;"Ocean",'Map 4'!AI46&lt;&gt;"Trench")),CONCATENATE("Rainshadow ",'Map 4'!AI46),'Map 4'!AI46)</f>
        <v>Ocean</v>
      </c>
      <c r="AJ46" s="3" t="str">
        <f ca="1">IF(OR(AND($AV46="⤵",'Map 4'!AJ47="Mountain",'Map 4'!AJ46&lt;&gt;"Mountain",'Map 4'!AJ46&lt;&gt;"Ocean",'Map 4'!AJ46&lt;&gt;"Trench"),AND($AV46="⤴",'Map 4'!AJ45="Mountain",'Map 4'!AJ46&lt;&gt;"Mountain",'Map 4'!AJ46&lt;&gt;"Ocean",'Map 4'!AJ46&lt;&gt;"Trench")),CONCATENATE("Rainshadow ",'Map 4'!AJ46),'Map 4'!AJ46)</f>
        <v>Ocean</v>
      </c>
      <c r="AK46" s="3" t="str">
        <f ca="1">IF(OR(AND($AV46="⤵",'Map 4'!AK47="Mountain",'Map 4'!AK46&lt;&gt;"Mountain",'Map 4'!AK46&lt;&gt;"Ocean",'Map 4'!AK46&lt;&gt;"Trench"),AND($AV46="⤴",'Map 4'!AK45="Mountain",'Map 4'!AK46&lt;&gt;"Mountain",'Map 4'!AK46&lt;&gt;"Ocean",'Map 4'!AK46&lt;&gt;"Trench")),CONCATENATE("Rainshadow ",'Map 4'!AK46),'Map 4'!AK46)</f>
        <v>Trench</v>
      </c>
      <c r="AL46" s="3" t="str">
        <f ca="1">IF(OR(AND($AV46="⤵",'Map 4'!AL47="Mountain",'Map 4'!AL46&lt;&gt;"Mountain",'Map 4'!AL46&lt;&gt;"Ocean",'Map 4'!AL46&lt;&gt;"Trench"),AND($AV46="⤴",'Map 4'!AL45="Mountain",'Map 4'!AL46&lt;&gt;"Mountain",'Map 4'!AL46&lt;&gt;"Ocean",'Map 4'!AL46&lt;&gt;"Trench")),CONCATENATE("Rainshadow ",'Map 4'!AL46),'Map 4'!AL46)</f>
        <v>Ocean</v>
      </c>
      <c r="AM46" s="3" t="str">
        <f ca="1">IF(OR(AND($AV46="⤵",'Map 4'!AM47="Mountain",'Map 4'!AM46&lt;&gt;"Mountain",'Map 4'!AM46&lt;&gt;"Ocean",'Map 4'!AM46&lt;&gt;"Trench"),AND($AV46="⤴",'Map 4'!AM45="Mountain",'Map 4'!AM46&lt;&gt;"Mountain",'Map 4'!AM46&lt;&gt;"Ocean",'Map 4'!AM46&lt;&gt;"Trench")),CONCATENATE("Rainshadow ",'Map 4'!AM46),'Map 4'!AM46)</f>
        <v>Ocean</v>
      </c>
      <c r="AN46" s="3" t="str">
        <f ca="1">IF(OR(AND($AV46="⤵",'Map 4'!AN47="Mountain",'Map 4'!AN46&lt;&gt;"Mountain",'Map 4'!AN46&lt;&gt;"Ocean",'Map 4'!AN46&lt;&gt;"Trench"),AND($AV46="⤴",'Map 4'!AN45="Mountain",'Map 4'!AN46&lt;&gt;"Mountain",'Map 4'!AN46&lt;&gt;"Ocean",'Map 4'!AN46&lt;&gt;"Trench")),CONCATENATE("Rainshadow ",'Map 4'!AN46),'Map 4'!AN46)</f>
        <v>Trench</v>
      </c>
      <c r="AO46" s="3" t="str">
        <f ca="1">IF(OR(AND($AV46="⤵",'Map 4'!AO47="Mountain",'Map 4'!AO46&lt;&gt;"Mountain",'Map 4'!AO46&lt;&gt;"Ocean",'Map 4'!AO46&lt;&gt;"Trench"),AND($AV46="⤴",'Map 4'!AO45="Mountain",'Map 4'!AO46&lt;&gt;"Mountain",'Map 4'!AO46&lt;&gt;"Ocean",'Map 4'!AO46&lt;&gt;"Trench")),CONCATENATE("Rainshadow ",'Map 4'!AO46),'Map 4'!AO46)</f>
        <v>Ocean</v>
      </c>
      <c r="AP46" s="3">
        <f t="shared" si="1"/>
        <v>-20.3</v>
      </c>
      <c r="AQ46" s="3">
        <f t="shared" si="2"/>
        <v>-4.54</v>
      </c>
      <c r="AR46" s="3"/>
      <c r="AS46" s="3">
        <f t="shared" si="5"/>
        <v>252.85000000000019</v>
      </c>
      <c r="AT46" s="41">
        <v>-76.5</v>
      </c>
      <c r="AU46" s="41" t="str">
        <f>AU13</f>
        <v>Forest</v>
      </c>
      <c r="AV46" s="41" t="str" cm="1">
        <f t="array" ref="AV46">_xlfn.IFS(AT46&lt;-90,"⤴",AND(AT46&gt;=-90,AT46&lt;-60),"⤴",AND(AT46&gt;=-60,AT46&lt;-30),"⤵",AND(AT46&gt;=-30,AT46&lt;0),"⤴",AND(AT46&gt;=0,AT46&lt;30),"⤵",AND(AT46&gt;=30,AT46&lt;60),"⤴",AT46&gt;=60,"⤵")</f>
        <v>⤴</v>
      </c>
      <c r="AW46" s="41">
        <f>AW13</f>
        <v>0.58000000000000007</v>
      </c>
    </row>
    <row r="47" spans="1:49" ht="15" customHeight="1">
      <c r="A47" s="3">
        <v>38</v>
      </c>
      <c r="B47" s="3" t="str">
        <f ca="1">IF(OR(AND($AV47="⤵",'Map 4'!B48="Mountain",'Map 4'!B47&lt;&gt;"Mountain",'Map 4'!B47&lt;&gt;"Ocean",'Map 4'!B47&lt;&gt;"Trench"),AND($AV47="⤴",'Map 4'!B46="Mountain",'Map 4'!B47&lt;&gt;"Mountain",'Map 4'!B47&lt;&gt;"Ocean",'Map 4'!B47&lt;&gt;"Trench")),CONCATENATE("Rainshadow ",'Map 4'!B47),'Map 4'!B47)</f>
        <v>Ocean</v>
      </c>
      <c r="C47" s="3" t="str">
        <f ca="1">IF(OR(AND($AV47="⤵",'Map 4'!C48="Mountain",'Map 4'!C47&lt;&gt;"Mountain",'Map 4'!C47&lt;&gt;"Ocean",'Map 4'!C47&lt;&gt;"Trench"),AND($AV47="⤴",'Map 4'!C46="Mountain",'Map 4'!C47&lt;&gt;"Mountain",'Map 4'!C47&lt;&gt;"Ocean",'Map 4'!C47&lt;&gt;"Trench")),CONCATENATE("Rainshadow ",'Map 4'!C47),'Map 4'!C47)</f>
        <v>Ocean</v>
      </c>
      <c r="D47" s="3" t="str">
        <f ca="1">IF(OR(AND($AV47="⤵",'Map 4'!D48="Mountain",'Map 4'!D47&lt;&gt;"Mountain",'Map 4'!D47&lt;&gt;"Ocean",'Map 4'!D47&lt;&gt;"Trench"),AND($AV47="⤴",'Map 4'!D46="Mountain",'Map 4'!D47&lt;&gt;"Mountain",'Map 4'!D47&lt;&gt;"Ocean",'Map 4'!D47&lt;&gt;"Trench")),CONCATENATE("Rainshadow ",'Map 4'!D47),'Map 4'!D47)</f>
        <v>Ocean</v>
      </c>
      <c r="E47" s="3" t="str">
        <f ca="1">IF(OR(AND($AV47="⤵",'Map 4'!E48="Mountain",'Map 4'!E47&lt;&gt;"Mountain",'Map 4'!E47&lt;&gt;"Ocean",'Map 4'!E47&lt;&gt;"Trench"),AND($AV47="⤴",'Map 4'!E46="Mountain",'Map 4'!E47&lt;&gt;"Mountain",'Map 4'!E47&lt;&gt;"Ocean",'Map 4'!E47&lt;&gt;"Trench")),CONCATENATE("Rainshadow ",'Map 4'!E47),'Map 4'!E47)</f>
        <v>Ocean</v>
      </c>
      <c r="F47" s="3" t="str">
        <f ca="1">IF(OR(AND($AV47="⤵",'Map 4'!F48="Mountain",'Map 4'!F47&lt;&gt;"Mountain",'Map 4'!F47&lt;&gt;"Ocean",'Map 4'!F47&lt;&gt;"Trench"),AND($AV47="⤴",'Map 4'!F46="Mountain",'Map 4'!F47&lt;&gt;"Mountain",'Map 4'!F47&lt;&gt;"Ocean",'Map 4'!F47&lt;&gt;"Trench")),CONCATENATE("Rainshadow ",'Map 4'!F47),'Map 4'!F47)</f>
        <v>Cliff</v>
      </c>
      <c r="G47" s="3" t="str">
        <f ca="1">IF(OR(AND($AV47="⤵",'Map 4'!G48="Mountain",'Map 4'!G47&lt;&gt;"Mountain",'Map 4'!G47&lt;&gt;"Ocean",'Map 4'!G47&lt;&gt;"Trench"),AND($AV47="⤴",'Map 4'!G46="Mountain",'Map 4'!G47&lt;&gt;"Mountain",'Map 4'!G47&lt;&gt;"Ocean",'Map 4'!G47&lt;&gt;"Trench")),CONCATENATE("Rainshadow ",'Map 4'!G47),'Map 4'!G47)</f>
        <v>Coast</v>
      </c>
      <c r="H47" s="3" t="str">
        <f ca="1">IF(OR(AND($AV47="⤵",'Map 4'!H48="Mountain",'Map 4'!H47&lt;&gt;"Mountain",'Map 4'!H47&lt;&gt;"Ocean",'Map 4'!H47&lt;&gt;"Trench"),AND($AV47="⤴",'Map 4'!H46="Mountain",'Map 4'!H47&lt;&gt;"Mountain",'Map 4'!H47&lt;&gt;"Ocean",'Map 4'!H47&lt;&gt;"Trench")),CONCATENATE("Rainshadow ",'Map 4'!H47),'Map 4'!H47)</f>
        <v>Flatland</v>
      </c>
      <c r="I47" s="3" t="str">
        <f ca="1">IF(OR(AND($AV47="⤵",'Map 4'!I48="Mountain",'Map 4'!I47&lt;&gt;"Mountain",'Map 4'!I47&lt;&gt;"Ocean",'Map 4'!I47&lt;&gt;"Trench"),AND($AV47="⤴",'Map 4'!I46="Mountain",'Map 4'!I47&lt;&gt;"Mountain",'Map 4'!I47&lt;&gt;"Ocean",'Map 4'!I47&lt;&gt;"Trench")),CONCATENATE("Rainshadow ",'Map 4'!I47),'Map 4'!I47)</f>
        <v>Flatland</v>
      </c>
      <c r="J47" s="3" t="str">
        <f ca="1">IF(OR(AND($AV47="⤵",'Map 4'!J48="Mountain",'Map 4'!J47&lt;&gt;"Mountain",'Map 4'!J47&lt;&gt;"Ocean",'Map 4'!J47&lt;&gt;"Trench"),AND($AV47="⤴",'Map 4'!J46="Mountain",'Map 4'!J47&lt;&gt;"Mountain",'Map 4'!J47&lt;&gt;"Ocean",'Map 4'!J47&lt;&gt;"Trench")),CONCATENATE("Rainshadow ",'Map 4'!J47),'Map 4'!J47)</f>
        <v>Flatland</v>
      </c>
      <c r="K47" s="3" t="str">
        <f ca="1">IF(OR(AND($AV47="⤵",'Map 4'!K48="Mountain",'Map 4'!K47&lt;&gt;"Mountain",'Map 4'!K47&lt;&gt;"Ocean",'Map 4'!K47&lt;&gt;"Trench"),AND($AV47="⤴",'Map 4'!K46="Mountain",'Map 4'!K47&lt;&gt;"Mountain",'Map 4'!K47&lt;&gt;"Ocean",'Map 4'!K47&lt;&gt;"Trench")),CONCATENATE("Rainshadow ",'Map 4'!K47),'Map 4'!K47)</f>
        <v>Ocean</v>
      </c>
      <c r="L47" s="3" t="str">
        <f ca="1">IF(OR(AND($AV47="⤵",'Map 4'!L48="Mountain",'Map 4'!L47&lt;&gt;"Mountain",'Map 4'!L47&lt;&gt;"Ocean",'Map 4'!L47&lt;&gt;"Trench"),AND($AV47="⤴",'Map 4'!L46="Mountain",'Map 4'!L47&lt;&gt;"Mountain",'Map 4'!L47&lt;&gt;"Ocean",'Map 4'!L47&lt;&gt;"Trench")),CONCATENATE("Rainshadow ",'Map 4'!L47),'Map 4'!L47)</f>
        <v>Ocean</v>
      </c>
      <c r="M47" s="3" t="str">
        <f ca="1">IF(OR(AND($AV47="⤵",'Map 4'!M48="Mountain",'Map 4'!M47&lt;&gt;"Mountain",'Map 4'!M47&lt;&gt;"Ocean",'Map 4'!M47&lt;&gt;"Trench"),AND($AV47="⤴",'Map 4'!M46="Mountain",'Map 4'!M47&lt;&gt;"Mountain",'Map 4'!M47&lt;&gt;"Ocean",'Map 4'!M47&lt;&gt;"Trench")),CONCATENATE("Rainshadow ",'Map 4'!M47),'Map 4'!M47)</f>
        <v>Coast</v>
      </c>
      <c r="N47" s="3" t="str">
        <f ca="1">IF(OR(AND($AV47="⤵",'Map 4'!N48="Mountain",'Map 4'!N47&lt;&gt;"Mountain",'Map 4'!N47&lt;&gt;"Ocean",'Map 4'!N47&lt;&gt;"Trench"),AND($AV47="⤴",'Map 4'!N46="Mountain",'Map 4'!N47&lt;&gt;"Mountain",'Map 4'!N47&lt;&gt;"Ocean",'Map 4'!N47&lt;&gt;"Trench")),CONCATENATE("Rainshadow ",'Map 4'!N47),'Map 4'!N47)</f>
        <v>Coast</v>
      </c>
      <c r="O47" s="3" t="str">
        <f ca="1">IF(OR(AND($AV47="⤵",'Map 4'!O48="Mountain",'Map 4'!O47&lt;&gt;"Mountain",'Map 4'!O47&lt;&gt;"Ocean",'Map 4'!O47&lt;&gt;"Trench"),AND($AV47="⤴",'Map 4'!O46="Mountain",'Map 4'!O47&lt;&gt;"Mountain",'Map 4'!O47&lt;&gt;"Ocean",'Map 4'!O47&lt;&gt;"Trench")),CONCATENATE("Rainshadow ",'Map 4'!O47),'Map 4'!O47)</f>
        <v>Flatland</v>
      </c>
      <c r="P47" s="3" t="str">
        <f ca="1">IF(OR(AND($AV47="⤵",'Map 4'!P48="Mountain",'Map 4'!P47&lt;&gt;"Mountain",'Map 4'!P47&lt;&gt;"Ocean",'Map 4'!P47&lt;&gt;"Trench"),AND($AV47="⤴",'Map 4'!P46="Mountain",'Map 4'!P47&lt;&gt;"Mountain",'Map 4'!P47&lt;&gt;"Ocean",'Map 4'!P47&lt;&gt;"Trench")),CONCATENATE("Rainshadow ",'Map 4'!P47),'Map 4'!P47)</f>
        <v>Rainshadow Flatland</v>
      </c>
      <c r="Q47" s="3" t="str">
        <f ca="1">IF(OR(AND($AV47="⤵",'Map 4'!Q48="Mountain",'Map 4'!Q47&lt;&gt;"Mountain",'Map 4'!Q47&lt;&gt;"Ocean",'Map 4'!Q47&lt;&gt;"Trench"),AND($AV47="⤴",'Map 4'!Q46="Mountain",'Map 4'!Q47&lt;&gt;"Mountain",'Map 4'!Q47&lt;&gt;"Ocean",'Map 4'!Q47&lt;&gt;"Trench")),CONCATENATE("Rainshadow ",'Map 4'!Q47),'Map 4'!Q47)</f>
        <v>Valley</v>
      </c>
      <c r="R47" s="3" t="str">
        <f ca="1">IF(OR(AND($AV47="⤵",'Map 4'!R48="Mountain",'Map 4'!R47&lt;&gt;"Mountain",'Map 4'!R47&lt;&gt;"Ocean",'Map 4'!R47&lt;&gt;"Trench"),AND($AV47="⤴",'Map 4'!R46="Mountain",'Map 4'!R47&lt;&gt;"Mountain",'Map 4'!R47&lt;&gt;"Ocean",'Map 4'!R47&lt;&gt;"Trench")),CONCATENATE("Rainshadow ",'Map 4'!R47),'Map 4'!R47)</f>
        <v>Mountain</v>
      </c>
      <c r="S47" s="3" t="str">
        <f ca="1">IF(OR(AND($AV47="⤵",'Map 4'!S48="Mountain",'Map 4'!S47&lt;&gt;"Mountain",'Map 4'!S47&lt;&gt;"Ocean",'Map 4'!S47&lt;&gt;"Trench"),AND($AV47="⤴",'Map 4'!S46="Mountain",'Map 4'!S47&lt;&gt;"Mountain",'Map 4'!S47&lt;&gt;"Ocean",'Map 4'!S47&lt;&gt;"Trench")),CONCATENATE("Rainshadow ",'Map 4'!S47),'Map 4'!S47)</f>
        <v>Coast</v>
      </c>
      <c r="T47" s="3" t="str">
        <f ca="1">IF(OR(AND($AV47="⤵",'Map 4'!T48="Mountain",'Map 4'!T47&lt;&gt;"Mountain",'Map 4'!T47&lt;&gt;"Ocean",'Map 4'!T47&lt;&gt;"Trench"),AND($AV47="⤴",'Map 4'!T46="Mountain",'Map 4'!T47&lt;&gt;"Mountain",'Map 4'!T47&lt;&gt;"Ocean",'Map 4'!T47&lt;&gt;"Trench")),CONCATENATE("Rainshadow ",'Map 4'!T47),'Map 4'!T47)</f>
        <v>Flatland</v>
      </c>
      <c r="U47" s="3" t="str">
        <f ca="1">IF(OR(AND($AV47="⤵",'Map 4'!U48="Mountain",'Map 4'!U47&lt;&gt;"Mountain",'Map 4'!U47&lt;&gt;"Ocean",'Map 4'!U47&lt;&gt;"Trench"),AND($AV47="⤴",'Map 4'!U46="Mountain",'Map 4'!U47&lt;&gt;"Mountain",'Map 4'!U47&lt;&gt;"Ocean",'Map 4'!U47&lt;&gt;"Trench")),CONCATENATE("Rainshadow ",'Map 4'!U47),'Map 4'!U47)</f>
        <v>Coast</v>
      </c>
      <c r="V47" s="3" t="str">
        <f ca="1">IF(OR(AND($AV47="⤵",'Map 4'!V48="Mountain",'Map 4'!V47&lt;&gt;"Mountain",'Map 4'!V47&lt;&gt;"Ocean",'Map 4'!V47&lt;&gt;"Trench"),AND($AV47="⤴",'Map 4'!V46="Mountain",'Map 4'!V47&lt;&gt;"Mountain",'Map 4'!V47&lt;&gt;"Ocean",'Map 4'!V47&lt;&gt;"Trench")),CONCATENATE("Rainshadow ",'Map 4'!V47),'Map 4'!V47)</f>
        <v>Coast</v>
      </c>
      <c r="W47" s="3" t="str">
        <f ca="1">IF(OR(AND($AV47="⤵",'Map 4'!W48="Mountain",'Map 4'!W47&lt;&gt;"Mountain",'Map 4'!W47&lt;&gt;"Ocean",'Map 4'!W47&lt;&gt;"Trench"),AND($AV47="⤴",'Map 4'!W46="Mountain",'Map 4'!W47&lt;&gt;"Mountain",'Map 4'!W47&lt;&gt;"Ocean",'Map 4'!W47&lt;&gt;"Trench")),CONCATENATE("Rainshadow ",'Map 4'!W47),'Map 4'!W47)</f>
        <v>Ocean</v>
      </c>
      <c r="X47" s="3" t="str">
        <f ca="1">IF(OR(AND($AV47="⤵",'Map 4'!X48="Mountain",'Map 4'!X47&lt;&gt;"Mountain",'Map 4'!X47&lt;&gt;"Ocean",'Map 4'!X47&lt;&gt;"Trench"),AND($AV47="⤴",'Map 4'!X46="Mountain",'Map 4'!X47&lt;&gt;"Mountain",'Map 4'!X47&lt;&gt;"Ocean",'Map 4'!X47&lt;&gt;"Trench")),CONCATENATE("Rainshadow ",'Map 4'!X47),'Map 4'!X47)</f>
        <v>Ocean</v>
      </c>
      <c r="Y47" s="3" t="str">
        <f ca="1">IF(OR(AND($AV47="⤵",'Map 4'!Y48="Mountain",'Map 4'!Y47&lt;&gt;"Mountain",'Map 4'!Y47&lt;&gt;"Ocean",'Map 4'!Y47&lt;&gt;"Trench"),AND($AV47="⤴",'Map 4'!Y46="Mountain",'Map 4'!Y47&lt;&gt;"Mountain",'Map 4'!Y47&lt;&gt;"Ocean",'Map 4'!Y47&lt;&gt;"Trench")),CONCATENATE("Rainshadow ",'Map 4'!Y47),'Map 4'!Y47)</f>
        <v>Ocean</v>
      </c>
      <c r="Z47" s="3" t="str">
        <f ca="1">IF(OR(AND($AV47="⤵",'Map 4'!Z48="Mountain",'Map 4'!Z47&lt;&gt;"Mountain",'Map 4'!Z47&lt;&gt;"Ocean",'Map 4'!Z47&lt;&gt;"Trench"),AND($AV47="⤴",'Map 4'!Z46="Mountain",'Map 4'!Z47&lt;&gt;"Mountain",'Map 4'!Z47&lt;&gt;"Ocean",'Map 4'!Z47&lt;&gt;"Trench")),CONCATENATE("Rainshadow ",'Map 4'!Z47),'Map 4'!Z47)</f>
        <v>Ocean</v>
      </c>
      <c r="AA47" s="3" t="str">
        <f ca="1">IF(OR(AND($AV47="⤵",'Map 4'!AA48="Mountain",'Map 4'!AA47&lt;&gt;"Mountain",'Map 4'!AA47&lt;&gt;"Ocean",'Map 4'!AA47&lt;&gt;"Trench"),AND($AV47="⤴",'Map 4'!AA46="Mountain",'Map 4'!AA47&lt;&gt;"Mountain",'Map 4'!AA47&lt;&gt;"Ocean",'Map 4'!AA47&lt;&gt;"Trench")),CONCATENATE("Rainshadow ",'Map 4'!AA47),'Map 4'!AA47)</f>
        <v>Ocean</v>
      </c>
      <c r="AB47" s="3" t="str">
        <f ca="1">IF(OR(AND($AV47="⤵",'Map 4'!AB48="Mountain",'Map 4'!AB47&lt;&gt;"Mountain",'Map 4'!AB47&lt;&gt;"Ocean",'Map 4'!AB47&lt;&gt;"Trench"),AND($AV47="⤴",'Map 4'!AB46="Mountain",'Map 4'!AB47&lt;&gt;"Mountain",'Map 4'!AB47&lt;&gt;"Ocean",'Map 4'!AB47&lt;&gt;"Trench")),CONCATENATE("Rainshadow ",'Map 4'!AB47),'Map 4'!AB47)</f>
        <v>Ocean</v>
      </c>
      <c r="AC47" s="3" t="str">
        <f ca="1">IF(OR(AND($AV47="⤵",'Map 4'!AC48="Mountain",'Map 4'!AC47&lt;&gt;"Mountain",'Map 4'!AC47&lt;&gt;"Ocean",'Map 4'!AC47&lt;&gt;"Trench"),AND($AV47="⤴",'Map 4'!AC46="Mountain",'Map 4'!AC47&lt;&gt;"Mountain",'Map 4'!AC47&lt;&gt;"Ocean",'Map 4'!AC47&lt;&gt;"Trench")),CONCATENATE("Rainshadow ",'Map 4'!AC47),'Map 4'!AC47)</f>
        <v>Ocean</v>
      </c>
      <c r="AD47" s="3" t="str">
        <f ca="1">IF(OR(AND($AV47="⤵",'Map 4'!AD48="Mountain",'Map 4'!AD47&lt;&gt;"Mountain",'Map 4'!AD47&lt;&gt;"Ocean",'Map 4'!AD47&lt;&gt;"Trench"),AND($AV47="⤴",'Map 4'!AD46="Mountain",'Map 4'!AD47&lt;&gt;"Mountain",'Map 4'!AD47&lt;&gt;"Ocean",'Map 4'!AD47&lt;&gt;"Trench")),CONCATENATE("Rainshadow ",'Map 4'!AD47),'Map 4'!AD47)</f>
        <v>Ocean</v>
      </c>
      <c r="AE47" s="3" t="str">
        <f ca="1">IF(OR(AND($AV47="⤵",'Map 4'!AE48="Mountain",'Map 4'!AE47&lt;&gt;"Mountain",'Map 4'!AE47&lt;&gt;"Ocean",'Map 4'!AE47&lt;&gt;"Trench"),AND($AV47="⤴",'Map 4'!AE46="Mountain",'Map 4'!AE47&lt;&gt;"Mountain",'Map 4'!AE47&lt;&gt;"Ocean",'Map 4'!AE47&lt;&gt;"Trench")),CONCATENATE("Rainshadow ",'Map 4'!AE47),'Map 4'!AE47)</f>
        <v>Ocean</v>
      </c>
      <c r="AF47" s="3" t="str">
        <f ca="1">IF(OR(AND($AV47="⤵",'Map 4'!AF48="Mountain",'Map 4'!AF47&lt;&gt;"Mountain",'Map 4'!AF47&lt;&gt;"Ocean",'Map 4'!AF47&lt;&gt;"Trench"),AND($AV47="⤴",'Map 4'!AF46="Mountain",'Map 4'!AF47&lt;&gt;"Mountain",'Map 4'!AF47&lt;&gt;"Ocean",'Map 4'!AF47&lt;&gt;"Trench")),CONCATENATE("Rainshadow ",'Map 4'!AF47),'Map 4'!AF47)</f>
        <v>Ocean</v>
      </c>
      <c r="AG47" s="3" t="str">
        <f ca="1">IF(OR(AND($AV47="⤵",'Map 4'!AG48="Mountain",'Map 4'!AG47&lt;&gt;"Mountain",'Map 4'!AG47&lt;&gt;"Ocean",'Map 4'!AG47&lt;&gt;"Trench"),AND($AV47="⤴",'Map 4'!AG46="Mountain",'Map 4'!AG47&lt;&gt;"Mountain",'Map 4'!AG47&lt;&gt;"Ocean",'Map 4'!AG47&lt;&gt;"Trench")),CONCATENATE("Rainshadow ",'Map 4'!AG47),'Map 4'!AG47)</f>
        <v>Ocean</v>
      </c>
      <c r="AH47" s="3" t="str">
        <f ca="1">IF(OR(AND($AV47="⤵",'Map 4'!AH48="Mountain",'Map 4'!AH47&lt;&gt;"Mountain",'Map 4'!AH47&lt;&gt;"Ocean",'Map 4'!AH47&lt;&gt;"Trench"),AND($AV47="⤴",'Map 4'!AH46="Mountain",'Map 4'!AH47&lt;&gt;"Mountain",'Map 4'!AH47&lt;&gt;"Ocean",'Map 4'!AH47&lt;&gt;"Trench")),CONCATENATE("Rainshadow ",'Map 4'!AH47),'Map 4'!AH47)</f>
        <v>Ocean</v>
      </c>
      <c r="AI47" s="3" t="str">
        <f ca="1">IF(OR(AND($AV47="⤵",'Map 4'!AI48="Mountain",'Map 4'!AI47&lt;&gt;"Mountain",'Map 4'!AI47&lt;&gt;"Ocean",'Map 4'!AI47&lt;&gt;"Trench"),AND($AV47="⤴",'Map 4'!AI46="Mountain",'Map 4'!AI47&lt;&gt;"Mountain",'Map 4'!AI47&lt;&gt;"Ocean",'Map 4'!AI47&lt;&gt;"Trench")),CONCATENATE("Rainshadow ",'Map 4'!AI47),'Map 4'!AI47)</f>
        <v>Ocean</v>
      </c>
      <c r="AJ47" s="3" t="str">
        <f ca="1">IF(OR(AND($AV47="⤵",'Map 4'!AJ48="Mountain",'Map 4'!AJ47&lt;&gt;"Mountain",'Map 4'!AJ47&lt;&gt;"Ocean",'Map 4'!AJ47&lt;&gt;"Trench"),AND($AV47="⤴",'Map 4'!AJ46="Mountain",'Map 4'!AJ47&lt;&gt;"Mountain",'Map 4'!AJ47&lt;&gt;"Ocean",'Map 4'!AJ47&lt;&gt;"Trench")),CONCATENATE("Rainshadow ",'Map 4'!AJ47),'Map 4'!AJ47)</f>
        <v>Ocean</v>
      </c>
      <c r="AK47" s="3" t="str">
        <f ca="1">IF(OR(AND($AV47="⤵",'Map 4'!AK48="Mountain",'Map 4'!AK47&lt;&gt;"Mountain",'Map 4'!AK47&lt;&gt;"Ocean",'Map 4'!AK47&lt;&gt;"Trench"),AND($AV47="⤴",'Map 4'!AK46="Mountain",'Map 4'!AK47&lt;&gt;"Mountain",'Map 4'!AK47&lt;&gt;"Ocean",'Map 4'!AK47&lt;&gt;"Trench")),CONCATENATE("Rainshadow ",'Map 4'!AK47),'Map 4'!AK47)</f>
        <v>Ocean</v>
      </c>
      <c r="AL47" s="3" t="str">
        <f ca="1">IF(OR(AND($AV47="⤵",'Map 4'!AL48="Mountain",'Map 4'!AL47&lt;&gt;"Mountain",'Map 4'!AL47&lt;&gt;"Ocean",'Map 4'!AL47&lt;&gt;"Trench"),AND($AV47="⤴",'Map 4'!AL46="Mountain",'Map 4'!AL47&lt;&gt;"Mountain",'Map 4'!AL47&lt;&gt;"Ocean",'Map 4'!AL47&lt;&gt;"Trench")),CONCATENATE("Rainshadow ",'Map 4'!AL47),'Map 4'!AL47)</f>
        <v>Ocean</v>
      </c>
      <c r="AM47" s="3" t="str">
        <f ca="1">IF(OR(AND($AV47="⤵",'Map 4'!AM48="Mountain",'Map 4'!AM47&lt;&gt;"Mountain",'Map 4'!AM47&lt;&gt;"Ocean",'Map 4'!AM47&lt;&gt;"Trench"),AND($AV47="⤴",'Map 4'!AM46="Mountain",'Map 4'!AM47&lt;&gt;"Mountain",'Map 4'!AM47&lt;&gt;"Ocean",'Map 4'!AM47&lt;&gt;"Trench")),CONCATENATE("Rainshadow ",'Map 4'!AM47),'Map 4'!AM47)</f>
        <v>Ocean</v>
      </c>
      <c r="AN47" s="3" t="str">
        <f ca="1">IF(OR(AND($AV47="⤵",'Map 4'!AN48="Mountain",'Map 4'!AN47&lt;&gt;"Mountain",'Map 4'!AN47&lt;&gt;"Ocean",'Map 4'!AN47&lt;&gt;"Trench"),AND($AV47="⤴",'Map 4'!AN46="Mountain",'Map 4'!AN47&lt;&gt;"Mountain",'Map 4'!AN47&lt;&gt;"Ocean",'Map 4'!AN47&lt;&gt;"Trench")),CONCATENATE("Rainshadow ",'Map 4'!AN47),'Map 4'!AN47)</f>
        <v>Ocean</v>
      </c>
      <c r="AO47" s="3" t="str">
        <f ca="1">IF(OR(AND($AV47="⤵",'Map 4'!AO48="Mountain",'Map 4'!AO47&lt;&gt;"Mountain",'Map 4'!AO47&lt;&gt;"Ocean",'Map 4'!AO47&lt;&gt;"Trench"),AND($AV47="⤴",'Map 4'!AO46="Mountain",'Map 4'!AO47&lt;&gt;"Mountain",'Map 4'!AO47&lt;&gt;"Ocean",'Map 4'!AO47&lt;&gt;"Trench")),CONCATENATE("Rainshadow ",'Map 4'!AO47),'Map 4'!AO47)</f>
        <v>Trench</v>
      </c>
      <c r="AP47" s="3">
        <f t="shared" si="1"/>
        <v>-27.25</v>
      </c>
      <c r="AQ47" s="3">
        <f t="shared" si="2"/>
        <v>-17.05</v>
      </c>
      <c r="AR47" s="3"/>
      <c r="AS47" s="3">
        <f t="shared" si="5"/>
        <v>245.9000000000002</v>
      </c>
      <c r="AT47" s="41">
        <v>-81</v>
      </c>
      <c r="AU47" s="41" t="str">
        <f>AU12</f>
        <v>Tundra</v>
      </c>
      <c r="AV47" s="41" t="str" cm="1">
        <f t="array" ref="AV47">_xlfn.IFS(AT47&lt;-90,"⤴",AND(AT47&gt;=-90,AT47&lt;-60),"⤴",AND(AT47&gt;=-60,AT47&lt;-30),"⤵",AND(AT47&gt;=-30,AT47&lt;0),"⤴",AND(AT47&gt;=0,AT47&lt;30),"⤵",AND(AT47&gt;=30,AT47&lt;60),"⤴",AT47&gt;=60,"⤵")</f>
        <v>⤴</v>
      </c>
      <c r="AW47" s="41">
        <f>AW12</f>
        <v>0.44000000000000006</v>
      </c>
    </row>
    <row r="48" spans="1:49" ht="15" customHeight="1">
      <c r="A48" s="3">
        <v>39</v>
      </c>
      <c r="B48" s="3" t="str">
        <f ca="1">IF(OR(AND($AV48="⤵",'Map 4'!B49="Mountain",'Map 4'!B48&lt;&gt;"Mountain",'Map 4'!B48&lt;&gt;"Ocean",'Map 4'!B48&lt;&gt;"Trench"),AND($AV48="⤴",'Map 4'!B47="Mountain",'Map 4'!B48&lt;&gt;"Mountain",'Map 4'!B48&lt;&gt;"Ocean",'Map 4'!B48&lt;&gt;"Trench")),CONCATENATE("Rainshadow ",'Map 4'!B48),'Map 4'!B48)</f>
        <v>Ocean</v>
      </c>
      <c r="C48" s="3" t="str">
        <f ca="1">IF(OR(AND($AV48="⤵",'Map 4'!C49="Mountain",'Map 4'!C48&lt;&gt;"Mountain",'Map 4'!C48&lt;&gt;"Ocean",'Map 4'!C48&lt;&gt;"Trench"),AND($AV48="⤴",'Map 4'!C47="Mountain",'Map 4'!C48&lt;&gt;"Mountain",'Map 4'!C48&lt;&gt;"Ocean",'Map 4'!C48&lt;&gt;"Trench")),CONCATENATE("Rainshadow ",'Map 4'!C48),'Map 4'!C48)</f>
        <v>Ocean</v>
      </c>
      <c r="D48" s="3" t="str">
        <f ca="1">IF(OR(AND($AV48="⤵",'Map 4'!D49="Mountain",'Map 4'!D48&lt;&gt;"Mountain",'Map 4'!D48&lt;&gt;"Ocean",'Map 4'!D48&lt;&gt;"Trench"),AND($AV48="⤴",'Map 4'!D47="Mountain",'Map 4'!D48&lt;&gt;"Mountain",'Map 4'!D48&lt;&gt;"Ocean",'Map 4'!D48&lt;&gt;"Trench")),CONCATENATE("Rainshadow ",'Map 4'!D48),'Map 4'!D48)</f>
        <v>Ocean</v>
      </c>
      <c r="E48" s="3" t="str">
        <f ca="1">IF(OR(AND($AV48="⤵",'Map 4'!E49="Mountain",'Map 4'!E48&lt;&gt;"Mountain",'Map 4'!E48&lt;&gt;"Ocean",'Map 4'!E48&lt;&gt;"Trench"),AND($AV48="⤴",'Map 4'!E47="Mountain",'Map 4'!E48&lt;&gt;"Mountain",'Map 4'!E48&lt;&gt;"Ocean",'Map 4'!E48&lt;&gt;"Trench")),CONCATENATE("Rainshadow ",'Map 4'!E48),'Map 4'!E48)</f>
        <v>Ocean</v>
      </c>
      <c r="F48" s="3" t="str">
        <f ca="1">IF(OR(AND($AV48="⤵",'Map 4'!F49="Mountain",'Map 4'!F48&lt;&gt;"Mountain",'Map 4'!F48&lt;&gt;"Ocean",'Map 4'!F48&lt;&gt;"Trench"),AND($AV48="⤴",'Map 4'!F47="Mountain",'Map 4'!F48&lt;&gt;"Mountain",'Map 4'!F48&lt;&gt;"Ocean",'Map 4'!F48&lt;&gt;"Trench")),CONCATENATE("Rainshadow ",'Map 4'!F48),'Map 4'!F48)</f>
        <v>Drop Off</v>
      </c>
      <c r="G48" s="3" t="str">
        <f ca="1">IF(OR(AND($AV48="⤵",'Map 4'!G49="Mountain",'Map 4'!G48&lt;&gt;"Mountain",'Map 4'!G48&lt;&gt;"Ocean",'Map 4'!G48&lt;&gt;"Trench"),AND($AV48="⤴",'Map 4'!G47="Mountain",'Map 4'!G48&lt;&gt;"Mountain",'Map 4'!G48&lt;&gt;"Ocean",'Map 4'!G48&lt;&gt;"Trench")),CONCATENATE("Rainshadow ",'Map 4'!G48),'Map 4'!G48)</f>
        <v>Flatland</v>
      </c>
      <c r="H48" s="3" t="str">
        <f ca="1">IF(OR(AND($AV48="⤵",'Map 4'!H49="Mountain",'Map 4'!H48&lt;&gt;"Mountain",'Map 4'!H48&lt;&gt;"Ocean",'Map 4'!H48&lt;&gt;"Trench"),AND($AV48="⤴",'Map 4'!H47="Mountain",'Map 4'!H48&lt;&gt;"Mountain",'Map 4'!H48&lt;&gt;"Ocean",'Map 4'!H48&lt;&gt;"Trench")),CONCATENATE("Rainshadow ",'Map 4'!H48),'Map 4'!H48)</f>
        <v>Flatland</v>
      </c>
      <c r="I48" s="3" t="str">
        <f ca="1">IF(OR(AND($AV48="⤵",'Map 4'!I49="Mountain",'Map 4'!I48&lt;&gt;"Mountain",'Map 4'!I48&lt;&gt;"Ocean",'Map 4'!I48&lt;&gt;"Trench"),AND($AV48="⤴",'Map 4'!I47="Mountain",'Map 4'!I48&lt;&gt;"Mountain",'Map 4'!I48&lt;&gt;"Ocean",'Map 4'!I48&lt;&gt;"Trench")),CONCATENATE("Rainshadow ",'Map 4'!I48),'Map 4'!I48)</f>
        <v>Flatland</v>
      </c>
      <c r="J48" s="3" t="str">
        <f ca="1">IF(OR(AND($AV48="⤵",'Map 4'!J49="Mountain",'Map 4'!J48&lt;&gt;"Mountain",'Map 4'!J48&lt;&gt;"Ocean",'Map 4'!J48&lt;&gt;"Trench"),AND($AV48="⤴",'Map 4'!J47="Mountain",'Map 4'!J48&lt;&gt;"Mountain",'Map 4'!J48&lt;&gt;"Ocean",'Map 4'!J48&lt;&gt;"Trench")),CONCATENATE("Rainshadow ",'Map 4'!J48),'Map 4'!J48)</f>
        <v>Coast</v>
      </c>
      <c r="K48" s="3" t="str">
        <f ca="1">IF(OR(AND($AV48="⤵",'Map 4'!K49="Mountain",'Map 4'!K48&lt;&gt;"Mountain",'Map 4'!K48&lt;&gt;"Ocean",'Map 4'!K48&lt;&gt;"Trench"),AND($AV48="⤴",'Map 4'!K47="Mountain",'Map 4'!K48&lt;&gt;"Mountain",'Map 4'!K48&lt;&gt;"Ocean",'Map 4'!K48&lt;&gt;"Trench")),CONCATENATE("Rainshadow ",'Map 4'!K48),'Map 4'!K48)</f>
        <v>Ocean</v>
      </c>
      <c r="L48" s="3" t="str">
        <f ca="1">IF(OR(AND($AV48="⤵",'Map 4'!L49="Mountain",'Map 4'!L48&lt;&gt;"Mountain",'Map 4'!L48&lt;&gt;"Ocean",'Map 4'!L48&lt;&gt;"Trench"),AND($AV48="⤴",'Map 4'!L47="Mountain",'Map 4'!L48&lt;&gt;"Mountain",'Map 4'!L48&lt;&gt;"Ocean",'Map 4'!L48&lt;&gt;"Trench")),CONCATENATE("Rainshadow ",'Map 4'!L48),'Map 4'!L48)</f>
        <v>Ocean</v>
      </c>
      <c r="M48" s="3" t="str">
        <f ca="1">IF(OR(AND($AV48="⤵",'Map 4'!M49="Mountain",'Map 4'!M48&lt;&gt;"Mountain",'Map 4'!M48&lt;&gt;"Ocean",'Map 4'!M48&lt;&gt;"Trench"),AND($AV48="⤴",'Map 4'!M47="Mountain",'Map 4'!M48&lt;&gt;"Mountain",'Map 4'!M48&lt;&gt;"Ocean",'Map 4'!M48&lt;&gt;"Trench")),CONCATENATE("Rainshadow ",'Map 4'!M48),'Map 4'!M48)</f>
        <v>Ocean</v>
      </c>
      <c r="N48" s="3" t="str">
        <f ca="1">IF(OR(AND($AV48="⤵",'Map 4'!N49="Mountain",'Map 4'!N48&lt;&gt;"Mountain",'Map 4'!N48&lt;&gt;"Ocean",'Map 4'!N48&lt;&gt;"Trench"),AND($AV48="⤴",'Map 4'!N47="Mountain",'Map 4'!N48&lt;&gt;"Mountain",'Map 4'!N48&lt;&gt;"Ocean",'Map 4'!N48&lt;&gt;"Trench")),CONCATENATE("Rainshadow ",'Map 4'!N48),'Map 4'!N48)</f>
        <v>Coast</v>
      </c>
      <c r="O48" s="3" t="str">
        <f ca="1">IF(OR(AND($AV48="⤵",'Map 4'!O49="Mountain",'Map 4'!O48&lt;&gt;"Mountain",'Map 4'!O48&lt;&gt;"Ocean",'Map 4'!O48&lt;&gt;"Trench"),AND($AV48="⤴",'Map 4'!O47="Mountain",'Map 4'!O48&lt;&gt;"Mountain",'Map 4'!O48&lt;&gt;"Ocean",'Map 4'!O48&lt;&gt;"Trench")),CONCATENATE("Rainshadow ",'Map 4'!O48),'Map 4'!O48)</f>
        <v>Coast</v>
      </c>
      <c r="P48" s="3" t="str">
        <f ca="1">IF(OR(AND($AV48="⤵",'Map 4'!P49="Mountain",'Map 4'!P48&lt;&gt;"Mountain",'Map 4'!P48&lt;&gt;"Ocean",'Map 4'!P48&lt;&gt;"Trench"),AND($AV48="⤴",'Map 4'!P47="Mountain",'Map 4'!P48&lt;&gt;"Mountain",'Map 4'!P48&lt;&gt;"Ocean",'Map 4'!P48&lt;&gt;"Trench")),CONCATENATE("Rainshadow ",'Map 4'!P48),'Map 4'!P48)</f>
        <v>Valley</v>
      </c>
      <c r="Q48" s="3" t="str">
        <f ca="1">IF(OR(AND($AV48="⤵",'Map 4'!Q49="Mountain",'Map 4'!Q48&lt;&gt;"Mountain",'Map 4'!Q48&lt;&gt;"Ocean",'Map 4'!Q48&lt;&gt;"Trench"),AND($AV48="⤴",'Map 4'!Q47="Mountain",'Map 4'!Q48&lt;&gt;"Mountain",'Map 4'!Q48&lt;&gt;"Ocean",'Map 4'!Q48&lt;&gt;"Trench")),CONCATENATE("Rainshadow ",'Map 4'!Q48),'Map 4'!Q48)</f>
        <v>Flatland</v>
      </c>
      <c r="R48" s="3" t="str">
        <f ca="1">IF(OR(AND($AV48="⤵",'Map 4'!R49="Mountain",'Map 4'!R48&lt;&gt;"Mountain",'Map 4'!R48&lt;&gt;"Ocean",'Map 4'!R48&lt;&gt;"Trench"),AND($AV48="⤴",'Map 4'!R47="Mountain",'Map 4'!R48&lt;&gt;"Mountain",'Map 4'!R48&lt;&gt;"Ocean",'Map 4'!R48&lt;&gt;"Trench")),CONCATENATE("Rainshadow ",'Map 4'!R48),'Map 4'!R48)</f>
        <v>Rainshadow Flatland</v>
      </c>
      <c r="S48" s="3" t="str">
        <f ca="1">IF(OR(AND($AV48="⤵",'Map 4'!S49="Mountain",'Map 4'!S48&lt;&gt;"Mountain",'Map 4'!S48&lt;&gt;"Ocean",'Map 4'!S48&lt;&gt;"Trench"),AND($AV48="⤴",'Map 4'!S47="Mountain",'Map 4'!S48&lt;&gt;"Mountain",'Map 4'!S48&lt;&gt;"Ocean",'Map 4'!S48&lt;&gt;"Trench")),CONCATENATE("Rainshadow ",'Map 4'!S48),'Map 4'!S48)</f>
        <v>Flatland</v>
      </c>
      <c r="T48" s="3" t="str">
        <f ca="1">IF(OR(AND($AV48="⤵",'Map 4'!T49="Mountain",'Map 4'!T48&lt;&gt;"Mountain",'Map 4'!T48&lt;&gt;"Ocean",'Map 4'!T48&lt;&gt;"Trench"),AND($AV48="⤴",'Map 4'!T47="Mountain",'Map 4'!T48&lt;&gt;"Mountain",'Map 4'!T48&lt;&gt;"Ocean",'Map 4'!T48&lt;&gt;"Trench")),CONCATENATE("Rainshadow ",'Map 4'!T48),'Map 4'!T48)</f>
        <v>Flatland</v>
      </c>
      <c r="U48" s="3" t="str">
        <f ca="1">IF(OR(AND($AV48="⤵",'Map 4'!U49="Mountain",'Map 4'!U48&lt;&gt;"Mountain",'Map 4'!U48&lt;&gt;"Ocean",'Map 4'!U48&lt;&gt;"Trench"),AND($AV48="⤴",'Map 4'!U47="Mountain",'Map 4'!U48&lt;&gt;"Mountain",'Map 4'!U48&lt;&gt;"Ocean",'Map 4'!U48&lt;&gt;"Trench")),CONCATENATE("Rainshadow ",'Map 4'!U48),'Map 4'!U48)</f>
        <v>Valley</v>
      </c>
      <c r="V48" s="3" t="str">
        <f ca="1">IF(OR(AND($AV48="⤵",'Map 4'!V49="Mountain",'Map 4'!V48&lt;&gt;"Mountain",'Map 4'!V48&lt;&gt;"Ocean",'Map 4'!V48&lt;&gt;"Trench"),AND($AV48="⤴",'Map 4'!V47="Mountain",'Map 4'!V48&lt;&gt;"Mountain",'Map 4'!V48&lt;&gt;"Ocean",'Map 4'!V48&lt;&gt;"Trench")),CONCATENATE("Rainshadow ",'Map 4'!V48),'Map 4'!V48)</f>
        <v>Coast</v>
      </c>
      <c r="W48" s="3" t="str">
        <f ca="1">IF(OR(AND($AV48="⤵",'Map 4'!W49="Mountain",'Map 4'!W48&lt;&gt;"Mountain",'Map 4'!W48&lt;&gt;"Ocean",'Map 4'!W48&lt;&gt;"Trench"),AND($AV48="⤴",'Map 4'!W47="Mountain",'Map 4'!W48&lt;&gt;"Mountain",'Map 4'!W48&lt;&gt;"Ocean",'Map 4'!W48&lt;&gt;"Trench")),CONCATENATE("Rainshadow ",'Map 4'!W48),'Map 4'!W48)</f>
        <v>Ocean</v>
      </c>
      <c r="X48" s="3" t="str">
        <f ca="1">IF(OR(AND($AV48="⤵",'Map 4'!X49="Mountain",'Map 4'!X48&lt;&gt;"Mountain",'Map 4'!X48&lt;&gt;"Ocean",'Map 4'!X48&lt;&gt;"Trench"),AND($AV48="⤴",'Map 4'!X47="Mountain",'Map 4'!X48&lt;&gt;"Mountain",'Map 4'!X48&lt;&gt;"Ocean",'Map 4'!X48&lt;&gt;"Trench")),CONCATENATE("Rainshadow ",'Map 4'!X48),'Map 4'!X48)</f>
        <v>Ocean</v>
      </c>
      <c r="Y48" s="3" t="str">
        <f ca="1">IF(OR(AND($AV48="⤵",'Map 4'!Y49="Mountain",'Map 4'!Y48&lt;&gt;"Mountain",'Map 4'!Y48&lt;&gt;"Ocean",'Map 4'!Y48&lt;&gt;"Trench"),AND($AV48="⤴",'Map 4'!Y47="Mountain",'Map 4'!Y48&lt;&gt;"Mountain",'Map 4'!Y48&lt;&gt;"Ocean",'Map 4'!Y48&lt;&gt;"Trench")),CONCATENATE("Rainshadow ",'Map 4'!Y48),'Map 4'!Y48)</f>
        <v>Ocean</v>
      </c>
      <c r="Z48" s="3" t="str">
        <f ca="1">IF(OR(AND($AV48="⤵",'Map 4'!Z49="Mountain",'Map 4'!Z48&lt;&gt;"Mountain",'Map 4'!Z48&lt;&gt;"Ocean",'Map 4'!Z48&lt;&gt;"Trench"),AND($AV48="⤴",'Map 4'!Z47="Mountain",'Map 4'!Z48&lt;&gt;"Mountain",'Map 4'!Z48&lt;&gt;"Ocean",'Map 4'!Z48&lt;&gt;"Trench")),CONCATENATE("Rainshadow ",'Map 4'!Z48),'Map 4'!Z48)</f>
        <v>Ocean</v>
      </c>
      <c r="AA48" s="3" t="str">
        <f ca="1">IF(OR(AND($AV48="⤵",'Map 4'!AA49="Mountain",'Map 4'!AA48&lt;&gt;"Mountain",'Map 4'!AA48&lt;&gt;"Ocean",'Map 4'!AA48&lt;&gt;"Trench"),AND($AV48="⤴",'Map 4'!AA47="Mountain",'Map 4'!AA48&lt;&gt;"Mountain",'Map 4'!AA48&lt;&gt;"Ocean",'Map 4'!AA48&lt;&gt;"Trench")),CONCATENATE("Rainshadow ",'Map 4'!AA48),'Map 4'!AA48)</f>
        <v>Ocean</v>
      </c>
      <c r="AB48" s="3" t="str">
        <f ca="1">IF(OR(AND($AV48="⤵",'Map 4'!AB49="Mountain",'Map 4'!AB48&lt;&gt;"Mountain",'Map 4'!AB48&lt;&gt;"Ocean",'Map 4'!AB48&lt;&gt;"Trench"),AND($AV48="⤴",'Map 4'!AB47="Mountain",'Map 4'!AB48&lt;&gt;"Mountain",'Map 4'!AB48&lt;&gt;"Ocean",'Map 4'!AB48&lt;&gt;"Trench")),CONCATENATE("Rainshadow ",'Map 4'!AB48),'Map 4'!AB48)</f>
        <v>Ocean</v>
      </c>
      <c r="AC48" s="3" t="str">
        <f ca="1">IF(OR(AND($AV48="⤵",'Map 4'!AC49="Mountain",'Map 4'!AC48&lt;&gt;"Mountain",'Map 4'!AC48&lt;&gt;"Ocean",'Map 4'!AC48&lt;&gt;"Trench"),AND($AV48="⤴",'Map 4'!AC47="Mountain",'Map 4'!AC48&lt;&gt;"Mountain",'Map 4'!AC48&lt;&gt;"Ocean",'Map 4'!AC48&lt;&gt;"Trench")),CONCATENATE("Rainshadow ",'Map 4'!AC48),'Map 4'!AC48)</f>
        <v>Ocean</v>
      </c>
      <c r="AD48" s="3" t="str">
        <f ca="1">IF(OR(AND($AV48="⤵",'Map 4'!AD49="Mountain",'Map 4'!AD48&lt;&gt;"Mountain",'Map 4'!AD48&lt;&gt;"Ocean",'Map 4'!AD48&lt;&gt;"Trench"),AND($AV48="⤴",'Map 4'!AD47="Mountain",'Map 4'!AD48&lt;&gt;"Mountain",'Map 4'!AD48&lt;&gt;"Ocean",'Map 4'!AD48&lt;&gt;"Trench")),CONCATENATE("Rainshadow ",'Map 4'!AD48),'Map 4'!AD48)</f>
        <v>Ocean</v>
      </c>
      <c r="AE48" s="3" t="str">
        <f ca="1">IF(OR(AND($AV48="⤵",'Map 4'!AE49="Mountain",'Map 4'!AE48&lt;&gt;"Mountain",'Map 4'!AE48&lt;&gt;"Ocean",'Map 4'!AE48&lt;&gt;"Trench"),AND($AV48="⤴",'Map 4'!AE47="Mountain",'Map 4'!AE48&lt;&gt;"Mountain",'Map 4'!AE48&lt;&gt;"Ocean",'Map 4'!AE48&lt;&gt;"Trench")),CONCATENATE("Rainshadow ",'Map 4'!AE48),'Map 4'!AE48)</f>
        <v>Ocean</v>
      </c>
      <c r="AF48" s="3" t="str">
        <f ca="1">IF(OR(AND($AV48="⤵",'Map 4'!AF49="Mountain",'Map 4'!AF48&lt;&gt;"Mountain",'Map 4'!AF48&lt;&gt;"Ocean",'Map 4'!AF48&lt;&gt;"Trench"),AND($AV48="⤴",'Map 4'!AF47="Mountain",'Map 4'!AF48&lt;&gt;"Mountain",'Map 4'!AF48&lt;&gt;"Ocean",'Map 4'!AF48&lt;&gt;"Trench")),CONCATENATE("Rainshadow ",'Map 4'!AF48),'Map 4'!AF48)</f>
        <v>Ocean</v>
      </c>
      <c r="AG48" s="3" t="str">
        <f ca="1">IF(OR(AND($AV48="⤵",'Map 4'!AG49="Mountain",'Map 4'!AG48&lt;&gt;"Mountain",'Map 4'!AG48&lt;&gt;"Ocean",'Map 4'!AG48&lt;&gt;"Trench"),AND($AV48="⤴",'Map 4'!AG47="Mountain",'Map 4'!AG48&lt;&gt;"Mountain",'Map 4'!AG48&lt;&gt;"Ocean",'Map 4'!AG48&lt;&gt;"Trench")),CONCATENATE("Rainshadow ",'Map 4'!AG48),'Map 4'!AG48)</f>
        <v>Ocean</v>
      </c>
      <c r="AH48" s="3" t="str">
        <f ca="1">IF(OR(AND($AV48="⤵",'Map 4'!AH49="Mountain",'Map 4'!AH48&lt;&gt;"Mountain",'Map 4'!AH48&lt;&gt;"Ocean",'Map 4'!AH48&lt;&gt;"Trench"),AND($AV48="⤴",'Map 4'!AH47="Mountain",'Map 4'!AH48&lt;&gt;"Mountain",'Map 4'!AH48&lt;&gt;"Ocean",'Map 4'!AH48&lt;&gt;"Trench")),CONCATENATE("Rainshadow ",'Map 4'!AH48),'Map 4'!AH48)</f>
        <v>Ocean</v>
      </c>
      <c r="AI48" s="3" t="str">
        <f ca="1">IF(OR(AND($AV48="⤵",'Map 4'!AI49="Mountain",'Map 4'!AI48&lt;&gt;"Mountain",'Map 4'!AI48&lt;&gt;"Ocean",'Map 4'!AI48&lt;&gt;"Trench"),AND($AV48="⤴",'Map 4'!AI47="Mountain",'Map 4'!AI48&lt;&gt;"Mountain",'Map 4'!AI48&lt;&gt;"Ocean",'Map 4'!AI48&lt;&gt;"Trench")),CONCATENATE("Rainshadow ",'Map 4'!AI48),'Map 4'!AI48)</f>
        <v>Ocean</v>
      </c>
      <c r="AJ48" s="3" t="str">
        <f ca="1">IF(OR(AND($AV48="⤵",'Map 4'!AJ49="Mountain",'Map 4'!AJ48&lt;&gt;"Mountain",'Map 4'!AJ48&lt;&gt;"Ocean",'Map 4'!AJ48&lt;&gt;"Trench"),AND($AV48="⤴",'Map 4'!AJ47="Mountain",'Map 4'!AJ48&lt;&gt;"Mountain",'Map 4'!AJ48&lt;&gt;"Ocean",'Map 4'!AJ48&lt;&gt;"Trench")),CONCATENATE("Rainshadow ",'Map 4'!AJ48),'Map 4'!AJ48)</f>
        <v>Ocean</v>
      </c>
      <c r="AK48" s="3" t="str">
        <f ca="1">IF(OR(AND($AV48="⤵",'Map 4'!AK49="Mountain",'Map 4'!AK48&lt;&gt;"Mountain",'Map 4'!AK48&lt;&gt;"Ocean",'Map 4'!AK48&lt;&gt;"Trench"),AND($AV48="⤴",'Map 4'!AK47="Mountain",'Map 4'!AK48&lt;&gt;"Mountain",'Map 4'!AK48&lt;&gt;"Ocean",'Map 4'!AK48&lt;&gt;"Trench")),CONCATENATE("Rainshadow ",'Map 4'!AK48),'Map 4'!AK48)</f>
        <v>Island</v>
      </c>
      <c r="AL48" s="3" t="str">
        <f ca="1">IF(OR(AND($AV48="⤵",'Map 4'!AL49="Mountain",'Map 4'!AL48&lt;&gt;"Mountain",'Map 4'!AL48&lt;&gt;"Ocean",'Map 4'!AL48&lt;&gt;"Trench"),AND($AV48="⤴",'Map 4'!AL47="Mountain",'Map 4'!AL48&lt;&gt;"Mountain",'Map 4'!AL48&lt;&gt;"Ocean",'Map 4'!AL48&lt;&gt;"Trench")),CONCATENATE("Rainshadow ",'Map 4'!AL48),'Map 4'!AL48)</f>
        <v>Trench</v>
      </c>
      <c r="AM48" s="3" t="str">
        <f ca="1">IF(OR(AND($AV48="⤵",'Map 4'!AM49="Mountain",'Map 4'!AM48&lt;&gt;"Mountain",'Map 4'!AM48&lt;&gt;"Ocean",'Map 4'!AM48&lt;&gt;"Trench"),AND($AV48="⤴",'Map 4'!AM47="Mountain",'Map 4'!AM48&lt;&gt;"Mountain",'Map 4'!AM48&lt;&gt;"Ocean",'Map 4'!AM48&lt;&gt;"Trench")),CONCATENATE("Rainshadow ",'Map 4'!AM48),'Map 4'!AM48)</f>
        <v>Ocean</v>
      </c>
      <c r="AN48" s="3" t="str">
        <f ca="1">IF(OR(AND($AV48="⤵",'Map 4'!AN49="Mountain",'Map 4'!AN48&lt;&gt;"Mountain",'Map 4'!AN48&lt;&gt;"Ocean",'Map 4'!AN48&lt;&gt;"Trench"),AND($AV48="⤴",'Map 4'!AN47="Mountain",'Map 4'!AN48&lt;&gt;"Mountain",'Map 4'!AN48&lt;&gt;"Ocean",'Map 4'!AN48&lt;&gt;"Trench")),CONCATENATE("Rainshadow ",'Map 4'!AN48),'Map 4'!AN48)</f>
        <v>Ocean</v>
      </c>
      <c r="AO48" s="3" t="str">
        <f ca="1">IF(OR(AND($AV48="⤵",'Map 4'!AO49="Mountain",'Map 4'!AO48&lt;&gt;"Mountain",'Map 4'!AO48&lt;&gt;"Ocean",'Map 4'!AO48&lt;&gt;"Trench"),AND($AV48="⤴",'Map 4'!AO47="Mountain",'Map 4'!AO48&lt;&gt;"Mountain",'Map 4'!AO48&lt;&gt;"Ocean",'Map 4'!AO48&lt;&gt;"Trench")),CONCATENATE("Rainshadow ",'Map 4'!AO48),'Map 4'!AO48)</f>
        <v>Ocean</v>
      </c>
      <c r="AP48" s="3">
        <f t="shared" si="1"/>
        <v>-34.200000000000003</v>
      </c>
      <c r="AQ48" s="3">
        <f t="shared" si="2"/>
        <v>-29.56</v>
      </c>
      <c r="AR48" s="3"/>
      <c r="AS48" s="3">
        <f t="shared" si="5"/>
        <v>238.95000000000022</v>
      </c>
      <c r="AT48" s="41">
        <v>-85.5</v>
      </c>
      <c r="AU48" s="41" t="str">
        <f>AU11</f>
        <v>Tundra</v>
      </c>
      <c r="AV48" s="41" t="str" cm="1">
        <f t="array" ref="AV48">_xlfn.IFS(AT48&lt;-90,"⤴",AND(AT48&gt;=-90,AT48&lt;-60),"⤴",AND(AT48&gt;=-60,AT48&lt;-30),"⤵",AND(AT48&gt;=-30,AT48&lt;0),"⤴",AND(AT48&gt;=0,AT48&lt;30),"⤵",AND(AT48&gt;=30,AT48&lt;60),"⤴",AT48&gt;=60,"⤵")</f>
        <v>⤴</v>
      </c>
      <c r="AW48" s="41">
        <f>AW11</f>
        <v>0.30000000000000004</v>
      </c>
    </row>
    <row r="49" spans="1:49" ht="15" customHeight="1">
      <c r="A49" s="3">
        <v>40</v>
      </c>
      <c r="B49" s="3" t="str">
        <f ca="1">IF(AND($AV49="⤵",'Map 4'!B48="Mountain",'Map 4'!B49&lt;&gt;"Mountain",'Map 4'!B49&lt;&gt;"Ocean",'Map 4'!B11&lt;&gt;"Trench"),CONCATENATE("Rainshadow ",'Map 4'!B49),'Map 4'!B49)</f>
        <v>Ocean</v>
      </c>
      <c r="C49" s="3" t="str">
        <f ca="1">IF(AND($AV49="⤵",'Map 4'!C48="Mountain",'Map 4'!C49&lt;&gt;"Mountain",'Map 4'!C49&lt;&gt;"Ocean",'Map 4'!C11&lt;&gt;"Trench"),CONCATENATE("Rainshadow ",'Map 4'!C49),'Map 4'!C49)</f>
        <v>Ocean</v>
      </c>
      <c r="D49" s="3" t="str">
        <f ca="1">IF(AND($AV49="⤵",'Map 4'!D48="Mountain",'Map 4'!D49&lt;&gt;"Mountain",'Map 4'!D49&lt;&gt;"Ocean",'Map 4'!D11&lt;&gt;"Trench"),CONCATENATE("Rainshadow ",'Map 4'!D49),'Map 4'!D49)</f>
        <v>Ocean</v>
      </c>
      <c r="E49" s="3" t="str">
        <f ca="1">IF(AND($AV49="⤵",'Map 4'!E48="Mountain",'Map 4'!E49&lt;&gt;"Mountain",'Map 4'!E49&lt;&gt;"Ocean",'Map 4'!E11&lt;&gt;"Trench"),CONCATENATE("Rainshadow ",'Map 4'!E49),'Map 4'!E49)</f>
        <v>Ocean</v>
      </c>
      <c r="F49" s="3" t="str">
        <f ca="1">IF(AND($AV49="⤵",'Map 4'!F48="Mountain",'Map 4'!F49&lt;&gt;"Mountain",'Map 4'!F49&lt;&gt;"Ocean",'Map 4'!F11&lt;&gt;"Trench"),CONCATENATE("Rainshadow ",'Map 4'!F49),'Map 4'!F49)</f>
        <v>Cliff</v>
      </c>
      <c r="G49" s="3" t="str">
        <f ca="1">IF(AND($AV49="⤵",'Map 4'!G48="Mountain",'Map 4'!G49&lt;&gt;"Mountain",'Map 4'!G49&lt;&gt;"Ocean",'Map 4'!G11&lt;&gt;"Trench"),CONCATENATE("Rainshadow ",'Map 4'!G49),'Map 4'!G49)</f>
        <v>Coast</v>
      </c>
      <c r="H49" s="3" t="str">
        <f ca="1">IF(AND($AV49="⤵",'Map 4'!H48="Mountain",'Map 4'!H49&lt;&gt;"Mountain",'Map 4'!H49&lt;&gt;"Ocean",'Map 4'!H11&lt;&gt;"Trench"),CONCATENATE("Rainshadow ",'Map 4'!H49),'Map 4'!H49)</f>
        <v>Flatland</v>
      </c>
      <c r="I49" s="3" t="str">
        <f ca="1">IF(AND($AV49="⤵",'Map 4'!I48="Mountain",'Map 4'!I49&lt;&gt;"Mountain",'Map 4'!I49&lt;&gt;"Ocean",'Map 4'!I11&lt;&gt;"Trench"),CONCATENATE("Rainshadow ",'Map 4'!I49),'Map 4'!I49)</f>
        <v>Flatland</v>
      </c>
      <c r="J49" s="3" t="str">
        <f ca="1">IF(AND($AV49="⤵",'Map 4'!J48="Mountain",'Map 4'!J49&lt;&gt;"Mountain",'Map 4'!J49&lt;&gt;"Ocean",'Map 4'!J11&lt;&gt;"Trench"),CONCATENATE("Rainshadow ",'Map 4'!J49),'Map 4'!J49)</f>
        <v>Ocean</v>
      </c>
      <c r="K49" s="3" t="str">
        <f ca="1">IF(AND($AV49="⤵",'Map 4'!K48="Mountain",'Map 4'!K49&lt;&gt;"Mountain",'Map 4'!K49&lt;&gt;"Ocean",'Map 4'!K11&lt;&gt;"Trench"),CONCATENATE("Rainshadow ",'Map 4'!K49),'Map 4'!K49)</f>
        <v>Ocean</v>
      </c>
      <c r="L49" s="3" t="str">
        <f ca="1">IF(AND($AV49="⤵",'Map 4'!L48="Mountain",'Map 4'!L49&lt;&gt;"Mountain",'Map 4'!L49&lt;&gt;"Ocean",'Map 4'!L11&lt;&gt;"Trench"),CONCATENATE("Rainshadow ",'Map 4'!L49),'Map 4'!L49)</f>
        <v>Ocean</v>
      </c>
      <c r="M49" s="3" t="str">
        <f ca="1">IF(AND($AV49="⤵",'Map 4'!M48="Mountain",'Map 4'!M49&lt;&gt;"Mountain",'Map 4'!M49&lt;&gt;"Ocean",'Map 4'!M11&lt;&gt;"Trench"),CONCATENATE("Rainshadow ",'Map 4'!M49),'Map 4'!M49)</f>
        <v>Coast</v>
      </c>
      <c r="N49" s="3" t="str">
        <f ca="1">IF(AND($AV49="⤵",'Map 4'!N48="Mountain",'Map 4'!N49&lt;&gt;"Mountain",'Map 4'!N49&lt;&gt;"Ocean",'Map 4'!N11&lt;&gt;"Trench"),CONCATENATE("Rainshadow ",'Map 4'!N49),'Map 4'!N49)</f>
        <v>Flatland</v>
      </c>
      <c r="O49" s="3" t="str">
        <f ca="1">IF(AND($AV49="⤵",'Map 4'!O48="Mountain",'Map 4'!O49&lt;&gt;"Mountain",'Map 4'!O49&lt;&gt;"Ocean",'Map 4'!O11&lt;&gt;"Trench"),CONCATENATE("Rainshadow ",'Map 4'!O49),'Map 4'!O49)</f>
        <v>Flatland</v>
      </c>
      <c r="P49" s="3" t="str">
        <f ca="1">IF(AND($AV49="⤵",'Map 4'!P48="Mountain",'Map 4'!P49&lt;&gt;"Mountain",'Map 4'!P49&lt;&gt;"Ocean",'Map 4'!P11&lt;&gt;"Trench"),CONCATENATE("Rainshadow ",'Map 4'!P49),'Map 4'!P49)</f>
        <v>Mountain</v>
      </c>
      <c r="Q49" s="3" t="str">
        <f ca="1">IF(AND($AV49="⤵",'Map 4'!Q48="Mountain",'Map 4'!Q49&lt;&gt;"Mountain",'Map 4'!Q49&lt;&gt;"Ocean",'Map 4'!Q11&lt;&gt;"Trench"),CONCATENATE("Rainshadow ",'Map 4'!Q49),'Map 4'!Q49)</f>
        <v>Flatland</v>
      </c>
      <c r="R49" s="3" t="str">
        <f ca="1">IF(AND($AV49="⤵",'Map 4'!R48="Mountain",'Map 4'!R49&lt;&gt;"Mountain",'Map 4'!R49&lt;&gt;"Ocean",'Map 4'!R11&lt;&gt;"Trench"),CONCATENATE("Rainshadow ",'Map 4'!R49),'Map 4'!R49)</f>
        <v>Flatland</v>
      </c>
      <c r="S49" s="3" t="str">
        <f ca="1">IF(AND($AV49="⤵",'Map 4'!S48="Mountain",'Map 4'!S49&lt;&gt;"Mountain",'Map 4'!S49&lt;&gt;"Ocean",'Map 4'!S11&lt;&gt;"Trench"),CONCATENATE("Rainshadow ",'Map 4'!S49),'Map 4'!S49)</f>
        <v>Flatland</v>
      </c>
      <c r="T49" s="3" t="str">
        <f ca="1">IF(AND($AV49="⤵",'Map 4'!T48="Mountain",'Map 4'!T49&lt;&gt;"Mountain",'Map 4'!T49&lt;&gt;"Ocean",'Map 4'!T11&lt;&gt;"Trench"),CONCATENATE("Rainshadow ",'Map 4'!T49),'Map 4'!T49)</f>
        <v>Flatland</v>
      </c>
      <c r="U49" s="3" t="str">
        <f ca="1">IF(AND($AV49="⤵",'Map 4'!U48="Mountain",'Map 4'!U49&lt;&gt;"Mountain",'Map 4'!U49&lt;&gt;"Ocean",'Map 4'!U11&lt;&gt;"Trench"),CONCATENATE("Rainshadow ",'Map 4'!U49),'Map 4'!U49)</f>
        <v>Mountain</v>
      </c>
      <c r="V49" s="3" t="str">
        <f ca="1">IF(AND($AV49="⤵",'Map 4'!V48="Mountain",'Map 4'!V49&lt;&gt;"Mountain",'Map 4'!V49&lt;&gt;"Ocean",'Map 4'!V11&lt;&gt;"Trench"),CONCATENATE("Rainshadow ",'Map 4'!V49),'Map 4'!V49)</f>
        <v>Coast</v>
      </c>
      <c r="W49" s="3" t="str">
        <f ca="1">IF(AND($AV49="⤵",'Map 4'!W48="Mountain",'Map 4'!W49&lt;&gt;"Mountain",'Map 4'!W49&lt;&gt;"Ocean",'Map 4'!W11&lt;&gt;"Trench"),CONCATENATE("Rainshadow ",'Map 4'!W49),'Map 4'!W49)</f>
        <v>Trench</v>
      </c>
      <c r="X49" s="3" t="str">
        <f ca="1">IF(AND($AV49="⤵",'Map 4'!X48="Mountain",'Map 4'!X49&lt;&gt;"Mountain",'Map 4'!X49&lt;&gt;"Ocean",'Map 4'!X11&lt;&gt;"Trench"),CONCATENATE("Rainshadow ",'Map 4'!X49),'Map 4'!X49)</f>
        <v>Ocean</v>
      </c>
      <c r="Y49" s="3" t="str">
        <f ca="1">IF(AND($AV49="⤵",'Map 4'!Y48="Mountain",'Map 4'!Y49&lt;&gt;"Mountain",'Map 4'!Y49&lt;&gt;"Ocean",'Map 4'!Y11&lt;&gt;"Trench"),CONCATENATE("Rainshadow ",'Map 4'!Y49),'Map 4'!Y49)</f>
        <v>Ocean</v>
      </c>
      <c r="Z49" s="3" t="str">
        <f ca="1">IF(AND($AV49="⤵",'Map 4'!Z48="Mountain",'Map 4'!Z49&lt;&gt;"Mountain",'Map 4'!Z49&lt;&gt;"Ocean",'Map 4'!Z11&lt;&gt;"Trench"),CONCATENATE("Rainshadow ",'Map 4'!Z49),'Map 4'!Z49)</f>
        <v>Ocean</v>
      </c>
      <c r="AA49" s="3" t="str">
        <f ca="1">IF(AND($AV49="⤵",'Map 4'!AA48="Mountain",'Map 4'!AA49&lt;&gt;"Mountain",'Map 4'!AA49&lt;&gt;"Ocean",'Map 4'!AA11&lt;&gt;"Trench"),CONCATENATE("Rainshadow ",'Map 4'!AA49),'Map 4'!AA49)</f>
        <v>Ocean</v>
      </c>
      <c r="AB49" s="3" t="str">
        <f ca="1">IF(AND($AV49="⤵",'Map 4'!AB48="Mountain",'Map 4'!AB49&lt;&gt;"Mountain",'Map 4'!AB49&lt;&gt;"Ocean",'Map 4'!AB11&lt;&gt;"Trench"),CONCATENATE("Rainshadow ",'Map 4'!AB49),'Map 4'!AB49)</f>
        <v>Ocean</v>
      </c>
      <c r="AC49" s="3" t="str">
        <f ca="1">IF(AND($AV49="⤵",'Map 4'!AC48="Mountain",'Map 4'!AC49&lt;&gt;"Mountain",'Map 4'!AC49&lt;&gt;"Ocean",'Map 4'!AC11&lt;&gt;"Trench"),CONCATENATE("Rainshadow ",'Map 4'!AC49),'Map 4'!AC49)</f>
        <v>Ocean</v>
      </c>
      <c r="AD49" s="3" t="str">
        <f ca="1">IF(AND($AV49="⤵",'Map 4'!AD48="Mountain",'Map 4'!AD49&lt;&gt;"Mountain",'Map 4'!AD49&lt;&gt;"Ocean",'Map 4'!AD11&lt;&gt;"Trench"),CONCATENATE("Rainshadow ",'Map 4'!AD49),'Map 4'!AD49)</f>
        <v>Ocean</v>
      </c>
      <c r="AE49" s="3" t="str">
        <f ca="1">IF(AND($AV49="⤵",'Map 4'!AE48="Mountain",'Map 4'!AE49&lt;&gt;"Mountain",'Map 4'!AE49&lt;&gt;"Ocean",'Map 4'!AE11&lt;&gt;"Trench"),CONCATENATE("Rainshadow ",'Map 4'!AE49),'Map 4'!AE49)</f>
        <v>Ocean</v>
      </c>
      <c r="AF49" s="3" t="str">
        <f ca="1">IF(AND($AV49="⤵",'Map 4'!AF48="Mountain",'Map 4'!AF49&lt;&gt;"Mountain",'Map 4'!AF49&lt;&gt;"Ocean",'Map 4'!AF11&lt;&gt;"Trench"),CONCATENATE("Rainshadow ",'Map 4'!AF49),'Map 4'!AF49)</f>
        <v>Ocean</v>
      </c>
      <c r="AG49" s="3" t="str">
        <f ca="1">IF(AND($AV49="⤵",'Map 4'!AG48="Mountain",'Map 4'!AG49&lt;&gt;"Mountain",'Map 4'!AG49&lt;&gt;"Ocean",'Map 4'!AG11&lt;&gt;"Trench"),CONCATENATE("Rainshadow ",'Map 4'!AG49),'Map 4'!AG49)</f>
        <v>Ocean</v>
      </c>
      <c r="AH49" s="3" t="str">
        <f ca="1">IF(AND($AV49="⤵",'Map 4'!AH48="Mountain",'Map 4'!AH49&lt;&gt;"Mountain",'Map 4'!AH49&lt;&gt;"Ocean",'Map 4'!AH11&lt;&gt;"Trench"),CONCATENATE("Rainshadow ",'Map 4'!AH49),'Map 4'!AH49)</f>
        <v>Ocean</v>
      </c>
      <c r="AI49" s="3" t="str">
        <f ca="1">IF(AND($AV49="⤵",'Map 4'!AI48="Mountain",'Map 4'!AI49&lt;&gt;"Mountain",'Map 4'!AI49&lt;&gt;"Ocean",'Map 4'!AI11&lt;&gt;"Trench"),CONCATENATE("Rainshadow ",'Map 4'!AI49),'Map 4'!AI49)</f>
        <v>Ocean</v>
      </c>
      <c r="AJ49" s="3" t="str">
        <f ca="1">IF(AND($AV49="⤵",'Map 4'!AJ48="Mountain",'Map 4'!AJ49&lt;&gt;"Mountain",'Map 4'!AJ49&lt;&gt;"Ocean",'Map 4'!AJ11&lt;&gt;"Trench"),CONCATENATE("Rainshadow ",'Map 4'!AJ49),'Map 4'!AJ49)</f>
        <v>Trench</v>
      </c>
      <c r="AK49" s="3" t="str">
        <f ca="1">IF(AND($AV49="⤵",'Map 4'!AK48="Mountain",'Map 4'!AK49&lt;&gt;"Mountain",'Map 4'!AK49&lt;&gt;"Ocean",'Map 4'!AK11&lt;&gt;"Trench"),CONCATENATE("Rainshadow ",'Map 4'!AK49),'Map 4'!AK49)</f>
        <v>Ocean</v>
      </c>
      <c r="AL49" s="3" t="str">
        <f ca="1">IF(AND($AV49="⤵",'Map 4'!AL48="Mountain",'Map 4'!AL49&lt;&gt;"Mountain",'Map 4'!AL49&lt;&gt;"Ocean",'Map 4'!AL11&lt;&gt;"Trench"),CONCATENATE("Rainshadow ",'Map 4'!AL49),'Map 4'!AL49)</f>
        <v>Ocean</v>
      </c>
      <c r="AM49" s="3" t="str">
        <f ca="1">IF(AND($AV49="⤵",'Map 4'!AM48="Mountain",'Map 4'!AM49&lt;&gt;"Mountain",'Map 4'!AM49&lt;&gt;"Ocean",'Map 4'!AM11&lt;&gt;"Trench"),CONCATENATE("Rainshadow ",'Map 4'!AM49),'Map 4'!AM49)</f>
        <v>Ocean</v>
      </c>
      <c r="AN49" s="3" t="str">
        <f ca="1">IF(AND($AV49="⤵",'Map 4'!AN48="Mountain",'Map 4'!AN49&lt;&gt;"Mountain",'Map 4'!AN49&lt;&gt;"Ocean",'Map 4'!AN11&lt;&gt;"Trench"),CONCATENATE("Rainshadow ",'Map 4'!AN49),'Map 4'!AN49)</f>
        <v>Ocean</v>
      </c>
      <c r="AO49" s="3" t="str">
        <f ca="1">IF(AND($AV49="⤵",'Map 4'!AO48="Mountain",'Map 4'!AO49&lt;&gt;"Mountain",'Map 4'!AO49&lt;&gt;"Ocean",'Map 4'!AO11&lt;&gt;"Trench"),CONCATENATE("Rainshadow ",'Map 4'!AO49),'Map 4'!AO49)</f>
        <v>Ocean</v>
      </c>
      <c r="AP49" s="3">
        <f t="shared" si="1"/>
        <v>-41.15</v>
      </c>
      <c r="AQ49" s="3">
        <f t="shared" si="2"/>
        <v>-42.07</v>
      </c>
      <c r="AR49" s="3"/>
      <c r="AS49" s="3">
        <f t="shared" si="5"/>
        <v>232.00000000000023</v>
      </c>
      <c r="AT49" s="41">
        <v>-90</v>
      </c>
      <c r="AU49" s="41" t="str">
        <f>AU10</f>
        <v>Tundra</v>
      </c>
      <c r="AV49" s="41" t="str" cm="1">
        <f t="array" ref="AV49">_xlfn.IFS(AT49&lt;-90,"⤴",AND(AT49&gt;=-90,AT49&lt;-60),"⤴",AND(AT49&gt;=-60,AT49&lt;-30),"⤵",AND(AT49&gt;=-30,AT49&lt;0),"⤴",AND(AT49&gt;=0,AT49&lt;30),"⤵",AND(AT49&gt;=30,AT49&lt;60),"⤴",AT49&gt;=60,"⤵")</f>
        <v>⤴</v>
      </c>
      <c r="AW49" s="41">
        <f>AW10</f>
        <v>0.16</v>
      </c>
    </row>
  </sheetData>
  <conditionalFormatting sqref="B10:AO48">
    <cfRule type="cellIs" dxfId="279" priority="38" operator="equal">
      <formula>$AG$2</formula>
    </cfRule>
    <cfRule type="cellIs" dxfId="278" priority="39" operator="equal">
      <formula>$AH$2</formula>
    </cfRule>
    <cfRule type="expression" dxfId="277" priority="45">
      <formula>$AP9&lt;$N$6</formula>
    </cfRule>
    <cfRule type="cellIs" dxfId="276" priority="44" operator="equal">
      <formula>$AH$4</formula>
    </cfRule>
    <cfRule type="cellIs" dxfId="275" priority="43" operator="equal">
      <formula>$AL$2</formula>
    </cfRule>
    <cfRule type="cellIs" dxfId="274" priority="42" operator="equal">
      <formula>$AG$4</formula>
    </cfRule>
    <cfRule type="cellIs" dxfId="273" priority="41" operator="equal">
      <formula>$AG$3</formula>
    </cfRule>
    <cfRule type="cellIs" dxfId="272" priority="40" operator="equal">
      <formula>$AH$3</formula>
    </cfRule>
    <cfRule type="cellIs" dxfId="271" priority="33" operator="equal">
      <formula>$AK$4</formula>
    </cfRule>
    <cfRule type="cellIs" dxfId="270" priority="37" operator="equal">
      <formula>$AK$2</formula>
    </cfRule>
    <cfRule type="cellIs" dxfId="269" priority="36" operator="equal">
      <formula>$AK$3</formula>
    </cfRule>
    <cfRule type="cellIs" dxfId="268" priority="35" operator="equal">
      <formula>$AL$3</formula>
    </cfRule>
    <cfRule type="cellIs" dxfId="267" priority="34" operator="equal">
      <formula>$AL$4</formula>
    </cfRule>
  </conditionalFormatting>
  <conditionalFormatting sqref="B10:AO49">
    <cfRule type="cellIs" dxfId="266" priority="73" operator="equal">
      <formula>$AG$3</formula>
    </cfRule>
    <cfRule type="cellIs" dxfId="265" priority="72" operator="equal">
      <formula>$AH$3</formula>
    </cfRule>
    <cfRule type="cellIs" dxfId="264" priority="71" operator="equal">
      <formula>$AH$2</formula>
    </cfRule>
    <cfRule type="cellIs" dxfId="263" priority="70" operator="equal">
      <formula>$AG$2</formula>
    </cfRule>
    <cfRule type="cellIs" dxfId="262" priority="69" operator="equal">
      <formula>$AK$2</formula>
    </cfRule>
    <cfRule type="cellIs" dxfId="261" priority="67" operator="equal">
      <formula>$AL$3</formula>
    </cfRule>
    <cfRule type="cellIs" dxfId="260" priority="66" operator="equal">
      <formula>$AL$4</formula>
    </cfRule>
    <cfRule type="cellIs" dxfId="259" priority="65" operator="equal">
      <formula>$AK$4</formula>
    </cfRule>
    <cfRule type="cellIs" dxfId="258" priority="74" operator="equal">
      <formula>$AG$4</formula>
    </cfRule>
    <cfRule type="cellIs" dxfId="257" priority="75" operator="equal">
      <formula>$AL$2</formula>
    </cfRule>
    <cfRule type="cellIs" dxfId="256" priority="76" operator="equal">
      <formula>$AH$4</formula>
    </cfRule>
    <cfRule type="expression" dxfId="255" priority="77">
      <formula>$AP10&lt;$N$6</formula>
    </cfRule>
    <cfRule type="cellIs" dxfId="254" priority="68" operator="equal">
      <formula>$AK$3</formula>
    </cfRule>
  </conditionalFormatting>
  <conditionalFormatting sqref="B12:AO48">
    <cfRule type="cellIs" dxfId="253" priority="52" operator="equal">
      <formula>$AH$2</formula>
    </cfRule>
    <cfRule type="cellIs" dxfId="252" priority="53" operator="equal">
      <formula>$AH$3</formula>
    </cfRule>
    <cfRule type="cellIs" dxfId="251" priority="54" operator="equal">
      <formula>$AG$3</formula>
    </cfRule>
    <cfRule type="cellIs" dxfId="250" priority="55" operator="equal">
      <formula>$AG$4</formula>
    </cfRule>
    <cfRule type="cellIs" dxfId="249" priority="56" operator="equal">
      <formula>$AL$2</formula>
    </cfRule>
    <cfRule type="cellIs" dxfId="248" priority="57" operator="equal">
      <formula>$AH$4</formula>
    </cfRule>
    <cfRule type="expression" dxfId="247" priority="58">
      <formula>$AP11&lt;$N$6</formula>
    </cfRule>
    <cfRule type="cellIs" dxfId="246" priority="50" operator="equal">
      <formula>$AK$2</formula>
    </cfRule>
    <cfRule type="cellIs" dxfId="245" priority="51" operator="equal">
      <formula>$AG$2</formula>
    </cfRule>
  </conditionalFormatting>
  <conditionalFormatting sqref="B12:AO49">
    <cfRule type="cellIs" dxfId="244" priority="22" operator="equal">
      <formula>$AL$3</formula>
    </cfRule>
  </conditionalFormatting>
  <conditionalFormatting sqref="B49:AO49">
    <cfRule type="expression" dxfId="243" priority="32">
      <formula>$AP48&lt;$N$6</formula>
    </cfRule>
    <cfRule type="cellIs" dxfId="242" priority="29" operator="equal">
      <formula>$AG$4</formula>
    </cfRule>
    <cfRule type="cellIs" dxfId="241" priority="28" operator="equal">
      <formula>$AG$3</formula>
    </cfRule>
    <cfRule type="cellIs" dxfId="240" priority="27" operator="equal">
      <formula>$AH$3</formula>
    </cfRule>
    <cfRule type="cellIs" dxfId="239" priority="26" operator="equal">
      <formula>$AH$2</formula>
    </cfRule>
    <cfRule type="cellIs" dxfId="238" priority="25" operator="equal">
      <formula>$AG$2</formula>
    </cfRule>
    <cfRule type="cellIs" dxfId="237" priority="24" operator="equal">
      <formula>$AK$2</formula>
    </cfRule>
    <cfRule type="cellIs" dxfId="236" priority="23" operator="equal">
      <formula>$AK$3</formula>
    </cfRule>
    <cfRule type="cellIs" dxfId="235" priority="30" operator="equal">
      <formula>$AL$2</formula>
    </cfRule>
    <cfRule type="cellIs" dxfId="234" priority="21" operator="equal">
      <formula>$AL$4</formula>
    </cfRule>
    <cfRule type="cellIs" dxfId="233" priority="20" operator="equal">
      <formula>$AK$4</formula>
    </cfRule>
    <cfRule type="expression" dxfId="232" priority="19">
      <formula>$AP48&lt;$N$6</formula>
    </cfRule>
    <cfRule type="cellIs" dxfId="231" priority="18" operator="equal">
      <formula>$AH$4</formula>
    </cfRule>
    <cfRule type="cellIs" dxfId="230" priority="17" operator="equal">
      <formula>$AL$2</formula>
    </cfRule>
    <cfRule type="cellIs" dxfId="229" priority="16" operator="equal">
      <formula>$AG$4</formula>
    </cfRule>
    <cfRule type="cellIs" dxfId="228" priority="15" operator="equal">
      <formula>$AG$3</formula>
    </cfRule>
    <cfRule type="cellIs" dxfId="227" priority="14" operator="equal">
      <formula>$AH$3</formula>
    </cfRule>
    <cfRule type="cellIs" dxfId="226" priority="31" operator="equal">
      <formula>$AH$4</formula>
    </cfRule>
    <cfRule type="cellIs" dxfId="225" priority="9" operator="equal">
      <formula>$AL$2</formula>
    </cfRule>
    <cfRule type="cellIs" dxfId="224" priority="11" operator="equal">
      <formula>$AK$2</formula>
    </cfRule>
    <cfRule type="cellIs" dxfId="223" priority="13" operator="equal">
      <formula>$AH$2</formula>
    </cfRule>
  </conditionalFormatting>
  <conditionalFormatting sqref="AP10:AP49">
    <cfRule type="cellIs" dxfId="222" priority="85" operator="between">
      <formula>40</formula>
      <formula>30</formula>
    </cfRule>
    <cfRule type="cellIs" dxfId="221" priority="78" operator="greaterThan">
      <formula>100</formula>
    </cfRule>
    <cfRule type="cellIs" dxfId="220" priority="86" operator="between">
      <formula>30</formula>
      <formula>20</formula>
    </cfRule>
    <cfRule type="cellIs" dxfId="219" priority="87" operator="between">
      <formula>20</formula>
      <formula>10</formula>
    </cfRule>
    <cfRule type="cellIs" dxfId="218" priority="88" operator="between">
      <formula>10</formula>
      <formula>0</formula>
    </cfRule>
    <cfRule type="cellIs" dxfId="217" priority="89" operator="between">
      <formula>0</formula>
      <formula>-10</formula>
    </cfRule>
    <cfRule type="cellIs" dxfId="216" priority="90" operator="between">
      <formula>-10</formula>
      <formula>-20</formula>
    </cfRule>
    <cfRule type="cellIs" dxfId="215" priority="91" operator="between">
      <formula>-20</formula>
      <formula>-30</formula>
    </cfRule>
    <cfRule type="cellIs" dxfId="214" priority="92" operator="between">
      <formula>-30</formula>
      <formula>-40</formula>
    </cfRule>
    <cfRule type="cellIs" dxfId="213" priority="93" operator="between">
      <formula>-40</formula>
      <formula>-50</formula>
    </cfRule>
    <cfRule type="cellIs" dxfId="212" priority="94" operator="between">
      <formula>-50</formula>
      <formula>-60</formula>
    </cfRule>
    <cfRule type="cellIs" dxfId="211" priority="95" operator="between">
      <formula>-60</formula>
      <formula>-70</formula>
    </cfRule>
    <cfRule type="cellIs" dxfId="210" priority="96" operator="between">
      <formula>-70</formula>
      <formula>-80</formula>
    </cfRule>
    <cfRule type="cellIs" dxfId="209" priority="97" operator="between">
      <formula>-80</formula>
      <formula>-90</formula>
    </cfRule>
    <cfRule type="cellIs" dxfId="208" priority="98" operator="between">
      <formula>-90</formula>
      <formula>-100</formula>
    </cfRule>
    <cfRule type="cellIs" dxfId="207" priority="99" operator="lessThan">
      <formula>-100</formula>
    </cfRule>
    <cfRule type="cellIs" dxfId="206" priority="83" operator="between">
      <formula>60</formula>
      <formula>50</formula>
    </cfRule>
    <cfRule type="cellIs" dxfId="205" priority="82" operator="between">
      <formula>70</formula>
      <formula>60</formula>
    </cfRule>
    <cfRule type="cellIs" dxfId="204" priority="81" operator="between">
      <formula>80</formula>
      <formula>70</formula>
    </cfRule>
    <cfRule type="cellIs" dxfId="203" priority="80" operator="between">
      <formula>90</formula>
      <formula>80</formula>
    </cfRule>
    <cfRule type="cellIs" dxfId="202" priority="79" operator="between">
      <formula>100</formula>
      <formula>90</formula>
    </cfRule>
    <cfRule type="cellIs" dxfId="201" priority="84" operator="between">
      <formula>50</formula>
      <formula>40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24" operator="containsText" id="{433FBC35-0F2C-40E8-B668-13FBB5CC8B1B}">
            <xm:f>NOT(ISERROR(SEARCH($AP$1,A1)))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14:cfRule type="containsText" priority="623" operator="containsText" id="{25EA14DD-FA44-4DDF-AC8C-6C67DDD9FB88}">
            <xm:f>NOT(ISERROR(SEARCH($AP$2,A1)))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622" operator="containsText" id="{8B67CDEF-5D6B-4E7B-AFDB-610EAF9B594E}">
            <xm:f>NOT(ISERROR(SEARCH(#REF!,A1)))</xm:f>
            <xm:f>#REF!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621" operator="containsText" id="{03DC6F1A-7EA3-42CE-A177-12C1E3001D58}">
            <xm:f>NOT(ISERROR(SEARCH($AP$4,A1)))</xm:f>
            <xm:f>$AP$4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620" operator="containsText" id="{DB294031-0BC2-4C48-BAF5-3A9537E4089D}">
            <xm:f>NOT(ISERROR(SEARCH($AP$3,A1)))</xm:f>
            <xm:f>$AP$3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m:sqref>A1:AP2 AR1:XFD6 AO3:AP4 A3:AN6 A7:XFD1048576</xm:sqref>
        </x14:conditionalFormatting>
        <x14:conditionalFormatting xmlns:xm="http://schemas.microsoft.com/office/excel/2006/main">
          <x14:cfRule type="containsText" priority="619" operator="containsText" id="{F5BB9C9E-48A1-4795-905A-6FCC88447AFB}">
            <xm:f>NOT(ISERROR(SEARCH(#REF!,A1)))</xm:f>
            <xm:f>#REF!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m:sqref>A7:XFD1048576 A1:AP2 AR1:XFD6 AO3:AP4 A3:AN6</xm:sqref>
        </x14:conditionalFormatting>
        <x14:conditionalFormatting xmlns:xm="http://schemas.microsoft.com/office/excel/2006/main">
          <x14:cfRule type="containsText" priority="49" operator="containsText" id="{275C8A4B-CE87-47D9-BB1A-7EA3744EB0E6}">
            <xm:f>NOT(ISERROR(SEARCH($AK$3,B12)))</xm:f>
            <xm:f>$AK$3</xm:f>
            <x14:dxf>
              <fill>
                <patternFill patternType="solid">
                  <fgColor rgb="FFF9CB9C"/>
                  <bgColor rgb="FFF9CB9C"/>
                </patternFill>
              </fill>
            </x14:dxf>
          </x14:cfRule>
          <xm:sqref>B12:AO48</xm:sqref>
        </x14:conditionalFormatting>
        <x14:conditionalFormatting xmlns:xm="http://schemas.microsoft.com/office/excel/2006/main">
          <x14:cfRule type="containsText" priority="7" operator="containsText" id="{B33B2338-53FD-466E-85E2-174090A38081}">
            <xm:f>NOT(ISERROR(SEARCH($AK$4,B12)))</xm:f>
            <xm:f>$AK$4</xm:f>
            <x14:dxf>
              <fill>
                <patternFill patternType="solid">
                  <fgColor rgb="FFB6D7A8"/>
                  <bgColor rgb="FFB6D7A8"/>
                </patternFill>
              </fill>
            </x14:dxf>
          </x14:cfRule>
          <x14:cfRule type="containsText" priority="8" operator="containsText" id="{00EB8FBF-6D50-488D-B873-110CA5FFD79D}">
            <xm:f>NOT(ISERROR(SEARCH($AL$4,B12)))</xm:f>
            <xm:f>$AL$4</xm:f>
            <x14:dxf>
              <fill>
                <patternFill patternType="solid">
                  <fgColor rgb="FF7F6000"/>
                  <bgColor rgb="FF7F6000"/>
                </patternFill>
              </fill>
            </x14:dxf>
          </x14:cfRule>
          <xm:sqref>B12:AO49</xm:sqref>
        </x14:conditionalFormatting>
        <x14:conditionalFormatting xmlns:xm="http://schemas.microsoft.com/office/excel/2006/main">
          <x14:cfRule type="containsText" priority="10" operator="containsText" id="{11E0D9D5-5EDB-4BC2-B33C-1AC5D40977D4}">
            <xm:f>NOT(ISERROR(SEARCH($AK$3,B49)))</xm:f>
            <xm:f>$AK$3</xm:f>
            <x14:dxf>
              <fill>
                <patternFill patternType="solid">
                  <fgColor rgb="FFF9CB9C"/>
                  <bgColor rgb="FFF9CB9C"/>
                </patternFill>
              </fill>
            </x14:dxf>
          </x14:cfRule>
          <x14:cfRule type="containsText" priority="12" operator="containsText" id="{6E508710-261B-4BB9-AA99-452B0C6A858F}">
            <xm:f>NOT(ISERROR(SEARCH($AG$2,B49)))</xm:f>
            <xm:f>$AG$2</xm:f>
            <x14:dxf>
              <fill>
                <patternFill patternType="solid">
                  <bgColor theme="6"/>
                </patternFill>
              </fill>
            </x14:dxf>
          </x14:cfRule>
          <xm:sqref>B49:AO49</xm:sqref>
        </x14:conditionalFormatting>
        <x14:conditionalFormatting xmlns:xm="http://schemas.microsoft.com/office/excel/2006/main">
          <x14:cfRule type="containsText" priority="655" operator="containsText" id="{0D74A2C5-6A04-4EC7-BF15-FF7F1C896240}">
            <xm:f>NOT(ISERROR(SEARCH(#REF!,AQ1)))</xm:f>
            <xm:f>#REF!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657" operator="containsText" id="{84484698-D53F-4B5B-83C2-BF13365CC7CB}">
            <xm:f>NOT(ISERROR(SEARCH($AP$3,AQ1)))</xm:f>
            <xm:f>$AP$3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658" operator="containsText" id="{7EC793EC-D573-4CAC-B44A-AA68B113EF7C}">
            <xm:f>NOT(ISERROR(SEARCH($AP$4,AQ1)))</xm:f>
            <xm:f>$AP$4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659" operator="containsText" id="{E45904DF-AA0E-4638-A2E0-7A8E276B3DE0}">
            <xm:f>NOT(ISERROR(SEARCH(#REF!,AQ1)))</xm:f>
            <xm:f>#REF!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660" operator="containsText" id="{E45BB720-DDB3-4E4E-9B82-698196212B34}">
            <xm:f>NOT(ISERROR(SEARCH($AP$2,AQ1)))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661" operator="containsText" id="{0D4B7D50-FE35-4F91-B291-705401A4D474}">
            <xm:f>NOT(ISERROR(SEARCH($AP$1,AQ1)))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m:sqref>AQ1:AQ4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5268-5649-452B-AC48-00866046A6DE}">
  <sheetPr>
    <outlinePr summaryBelow="0" summaryRight="0"/>
  </sheetPr>
  <dimension ref="A1:AX49"/>
  <sheetViews>
    <sheetView tabSelected="1" workbookViewId="0">
      <selection activeCell="C3" sqref="C3"/>
    </sheetView>
  </sheetViews>
  <sheetFormatPr defaultColWidth="5" defaultRowHeight="15.75" customHeight="1"/>
  <cols>
    <col min="1" max="1" width="4.28515625" style="47" customWidth="1"/>
    <col min="2" max="5" width="8.85546875" style="47" customWidth="1"/>
    <col min="6" max="6" width="13.140625" style="47" customWidth="1"/>
    <col min="7" max="11" width="8.85546875" style="47" customWidth="1"/>
    <col min="12" max="12" width="10.7109375" style="47" customWidth="1"/>
    <col min="13" max="13" width="8.85546875" style="47" customWidth="1"/>
    <col min="14" max="14" width="10.28515625" style="47" customWidth="1"/>
    <col min="15" max="21" width="8.85546875" style="47" customWidth="1"/>
    <col min="22" max="22" width="12" style="47" customWidth="1"/>
    <col min="23" max="23" width="10.7109375" style="47" customWidth="1"/>
    <col min="24" max="31" width="8.85546875" style="47" customWidth="1"/>
    <col min="32" max="32" width="12" style="47" customWidth="1"/>
    <col min="33" max="41" width="8.85546875" style="47" customWidth="1"/>
    <col min="42" max="42" width="9.7109375" style="47" customWidth="1"/>
    <col min="43" max="43" width="14.5703125" style="47" customWidth="1"/>
    <col min="44" max="45" width="4.28515625" style="47" customWidth="1"/>
    <col min="46" max="46" width="10.7109375" style="47" customWidth="1"/>
    <col min="47" max="47" width="4.28515625" style="47" customWidth="1"/>
    <col min="48" max="48" width="12.85546875" style="47" customWidth="1"/>
    <col min="49" max="49" width="18.5703125" style="47" customWidth="1"/>
    <col min="50" max="50" width="34" style="47" customWidth="1"/>
    <col min="51" max="51" width="22.5703125" style="47" customWidth="1"/>
    <col min="52" max="53" width="9.140625" style="47"/>
    <col min="54" max="16384" width="5" style="47"/>
  </cols>
  <sheetData>
    <row r="1" spans="1:50" ht="12.75">
      <c r="A1" s="46"/>
      <c r="B1" s="46" t="s">
        <v>27</v>
      </c>
      <c r="C1" s="46">
        <f>'Map 4'!C1</f>
        <v>232</v>
      </c>
      <c r="D1" s="46"/>
      <c r="E1" s="46"/>
      <c r="F1" s="46"/>
      <c r="G1" s="46"/>
      <c r="H1" s="46"/>
      <c r="I1" s="46"/>
      <c r="J1" s="46"/>
      <c r="K1" s="46"/>
      <c r="L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 t="s">
        <v>1</v>
      </c>
      <c r="AG1" s="46" t="s">
        <v>0</v>
      </c>
      <c r="AH1" s="46" t="s">
        <v>1</v>
      </c>
      <c r="AI1" s="46"/>
      <c r="AJ1" s="46" t="s">
        <v>0</v>
      </c>
      <c r="AK1" s="46" t="s">
        <v>0</v>
      </c>
      <c r="AL1" s="46" t="s">
        <v>1</v>
      </c>
      <c r="AM1" s="46"/>
      <c r="AN1" s="46"/>
      <c r="AO1" s="47" t="s">
        <v>28</v>
      </c>
      <c r="AP1" s="47" t="s">
        <v>29</v>
      </c>
      <c r="AX1" s="53" t="s">
        <v>21</v>
      </c>
    </row>
    <row r="2" spans="1:50" ht="13.5">
      <c r="A2" s="46"/>
      <c r="B2" s="46" t="s">
        <v>30</v>
      </c>
      <c r="C2" s="46">
        <f>'Map 4'!C2</f>
        <v>371</v>
      </c>
      <c r="D2" s="46"/>
      <c r="E2" s="46">
        <f>C2-C1</f>
        <v>139</v>
      </c>
      <c r="F2" s="46"/>
      <c r="G2" s="46"/>
      <c r="H2" s="46"/>
      <c r="I2" s="46"/>
      <c r="J2" s="46"/>
      <c r="K2" s="46"/>
      <c r="L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8"/>
      <c r="Z2" s="46"/>
      <c r="AA2" s="48"/>
      <c r="AB2" s="46"/>
      <c r="AC2" s="46"/>
      <c r="AD2" s="46"/>
      <c r="AE2" s="46"/>
      <c r="AF2" s="46" t="s">
        <v>16</v>
      </c>
      <c r="AG2" s="49" t="s">
        <v>17</v>
      </c>
      <c r="AH2" s="50" t="s">
        <v>18</v>
      </c>
      <c r="AI2" s="46"/>
      <c r="AJ2" s="46" t="s">
        <v>16</v>
      </c>
      <c r="AK2" s="51" t="s">
        <v>19</v>
      </c>
      <c r="AL2" s="49" t="s">
        <v>17</v>
      </c>
      <c r="AM2" s="46"/>
      <c r="AN2" s="46"/>
      <c r="AO2" s="47" t="s">
        <v>31</v>
      </c>
      <c r="AP2" s="47" t="s">
        <v>32</v>
      </c>
      <c r="AX2" s="56" t="s">
        <v>24</v>
      </c>
    </row>
    <row r="3" spans="1:50" ht="26.25" customHeight="1">
      <c r="A3" s="46"/>
      <c r="B3" s="46"/>
      <c r="C3" s="46"/>
      <c r="D3" s="46"/>
      <c r="E3" s="46">
        <f>E2/20</f>
        <v>6.95</v>
      </c>
      <c r="F3" s="46"/>
      <c r="G3" s="46"/>
      <c r="H3" s="46"/>
      <c r="I3" s="46"/>
      <c r="J3" s="46"/>
      <c r="K3" s="46"/>
      <c r="L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8"/>
      <c r="AB3" s="46"/>
      <c r="AC3" s="46"/>
      <c r="AD3" s="46"/>
      <c r="AE3" s="46"/>
      <c r="AF3" s="46" t="s">
        <v>15</v>
      </c>
      <c r="AG3" s="52" t="s">
        <v>20</v>
      </c>
      <c r="AH3" s="53" t="s">
        <v>21</v>
      </c>
      <c r="AI3" s="46"/>
      <c r="AJ3" s="46" t="s">
        <v>15</v>
      </c>
      <c r="AK3" s="54" t="s">
        <v>22</v>
      </c>
      <c r="AL3" s="52" t="s">
        <v>20</v>
      </c>
      <c r="AM3" s="46"/>
      <c r="AN3" s="46"/>
      <c r="AO3" s="47" t="s">
        <v>33</v>
      </c>
      <c r="AP3" s="47" t="s">
        <v>34</v>
      </c>
      <c r="AX3" s="51" t="s">
        <v>19</v>
      </c>
    </row>
    <row r="4" spans="1:50" ht="12.7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 t="s">
        <v>14</v>
      </c>
      <c r="AG4" s="55" t="s">
        <v>23</v>
      </c>
      <c r="AH4" s="56" t="s">
        <v>24</v>
      </c>
      <c r="AI4" s="46"/>
      <c r="AJ4" s="46" t="s">
        <v>14</v>
      </c>
      <c r="AK4" s="57" t="s">
        <v>25</v>
      </c>
      <c r="AL4" s="55" t="s">
        <v>23</v>
      </c>
      <c r="AM4" s="46"/>
      <c r="AN4" s="46"/>
      <c r="AO4" s="47" t="s">
        <v>35</v>
      </c>
      <c r="AP4" s="47" t="s">
        <v>36</v>
      </c>
      <c r="AX4" s="49" t="s">
        <v>17</v>
      </c>
    </row>
    <row r="5" spans="1:50" ht="46.5">
      <c r="A5" s="46"/>
      <c r="B5" s="46"/>
      <c r="C5" s="58"/>
      <c r="D5" s="59"/>
      <c r="E5" s="60"/>
      <c r="F5" s="53"/>
      <c r="G5" s="61"/>
      <c r="H5" s="62"/>
      <c r="I5" s="63"/>
      <c r="J5" s="64"/>
      <c r="K5" s="65"/>
      <c r="L5" s="66"/>
      <c r="M5" s="67"/>
      <c r="N5" s="68"/>
      <c r="O5" s="54"/>
      <c r="P5" s="69"/>
      <c r="Q5" s="70"/>
      <c r="R5" s="51"/>
      <c r="S5" s="71"/>
      <c r="T5" s="72"/>
      <c r="U5" s="73"/>
      <c r="V5" s="74"/>
      <c r="W5" s="75"/>
      <c r="X5" s="76"/>
      <c r="Y5" s="77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7" t="s">
        <v>37</v>
      </c>
      <c r="AP5" s="47" t="s">
        <v>38</v>
      </c>
      <c r="AR5" s="46"/>
      <c r="AX5" s="52" t="s">
        <v>20</v>
      </c>
    </row>
    <row r="6" spans="1:50" ht="12.75">
      <c r="A6" s="46"/>
      <c r="B6" s="46" t="s">
        <v>39</v>
      </c>
      <c r="C6" s="46" t="s">
        <v>40</v>
      </c>
      <c r="D6" s="46">
        <v>-100</v>
      </c>
      <c r="E6" s="46">
        <v>-90</v>
      </c>
      <c r="F6" s="46">
        <v>-80</v>
      </c>
      <c r="G6" s="46">
        <v>-70</v>
      </c>
      <c r="H6" s="46">
        <v>-60</v>
      </c>
      <c r="I6" s="46">
        <v>-50</v>
      </c>
      <c r="J6" s="46">
        <v>-40</v>
      </c>
      <c r="K6" s="46">
        <v>-30</v>
      </c>
      <c r="L6" s="46">
        <v>-20</v>
      </c>
      <c r="M6" s="46">
        <v>-10</v>
      </c>
      <c r="N6" s="46">
        <v>0</v>
      </c>
      <c r="O6" s="46">
        <v>10</v>
      </c>
      <c r="P6" s="46">
        <v>20</v>
      </c>
      <c r="Q6" s="46">
        <v>30</v>
      </c>
      <c r="R6" s="46">
        <v>40</v>
      </c>
      <c r="S6" s="46">
        <v>50</v>
      </c>
      <c r="T6" s="46">
        <v>60</v>
      </c>
      <c r="U6" s="46">
        <v>70</v>
      </c>
      <c r="V6" s="46">
        <v>80</v>
      </c>
      <c r="W6" s="46">
        <v>90</v>
      </c>
      <c r="X6" s="46">
        <v>100</v>
      </c>
      <c r="Y6" s="46" t="s">
        <v>41</v>
      </c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7" t="s">
        <v>42</v>
      </c>
      <c r="AP6" s="47" t="s">
        <v>43</v>
      </c>
      <c r="AR6" s="46"/>
      <c r="AX6" s="55" t="s">
        <v>23</v>
      </c>
    </row>
    <row r="7" spans="1:50" ht="12.75">
      <c r="A7" s="46"/>
      <c r="B7" s="46" t="s">
        <v>44</v>
      </c>
      <c r="C7" s="46" t="s">
        <v>45</v>
      </c>
      <c r="D7" s="46">
        <f t="shared" ref="D7:X7" si="0">(D6*(9/5))+ 32</f>
        <v>-148</v>
      </c>
      <c r="E7" s="46">
        <f t="shared" si="0"/>
        <v>-130</v>
      </c>
      <c r="F7" s="46">
        <f t="shared" si="0"/>
        <v>-112</v>
      </c>
      <c r="G7" s="46">
        <f t="shared" si="0"/>
        <v>-94</v>
      </c>
      <c r="H7" s="46">
        <f t="shared" si="0"/>
        <v>-76</v>
      </c>
      <c r="I7" s="46">
        <f t="shared" si="0"/>
        <v>-58</v>
      </c>
      <c r="J7" s="46">
        <f t="shared" si="0"/>
        <v>-40</v>
      </c>
      <c r="K7" s="46">
        <f t="shared" si="0"/>
        <v>-22</v>
      </c>
      <c r="L7" s="46">
        <f t="shared" si="0"/>
        <v>-4</v>
      </c>
      <c r="M7" s="46">
        <f t="shared" si="0"/>
        <v>14</v>
      </c>
      <c r="N7" s="46">
        <f t="shared" si="0"/>
        <v>32</v>
      </c>
      <c r="O7" s="46">
        <f t="shared" si="0"/>
        <v>50</v>
      </c>
      <c r="P7" s="46">
        <f t="shared" si="0"/>
        <v>68</v>
      </c>
      <c r="Q7" s="46">
        <f t="shared" si="0"/>
        <v>86</v>
      </c>
      <c r="R7" s="46">
        <f t="shared" si="0"/>
        <v>104</v>
      </c>
      <c r="S7" s="46">
        <f t="shared" si="0"/>
        <v>122</v>
      </c>
      <c r="T7" s="46">
        <f t="shared" si="0"/>
        <v>140</v>
      </c>
      <c r="U7" s="46">
        <f t="shared" si="0"/>
        <v>158</v>
      </c>
      <c r="V7" s="46">
        <f t="shared" si="0"/>
        <v>176</v>
      </c>
      <c r="W7" s="46">
        <f t="shared" si="0"/>
        <v>194</v>
      </c>
      <c r="X7" s="46">
        <f t="shared" si="0"/>
        <v>212</v>
      </c>
      <c r="Y7" s="46" t="s">
        <v>46</v>
      </c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X7" s="54" t="s">
        <v>22</v>
      </c>
    </row>
    <row r="8" spans="1:50" ht="12.7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X8" s="47" t="s">
        <v>29</v>
      </c>
    </row>
    <row r="9" spans="1:50" ht="18.75" customHeight="1">
      <c r="A9" s="46"/>
      <c r="B9" s="46">
        <v>1</v>
      </c>
      <c r="C9" s="46">
        <v>2</v>
      </c>
      <c r="D9" s="46">
        <v>3</v>
      </c>
      <c r="E9" s="46">
        <v>4</v>
      </c>
      <c r="F9" s="46">
        <v>5</v>
      </c>
      <c r="G9" s="46">
        <v>6</v>
      </c>
      <c r="H9" s="46">
        <v>7</v>
      </c>
      <c r="I9" s="46">
        <v>8</v>
      </c>
      <c r="J9" s="46">
        <v>9</v>
      </c>
      <c r="K9" s="46">
        <v>10</v>
      </c>
      <c r="L9" s="46">
        <v>11</v>
      </c>
      <c r="M9" s="46">
        <v>12</v>
      </c>
      <c r="N9" s="46">
        <v>13</v>
      </c>
      <c r="O9" s="46">
        <v>14</v>
      </c>
      <c r="P9" s="46">
        <v>15</v>
      </c>
      <c r="Q9" s="46">
        <v>16</v>
      </c>
      <c r="R9" s="46">
        <v>17</v>
      </c>
      <c r="S9" s="46">
        <v>18</v>
      </c>
      <c r="T9" s="46">
        <v>19</v>
      </c>
      <c r="U9" s="46">
        <v>20</v>
      </c>
      <c r="V9" s="46">
        <v>21</v>
      </c>
      <c r="W9" s="46">
        <v>22</v>
      </c>
      <c r="X9" s="46">
        <v>23</v>
      </c>
      <c r="Y9" s="46">
        <v>24</v>
      </c>
      <c r="Z9" s="46">
        <v>25</v>
      </c>
      <c r="AA9" s="46">
        <v>26</v>
      </c>
      <c r="AB9" s="46">
        <v>27</v>
      </c>
      <c r="AC9" s="46">
        <v>28</v>
      </c>
      <c r="AD9" s="46">
        <v>29</v>
      </c>
      <c r="AE9" s="46">
        <v>30</v>
      </c>
      <c r="AF9" s="46">
        <v>31</v>
      </c>
      <c r="AG9" s="46">
        <v>32</v>
      </c>
      <c r="AH9" s="46">
        <v>33</v>
      </c>
      <c r="AI9" s="46">
        <v>34</v>
      </c>
      <c r="AJ9" s="46">
        <v>35</v>
      </c>
      <c r="AK9" s="46">
        <v>36</v>
      </c>
      <c r="AL9" s="46">
        <v>37</v>
      </c>
      <c r="AM9" s="46">
        <v>38</v>
      </c>
      <c r="AN9" s="46">
        <v>39</v>
      </c>
      <c r="AO9" s="46">
        <v>40</v>
      </c>
      <c r="AP9" s="46"/>
      <c r="AQ9" s="46"/>
      <c r="AR9" s="46"/>
      <c r="AX9" s="47" t="s">
        <v>32</v>
      </c>
    </row>
    <row r="10" spans="1:50" ht="18.75" customHeight="1">
      <c r="A10" s="46">
        <v>1</v>
      </c>
      <c r="B10" s="46" t="str" cm="1">
        <f t="array" aca="1" ref="B10" ca="1">_xlfn.IFNA(_xlfn.IFS(AND(ISNUMBER(SEARCH("Rainshadow",'Map 5'!B10)),ISNUMBER(SEARCH("Flatland",'Map 5'!B10))),CONCATENATE($AT10, " Rainshadow"),'Map 5'!B10="Flatland",$AT10,'Map 5'!B10="Island",CONCATENATE($AT10, " Island"),ISNUMBER(SEARCH("Rainshadow",'Map 5'!B10)),CONCATENATE($AT10," ",'Map 5'!B10)),'Map 5'!B10)</f>
        <v>Coast</v>
      </c>
      <c r="C10" s="46" t="str" cm="1">
        <f t="array" aca="1" ref="C10" ca="1">_xlfn.IFNA(_xlfn.IFS(AND(ISNUMBER(SEARCH("Rainshadow",'Map 5'!C10)),ISNUMBER(SEARCH("Flatland",'Map 5'!C10))),CONCATENATE($AT10, " Rainshadow"),'Map 5'!C10="Flatland",$AT10,'Map 5'!C10="Island",CONCATENATE($AT10, " Island"),ISNUMBER(SEARCH("Rainshadow",'Map 5'!C10)),CONCATENATE($AT10," ",'Map 5'!C10)),'Map 5'!C10)</f>
        <v>Coast</v>
      </c>
      <c r="D10" s="46" t="str" cm="1">
        <f t="array" aca="1" ref="D10" ca="1">_xlfn.IFNA(_xlfn.IFS(AND(ISNUMBER(SEARCH("Rainshadow",'Map 5'!D10)),ISNUMBER(SEARCH("Flatland",'Map 5'!D10))),CONCATENATE($AT10, " Rainshadow"),'Map 5'!D10="Flatland",$AT10,'Map 5'!D10="Island",CONCATENATE($AT10, " Island"),ISNUMBER(SEARCH("Rainshadow",'Map 5'!D10)),CONCATENATE($AT10," ",'Map 5'!D10)),'Map 5'!D10)</f>
        <v>Tundra</v>
      </c>
      <c r="E10" s="46" t="str" cm="1">
        <f t="array" aca="1" ref="E10" ca="1">_xlfn.IFNA(_xlfn.IFS(AND(ISNUMBER(SEARCH("Rainshadow",'Map 5'!E10)),ISNUMBER(SEARCH("Flatland",'Map 5'!E10))),CONCATENATE($AT10, " Rainshadow"),'Map 5'!E10="Flatland",$AT10,'Map 5'!E10="Island",CONCATENATE($AT10, " Island"),ISNUMBER(SEARCH("Rainshadow",'Map 5'!E10)),CONCATENATE($AT10," ",'Map 5'!E10)),'Map 5'!E10)</f>
        <v>Tundra</v>
      </c>
      <c r="F10" s="46" t="str" cm="1">
        <f t="array" aca="1" ref="F10" ca="1">_xlfn.IFNA(_xlfn.IFS(AND(ISNUMBER(SEARCH("Rainshadow",'Map 5'!F10)),ISNUMBER(SEARCH("Flatland",'Map 5'!F10))),CONCATENATE($AT10, " Rainshadow"),'Map 5'!F10="Flatland",$AT10,'Map 5'!F10="Island",CONCATENATE($AT10, " Island"),ISNUMBER(SEARCH("Rainshadow",'Map 5'!F10)),CONCATENATE($AT10," ",'Map 5'!F10)),'Map 5'!F10)</f>
        <v>Coast</v>
      </c>
      <c r="G10" s="46" t="str" cm="1">
        <f t="array" aca="1" ref="G10" ca="1">_xlfn.IFNA(_xlfn.IFS(AND(ISNUMBER(SEARCH("Rainshadow",'Map 5'!G10)),ISNUMBER(SEARCH("Flatland",'Map 5'!G10))),CONCATENATE($AT10, " Rainshadow"),'Map 5'!G10="Flatland",$AT10,'Map 5'!G10="Island",CONCATENATE($AT10, " Island"),ISNUMBER(SEARCH("Rainshadow",'Map 5'!G10)),CONCATENATE($AT10," ",'Map 5'!G10)),'Map 5'!G10)</f>
        <v>Tundra Island</v>
      </c>
      <c r="H10" s="46" t="str" cm="1">
        <f t="array" aca="1" ref="H10" ca="1">_xlfn.IFNA(_xlfn.IFS(AND(ISNUMBER(SEARCH("Rainshadow",'Map 5'!H10)),ISNUMBER(SEARCH("Flatland",'Map 5'!H10))),CONCATENATE($AT10, " Rainshadow"),'Map 5'!H10="Flatland",$AT10,'Map 5'!H10="Island",CONCATENATE($AT10, " Island"),ISNUMBER(SEARCH("Rainshadow",'Map 5'!H10)),CONCATENATE($AT10," ",'Map 5'!H10)),'Map 5'!H10)</f>
        <v>Ocean</v>
      </c>
      <c r="I10" s="46" t="str" cm="1">
        <f t="array" aca="1" ref="I10" ca="1">_xlfn.IFNA(_xlfn.IFS(AND(ISNUMBER(SEARCH("Rainshadow",'Map 5'!I10)),ISNUMBER(SEARCH("Flatland",'Map 5'!I10))),CONCATENATE($AT10, " Rainshadow"),'Map 5'!I10="Flatland",$AT10,'Map 5'!I10="Island",CONCATENATE($AT10, " Island"),ISNUMBER(SEARCH("Rainshadow",'Map 5'!I10)),CONCATENATE($AT10," ",'Map 5'!I10)),'Map 5'!I10)</f>
        <v>Ocean</v>
      </c>
      <c r="J10" s="46" t="str" cm="1">
        <f t="array" aca="1" ref="J10" ca="1">_xlfn.IFNA(_xlfn.IFS(AND(ISNUMBER(SEARCH("Rainshadow",'Map 5'!J10)),ISNUMBER(SEARCH("Flatland",'Map 5'!J10))),CONCATENATE($AT10, " Rainshadow"),'Map 5'!J10="Flatland",$AT10,'Map 5'!J10="Island",CONCATENATE($AT10, " Island"),ISNUMBER(SEARCH("Rainshadow",'Map 5'!J10)),CONCATENATE($AT10," ",'Map 5'!J10)),'Map 5'!J10)</f>
        <v>Ocean</v>
      </c>
      <c r="K10" s="46" t="str" cm="1">
        <f t="array" aca="1" ref="K10" ca="1">_xlfn.IFNA(_xlfn.IFS(AND(ISNUMBER(SEARCH("Rainshadow",'Map 5'!K10)),ISNUMBER(SEARCH("Flatland",'Map 5'!K10))),CONCATENATE($AT10, " Rainshadow"),'Map 5'!K10="Flatland",$AT10,'Map 5'!K10="Island",CONCATENATE($AT10, " Island"),ISNUMBER(SEARCH("Rainshadow",'Map 5'!K10)),CONCATENATE($AT10," ",'Map 5'!K10)),'Map 5'!K10)</f>
        <v>Ocean</v>
      </c>
      <c r="L10" s="46" t="str" cm="1">
        <f t="array" aca="1" ref="L10" ca="1">_xlfn.IFNA(_xlfn.IFS(AND(ISNUMBER(SEARCH("Rainshadow",'Map 5'!L10)),ISNUMBER(SEARCH("Flatland",'Map 5'!L10))),CONCATENATE($AT10, " Rainshadow"),'Map 5'!L10="Flatland",$AT10,'Map 5'!L10="Island",CONCATENATE($AT10, " Island"),ISNUMBER(SEARCH("Rainshadow",'Map 5'!L10)),CONCATENATE($AT10," ",'Map 5'!L10)),'Map 5'!L10)</f>
        <v>Tundra Island</v>
      </c>
      <c r="M10" s="46" t="str" cm="1">
        <f t="array" aca="1" ref="M10" ca="1">_xlfn.IFNA(_xlfn.IFS(AND(ISNUMBER(SEARCH("Rainshadow",'Map 5'!M10)),ISNUMBER(SEARCH("Flatland",'Map 5'!M10))),CONCATENATE($AT10, " Rainshadow"),'Map 5'!M10="Flatland",$AT10,'Map 5'!M10="Island",CONCATENATE($AT10, " Island"),ISNUMBER(SEARCH("Rainshadow",'Map 5'!M10)),CONCATENATE($AT10," ",'Map 5'!M10)),'Map 5'!M10)</f>
        <v>Ocean</v>
      </c>
      <c r="N10" s="46" t="str" cm="1">
        <f t="array" aca="1" ref="N10" ca="1">_xlfn.IFNA(_xlfn.IFS(AND(ISNUMBER(SEARCH("Rainshadow",'Map 5'!N10)),ISNUMBER(SEARCH("Flatland",'Map 5'!N10))),CONCATENATE($AT10, " Rainshadow"),'Map 5'!N10="Flatland",$AT10,'Map 5'!N10="Island",CONCATENATE($AT10, " Island"),ISNUMBER(SEARCH("Rainshadow",'Map 5'!N10)),CONCATENATE($AT10," ",'Map 5'!N10)),'Map 5'!N10)</f>
        <v>Ocean</v>
      </c>
      <c r="O10" s="46" t="str" cm="1">
        <f t="array" aca="1" ref="O10" ca="1">_xlfn.IFNA(_xlfn.IFS(AND(ISNUMBER(SEARCH("Rainshadow",'Map 5'!O10)),ISNUMBER(SEARCH("Flatland",'Map 5'!O10))),CONCATENATE($AT10, " Rainshadow"),'Map 5'!O10="Flatland",$AT10,'Map 5'!O10="Island",CONCATENATE($AT10, " Island"),ISNUMBER(SEARCH("Rainshadow",'Map 5'!O10)),CONCATENATE($AT10," ",'Map 5'!O10)),'Map 5'!O10)</f>
        <v>Ocean</v>
      </c>
      <c r="P10" s="46" t="str" cm="1">
        <f t="array" aca="1" ref="P10" ca="1">_xlfn.IFNA(_xlfn.IFS(AND(ISNUMBER(SEARCH("Rainshadow",'Map 5'!P10)),ISNUMBER(SEARCH("Flatland",'Map 5'!P10))),CONCATENATE($AT10, " Rainshadow"),'Map 5'!P10="Flatland",$AT10,'Map 5'!P10="Island",CONCATENATE($AT10, " Island"),ISNUMBER(SEARCH("Rainshadow",'Map 5'!P10)),CONCATENATE($AT10," ",'Map 5'!P10)),'Map 5'!P10)</f>
        <v>Ocean</v>
      </c>
      <c r="Q10" s="46" t="str" cm="1">
        <f t="array" aca="1" ref="Q10" ca="1">_xlfn.IFNA(_xlfn.IFS(AND(ISNUMBER(SEARCH("Rainshadow",'Map 5'!Q10)),ISNUMBER(SEARCH("Flatland",'Map 5'!Q10))),CONCATENATE($AT10, " Rainshadow"),'Map 5'!Q10="Flatland",$AT10,'Map 5'!Q10="Island",CONCATENATE($AT10, " Island"),ISNUMBER(SEARCH("Rainshadow",'Map 5'!Q10)),CONCATENATE($AT10," ",'Map 5'!Q10)),'Map 5'!Q10)</f>
        <v>Trench</v>
      </c>
      <c r="R10" s="46" t="str" cm="1">
        <f t="array" aca="1" ref="R10" ca="1">_xlfn.IFNA(_xlfn.IFS(AND(ISNUMBER(SEARCH("Rainshadow",'Map 5'!R10)),ISNUMBER(SEARCH("Flatland",'Map 5'!R10))),CONCATENATE($AT10, " Rainshadow"),'Map 5'!R10="Flatland",$AT10,'Map 5'!R10="Island",CONCATENATE($AT10, " Island"),ISNUMBER(SEARCH("Rainshadow",'Map 5'!R10)),CONCATENATE($AT10," ",'Map 5'!R10)),'Map 5'!R10)</f>
        <v>Ocean</v>
      </c>
      <c r="S10" s="46" t="str" cm="1">
        <f t="array" aca="1" ref="S10" ca="1">_xlfn.IFNA(_xlfn.IFS(AND(ISNUMBER(SEARCH("Rainshadow",'Map 5'!S10)),ISNUMBER(SEARCH("Flatland",'Map 5'!S10))),CONCATENATE($AT10, " Rainshadow"),'Map 5'!S10="Flatland",$AT10,'Map 5'!S10="Island",CONCATENATE($AT10, " Island"),ISNUMBER(SEARCH("Rainshadow",'Map 5'!S10)),CONCATENATE($AT10," ",'Map 5'!S10)),'Map 5'!S10)</f>
        <v>Ocean</v>
      </c>
      <c r="T10" s="46" t="str" cm="1">
        <f t="array" aca="1" ref="T10" ca="1">_xlfn.IFNA(_xlfn.IFS(AND(ISNUMBER(SEARCH("Rainshadow",'Map 5'!T10)),ISNUMBER(SEARCH("Flatland",'Map 5'!T10))),CONCATENATE($AT10, " Rainshadow"),'Map 5'!T10="Flatland",$AT10,'Map 5'!T10="Island",CONCATENATE($AT10, " Island"),ISNUMBER(SEARCH("Rainshadow",'Map 5'!T10)),CONCATENATE($AT10," ",'Map 5'!T10)),'Map 5'!T10)</f>
        <v>Ocean</v>
      </c>
      <c r="U10" s="46" t="str" cm="1">
        <f t="array" aca="1" ref="U10" ca="1">_xlfn.IFNA(_xlfn.IFS(AND(ISNUMBER(SEARCH("Rainshadow",'Map 5'!U10)),ISNUMBER(SEARCH("Flatland",'Map 5'!U10))),CONCATENATE($AT10, " Rainshadow"),'Map 5'!U10="Flatland",$AT10,'Map 5'!U10="Island",CONCATENATE($AT10, " Island"),ISNUMBER(SEARCH("Rainshadow",'Map 5'!U10)),CONCATENATE($AT10," ",'Map 5'!U10)),'Map 5'!U10)</f>
        <v>Tundra Island</v>
      </c>
      <c r="V10" s="46" t="str" cm="1">
        <f t="array" aca="1" ref="V10" ca="1">_xlfn.IFNA(_xlfn.IFS(AND(ISNUMBER(SEARCH("Rainshadow",'Map 5'!V10)),ISNUMBER(SEARCH("Flatland",'Map 5'!V10))),CONCATENATE($AT10, " Rainshadow"),'Map 5'!V10="Flatland",$AT10,'Map 5'!V10="Island",CONCATENATE($AT10, " Island"),ISNUMBER(SEARCH("Rainshadow",'Map 5'!V10)),CONCATENATE($AT10," ",'Map 5'!V10)),'Map 5'!V10)</f>
        <v>Ocean</v>
      </c>
      <c r="W10" s="46" t="str" cm="1">
        <f t="array" aca="1" ref="W10" ca="1">_xlfn.IFNA(_xlfn.IFS(AND(ISNUMBER(SEARCH("Rainshadow",'Map 5'!W10)),ISNUMBER(SEARCH("Flatland",'Map 5'!W10))),CONCATENATE($AT10, " Rainshadow"),'Map 5'!W10="Flatland",$AT10,'Map 5'!W10="Island",CONCATENATE($AT10, " Island"),ISNUMBER(SEARCH("Rainshadow",'Map 5'!W10)),CONCATENATE($AT10," ",'Map 5'!W10)),'Map 5'!W10)</f>
        <v>Ocean</v>
      </c>
      <c r="X10" s="46" t="str" cm="1">
        <f t="array" aca="1" ref="X10" ca="1">_xlfn.IFNA(_xlfn.IFS(AND(ISNUMBER(SEARCH("Rainshadow",'Map 5'!X10)),ISNUMBER(SEARCH("Flatland",'Map 5'!X10))),CONCATENATE($AT10, " Rainshadow"),'Map 5'!X10="Flatland",$AT10,'Map 5'!X10="Island",CONCATENATE($AT10, " Island"),ISNUMBER(SEARCH("Rainshadow",'Map 5'!X10)),CONCATENATE($AT10," ",'Map 5'!X10)),'Map 5'!X10)</f>
        <v>Ocean</v>
      </c>
      <c r="Y10" s="46" t="str" cm="1">
        <f t="array" aca="1" ref="Y10" ca="1">_xlfn.IFNA(_xlfn.IFS(AND(ISNUMBER(SEARCH("Rainshadow",'Map 5'!Y10)),ISNUMBER(SEARCH("Flatland",'Map 5'!Y10))),CONCATENATE($AT10, " Rainshadow"),'Map 5'!Y10="Flatland",$AT10,'Map 5'!Y10="Island",CONCATENATE($AT10, " Island"),ISNUMBER(SEARCH("Rainshadow",'Map 5'!Y10)),CONCATENATE($AT10," ",'Map 5'!Y10)),'Map 5'!Y10)</f>
        <v>Ocean</v>
      </c>
      <c r="Z10" s="46" t="str" cm="1">
        <f t="array" aca="1" ref="Z10" ca="1">_xlfn.IFNA(_xlfn.IFS(AND(ISNUMBER(SEARCH("Rainshadow",'Map 5'!Z10)),ISNUMBER(SEARCH("Flatland",'Map 5'!Z10))),CONCATENATE($AT10, " Rainshadow"),'Map 5'!Z10="Flatland",$AT10,'Map 5'!Z10="Island",CONCATENATE($AT10, " Island"),ISNUMBER(SEARCH("Rainshadow",'Map 5'!Z10)),CONCATENATE($AT10," ",'Map 5'!Z10)),'Map 5'!Z10)</f>
        <v>Trench</v>
      </c>
      <c r="AA10" s="46" t="str" cm="1">
        <f t="array" aca="1" ref="AA10" ca="1">_xlfn.IFNA(_xlfn.IFS(AND(ISNUMBER(SEARCH("Rainshadow",'Map 5'!AA10)),ISNUMBER(SEARCH("Flatland",'Map 5'!AA10))),CONCATENATE($AT10, " Rainshadow"),'Map 5'!AA10="Flatland",$AT10,'Map 5'!AA10="Island",CONCATENATE($AT10, " Island"),ISNUMBER(SEARCH("Rainshadow",'Map 5'!AA10)),CONCATENATE($AT10," ",'Map 5'!AA10)),'Map 5'!AA10)</f>
        <v>Ocean</v>
      </c>
      <c r="AB10" s="46" t="str" cm="1">
        <f t="array" aca="1" ref="AB10" ca="1">_xlfn.IFNA(_xlfn.IFS(AND(ISNUMBER(SEARCH("Rainshadow",'Map 5'!AB10)),ISNUMBER(SEARCH("Flatland",'Map 5'!AB10))),CONCATENATE($AT10, " Rainshadow"),'Map 5'!AB10="Flatland",$AT10,'Map 5'!AB10="Island",CONCATENATE($AT10, " Island"),ISNUMBER(SEARCH("Rainshadow",'Map 5'!AB10)),CONCATENATE($AT10," ",'Map 5'!AB10)),'Map 5'!AB10)</f>
        <v>Ocean</v>
      </c>
      <c r="AC10" s="46" t="str" cm="1">
        <f t="array" aca="1" ref="AC10" ca="1">_xlfn.IFNA(_xlfn.IFS(AND(ISNUMBER(SEARCH("Rainshadow",'Map 5'!AC10)),ISNUMBER(SEARCH("Flatland",'Map 5'!AC10))),CONCATENATE($AT10, " Rainshadow"),'Map 5'!AC10="Flatland",$AT10,'Map 5'!AC10="Island",CONCATENATE($AT10, " Island"),ISNUMBER(SEARCH("Rainshadow",'Map 5'!AC10)),CONCATENATE($AT10," ",'Map 5'!AC10)),'Map 5'!AC10)</f>
        <v>Coast</v>
      </c>
      <c r="AD10" s="46" t="str" cm="1">
        <f t="array" aca="1" ref="AD10" ca="1">_xlfn.IFNA(_xlfn.IFS(AND(ISNUMBER(SEARCH("Rainshadow",'Map 5'!AD10)),ISNUMBER(SEARCH("Flatland",'Map 5'!AD10))),CONCATENATE($AT10, " Rainshadow"),'Map 5'!AD10="Flatland",$AT10,'Map 5'!AD10="Island",CONCATENATE($AT10, " Island"),ISNUMBER(SEARCH("Rainshadow",'Map 5'!AD10)),CONCATENATE($AT10," ",'Map 5'!AD10)),'Map 5'!AD10)</f>
        <v>Coast</v>
      </c>
      <c r="AE10" s="46" t="str" cm="1">
        <f t="array" aca="1" ref="AE10" ca="1">_xlfn.IFNA(_xlfn.IFS(AND(ISNUMBER(SEARCH("Rainshadow",'Map 5'!AE10)),ISNUMBER(SEARCH("Flatland",'Map 5'!AE10))),CONCATENATE($AT10, " Rainshadow"),'Map 5'!AE10="Flatland",$AT10,'Map 5'!AE10="Island",CONCATENATE($AT10, " Island"),ISNUMBER(SEARCH("Rainshadow",'Map 5'!AE10)),CONCATENATE($AT10," ",'Map 5'!AE10)),'Map 5'!AE10)</f>
        <v>Coast</v>
      </c>
      <c r="AF10" s="46" t="str" cm="1">
        <f t="array" aca="1" ref="AF10" ca="1">_xlfn.IFNA(_xlfn.IFS(AND(ISNUMBER(SEARCH("Rainshadow",'Map 5'!AF10)),ISNUMBER(SEARCH("Flatland",'Map 5'!AF10))),CONCATENATE($AT10, " Rainshadow"),'Map 5'!AF10="Flatland",$AT10,'Map 5'!AF10="Island",CONCATENATE($AT10, " Island"),ISNUMBER(SEARCH("Rainshadow",'Map 5'!AF10)),CONCATENATE($AT10," ",'Map 5'!AF10)),'Map 5'!AF10)</f>
        <v>Mountain</v>
      </c>
      <c r="AG10" s="46" t="str" cm="1">
        <f t="array" aca="1" ref="AG10" ca="1">_xlfn.IFNA(_xlfn.IFS(AND(ISNUMBER(SEARCH("Rainshadow",'Map 5'!AG10)),ISNUMBER(SEARCH("Flatland",'Map 5'!AG10))),CONCATENATE($AT10, " Rainshadow"),'Map 5'!AG10="Flatland",$AT10,'Map 5'!AG10="Island",CONCATENATE($AT10, " Island"),ISNUMBER(SEARCH("Rainshadow",'Map 5'!AG10)),CONCATENATE($AT10," ",'Map 5'!AG10)),'Map 5'!AG10)</f>
        <v>Tundra Rainshadow</v>
      </c>
      <c r="AH10" s="46" t="str" cm="1">
        <f t="array" aca="1" ref="AH10" ca="1">_xlfn.IFNA(_xlfn.IFS(AND(ISNUMBER(SEARCH("Rainshadow",'Map 5'!AH10)),ISNUMBER(SEARCH("Flatland",'Map 5'!AH10))),CONCATENATE($AT10, " Rainshadow"),'Map 5'!AH10="Flatland",$AT10,'Map 5'!AH10="Island",CONCATENATE($AT10, " Island"),ISNUMBER(SEARCH("Rainshadow",'Map 5'!AH10)),CONCATENATE($AT10," ",'Map 5'!AH10)),'Map 5'!AH10)</f>
        <v>Tundra</v>
      </c>
      <c r="AI10" s="46" t="str" cm="1">
        <f t="array" aca="1" ref="AI10" ca="1">_xlfn.IFNA(_xlfn.IFS(AND(ISNUMBER(SEARCH("Rainshadow",'Map 5'!AI10)),ISNUMBER(SEARCH("Flatland",'Map 5'!AI10))),CONCATENATE($AT10, " Rainshadow"),'Map 5'!AI10="Flatland",$AT10,'Map 5'!AI10="Island",CONCATENATE($AT10, " Island"),ISNUMBER(SEARCH("Rainshadow",'Map 5'!AI10)),CONCATENATE($AT10," ",'Map 5'!AI10)),'Map 5'!AI10)</f>
        <v>Tundra</v>
      </c>
      <c r="AJ10" s="46" t="str" cm="1">
        <f t="array" aca="1" ref="AJ10" ca="1">_xlfn.IFNA(_xlfn.IFS(AND(ISNUMBER(SEARCH("Rainshadow",'Map 5'!AJ10)),ISNUMBER(SEARCH("Flatland",'Map 5'!AJ10))),CONCATENATE($AT10, " Rainshadow"),'Map 5'!AJ10="Flatland",$AT10,'Map 5'!AJ10="Island",CONCATENATE($AT10, " Island"),ISNUMBER(SEARCH("Rainshadow",'Map 5'!AJ10)),CONCATENATE($AT10," ",'Map 5'!AJ10)),'Map 5'!AJ10)</f>
        <v>Valley</v>
      </c>
      <c r="AK10" s="46" t="str" cm="1">
        <f t="array" aca="1" ref="AK10" ca="1">_xlfn.IFNA(_xlfn.IFS(AND(ISNUMBER(SEARCH("Rainshadow",'Map 5'!AK10)),ISNUMBER(SEARCH("Flatland",'Map 5'!AK10))),CONCATENATE($AT10, " Rainshadow"),'Map 5'!AK10="Flatland",$AT10,'Map 5'!AK10="Island",CONCATENATE($AT10, " Island"),ISNUMBER(SEARCH("Rainshadow",'Map 5'!AK10)),CONCATENATE($AT10," ",'Map 5'!AK10)),'Map 5'!AK10)</f>
        <v>Mountain</v>
      </c>
      <c r="AL10" s="46" t="str" cm="1">
        <f t="array" aca="1" ref="AL10" ca="1">_xlfn.IFNA(_xlfn.IFS(AND(ISNUMBER(SEARCH("Rainshadow",'Map 5'!AL10)),ISNUMBER(SEARCH("Flatland",'Map 5'!AL10))),CONCATENATE($AT10, " Rainshadow"),'Map 5'!AL10="Flatland",$AT10,'Map 5'!AL10="Island",CONCATENATE($AT10, " Island"),ISNUMBER(SEARCH("Rainshadow",'Map 5'!AL10)),CONCATENATE($AT10," ",'Map 5'!AL10)),'Map 5'!AL10)</f>
        <v>Drop Off</v>
      </c>
      <c r="AM10" s="46" t="str" cm="1">
        <f t="array" aca="1" ref="AM10" ca="1">_xlfn.IFNA(_xlfn.IFS(AND(ISNUMBER(SEARCH("Rainshadow",'Map 5'!AM10)),ISNUMBER(SEARCH("Flatland",'Map 5'!AM10))),CONCATENATE($AT10, " Rainshadow"),'Map 5'!AM10="Flatland",$AT10,'Map 5'!AM10="Island",CONCATENATE($AT10, " Island"),ISNUMBER(SEARCH("Rainshadow",'Map 5'!AM10)),CONCATENATE($AT10," ",'Map 5'!AM10)),'Map 5'!AM10)</f>
        <v>Ocean</v>
      </c>
      <c r="AN10" s="46" t="str" cm="1">
        <f t="array" aca="1" ref="AN10" ca="1">_xlfn.IFNA(_xlfn.IFS(AND(ISNUMBER(SEARCH("Rainshadow",'Map 5'!AN10)),ISNUMBER(SEARCH("Flatland",'Map 5'!AN10))),CONCATENATE($AT10, " Rainshadow"),'Map 5'!AN10="Flatland",$AT10,'Map 5'!AN10="Island",CONCATENATE($AT10, " Island"),ISNUMBER(SEARCH("Rainshadow",'Map 5'!AN10)),CONCATENATE($AT10," ",'Map 5'!AN10)),'Map 5'!AN10)</f>
        <v>Ocean</v>
      </c>
      <c r="AO10" s="46" t="str" cm="1">
        <f t="array" aca="1" ref="AO10" ca="1">_xlfn.IFNA(_xlfn.IFS(AND(ISNUMBER(SEARCH("Rainshadow",'Map 5'!AO10)),ISNUMBER(SEARCH("Flatland",'Map 5'!AO10))),CONCATENATE($AT10, " Rainshadow"),'Map 5'!AO10="Flatland",$AT10,'Map 5'!AO10="Island",CONCATENATE($AT10, " Island"),ISNUMBER(SEARCH("Rainshadow",'Map 5'!AO10)),CONCATENATE($AT10," ",'Map 5'!AO10)),'Map 5'!AO10)</f>
        <v>Coast</v>
      </c>
      <c r="AP10" s="46">
        <f>'Map 5'!AP10</f>
        <v>-41.15</v>
      </c>
      <c r="AQ10" s="46">
        <f>'Map 5'!AQ10</f>
        <v>-42.07</v>
      </c>
      <c r="AR10" s="46">
        <f>'Map 5'!AS10</f>
        <v>232.00000000000023</v>
      </c>
      <c r="AS10" s="47">
        <f>'Map 5'!AT10</f>
        <v>90</v>
      </c>
      <c r="AT10" s="47" t="str">
        <f>'Map 5'!AU10</f>
        <v>Tundra</v>
      </c>
      <c r="AU10" s="47" t="str">
        <f>'Map 5'!AV10</f>
        <v>⤵</v>
      </c>
      <c r="AX10" s="47" t="s">
        <v>34</v>
      </c>
    </row>
    <row r="11" spans="1:50" ht="18.75" customHeight="1">
      <c r="A11" s="46">
        <v>2</v>
      </c>
      <c r="B11" s="46" t="str" cm="1">
        <f t="array" aca="1" ref="B11" ca="1">_xlfn.IFNA(_xlfn.IFS(AND(ISNUMBER(SEARCH("Rainshadow",'Map 5'!B11)),ISNUMBER(SEARCH("Flatland",'Map 5'!B11))),CONCATENATE($AT11, " Rainshadow"),'Map 5'!B11="Flatland",$AT11,'Map 5'!B11="Island",CONCATENATE($AT11, " Island"),ISNUMBER(SEARCH("Rainshadow",'Map 5'!B11)),CONCATENATE($AT11," ",'Map 5'!B11)),'Map 5'!B11)</f>
        <v>Tundra</v>
      </c>
      <c r="C11" s="46" t="str" cm="1">
        <f t="array" aca="1" ref="C11" ca="1">_xlfn.IFNA(_xlfn.IFS(AND(ISNUMBER(SEARCH("Rainshadow",'Map 5'!C11)),ISNUMBER(SEARCH("Flatland",'Map 5'!C11))),CONCATENATE($AT11, " Rainshadow"),'Map 5'!C11="Flatland",$AT11,'Map 5'!C11="Island",CONCATENATE($AT11, " Island"),ISNUMBER(SEARCH("Rainshadow",'Map 5'!C11)),CONCATENATE($AT11," ",'Map 5'!C11)),'Map 5'!C11)</f>
        <v>Tundra</v>
      </c>
      <c r="D11" s="46" t="str" cm="1">
        <f t="array" aca="1" ref="D11" ca="1">_xlfn.IFNA(_xlfn.IFS(AND(ISNUMBER(SEARCH("Rainshadow",'Map 5'!D11)),ISNUMBER(SEARCH("Flatland",'Map 5'!D11))),CONCATENATE($AT11, " Rainshadow"),'Map 5'!D11="Flatland",$AT11,'Map 5'!D11="Island",CONCATENATE($AT11, " Island"),ISNUMBER(SEARCH("Rainshadow",'Map 5'!D11)),CONCATENATE($AT11," ",'Map 5'!D11)),'Map 5'!D11)</f>
        <v>Tundra</v>
      </c>
      <c r="E11" s="46" t="str" cm="1">
        <f t="array" aca="1" ref="E11" ca="1">_xlfn.IFNA(_xlfn.IFS(AND(ISNUMBER(SEARCH("Rainshadow",'Map 5'!E11)),ISNUMBER(SEARCH("Flatland",'Map 5'!E11))),CONCATENATE($AT11, " Rainshadow"),'Map 5'!E11="Flatland",$AT11,'Map 5'!E11="Island",CONCATENATE($AT11, " Island"),ISNUMBER(SEARCH("Rainshadow",'Map 5'!E11)),CONCATENATE($AT11," ",'Map 5'!E11)),'Map 5'!E11)</f>
        <v>Tundra</v>
      </c>
      <c r="F11" s="46" t="str" cm="1">
        <f t="array" aca="1" ref="F11" ca="1">_xlfn.IFNA(_xlfn.IFS(AND(ISNUMBER(SEARCH("Rainshadow",'Map 5'!F11)),ISNUMBER(SEARCH("Flatland",'Map 5'!F11))),CONCATENATE($AT11, " Rainshadow"),'Map 5'!F11="Flatland",$AT11,'Map 5'!F11="Island",CONCATENATE($AT11, " Island"),ISNUMBER(SEARCH("Rainshadow",'Map 5'!F11)),CONCATENATE($AT11," ",'Map 5'!F11)),'Map 5'!F11)</f>
        <v>Coast</v>
      </c>
      <c r="G11" s="46" t="str" cm="1">
        <f t="array" aca="1" ref="G11" ca="1">_xlfn.IFNA(_xlfn.IFS(AND(ISNUMBER(SEARCH("Rainshadow",'Map 5'!G11)),ISNUMBER(SEARCH("Flatland",'Map 5'!G11))),CONCATENATE($AT11, " Rainshadow"),'Map 5'!G11="Flatland",$AT11,'Map 5'!G11="Island",CONCATENATE($AT11, " Island"),ISNUMBER(SEARCH("Rainshadow",'Map 5'!G11)),CONCATENATE($AT11," ",'Map 5'!G11)),'Map 5'!G11)</f>
        <v>Cliff</v>
      </c>
      <c r="H11" s="46" t="str" cm="1">
        <f t="array" aca="1" ref="H11" ca="1">_xlfn.IFNA(_xlfn.IFS(AND(ISNUMBER(SEARCH("Rainshadow",'Map 5'!H11)),ISNUMBER(SEARCH("Flatland",'Map 5'!H11))),CONCATENATE($AT11, " Rainshadow"),'Map 5'!H11="Flatland",$AT11,'Map 5'!H11="Island",CONCATENATE($AT11, " Island"),ISNUMBER(SEARCH("Rainshadow",'Map 5'!H11)),CONCATENATE($AT11," ",'Map 5'!H11)),'Map 5'!H11)</f>
        <v>Ocean</v>
      </c>
      <c r="I11" s="46" t="str" cm="1">
        <f t="array" aca="1" ref="I11" ca="1">_xlfn.IFNA(_xlfn.IFS(AND(ISNUMBER(SEARCH("Rainshadow",'Map 5'!I11)),ISNUMBER(SEARCH("Flatland",'Map 5'!I11))),CONCATENATE($AT11, " Rainshadow"),'Map 5'!I11="Flatland",$AT11,'Map 5'!I11="Island",CONCATENATE($AT11, " Island"),ISNUMBER(SEARCH("Rainshadow",'Map 5'!I11)),CONCATENATE($AT11," ",'Map 5'!I11)),'Map 5'!I11)</f>
        <v>Ocean</v>
      </c>
      <c r="J11" s="46" t="str" cm="1">
        <f t="array" aca="1" ref="J11" ca="1">_xlfn.IFNA(_xlfn.IFS(AND(ISNUMBER(SEARCH("Rainshadow",'Map 5'!J11)),ISNUMBER(SEARCH("Flatland",'Map 5'!J11))),CONCATENATE($AT11, " Rainshadow"),'Map 5'!J11="Flatland",$AT11,'Map 5'!J11="Island",CONCATENATE($AT11, " Island"),ISNUMBER(SEARCH("Rainshadow",'Map 5'!J11)),CONCATENATE($AT11," ",'Map 5'!J11)),'Map 5'!J11)</f>
        <v>Ocean</v>
      </c>
      <c r="K11" s="46" t="str" cm="1">
        <f t="array" aca="1" ref="K11" ca="1">_xlfn.IFNA(_xlfn.IFS(AND(ISNUMBER(SEARCH("Rainshadow",'Map 5'!K11)),ISNUMBER(SEARCH("Flatland",'Map 5'!K11))),CONCATENATE($AT11, " Rainshadow"),'Map 5'!K11="Flatland",$AT11,'Map 5'!K11="Island",CONCATENATE($AT11, " Island"),ISNUMBER(SEARCH("Rainshadow",'Map 5'!K11)),CONCATENATE($AT11," ",'Map 5'!K11)),'Map 5'!K11)</f>
        <v>Ocean</v>
      </c>
      <c r="L11" s="46" t="str" cm="1">
        <f t="array" aca="1" ref="L11" ca="1">_xlfn.IFNA(_xlfn.IFS(AND(ISNUMBER(SEARCH("Rainshadow",'Map 5'!L11)),ISNUMBER(SEARCH("Flatland",'Map 5'!L11))),CONCATENATE($AT11, " Rainshadow"),'Map 5'!L11="Flatland",$AT11,'Map 5'!L11="Island",CONCATENATE($AT11, " Island"),ISNUMBER(SEARCH("Rainshadow",'Map 5'!L11)),CONCATENATE($AT11," ",'Map 5'!L11)),'Map 5'!L11)</f>
        <v>Tundra Island</v>
      </c>
      <c r="M11" s="46" t="str" cm="1">
        <f t="array" aca="1" ref="M11" ca="1">_xlfn.IFNA(_xlfn.IFS(AND(ISNUMBER(SEARCH("Rainshadow",'Map 5'!M11)),ISNUMBER(SEARCH("Flatland",'Map 5'!M11))),CONCATENATE($AT11, " Rainshadow"),'Map 5'!M11="Flatland",$AT11,'Map 5'!M11="Island",CONCATENATE($AT11, " Island"),ISNUMBER(SEARCH("Rainshadow",'Map 5'!M11)),CONCATENATE($AT11," ",'Map 5'!M11)),'Map 5'!M11)</f>
        <v>Tundra Island</v>
      </c>
      <c r="N11" s="46" t="str" cm="1">
        <f t="array" aca="1" ref="N11" ca="1">_xlfn.IFNA(_xlfn.IFS(AND(ISNUMBER(SEARCH("Rainshadow",'Map 5'!N11)),ISNUMBER(SEARCH("Flatland",'Map 5'!N11))),CONCATENATE($AT11, " Rainshadow"),'Map 5'!N11="Flatland",$AT11,'Map 5'!N11="Island",CONCATENATE($AT11, " Island"),ISNUMBER(SEARCH("Rainshadow",'Map 5'!N11)),CONCATENATE($AT11," ",'Map 5'!N11)),'Map 5'!N11)</f>
        <v>Ocean</v>
      </c>
      <c r="O11" s="46" t="str" cm="1">
        <f t="array" aca="1" ref="O11" ca="1">_xlfn.IFNA(_xlfn.IFS(AND(ISNUMBER(SEARCH("Rainshadow",'Map 5'!O11)),ISNUMBER(SEARCH("Flatland",'Map 5'!O11))),CONCATENATE($AT11, " Rainshadow"),'Map 5'!O11="Flatland",$AT11,'Map 5'!O11="Island",CONCATENATE($AT11, " Island"),ISNUMBER(SEARCH("Rainshadow",'Map 5'!O11)),CONCATENATE($AT11," ",'Map 5'!O11)),'Map 5'!O11)</f>
        <v>Ocean</v>
      </c>
      <c r="P11" s="46" t="str" cm="1">
        <f t="array" aca="1" ref="P11" ca="1">_xlfn.IFNA(_xlfn.IFS(AND(ISNUMBER(SEARCH("Rainshadow",'Map 5'!P11)),ISNUMBER(SEARCH("Flatland",'Map 5'!P11))),CONCATENATE($AT11, " Rainshadow"),'Map 5'!P11="Flatland",$AT11,'Map 5'!P11="Island",CONCATENATE($AT11, " Island"),ISNUMBER(SEARCH("Rainshadow",'Map 5'!P11)),CONCATENATE($AT11," ",'Map 5'!P11)),'Map 5'!P11)</f>
        <v>Tundra Island</v>
      </c>
      <c r="Q11" s="46" t="str" cm="1">
        <f t="array" aca="1" ref="Q11" ca="1">_xlfn.IFNA(_xlfn.IFS(AND(ISNUMBER(SEARCH("Rainshadow",'Map 5'!Q11)),ISNUMBER(SEARCH("Flatland",'Map 5'!Q11))),CONCATENATE($AT11, " Rainshadow"),'Map 5'!Q11="Flatland",$AT11,'Map 5'!Q11="Island",CONCATENATE($AT11, " Island"),ISNUMBER(SEARCH("Rainshadow",'Map 5'!Q11)),CONCATENATE($AT11," ",'Map 5'!Q11)),'Map 5'!Q11)</f>
        <v>Ocean</v>
      </c>
      <c r="R11" s="46" t="str" cm="1">
        <f t="array" aca="1" ref="R11" ca="1">_xlfn.IFNA(_xlfn.IFS(AND(ISNUMBER(SEARCH("Rainshadow",'Map 5'!R11)),ISNUMBER(SEARCH("Flatland",'Map 5'!R11))),CONCATENATE($AT11, " Rainshadow"),'Map 5'!R11="Flatland",$AT11,'Map 5'!R11="Island",CONCATENATE($AT11, " Island"),ISNUMBER(SEARCH("Rainshadow",'Map 5'!R11)),CONCATENATE($AT11," ",'Map 5'!R11)),'Map 5'!R11)</f>
        <v>Ocean</v>
      </c>
      <c r="S11" s="46" t="str" cm="1">
        <f t="array" aca="1" ref="S11" ca="1">_xlfn.IFNA(_xlfn.IFS(AND(ISNUMBER(SEARCH("Rainshadow",'Map 5'!S11)),ISNUMBER(SEARCH("Flatland",'Map 5'!S11))),CONCATENATE($AT11, " Rainshadow"),'Map 5'!S11="Flatland",$AT11,'Map 5'!S11="Island",CONCATENATE($AT11, " Island"),ISNUMBER(SEARCH("Rainshadow",'Map 5'!S11)),CONCATENATE($AT11," ",'Map 5'!S11)),'Map 5'!S11)</f>
        <v>Ocean</v>
      </c>
      <c r="T11" s="46" t="str" cm="1">
        <f t="array" aca="1" ref="T11" ca="1">_xlfn.IFNA(_xlfn.IFS(AND(ISNUMBER(SEARCH("Rainshadow",'Map 5'!T11)),ISNUMBER(SEARCH("Flatland",'Map 5'!T11))),CONCATENATE($AT11, " Rainshadow"),'Map 5'!T11="Flatland",$AT11,'Map 5'!T11="Island",CONCATENATE($AT11, " Island"),ISNUMBER(SEARCH("Rainshadow",'Map 5'!T11)),CONCATENATE($AT11," ",'Map 5'!T11)),'Map 5'!T11)</f>
        <v>Ocean</v>
      </c>
      <c r="U11" s="46" t="str" cm="1">
        <f t="array" aca="1" ref="U11" ca="1">_xlfn.IFNA(_xlfn.IFS(AND(ISNUMBER(SEARCH("Rainshadow",'Map 5'!U11)),ISNUMBER(SEARCH("Flatland",'Map 5'!U11))),CONCATENATE($AT11, " Rainshadow"),'Map 5'!U11="Flatland",$AT11,'Map 5'!U11="Island",CONCATENATE($AT11, " Island"),ISNUMBER(SEARCH("Rainshadow",'Map 5'!U11)),CONCATENATE($AT11," ",'Map 5'!U11)),'Map 5'!U11)</f>
        <v>Tundra Island</v>
      </c>
      <c r="V11" s="46" t="str" cm="1">
        <f t="array" aca="1" ref="V11" ca="1">_xlfn.IFNA(_xlfn.IFS(AND(ISNUMBER(SEARCH("Rainshadow",'Map 5'!V11)),ISNUMBER(SEARCH("Flatland",'Map 5'!V11))),CONCATENATE($AT11, " Rainshadow"),'Map 5'!V11="Flatland",$AT11,'Map 5'!V11="Island",CONCATENATE($AT11, " Island"),ISNUMBER(SEARCH("Rainshadow",'Map 5'!V11)),CONCATENATE($AT11," ",'Map 5'!V11)),'Map 5'!V11)</f>
        <v>Ocean</v>
      </c>
      <c r="W11" s="46" t="str" cm="1">
        <f t="array" aca="1" ref="W11" ca="1">_xlfn.IFNA(_xlfn.IFS(AND(ISNUMBER(SEARCH("Rainshadow",'Map 5'!W11)),ISNUMBER(SEARCH("Flatland",'Map 5'!W11))),CONCATENATE($AT11, " Rainshadow"),'Map 5'!W11="Flatland",$AT11,'Map 5'!W11="Island",CONCATENATE($AT11, " Island"),ISNUMBER(SEARCH("Rainshadow",'Map 5'!W11)),CONCATENATE($AT11," ",'Map 5'!W11)),'Map 5'!W11)</f>
        <v>Tundra Island</v>
      </c>
      <c r="X11" s="46" t="str" cm="1">
        <f t="array" aca="1" ref="X11" ca="1">_xlfn.IFNA(_xlfn.IFS(AND(ISNUMBER(SEARCH("Rainshadow",'Map 5'!X11)),ISNUMBER(SEARCH("Flatland",'Map 5'!X11))),CONCATENATE($AT11, " Rainshadow"),'Map 5'!X11="Flatland",$AT11,'Map 5'!X11="Island",CONCATENATE($AT11, " Island"),ISNUMBER(SEARCH("Rainshadow",'Map 5'!X11)),CONCATENATE($AT11," ",'Map 5'!X11)),'Map 5'!X11)</f>
        <v>Ocean</v>
      </c>
      <c r="Y11" s="46" t="str" cm="1">
        <f t="array" aca="1" ref="Y11" ca="1">_xlfn.IFNA(_xlfn.IFS(AND(ISNUMBER(SEARCH("Rainshadow",'Map 5'!Y11)),ISNUMBER(SEARCH("Flatland",'Map 5'!Y11))),CONCATENATE($AT11, " Rainshadow"),'Map 5'!Y11="Flatland",$AT11,'Map 5'!Y11="Island",CONCATENATE($AT11, " Island"),ISNUMBER(SEARCH("Rainshadow",'Map 5'!Y11)),CONCATENATE($AT11," ",'Map 5'!Y11)),'Map 5'!Y11)</f>
        <v>Ocean</v>
      </c>
      <c r="Z11" s="46" t="str" cm="1">
        <f t="array" aca="1" ref="Z11" ca="1">_xlfn.IFNA(_xlfn.IFS(AND(ISNUMBER(SEARCH("Rainshadow",'Map 5'!Z11)),ISNUMBER(SEARCH("Flatland",'Map 5'!Z11))),CONCATENATE($AT11, " Rainshadow"),'Map 5'!Z11="Flatland",$AT11,'Map 5'!Z11="Island",CONCATENATE($AT11, " Island"),ISNUMBER(SEARCH("Rainshadow",'Map 5'!Z11)),CONCATENATE($AT11," ",'Map 5'!Z11)),'Map 5'!Z11)</f>
        <v>Ocean</v>
      </c>
      <c r="AA11" s="46" t="str" cm="1">
        <f t="array" aca="1" ref="AA11" ca="1">_xlfn.IFNA(_xlfn.IFS(AND(ISNUMBER(SEARCH("Rainshadow",'Map 5'!AA11)),ISNUMBER(SEARCH("Flatland",'Map 5'!AA11))),CONCATENATE($AT11, " Rainshadow"),'Map 5'!AA11="Flatland",$AT11,'Map 5'!AA11="Island",CONCATENATE($AT11, " Island"),ISNUMBER(SEARCH("Rainshadow",'Map 5'!AA11)),CONCATENATE($AT11," ",'Map 5'!AA11)),'Map 5'!AA11)</f>
        <v>Trench</v>
      </c>
      <c r="AB11" s="46" t="str" cm="1">
        <f t="array" aca="1" ref="AB11" ca="1">_xlfn.IFNA(_xlfn.IFS(AND(ISNUMBER(SEARCH("Rainshadow",'Map 5'!AB11)),ISNUMBER(SEARCH("Flatland",'Map 5'!AB11))),CONCATENATE($AT11, " Rainshadow"),'Map 5'!AB11="Flatland",$AT11,'Map 5'!AB11="Island",CONCATENATE($AT11, " Island"),ISNUMBER(SEARCH("Rainshadow",'Map 5'!AB11)),CONCATENATE($AT11," ",'Map 5'!AB11)),'Map 5'!AB11)</f>
        <v>Ocean</v>
      </c>
      <c r="AC11" s="46" t="str" cm="1">
        <f t="array" aca="1" ref="AC11" ca="1">_xlfn.IFNA(_xlfn.IFS(AND(ISNUMBER(SEARCH("Rainshadow",'Map 5'!AC11)),ISNUMBER(SEARCH("Flatland",'Map 5'!AC11))),CONCATENATE($AT11, " Rainshadow"),'Map 5'!AC11="Flatland",$AT11,'Map 5'!AC11="Island",CONCATENATE($AT11, " Island"),ISNUMBER(SEARCH("Rainshadow",'Map 5'!AC11)),CONCATENATE($AT11," ",'Map 5'!AC11)),'Map 5'!AC11)</f>
        <v>Coast</v>
      </c>
      <c r="AD11" s="46" t="str" cm="1">
        <f t="array" aca="1" ref="AD11" ca="1">_xlfn.IFNA(_xlfn.IFS(AND(ISNUMBER(SEARCH("Rainshadow",'Map 5'!AD11)),ISNUMBER(SEARCH("Flatland",'Map 5'!AD11))),CONCATENATE($AT11, " Rainshadow"),'Map 5'!AD11="Flatland",$AT11,'Map 5'!AD11="Island",CONCATENATE($AT11, " Island"),ISNUMBER(SEARCH("Rainshadow",'Map 5'!AD11)),CONCATENATE($AT11," ",'Map 5'!AD11)),'Map 5'!AD11)</f>
        <v>Coast</v>
      </c>
      <c r="AE11" s="46" t="str" cm="1">
        <f t="array" aca="1" ref="AE11" ca="1">_xlfn.IFNA(_xlfn.IFS(AND(ISNUMBER(SEARCH("Rainshadow",'Map 5'!AE11)),ISNUMBER(SEARCH("Flatland",'Map 5'!AE11))),CONCATENATE($AT11, " Rainshadow"),'Map 5'!AE11="Flatland",$AT11,'Map 5'!AE11="Island",CONCATENATE($AT11, " Island"),ISNUMBER(SEARCH("Rainshadow",'Map 5'!AE11)),CONCATENATE($AT11," ",'Map 5'!AE11)),'Map 5'!AE11)</f>
        <v>Tundra</v>
      </c>
      <c r="AF11" s="46" t="str" cm="1">
        <f t="array" aca="1" ref="AF11" ca="1">_xlfn.IFNA(_xlfn.IFS(AND(ISNUMBER(SEARCH("Rainshadow",'Map 5'!AF11)),ISNUMBER(SEARCH("Flatland",'Map 5'!AF11))),CONCATENATE($AT11, " Rainshadow"),'Map 5'!AF11="Flatland",$AT11,'Map 5'!AF11="Island",CONCATENATE($AT11, " Island"),ISNUMBER(SEARCH("Rainshadow",'Map 5'!AF11)),CONCATENATE($AT11," ",'Map 5'!AF11)),'Map 5'!AF11)</f>
        <v>Tundra</v>
      </c>
      <c r="AG11" s="46" t="str" cm="1">
        <f t="array" aca="1" ref="AG11" ca="1">_xlfn.IFNA(_xlfn.IFS(AND(ISNUMBER(SEARCH("Rainshadow",'Map 5'!AG11)),ISNUMBER(SEARCH("Flatland",'Map 5'!AG11))),CONCATENATE($AT11, " Rainshadow"),'Map 5'!AG11="Flatland",$AT11,'Map 5'!AG11="Island",CONCATENATE($AT11, " Island"),ISNUMBER(SEARCH("Rainshadow",'Map 5'!AG11)),CONCATENATE($AT11," ",'Map 5'!AG11)),'Map 5'!AG11)</f>
        <v>Mountain</v>
      </c>
      <c r="AH11" s="46" t="str" cm="1">
        <f t="array" aca="1" ref="AH11" ca="1">_xlfn.IFNA(_xlfn.IFS(AND(ISNUMBER(SEARCH("Rainshadow",'Map 5'!AH11)),ISNUMBER(SEARCH("Flatland",'Map 5'!AH11))),CONCATENATE($AT11, " Rainshadow"),'Map 5'!AH11="Flatland",$AT11,'Map 5'!AH11="Island",CONCATENATE($AT11, " Island"),ISNUMBER(SEARCH("Rainshadow",'Map 5'!AH11)),CONCATENATE($AT11," ",'Map 5'!AH11)),'Map 5'!AH11)</f>
        <v>Tundra</v>
      </c>
      <c r="AI11" s="46" t="str" cm="1">
        <f t="array" aca="1" ref="AI11" ca="1">_xlfn.IFNA(_xlfn.IFS(AND(ISNUMBER(SEARCH("Rainshadow",'Map 5'!AI11)),ISNUMBER(SEARCH("Flatland",'Map 5'!AI11))),CONCATENATE($AT11, " Rainshadow"),'Map 5'!AI11="Flatland",$AT11,'Map 5'!AI11="Island",CONCATENATE($AT11, " Island"),ISNUMBER(SEARCH("Rainshadow",'Map 5'!AI11)),CONCATENATE($AT11," ",'Map 5'!AI11)),'Map 5'!AI11)</f>
        <v>Tundra</v>
      </c>
      <c r="AJ11" s="46" t="str" cm="1">
        <f t="array" aca="1" ref="AJ11" ca="1">_xlfn.IFNA(_xlfn.IFS(AND(ISNUMBER(SEARCH("Rainshadow",'Map 5'!AJ11)),ISNUMBER(SEARCH("Flatland",'Map 5'!AJ11))),CONCATENATE($AT11, " Rainshadow"),'Map 5'!AJ11="Flatland",$AT11,'Map 5'!AJ11="Island",CONCATENATE($AT11, " Island"),ISNUMBER(SEARCH("Rainshadow",'Map 5'!AJ11)),CONCATENATE($AT11," ",'Map 5'!AJ11)),'Map 5'!AJ11)</f>
        <v>Tundra</v>
      </c>
      <c r="AK11" s="46" t="str" cm="1">
        <f t="array" aca="1" ref="AK11" ca="1">_xlfn.IFNA(_xlfn.IFS(AND(ISNUMBER(SEARCH("Rainshadow",'Map 5'!AK11)),ISNUMBER(SEARCH("Flatland",'Map 5'!AK11))),CONCATENATE($AT11, " Rainshadow"),'Map 5'!AK11="Flatland",$AT11,'Map 5'!AK11="Island",CONCATENATE($AT11, " Island"),ISNUMBER(SEARCH("Rainshadow",'Map 5'!AK11)),CONCATENATE($AT11," ",'Map 5'!AK11)),'Map 5'!AK11)</f>
        <v>Valley</v>
      </c>
      <c r="AL11" s="46" t="str" cm="1">
        <f t="array" aca="1" ref="AL11" ca="1">_xlfn.IFNA(_xlfn.IFS(AND(ISNUMBER(SEARCH("Rainshadow",'Map 5'!AL11)),ISNUMBER(SEARCH("Flatland",'Map 5'!AL11))),CONCATENATE($AT11, " Rainshadow"),'Map 5'!AL11="Flatland",$AT11,'Map 5'!AL11="Island",CONCATENATE($AT11, " Island"),ISNUMBER(SEARCH("Rainshadow",'Map 5'!AL11)),CONCATENATE($AT11," ",'Map 5'!AL11)),'Map 5'!AL11)</f>
        <v>Tundra</v>
      </c>
      <c r="AM11" s="46" t="str" cm="1">
        <f t="array" aca="1" ref="AM11" ca="1">_xlfn.IFNA(_xlfn.IFS(AND(ISNUMBER(SEARCH("Rainshadow",'Map 5'!AM11)),ISNUMBER(SEARCH("Flatland",'Map 5'!AM11))),CONCATENATE($AT11, " Rainshadow"),'Map 5'!AM11="Flatland",$AT11,'Map 5'!AM11="Island",CONCATENATE($AT11, " Island"),ISNUMBER(SEARCH("Rainshadow",'Map 5'!AM11)),CONCATENATE($AT11," ",'Map 5'!AM11)),'Map 5'!AM11)</f>
        <v>Coast</v>
      </c>
      <c r="AN11" s="46" t="str" cm="1">
        <f t="array" aca="1" ref="AN11" ca="1">_xlfn.IFNA(_xlfn.IFS(AND(ISNUMBER(SEARCH("Rainshadow",'Map 5'!AN11)),ISNUMBER(SEARCH("Flatland",'Map 5'!AN11))),CONCATENATE($AT11, " Rainshadow"),'Map 5'!AN11="Flatland",$AT11,'Map 5'!AN11="Island",CONCATENATE($AT11, " Island"),ISNUMBER(SEARCH("Rainshadow",'Map 5'!AN11)),CONCATENATE($AT11," ",'Map 5'!AN11)),'Map 5'!AN11)</f>
        <v>Ocean</v>
      </c>
      <c r="AO11" s="46" t="str" cm="1">
        <f t="array" aca="1" ref="AO11" ca="1">_xlfn.IFNA(_xlfn.IFS(AND(ISNUMBER(SEARCH("Rainshadow",'Map 5'!AO11)),ISNUMBER(SEARCH("Flatland",'Map 5'!AO11))),CONCATENATE($AT11, " Rainshadow"),'Map 5'!AO11="Flatland",$AT11,'Map 5'!AO11="Island",CONCATENATE($AT11, " Island"),ISNUMBER(SEARCH("Rainshadow",'Map 5'!AO11)),CONCATENATE($AT11," ",'Map 5'!AO11)),'Map 5'!AO11)</f>
        <v>Tundra</v>
      </c>
      <c r="AP11" s="46">
        <f>'Map 5'!AP11</f>
        <v>-34.200000000000003</v>
      </c>
      <c r="AQ11" s="46">
        <f>'Map 5'!AQ11</f>
        <v>-29.56</v>
      </c>
      <c r="AR11" s="46">
        <f>'Map 5'!AS11</f>
        <v>238.95000000000022</v>
      </c>
      <c r="AS11" s="47">
        <f>'Map 5'!AT11</f>
        <v>85.5</v>
      </c>
      <c r="AT11" s="47" t="str">
        <f>'Map 5'!AU11</f>
        <v>Tundra</v>
      </c>
      <c r="AU11" s="47" t="str">
        <f>'Map 5'!AV11</f>
        <v>⤵</v>
      </c>
      <c r="AX11" s="47" t="s">
        <v>36</v>
      </c>
    </row>
    <row r="12" spans="1:50" ht="18.75" customHeight="1">
      <c r="A12" s="46">
        <v>3</v>
      </c>
      <c r="B12" s="46" t="str" cm="1">
        <f t="array" aca="1" ref="B12" ca="1">_xlfn.IFNA(_xlfn.IFS(AND(ISNUMBER(SEARCH("Rainshadow",'Map 5'!B12)),ISNUMBER(SEARCH("Flatland",'Map 5'!B12))),CONCATENATE($AT12, " Rainshadow"),'Map 5'!B12="Flatland",$AT12,'Map 5'!B12="Island",CONCATENATE($AT12, " Island"),ISNUMBER(SEARCH("Rainshadow",'Map 5'!B12)),CONCATENATE($AT12," ",'Map 5'!B12)),'Map 5'!B12)</f>
        <v>Ocean</v>
      </c>
      <c r="C12" s="46" t="str" cm="1">
        <f t="array" aca="1" ref="C12" ca="1">_xlfn.IFNA(_xlfn.IFS(AND(ISNUMBER(SEARCH("Rainshadow",'Map 5'!C12)),ISNUMBER(SEARCH("Flatland",'Map 5'!C12))),CONCATENATE($AT12, " Rainshadow"),'Map 5'!C12="Flatland",$AT12,'Map 5'!C12="Island",CONCATENATE($AT12, " Island"),ISNUMBER(SEARCH("Rainshadow",'Map 5'!C12)),CONCATENATE($AT12," ",'Map 5'!C12)),'Map 5'!C12)</f>
        <v>Coast</v>
      </c>
      <c r="D12" s="46" t="str" cm="1">
        <f t="array" aca="1" ref="D12" ca="1">_xlfn.IFNA(_xlfn.IFS(AND(ISNUMBER(SEARCH("Rainshadow",'Map 5'!D12)),ISNUMBER(SEARCH("Flatland",'Map 5'!D12))),CONCATENATE($AT12, " Rainshadow"),'Map 5'!D12="Flatland",$AT12,'Map 5'!D12="Island",CONCATENATE($AT12, " Island"),ISNUMBER(SEARCH("Rainshadow",'Map 5'!D12)),CONCATENATE($AT12," ",'Map 5'!D12)),'Map 5'!D12)</f>
        <v>Tundra</v>
      </c>
      <c r="E12" s="46" t="str" cm="1">
        <f t="array" aca="1" ref="E12" ca="1">_xlfn.IFNA(_xlfn.IFS(AND(ISNUMBER(SEARCH("Rainshadow",'Map 5'!E12)),ISNUMBER(SEARCH("Flatland",'Map 5'!E12))),CONCATENATE($AT12, " Rainshadow"),'Map 5'!E12="Flatland",$AT12,'Map 5'!E12="Island",CONCATENATE($AT12, " Island"),ISNUMBER(SEARCH("Rainshadow",'Map 5'!E12)),CONCATENATE($AT12," ",'Map 5'!E12)),'Map 5'!E12)</f>
        <v>Tundra</v>
      </c>
      <c r="F12" s="46" t="str" cm="1">
        <f t="array" aca="1" ref="F12" ca="1">_xlfn.IFNA(_xlfn.IFS(AND(ISNUMBER(SEARCH("Rainshadow",'Map 5'!F12)),ISNUMBER(SEARCH("Flatland",'Map 5'!F12))),CONCATENATE($AT12, " Rainshadow"),'Map 5'!F12="Flatland",$AT12,'Map 5'!F12="Island",CONCATENATE($AT12, " Island"),ISNUMBER(SEARCH("Rainshadow",'Map 5'!F12)),CONCATENATE($AT12," ",'Map 5'!F12)),'Map 5'!F12)</f>
        <v>Coast</v>
      </c>
      <c r="G12" s="46" t="str" cm="1">
        <f t="array" aca="1" ref="G12" ca="1">_xlfn.IFNA(_xlfn.IFS(AND(ISNUMBER(SEARCH("Rainshadow",'Map 5'!G12)),ISNUMBER(SEARCH("Flatland",'Map 5'!G12))),CONCATENATE($AT12, " Rainshadow"),'Map 5'!G12="Flatland",$AT12,'Map 5'!G12="Island",CONCATENATE($AT12, " Island"),ISNUMBER(SEARCH("Rainshadow",'Map 5'!G12)),CONCATENATE($AT12," ",'Map 5'!G12)),'Map 5'!G12)</f>
        <v>Tundra Island</v>
      </c>
      <c r="H12" s="46" t="str" cm="1">
        <f t="array" aca="1" ref="H12" ca="1">_xlfn.IFNA(_xlfn.IFS(AND(ISNUMBER(SEARCH("Rainshadow",'Map 5'!H12)),ISNUMBER(SEARCH("Flatland",'Map 5'!H12))),CONCATENATE($AT12, " Rainshadow"),'Map 5'!H12="Flatland",$AT12,'Map 5'!H12="Island",CONCATENATE($AT12, " Island"),ISNUMBER(SEARCH("Rainshadow",'Map 5'!H12)),CONCATENATE($AT12," ",'Map 5'!H12)),'Map 5'!H12)</f>
        <v>Ocean</v>
      </c>
      <c r="I12" s="46" t="str" cm="1">
        <f t="array" aca="1" ref="I12" ca="1">_xlfn.IFNA(_xlfn.IFS(AND(ISNUMBER(SEARCH("Rainshadow",'Map 5'!I12)),ISNUMBER(SEARCH("Flatland",'Map 5'!I12))),CONCATENATE($AT12, " Rainshadow"),'Map 5'!I12="Flatland",$AT12,'Map 5'!I12="Island",CONCATENATE($AT12, " Island"),ISNUMBER(SEARCH("Rainshadow",'Map 5'!I12)),CONCATENATE($AT12," ",'Map 5'!I12)),'Map 5'!I12)</f>
        <v>Ocean</v>
      </c>
      <c r="J12" s="46" t="str" cm="1">
        <f t="array" aca="1" ref="J12" ca="1">_xlfn.IFNA(_xlfn.IFS(AND(ISNUMBER(SEARCH("Rainshadow",'Map 5'!J12)),ISNUMBER(SEARCH("Flatland",'Map 5'!J12))),CONCATENATE($AT12, " Rainshadow"),'Map 5'!J12="Flatland",$AT12,'Map 5'!J12="Island",CONCATENATE($AT12, " Island"),ISNUMBER(SEARCH("Rainshadow",'Map 5'!J12)),CONCATENATE($AT12," ",'Map 5'!J12)),'Map 5'!J12)</f>
        <v>Ocean</v>
      </c>
      <c r="K12" s="46" t="str" cm="1">
        <f t="array" aca="1" ref="K12" ca="1">_xlfn.IFNA(_xlfn.IFS(AND(ISNUMBER(SEARCH("Rainshadow",'Map 5'!K12)),ISNUMBER(SEARCH("Flatland",'Map 5'!K12))),CONCATENATE($AT12, " Rainshadow"),'Map 5'!K12="Flatland",$AT12,'Map 5'!K12="Island",CONCATENATE($AT12, " Island"),ISNUMBER(SEARCH("Rainshadow",'Map 5'!K12)),CONCATENATE($AT12," ",'Map 5'!K12)),'Map 5'!K12)</f>
        <v>Trench</v>
      </c>
      <c r="L12" s="46" t="str" cm="1">
        <f t="array" aca="1" ref="L12" ca="1">_xlfn.IFNA(_xlfn.IFS(AND(ISNUMBER(SEARCH("Rainshadow",'Map 5'!L12)),ISNUMBER(SEARCH("Flatland",'Map 5'!L12))),CONCATENATE($AT12, " Rainshadow"),'Map 5'!L12="Flatland",$AT12,'Map 5'!L12="Island",CONCATENATE($AT12, " Island"),ISNUMBER(SEARCH("Rainshadow",'Map 5'!L12)),CONCATENATE($AT12," ",'Map 5'!L12)),'Map 5'!L12)</f>
        <v>Trench</v>
      </c>
      <c r="M12" s="46" t="str" cm="1">
        <f t="array" aca="1" ref="M12" ca="1">_xlfn.IFNA(_xlfn.IFS(AND(ISNUMBER(SEARCH("Rainshadow",'Map 5'!M12)),ISNUMBER(SEARCH("Flatland",'Map 5'!M12))),CONCATENATE($AT12, " Rainshadow"),'Map 5'!M12="Flatland",$AT12,'Map 5'!M12="Island",CONCATENATE($AT12, " Island"),ISNUMBER(SEARCH("Rainshadow",'Map 5'!M12)),CONCATENATE($AT12," ",'Map 5'!M12)),'Map 5'!M12)</f>
        <v>Ocean</v>
      </c>
      <c r="N12" s="46" t="str" cm="1">
        <f t="array" aca="1" ref="N12" ca="1">_xlfn.IFNA(_xlfn.IFS(AND(ISNUMBER(SEARCH("Rainshadow",'Map 5'!N12)),ISNUMBER(SEARCH("Flatland",'Map 5'!N12))),CONCATENATE($AT12, " Rainshadow"),'Map 5'!N12="Flatland",$AT12,'Map 5'!N12="Island",CONCATENATE($AT12, " Island"),ISNUMBER(SEARCH("Rainshadow",'Map 5'!N12)),CONCATENATE($AT12," ",'Map 5'!N12)),'Map 5'!N12)</f>
        <v>Ocean</v>
      </c>
      <c r="O12" s="46" t="str" cm="1">
        <f t="array" aca="1" ref="O12" ca="1">_xlfn.IFNA(_xlfn.IFS(AND(ISNUMBER(SEARCH("Rainshadow",'Map 5'!O12)),ISNUMBER(SEARCH("Flatland",'Map 5'!O12))),CONCATENATE($AT12, " Rainshadow"),'Map 5'!O12="Flatland",$AT12,'Map 5'!O12="Island",CONCATENATE($AT12, " Island"),ISNUMBER(SEARCH("Rainshadow",'Map 5'!O12)),CONCATENATE($AT12," ",'Map 5'!O12)),'Map 5'!O12)</f>
        <v>Ocean</v>
      </c>
      <c r="P12" s="46" t="str" cm="1">
        <f t="array" aca="1" ref="P12" ca="1">_xlfn.IFNA(_xlfn.IFS(AND(ISNUMBER(SEARCH("Rainshadow",'Map 5'!P12)),ISNUMBER(SEARCH("Flatland",'Map 5'!P12))),CONCATENATE($AT12, " Rainshadow"),'Map 5'!P12="Flatland",$AT12,'Map 5'!P12="Island",CONCATENATE($AT12, " Island"),ISNUMBER(SEARCH("Rainshadow",'Map 5'!P12)),CONCATENATE($AT12," ",'Map 5'!P12)),'Map 5'!P12)</f>
        <v>Ocean</v>
      </c>
      <c r="Q12" s="46" t="str" cm="1">
        <f t="array" aca="1" ref="Q12" ca="1">_xlfn.IFNA(_xlfn.IFS(AND(ISNUMBER(SEARCH("Rainshadow",'Map 5'!Q12)),ISNUMBER(SEARCH("Flatland",'Map 5'!Q12))),CONCATENATE($AT12, " Rainshadow"),'Map 5'!Q12="Flatland",$AT12,'Map 5'!Q12="Island",CONCATENATE($AT12, " Island"),ISNUMBER(SEARCH("Rainshadow",'Map 5'!Q12)),CONCATENATE($AT12," ",'Map 5'!Q12)),'Map 5'!Q12)</f>
        <v>Ocean</v>
      </c>
      <c r="R12" s="46" t="str" cm="1">
        <f t="array" aca="1" ref="R12" ca="1">_xlfn.IFNA(_xlfn.IFS(AND(ISNUMBER(SEARCH("Rainshadow",'Map 5'!R12)),ISNUMBER(SEARCH("Flatland",'Map 5'!R12))),CONCATENATE($AT12, " Rainshadow"),'Map 5'!R12="Flatland",$AT12,'Map 5'!R12="Island",CONCATENATE($AT12, " Island"),ISNUMBER(SEARCH("Rainshadow",'Map 5'!R12)),CONCATENATE($AT12," ",'Map 5'!R12)),'Map 5'!R12)</f>
        <v>Ocean</v>
      </c>
      <c r="S12" s="46" t="str" cm="1">
        <f t="array" aca="1" ref="S12" ca="1">_xlfn.IFNA(_xlfn.IFS(AND(ISNUMBER(SEARCH("Rainshadow",'Map 5'!S12)),ISNUMBER(SEARCH("Flatland",'Map 5'!S12))),CONCATENATE($AT12, " Rainshadow"),'Map 5'!S12="Flatland",$AT12,'Map 5'!S12="Island",CONCATENATE($AT12, " Island"),ISNUMBER(SEARCH("Rainshadow",'Map 5'!S12)),CONCATENATE($AT12," ",'Map 5'!S12)),'Map 5'!S12)</f>
        <v>Ocean</v>
      </c>
      <c r="T12" s="46" t="str" cm="1">
        <f t="array" aca="1" ref="T12" ca="1">_xlfn.IFNA(_xlfn.IFS(AND(ISNUMBER(SEARCH("Rainshadow",'Map 5'!T12)),ISNUMBER(SEARCH("Flatland",'Map 5'!T12))),CONCATENATE($AT12, " Rainshadow"),'Map 5'!T12="Flatland",$AT12,'Map 5'!T12="Island",CONCATENATE($AT12, " Island"),ISNUMBER(SEARCH("Rainshadow",'Map 5'!T12)),CONCATENATE($AT12," ",'Map 5'!T12)),'Map 5'!T12)</f>
        <v>Ocean</v>
      </c>
      <c r="U12" s="46" t="str" cm="1">
        <f t="array" aca="1" ref="U12" ca="1">_xlfn.IFNA(_xlfn.IFS(AND(ISNUMBER(SEARCH("Rainshadow",'Map 5'!U12)),ISNUMBER(SEARCH("Flatland",'Map 5'!U12))),CONCATENATE($AT12, " Rainshadow"),'Map 5'!U12="Flatland",$AT12,'Map 5'!U12="Island",CONCATENATE($AT12, " Island"),ISNUMBER(SEARCH("Rainshadow",'Map 5'!U12)),CONCATENATE($AT12," ",'Map 5'!U12)),'Map 5'!U12)</f>
        <v>Ocean</v>
      </c>
      <c r="V12" s="46" t="str" cm="1">
        <f t="array" aca="1" ref="V12" ca="1">_xlfn.IFNA(_xlfn.IFS(AND(ISNUMBER(SEARCH("Rainshadow",'Map 5'!V12)),ISNUMBER(SEARCH("Flatland",'Map 5'!V12))),CONCATENATE($AT12, " Rainshadow"),'Map 5'!V12="Flatland",$AT12,'Map 5'!V12="Island",CONCATENATE($AT12, " Island"),ISNUMBER(SEARCH("Rainshadow",'Map 5'!V12)),CONCATENATE($AT12," ",'Map 5'!V12)),'Map 5'!V12)</f>
        <v>Trench</v>
      </c>
      <c r="W12" s="46" t="str" cm="1">
        <f t="array" aca="1" ref="W12" ca="1">_xlfn.IFNA(_xlfn.IFS(AND(ISNUMBER(SEARCH("Rainshadow",'Map 5'!W12)),ISNUMBER(SEARCH("Flatland",'Map 5'!W12))),CONCATENATE($AT12, " Rainshadow"),'Map 5'!W12="Flatland",$AT12,'Map 5'!W12="Island",CONCATENATE($AT12, " Island"),ISNUMBER(SEARCH("Rainshadow",'Map 5'!W12)),CONCATENATE($AT12," ",'Map 5'!W12)),'Map 5'!W12)</f>
        <v>Ocean</v>
      </c>
      <c r="X12" s="46" t="str" cm="1">
        <f t="array" aca="1" ref="X12" ca="1">_xlfn.IFNA(_xlfn.IFS(AND(ISNUMBER(SEARCH("Rainshadow",'Map 5'!X12)),ISNUMBER(SEARCH("Flatland",'Map 5'!X12))),CONCATENATE($AT12, " Rainshadow"),'Map 5'!X12="Flatland",$AT12,'Map 5'!X12="Island",CONCATENATE($AT12, " Island"),ISNUMBER(SEARCH("Rainshadow",'Map 5'!X12)),CONCATENATE($AT12," ",'Map 5'!X12)),'Map 5'!X12)</f>
        <v>Ocean</v>
      </c>
      <c r="Y12" s="46" t="str" cm="1">
        <f t="array" aca="1" ref="Y12" ca="1">_xlfn.IFNA(_xlfn.IFS(AND(ISNUMBER(SEARCH("Rainshadow",'Map 5'!Y12)),ISNUMBER(SEARCH("Flatland",'Map 5'!Y12))),CONCATENATE($AT12, " Rainshadow"),'Map 5'!Y12="Flatland",$AT12,'Map 5'!Y12="Island",CONCATENATE($AT12, " Island"),ISNUMBER(SEARCH("Rainshadow",'Map 5'!Y12)),CONCATENATE($AT12," ",'Map 5'!Y12)),'Map 5'!Y12)</f>
        <v>Ocean</v>
      </c>
      <c r="Z12" s="46" t="str" cm="1">
        <f t="array" aca="1" ref="Z12" ca="1">_xlfn.IFNA(_xlfn.IFS(AND(ISNUMBER(SEARCH("Rainshadow",'Map 5'!Z12)),ISNUMBER(SEARCH("Flatland",'Map 5'!Z12))),CONCATENATE($AT12, " Rainshadow"),'Map 5'!Z12="Flatland",$AT12,'Map 5'!Z12="Island",CONCATENATE($AT12, " Island"),ISNUMBER(SEARCH("Rainshadow",'Map 5'!Z12)),CONCATENATE($AT12," ",'Map 5'!Z12)),'Map 5'!Z12)</f>
        <v>Ocean</v>
      </c>
      <c r="AA12" s="46" t="str" cm="1">
        <f t="array" aca="1" ref="AA12" ca="1">_xlfn.IFNA(_xlfn.IFS(AND(ISNUMBER(SEARCH("Rainshadow",'Map 5'!AA12)),ISNUMBER(SEARCH("Flatland",'Map 5'!AA12))),CONCATENATE($AT12, " Rainshadow"),'Map 5'!AA12="Flatland",$AT12,'Map 5'!AA12="Island",CONCATENATE($AT12, " Island"),ISNUMBER(SEARCH("Rainshadow",'Map 5'!AA12)),CONCATENATE($AT12," ",'Map 5'!AA12)),'Map 5'!AA12)</f>
        <v>Ocean</v>
      </c>
      <c r="AB12" s="46" t="str" cm="1">
        <f t="array" aca="1" ref="AB12" ca="1">_xlfn.IFNA(_xlfn.IFS(AND(ISNUMBER(SEARCH("Rainshadow",'Map 5'!AB12)),ISNUMBER(SEARCH("Flatland",'Map 5'!AB12))),CONCATENATE($AT12, " Rainshadow"),'Map 5'!AB12="Flatland",$AT12,'Map 5'!AB12="Island",CONCATENATE($AT12, " Island"),ISNUMBER(SEARCH("Rainshadow",'Map 5'!AB12)),CONCATENATE($AT12," ",'Map 5'!AB12)),'Map 5'!AB12)</f>
        <v>Ocean</v>
      </c>
      <c r="AC12" s="46" t="str" cm="1">
        <f t="array" aca="1" ref="AC12" ca="1">_xlfn.IFNA(_xlfn.IFS(AND(ISNUMBER(SEARCH("Rainshadow",'Map 5'!AC12)),ISNUMBER(SEARCH("Flatland",'Map 5'!AC12))),CONCATENATE($AT12, " Rainshadow"),'Map 5'!AC12="Flatland",$AT12,'Map 5'!AC12="Island",CONCATENATE($AT12, " Island"),ISNUMBER(SEARCH("Rainshadow",'Map 5'!AC12)),CONCATENATE($AT12," ",'Map 5'!AC12)),'Map 5'!AC12)</f>
        <v>Ocean</v>
      </c>
      <c r="AD12" s="46" t="str" cm="1">
        <f t="array" aca="1" ref="AD12" ca="1">_xlfn.IFNA(_xlfn.IFS(AND(ISNUMBER(SEARCH("Rainshadow",'Map 5'!AD12)),ISNUMBER(SEARCH("Flatland",'Map 5'!AD12))),CONCATENATE($AT12, " Rainshadow"),'Map 5'!AD12="Flatland",$AT12,'Map 5'!AD12="Island",CONCATENATE($AT12, " Island"),ISNUMBER(SEARCH("Rainshadow",'Map 5'!AD12)),CONCATENATE($AT12," ",'Map 5'!AD12)),'Map 5'!AD12)</f>
        <v>Tundra</v>
      </c>
      <c r="AE12" s="46" t="str" cm="1">
        <f t="array" aca="1" ref="AE12" ca="1">_xlfn.IFNA(_xlfn.IFS(AND(ISNUMBER(SEARCH("Rainshadow",'Map 5'!AE12)),ISNUMBER(SEARCH("Flatland",'Map 5'!AE12))),CONCATENATE($AT12, " Rainshadow"),'Map 5'!AE12="Flatland",$AT12,'Map 5'!AE12="Island",CONCATENATE($AT12, " Island"),ISNUMBER(SEARCH("Rainshadow",'Map 5'!AE12)),CONCATENATE($AT12," ",'Map 5'!AE12)),'Map 5'!AE12)</f>
        <v>Tundra</v>
      </c>
      <c r="AF12" s="46" t="str" cm="1">
        <f t="array" aca="1" ref="AF12" ca="1">_xlfn.IFNA(_xlfn.IFS(AND(ISNUMBER(SEARCH("Rainshadow",'Map 5'!AF12)),ISNUMBER(SEARCH("Flatland",'Map 5'!AF12))),CONCATENATE($AT12, " Rainshadow"),'Map 5'!AF12="Flatland",$AT12,'Map 5'!AF12="Island",CONCATENATE($AT12, " Island"),ISNUMBER(SEARCH("Rainshadow",'Map 5'!AF12)),CONCATENATE($AT12," ",'Map 5'!AF12)),'Map 5'!AF12)</f>
        <v>Tundra</v>
      </c>
      <c r="AG12" s="46" t="str" cm="1">
        <f t="array" aca="1" ref="AG12" ca="1">_xlfn.IFNA(_xlfn.IFS(AND(ISNUMBER(SEARCH("Rainshadow",'Map 5'!AG12)),ISNUMBER(SEARCH("Flatland",'Map 5'!AG12))),CONCATENATE($AT12, " Rainshadow"),'Map 5'!AG12="Flatland",$AT12,'Map 5'!AG12="Island",CONCATENATE($AT12, " Island"),ISNUMBER(SEARCH("Rainshadow",'Map 5'!AG12)),CONCATENATE($AT12," ",'Map 5'!AG12)),'Map 5'!AG12)</f>
        <v>Tundra</v>
      </c>
      <c r="AH12" s="46" t="str" cm="1">
        <f t="array" aca="1" ref="AH12" ca="1">_xlfn.IFNA(_xlfn.IFS(AND(ISNUMBER(SEARCH("Rainshadow",'Map 5'!AH12)),ISNUMBER(SEARCH("Flatland",'Map 5'!AH12))),CONCATENATE($AT12, " Rainshadow"),'Map 5'!AH12="Flatland",$AT12,'Map 5'!AH12="Island",CONCATENATE($AT12, " Island"),ISNUMBER(SEARCH("Rainshadow",'Map 5'!AH12)),CONCATENATE($AT12," ",'Map 5'!AH12)),'Map 5'!AH12)</f>
        <v>Tundra</v>
      </c>
      <c r="AI12" s="46" t="str" cm="1">
        <f t="array" aca="1" ref="AI12" ca="1">_xlfn.IFNA(_xlfn.IFS(AND(ISNUMBER(SEARCH("Rainshadow",'Map 5'!AI12)),ISNUMBER(SEARCH("Flatland",'Map 5'!AI12))),CONCATENATE($AT12, " Rainshadow"),'Map 5'!AI12="Flatland",$AT12,'Map 5'!AI12="Island",CONCATENATE($AT12, " Island"),ISNUMBER(SEARCH("Rainshadow",'Map 5'!AI12)),CONCATENATE($AT12," ",'Map 5'!AI12)),'Map 5'!AI12)</f>
        <v>Tundra</v>
      </c>
      <c r="AJ12" s="46" t="str" cm="1">
        <f t="array" aca="1" ref="AJ12" ca="1">_xlfn.IFNA(_xlfn.IFS(AND(ISNUMBER(SEARCH("Rainshadow",'Map 5'!AJ12)),ISNUMBER(SEARCH("Flatland",'Map 5'!AJ12))),CONCATENATE($AT12, " Rainshadow"),'Map 5'!AJ12="Flatland",$AT12,'Map 5'!AJ12="Island",CONCATENATE($AT12, " Island"),ISNUMBER(SEARCH("Rainshadow",'Map 5'!AJ12)),CONCATENATE($AT12," ",'Map 5'!AJ12)),'Map 5'!AJ12)</f>
        <v>Tundra</v>
      </c>
      <c r="AK12" s="46" t="str" cm="1">
        <f t="array" aca="1" ref="AK12" ca="1">_xlfn.IFNA(_xlfn.IFS(AND(ISNUMBER(SEARCH("Rainshadow",'Map 5'!AK12)),ISNUMBER(SEARCH("Flatland",'Map 5'!AK12))),CONCATENATE($AT12, " Rainshadow"),'Map 5'!AK12="Flatland",$AT12,'Map 5'!AK12="Island",CONCATENATE($AT12, " Island"),ISNUMBER(SEARCH("Rainshadow",'Map 5'!AK12)),CONCATENATE($AT12," ",'Map 5'!AK12)),'Map 5'!AK12)</f>
        <v>Tundra Rainshadow</v>
      </c>
      <c r="AL12" s="46" t="str" cm="1">
        <f t="array" aca="1" ref="AL12" ca="1">_xlfn.IFNA(_xlfn.IFS(AND(ISNUMBER(SEARCH("Rainshadow",'Map 5'!AL12)),ISNUMBER(SEARCH("Flatland",'Map 5'!AL12))),CONCATENATE($AT12, " Rainshadow"),'Map 5'!AL12="Flatland",$AT12,'Map 5'!AL12="Island",CONCATENATE($AT12, " Island"),ISNUMBER(SEARCH("Rainshadow",'Map 5'!AL12)),CONCATENATE($AT12," ",'Map 5'!AL12)),'Map 5'!AL12)</f>
        <v>Tundra</v>
      </c>
      <c r="AM12" s="46" t="str" cm="1">
        <f t="array" aca="1" ref="AM12" ca="1">_xlfn.IFNA(_xlfn.IFS(AND(ISNUMBER(SEARCH("Rainshadow",'Map 5'!AM12)),ISNUMBER(SEARCH("Flatland",'Map 5'!AM12))),CONCATENATE($AT12, " Rainshadow"),'Map 5'!AM12="Flatland",$AT12,'Map 5'!AM12="Island",CONCATENATE($AT12, " Island"),ISNUMBER(SEARCH("Rainshadow",'Map 5'!AM12)),CONCATENATE($AT12," ",'Map 5'!AM12)),'Map 5'!AM12)</f>
        <v>Ocean</v>
      </c>
      <c r="AN12" s="46" t="str" cm="1">
        <f t="array" aca="1" ref="AN12" ca="1">_xlfn.IFNA(_xlfn.IFS(AND(ISNUMBER(SEARCH("Rainshadow",'Map 5'!AN12)),ISNUMBER(SEARCH("Flatland",'Map 5'!AN12))),CONCATENATE($AT12, " Rainshadow"),'Map 5'!AN12="Flatland",$AT12,'Map 5'!AN12="Island",CONCATENATE($AT12, " Island"),ISNUMBER(SEARCH("Rainshadow",'Map 5'!AN12)),CONCATENATE($AT12," ",'Map 5'!AN12)),'Map 5'!AN12)</f>
        <v>Ocean</v>
      </c>
      <c r="AO12" s="46" t="str" cm="1">
        <f t="array" aca="1" ref="AO12" ca="1">_xlfn.IFNA(_xlfn.IFS(AND(ISNUMBER(SEARCH("Rainshadow",'Map 5'!AO12)),ISNUMBER(SEARCH("Flatland",'Map 5'!AO12))),CONCATENATE($AT12, " Rainshadow"),'Map 5'!AO12="Flatland",$AT12,'Map 5'!AO12="Island",CONCATENATE($AT12, " Island"),ISNUMBER(SEARCH("Rainshadow",'Map 5'!AO12)),CONCATENATE($AT12," ",'Map 5'!AO12)),'Map 5'!AO12)</f>
        <v>Coast</v>
      </c>
      <c r="AP12" s="46">
        <f>'Map 5'!AP12</f>
        <v>-27.25</v>
      </c>
      <c r="AQ12" s="46">
        <f>'Map 5'!AQ12</f>
        <v>-17.05</v>
      </c>
      <c r="AR12" s="46">
        <f>'Map 5'!AS12</f>
        <v>245.9000000000002</v>
      </c>
      <c r="AS12" s="47">
        <f>'Map 5'!AT12</f>
        <v>81</v>
      </c>
      <c r="AT12" s="47" t="str">
        <f>'Map 5'!AU12</f>
        <v>Tundra</v>
      </c>
      <c r="AU12" s="47" t="str">
        <f>'Map 5'!AV12</f>
        <v>⤵</v>
      </c>
      <c r="AX12" s="47" t="s">
        <v>38</v>
      </c>
    </row>
    <row r="13" spans="1:50" ht="18.75" customHeight="1">
      <c r="A13" s="46">
        <v>4</v>
      </c>
      <c r="B13" s="46" t="str" cm="1">
        <f t="array" aca="1" ref="B13" ca="1">_xlfn.IFNA(_xlfn.IFS(AND(ISNUMBER(SEARCH("Rainshadow",'Map 5'!B13)),ISNUMBER(SEARCH("Flatland",'Map 5'!B13))),CONCATENATE($AT13, " Rainshadow"),'Map 5'!B13="Flatland",$AT13,'Map 5'!B13="Island",CONCATENATE($AT13, " Island"),ISNUMBER(SEARCH("Rainshadow",'Map 5'!B13)),CONCATENATE($AT13," ",'Map 5'!B13)),'Map 5'!B13)</f>
        <v>Ocean</v>
      </c>
      <c r="C13" s="46" t="str" cm="1">
        <f t="array" aca="1" ref="C13" ca="1">_xlfn.IFNA(_xlfn.IFS(AND(ISNUMBER(SEARCH("Rainshadow",'Map 5'!C13)),ISNUMBER(SEARCH("Flatland",'Map 5'!C13))),CONCATENATE($AT13, " Rainshadow"),'Map 5'!C13="Flatland",$AT13,'Map 5'!C13="Island",CONCATENATE($AT13, " Island"),ISNUMBER(SEARCH("Rainshadow",'Map 5'!C13)),CONCATENATE($AT13," ",'Map 5'!C13)),'Map 5'!C13)</f>
        <v>Forest</v>
      </c>
      <c r="D13" s="46" t="str" cm="1">
        <f t="array" aca="1" ref="D13" ca="1">_xlfn.IFNA(_xlfn.IFS(AND(ISNUMBER(SEARCH("Rainshadow",'Map 5'!D13)),ISNUMBER(SEARCH("Flatland",'Map 5'!D13))),CONCATENATE($AT13, " Rainshadow"),'Map 5'!D13="Flatland",$AT13,'Map 5'!D13="Island",CONCATENATE($AT13, " Island"),ISNUMBER(SEARCH("Rainshadow",'Map 5'!D13)),CONCATENATE($AT13," ",'Map 5'!D13)),'Map 5'!D13)</f>
        <v>Forest</v>
      </c>
      <c r="E13" s="46" t="str" cm="1">
        <f t="array" aca="1" ref="E13" ca="1">_xlfn.IFNA(_xlfn.IFS(AND(ISNUMBER(SEARCH("Rainshadow",'Map 5'!E13)),ISNUMBER(SEARCH("Flatland",'Map 5'!E13))),CONCATENATE($AT13, " Rainshadow"),'Map 5'!E13="Flatland",$AT13,'Map 5'!E13="Island",CONCATENATE($AT13, " Island"),ISNUMBER(SEARCH("Rainshadow",'Map 5'!E13)),CONCATENATE($AT13," ",'Map 5'!E13)),'Map 5'!E13)</f>
        <v>Coast</v>
      </c>
      <c r="F13" s="46" t="str" cm="1">
        <f t="array" aca="1" ref="F13" ca="1">_xlfn.IFNA(_xlfn.IFS(AND(ISNUMBER(SEARCH("Rainshadow",'Map 5'!F13)),ISNUMBER(SEARCH("Flatland",'Map 5'!F13))),CONCATENATE($AT13, " Rainshadow"),'Map 5'!F13="Flatland",$AT13,'Map 5'!F13="Island",CONCATENATE($AT13, " Island"),ISNUMBER(SEARCH("Rainshadow",'Map 5'!F13)),CONCATENATE($AT13," ",'Map 5'!F13)),'Map 5'!F13)</f>
        <v>Ocean</v>
      </c>
      <c r="G13" s="46" t="str" cm="1">
        <f t="array" aca="1" ref="G13" ca="1">_xlfn.IFNA(_xlfn.IFS(AND(ISNUMBER(SEARCH("Rainshadow",'Map 5'!G13)),ISNUMBER(SEARCH("Flatland",'Map 5'!G13))),CONCATENATE($AT13, " Rainshadow"),'Map 5'!G13="Flatland",$AT13,'Map 5'!G13="Island",CONCATENATE($AT13, " Island"),ISNUMBER(SEARCH("Rainshadow",'Map 5'!G13)),CONCATENATE($AT13," ",'Map 5'!G13)),'Map 5'!G13)</f>
        <v>Trench</v>
      </c>
      <c r="H13" s="46" t="str" cm="1">
        <f t="array" aca="1" ref="H13" ca="1">_xlfn.IFNA(_xlfn.IFS(AND(ISNUMBER(SEARCH("Rainshadow",'Map 5'!H13)),ISNUMBER(SEARCH("Flatland",'Map 5'!H13))),CONCATENATE($AT13, " Rainshadow"),'Map 5'!H13="Flatland",$AT13,'Map 5'!H13="Island",CONCATENATE($AT13, " Island"),ISNUMBER(SEARCH("Rainshadow",'Map 5'!H13)),CONCATENATE($AT13," ",'Map 5'!H13)),'Map 5'!H13)</f>
        <v>Forest Island</v>
      </c>
      <c r="I13" s="46" t="str" cm="1">
        <f t="array" aca="1" ref="I13" ca="1">_xlfn.IFNA(_xlfn.IFS(AND(ISNUMBER(SEARCH("Rainshadow",'Map 5'!I13)),ISNUMBER(SEARCH("Flatland",'Map 5'!I13))),CONCATENATE($AT13, " Rainshadow"),'Map 5'!I13="Flatland",$AT13,'Map 5'!I13="Island",CONCATENATE($AT13, " Island"),ISNUMBER(SEARCH("Rainshadow",'Map 5'!I13)),CONCATENATE($AT13," ",'Map 5'!I13)),'Map 5'!I13)</f>
        <v>Ocean</v>
      </c>
      <c r="J13" s="46" t="str" cm="1">
        <f t="array" aca="1" ref="J13" ca="1">_xlfn.IFNA(_xlfn.IFS(AND(ISNUMBER(SEARCH("Rainshadow",'Map 5'!J13)),ISNUMBER(SEARCH("Flatland",'Map 5'!J13))),CONCATENATE($AT13, " Rainshadow"),'Map 5'!J13="Flatland",$AT13,'Map 5'!J13="Island",CONCATENATE($AT13, " Island"),ISNUMBER(SEARCH("Rainshadow",'Map 5'!J13)),CONCATENATE($AT13," ",'Map 5'!J13)),'Map 5'!J13)</f>
        <v>Ocean</v>
      </c>
      <c r="K13" s="46" t="str" cm="1">
        <f t="array" aca="1" ref="K13" ca="1">_xlfn.IFNA(_xlfn.IFS(AND(ISNUMBER(SEARCH("Rainshadow",'Map 5'!K13)),ISNUMBER(SEARCH("Flatland",'Map 5'!K13))),CONCATENATE($AT13, " Rainshadow"),'Map 5'!K13="Flatland",$AT13,'Map 5'!K13="Island",CONCATENATE($AT13, " Island"),ISNUMBER(SEARCH("Rainshadow",'Map 5'!K13)),CONCATENATE($AT13," ",'Map 5'!K13)),'Map 5'!K13)</f>
        <v>Ocean</v>
      </c>
      <c r="L13" s="46" t="str" cm="1">
        <f t="array" aca="1" ref="L13" ca="1">_xlfn.IFNA(_xlfn.IFS(AND(ISNUMBER(SEARCH("Rainshadow",'Map 5'!L13)),ISNUMBER(SEARCH("Flatland",'Map 5'!L13))),CONCATENATE($AT13, " Rainshadow"),'Map 5'!L13="Flatland",$AT13,'Map 5'!L13="Island",CONCATENATE($AT13, " Island"),ISNUMBER(SEARCH("Rainshadow",'Map 5'!L13)),CONCATENATE($AT13," ",'Map 5'!L13)),'Map 5'!L13)</f>
        <v>Trench</v>
      </c>
      <c r="M13" s="46" t="str" cm="1">
        <f t="array" aca="1" ref="M13" ca="1">_xlfn.IFNA(_xlfn.IFS(AND(ISNUMBER(SEARCH("Rainshadow",'Map 5'!M13)),ISNUMBER(SEARCH("Flatland",'Map 5'!M13))),CONCATENATE($AT13, " Rainshadow"),'Map 5'!M13="Flatland",$AT13,'Map 5'!M13="Island",CONCATENATE($AT13, " Island"),ISNUMBER(SEARCH("Rainshadow",'Map 5'!M13)),CONCATENATE($AT13," ",'Map 5'!M13)),'Map 5'!M13)</f>
        <v>Ocean</v>
      </c>
      <c r="N13" s="46" t="str" cm="1">
        <f t="array" aca="1" ref="N13" ca="1">_xlfn.IFNA(_xlfn.IFS(AND(ISNUMBER(SEARCH("Rainshadow",'Map 5'!N13)),ISNUMBER(SEARCH("Flatland",'Map 5'!N13))),CONCATENATE($AT13, " Rainshadow"),'Map 5'!N13="Flatland",$AT13,'Map 5'!N13="Island",CONCATENATE($AT13, " Island"),ISNUMBER(SEARCH("Rainshadow",'Map 5'!N13)),CONCATENATE($AT13," ",'Map 5'!N13)),'Map 5'!N13)</f>
        <v>Ocean</v>
      </c>
      <c r="O13" s="46" t="str" cm="1">
        <f t="array" aca="1" ref="O13" ca="1">_xlfn.IFNA(_xlfn.IFS(AND(ISNUMBER(SEARCH("Rainshadow",'Map 5'!O13)),ISNUMBER(SEARCH("Flatland",'Map 5'!O13))),CONCATENATE($AT13, " Rainshadow"),'Map 5'!O13="Flatland",$AT13,'Map 5'!O13="Island",CONCATENATE($AT13, " Island"),ISNUMBER(SEARCH("Rainshadow",'Map 5'!O13)),CONCATENATE($AT13," ",'Map 5'!O13)),'Map 5'!O13)</f>
        <v>Ocean</v>
      </c>
      <c r="P13" s="46" t="str" cm="1">
        <f t="array" aca="1" ref="P13" ca="1">_xlfn.IFNA(_xlfn.IFS(AND(ISNUMBER(SEARCH("Rainshadow",'Map 5'!P13)),ISNUMBER(SEARCH("Flatland",'Map 5'!P13))),CONCATENATE($AT13, " Rainshadow"),'Map 5'!P13="Flatland",$AT13,'Map 5'!P13="Island",CONCATENATE($AT13, " Island"),ISNUMBER(SEARCH("Rainshadow",'Map 5'!P13)),CONCATENATE($AT13," ",'Map 5'!P13)),'Map 5'!P13)</f>
        <v>Trench</v>
      </c>
      <c r="Q13" s="46" t="str" cm="1">
        <f t="array" aca="1" ref="Q13" ca="1">_xlfn.IFNA(_xlfn.IFS(AND(ISNUMBER(SEARCH("Rainshadow",'Map 5'!Q13)),ISNUMBER(SEARCH("Flatland",'Map 5'!Q13))),CONCATENATE($AT13, " Rainshadow"),'Map 5'!Q13="Flatland",$AT13,'Map 5'!Q13="Island",CONCATENATE($AT13, " Island"),ISNUMBER(SEARCH("Rainshadow",'Map 5'!Q13)),CONCATENATE($AT13," ",'Map 5'!Q13)),'Map 5'!Q13)</f>
        <v>Ocean</v>
      </c>
      <c r="R13" s="46" t="str" cm="1">
        <f t="array" aca="1" ref="R13" ca="1">_xlfn.IFNA(_xlfn.IFS(AND(ISNUMBER(SEARCH("Rainshadow",'Map 5'!R13)),ISNUMBER(SEARCH("Flatland",'Map 5'!R13))),CONCATENATE($AT13, " Rainshadow"),'Map 5'!R13="Flatland",$AT13,'Map 5'!R13="Island",CONCATENATE($AT13, " Island"),ISNUMBER(SEARCH("Rainshadow",'Map 5'!R13)),CONCATENATE($AT13," ",'Map 5'!R13)),'Map 5'!R13)</f>
        <v>Trench</v>
      </c>
      <c r="S13" s="46" t="str" cm="1">
        <f t="array" aca="1" ref="S13" ca="1">_xlfn.IFNA(_xlfn.IFS(AND(ISNUMBER(SEARCH("Rainshadow",'Map 5'!S13)),ISNUMBER(SEARCH("Flatland",'Map 5'!S13))),CONCATENATE($AT13, " Rainshadow"),'Map 5'!S13="Flatland",$AT13,'Map 5'!S13="Island",CONCATENATE($AT13, " Island"),ISNUMBER(SEARCH("Rainshadow",'Map 5'!S13)),CONCATENATE($AT13," ",'Map 5'!S13)),'Map 5'!S13)</f>
        <v>Ocean</v>
      </c>
      <c r="T13" s="46" t="str" cm="1">
        <f t="array" aca="1" ref="T13" ca="1">_xlfn.IFNA(_xlfn.IFS(AND(ISNUMBER(SEARCH("Rainshadow",'Map 5'!T13)),ISNUMBER(SEARCH("Flatland",'Map 5'!T13))),CONCATENATE($AT13, " Rainshadow"),'Map 5'!T13="Flatland",$AT13,'Map 5'!T13="Island",CONCATENATE($AT13, " Island"),ISNUMBER(SEARCH("Rainshadow",'Map 5'!T13)),CONCATENATE($AT13," ",'Map 5'!T13)),'Map 5'!T13)</f>
        <v>Ocean</v>
      </c>
      <c r="U13" s="46" t="str" cm="1">
        <f t="array" aca="1" ref="U13" ca="1">_xlfn.IFNA(_xlfn.IFS(AND(ISNUMBER(SEARCH("Rainshadow",'Map 5'!U13)),ISNUMBER(SEARCH("Flatland",'Map 5'!U13))),CONCATENATE($AT13, " Rainshadow"),'Map 5'!U13="Flatland",$AT13,'Map 5'!U13="Island",CONCATENATE($AT13, " Island"),ISNUMBER(SEARCH("Rainshadow",'Map 5'!U13)),CONCATENATE($AT13," ",'Map 5'!U13)),'Map 5'!U13)</f>
        <v>Ocean</v>
      </c>
      <c r="V13" s="46" t="str" cm="1">
        <f t="array" aca="1" ref="V13" ca="1">_xlfn.IFNA(_xlfn.IFS(AND(ISNUMBER(SEARCH("Rainshadow",'Map 5'!V13)),ISNUMBER(SEARCH("Flatland",'Map 5'!V13))),CONCATENATE($AT13, " Rainshadow"),'Map 5'!V13="Flatland",$AT13,'Map 5'!V13="Island",CONCATENATE($AT13, " Island"),ISNUMBER(SEARCH("Rainshadow",'Map 5'!V13)),CONCATENATE($AT13," ",'Map 5'!V13)),'Map 5'!V13)</f>
        <v>Ocean</v>
      </c>
      <c r="W13" s="46" t="str" cm="1">
        <f t="array" aca="1" ref="W13" ca="1">_xlfn.IFNA(_xlfn.IFS(AND(ISNUMBER(SEARCH("Rainshadow",'Map 5'!W13)),ISNUMBER(SEARCH("Flatland",'Map 5'!W13))),CONCATENATE($AT13, " Rainshadow"),'Map 5'!W13="Flatland",$AT13,'Map 5'!W13="Island",CONCATENATE($AT13, " Island"),ISNUMBER(SEARCH("Rainshadow",'Map 5'!W13)),CONCATENATE($AT13," ",'Map 5'!W13)),'Map 5'!W13)</f>
        <v>Ocean</v>
      </c>
      <c r="X13" s="46" t="str" cm="1">
        <f t="array" aca="1" ref="X13" ca="1">_xlfn.IFNA(_xlfn.IFS(AND(ISNUMBER(SEARCH("Rainshadow",'Map 5'!X13)),ISNUMBER(SEARCH("Flatland",'Map 5'!X13))),CONCATENATE($AT13, " Rainshadow"),'Map 5'!X13="Flatland",$AT13,'Map 5'!X13="Island",CONCATENATE($AT13, " Island"),ISNUMBER(SEARCH("Rainshadow",'Map 5'!X13)),CONCATENATE($AT13," ",'Map 5'!X13)),'Map 5'!X13)</f>
        <v>Ocean</v>
      </c>
      <c r="Y13" s="46" t="str" cm="1">
        <f t="array" aca="1" ref="Y13" ca="1">_xlfn.IFNA(_xlfn.IFS(AND(ISNUMBER(SEARCH("Rainshadow",'Map 5'!Y13)),ISNUMBER(SEARCH("Flatland",'Map 5'!Y13))),CONCATENATE($AT13, " Rainshadow"),'Map 5'!Y13="Flatland",$AT13,'Map 5'!Y13="Island",CONCATENATE($AT13, " Island"),ISNUMBER(SEARCH("Rainshadow",'Map 5'!Y13)),CONCATENATE($AT13," ",'Map 5'!Y13)),'Map 5'!Y13)</f>
        <v>Ocean</v>
      </c>
      <c r="Z13" s="46" t="str" cm="1">
        <f t="array" aca="1" ref="Z13" ca="1">_xlfn.IFNA(_xlfn.IFS(AND(ISNUMBER(SEARCH("Rainshadow",'Map 5'!Z13)),ISNUMBER(SEARCH("Flatland",'Map 5'!Z13))),CONCATENATE($AT13, " Rainshadow"),'Map 5'!Z13="Flatland",$AT13,'Map 5'!Z13="Island",CONCATENATE($AT13, " Island"),ISNUMBER(SEARCH("Rainshadow",'Map 5'!Z13)),CONCATENATE($AT13," ",'Map 5'!Z13)),'Map 5'!Z13)</f>
        <v>Ocean</v>
      </c>
      <c r="AA13" s="46" t="str" cm="1">
        <f t="array" aca="1" ref="AA13" ca="1">_xlfn.IFNA(_xlfn.IFS(AND(ISNUMBER(SEARCH("Rainshadow",'Map 5'!AA13)),ISNUMBER(SEARCH("Flatland",'Map 5'!AA13))),CONCATENATE($AT13, " Rainshadow"),'Map 5'!AA13="Flatland",$AT13,'Map 5'!AA13="Island",CONCATENATE($AT13, " Island"),ISNUMBER(SEARCH("Rainshadow",'Map 5'!AA13)),CONCATENATE($AT13," ",'Map 5'!AA13)),'Map 5'!AA13)</f>
        <v>Ocean</v>
      </c>
      <c r="AB13" s="46" t="str" cm="1">
        <f t="array" aca="1" ref="AB13" ca="1">_xlfn.IFNA(_xlfn.IFS(AND(ISNUMBER(SEARCH("Rainshadow",'Map 5'!AB13)),ISNUMBER(SEARCH("Flatland",'Map 5'!AB13))),CONCATENATE($AT13, " Rainshadow"),'Map 5'!AB13="Flatland",$AT13,'Map 5'!AB13="Island",CONCATENATE($AT13, " Island"),ISNUMBER(SEARCH("Rainshadow",'Map 5'!AB13)),CONCATENATE($AT13," ",'Map 5'!AB13)),'Map 5'!AB13)</f>
        <v>Ocean</v>
      </c>
      <c r="AC13" s="46" t="str" cm="1">
        <f t="array" aca="1" ref="AC13" ca="1">_xlfn.IFNA(_xlfn.IFS(AND(ISNUMBER(SEARCH("Rainshadow",'Map 5'!AC13)),ISNUMBER(SEARCH("Flatland",'Map 5'!AC13))),CONCATENATE($AT13, " Rainshadow"),'Map 5'!AC13="Flatland",$AT13,'Map 5'!AC13="Island",CONCATENATE($AT13, " Island"),ISNUMBER(SEARCH("Rainshadow",'Map 5'!AC13)),CONCATENATE($AT13," ",'Map 5'!AC13)),'Map 5'!AC13)</f>
        <v>Ocean</v>
      </c>
      <c r="AD13" s="46" t="str" cm="1">
        <f t="array" aca="1" ref="AD13" ca="1">_xlfn.IFNA(_xlfn.IFS(AND(ISNUMBER(SEARCH("Rainshadow",'Map 5'!AD13)),ISNUMBER(SEARCH("Flatland",'Map 5'!AD13))),CONCATENATE($AT13, " Rainshadow"),'Map 5'!AD13="Flatland",$AT13,'Map 5'!AD13="Island",CONCATENATE($AT13, " Island"),ISNUMBER(SEARCH("Rainshadow",'Map 5'!AD13)),CONCATENATE($AT13," ",'Map 5'!AD13)),'Map 5'!AD13)</f>
        <v>Coast</v>
      </c>
      <c r="AE13" s="46" t="str" cm="1">
        <f t="array" aca="1" ref="AE13" ca="1">_xlfn.IFNA(_xlfn.IFS(AND(ISNUMBER(SEARCH("Rainshadow",'Map 5'!AE13)),ISNUMBER(SEARCH("Flatland",'Map 5'!AE13))),CONCATENATE($AT13, " Rainshadow"),'Map 5'!AE13="Flatland",$AT13,'Map 5'!AE13="Island",CONCATENATE($AT13, " Island"),ISNUMBER(SEARCH("Rainshadow",'Map 5'!AE13)),CONCATENATE($AT13," ",'Map 5'!AE13)),'Map 5'!AE13)</f>
        <v>Cliff</v>
      </c>
      <c r="AF13" s="46" t="str" cm="1">
        <f t="array" aca="1" ref="AF13" ca="1">_xlfn.IFNA(_xlfn.IFS(AND(ISNUMBER(SEARCH("Rainshadow",'Map 5'!AF13)),ISNUMBER(SEARCH("Flatland",'Map 5'!AF13))),CONCATENATE($AT13, " Rainshadow"),'Map 5'!AF13="Flatland",$AT13,'Map 5'!AF13="Island",CONCATENATE($AT13, " Island"),ISNUMBER(SEARCH("Rainshadow",'Map 5'!AF13)),CONCATENATE($AT13," ",'Map 5'!AF13)),'Map 5'!AF13)</f>
        <v>Forest</v>
      </c>
      <c r="AG13" s="46" t="str" cm="1">
        <f t="array" aca="1" ref="AG13" ca="1">_xlfn.IFNA(_xlfn.IFS(AND(ISNUMBER(SEARCH("Rainshadow",'Map 5'!AG13)),ISNUMBER(SEARCH("Flatland",'Map 5'!AG13))),CONCATENATE($AT13, " Rainshadow"),'Map 5'!AG13="Flatland",$AT13,'Map 5'!AG13="Island",CONCATENATE($AT13, " Island"),ISNUMBER(SEARCH("Rainshadow",'Map 5'!AG13)),CONCATENATE($AT13," ",'Map 5'!AG13)),'Map 5'!AG13)</f>
        <v>Forest</v>
      </c>
      <c r="AH13" s="46" t="str" cm="1">
        <f t="array" aca="1" ref="AH13" ca="1">_xlfn.IFNA(_xlfn.IFS(AND(ISNUMBER(SEARCH("Rainshadow",'Map 5'!AH13)),ISNUMBER(SEARCH("Flatland",'Map 5'!AH13))),CONCATENATE($AT13, " Rainshadow"),'Map 5'!AH13="Flatland",$AT13,'Map 5'!AH13="Island",CONCATENATE($AT13, " Island"),ISNUMBER(SEARCH("Rainshadow",'Map 5'!AH13)),CONCATENATE($AT13," ",'Map 5'!AH13)),'Map 5'!AH13)</f>
        <v>Forest</v>
      </c>
      <c r="AI13" s="46" t="str" cm="1">
        <f t="array" aca="1" ref="AI13" ca="1">_xlfn.IFNA(_xlfn.IFS(AND(ISNUMBER(SEARCH("Rainshadow",'Map 5'!AI13)),ISNUMBER(SEARCH("Flatland",'Map 5'!AI13))),CONCATENATE($AT13, " Rainshadow"),'Map 5'!AI13="Flatland",$AT13,'Map 5'!AI13="Island",CONCATENATE($AT13, " Island"),ISNUMBER(SEARCH("Rainshadow",'Map 5'!AI13)),CONCATENATE($AT13," ",'Map 5'!AI13)),'Map 5'!AI13)</f>
        <v>Forest</v>
      </c>
      <c r="AJ13" s="46" t="str" cm="1">
        <f t="array" aca="1" ref="AJ13" ca="1">_xlfn.IFNA(_xlfn.IFS(AND(ISNUMBER(SEARCH("Rainshadow",'Map 5'!AJ13)),ISNUMBER(SEARCH("Flatland",'Map 5'!AJ13))),CONCATENATE($AT13, " Rainshadow"),'Map 5'!AJ13="Flatland",$AT13,'Map 5'!AJ13="Island",CONCATENATE($AT13, " Island"),ISNUMBER(SEARCH("Rainshadow",'Map 5'!AJ13)),CONCATENATE($AT13," ",'Map 5'!AJ13)),'Map 5'!AJ13)</f>
        <v>Forest</v>
      </c>
      <c r="AK13" s="46" t="str" cm="1">
        <f t="array" aca="1" ref="AK13" ca="1">_xlfn.IFNA(_xlfn.IFS(AND(ISNUMBER(SEARCH("Rainshadow",'Map 5'!AK13)),ISNUMBER(SEARCH("Flatland",'Map 5'!AK13))),CONCATENATE($AT13, " Rainshadow"),'Map 5'!AK13="Flatland",$AT13,'Map 5'!AK13="Island",CONCATENATE($AT13, " Island"),ISNUMBER(SEARCH("Rainshadow",'Map 5'!AK13)),CONCATENATE($AT13," ",'Map 5'!AK13)),'Map 5'!AK13)</f>
        <v>Mountain</v>
      </c>
      <c r="AL13" s="46" t="str" cm="1">
        <f t="array" aca="1" ref="AL13" ca="1">_xlfn.IFNA(_xlfn.IFS(AND(ISNUMBER(SEARCH("Rainshadow",'Map 5'!AL13)),ISNUMBER(SEARCH("Flatland",'Map 5'!AL13))),CONCATENATE($AT13, " Rainshadow"),'Map 5'!AL13="Flatland",$AT13,'Map 5'!AL13="Island",CONCATENATE($AT13, " Island"),ISNUMBER(SEARCH("Rainshadow",'Map 5'!AL13)),CONCATENATE($AT13," ",'Map 5'!AL13)),'Map 5'!AL13)</f>
        <v>Valley</v>
      </c>
      <c r="AM13" s="46" t="str" cm="1">
        <f t="array" aca="1" ref="AM13" ca="1">_xlfn.IFNA(_xlfn.IFS(AND(ISNUMBER(SEARCH("Rainshadow",'Map 5'!AM13)),ISNUMBER(SEARCH("Flatland",'Map 5'!AM13))),CONCATENATE($AT13, " Rainshadow"),'Map 5'!AM13="Flatland",$AT13,'Map 5'!AM13="Island",CONCATENATE($AT13, " Island"),ISNUMBER(SEARCH("Rainshadow",'Map 5'!AM13)),CONCATENATE($AT13," ",'Map 5'!AM13)),'Map 5'!AM13)</f>
        <v>Ocean</v>
      </c>
      <c r="AN13" s="46" t="str" cm="1">
        <f t="array" aca="1" ref="AN13" ca="1">_xlfn.IFNA(_xlfn.IFS(AND(ISNUMBER(SEARCH("Rainshadow",'Map 5'!AN13)),ISNUMBER(SEARCH("Flatland",'Map 5'!AN13))),CONCATENATE($AT13, " Rainshadow"),'Map 5'!AN13="Flatland",$AT13,'Map 5'!AN13="Island",CONCATENATE($AT13, " Island"),ISNUMBER(SEARCH("Rainshadow",'Map 5'!AN13)),CONCATENATE($AT13," ",'Map 5'!AN13)),'Map 5'!AN13)</f>
        <v>Coast</v>
      </c>
      <c r="AO13" s="46" t="str" cm="1">
        <f t="array" aca="1" ref="AO13" ca="1">_xlfn.IFNA(_xlfn.IFS(AND(ISNUMBER(SEARCH("Rainshadow",'Map 5'!AO13)),ISNUMBER(SEARCH("Flatland",'Map 5'!AO13))),CONCATENATE($AT13, " Rainshadow"),'Map 5'!AO13="Flatland",$AT13,'Map 5'!AO13="Island",CONCATENATE($AT13, " Island"),ISNUMBER(SEARCH("Rainshadow",'Map 5'!AO13)),CONCATENATE($AT13," ",'Map 5'!AO13)),'Map 5'!AO13)</f>
        <v>Forest</v>
      </c>
      <c r="AP13" s="46">
        <f>'Map 5'!AP13</f>
        <v>-20.3</v>
      </c>
      <c r="AQ13" s="46">
        <f>'Map 5'!AQ13</f>
        <v>-4.54</v>
      </c>
      <c r="AR13" s="46">
        <f>'Map 5'!AS13</f>
        <v>252.85000000000019</v>
      </c>
      <c r="AS13" s="47">
        <f>'Map 5'!AT13</f>
        <v>76.5</v>
      </c>
      <c r="AT13" s="47" t="str">
        <f>'Map 5'!AU13</f>
        <v>Forest</v>
      </c>
      <c r="AU13" s="47" t="str">
        <f>'Map 5'!AV13</f>
        <v>⤵</v>
      </c>
      <c r="AW13" s="50" t="s">
        <v>18</v>
      </c>
      <c r="AX13" s="47" t="s">
        <v>43</v>
      </c>
    </row>
    <row r="14" spans="1:50" ht="18.75" customHeight="1">
      <c r="A14" s="46">
        <v>5</v>
      </c>
      <c r="B14" s="46" t="str" cm="1">
        <f t="array" aca="1" ref="B14" ca="1">_xlfn.IFNA(_xlfn.IFS(AND(ISNUMBER(SEARCH("Rainshadow",'Map 5'!B14)),ISNUMBER(SEARCH("Flatland",'Map 5'!B14))),CONCATENATE($AT14, " Rainshadow"),'Map 5'!B14="Flatland",$AT14,'Map 5'!B14="Island",CONCATENATE($AT14, " Island"),ISNUMBER(SEARCH("Rainshadow",'Map 5'!B14)),CONCATENATE($AT14," ",'Map 5'!B14)),'Map 5'!B14)</f>
        <v>Ocean</v>
      </c>
      <c r="C14" s="46" t="str" cm="1">
        <f t="array" aca="1" ref="C14" ca="1">_xlfn.IFNA(_xlfn.IFS(AND(ISNUMBER(SEARCH("Rainshadow",'Map 5'!C14)),ISNUMBER(SEARCH("Flatland",'Map 5'!C14))),CONCATENATE($AT14, " Rainshadow"),'Map 5'!C14="Flatland",$AT14,'Map 5'!C14="Island",CONCATENATE($AT14, " Island"),ISNUMBER(SEARCH("Rainshadow",'Map 5'!C14)),CONCATENATE($AT14," ",'Map 5'!C14)),'Map 5'!C14)</f>
        <v>Coast</v>
      </c>
      <c r="D14" s="46" t="str" cm="1">
        <f t="array" aca="1" ref="D14" ca="1">_xlfn.IFNA(_xlfn.IFS(AND(ISNUMBER(SEARCH("Rainshadow",'Map 5'!D14)),ISNUMBER(SEARCH("Flatland",'Map 5'!D14))),CONCATENATE($AT14, " Rainshadow"),'Map 5'!D14="Flatland",$AT14,'Map 5'!D14="Island",CONCATENATE($AT14, " Island"),ISNUMBER(SEARCH("Rainshadow",'Map 5'!D14)),CONCATENATE($AT14," ",'Map 5'!D14)),'Map 5'!D14)</f>
        <v>Coast</v>
      </c>
      <c r="E14" s="46" t="str" cm="1">
        <f t="array" aca="1" ref="E14" ca="1">_xlfn.IFNA(_xlfn.IFS(AND(ISNUMBER(SEARCH("Rainshadow",'Map 5'!E14)),ISNUMBER(SEARCH("Flatland",'Map 5'!E14))),CONCATENATE($AT14, " Rainshadow"),'Map 5'!E14="Flatland",$AT14,'Map 5'!E14="Island",CONCATENATE($AT14, " Island"),ISNUMBER(SEARCH("Rainshadow",'Map 5'!E14)),CONCATENATE($AT14," ",'Map 5'!E14)),'Map 5'!E14)</f>
        <v>Cliff</v>
      </c>
      <c r="F14" s="46" t="str" cm="1">
        <f t="array" aca="1" ref="F14" ca="1">_xlfn.IFNA(_xlfn.IFS(AND(ISNUMBER(SEARCH("Rainshadow",'Map 5'!F14)),ISNUMBER(SEARCH("Flatland",'Map 5'!F14))),CONCATENATE($AT14, " Rainshadow"),'Map 5'!F14="Flatland",$AT14,'Map 5'!F14="Island",CONCATENATE($AT14, " Island"),ISNUMBER(SEARCH("Rainshadow",'Map 5'!F14)),CONCATENATE($AT14," ",'Map 5'!F14)),'Map 5'!F14)</f>
        <v>Coast</v>
      </c>
      <c r="G14" s="46" t="str" cm="1">
        <f t="array" aca="1" ref="G14" ca="1">_xlfn.IFNA(_xlfn.IFS(AND(ISNUMBER(SEARCH("Rainshadow",'Map 5'!G14)),ISNUMBER(SEARCH("Flatland",'Map 5'!G14))),CONCATENATE($AT14, " Rainshadow"),'Map 5'!G14="Flatland",$AT14,'Map 5'!G14="Island",CONCATENATE($AT14, " Island"),ISNUMBER(SEARCH("Rainshadow",'Map 5'!G14)),CONCATENATE($AT14," ",'Map 5'!G14)),'Map 5'!G14)</f>
        <v>Forest Island</v>
      </c>
      <c r="H14" s="46" t="str" cm="1">
        <f t="array" aca="1" ref="H14" ca="1">_xlfn.IFNA(_xlfn.IFS(AND(ISNUMBER(SEARCH("Rainshadow",'Map 5'!H14)),ISNUMBER(SEARCH("Flatland",'Map 5'!H14))),CONCATENATE($AT14, " Rainshadow"),'Map 5'!H14="Flatland",$AT14,'Map 5'!H14="Island",CONCATENATE($AT14, " Island"),ISNUMBER(SEARCH("Rainshadow",'Map 5'!H14)),CONCATENATE($AT14," ",'Map 5'!H14)),'Map 5'!H14)</f>
        <v>Ocean</v>
      </c>
      <c r="I14" s="46" t="str" cm="1">
        <f t="array" aca="1" ref="I14" ca="1">_xlfn.IFNA(_xlfn.IFS(AND(ISNUMBER(SEARCH("Rainshadow",'Map 5'!I14)),ISNUMBER(SEARCH("Flatland",'Map 5'!I14))),CONCATENATE($AT14, " Rainshadow"),'Map 5'!I14="Flatland",$AT14,'Map 5'!I14="Island",CONCATENATE($AT14, " Island"),ISNUMBER(SEARCH("Rainshadow",'Map 5'!I14)),CONCATENATE($AT14," ",'Map 5'!I14)),'Map 5'!I14)</f>
        <v>Trench</v>
      </c>
      <c r="J14" s="46" t="str" cm="1">
        <f t="array" aca="1" ref="J14" ca="1">_xlfn.IFNA(_xlfn.IFS(AND(ISNUMBER(SEARCH("Rainshadow",'Map 5'!J14)),ISNUMBER(SEARCH("Flatland",'Map 5'!J14))),CONCATENATE($AT14, " Rainshadow"),'Map 5'!J14="Flatland",$AT14,'Map 5'!J14="Island",CONCATENATE($AT14, " Island"),ISNUMBER(SEARCH("Rainshadow",'Map 5'!J14)),CONCATENATE($AT14," ",'Map 5'!J14)),'Map 5'!J14)</f>
        <v>Ocean</v>
      </c>
      <c r="K14" s="46" t="str" cm="1">
        <f t="array" aca="1" ref="K14" ca="1">_xlfn.IFNA(_xlfn.IFS(AND(ISNUMBER(SEARCH("Rainshadow",'Map 5'!K14)),ISNUMBER(SEARCH("Flatland",'Map 5'!K14))),CONCATENATE($AT14, " Rainshadow"),'Map 5'!K14="Flatland",$AT14,'Map 5'!K14="Island",CONCATENATE($AT14, " Island"),ISNUMBER(SEARCH("Rainshadow",'Map 5'!K14)),CONCATENATE($AT14," ",'Map 5'!K14)),'Map 5'!K14)</f>
        <v>Ocean</v>
      </c>
      <c r="L14" s="46" t="str" cm="1">
        <f t="array" aca="1" ref="L14" ca="1">_xlfn.IFNA(_xlfn.IFS(AND(ISNUMBER(SEARCH("Rainshadow",'Map 5'!L14)),ISNUMBER(SEARCH("Flatland",'Map 5'!L14))),CONCATENATE($AT14, " Rainshadow"),'Map 5'!L14="Flatland",$AT14,'Map 5'!L14="Island",CONCATENATE($AT14, " Island"),ISNUMBER(SEARCH("Rainshadow",'Map 5'!L14)),CONCATENATE($AT14," ",'Map 5'!L14)),'Map 5'!L14)</f>
        <v>Ocean</v>
      </c>
      <c r="M14" s="46" t="str" cm="1">
        <f t="array" aca="1" ref="M14" ca="1">_xlfn.IFNA(_xlfn.IFS(AND(ISNUMBER(SEARCH("Rainshadow",'Map 5'!M14)),ISNUMBER(SEARCH("Flatland",'Map 5'!M14))),CONCATENATE($AT14, " Rainshadow"),'Map 5'!M14="Flatland",$AT14,'Map 5'!M14="Island",CONCATENATE($AT14, " Island"),ISNUMBER(SEARCH("Rainshadow",'Map 5'!M14)),CONCATENATE($AT14," ",'Map 5'!M14)),'Map 5'!M14)</f>
        <v>Forest Island</v>
      </c>
      <c r="N14" s="46" t="str" cm="1">
        <f t="array" aca="1" ref="N14" ca="1">_xlfn.IFNA(_xlfn.IFS(AND(ISNUMBER(SEARCH("Rainshadow",'Map 5'!N14)),ISNUMBER(SEARCH("Flatland",'Map 5'!N14))),CONCATENATE($AT14, " Rainshadow"),'Map 5'!N14="Flatland",$AT14,'Map 5'!N14="Island",CONCATENATE($AT14, " Island"),ISNUMBER(SEARCH("Rainshadow",'Map 5'!N14)),CONCATENATE($AT14," ",'Map 5'!N14)),'Map 5'!N14)</f>
        <v>Forest Island</v>
      </c>
      <c r="O14" s="46" t="str" cm="1">
        <f t="array" aca="1" ref="O14" ca="1">_xlfn.IFNA(_xlfn.IFS(AND(ISNUMBER(SEARCH("Rainshadow",'Map 5'!O14)),ISNUMBER(SEARCH("Flatland",'Map 5'!O14))),CONCATENATE($AT14, " Rainshadow"),'Map 5'!O14="Flatland",$AT14,'Map 5'!O14="Island",CONCATENATE($AT14, " Island"),ISNUMBER(SEARCH("Rainshadow",'Map 5'!O14)),CONCATENATE($AT14," ",'Map 5'!O14)),'Map 5'!O14)</f>
        <v>Forest Island</v>
      </c>
      <c r="P14" s="46" t="str" cm="1">
        <f t="array" aca="1" ref="P14" ca="1">_xlfn.IFNA(_xlfn.IFS(AND(ISNUMBER(SEARCH("Rainshadow",'Map 5'!P14)),ISNUMBER(SEARCH("Flatland",'Map 5'!P14))),CONCATENATE($AT14, " Rainshadow"),'Map 5'!P14="Flatland",$AT14,'Map 5'!P14="Island",CONCATENATE($AT14, " Island"),ISNUMBER(SEARCH("Rainshadow",'Map 5'!P14)),CONCATENATE($AT14," ",'Map 5'!P14)),'Map 5'!P14)</f>
        <v>Forest Island</v>
      </c>
      <c r="Q14" s="46" t="str" cm="1">
        <f t="array" aca="1" ref="Q14" ca="1">_xlfn.IFNA(_xlfn.IFS(AND(ISNUMBER(SEARCH("Rainshadow",'Map 5'!Q14)),ISNUMBER(SEARCH("Flatland",'Map 5'!Q14))),CONCATENATE($AT14, " Rainshadow"),'Map 5'!Q14="Flatland",$AT14,'Map 5'!Q14="Island",CONCATENATE($AT14, " Island"),ISNUMBER(SEARCH("Rainshadow",'Map 5'!Q14)),CONCATENATE($AT14," ",'Map 5'!Q14)),'Map 5'!Q14)</f>
        <v>Forest Island</v>
      </c>
      <c r="R14" s="46" t="str" cm="1">
        <f t="array" aca="1" ref="R14" ca="1">_xlfn.IFNA(_xlfn.IFS(AND(ISNUMBER(SEARCH("Rainshadow",'Map 5'!R14)),ISNUMBER(SEARCH("Flatland",'Map 5'!R14))),CONCATENATE($AT14, " Rainshadow"),'Map 5'!R14="Flatland",$AT14,'Map 5'!R14="Island",CONCATENATE($AT14, " Island"),ISNUMBER(SEARCH("Rainshadow",'Map 5'!R14)),CONCATENATE($AT14," ",'Map 5'!R14)),'Map 5'!R14)</f>
        <v>Ocean</v>
      </c>
      <c r="S14" s="46" t="str" cm="1">
        <f t="array" aca="1" ref="S14" ca="1">_xlfn.IFNA(_xlfn.IFS(AND(ISNUMBER(SEARCH("Rainshadow",'Map 5'!S14)),ISNUMBER(SEARCH("Flatland",'Map 5'!S14))),CONCATENATE($AT14, " Rainshadow"),'Map 5'!S14="Flatland",$AT14,'Map 5'!S14="Island",CONCATENATE($AT14, " Island"),ISNUMBER(SEARCH("Rainshadow",'Map 5'!S14)),CONCATENATE($AT14," ",'Map 5'!S14)),'Map 5'!S14)</f>
        <v>Ocean</v>
      </c>
      <c r="T14" s="46" t="str" cm="1">
        <f t="array" aca="1" ref="T14" ca="1">_xlfn.IFNA(_xlfn.IFS(AND(ISNUMBER(SEARCH("Rainshadow",'Map 5'!T14)),ISNUMBER(SEARCH("Flatland",'Map 5'!T14))),CONCATENATE($AT14, " Rainshadow"),'Map 5'!T14="Flatland",$AT14,'Map 5'!T14="Island",CONCATENATE($AT14, " Island"),ISNUMBER(SEARCH("Rainshadow",'Map 5'!T14)),CONCATENATE($AT14," ",'Map 5'!T14)),'Map 5'!T14)</f>
        <v>Ocean</v>
      </c>
      <c r="U14" s="46" t="str" cm="1">
        <f t="array" aca="1" ref="U14" ca="1">_xlfn.IFNA(_xlfn.IFS(AND(ISNUMBER(SEARCH("Rainshadow",'Map 5'!U14)),ISNUMBER(SEARCH("Flatland",'Map 5'!U14))),CONCATENATE($AT14, " Rainshadow"),'Map 5'!U14="Flatland",$AT14,'Map 5'!U14="Island",CONCATENATE($AT14, " Island"),ISNUMBER(SEARCH("Rainshadow",'Map 5'!U14)),CONCATENATE($AT14," ",'Map 5'!U14)),'Map 5'!U14)</f>
        <v>Ocean</v>
      </c>
      <c r="V14" s="46" t="str" cm="1">
        <f t="array" aca="1" ref="V14" ca="1">_xlfn.IFNA(_xlfn.IFS(AND(ISNUMBER(SEARCH("Rainshadow",'Map 5'!V14)),ISNUMBER(SEARCH("Flatland",'Map 5'!V14))),CONCATENATE($AT14, " Rainshadow"),'Map 5'!V14="Flatland",$AT14,'Map 5'!V14="Island",CONCATENATE($AT14, " Island"),ISNUMBER(SEARCH("Rainshadow",'Map 5'!V14)),CONCATENATE($AT14," ",'Map 5'!V14)),'Map 5'!V14)</f>
        <v>Ocean</v>
      </c>
      <c r="W14" s="46" t="str" cm="1">
        <f t="array" aca="1" ref="W14" ca="1">_xlfn.IFNA(_xlfn.IFS(AND(ISNUMBER(SEARCH("Rainshadow",'Map 5'!W14)),ISNUMBER(SEARCH("Flatland",'Map 5'!W14))),CONCATENATE($AT14, " Rainshadow"),'Map 5'!W14="Flatland",$AT14,'Map 5'!W14="Island",CONCATENATE($AT14, " Island"),ISNUMBER(SEARCH("Rainshadow",'Map 5'!W14)),CONCATENATE($AT14," ",'Map 5'!W14)),'Map 5'!W14)</f>
        <v>Ocean</v>
      </c>
      <c r="X14" s="46" t="str" cm="1">
        <f t="array" aca="1" ref="X14" ca="1">_xlfn.IFNA(_xlfn.IFS(AND(ISNUMBER(SEARCH("Rainshadow",'Map 5'!X14)),ISNUMBER(SEARCH("Flatland",'Map 5'!X14))),CONCATENATE($AT14, " Rainshadow"),'Map 5'!X14="Flatland",$AT14,'Map 5'!X14="Island",CONCATENATE($AT14, " Island"),ISNUMBER(SEARCH("Rainshadow",'Map 5'!X14)),CONCATENATE($AT14," ",'Map 5'!X14)),'Map 5'!X14)</f>
        <v>Ocean</v>
      </c>
      <c r="Y14" s="46" t="str" cm="1">
        <f t="array" aca="1" ref="Y14" ca="1">_xlfn.IFNA(_xlfn.IFS(AND(ISNUMBER(SEARCH("Rainshadow",'Map 5'!Y14)),ISNUMBER(SEARCH("Flatland",'Map 5'!Y14))),CONCATENATE($AT14, " Rainshadow"),'Map 5'!Y14="Flatland",$AT14,'Map 5'!Y14="Island",CONCATENATE($AT14, " Island"),ISNUMBER(SEARCH("Rainshadow",'Map 5'!Y14)),CONCATENATE($AT14," ",'Map 5'!Y14)),'Map 5'!Y14)</f>
        <v>Ocean</v>
      </c>
      <c r="Z14" s="46" t="str" cm="1">
        <f t="array" aca="1" ref="Z14" ca="1">_xlfn.IFNA(_xlfn.IFS(AND(ISNUMBER(SEARCH("Rainshadow",'Map 5'!Z14)),ISNUMBER(SEARCH("Flatland",'Map 5'!Z14))),CONCATENATE($AT14, " Rainshadow"),'Map 5'!Z14="Flatland",$AT14,'Map 5'!Z14="Island",CONCATENATE($AT14, " Island"),ISNUMBER(SEARCH("Rainshadow",'Map 5'!Z14)),CONCATENATE($AT14," ",'Map 5'!Z14)),'Map 5'!Z14)</f>
        <v>Forest Island</v>
      </c>
      <c r="AA14" s="46" t="str" cm="1">
        <f t="array" aca="1" ref="AA14" ca="1">_xlfn.IFNA(_xlfn.IFS(AND(ISNUMBER(SEARCH("Rainshadow",'Map 5'!AA14)),ISNUMBER(SEARCH("Flatland",'Map 5'!AA14))),CONCATENATE($AT14, " Rainshadow"),'Map 5'!AA14="Flatland",$AT14,'Map 5'!AA14="Island",CONCATENATE($AT14, " Island"),ISNUMBER(SEARCH("Rainshadow",'Map 5'!AA14)),CONCATENATE($AT14," ",'Map 5'!AA14)),'Map 5'!AA14)</f>
        <v>Forest Island</v>
      </c>
      <c r="AB14" s="46" t="str" cm="1">
        <f t="array" aca="1" ref="AB14" ca="1">_xlfn.IFNA(_xlfn.IFS(AND(ISNUMBER(SEARCH("Rainshadow",'Map 5'!AB14)),ISNUMBER(SEARCH("Flatland",'Map 5'!AB14))),CONCATENATE($AT14, " Rainshadow"),'Map 5'!AB14="Flatland",$AT14,'Map 5'!AB14="Island",CONCATENATE($AT14, " Island"),ISNUMBER(SEARCH("Rainshadow",'Map 5'!AB14)),CONCATENATE($AT14," ",'Map 5'!AB14)),'Map 5'!AB14)</f>
        <v>Ocean</v>
      </c>
      <c r="AC14" s="46" t="str" cm="1">
        <f t="array" aca="1" ref="AC14" ca="1">_xlfn.IFNA(_xlfn.IFS(AND(ISNUMBER(SEARCH("Rainshadow",'Map 5'!AC14)),ISNUMBER(SEARCH("Flatland",'Map 5'!AC14))),CONCATENATE($AT14, " Rainshadow"),'Map 5'!AC14="Flatland",$AT14,'Map 5'!AC14="Island",CONCATENATE($AT14, " Island"),ISNUMBER(SEARCH("Rainshadow",'Map 5'!AC14)),CONCATENATE($AT14," ",'Map 5'!AC14)),'Map 5'!AC14)</f>
        <v>Trench</v>
      </c>
      <c r="AD14" s="46" t="str" cm="1">
        <f t="array" aca="1" ref="AD14" ca="1">_xlfn.IFNA(_xlfn.IFS(AND(ISNUMBER(SEARCH("Rainshadow",'Map 5'!AD14)),ISNUMBER(SEARCH("Flatland",'Map 5'!AD14))),CONCATENATE($AT14, " Rainshadow"),'Map 5'!AD14="Flatland",$AT14,'Map 5'!AD14="Island",CONCATENATE($AT14, " Island"),ISNUMBER(SEARCH("Rainshadow",'Map 5'!AD14)),CONCATENATE($AT14," ",'Map 5'!AD14)),'Map 5'!AD14)</f>
        <v>Ocean</v>
      </c>
      <c r="AE14" s="46" t="str" cm="1">
        <f t="array" aca="1" ref="AE14" ca="1">_xlfn.IFNA(_xlfn.IFS(AND(ISNUMBER(SEARCH("Rainshadow",'Map 5'!AE14)),ISNUMBER(SEARCH("Flatland",'Map 5'!AE14))),CONCATENATE($AT14, " Rainshadow"),'Map 5'!AE14="Flatland",$AT14,'Map 5'!AE14="Island",CONCATENATE($AT14, " Island"),ISNUMBER(SEARCH("Rainshadow",'Map 5'!AE14)),CONCATENATE($AT14," ",'Map 5'!AE14)),'Map 5'!AE14)</f>
        <v>Coast</v>
      </c>
      <c r="AF14" s="46" t="str" cm="1">
        <f t="array" aca="1" ref="AF14" ca="1">_xlfn.IFNA(_xlfn.IFS(AND(ISNUMBER(SEARCH("Rainshadow",'Map 5'!AF14)),ISNUMBER(SEARCH("Flatland",'Map 5'!AF14))),CONCATENATE($AT14, " Rainshadow"),'Map 5'!AF14="Flatland",$AT14,'Map 5'!AF14="Island",CONCATENATE($AT14, " Island"),ISNUMBER(SEARCH("Rainshadow",'Map 5'!AF14)),CONCATENATE($AT14," ",'Map 5'!AF14)),'Map 5'!AF14)</f>
        <v>Coast</v>
      </c>
      <c r="AG14" s="46" t="str" cm="1">
        <f t="array" aca="1" ref="AG14" ca="1">_xlfn.IFNA(_xlfn.IFS(AND(ISNUMBER(SEARCH("Rainshadow",'Map 5'!AG14)),ISNUMBER(SEARCH("Flatland",'Map 5'!AG14))),CONCATENATE($AT14, " Rainshadow"),'Map 5'!AG14="Flatland",$AT14,'Map 5'!AG14="Island",CONCATENATE($AT14, " Island"),ISNUMBER(SEARCH("Rainshadow",'Map 5'!AG14)),CONCATENATE($AT14," ",'Map 5'!AG14)),'Map 5'!AG14)</f>
        <v>Coast</v>
      </c>
      <c r="AH14" s="46" t="str" cm="1">
        <f t="array" aca="1" ref="AH14" ca="1">_xlfn.IFNA(_xlfn.IFS(AND(ISNUMBER(SEARCH("Rainshadow",'Map 5'!AH14)),ISNUMBER(SEARCH("Flatland",'Map 5'!AH14))),CONCATENATE($AT14, " Rainshadow"),'Map 5'!AH14="Flatland",$AT14,'Map 5'!AH14="Island",CONCATENATE($AT14, " Island"),ISNUMBER(SEARCH("Rainshadow",'Map 5'!AH14)),CONCATENATE($AT14," ",'Map 5'!AH14)),'Map 5'!AH14)</f>
        <v>Cliff</v>
      </c>
      <c r="AI14" s="46" t="str" cm="1">
        <f t="array" aca="1" ref="AI14" ca="1">_xlfn.IFNA(_xlfn.IFS(AND(ISNUMBER(SEARCH("Rainshadow",'Map 5'!AI14)),ISNUMBER(SEARCH("Flatland",'Map 5'!AI14))),CONCATENATE($AT14, " Rainshadow"),'Map 5'!AI14="Flatland",$AT14,'Map 5'!AI14="Island",CONCATENATE($AT14, " Island"),ISNUMBER(SEARCH("Rainshadow",'Map 5'!AI14)),CONCATENATE($AT14," ",'Map 5'!AI14)),'Map 5'!AI14)</f>
        <v>Ocean</v>
      </c>
      <c r="AJ14" s="46" t="str" cm="1">
        <f t="array" aca="1" ref="AJ14" ca="1">_xlfn.IFNA(_xlfn.IFS(AND(ISNUMBER(SEARCH("Rainshadow",'Map 5'!AJ14)),ISNUMBER(SEARCH("Flatland",'Map 5'!AJ14))),CONCATENATE($AT14, " Rainshadow"),'Map 5'!AJ14="Flatland",$AT14,'Map 5'!AJ14="Island",CONCATENATE($AT14, " Island"),ISNUMBER(SEARCH("Rainshadow",'Map 5'!AJ14)),CONCATENATE($AT14," ",'Map 5'!AJ14)),'Map 5'!AJ14)</f>
        <v>Trench</v>
      </c>
      <c r="AK14" s="46" t="str" cm="1">
        <f t="array" aca="1" ref="AK14" ca="1">_xlfn.IFNA(_xlfn.IFS(AND(ISNUMBER(SEARCH("Rainshadow",'Map 5'!AK14)),ISNUMBER(SEARCH("Flatland",'Map 5'!AK14))),CONCATENATE($AT14, " Rainshadow"),'Map 5'!AK14="Flatland",$AT14,'Map 5'!AK14="Island",CONCATENATE($AT14, " Island"),ISNUMBER(SEARCH("Rainshadow",'Map 5'!AK14)),CONCATENATE($AT14," ",'Map 5'!AK14)),'Map 5'!AK14)</f>
        <v>Ocean</v>
      </c>
      <c r="AL14" s="46" t="str" cm="1">
        <f t="array" aca="1" ref="AL14" ca="1">_xlfn.IFNA(_xlfn.IFS(AND(ISNUMBER(SEARCH("Rainshadow",'Map 5'!AL14)),ISNUMBER(SEARCH("Flatland",'Map 5'!AL14))),CONCATENATE($AT14, " Rainshadow"),'Map 5'!AL14="Flatland",$AT14,'Map 5'!AL14="Island",CONCATENATE($AT14, " Island"),ISNUMBER(SEARCH("Rainshadow",'Map 5'!AL14)),CONCATENATE($AT14," ",'Map 5'!AL14)),'Map 5'!AL14)</f>
        <v>Ocean</v>
      </c>
      <c r="AM14" s="46" t="str" cm="1">
        <f t="array" aca="1" ref="AM14" ca="1">_xlfn.IFNA(_xlfn.IFS(AND(ISNUMBER(SEARCH("Rainshadow",'Map 5'!AM14)),ISNUMBER(SEARCH("Flatland",'Map 5'!AM14))),CONCATENATE($AT14, " Rainshadow"),'Map 5'!AM14="Flatland",$AT14,'Map 5'!AM14="Island",CONCATENATE($AT14, " Island"),ISNUMBER(SEARCH("Rainshadow",'Map 5'!AM14)),CONCATENATE($AT14," ",'Map 5'!AM14)),'Map 5'!AM14)</f>
        <v>Cliff</v>
      </c>
      <c r="AN14" s="46" t="str" cm="1">
        <f t="array" aca="1" ref="AN14" ca="1">_xlfn.IFNA(_xlfn.IFS(AND(ISNUMBER(SEARCH("Rainshadow",'Map 5'!AN14)),ISNUMBER(SEARCH("Flatland",'Map 5'!AN14))),CONCATENATE($AT14, " Rainshadow"),'Map 5'!AN14="Flatland",$AT14,'Map 5'!AN14="Island",CONCATENATE($AT14, " Island"),ISNUMBER(SEARCH("Rainshadow",'Map 5'!AN14)),CONCATENATE($AT14," ",'Map 5'!AN14)),'Map 5'!AN14)</f>
        <v>Forest Rainshadow Valley</v>
      </c>
      <c r="AO14" s="46" t="str" cm="1">
        <f t="array" aca="1" ref="AO14" ca="1">_xlfn.IFNA(_xlfn.IFS(AND(ISNUMBER(SEARCH("Rainshadow",'Map 5'!AO14)),ISNUMBER(SEARCH("Flatland",'Map 5'!AO14))),CONCATENATE($AT14, " Rainshadow"),'Map 5'!AO14="Flatland",$AT14,'Map 5'!AO14="Island",CONCATENATE($AT14, " Island"),ISNUMBER(SEARCH("Rainshadow",'Map 5'!AO14)),CONCATENATE($AT14," ",'Map 5'!AO14)),'Map 5'!AO14)</f>
        <v>Cliff</v>
      </c>
      <c r="AP14" s="46">
        <f>'Map 5'!AP14</f>
        <v>-13.35</v>
      </c>
      <c r="AQ14" s="46">
        <f>'Map 5'!AQ14</f>
        <v>7.97</v>
      </c>
      <c r="AR14" s="46">
        <f>'Map 5'!AS14</f>
        <v>259.80000000000018</v>
      </c>
      <c r="AS14" s="47">
        <f>'Map 5'!AT14</f>
        <v>72</v>
      </c>
      <c r="AT14" s="47" t="str">
        <f>'Map 5'!AU14</f>
        <v>Forest</v>
      </c>
      <c r="AU14" s="47" t="str">
        <f>'Map 5'!AV14</f>
        <v>⤵</v>
      </c>
      <c r="AX14" s="47" t="str">
        <f>CONCATENATE(AX8," ",$AW$13)</f>
        <v>Tundra Island</v>
      </c>
    </row>
    <row r="15" spans="1:50" ht="18.75" customHeight="1">
      <c r="A15" s="46">
        <v>6</v>
      </c>
      <c r="B15" s="46" t="str" cm="1">
        <f t="array" aca="1" ref="B15" ca="1">_xlfn.IFNA(_xlfn.IFS(AND(ISNUMBER(SEARCH("Rainshadow",'Map 5'!B15)),ISNUMBER(SEARCH("Flatland",'Map 5'!B15))),CONCATENATE($AT15, " Rainshadow"),'Map 5'!B15="Flatland",$AT15,'Map 5'!B15="Island",CONCATENATE($AT15, " Island"),ISNUMBER(SEARCH("Rainshadow",'Map 5'!B15)),CONCATENATE($AT15," ",'Map 5'!B15)),'Map 5'!B15)</f>
        <v>Mountain</v>
      </c>
      <c r="C15" s="46" t="str" cm="1">
        <f t="array" aca="1" ref="C15" ca="1">_xlfn.IFNA(_xlfn.IFS(AND(ISNUMBER(SEARCH("Rainshadow",'Map 5'!C15)),ISNUMBER(SEARCH("Flatland",'Map 5'!C15))),CONCATENATE($AT15, " Rainshadow"),'Map 5'!C15="Flatland",$AT15,'Map 5'!C15="Island",CONCATENATE($AT15, " Island"),ISNUMBER(SEARCH("Rainshadow",'Map 5'!C15)),CONCATENATE($AT15," ",'Map 5'!C15)),'Map 5'!C15)</f>
        <v>Drop Off</v>
      </c>
      <c r="D15" s="46" t="str" cm="1">
        <f t="array" aca="1" ref="D15" ca="1">_xlfn.IFNA(_xlfn.IFS(AND(ISNUMBER(SEARCH("Rainshadow",'Map 5'!D15)),ISNUMBER(SEARCH("Flatland",'Map 5'!D15))),CONCATENATE($AT15, " Rainshadow"),'Map 5'!D15="Flatland",$AT15,'Map 5'!D15="Island",CONCATENATE($AT15, " Island"),ISNUMBER(SEARCH("Rainshadow",'Map 5'!D15)),CONCATENATE($AT15," ",'Map 5'!D15)),'Map 5'!D15)</f>
        <v>Coast</v>
      </c>
      <c r="E15" s="46" t="str" cm="1">
        <f t="array" aca="1" ref="E15" ca="1">_xlfn.IFNA(_xlfn.IFS(AND(ISNUMBER(SEARCH("Rainshadow",'Map 5'!E15)),ISNUMBER(SEARCH("Flatland",'Map 5'!E15))),CONCATENATE($AT15, " Rainshadow"),'Map 5'!E15="Flatland",$AT15,'Map 5'!E15="Island",CONCATENATE($AT15, " Island"),ISNUMBER(SEARCH("Rainshadow",'Map 5'!E15)),CONCATENATE($AT15," ",'Map 5'!E15)),'Map 5'!E15)</f>
        <v>Forest Island</v>
      </c>
      <c r="F15" s="46" t="str" cm="1">
        <f t="array" aca="1" ref="F15" ca="1">_xlfn.IFNA(_xlfn.IFS(AND(ISNUMBER(SEARCH("Rainshadow",'Map 5'!F15)),ISNUMBER(SEARCH("Flatland",'Map 5'!F15))),CONCATENATE($AT15, " Rainshadow"),'Map 5'!F15="Flatland",$AT15,'Map 5'!F15="Island",CONCATENATE($AT15, " Island"),ISNUMBER(SEARCH("Rainshadow",'Map 5'!F15)),CONCATENATE($AT15," ",'Map 5'!F15)),'Map 5'!F15)</f>
        <v>Ocean</v>
      </c>
      <c r="G15" s="46" t="str" cm="1">
        <f t="array" aca="1" ref="G15" ca="1">_xlfn.IFNA(_xlfn.IFS(AND(ISNUMBER(SEARCH("Rainshadow",'Map 5'!G15)),ISNUMBER(SEARCH("Flatland",'Map 5'!G15))),CONCATENATE($AT15, " Rainshadow"),'Map 5'!G15="Flatland",$AT15,'Map 5'!G15="Island",CONCATENATE($AT15, " Island"),ISNUMBER(SEARCH("Rainshadow",'Map 5'!G15)),CONCATENATE($AT15," ",'Map 5'!G15)),'Map 5'!G15)</f>
        <v>Forest Island</v>
      </c>
      <c r="H15" s="46" t="str" cm="1">
        <f t="array" aca="1" ref="H15" ca="1">_xlfn.IFNA(_xlfn.IFS(AND(ISNUMBER(SEARCH("Rainshadow",'Map 5'!H15)),ISNUMBER(SEARCH("Flatland",'Map 5'!H15))),CONCATENATE($AT15, " Rainshadow"),'Map 5'!H15="Flatland",$AT15,'Map 5'!H15="Island",CONCATENATE($AT15, " Island"),ISNUMBER(SEARCH("Rainshadow",'Map 5'!H15)),CONCATENATE($AT15," ",'Map 5'!H15)),'Map 5'!H15)</f>
        <v>Forest Island</v>
      </c>
      <c r="I15" s="46" t="str" cm="1">
        <f t="array" aca="1" ref="I15" ca="1">_xlfn.IFNA(_xlfn.IFS(AND(ISNUMBER(SEARCH("Rainshadow",'Map 5'!I15)),ISNUMBER(SEARCH("Flatland",'Map 5'!I15))),CONCATENATE($AT15, " Rainshadow"),'Map 5'!I15="Flatland",$AT15,'Map 5'!I15="Island",CONCATENATE($AT15, " Island"),ISNUMBER(SEARCH("Rainshadow",'Map 5'!I15)),CONCATENATE($AT15," ",'Map 5'!I15)),'Map 5'!I15)</f>
        <v>Trench</v>
      </c>
      <c r="J15" s="46" t="str" cm="1">
        <f t="array" aca="1" ref="J15" ca="1">_xlfn.IFNA(_xlfn.IFS(AND(ISNUMBER(SEARCH("Rainshadow",'Map 5'!J15)),ISNUMBER(SEARCH("Flatland",'Map 5'!J15))),CONCATENATE($AT15, " Rainshadow"),'Map 5'!J15="Flatland",$AT15,'Map 5'!J15="Island",CONCATENATE($AT15, " Island"),ISNUMBER(SEARCH("Rainshadow",'Map 5'!J15)),CONCATENATE($AT15," ",'Map 5'!J15)),'Map 5'!J15)</f>
        <v>Ocean</v>
      </c>
      <c r="K15" s="46" t="str" cm="1">
        <f t="array" aca="1" ref="K15" ca="1">_xlfn.IFNA(_xlfn.IFS(AND(ISNUMBER(SEARCH("Rainshadow",'Map 5'!K15)),ISNUMBER(SEARCH("Flatland",'Map 5'!K15))),CONCATENATE($AT15, " Rainshadow"),'Map 5'!K15="Flatland",$AT15,'Map 5'!K15="Island",CONCATENATE($AT15, " Island"),ISNUMBER(SEARCH("Rainshadow",'Map 5'!K15)),CONCATENATE($AT15," ",'Map 5'!K15)),'Map 5'!K15)</f>
        <v>Trench</v>
      </c>
      <c r="L15" s="46" t="str" cm="1">
        <f t="array" aca="1" ref="L15" ca="1">_xlfn.IFNA(_xlfn.IFS(AND(ISNUMBER(SEARCH("Rainshadow",'Map 5'!L15)),ISNUMBER(SEARCH("Flatland",'Map 5'!L15))),CONCATENATE($AT15, " Rainshadow"),'Map 5'!L15="Flatland",$AT15,'Map 5'!L15="Island",CONCATENATE($AT15, " Island"),ISNUMBER(SEARCH("Rainshadow",'Map 5'!L15)),CONCATENATE($AT15," ",'Map 5'!L15)),'Map 5'!L15)</f>
        <v>Ocean</v>
      </c>
      <c r="M15" s="46" t="str" cm="1">
        <f t="array" aca="1" ref="M15" ca="1">_xlfn.IFNA(_xlfn.IFS(AND(ISNUMBER(SEARCH("Rainshadow",'Map 5'!M15)),ISNUMBER(SEARCH("Flatland",'Map 5'!M15))),CONCATENATE($AT15, " Rainshadow"),'Map 5'!M15="Flatland",$AT15,'Map 5'!M15="Island",CONCATENATE($AT15, " Island"),ISNUMBER(SEARCH("Rainshadow",'Map 5'!M15)),CONCATENATE($AT15," ",'Map 5'!M15)),'Map 5'!M15)</f>
        <v>Ocean</v>
      </c>
      <c r="N15" s="46" t="str" cm="1">
        <f t="array" aca="1" ref="N15" ca="1">_xlfn.IFNA(_xlfn.IFS(AND(ISNUMBER(SEARCH("Rainshadow",'Map 5'!N15)),ISNUMBER(SEARCH("Flatland",'Map 5'!N15))),CONCATENATE($AT15, " Rainshadow"),'Map 5'!N15="Flatland",$AT15,'Map 5'!N15="Island",CONCATENATE($AT15, " Island"),ISNUMBER(SEARCH("Rainshadow",'Map 5'!N15)),CONCATENATE($AT15," ",'Map 5'!N15)),'Map 5'!N15)</f>
        <v>Ocean</v>
      </c>
      <c r="O15" s="46" t="str" cm="1">
        <f t="array" aca="1" ref="O15" ca="1">_xlfn.IFNA(_xlfn.IFS(AND(ISNUMBER(SEARCH("Rainshadow",'Map 5'!O15)),ISNUMBER(SEARCH("Flatland",'Map 5'!O15))),CONCATENATE($AT15, " Rainshadow"),'Map 5'!O15="Flatland",$AT15,'Map 5'!O15="Island",CONCATENATE($AT15, " Island"),ISNUMBER(SEARCH("Rainshadow",'Map 5'!O15)),CONCATENATE($AT15," ",'Map 5'!O15)),'Map 5'!O15)</f>
        <v>Ocean</v>
      </c>
      <c r="P15" s="46" t="str" cm="1">
        <f t="array" aca="1" ref="P15" ca="1">_xlfn.IFNA(_xlfn.IFS(AND(ISNUMBER(SEARCH("Rainshadow",'Map 5'!P15)),ISNUMBER(SEARCH("Flatland",'Map 5'!P15))),CONCATENATE($AT15, " Rainshadow"),'Map 5'!P15="Flatland",$AT15,'Map 5'!P15="Island",CONCATENATE($AT15, " Island"),ISNUMBER(SEARCH("Rainshadow",'Map 5'!P15)),CONCATENATE($AT15," ",'Map 5'!P15)),'Map 5'!P15)</f>
        <v>Forest Island</v>
      </c>
      <c r="Q15" s="46" t="str" cm="1">
        <f t="array" aca="1" ref="Q15" ca="1">_xlfn.IFNA(_xlfn.IFS(AND(ISNUMBER(SEARCH("Rainshadow",'Map 5'!Q15)),ISNUMBER(SEARCH("Flatland",'Map 5'!Q15))),CONCATENATE($AT15, " Rainshadow"),'Map 5'!Q15="Flatland",$AT15,'Map 5'!Q15="Island",CONCATENATE($AT15, " Island"),ISNUMBER(SEARCH("Rainshadow",'Map 5'!Q15)),CONCATENATE($AT15," ",'Map 5'!Q15)),'Map 5'!Q15)</f>
        <v>Ocean</v>
      </c>
      <c r="R15" s="46" t="str" cm="1">
        <f t="array" aca="1" ref="R15" ca="1">_xlfn.IFNA(_xlfn.IFS(AND(ISNUMBER(SEARCH("Rainshadow",'Map 5'!R15)),ISNUMBER(SEARCH("Flatland",'Map 5'!R15))),CONCATENATE($AT15, " Rainshadow"),'Map 5'!R15="Flatland",$AT15,'Map 5'!R15="Island",CONCATENATE($AT15, " Island"),ISNUMBER(SEARCH("Rainshadow",'Map 5'!R15)),CONCATENATE($AT15," ",'Map 5'!R15)),'Map 5'!R15)</f>
        <v>Ocean</v>
      </c>
      <c r="S15" s="46" t="str" cm="1">
        <f t="array" aca="1" ref="S15" ca="1">_xlfn.IFNA(_xlfn.IFS(AND(ISNUMBER(SEARCH("Rainshadow",'Map 5'!S15)),ISNUMBER(SEARCH("Flatland",'Map 5'!S15))),CONCATENATE($AT15, " Rainshadow"),'Map 5'!S15="Flatland",$AT15,'Map 5'!S15="Island",CONCATENATE($AT15, " Island"),ISNUMBER(SEARCH("Rainshadow",'Map 5'!S15)),CONCATENATE($AT15," ",'Map 5'!S15)),'Map 5'!S15)</f>
        <v>Ocean</v>
      </c>
      <c r="T15" s="46" t="str" cm="1">
        <f t="array" aca="1" ref="T15" ca="1">_xlfn.IFNA(_xlfn.IFS(AND(ISNUMBER(SEARCH("Rainshadow",'Map 5'!T15)),ISNUMBER(SEARCH("Flatland",'Map 5'!T15))),CONCATENATE($AT15, " Rainshadow"),'Map 5'!T15="Flatland",$AT15,'Map 5'!T15="Island",CONCATENATE($AT15, " Island"),ISNUMBER(SEARCH("Rainshadow",'Map 5'!T15)),CONCATENATE($AT15," ",'Map 5'!T15)),'Map 5'!T15)</f>
        <v>Ocean</v>
      </c>
      <c r="U15" s="46" t="str" cm="1">
        <f t="array" aca="1" ref="U15" ca="1">_xlfn.IFNA(_xlfn.IFS(AND(ISNUMBER(SEARCH("Rainshadow",'Map 5'!U15)),ISNUMBER(SEARCH("Flatland",'Map 5'!U15))),CONCATENATE($AT15, " Rainshadow"),'Map 5'!U15="Flatland",$AT15,'Map 5'!U15="Island",CONCATENATE($AT15, " Island"),ISNUMBER(SEARCH("Rainshadow",'Map 5'!U15)),CONCATENATE($AT15," ",'Map 5'!U15)),'Map 5'!U15)</f>
        <v>Ocean</v>
      </c>
      <c r="V15" s="46" t="str" cm="1">
        <f t="array" aca="1" ref="V15" ca="1">_xlfn.IFNA(_xlfn.IFS(AND(ISNUMBER(SEARCH("Rainshadow",'Map 5'!V15)),ISNUMBER(SEARCH("Flatland",'Map 5'!V15))),CONCATENATE($AT15, " Rainshadow"),'Map 5'!V15="Flatland",$AT15,'Map 5'!V15="Island",CONCATENATE($AT15, " Island"),ISNUMBER(SEARCH("Rainshadow",'Map 5'!V15)),CONCATENATE($AT15," ",'Map 5'!V15)),'Map 5'!V15)</f>
        <v>Ocean</v>
      </c>
      <c r="W15" s="46" t="str" cm="1">
        <f t="array" aca="1" ref="W15" ca="1">_xlfn.IFNA(_xlfn.IFS(AND(ISNUMBER(SEARCH("Rainshadow",'Map 5'!W15)),ISNUMBER(SEARCH("Flatland",'Map 5'!W15))),CONCATENATE($AT15, " Rainshadow"),'Map 5'!W15="Flatland",$AT15,'Map 5'!W15="Island",CONCATENATE($AT15, " Island"),ISNUMBER(SEARCH("Rainshadow",'Map 5'!W15)),CONCATENATE($AT15," ",'Map 5'!W15)),'Map 5'!W15)</f>
        <v>Forest Island</v>
      </c>
      <c r="X15" s="46" t="str" cm="1">
        <f t="array" aca="1" ref="X15" ca="1">_xlfn.IFNA(_xlfn.IFS(AND(ISNUMBER(SEARCH("Rainshadow",'Map 5'!X15)),ISNUMBER(SEARCH("Flatland",'Map 5'!X15))),CONCATENATE($AT15, " Rainshadow"),'Map 5'!X15="Flatland",$AT15,'Map 5'!X15="Island",CONCATENATE($AT15, " Island"),ISNUMBER(SEARCH("Rainshadow",'Map 5'!X15)),CONCATENATE($AT15," ",'Map 5'!X15)),'Map 5'!X15)</f>
        <v>Forest Island</v>
      </c>
      <c r="Y15" s="46" t="str" cm="1">
        <f t="array" aca="1" ref="Y15" ca="1">_xlfn.IFNA(_xlfn.IFS(AND(ISNUMBER(SEARCH("Rainshadow",'Map 5'!Y15)),ISNUMBER(SEARCH("Flatland",'Map 5'!Y15))),CONCATENATE($AT15, " Rainshadow"),'Map 5'!Y15="Flatland",$AT15,'Map 5'!Y15="Island",CONCATENATE($AT15, " Island"),ISNUMBER(SEARCH("Rainshadow",'Map 5'!Y15)),CONCATENATE($AT15," ",'Map 5'!Y15)),'Map 5'!Y15)</f>
        <v>Ocean</v>
      </c>
      <c r="Z15" s="46" t="str" cm="1">
        <f t="array" aca="1" ref="Z15" ca="1">_xlfn.IFNA(_xlfn.IFS(AND(ISNUMBER(SEARCH("Rainshadow",'Map 5'!Z15)),ISNUMBER(SEARCH("Flatland",'Map 5'!Z15))),CONCATENATE($AT15, " Rainshadow"),'Map 5'!Z15="Flatland",$AT15,'Map 5'!Z15="Island",CONCATENATE($AT15, " Island"),ISNUMBER(SEARCH("Rainshadow",'Map 5'!Z15)),CONCATENATE($AT15," ",'Map 5'!Z15)),'Map 5'!Z15)</f>
        <v>Trench</v>
      </c>
      <c r="AA15" s="46" t="str" cm="1">
        <f t="array" aca="1" ref="AA15" ca="1">_xlfn.IFNA(_xlfn.IFS(AND(ISNUMBER(SEARCH("Rainshadow",'Map 5'!AA15)),ISNUMBER(SEARCH("Flatland",'Map 5'!AA15))),CONCATENATE($AT15, " Rainshadow"),'Map 5'!AA15="Flatland",$AT15,'Map 5'!AA15="Island",CONCATENATE($AT15, " Island"),ISNUMBER(SEARCH("Rainshadow",'Map 5'!AA15)),CONCATENATE($AT15," ",'Map 5'!AA15)),'Map 5'!AA15)</f>
        <v>Ocean</v>
      </c>
      <c r="AB15" s="46" t="str" cm="1">
        <f t="array" aca="1" ref="AB15" ca="1">_xlfn.IFNA(_xlfn.IFS(AND(ISNUMBER(SEARCH("Rainshadow",'Map 5'!AB15)),ISNUMBER(SEARCH("Flatland",'Map 5'!AB15))),CONCATENATE($AT15, " Rainshadow"),'Map 5'!AB15="Flatland",$AT15,'Map 5'!AB15="Island",CONCATENATE($AT15, " Island"),ISNUMBER(SEARCH("Rainshadow",'Map 5'!AB15)),CONCATENATE($AT15," ",'Map 5'!AB15)),'Map 5'!AB15)</f>
        <v>Forest Island</v>
      </c>
      <c r="AC15" s="46" t="str" cm="1">
        <f t="array" aca="1" ref="AC15" ca="1">_xlfn.IFNA(_xlfn.IFS(AND(ISNUMBER(SEARCH("Rainshadow",'Map 5'!AC15)),ISNUMBER(SEARCH("Flatland",'Map 5'!AC15))),CONCATENATE($AT15, " Rainshadow"),'Map 5'!AC15="Flatland",$AT15,'Map 5'!AC15="Island",CONCATENATE($AT15, " Island"),ISNUMBER(SEARCH("Rainshadow",'Map 5'!AC15)),CONCATENATE($AT15," ",'Map 5'!AC15)),'Map 5'!AC15)</f>
        <v>Ocean</v>
      </c>
      <c r="AD15" s="46" t="str" cm="1">
        <f t="array" aca="1" ref="AD15" ca="1">_xlfn.IFNA(_xlfn.IFS(AND(ISNUMBER(SEARCH("Rainshadow",'Map 5'!AD15)),ISNUMBER(SEARCH("Flatland",'Map 5'!AD15))),CONCATENATE($AT15, " Rainshadow"),'Map 5'!AD15="Flatland",$AT15,'Map 5'!AD15="Island",CONCATENATE($AT15, " Island"),ISNUMBER(SEARCH("Rainshadow",'Map 5'!AD15)),CONCATENATE($AT15," ",'Map 5'!AD15)),'Map 5'!AD15)</f>
        <v>Ocean</v>
      </c>
      <c r="AE15" s="46" t="str" cm="1">
        <f t="array" aca="1" ref="AE15" ca="1">_xlfn.IFNA(_xlfn.IFS(AND(ISNUMBER(SEARCH("Rainshadow",'Map 5'!AE15)),ISNUMBER(SEARCH("Flatland",'Map 5'!AE15))),CONCATENATE($AT15, " Rainshadow"),'Map 5'!AE15="Flatland",$AT15,'Map 5'!AE15="Island",CONCATENATE($AT15, " Island"),ISNUMBER(SEARCH("Rainshadow",'Map 5'!AE15)),CONCATENATE($AT15," ",'Map 5'!AE15)),'Map 5'!AE15)</f>
        <v>Coast</v>
      </c>
      <c r="AF15" s="46" t="str" cm="1">
        <f t="array" aca="1" ref="AF15" ca="1">_xlfn.IFNA(_xlfn.IFS(AND(ISNUMBER(SEARCH("Rainshadow",'Map 5'!AF15)),ISNUMBER(SEARCH("Flatland",'Map 5'!AF15))),CONCATENATE($AT15, " Rainshadow"),'Map 5'!AF15="Flatland",$AT15,'Map 5'!AF15="Island",CONCATENATE($AT15, " Island"),ISNUMBER(SEARCH("Rainshadow",'Map 5'!AF15)),CONCATENATE($AT15," ",'Map 5'!AF15)),'Map 5'!AF15)</f>
        <v>Ocean</v>
      </c>
      <c r="AG15" s="46" t="str" cm="1">
        <f t="array" aca="1" ref="AG15" ca="1">_xlfn.IFNA(_xlfn.IFS(AND(ISNUMBER(SEARCH("Rainshadow",'Map 5'!AG15)),ISNUMBER(SEARCH("Flatland",'Map 5'!AG15))),CONCATENATE($AT15, " Rainshadow"),'Map 5'!AG15="Flatland",$AT15,'Map 5'!AG15="Island",CONCATENATE($AT15, " Island"),ISNUMBER(SEARCH("Rainshadow",'Map 5'!AG15)),CONCATENATE($AT15," ",'Map 5'!AG15)),'Map 5'!AG15)</f>
        <v>Coast</v>
      </c>
      <c r="AH15" s="46" t="str" cm="1">
        <f t="array" aca="1" ref="AH15" ca="1">_xlfn.IFNA(_xlfn.IFS(AND(ISNUMBER(SEARCH("Rainshadow",'Map 5'!AH15)),ISNUMBER(SEARCH("Flatland",'Map 5'!AH15))),CONCATENATE($AT15, " Rainshadow"),'Map 5'!AH15="Flatland",$AT15,'Map 5'!AH15="Island",CONCATENATE($AT15, " Island"),ISNUMBER(SEARCH("Rainshadow",'Map 5'!AH15)),CONCATENATE($AT15," ",'Map 5'!AH15)),'Map 5'!AH15)</f>
        <v>Forest Island</v>
      </c>
      <c r="AI15" s="46" t="str" cm="1">
        <f t="array" aca="1" ref="AI15" ca="1">_xlfn.IFNA(_xlfn.IFS(AND(ISNUMBER(SEARCH("Rainshadow",'Map 5'!AI15)),ISNUMBER(SEARCH("Flatland",'Map 5'!AI15))),CONCATENATE($AT15, " Rainshadow"),'Map 5'!AI15="Flatland",$AT15,'Map 5'!AI15="Island",CONCATENATE($AT15, " Island"),ISNUMBER(SEARCH("Rainshadow",'Map 5'!AI15)),CONCATENATE($AT15," ",'Map 5'!AI15)),'Map 5'!AI15)</f>
        <v>Ocean</v>
      </c>
      <c r="AJ15" s="46" t="str" cm="1">
        <f t="array" aca="1" ref="AJ15" ca="1">_xlfn.IFNA(_xlfn.IFS(AND(ISNUMBER(SEARCH("Rainshadow",'Map 5'!AJ15)),ISNUMBER(SEARCH("Flatland",'Map 5'!AJ15))),CONCATENATE($AT15, " Rainshadow"),'Map 5'!AJ15="Flatland",$AT15,'Map 5'!AJ15="Island",CONCATENATE($AT15, " Island"),ISNUMBER(SEARCH("Rainshadow",'Map 5'!AJ15)),CONCATENATE($AT15," ",'Map 5'!AJ15)),'Map 5'!AJ15)</f>
        <v>Forest Island</v>
      </c>
      <c r="AK15" s="46" t="str" cm="1">
        <f t="array" aca="1" ref="AK15" ca="1">_xlfn.IFNA(_xlfn.IFS(AND(ISNUMBER(SEARCH("Rainshadow",'Map 5'!AK15)),ISNUMBER(SEARCH("Flatland",'Map 5'!AK15))),CONCATENATE($AT15, " Rainshadow"),'Map 5'!AK15="Flatland",$AT15,'Map 5'!AK15="Island",CONCATENATE($AT15, " Island"),ISNUMBER(SEARCH("Rainshadow",'Map 5'!AK15)),CONCATENATE($AT15," ",'Map 5'!AK15)),'Map 5'!AK15)</f>
        <v>Trench</v>
      </c>
      <c r="AL15" s="46" t="str" cm="1">
        <f t="array" aca="1" ref="AL15" ca="1">_xlfn.IFNA(_xlfn.IFS(AND(ISNUMBER(SEARCH("Rainshadow",'Map 5'!AL15)),ISNUMBER(SEARCH("Flatland",'Map 5'!AL15))),CONCATENATE($AT15, " Rainshadow"),'Map 5'!AL15="Flatland",$AT15,'Map 5'!AL15="Island",CONCATENATE($AT15, " Island"),ISNUMBER(SEARCH("Rainshadow",'Map 5'!AL15)),CONCATENATE($AT15," ",'Map 5'!AL15)),'Map 5'!AL15)</f>
        <v>Coast</v>
      </c>
      <c r="AM15" s="46" t="str" cm="1">
        <f t="array" aca="1" ref="AM15" ca="1">_xlfn.IFNA(_xlfn.IFS(AND(ISNUMBER(SEARCH("Rainshadow",'Map 5'!AM15)),ISNUMBER(SEARCH("Flatland",'Map 5'!AM15))),CONCATENATE($AT15, " Rainshadow"),'Map 5'!AM15="Flatland",$AT15,'Map 5'!AM15="Island",CONCATENATE($AT15, " Island"),ISNUMBER(SEARCH("Rainshadow",'Map 5'!AM15)),CONCATENATE($AT15," ",'Map 5'!AM15)),'Map 5'!AM15)</f>
        <v>Forest</v>
      </c>
      <c r="AN15" s="46" t="str" cm="1">
        <f t="array" aca="1" ref="AN15" ca="1">_xlfn.IFNA(_xlfn.IFS(AND(ISNUMBER(SEARCH("Rainshadow",'Map 5'!AN15)),ISNUMBER(SEARCH("Flatland",'Map 5'!AN15))),CONCATENATE($AT15, " Rainshadow"),'Map 5'!AN15="Flatland",$AT15,'Map 5'!AN15="Island",CONCATENATE($AT15, " Island"),ISNUMBER(SEARCH("Rainshadow",'Map 5'!AN15)),CONCATENATE($AT15," ",'Map 5'!AN15)),'Map 5'!AN15)</f>
        <v>Mountain</v>
      </c>
      <c r="AO15" s="46" t="str" cm="1">
        <f t="array" aca="1" ref="AO15" ca="1">_xlfn.IFNA(_xlfn.IFS(AND(ISNUMBER(SEARCH("Rainshadow",'Map 5'!AO15)),ISNUMBER(SEARCH("Flatland",'Map 5'!AO15))),CONCATENATE($AT15, " Rainshadow"),'Map 5'!AO15="Flatland",$AT15,'Map 5'!AO15="Island",CONCATENATE($AT15, " Island"),ISNUMBER(SEARCH("Rainshadow",'Map 5'!AO15)),CONCATENATE($AT15," ",'Map 5'!AO15)),'Map 5'!AO15)</f>
        <v>Forest Rainshadow Valley</v>
      </c>
      <c r="AP15" s="46">
        <f>'Map 5'!AP15</f>
        <v>-6.4</v>
      </c>
      <c r="AQ15" s="46">
        <f>'Map 5'!AQ15</f>
        <v>20.48</v>
      </c>
      <c r="AR15" s="46">
        <f>'Map 5'!AS15</f>
        <v>266.75000000000017</v>
      </c>
      <c r="AS15" s="47">
        <f>'Map 5'!AT15</f>
        <v>67.5</v>
      </c>
      <c r="AT15" s="47" t="str">
        <f>'Map 5'!AU15</f>
        <v>Forest</v>
      </c>
      <c r="AU15" s="47" t="str">
        <f>'Map 5'!AV15</f>
        <v>⤵</v>
      </c>
      <c r="AX15" s="47" t="str">
        <f>CONCATENATE(AX9," ",$AW$13)</f>
        <v>Forest Island</v>
      </c>
    </row>
    <row r="16" spans="1:50" ht="18.75" customHeight="1">
      <c r="A16" s="46">
        <v>7</v>
      </c>
      <c r="B16" s="46" t="str" cm="1">
        <f t="array" aca="1" ref="B16" ca="1">_xlfn.IFNA(_xlfn.IFS(AND(ISNUMBER(SEARCH("Rainshadow",'Map 5'!B16)),ISNUMBER(SEARCH("Flatland",'Map 5'!B16))),CONCATENATE($AT16, " Rainshadow"),'Map 5'!B16="Flatland",$AT16,'Map 5'!B16="Island",CONCATENATE($AT16, " Island"),ISNUMBER(SEARCH("Rainshadow",'Map 5'!B16)),CONCATENATE($AT16," ",'Map 5'!B16)),'Map 5'!B16)</f>
        <v>Forest</v>
      </c>
      <c r="C16" s="46" t="str" cm="1">
        <f t="array" aca="1" ref="C16" ca="1">_xlfn.IFNA(_xlfn.IFS(AND(ISNUMBER(SEARCH("Rainshadow",'Map 5'!C16)),ISNUMBER(SEARCH("Flatland",'Map 5'!C16))),CONCATENATE($AT16, " Rainshadow"),'Map 5'!C16="Flatland",$AT16,'Map 5'!C16="Island",CONCATENATE($AT16, " Island"),ISNUMBER(SEARCH("Rainshadow",'Map 5'!C16)),CONCATENATE($AT16," ",'Map 5'!C16)),'Map 5'!C16)</f>
        <v>Forest Island</v>
      </c>
      <c r="D16" s="46" t="str" cm="1">
        <f t="array" aca="1" ref="D16" ca="1">_xlfn.IFNA(_xlfn.IFS(AND(ISNUMBER(SEARCH("Rainshadow",'Map 5'!D16)),ISNUMBER(SEARCH("Flatland",'Map 5'!D16))),CONCATENATE($AT16, " Rainshadow"),'Map 5'!D16="Flatland",$AT16,'Map 5'!D16="Island",CONCATENATE($AT16, " Island"),ISNUMBER(SEARCH("Rainshadow",'Map 5'!D16)),CONCATENATE($AT16," ",'Map 5'!D16)),'Map 5'!D16)</f>
        <v>Ocean</v>
      </c>
      <c r="E16" s="46" t="str" cm="1">
        <f t="array" aca="1" ref="E16" ca="1">_xlfn.IFNA(_xlfn.IFS(AND(ISNUMBER(SEARCH("Rainshadow",'Map 5'!E16)),ISNUMBER(SEARCH("Flatland",'Map 5'!E16))),CONCATENATE($AT16, " Rainshadow"),'Map 5'!E16="Flatland",$AT16,'Map 5'!E16="Island",CONCATENATE($AT16, " Island"),ISNUMBER(SEARCH("Rainshadow",'Map 5'!E16)),CONCATENATE($AT16," ",'Map 5'!E16)),'Map 5'!E16)</f>
        <v>Ocean</v>
      </c>
      <c r="F16" s="46" t="str" cm="1">
        <f t="array" aca="1" ref="F16" ca="1">_xlfn.IFNA(_xlfn.IFS(AND(ISNUMBER(SEARCH("Rainshadow",'Map 5'!F16)),ISNUMBER(SEARCH("Flatland",'Map 5'!F16))),CONCATENATE($AT16, " Rainshadow"),'Map 5'!F16="Flatland",$AT16,'Map 5'!F16="Island",CONCATENATE($AT16, " Island"),ISNUMBER(SEARCH("Rainshadow",'Map 5'!F16)),CONCATENATE($AT16," ",'Map 5'!F16)),'Map 5'!F16)</f>
        <v>Trench</v>
      </c>
      <c r="G16" s="46" t="str" cm="1">
        <f t="array" aca="1" ref="G16" ca="1">_xlfn.IFNA(_xlfn.IFS(AND(ISNUMBER(SEARCH("Rainshadow",'Map 5'!G16)),ISNUMBER(SEARCH("Flatland",'Map 5'!G16))),CONCATENATE($AT16, " Rainshadow"),'Map 5'!G16="Flatland",$AT16,'Map 5'!G16="Island",CONCATENATE($AT16, " Island"),ISNUMBER(SEARCH("Rainshadow",'Map 5'!G16)),CONCATENATE($AT16," ",'Map 5'!G16)),'Map 5'!G16)</f>
        <v>Ocean</v>
      </c>
      <c r="H16" s="46" t="str" cm="1">
        <f t="array" aca="1" ref="H16" ca="1">_xlfn.IFNA(_xlfn.IFS(AND(ISNUMBER(SEARCH("Rainshadow",'Map 5'!H16)),ISNUMBER(SEARCH("Flatland",'Map 5'!H16))),CONCATENATE($AT16, " Rainshadow"),'Map 5'!H16="Flatland",$AT16,'Map 5'!H16="Island",CONCATENATE($AT16, " Island"),ISNUMBER(SEARCH("Rainshadow",'Map 5'!H16)),CONCATENATE($AT16," ",'Map 5'!H16)),'Map 5'!H16)</f>
        <v>Ocean</v>
      </c>
      <c r="I16" s="46" t="str" cm="1">
        <f t="array" aca="1" ref="I16" ca="1">_xlfn.IFNA(_xlfn.IFS(AND(ISNUMBER(SEARCH("Rainshadow",'Map 5'!I16)),ISNUMBER(SEARCH("Flatland",'Map 5'!I16))),CONCATENATE($AT16, " Rainshadow"),'Map 5'!I16="Flatland",$AT16,'Map 5'!I16="Island",CONCATENATE($AT16, " Island"),ISNUMBER(SEARCH("Rainshadow",'Map 5'!I16)),CONCATENATE($AT16," ",'Map 5'!I16)),'Map 5'!I16)</f>
        <v>Ocean</v>
      </c>
      <c r="J16" s="46" t="str" cm="1">
        <f t="array" aca="1" ref="J16" ca="1">_xlfn.IFNA(_xlfn.IFS(AND(ISNUMBER(SEARCH("Rainshadow",'Map 5'!J16)),ISNUMBER(SEARCH("Flatland",'Map 5'!J16))),CONCATENATE($AT16, " Rainshadow"),'Map 5'!J16="Flatland",$AT16,'Map 5'!J16="Island",CONCATENATE($AT16, " Island"),ISNUMBER(SEARCH("Rainshadow",'Map 5'!J16)),CONCATENATE($AT16," ",'Map 5'!J16)),'Map 5'!J16)</f>
        <v>Ocean</v>
      </c>
      <c r="K16" s="46" t="str" cm="1">
        <f t="array" aca="1" ref="K16" ca="1">_xlfn.IFNA(_xlfn.IFS(AND(ISNUMBER(SEARCH("Rainshadow",'Map 5'!K16)),ISNUMBER(SEARCH("Flatland",'Map 5'!K16))),CONCATENATE($AT16, " Rainshadow"),'Map 5'!K16="Flatland",$AT16,'Map 5'!K16="Island",CONCATENATE($AT16, " Island"),ISNUMBER(SEARCH("Rainshadow",'Map 5'!K16)),CONCATENATE($AT16," ",'Map 5'!K16)),'Map 5'!K16)</f>
        <v>Trench</v>
      </c>
      <c r="L16" s="46" t="str" cm="1">
        <f t="array" aca="1" ref="L16" ca="1">_xlfn.IFNA(_xlfn.IFS(AND(ISNUMBER(SEARCH("Rainshadow",'Map 5'!L16)),ISNUMBER(SEARCH("Flatland",'Map 5'!L16))),CONCATENATE($AT16, " Rainshadow"),'Map 5'!L16="Flatland",$AT16,'Map 5'!L16="Island",CONCATENATE($AT16, " Island"),ISNUMBER(SEARCH("Rainshadow",'Map 5'!L16)),CONCATENATE($AT16," ",'Map 5'!L16)),'Map 5'!L16)</f>
        <v>Trench</v>
      </c>
      <c r="M16" s="46" t="str" cm="1">
        <f t="array" aca="1" ref="M16" ca="1">_xlfn.IFNA(_xlfn.IFS(AND(ISNUMBER(SEARCH("Rainshadow",'Map 5'!M16)),ISNUMBER(SEARCH("Flatland",'Map 5'!M16))),CONCATENATE($AT16, " Rainshadow"),'Map 5'!M16="Flatland",$AT16,'Map 5'!M16="Island",CONCATENATE($AT16, " Island"),ISNUMBER(SEARCH("Rainshadow",'Map 5'!M16)),CONCATENATE($AT16," ",'Map 5'!M16)),'Map 5'!M16)</f>
        <v>Ocean</v>
      </c>
      <c r="N16" s="46" t="str" cm="1">
        <f t="array" aca="1" ref="N16" ca="1">_xlfn.IFNA(_xlfn.IFS(AND(ISNUMBER(SEARCH("Rainshadow",'Map 5'!N16)),ISNUMBER(SEARCH("Flatland",'Map 5'!N16))),CONCATENATE($AT16, " Rainshadow"),'Map 5'!N16="Flatland",$AT16,'Map 5'!N16="Island",CONCATENATE($AT16, " Island"),ISNUMBER(SEARCH("Rainshadow",'Map 5'!N16)),CONCATENATE($AT16," ",'Map 5'!N16)),'Map 5'!N16)</f>
        <v>Forest Island</v>
      </c>
      <c r="O16" s="46" t="str" cm="1">
        <f t="array" aca="1" ref="O16" ca="1">_xlfn.IFNA(_xlfn.IFS(AND(ISNUMBER(SEARCH("Rainshadow",'Map 5'!O16)),ISNUMBER(SEARCH("Flatland",'Map 5'!O16))),CONCATENATE($AT16, " Rainshadow"),'Map 5'!O16="Flatland",$AT16,'Map 5'!O16="Island",CONCATENATE($AT16, " Island"),ISNUMBER(SEARCH("Rainshadow",'Map 5'!O16)),CONCATENATE($AT16," ",'Map 5'!O16)),'Map 5'!O16)</f>
        <v>Ocean</v>
      </c>
      <c r="P16" s="46" t="str" cm="1">
        <f t="array" aca="1" ref="P16" ca="1">_xlfn.IFNA(_xlfn.IFS(AND(ISNUMBER(SEARCH("Rainshadow",'Map 5'!P16)),ISNUMBER(SEARCH("Flatland",'Map 5'!P16))),CONCATENATE($AT16, " Rainshadow"),'Map 5'!P16="Flatland",$AT16,'Map 5'!P16="Island",CONCATENATE($AT16, " Island"),ISNUMBER(SEARCH("Rainshadow",'Map 5'!P16)),CONCATENATE($AT16," ",'Map 5'!P16)),'Map 5'!P16)</f>
        <v>Ocean</v>
      </c>
      <c r="Q16" s="46" t="str" cm="1">
        <f t="array" aca="1" ref="Q16" ca="1">_xlfn.IFNA(_xlfn.IFS(AND(ISNUMBER(SEARCH("Rainshadow",'Map 5'!Q16)),ISNUMBER(SEARCH("Flatland",'Map 5'!Q16))),CONCATENATE($AT16, " Rainshadow"),'Map 5'!Q16="Flatland",$AT16,'Map 5'!Q16="Island",CONCATENATE($AT16, " Island"),ISNUMBER(SEARCH("Rainshadow",'Map 5'!Q16)),CONCATENATE($AT16," ",'Map 5'!Q16)),'Map 5'!Q16)</f>
        <v>Ocean</v>
      </c>
      <c r="R16" s="46" t="str" cm="1">
        <f t="array" aca="1" ref="R16" ca="1">_xlfn.IFNA(_xlfn.IFS(AND(ISNUMBER(SEARCH("Rainshadow",'Map 5'!R16)),ISNUMBER(SEARCH("Flatland",'Map 5'!R16))),CONCATENATE($AT16, " Rainshadow"),'Map 5'!R16="Flatland",$AT16,'Map 5'!R16="Island",CONCATENATE($AT16, " Island"),ISNUMBER(SEARCH("Rainshadow",'Map 5'!R16)),CONCATENATE($AT16," ",'Map 5'!R16)),'Map 5'!R16)</f>
        <v>Ocean</v>
      </c>
      <c r="S16" s="46" t="str" cm="1">
        <f t="array" aca="1" ref="S16" ca="1">_xlfn.IFNA(_xlfn.IFS(AND(ISNUMBER(SEARCH("Rainshadow",'Map 5'!S16)),ISNUMBER(SEARCH("Flatland",'Map 5'!S16))),CONCATENATE($AT16, " Rainshadow"),'Map 5'!S16="Flatland",$AT16,'Map 5'!S16="Island",CONCATENATE($AT16, " Island"),ISNUMBER(SEARCH("Rainshadow",'Map 5'!S16)),CONCATENATE($AT16," ",'Map 5'!S16)),'Map 5'!S16)</f>
        <v>Ocean</v>
      </c>
      <c r="T16" s="46" t="str" cm="1">
        <f t="array" aca="1" ref="T16" ca="1">_xlfn.IFNA(_xlfn.IFS(AND(ISNUMBER(SEARCH("Rainshadow",'Map 5'!T16)),ISNUMBER(SEARCH("Flatland",'Map 5'!T16))),CONCATENATE($AT16, " Rainshadow"),'Map 5'!T16="Flatland",$AT16,'Map 5'!T16="Island",CONCATENATE($AT16, " Island"),ISNUMBER(SEARCH("Rainshadow",'Map 5'!T16)),CONCATENATE($AT16," ",'Map 5'!T16)),'Map 5'!T16)</f>
        <v>Ocean</v>
      </c>
      <c r="U16" s="46" t="str" cm="1">
        <f t="array" aca="1" ref="U16" ca="1">_xlfn.IFNA(_xlfn.IFS(AND(ISNUMBER(SEARCH("Rainshadow",'Map 5'!U16)),ISNUMBER(SEARCH("Flatland",'Map 5'!U16))),CONCATENATE($AT16, " Rainshadow"),'Map 5'!U16="Flatland",$AT16,'Map 5'!U16="Island",CONCATENATE($AT16, " Island"),ISNUMBER(SEARCH("Rainshadow",'Map 5'!U16)),CONCATENATE($AT16," ",'Map 5'!U16)),'Map 5'!U16)</f>
        <v>Ocean</v>
      </c>
      <c r="V16" s="46" t="str" cm="1">
        <f t="array" aca="1" ref="V16" ca="1">_xlfn.IFNA(_xlfn.IFS(AND(ISNUMBER(SEARCH("Rainshadow",'Map 5'!V16)),ISNUMBER(SEARCH("Flatland",'Map 5'!V16))),CONCATENATE($AT16, " Rainshadow"),'Map 5'!V16="Flatland",$AT16,'Map 5'!V16="Island",CONCATENATE($AT16, " Island"),ISNUMBER(SEARCH("Rainshadow",'Map 5'!V16)),CONCATENATE($AT16," ",'Map 5'!V16)),'Map 5'!V16)</f>
        <v>Forest Island</v>
      </c>
      <c r="W16" s="46" t="str" cm="1">
        <f t="array" aca="1" ref="W16" ca="1">_xlfn.IFNA(_xlfn.IFS(AND(ISNUMBER(SEARCH("Rainshadow",'Map 5'!W16)),ISNUMBER(SEARCH("Flatland",'Map 5'!W16))),CONCATENATE($AT16, " Rainshadow"),'Map 5'!W16="Flatland",$AT16,'Map 5'!W16="Island",CONCATENATE($AT16, " Island"),ISNUMBER(SEARCH("Rainshadow",'Map 5'!W16)),CONCATENATE($AT16," ",'Map 5'!W16)),'Map 5'!W16)</f>
        <v>Ocean</v>
      </c>
      <c r="X16" s="46" t="str" cm="1">
        <f t="array" aca="1" ref="X16" ca="1">_xlfn.IFNA(_xlfn.IFS(AND(ISNUMBER(SEARCH("Rainshadow",'Map 5'!X16)),ISNUMBER(SEARCH("Flatland",'Map 5'!X16))),CONCATENATE($AT16, " Rainshadow"),'Map 5'!X16="Flatland",$AT16,'Map 5'!X16="Island",CONCATENATE($AT16, " Island"),ISNUMBER(SEARCH("Rainshadow",'Map 5'!X16)),CONCATENATE($AT16," ",'Map 5'!X16)),'Map 5'!X16)</f>
        <v>Forest Island</v>
      </c>
      <c r="Y16" s="46" t="str" cm="1">
        <f t="array" aca="1" ref="Y16" ca="1">_xlfn.IFNA(_xlfn.IFS(AND(ISNUMBER(SEARCH("Rainshadow",'Map 5'!Y16)),ISNUMBER(SEARCH("Flatland",'Map 5'!Y16))),CONCATENATE($AT16, " Rainshadow"),'Map 5'!Y16="Flatland",$AT16,'Map 5'!Y16="Island",CONCATENATE($AT16, " Island"),ISNUMBER(SEARCH("Rainshadow",'Map 5'!Y16)),CONCATENATE($AT16," ",'Map 5'!Y16)),'Map 5'!Y16)</f>
        <v>Ocean</v>
      </c>
      <c r="Z16" s="46" t="str" cm="1">
        <f t="array" aca="1" ref="Z16" ca="1">_xlfn.IFNA(_xlfn.IFS(AND(ISNUMBER(SEARCH("Rainshadow",'Map 5'!Z16)),ISNUMBER(SEARCH("Flatland",'Map 5'!Z16))),CONCATENATE($AT16, " Rainshadow"),'Map 5'!Z16="Flatland",$AT16,'Map 5'!Z16="Island",CONCATENATE($AT16, " Island"),ISNUMBER(SEARCH("Rainshadow",'Map 5'!Z16)),CONCATENATE($AT16," ",'Map 5'!Z16)),'Map 5'!Z16)</f>
        <v>Ocean</v>
      </c>
      <c r="AA16" s="46" t="str" cm="1">
        <f t="array" aca="1" ref="AA16" ca="1">_xlfn.IFNA(_xlfn.IFS(AND(ISNUMBER(SEARCH("Rainshadow",'Map 5'!AA16)),ISNUMBER(SEARCH("Flatland",'Map 5'!AA16))),CONCATENATE($AT16, " Rainshadow"),'Map 5'!AA16="Flatland",$AT16,'Map 5'!AA16="Island",CONCATENATE($AT16, " Island"),ISNUMBER(SEARCH("Rainshadow",'Map 5'!AA16)),CONCATENATE($AT16," ",'Map 5'!AA16)),'Map 5'!AA16)</f>
        <v>Forest Rainshadow Island</v>
      </c>
      <c r="AB16" s="46" t="str" cm="1">
        <f t="array" aca="1" ref="AB16" ca="1">_xlfn.IFNA(_xlfn.IFS(AND(ISNUMBER(SEARCH("Rainshadow",'Map 5'!AB16)),ISNUMBER(SEARCH("Flatland",'Map 5'!AB16))),CONCATENATE($AT16, " Rainshadow"),'Map 5'!AB16="Flatland",$AT16,'Map 5'!AB16="Island",CONCATENATE($AT16, " Island"),ISNUMBER(SEARCH("Rainshadow",'Map 5'!AB16)),CONCATENATE($AT16," ",'Map 5'!AB16)),'Map 5'!AB16)</f>
        <v>Ocean</v>
      </c>
      <c r="AC16" s="46" t="str" cm="1">
        <f t="array" aca="1" ref="AC16" ca="1">_xlfn.IFNA(_xlfn.IFS(AND(ISNUMBER(SEARCH("Rainshadow",'Map 5'!AC16)),ISNUMBER(SEARCH("Flatland",'Map 5'!AC16))),CONCATENATE($AT16, " Rainshadow"),'Map 5'!AC16="Flatland",$AT16,'Map 5'!AC16="Island",CONCATENATE($AT16, " Island"),ISNUMBER(SEARCH("Rainshadow",'Map 5'!AC16)),CONCATENATE($AT16," ",'Map 5'!AC16)),'Map 5'!AC16)</f>
        <v>Ocean</v>
      </c>
      <c r="AD16" s="46" t="str" cm="1">
        <f t="array" aca="1" ref="AD16" ca="1">_xlfn.IFNA(_xlfn.IFS(AND(ISNUMBER(SEARCH("Rainshadow",'Map 5'!AD16)),ISNUMBER(SEARCH("Flatland",'Map 5'!AD16))),CONCATENATE($AT16, " Rainshadow"),'Map 5'!AD16="Flatland",$AT16,'Map 5'!AD16="Island",CONCATENATE($AT16, " Island"),ISNUMBER(SEARCH("Rainshadow",'Map 5'!AD16)),CONCATENATE($AT16," ",'Map 5'!AD16)),'Map 5'!AD16)</f>
        <v>Ocean</v>
      </c>
      <c r="AE16" s="46" t="str" cm="1">
        <f t="array" aca="1" ref="AE16" ca="1">_xlfn.IFNA(_xlfn.IFS(AND(ISNUMBER(SEARCH("Rainshadow",'Map 5'!AE16)),ISNUMBER(SEARCH("Flatland",'Map 5'!AE16))),CONCATENATE($AT16, " Rainshadow"),'Map 5'!AE16="Flatland",$AT16,'Map 5'!AE16="Island",CONCATENATE($AT16, " Island"),ISNUMBER(SEARCH("Rainshadow",'Map 5'!AE16)),CONCATENATE($AT16," ",'Map 5'!AE16)),'Map 5'!AE16)</f>
        <v>Ocean</v>
      </c>
      <c r="AF16" s="46" t="str" cm="1">
        <f t="array" aca="1" ref="AF16" ca="1">_xlfn.IFNA(_xlfn.IFS(AND(ISNUMBER(SEARCH("Rainshadow",'Map 5'!AF16)),ISNUMBER(SEARCH("Flatland",'Map 5'!AF16))),CONCATENATE($AT16, " Rainshadow"),'Map 5'!AF16="Flatland",$AT16,'Map 5'!AF16="Island",CONCATENATE($AT16, " Island"),ISNUMBER(SEARCH("Rainshadow",'Map 5'!AF16)),CONCATENATE($AT16," ",'Map 5'!AF16)),'Map 5'!AF16)</f>
        <v>Ocean</v>
      </c>
      <c r="AG16" s="46" t="str" cm="1">
        <f t="array" aca="1" ref="AG16" ca="1">_xlfn.IFNA(_xlfn.IFS(AND(ISNUMBER(SEARCH("Rainshadow",'Map 5'!AG16)),ISNUMBER(SEARCH("Flatland",'Map 5'!AG16))),CONCATENATE($AT16, " Rainshadow"),'Map 5'!AG16="Flatland",$AT16,'Map 5'!AG16="Island",CONCATENATE($AT16, " Island"),ISNUMBER(SEARCH("Rainshadow",'Map 5'!AG16)),CONCATENATE($AT16," ",'Map 5'!AG16)),'Map 5'!AG16)</f>
        <v>Ocean</v>
      </c>
      <c r="AH16" s="46" t="str" cm="1">
        <f t="array" aca="1" ref="AH16" ca="1">_xlfn.IFNA(_xlfn.IFS(AND(ISNUMBER(SEARCH("Rainshadow",'Map 5'!AH16)),ISNUMBER(SEARCH("Flatland",'Map 5'!AH16))),CONCATENATE($AT16, " Rainshadow"),'Map 5'!AH16="Flatland",$AT16,'Map 5'!AH16="Island",CONCATENATE($AT16, " Island"),ISNUMBER(SEARCH("Rainshadow",'Map 5'!AH16)),CONCATENATE($AT16," ",'Map 5'!AH16)),'Map 5'!AH16)</f>
        <v>Ocean</v>
      </c>
      <c r="AI16" s="46" t="str" cm="1">
        <f t="array" aca="1" ref="AI16" ca="1">_xlfn.IFNA(_xlfn.IFS(AND(ISNUMBER(SEARCH("Rainshadow",'Map 5'!AI16)),ISNUMBER(SEARCH("Flatland",'Map 5'!AI16))),CONCATENATE($AT16, " Rainshadow"),'Map 5'!AI16="Flatland",$AT16,'Map 5'!AI16="Island",CONCATENATE($AT16, " Island"),ISNUMBER(SEARCH("Rainshadow",'Map 5'!AI16)),CONCATENATE($AT16," ",'Map 5'!AI16)),'Map 5'!AI16)</f>
        <v>Ocean</v>
      </c>
      <c r="AJ16" s="46" t="str" cm="1">
        <f t="array" aca="1" ref="AJ16" ca="1">_xlfn.IFNA(_xlfn.IFS(AND(ISNUMBER(SEARCH("Rainshadow",'Map 5'!AJ16)),ISNUMBER(SEARCH("Flatland",'Map 5'!AJ16))),CONCATENATE($AT16, " Rainshadow"),'Map 5'!AJ16="Flatland",$AT16,'Map 5'!AJ16="Island",CONCATENATE($AT16, " Island"),ISNUMBER(SEARCH("Rainshadow",'Map 5'!AJ16)),CONCATENATE($AT16," ",'Map 5'!AJ16)),'Map 5'!AJ16)</f>
        <v>Forest Island</v>
      </c>
      <c r="AK16" s="46" t="str" cm="1">
        <f t="array" aca="1" ref="AK16" ca="1">_xlfn.IFNA(_xlfn.IFS(AND(ISNUMBER(SEARCH("Rainshadow",'Map 5'!AK16)),ISNUMBER(SEARCH("Flatland",'Map 5'!AK16))),CONCATENATE($AT16, " Rainshadow"),'Map 5'!AK16="Flatland",$AT16,'Map 5'!AK16="Island",CONCATENATE($AT16, " Island"),ISNUMBER(SEARCH("Rainshadow",'Map 5'!AK16)),CONCATENATE($AT16," ",'Map 5'!AK16)),'Map 5'!AK16)</f>
        <v>Coast</v>
      </c>
      <c r="AL16" s="46" t="str" cm="1">
        <f t="array" aca="1" ref="AL16" ca="1">_xlfn.IFNA(_xlfn.IFS(AND(ISNUMBER(SEARCH("Rainshadow",'Map 5'!AL16)),ISNUMBER(SEARCH("Flatland",'Map 5'!AL16))),CONCATENATE($AT16, " Rainshadow"),'Map 5'!AL16="Flatland",$AT16,'Map 5'!AL16="Island",CONCATENATE($AT16, " Island"),ISNUMBER(SEARCH("Rainshadow",'Map 5'!AL16)),CONCATENATE($AT16," ",'Map 5'!AL16)),'Map 5'!AL16)</f>
        <v>Coast</v>
      </c>
      <c r="AM16" s="46" t="str" cm="1">
        <f t="array" aca="1" ref="AM16" ca="1">_xlfn.IFNA(_xlfn.IFS(AND(ISNUMBER(SEARCH("Rainshadow",'Map 5'!AM16)),ISNUMBER(SEARCH("Flatland",'Map 5'!AM16))),CONCATENATE($AT16, " Rainshadow"),'Map 5'!AM16="Flatland",$AT16,'Map 5'!AM16="Island",CONCATENATE($AT16, " Island"),ISNUMBER(SEARCH("Rainshadow",'Map 5'!AM16)),CONCATENATE($AT16," ",'Map 5'!AM16)),'Map 5'!AM16)</f>
        <v>Coast</v>
      </c>
      <c r="AN16" s="46" t="str" cm="1">
        <f t="array" aca="1" ref="AN16" ca="1">_xlfn.IFNA(_xlfn.IFS(AND(ISNUMBER(SEARCH("Rainshadow",'Map 5'!AN16)),ISNUMBER(SEARCH("Flatland",'Map 5'!AN16))),CONCATENATE($AT16, " Rainshadow"),'Map 5'!AN16="Flatland",$AT16,'Map 5'!AN16="Island",CONCATENATE($AT16, " Island"),ISNUMBER(SEARCH("Rainshadow",'Map 5'!AN16)),CONCATENATE($AT16," ",'Map 5'!AN16)),'Map 5'!AN16)</f>
        <v>Forest</v>
      </c>
      <c r="AO16" s="46" t="str" cm="1">
        <f t="array" aca="1" ref="AO16" ca="1">_xlfn.IFNA(_xlfn.IFS(AND(ISNUMBER(SEARCH("Rainshadow",'Map 5'!AO16)),ISNUMBER(SEARCH("Flatland",'Map 5'!AO16))),CONCATENATE($AT16, " Rainshadow"),'Map 5'!AO16="Flatland",$AT16,'Map 5'!AO16="Island",CONCATENATE($AT16, " Island"),ISNUMBER(SEARCH("Rainshadow",'Map 5'!AO16)),CONCATENATE($AT16," ",'Map 5'!AO16)),'Map 5'!AO16)</f>
        <v>Mountain</v>
      </c>
      <c r="AP16" s="46">
        <f>'Map 5'!AP16</f>
        <v>0.55000000000000004</v>
      </c>
      <c r="AQ16" s="46">
        <f>'Map 5'!AQ16</f>
        <v>32.99</v>
      </c>
      <c r="AR16" s="46">
        <f>'Map 5'!AS16</f>
        <v>273.70000000000016</v>
      </c>
      <c r="AS16" s="47">
        <f>'Map 5'!AT16</f>
        <v>63</v>
      </c>
      <c r="AT16" s="47" t="str">
        <f>'Map 5'!AU16</f>
        <v>Forest</v>
      </c>
      <c r="AU16" s="47" t="str">
        <f>'Map 5'!AV16</f>
        <v>⤵</v>
      </c>
      <c r="AX16" s="47" t="str">
        <f>CONCATENATE(AX10," ",$AW$13)</f>
        <v>Mediterranean Island</v>
      </c>
    </row>
    <row r="17" spans="1:50" ht="18.75" customHeight="1">
      <c r="A17" s="46">
        <v>8</v>
      </c>
      <c r="B17" s="46" t="str" cm="1">
        <f t="array" aca="1" ref="B17" ca="1">_xlfn.IFNA(_xlfn.IFS(AND(ISNUMBER(SEARCH("Rainshadow",'Map 5'!B17)),ISNUMBER(SEARCH("Flatland",'Map 5'!B17))),CONCATENATE($AT17, " Rainshadow"),'Map 5'!B17="Flatland",$AT17,'Map 5'!B17="Island",CONCATENATE($AT17, " Island"),ISNUMBER(SEARCH("Rainshadow",'Map 5'!B17)),CONCATENATE($AT17," ",'Map 5'!B17)),'Map 5'!B17)</f>
        <v>Coast</v>
      </c>
      <c r="C17" s="46" t="str" cm="1">
        <f t="array" aca="1" ref="C17" ca="1">_xlfn.IFNA(_xlfn.IFS(AND(ISNUMBER(SEARCH("Rainshadow",'Map 5'!C17)),ISNUMBER(SEARCH("Flatland",'Map 5'!C17))),CONCATENATE($AT17, " Rainshadow"),'Map 5'!C17="Flatland",$AT17,'Map 5'!C17="Island",CONCATENATE($AT17, " Island"),ISNUMBER(SEARCH("Rainshadow",'Map 5'!C17)),CONCATENATE($AT17," ",'Map 5'!C17)),'Map 5'!C17)</f>
        <v>Ocean</v>
      </c>
      <c r="D17" s="46" t="str" cm="1">
        <f t="array" aca="1" ref="D17" ca="1">_xlfn.IFNA(_xlfn.IFS(AND(ISNUMBER(SEARCH("Rainshadow",'Map 5'!D17)),ISNUMBER(SEARCH("Flatland",'Map 5'!D17))),CONCATENATE($AT17, " Rainshadow"),'Map 5'!D17="Flatland",$AT17,'Map 5'!D17="Island",CONCATENATE($AT17, " Island"),ISNUMBER(SEARCH("Rainshadow",'Map 5'!D17)),CONCATENATE($AT17," ",'Map 5'!D17)),'Map 5'!D17)</f>
        <v>Ocean</v>
      </c>
      <c r="E17" s="46" t="str" cm="1">
        <f t="array" aca="1" ref="E17" ca="1">_xlfn.IFNA(_xlfn.IFS(AND(ISNUMBER(SEARCH("Rainshadow",'Map 5'!E17)),ISNUMBER(SEARCH("Flatland",'Map 5'!E17))),CONCATENATE($AT17, " Rainshadow"),'Map 5'!E17="Flatland",$AT17,'Map 5'!E17="Island",CONCATENATE($AT17, " Island"),ISNUMBER(SEARCH("Rainshadow",'Map 5'!E17)),CONCATENATE($AT17," ",'Map 5'!E17)),'Map 5'!E17)</f>
        <v>Ocean</v>
      </c>
      <c r="F17" s="46" t="str" cm="1">
        <f t="array" aca="1" ref="F17" ca="1">_xlfn.IFNA(_xlfn.IFS(AND(ISNUMBER(SEARCH("Rainshadow",'Map 5'!F17)),ISNUMBER(SEARCH("Flatland",'Map 5'!F17))),CONCATENATE($AT17, " Rainshadow"),'Map 5'!F17="Flatland",$AT17,'Map 5'!F17="Island",CONCATENATE($AT17, " Island"),ISNUMBER(SEARCH("Rainshadow",'Map 5'!F17)),CONCATENATE($AT17," ",'Map 5'!F17)),'Map 5'!F17)</f>
        <v>Forest Island</v>
      </c>
      <c r="G17" s="46" t="str" cm="1">
        <f t="array" aca="1" ref="G17" ca="1">_xlfn.IFNA(_xlfn.IFS(AND(ISNUMBER(SEARCH("Rainshadow",'Map 5'!G17)),ISNUMBER(SEARCH("Flatland",'Map 5'!G17))),CONCATENATE($AT17, " Rainshadow"),'Map 5'!G17="Flatland",$AT17,'Map 5'!G17="Island",CONCATENATE($AT17, " Island"),ISNUMBER(SEARCH("Rainshadow",'Map 5'!G17)),CONCATENATE($AT17," ",'Map 5'!G17)),'Map 5'!G17)</f>
        <v>Forest Island</v>
      </c>
      <c r="H17" s="46" t="str" cm="1">
        <f t="array" aca="1" ref="H17" ca="1">_xlfn.IFNA(_xlfn.IFS(AND(ISNUMBER(SEARCH("Rainshadow",'Map 5'!H17)),ISNUMBER(SEARCH("Flatland",'Map 5'!H17))),CONCATENATE($AT17, " Rainshadow"),'Map 5'!H17="Flatland",$AT17,'Map 5'!H17="Island",CONCATENATE($AT17, " Island"),ISNUMBER(SEARCH("Rainshadow",'Map 5'!H17)),CONCATENATE($AT17," ",'Map 5'!H17)),'Map 5'!H17)</f>
        <v>Ocean</v>
      </c>
      <c r="I17" s="46" t="str" cm="1">
        <f t="array" aca="1" ref="I17" ca="1">_xlfn.IFNA(_xlfn.IFS(AND(ISNUMBER(SEARCH("Rainshadow",'Map 5'!I17)),ISNUMBER(SEARCH("Flatland",'Map 5'!I17))),CONCATENATE($AT17, " Rainshadow"),'Map 5'!I17="Flatland",$AT17,'Map 5'!I17="Island",CONCATENATE($AT17, " Island"),ISNUMBER(SEARCH("Rainshadow",'Map 5'!I17)),CONCATENATE($AT17," ",'Map 5'!I17)),'Map 5'!I17)</f>
        <v>Ocean</v>
      </c>
      <c r="J17" s="46" t="str" cm="1">
        <f t="array" aca="1" ref="J17" ca="1">_xlfn.IFNA(_xlfn.IFS(AND(ISNUMBER(SEARCH("Rainshadow",'Map 5'!J17)),ISNUMBER(SEARCH("Flatland",'Map 5'!J17))),CONCATENATE($AT17, " Rainshadow"),'Map 5'!J17="Flatland",$AT17,'Map 5'!J17="Island",CONCATENATE($AT17, " Island"),ISNUMBER(SEARCH("Rainshadow",'Map 5'!J17)),CONCATENATE($AT17," ",'Map 5'!J17)),'Map 5'!J17)</f>
        <v>Ocean</v>
      </c>
      <c r="K17" s="46" t="str" cm="1">
        <f t="array" aca="1" ref="K17" ca="1">_xlfn.IFNA(_xlfn.IFS(AND(ISNUMBER(SEARCH("Rainshadow",'Map 5'!K17)),ISNUMBER(SEARCH("Flatland",'Map 5'!K17))),CONCATENATE($AT17, " Rainshadow"),'Map 5'!K17="Flatland",$AT17,'Map 5'!K17="Island",CONCATENATE($AT17, " Island"),ISNUMBER(SEARCH("Rainshadow",'Map 5'!K17)),CONCATENATE($AT17," ",'Map 5'!K17)),'Map 5'!K17)</f>
        <v>Forest Island</v>
      </c>
      <c r="L17" s="46" t="str" cm="1">
        <f t="array" aca="1" ref="L17" ca="1">_xlfn.IFNA(_xlfn.IFS(AND(ISNUMBER(SEARCH("Rainshadow",'Map 5'!L17)),ISNUMBER(SEARCH("Flatland",'Map 5'!L17))),CONCATENATE($AT17, " Rainshadow"),'Map 5'!L17="Flatland",$AT17,'Map 5'!L17="Island",CONCATENATE($AT17, " Island"),ISNUMBER(SEARCH("Rainshadow",'Map 5'!L17)),CONCATENATE($AT17," ",'Map 5'!L17)),'Map 5'!L17)</f>
        <v>Ocean</v>
      </c>
      <c r="M17" s="46" t="str" cm="1">
        <f t="array" aca="1" ref="M17" ca="1">_xlfn.IFNA(_xlfn.IFS(AND(ISNUMBER(SEARCH("Rainshadow",'Map 5'!M17)),ISNUMBER(SEARCH("Flatland",'Map 5'!M17))),CONCATENATE($AT17, " Rainshadow"),'Map 5'!M17="Flatland",$AT17,'Map 5'!M17="Island",CONCATENATE($AT17, " Island"),ISNUMBER(SEARCH("Rainshadow",'Map 5'!M17)),CONCATENATE($AT17," ",'Map 5'!M17)),'Map 5'!M17)</f>
        <v>Coast</v>
      </c>
      <c r="N17" s="46" t="str" cm="1">
        <f t="array" aca="1" ref="N17" ca="1">_xlfn.IFNA(_xlfn.IFS(AND(ISNUMBER(SEARCH("Rainshadow",'Map 5'!N17)),ISNUMBER(SEARCH("Flatland",'Map 5'!N17))),CONCATENATE($AT17, " Rainshadow"),'Map 5'!N17="Flatland",$AT17,'Map 5'!N17="Island",CONCATENATE($AT17, " Island"),ISNUMBER(SEARCH("Rainshadow",'Map 5'!N17)),CONCATENATE($AT17," ",'Map 5'!N17)),'Map 5'!N17)</f>
        <v>Forest</v>
      </c>
      <c r="O17" s="46" t="str" cm="1">
        <f t="array" aca="1" ref="O17" ca="1">_xlfn.IFNA(_xlfn.IFS(AND(ISNUMBER(SEARCH("Rainshadow",'Map 5'!O17)),ISNUMBER(SEARCH("Flatland",'Map 5'!O17))),CONCATENATE($AT17, " Rainshadow"),'Map 5'!O17="Flatland",$AT17,'Map 5'!O17="Island",CONCATENATE($AT17, " Island"),ISNUMBER(SEARCH("Rainshadow",'Map 5'!O17)),CONCATENATE($AT17," ",'Map 5'!O17)),'Map 5'!O17)</f>
        <v>Coast</v>
      </c>
      <c r="P17" s="46" t="str" cm="1">
        <f t="array" aca="1" ref="P17" ca="1">_xlfn.IFNA(_xlfn.IFS(AND(ISNUMBER(SEARCH("Rainshadow",'Map 5'!P17)),ISNUMBER(SEARCH("Flatland",'Map 5'!P17))),CONCATENATE($AT17, " Rainshadow"),'Map 5'!P17="Flatland",$AT17,'Map 5'!P17="Island",CONCATENATE($AT17, " Island"),ISNUMBER(SEARCH("Rainshadow",'Map 5'!P17)),CONCATENATE($AT17," ",'Map 5'!P17)),'Map 5'!P17)</f>
        <v>Coast</v>
      </c>
      <c r="Q17" s="46" t="str" cm="1">
        <f t="array" aca="1" ref="Q17" ca="1">_xlfn.IFNA(_xlfn.IFS(AND(ISNUMBER(SEARCH("Rainshadow",'Map 5'!Q17)),ISNUMBER(SEARCH("Flatland",'Map 5'!Q17))),CONCATENATE($AT17, " Rainshadow"),'Map 5'!Q17="Flatland",$AT17,'Map 5'!Q17="Island",CONCATENATE($AT17, " Island"),ISNUMBER(SEARCH("Rainshadow",'Map 5'!Q17)),CONCATENATE($AT17," ",'Map 5'!Q17)),'Map 5'!Q17)</f>
        <v>Coast</v>
      </c>
      <c r="R17" s="46" t="str" cm="1">
        <f t="array" aca="1" ref="R17" ca="1">_xlfn.IFNA(_xlfn.IFS(AND(ISNUMBER(SEARCH("Rainshadow",'Map 5'!R17)),ISNUMBER(SEARCH("Flatland",'Map 5'!R17))),CONCATENATE($AT17, " Rainshadow"),'Map 5'!R17="Flatland",$AT17,'Map 5'!R17="Island",CONCATENATE($AT17, " Island"),ISNUMBER(SEARCH("Rainshadow",'Map 5'!R17)),CONCATENATE($AT17," ",'Map 5'!R17)),'Map 5'!R17)</f>
        <v>Ocean</v>
      </c>
      <c r="S17" s="46" t="str" cm="1">
        <f t="array" aca="1" ref="S17" ca="1">_xlfn.IFNA(_xlfn.IFS(AND(ISNUMBER(SEARCH("Rainshadow",'Map 5'!S17)),ISNUMBER(SEARCH("Flatland",'Map 5'!S17))),CONCATENATE($AT17, " Rainshadow"),'Map 5'!S17="Flatland",$AT17,'Map 5'!S17="Island",CONCATENATE($AT17, " Island"),ISNUMBER(SEARCH("Rainshadow",'Map 5'!S17)),CONCATENATE($AT17," ",'Map 5'!S17)),'Map 5'!S17)</f>
        <v>Ocean</v>
      </c>
      <c r="T17" s="46" t="str" cm="1">
        <f t="array" aca="1" ref="T17" ca="1">_xlfn.IFNA(_xlfn.IFS(AND(ISNUMBER(SEARCH("Rainshadow",'Map 5'!T17)),ISNUMBER(SEARCH("Flatland",'Map 5'!T17))),CONCATENATE($AT17, " Rainshadow"),'Map 5'!T17="Flatland",$AT17,'Map 5'!T17="Island",CONCATENATE($AT17, " Island"),ISNUMBER(SEARCH("Rainshadow",'Map 5'!T17)),CONCATENATE($AT17," ",'Map 5'!T17)),'Map 5'!T17)</f>
        <v>Ocean</v>
      </c>
      <c r="U17" s="46" t="str" cm="1">
        <f t="array" aca="1" ref="U17" ca="1">_xlfn.IFNA(_xlfn.IFS(AND(ISNUMBER(SEARCH("Rainshadow",'Map 5'!U17)),ISNUMBER(SEARCH("Flatland",'Map 5'!U17))),CONCATENATE($AT17, " Rainshadow"),'Map 5'!U17="Flatland",$AT17,'Map 5'!U17="Island",CONCATENATE($AT17, " Island"),ISNUMBER(SEARCH("Rainshadow",'Map 5'!U17)),CONCATENATE($AT17," ",'Map 5'!U17)),'Map 5'!U17)</f>
        <v>Ocean</v>
      </c>
      <c r="V17" s="46" t="str" cm="1">
        <f t="array" aca="1" ref="V17" ca="1">_xlfn.IFNA(_xlfn.IFS(AND(ISNUMBER(SEARCH("Rainshadow",'Map 5'!V17)),ISNUMBER(SEARCH("Flatland",'Map 5'!V17))),CONCATENATE($AT17, " Rainshadow"),'Map 5'!V17="Flatland",$AT17,'Map 5'!V17="Island",CONCATENATE($AT17, " Island"),ISNUMBER(SEARCH("Rainshadow",'Map 5'!V17)),CONCATENATE($AT17," ",'Map 5'!V17)),'Map 5'!V17)</f>
        <v>Ocean</v>
      </c>
      <c r="W17" s="46" t="str" cm="1">
        <f t="array" aca="1" ref="W17" ca="1">_xlfn.IFNA(_xlfn.IFS(AND(ISNUMBER(SEARCH("Rainshadow",'Map 5'!W17)),ISNUMBER(SEARCH("Flatland",'Map 5'!W17))),CONCATENATE($AT17, " Rainshadow"),'Map 5'!W17="Flatland",$AT17,'Map 5'!W17="Island",CONCATENATE($AT17, " Island"),ISNUMBER(SEARCH("Rainshadow",'Map 5'!W17)),CONCATENATE($AT17," ",'Map 5'!W17)),'Map 5'!W17)</f>
        <v>Ocean</v>
      </c>
      <c r="X17" s="46" t="str" cm="1">
        <f t="array" aca="1" ref="X17" ca="1">_xlfn.IFNA(_xlfn.IFS(AND(ISNUMBER(SEARCH("Rainshadow",'Map 5'!X17)),ISNUMBER(SEARCH("Flatland",'Map 5'!X17))),CONCATENATE($AT17, " Rainshadow"),'Map 5'!X17="Flatland",$AT17,'Map 5'!X17="Island",CONCATENATE($AT17, " Island"),ISNUMBER(SEARCH("Rainshadow",'Map 5'!X17)),CONCATENATE($AT17," ",'Map 5'!X17)),'Map 5'!X17)</f>
        <v>Ocean</v>
      </c>
      <c r="Y17" s="46" t="str" cm="1">
        <f t="array" aca="1" ref="Y17" ca="1">_xlfn.IFNA(_xlfn.IFS(AND(ISNUMBER(SEARCH("Rainshadow",'Map 5'!Y17)),ISNUMBER(SEARCH("Flatland",'Map 5'!Y17))),CONCATENATE($AT17, " Rainshadow"),'Map 5'!Y17="Flatland",$AT17,'Map 5'!Y17="Island",CONCATENATE($AT17, " Island"),ISNUMBER(SEARCH("Rainshadow",'Map 5'!Y17)),CONCATENATE($AT17," ",'Map 5'!Y17)),'Map 5'!Y17)</f>
        <v>Ocean</v>
      </c>
      <c r="Z17" s="46" t="str" cm="1">
        <f t="array" aca="1" ref="Z17" ca="1">_xlfn.IFNA(_xlfn.IFS(AND(ISNUMBER(SEARCH("Rainshadow",'Map 5'!Z17)),ISNUMBER(SEARCH("Flatland",'Map 5'!Z17))),CONCATENATE($AT17, " Rainshadow"),'Map 5'!Z17="Flatland",$AT17,'Map 5'!Z17="Island",CONCATENATE($AT17, " Island"),ISNUMBER(SEARCH("Rainshadow",'Map 5'!Z17)),CONCATENATE($AT17," ",'Map 5'!Z17)),'Map 5'!Z17)</f>
        <v>Coast</v>
      </c>
      <c r="AA17" s="46" t="str" cm="1">
        <f t="array" aca="1" ref="AA17" ca="1">_xlfn.IFNA(_xlfn.IFS(AND(ISNUMBER(SEARCH("Rainshadow",'Map 5'!AA17)),ISNUMBER(SEARCH("Flatland",'Map 5'!AA17))),CONCATENATE($AT17, " Rainshadow"),'Map 5'!AA17="Flatland",$AT17,'Map 5'!AA17="Island",CONCATENATE($AT17, " Island"),ISNUMBER(SEARCH("Rainshadow",'Map 5'!AA17)),CONCATENATE($AT17," ",'Map 5'!AA17)),'Map 5'!AA17)</f>
        <v>Mountain</v>
      </c>
      <c r="AB17" s="46" t="str" cm="1">
        <f t="array" aca="1" ref="AB17" ca="1">_xlfn.IFNA(_xlfn.IFS(AND(ISNUMBER(SEARCH("Rainshadow",'Map 5'!AB17)),ISNUMBER(SEARCH("Flatland",'Map 5'!AB17))),CONCATENATE($AT17, " Rainshadow"),'Map 5'!AB17="Flatland",$AT17,'Map 5'!AB17="Island",CONCATENATE($AT17, " Island"),ISNUMBER(SEARCH("Rainshadow",'Map 5'!AB17)),CONCATENATE($AT17," ",'Map 5'!AB17)),'Map 5'!AB17)</f>
        <v>Forest</v>
      </c>
      <c r="AC17" s="46" t="str" cm="1">
        <f t="array" aca="1" ref="AC17" ca="1">_xlfn.IFNA(_xlfn.IFS(AND(ISNUMBER(SEARCH("Rainshadow",'Map 5'!AC17)),ISNUMBER(SEARCH("Flatland",'Map 5'!AC17))),CONCATENATE($AT17, " Rainshadow"),'Map 5'!AC17="Flatland",$AT17,'Map 5'!AC17="Island",CONCATENATE($AT17, " Island"),ISNUMBER(SEARCH("Rainshadow",'Map 5'!AC17)),CONCATENATE($AT17," ",'Map 5'!AC17)),'Map 5'!AC17)</f>
        <v>Coast</v>
      </c>
      <c r="AD17" s="46" t="str" cm="1">
        <f t="array" aca="1" ref="AD17" ca="1">_xlfn.IFNA(_xlfn.IFS(AND(ISNUMBER(SEARCH("Rainshadow",'Map 5'!AD17)),ISNUMBER(SEARCH("Flatland",'Map 5'!AD17))),CONCATENATE($AT17, " Rainshadow"),'Map 5'!AD17="Flatland",$AT17,'Map 5'!AD17="Island",CONCATENATE($AT17, " Island"),ISNUMBER(SEARCH("Rainshadow",'Map 5'!AD17)),CONCATENATE($AT17," ",'Map 5'!AD17)),'Map 5'!AD17)</f>
        <v>Ocean</v>
      </c>
      <c r="AE17" s="46" t="str" cm="1">
        <f t="array" aca="1" ref="AE17" ca="1">_xlfn.IFNA(_xlfn.IFS(AND(ISNUMBER(SEARCH("Rainshadow",'Map 5'!AE17)),ISNUMBER(SEARCH("Flatland",'Map 5'!AE17))),CONCATENATE($AT17, " Rainshadow"),'Map 5'!AE17="Flatland",$AT17,'Map 5'!AE17="Island",CONCATENATE($AT17, " Island"),ISNUMBER(SEARCH("Rainshadow",'Map 5'!AE17)),CONCATENATE($AT17," ",'Map 5'!AE17)),'Map 5'!AE17)</f>
        <v>Ocean</v>
      </c>
      <c r="AF17" s="46" t="str" cm="1">
        <f t="array" aca="1" ref="AF17" ca="1">_xlfn.IFNA(_xlfn.IFS(AND(ISNUMBER(SEARCH("Rainshadow",'Map 5'!AF17)),ISNUMBER(SEARCH("Flatland",'Map 5'!AF17))),CONCATENATE($AT17, " Rainshadow"),'Map 5'!AF17="Flatland",$AT17,'Map 5'!AF17="Island",CONCATENATE($AT17, " Island"),ISNUMBER(SEARCH("Rainshadow",'Map 5'!AF17)),CONCATENATE($AT17," ",'Map 5'!AF17)),'Map 5'!AF17)</f>
        <v>Ocean</v>
      </c>
      <c r="AG17" s="46" t="str" cm="1">
        <f t="array" aca="1" ref="AG17" ca="1">_xlfn.IFNA(_xlfn.IFS(AND(ISNUMBER(SEARCH("Rainshadow",'Map 5'!AG17)),ISNUMBER(SEARCH("Flatland",'Map 5'!AG17))),CONCATENATE($AT17, " Rainshadow"),'Map 5'!AG17="Flatland",$AT17,'Map 5'!AG17="Island",CONCATENATE($AT17, " Island"),ISNUMBER(SEARCH("Rainshadow",'Map 5'!AG17)),CONCATENATE($AT17," ",'Map 5'!AG17)),'Map 5'!AG17)</f>
        <v>Trench</v>
      </c>
      <c r="AH17" s="46" t="str" cm="1">
        <f t="array" aca="1" ref="AH17" ca="1">_xlfn.IFNA(_xlfn.IFS(AND(ISNUMBER(SEARCH("Rainshadow",'Map 5'!AH17)),ISNUMBER(SEARCH("Flatland",'Map 5'!AH17))),CONCATENATE($AT17, " Rainshadow"),'Map 5'!AH17="Flatland",$AT17,'Map 5'!AH17="Island",CONCATENATE($AT17, " Island"),ISNUMBER(SEARCH("Rainshadow",'Map 5'!AH17)),CONCATENATE($AT17," ",'Map 5'!AH17)),'Map 5'!AH17)</f>
        <v>Ocean</v>
      </c>
      <c r="AI17" s="46" t="str" cm="1">
        <f t="array" aca="1" ref="AI17" ca="1">_xlfn.IFNA(_xlfn.IFS(AND(ISNUMBER(SEARCH("Rainshadow",'Map 5'!AI17)),ISNUMBER(SEARCH("Flatland",'Map 5'!AI17))),CONCATENATE($AT17, " Rainshadow"),'Map 5'!AI17="Flatland",$AT17,'Map 5'!AI17="Island",CONCATENATE($AT17, " Island"),ISNUMBER(SEARCH("Rainshadow",'Map 5'!AI17)),CONCATENATE($AT17," ",'Map 5'!AI17)),'Map 5'!AI17)</f>
        <v>Ocean</v>
      </c>
      <c r="AJ17" s="46" t="str" cm="1">
        <f t="array" aca="1" ref="AJ17" ca="1">_xlfn.IFNA(_xlfn.IFS(AND(ISNUMBER(SEARCH("Rainshadow",'Map 5'!AJ17)),ISNUMBER(SEARCH("Flatland",'Map 5'!AJ17))),CONCATENATE($AT17, " Rainshadow"),'Map 5'!AJ17="Flatland",$AT17,'Map 5'!AJ17="Island",CONCATENATE($AT17, " Island"),ISNUMBER(SEARCH("Rainshadow",'Map 5'!AJ17)),CONCATENATE($AT17," ",'Map 5'!AJ17)),'Map 5'!AJ17)</f>
        <v>Trench</v>
      </c>
      <c r="AK17" s="46" t="str" cm="1">
        <f t="array" aca="1" ref="AK17" ca="1">_xlfn.IFNA(_xlfn.IFS(AND(ISNUMBER(SEARCH("Rainshadow",'Map 5'!AK17)),ISNUMBER(SEARCH("Flatland",'Map 5'!AK17))),CONCATENATE($AT17, " Rainshadow"),'Map 5'!AK17="Flatland",$AT17,'Map 5'!AK17="Island",CONCATENATE($AT17, " Island"),ISNUMBER(SEARCH("Rainshadow",'Map 5'!AK17)),CONCATENATE($AT17," ",'Map 5'!AK17)),'Map 5'!AK17)</f>
        <v>Cliff</v>
      </c>
      <c r="AL17" s="46" t="str" cm="1">
        <f t="array" aca="1" ref="AL17" ca="1">_xlfn.IFNA(_xlfn.IFS(AND(ISNUMBER(SEARCH("Rainshadow",'Map 5'!AL17)),ISNUMBER(SEARCH("Flatland",'Map 5'!AL17))),CONCATENATE($AT17, " Rainshadow"),'Map 5'!AL17="Flatland",$AT17,'Map 5'!AL17="Island",CONCATENATE($AT17, " Island"),ISNUMBER(SEARCH("Rainshadow",'Map 5'!AL17)),CONCATENATE($AT17," ",'Map 5'!AL17)),'Map 5'!AL17)</f>
        <v>Ocean</v>
      </c>
      <c r="AM17" s="46" t="str" cm="1">
        <f t="array" aca="1" ref="AM17" ca="1">_xlfn.IFNA(_xlfn.IFS(AND(ISNUMBER(SEARCH("Rainshadow",'Map 5'!AM17)),ISNUMBER(SEARCH("Flatland",'Map 5'!AM17))),CONCATENATE($AT17, " Rainshadow"),'Map 5'!AM17="Flatland",$AT17,'Map 5'!AM17="Island",CONCATENATE($AT17, " Island"),ISNUMBER(SEARCH("Rainshadow",'Map 5'!AM17)),CONCATENATE($AT17," ",'Map 5'!AM17)),'Map 5'!AM17)</f>
        <v>Coast</v>
      </c>
      <c r="AN17" s="46" t="str" cm="1">
        <f t="array" aca="1" ref="AN17" ca="1">_xlfn.IFNA(_xlfn.IFS(AND(ISNUMBER(SEARCH("Rainshadow",'Map 5'!AN17)),ISNUMBER(SEARCH("Flatland",'Map 5'!AN17))),CONCATENATE($AT17, " Rainshadow"),'Map 5'!AN17="Flatland",$AT17,'Map 5'!AN17="Island",CONCATENATE($AT17, " Island"),ISNUMBER(SEARCH("Rainshadow",'Map 5'!AN17)),CONCATENATE($AT17," ",'Map 5'!AN17)),'Map 5'!AN17)</f>
        <v>Coast</v>
      </c>
      <c r="AO17" s="46" t="str" cm="1">
        <f t="array" aca="1" ref="AO17" ca="1">_xlfn.IFNA(_xlfn.IFS(AND(ISNUMBER(SEARCH("Rainshadow",'Map 5'!AO17)),ISNUMBER(SEARCH("Flatland",'Map 5'!AO17))),CONCATENATE($AT17, " Rainshadow"),'Map 5'!AO17="Flatland",$AT17,'Map 5'!AO17="Island",CONCATENATE($AT17, " Island"),ISNUMBER(SEARCH("Rainshadow",'Map 5'!AO17)),CONCATENATE($AT17," ",'Map 5'!AO17)),'Map 5'!AO17)</f>
        <v>Forest Rainshadow</v>
      </c>
      <c r="AP17" s="46">
        <f>'Map 5'!AP17</f>
        <v>7.5</v>
      </c>
      <c r="AQ17" s="46">
        <f>'Map 5'!AQ17</f>
        <v>45.5</v>
      </c>
      <c r="AR17" s="46">
        <f>'Map 5'!AS17</f>
        <v>280.65000000000015</v>
      </c>
      <c r="AS17" s="47">
        <f>'Map 5'!AT17</f>
        <v>58.5</v>
      </c>
      <c r="AT17" s="47" t="str">
        <f>'Map 5'!AU17</f>
        <v>Forest</v>
      </c>
      <c r="AU17" s="47" t="str">
        <f>'Map 5'!AV17</f>
        <v>⤴</v>
      </c>
      <c r="AX17" s="47" t="str">
        <f>CONCATENATE(AX11," ",$AW$13)</f>
        <v>Desert Island</v>
      </c>
    </row>
    <row r="18" spans="1:50" ht="18.75" customHeight="1">
      <c r="A18" s="46">
        <v>9</v>
      </c>
      <c r="B18" s="46" t="str" cm="1">
        <f t="array" aca="1" ref="B18" ca="1">_xlfn.IFNA(_xlfn.IFS(AND(ISNUMBER(SEARCH("Rainshadow",'Map 5'!B18)),ISNUMBER(SEARCH("Flatland",'Map 5'!B18))),CONCATENATE($AT18, " Rainshadow"),'Map 5'!B18="Flatland",$AT18,'Map 5'!B18="Island",CONCATENATE($AT18, " Island"),ISNUMBER(SEARCH("Rainshadow",'Map 5'!B18)),CONCATENATE($AT18," ",'Map 5'!B18)),'Map 5'!B18)</f>
        <v>Ocean</v>
      </c>
      <c r="C18" s="46" t="str" cm="1">
        <f t="array" aca="1" ref="C18" ca="1">_xlfn.IFNA(_xlfn.IFS(AND(ISNUMBER(SEARCH("Rainshadow",'Map 5'!C18)),ISNUMBER(SEARCH("Flatland",'Map 5'!C18))),CONCATENATE($AT18, " Rainshadow"),'Map 5'!C18="Flatland",$AT18,'Map 5'!C18="Island",CONCATENATE($AT18, " Island"),ISNUMBER(SEARCH("Rainshadow",'Map 5'!C18)),CONCATENATE($AT18," ",'Map 5'!C18)),'Map 5'!C18)</f>
        <v>Ocean</v>
      </c>
      <c r="D18" s="46" t="str" cm="1">
        <f t="array" aca="1" ref="D18" ca="1">_xlfn.IFNA(_xlfn.IFS(AND(ISNUMBER(SEARCH("Rainshadow",'Map 5'!D18)),ISNUMBER(SEARCH("Flatland",'Map 5'!D18))),CONCATENATE($AT18, " Rainshadow"),'Map 5'!D18="Flatland",$AT18,'Map 5'!D18="Island",CONCATENATE($AT18, " Island"),ISNUMBER(SEARCH("Rainshadow",'Map 5'!D18)),CONCATENATE($AT18," ",'Map 5'!D18)),'Map 5'!D18)</f>
        <v>Ocean</v>
      </c>
      <c r="E18" s="46" t="str" cm="1">
        <f t="array" aca="1" ref="E18" ca="1">_xlfn.IFNA(_xlfn.IFS(AND(ISNUMBER(SEARCH("Rainshadow",'Map 5'!E18)),ISNUMBER(SEARCH("Flatland",'Map 5'!E18))),CONCATENATE($AT18, " Rainshadow"),'Map 5'!E18="Flatland",$AT18,'Map 5'!E18="Island",CONCATENATE($AT18, " Island"),ISNUMBER(SEARCH("Rainshadow",'Map 5'!E18)),CONCATENATE($AT18," ",'Map 5'!E18)),'Map 5'!E18)</f>
        <v>Ocean</v>
      </c>
      <c r="F18" s="46" t="str" cm="1">
        <f t="array" aca="1" ref="F18" ca="1">_xlfn.IFNA(_xlfn.IFS(AND(ISNUMBER(SEARCH("Rainshadow",'Map 5'!F18)),ISNUMBER(SEARCH("Flatland",'Map 5'!F18))),CONCATENATE($AT18, " Rainshadow"),'Map 5'!F18="Flatland",$AT18,'Map 5'!F18="Island",CONCATENATE($AT18, " Island"),ISNUMBER(SEARCH("Rainshadow",'Map 5'!F18)),CONCATENATE($AT18," ",'Map 5'!F18)),'Map 5'!F18)</f>
        <v>Ocean</v>
      </c>
      <c r="G18" s="46" t="str" cm="1">
        <f t="array" aca="1" ref="G18" ca="1">_xlfn.IFNA(_xlfn.IFS(AND(ISNUMBER(SEARCH("Rainshadow",'Map 5'!G18)),ISNUMBER(SEARCH("Flatland",'Map 5'!G18))),CONCATENATE($AT18, " Rainshadow"),'Map 5'!G18="Flatland",$AT18,'Map 5'!G18="Island",CONCATENATE($AT18, " Island"),ISNUMBER(SEARCH("Rainshadow",'Map 5'!G18)),CONCATENATE($AT18," ",'Map 5'!G18)),'Map 5'!G18)</f>
        <v>Ocean</v>
      </c>
      <c r="H18" s="46" t="str" cm="1">
        <f t="array" aca="1" ref="H18" ca="1">_xlfn.IFNA(_xlfn.IFS(AND(ISNUMBER(SEARCH("Rainshadow",'Map 5'!H18)),ISNUMBER(SEARCH("Flatland",'Map 5'!H18))),CONCATENATE($AT18, " Rainshadow"),'Map 5'!H18="Flatland",$AT18,'Map 5'!H18="Island",CONCATENATE($AT18, " Island"),ISNUMBER(SEARCH("Rainshadow",'Map 5'!H18)),CONCATENATE($AT18," ",'Map 5'!H18)),'Map 5'!H18)</f>
        <v>Ocean</v>
      </c>
      <c r="I18" s="46" t="str" cm="1">
        <f t="array" aca="1" ref="I18" ca="1">_xlfn.IFNA(_xlfn.IFS(AND(ISNUMBER(SEARCH("Rainshadow",'Map 5'!I18)),ISNUMBER(SEARCH("Flatland",'Map 5'!I18))),CONCATENATE($AT18, " Rainshadow"),'Map 5'!I18="Flatland",$AT18,'Map 5'!I18="Island",CONCATENATE($AT18, " Island"),ISNUMBER(SEARCH("Rainshadow",'Map 5'!I18)),CONCATENATE($AT18," ",'Map 5'!I18)),'Map 5'!I18)</f>
        <v>Ocean</v>
      </c>
      <c r="J18" s="46" t="str" cm="1">
        <f t="array" aca="1" ref="J18" ca="1">_xlfn.IFNA(_xlfn.IFS(AND(ISNUMBER(SEARCH("Rainshadow",'Map 5'!J18)),ISNUMBER(SEARCH("Flatland",'Map 5'!J18))),CONCATENATE($AT18, " Rainshadow"),'Map 5'!J18="Flatland",$AT18,'Map 5'!J18="Island",CONCATENATE($AT18, " Island"),ISNUMBER(SEARCH("Rainshadow",'Map 5'!J18)),CONCATENATE($AT18," ",'Map 5'!J18)),'Map 5'!J18)</f>
        <v>Ocean</v>
      </c>
      <c r="K18" s="46" t="str" cm="1">
        <f t="array" aca="1" ref="K18" ca="1">_xlfn.IFNA(_xlfn.IFS(AND(ISNUMBER(SEARCH("Rainshadow",'Map 5'!K18)),ISNUMBER(SEARCH("Flatland",'Map 5'!K18))),CONCATENATE($AT18, " Rainshadow"),'Map 5'!K18="Flatland",$AT18,'Map 5'!K18="Island",CONCATENATE($AT18, " Island"),ISNUMBER(SEARCH("Rainshadow",'Map 5'!K18)),CONCATENATE($AT18," ",'Map 5'!K18)),'Map 5'!K18)</f>
        <v>Trench</v>
      </c>
      <c r="L18" s="46" t="str" cm="1">
        <f t="array" aca="1" ref="L18" ca="1">_xlfn.IFNA(_xlfn.IFS(AND(ISNUMBER(SEARCH("Rainshadow",'Map 5'!L18)),ISNUMBER(SEARCH("Flatland",'Map 5'!L18))),CONCATENATE($AT18, " Rainshadow"),'Map 5'!L18="Flatland",$AT18,'Map 5'!L18="Island",CONCATENATE($AT18, " Island"),ISNUMBER(SEARCH("Rainshadow",'Map 5'!L18)),CONCATENATE($AT18," ",'Map 5'!L18)),'Map 5'!L18)</f>
        <v>Trench</v>
      </c>
      <c r="M18" s="46" t="str" cm="1">
        <f t="array" aca="1" ref="M18" ca="1">_xlfn.IFNA(_xlfn.IFS(AND(ISNUMBER(SEARCH("Rainshadow",'Map 5'!M18)),ISNUMBER(SEARCH("Flatland",'Map 5'!M18))),CONCATENATE($AT18, " Rainshadow"),'Map 5'!M18="Flatland",$AT18,'Map 5'!M18="Island",CONCATENATE($AT18, " Island"),ISNUMBER(SEARCH("Rainshadow",'Map 5'!M18)),CONCATENATE($AT18," ",'Map 5'!M18)),'Map 5'!M18)</f>
        <v>Forest</v>
      </c>
      <c r="N18" s="46" t="str" cm="1">
        <f t="array" aca="1" ref="N18" ca="1">_xlfn.IFNA(_xlfn.IFS(AND(ISNUMBER(SEARCH("Rainshadow",'Map 5'!N18)),ISNUMBER(SEARCH("Flatland",'Map 5'!N18))),CONCATENATE($AT18, " Rainshadow"),'Map 5'!N18="Flatland",$AT18,'Map 5'!N18="Island",CONCATENATE($AT18, " Island"),ISNUMBER(SEARCH("Rainshadow",'Map 5'!N18)),CONCATENATE($AT18," ",'Map 5'!N18)),'Map 5'!N18)</f>
        <v>Forest</v>
      </c>
      <c r="O18" s="46" t="str" cm="1">
        <f t="array" aca="1" ref="O18" ca="1">_xlfn.IFNA(_xlfn.IFS(AND(ISNUMBER(SEARCH("Rainshadow",'Map 5'!O18)),ISNUMBER(SEARCH("Flatland",'Map 5'!O18))),CONCATENATE($AT18, " Rainshadow"),'Map 5'!O18="Flatland",$AT18,'Map 5'!O18="Island",CONCATENATE($AT18, " Island"),ISNUMBER(SEARCH("Rainshadow",'Map 5'!O18)),CONCATENATE($AT18," ",'Map 5'!O18)),'Map 5'!O18)</f>
        <v>Coast</v>
      </c>
      <c r="P18" s="46" t="str" cm="1">
        <f t="array" aca="1" ref="P18" ca="1">_xlfn.IFNA(_xlfn.IFS(AND(ISNUMBER(SEARCH("Rainshadow",'Map 5'!P18)),ISNUMBER(SEARCH("Flatland",'Map 5'!P18))),CONCATENATE($AT18, " Rainshadow"),'Map 5'!P18="Flatland",$AT18,'Map 5'!P18="Island",CONCATENATE($AT18, " Island"),ISNUMBER(SEARCH("Rainshadow",'Map 5'!P18)),CONCATENATE($AT18," ",'Map 5'!P18)),'Map 5'!P18)</f>
        <v>Forest</v>
      </c>
      <c r="Q18" s="46" t="str" cm="1">
        <f t="array" aca="1" ref="Q18" ca="1">_xlfn.IFNA(_xlfn.IFS(AND(ISNUMBER(SEARCH("Rainshadow",'Map 5'!Q18)),ISNUMBER(SEARCH("Flatland",'Map 5'!Q18))),CONCATENATE($AT18, " Rainshadow"),'Map 5'!Q18="Flatland",$AT18,'Map 5'!Q18="Island",CONCATENATE($AT18, " Island"),ISNUMBER(SEARCH("Rainshadow",'Map 5'!Q18)),CONCATENATE($AT18," ",'Map 5'!Q18)),'Map 5'!Q18)</f>
        <v>Ocean</v>
      </c>
      <c r="R18" s="46" t="str" cm="1">
        <f t="array" aca="1" ref="R18" ca="1">_xlfn.IFNA(_xlfn.IFS(AND(ISNUMBER(SEARCH("Rainshadow",'Map 5'!R18)),ISNUMBER(SEARCH("Flatland",'Map 5'!R18))),CONCATENATE($AT18, " Rainshadow"),'Map 5'!R18="Flatland",$AT18,'Map 5'!R18="Island",CONCATENATE($AT18, " Island"),ISNUMBER(SEARCH("Rainshadow",'Map 5'!R18)),CONCATENATE($AT18," ",'Map 5'!R18)),'Map 5'!R18)</f>
        <v>Ocean</v>
      </c>
      <c r="S18" s="46" t="str" cm="1">
        <f t="array" aca="1" ref="S18" ca="1">_xlfn.IFNA(_xlfn.IFS(AND(ISNUMBER(SEARCH("Rainshadow",'Map 5'!S18)),ISNUMBER(SEARCH("Flatland",'Map 5'!S18))),CONCATENATE($AT18, " Rainshadow"),'Map 5'!S18="Flatland",$AT18,'Map 5'!S18="Island",CONCATENATE($AT18, " Island"),ISNUMBER(SEARCH("Rainshadow",'Map 5'!S18)),CONCATENATE($AT18," ",'Map 5'!S18)),'Map 5'!S18)</f>
        <v>Ocean</v>
      </c>
      <c r="T18" s="46" t="str" cm="1">
        <f t="array" aca="1" ref="T18" ca="1">_xlfn.IFNA(_xlfn.IFS(AND(ISNUMBER(SEARCH("Rainshadow",'Map 5'!T18)),ISNUMBER(SEARCH("Flatland",'Map 5'!T18))),CONCATENATE($AT18, " Rainshadow"),'Map 5'!T18="Flatland",$AT18,'Map 5'!T18="Island",CONCATENATE($AT18, " Island"),ISNUMBER(SEARCH("Rainshadow",'Map 5'!T18)),CONCATENATE($AT18," ",'Map 5'!T18)),'Map 5'!T18)</f>
        <v>Ocean</v>
      </c>
      <c r="U18" s="46" t="str" cm="1">
        <f t="array" aca="1" ref="U18" ca="1">_xlfn.IFNA(_xlfn.IFS(AND(ISNUMBER(SEARCH("Rainshadow",'Map 5'!U18)),ISNUMBER(SEARCH("Flatland",'Map 5'!U18))),CONCATENATE($AT18, " Rainshadow"),'Map 5'!U18="Flatland",$AT18,'Map 5'!U18="Island",CONCATENATE($AT18, " Island"),ISNUMBER(SEARCH("Rainshadow",'Map 5'!U18)),CONCATENATE($AT18," ",'Map 5'!U18)),'Map 5'!U18)</f>
        <v>Ocean</v>
      </c>
      <c r="V18" s="46" t="str" cm="1">
        <f t="array" aca="1" ref="V18" ca="1">_xlfn.IFNA(_xlfn.IFS(AND(ISNUMBER(SEARCH("Rainshadow",'Map 5'!V18)),ISNUMBER(SEARCH("Flatland",'Map 5'!V18))),CONCATENATE($AT18, " Rainshadow"),'Map 5'!V18="Flatland",$AT18,'Map 5'!V18="Island",CONCATENATE($AT18, " Island"),ISNUMBER(SEARCH("Rainshadow",'Map 5'!V18)),CONCATENATE($AT18," ",'Map 5'!V18)),'Map 5'!V18)</f>
        <v>Ocean</v>
      </c>
      <c r="W18" s="46" t="str" cm="1">
        <f t="array" aca="1" ref="W18" ca="1">_xlfn.IFNA(_xlfn.IFS(AND(ISNUMBER(SEARCH("Rainshadow",'Map 5'!W18)),ISNUMBER(SEARCH("Flatland",'Map 5'!W18))),CONCATENATE($AT18, " Rainshadow"),'Map 5'!W18="Flatland",$AT18,'Map 5'!W18="Island",CONCATENATE($AT18, " Island"),ISNUMBER(SEARCH("Rainshadow",'Map 5'!W18)),CONCATENATE($AT18," ",'Map 5'!W18)),'Map 5'!W18)</f>
        <v>Ocean</v>
      </c>
      <c r="X18" s="46" t="str" cm="1">
        <f t="array" aca="1" ref="X18" ca="1">_xlfn.IFNA(_xlfn.IFS(AND(ISNUMBER(SEARCH("Rainshadow",'Map 5'!X18)),ISNUMBER(SEARCH("Flatland",'Map 5'!X18))),CONCATENATE($AT18, " Rainshadow"),'Map 5'!X18="Flatland",$AT18,'Map 5'!X18="Island",CONCATENATE($AT18, " Island"),ISNUMBER(SEARCH("Rainshadow",'Map 5'!X18)),CONCATENATE($AT18," ",'Map 5'!X18)),'Map 5'!X18)</f>
        <v>Ocean</v>
      </c>
      <c r="Y18" s="46" t="str" cm="1">
        <f t="array" aca="1" ref="Y18" ca="1">_xlfn.IFNA(_xlfn.IFS(AND(ISNUMBER(SEARCH("Rainshadow",'Map 5'!Y18)),ISNUMBER(SEARCH("Flatland",'Map 5'!Y18))),CONCATENATE($AT18, " Rainshadow"),'Map 5'!Y18="Flatland",$AT18,'Map 5'!Y18="Island",CONCATENATE($AT18, " Island"),ISNUMBER(SEARCH("Rainshadow",'Map 5'!Y18)),CONCATENATE($AT18," ",'Map 5'!Y18)),'Map 5'!Y18)</f>
        <v>Coast</v>
      </c>
      <c r="Z18" s="46" t="str" cm="1">
        <f t="array" aca="1" ref="Z18" ca="1">_xlfn.IFNA(_xlfn.IFS(AND(ISNUMBER(SEARCH("Rainshadow",'Map 5'!Z18)),ISNUMBER(SEARCH("Flatland",'Map 5'!Z18))),CONCATENATE($AT18, " Rainshadow"),'Map 5'!Z18="Flatland",$AT18,'Map 5'!Z18="Island",CONCATENATE($AT18, " Island"),ISNUMBER(SEARCH("Rainshadow",'Map 5'!Z18)),CONCATENATE($AT18," ",'Map 5'!Z18)),'Map 5'!Z18)</f>
        <v>Forest</v>
      </c>
      <c r="AA18" s="46" t="str" cm="1">
        <f t="array" aca="1" ref="AA18" ca="1">_xlfn.IFNA(_xlfn.IFS(AND(ISNUMBER(SEARCH("Rainshadow",'Map 5'!AA18)),ISNUMBER(SEARCH("Flatland",'Map 5'!AA18))),CONCATENATE($AT18, " Rainshadow"),'Map 5'!AA18="Flatland",$AT18,'Map 5'!AA18="Island",CONCATENATE($AT18, " Island"),ISNUMBER(SEARCH("Rainshadow",'Map 5'!AA18)),CONCATENATE($AT18," ",'Map 5'!AA18)),'Map 5'!AA18)</f>
        <v>Forest Rainshadow</v>
      </c>
      <c r="AB18" s="46" t="str" cm="1">
        <f t="array" aca="1" ref="AB18" ca="1">_xlfn.IFNA(_xlfn.IFS(AND(ISNUMBER(SEARCH("Rainshadow",'Map 5'!AB18)),ISNUMBER(SEARCH("Flatland",'Map 5'!AB18))),CONCATENATE($AT18, " Rainshadow"),'Map 5'!AB18="Flatland",$AT18,'Map 5'!AB18="Island",CONCATENATE($AT18, " Island"),ISNUMBER(SEARCH("Rainshadow",'Map 5'!AB18)),CONCATENATE($AT18," ",'Map 5'!AB18)),'Map 5'!AB18)</f>
        <v>Coast</v>
      </c>
      <c r="AC18" s="46" t="str" cm="1">
        <f t="array" aca="1" ref="AC18" ca="1">_xlfn.IFNA(_xlfn.IFS(AND(ISNUMBER(SEARCH("Rainshadow",'Map 5'!AC18)),ISNUMBER(SEARCH("Flatland",'Map 5'!AC18))),CONCATENATE($AT18, " Rainshadow"),'Map 5'!AC18="Flatland",$AT18,'Map 5'!AC18="Island",CONCATENATE($AT18, " Island"),ISNUMBER(SEARCH("Rainshadow",'Map 5'!AC18)),CONCATENATE($AT18," ",'Map 5'!AC18)),'Map 5'!AC18)</f>
        <v>Ocean</v>
      </c>
      <c r="AD18" s="46" t="str" cm="1">
        <f t="array" aca="1" ref="AD18" ca="1">_xlfn.IFNA(_xlfn.IFS(AND(ISNUMBER(SEARCH("Rainshadow",'Map 5'!AD18)),ISNUMBER(SEARCH("Flatland",'Map 5'!AD18))),CONCATENATE($AT18, " Rainshadow"),'Map 5'!AD18="Flatland",$AT18,'Map 5'!AD18="Island",CONCATENATE($AT18, " Island"),ISNUMBER(SEARCH("Rainshadow",'Map 5'!AD18)),CONCATENATE($AT18," ",'Map 5'!AD18)),'Map 5'!AD18)</f>
        <v>Ocean</v>
      </c>
      <c r="AE18" s="46" t="str" cm="1">
        <f t="array" aca="1" ref="AE18" ca="1">_xlfn.IFNA(_xlfn.IFS(AND(ISNUMBER(SEARCH("Rainshadow",'Map 5'!AE18)),ISNUMBER(SEARCH("Flatland",'Map 5'!AE18))),CONCATENATE($AT18, " Rainshadow"),'Map 5'!AE18="Flatland",$AT18,'Map 5'!AE18="Island",CONCATENATE($AT18, " Island"),ISNUMBER(SEARCH("Rainshadow",'Map 5'!AE18)),CONCATENATE($AT18," ",'Map 5'!AE18)),'Map 5'!AE18)</f>
        <v>Ocean</v>
      </c>
      <c r="AF18" s="46" t="str" cm="1">
        <f t="array" aca="1" ref="AF18" ca="1">_xlfn.IFNA(_xlfn.IFS(AND(ISNUMBER(SEARCH("Rainshadow",'Map 5'!AF18)),ISNUMBER(SEARCH("Flatland",'Map 5'!AF18))),CONCATENATE($AT18, " Rainshadow"),'Map 5'!AF18="Flatland",$AT18,'Map 5'!AF18="Island",CONCATENATE($AT18, " Island"),ISNUMBER(SEARCH("Rainshadow",'Map 5'!AF18)),CONCATENATE($AT18," ",'Map 5'!AF18)),'Map 5'!AF18)</f>
        <v>Ocean</v>
      </c>
      <c r="AG18" s="46" t="str" cm="1">
        <f t="array" aca="1" ref="AG18" ca="1">_xlfn.IFNA(_xlfn.IFS(AND(ISNUMBER(SEARCH("Rainshadow",'Map 5'!AG18)),ISNUMBER(SEARCH("Flatland",'Map 5'!AG18))),CONCATENATE($AT18, " Rainshadow"),'Map 5'!AG18="Flatland",$AT18,'Map 5'!AG18="Island",CONCATENATE($AT18, " Island"),ISNUMBER(SEARCH("Rainshadow",'Map 5'!AG18)),CONCATENATE($AT18," ",'Map 5'!AG18)),'Map 5'!AG18)</f>
        <v>Ocean</v>
      </c>
      <c r="AH18" s="46" t="str" cm="1">
        <f t="array" aca="1" ref="AH18" ca="1">_xlfn.IFNA(_xlfn.IFS(AND(ISNUMBER(SEARCH("Rainshadow",'Map 5'!AH18)),ISNUMBER(SEARCH("Flatland",'Map 5'!AH18))),CONCATENATE($AT18, " Rainshadow"),'Map 5'!AH18="Flatland",$AT18,'Map 5'!AH18="Island",CONCATENATE($AT18, " Island"),ISNUMBER(SEARCH("Rainshadow",'Map 5'!AH18)),CONCATENATE($AT18," ",'Map 5'!AH18)),'Map 5'!AH18)</f>
        <v>Ocean</v>
      </c>
      <c r="AI18" s="46" t="str" cm="1">
        <f t="array" aca="1" ref="AI18" ca="1">_xlfn.IFNA(_xlfn.IFS(AND(ISNUMBER(SEARCH("Rainshadow",'Map 5'!AI18)),ISNUMBER(SEARCH("Flatland",'Map 5'!AI18))),CONCATENATE($AT18, " Rainshadow"),'Map 5'!AI18="Flatland",$AT18,'Map 5'!AI18="Island",CONCATENATE($AT18, " Island"),ISNUMBER(SEARCH("Rainshadow",'Map 5'!AI18)),CONCATENATE($AT18," ",'Map 5'!AI18)),'Map 5'!AI18)</f>
        <v>Ocean</v>
      </c>
      <c r="AJ18" s="46" t="str" cm="1">
        <f t="array" aca="1" ref="AJ18" ca="1">_xlfn.IFNA(_xlfn.IFS(AND(ISNUMBER(SEARCH("Rainshadow",'Map 5'!AJ18)),ISNUMBER(SEARCH("Flatland",'Map 5'!AJ18))),CONCATENATE($AT18, " Rainshadow"),'Map 5'!AJ18="Flatland",$AT18,'Map 5'!AJ18="Island",CONCATENATE($AT18, " Island"),ISNUMBER(SEARCH("Rainshadow",'Map 5'!AJ18)),CONCATENATE($AT18," ",'Map 5'!AJ18)),'Map 5'!AJ18)</f>
        <v>Ocean</v>
      </c>
      <c r="AK18" s="46" t="str" cm="1">
        <f t="array" aca="1" ref="AK18" ca="1">_xlfn.IFNA(_xlfn.IFS(AND(ISNUMBER(SEARCH("Rainshadow",'Map 5'!AK18)),ISNUMBER(SEARCH("Flatland",'Map 5'!AK18))),CONCATENATE($AT18, " Rainshadow"),'Map 5'!AK18="Flatland",$AT18,'Map 5'!AK18="Island",CONCATENATE($AT18, " Island"),ISNUMBER(SEARCH("Rainshadow",'Map 5'!AK18)),CONCATENATE($AT18," ",'Map 5'!AK18)),'Map 5'!AK18)</f>
        <v>Drop Off</v>
      </c>
      <c r="AL18" s="46" t="str" cm="1">
        <f t="array" aca="1" ref="AL18" ca="1">_xlfn.IFNA(_xlfn.IFS(AND(ISNUMBER(SEARCH("Rainshadow",'Map 5'!AL18)),ISNUMBER(SEARCH("Flatland",'Map 5'!AL18))),CONCATENATE($AT18, " Rainshadow"),'Map 5'!AL18="Flatland",$AT18,'Map 5'!AL18="Island",CONCATENATE($AT18, " Island"),ISNUMBER(SEARCH("Rainshadow",'Map 5'!AL18)),CONCATENATE($AT18," ",'Map 5'!AL18)),'Map 5'!AL18)</f>
        <v>Forest Island</v>
      </c>
      <c r="AM18" s="46" t="str" cm="1">
        <f t="array" aca="1" ref="AM18" ca="1">_xlfn.IFNA(_xlfn.IFS(AND(ISNUMBER(SEARCH("Rainshadow",'Map 5'!AM18)),ISNUMBER(SEARCH("Flatland",'Map 5'!AM18))),CONCATENATE($AT18, " Rainshadow"),'Map 5'!AM18="Flatland",$AT18,'Map 5'!AM18="Island",CONCATENATE($AT18, " Island"),ISNUMBER(SEARCH("Rainshadow",'Map 5'!AM18)),CONCATENATE($AT18," ",'Map 5'!AM18)),'Map 5'!AM18)</f>
        <v>Ocean</v>
      </c>
      <c r="AN18" s="46" t="str" cm="1">
        <f t="array" aca="1" ref="AN18" ca="1">_xlfn.IFNA(_xlfn.IFS(AND(ISNUMBER(SEARCH("Rainshadow",'Map 5'!AN18)),ISNUMBER(SEARCH("Flatland",'Map 5'!AN18))),CONCATENATE($AT18, " Rainshadow"),'Map 5'!AN18="Flatland",$AT18,'Map 5'!AN18="Island",CONCATENATE($AT18, " Island"),ISNUMBER(SEARCH("Rainshadow",'Map 5'!AN18)),CONCATENATE($AT18," ",'Map 5'!AN18)),'Map 5'!AN18)</f>
        <v>Forest</v>
      </c>
      <c r="AO18" s="46" t="str" cm="1">
        <f t="array" aca="1" ref="AO18" ca="1">_xlfn.IFNA(_xlfn.IFS(AND(ISNUMBER(SEARCH("Rainshadow",'Map 5'!AO18)),ISNUMBER(SEARCH("Flatland",'Map 5'!AO18))),CONCATENATE($AT18, " Rainshadow"),'Map 5'!AO18="Flatland",$AT18,'Map 5'!AO18="Island",CONCATENATE($AT18, " Island"),ISNUMBER(SEARCH("Rainshadow",'Map 5'!AO18)),CONCATENATE($AT18," ",'Map 5'!AO18)),'Map 5'!AO18)</f>
        <v>Coast</v>
      </c>
      <c r="AP18" s="46">
        <f>'Map 5'!AP18</f>
        <v>14.45</v>
      </c>
      <c r="AQ18" s="46">
        <f>'Map 5'!AQ18</f>
        <v>58.01</v>
      </c>
      <c r="AR18" s="46">
        <f>'Map 5'!AS18</f>
        <v>287.60000000000014</v>
      </c>
      <c r="AS18" s="47">
        <f>'Map 5'!AT18</f>
        <v>54</v>
      </c>
      <c r="AT18" s="47" t="str">
        <f>'Map 5'!AU18</f>
        <v>Forest</v>
      </c>
      <c r="AU18" s="47" t="str">
        <f>'Map 5'!AV18</f>
        <v>⤴</v>
      </c>
      <c r="AX18" s="47" t="str">
        <f>CONCATENATE(AX12," ",$AW$13)</f>
        <v>Grasslands Island</v>
      </c>
    </row>
    <row r="19" spans="1:50" ht="18.75" customHeight="1">
      <c r="A19" s="46">
        <v>10</v>
      </c>
      <c r="B19" s="46" t="str" cm="1">
        <f t="array" aca="1" ref="B19" ca="1">_xlfn.IFNA(_xlfn.IFS(AND(ISNUMBER(SEARCH("Rainshadow",'Map 5'!B19)),ISNUMBER(SEARCH("Flatland",'Map 5'!B19))),CONCATENATE($AT19, " Rainshadow"),'Map 5'!B19="Flatland",$AT19,'Map 5'!B19="Island",CONCATENATE($AT19, " Island"),ISNUMBER(SEARCH("Rainshadow",'Map 5'!B19)),CONCATENATE($AT19," ",'Map 5'!B19)),'Map 5'!B19)</f>
        <v>Ocean</v>
      </c>
      <c r="C19" s="46" t="str" cm="1">
        <f t="array" aca="1" ref="C19" ca="1">_xlfn.IFNA(_xlfn.IFS(AND(ISNUMBER(SEARCH("Rainshadow",'Map 5'!C19)),ISNUMBER(SEARCH("Flatland",'Map 5'!C19))),CONCATENATE($AT19, " Rainshadow"),'Map 5'!C19="Flatland",$AT19,'Map 5'!C19="Island",CONCATENATE($AT19, " Island"),ISNUMBER(SEARCH("Rainshadow",'Map 5'!C19)),CONCATENATE($AT19," ",'Map 5'!C19)),'Map 5'!C19)</f>
        <v>Ocean</v>
      </c>
      <c r="D19" s="46" t="str" cm="1">
        <f t="array" aca="1" ref="D19" ca="1">_xlfn.IFNA(_xlfn.IFS(AND(ISNUMBER(SEARCH("Rainshadow",'Map 5'!D19)),ISNUMBER(SEARCH("Flatland",'Map 5'!D19))),CONCATENATE($AT19, " Rainshadow"),'Map 5'!D19="Flatland",$AT19,'Map 5'!D19="Island",CONCATENATE($AT19, " Island"),ISNUMBER(SEARCH("Rainshadow",'Map 5'!D19)),CONCATENATE($AT19," ",'Map 5'!D19)),'Map 5'!D19)</f>
        <v>Ocean</v>
      </c>
      <c r="E19" s="46" t="str" cm="1">
        <f t="array" aca="1" ref="E19" ca="1">_xlfn.IFNA(_xlfn.IFS(AND(ISNUMBER(SEARCH("Rainshadow",'Map 5'!E19)),ISNUMBER(SEARCH("Flatland",'Map 5'!E19))),CONCATENATE($AT19, " Rainshadow"),'Map 5'!E19="Flatland",$AT19,'Map 5'!E19="Island",CONCATENATE($AT19, " Island"),ISNUMBER(SEARCH("Rainshadow",'Map 5'!E19)),CONCATENATE($AT19," ",'Map 5'!E19)),'Map 5'!E19)</f>
        <v>Ocean</v>
      </c>
      <c r="F19" s="46" t="str" cm="1">
        <f t="array" aca="1" ref="F19" ca="1">_xlfn.IFNA(_xlfn.IFS(AND(ISNUMBER(SEARCH("Rainshadow",'Map 5'!F19)),ISNUMBER(SEARCH("Flatland",'Map 5'!F19))),CONCATENATE($AT19, " Rainshadow"),'Map 5'!F19="Flatland",$AT19,'Map 5'!F19="Island",CONCATENATE($AT19, " Island"),ISNUMBER(SEARCH("Rainshadow",'Map 5'!F19)),CONCATENATE($AT19," ",'Map 5'!F19)),'Map 5'!F19)</f>
        <v>Ocean</v>
      </c>
      <c r="G19" s="46" t="str" cm="1">
        <f t="array" aca="1" ref="G19" ca="1">_xlfn.IFNA(_xlfn.IFS(AND(ISNUMBER(SEARCH("Rainshadow",'Map 5'!G19)),ISNUMBER(SEARCH("Flatland",'Map 5'!G19))),CONCATENATE($AT19, " Rainshadow"),'Map 5'!G19="Flatland",$AT19,'Map 5'!G19="Island",CONCATENATE($AT19, " Island"),ISNUMBER(SEARCH("Rainshadow",'Map 5'!G19)),CONCATENATE($AT19," ",'Map 5'!G19)),'Map 5'!G19)</f>
        <v>Forest Island</v>
      </c>
      <c r="H19" s="46" t="str" cm="1">
        <f t="array" aca="1" ref="H19" ca="1">_xlfn.IFNA(_xlfn.IFS(AND(ISNUMBER(SEARCH("Rainshadow",'Map 5'!H19)),ISNUMBER(SEARCH("Flatland",'Map 5'!H19))),CONCATENATE($AT19, " Rainshadow"),'Map 5'!H19="Flatland",$AT19,'Map 5'!H19="Island",CONCATENATE($AT19, " Island"),ISNUMBER(SEARCH("Rainshadow",'Map 5'!H19)),CONCATENATE($AT19," ",'Map 5'!H19)),'Map 5'!H19)</f>
        <v>Forest Island</v>
      </c>
      <c r="I19" s="46" t="str" cm="1">
        <f t="array" aca="1" ref="I19" ca="1">_xlfn.IFNA(_xlfn.IFS(AND(ISNUMBER(SEARCH("Rainshadow",'Map 5'!I19)),ISNUMBER(SEARCH("Flatland",'Map 5'!I19))),CONCATENATE($AT19, " Rainshadow"),'Map 5'!I19="Flatland",$AT19,'Map 5'!I19="Island",CONCATENATE($AT19, " Island"),ISNUMBER(SEARCH("Rainshadow",'Map 5'!I19)),CONCATENATE($AT19," ",'Map 5'!I19)),'Map 5'!I19)</f>
        <v>Trench</v>
      </c>
      <c r="J19" s="46" t="str" cm="1">
        <f t="array" aca="1" ref="J19" ca="1">_xlfn.IFNA(_xlfn.IFS(AND(ISNUMBER(SEARCH("Rainshadow",'Map 5'!J19)),ISNUMBER(SEARCH("Flatland",'Map 5'!J19))),CONCATENATE($AT19, " Rainshadow"),'Map 5'!J19="Flatland",$AT19,'Map 5'!J19="Island",CONCATENATE($AT19, " Island"),ISNUMBER(SEARCH("Rainshadow",'Map 5'!J19)),CONCATENATE($AT19," ",'Map 5'!J19)),'Map 5'!J19)</f>
        <v>Forest Island</v>
      </c>
      <c r="K19" s="46" t="str" cm="1">
        <f t="array" aca="1" ref="K19" ca="1">_xlfn.IFNA(_xlfn.IFS(AND(ISNUMBER(SEARCH("Rainshadow",'Map 5'!K19)),ISNUMBER(SEARCH("Flatland",'Map 5'!K19))),CONCATENATE($AT19, " Rainshadow"),'Map 5'!K19="Flatland",$AT19,'Map 5'!K19="Island",CONCATENATE($AT19, " Island"),ISNUMBER(SEARCH("Rainshadow",'Map 5'!K19)),CONCATENATE($AT19," ",'Map 5'!K19)),'Map 5'!K19)</f>
        <v>Ocean</v>
      </c>
      <c r="L19" s="46" t="str" cm="1">
        <f t="array" aca="1" ref="L19" ca="1">_xlfn.IFNA(_xlfn.IFS(AND(ISNUMBER(SEARCH("Rainshadow",'Map 5'!L19)),ISNUMBER(SEARCH("Flatland",'Map 5'!L19))),CONCATENATE($AT19, " Rainshadow"),'Map 5'!L19="Flatland",$AT19,'Map 5'!L19="Island",CONCATENATE($AT19, " Island"),ISNUMBER(SEARCH("Rainshadow",'Map 5'!L19)),CONCATENATE($AT19," ",'Map 5'!L19)),'Map 5'!L19)</f>
        <v>Trench</v>
      </c>
      <c r="M19" s="46" t="str" cm="1">
        <f t="array" aca="1" ref="M19" ca="1">_xlfn.IFNA(_xlfn.IFS(AND(ISNUMBER(SEARCH("Rainshadow",'Map 5'!M19)),ISNUMBER(SEARCH("Flatland",'Map 5'!M19))),CONCATENATE($AT19, " Rainshadow"),'Map 5'!M19="Flatland",$AT19,'Map 5'!M19="Island",CONCATENATE($AT19, " Island"),ISNUMBER(SEARCH("Rainshadow",'Map 5'!M19)),CONCATENATE($AT19," ",'Map 5'!M19)),'Map 5'!M19)</f>
        <v>Ocean</v>
      </c>
      <c r="N19" s="46" t="str" cm="1">
        <f t="array" aca="1" ref="N19" ca="1">_xlfn.IFNA(_xlfn.IFS(AND(ISNUMBER(SEARCH("Rainshadow",'Map 5'!N19)),ISNUMBER(SEARCH("Flatland",'Map 5'!N19))),CONCATENATE($AT19, " Rainshadow"),'Map 5'!N19="Flatland",$AT19,'Map 5'!N19="Island",CONCATENATE($AT19, " Island"),ISNUMBER(SEARCH("Rainshadow",'Map 5'!N19)),CONCATENATE($AT19," ",'Map 5'!N19)),'Map 5'!N19)</f>
        <v>Coast</v>
      </c>
      <c r="O19" s="46" t="str" cm="1">
        <f t="array" aca="1" ref="O19" ca="1">_xlfn.IFNA(_xlfn.IFS(AND(ISNUMBER(SEARCH("Rainshadow",'Map 5'!O19)),ISNUMBER(SEARCH("Flatland",'Map 5'!O19))),CONCATENATE($AT19, " Rainshadow"),'Map 5'!O19="Flatland",$AT19,'Map 5'!O19="Island",CONCATENATE($AT19, " Island"),ISNUMBER(SEARCH("Rainshadow",'Map 5'!O19)),CONCATENATE($AT19," ",'Map 5'!O19)),'Map 5'!O19)</f>
        <v>Valley</v>
      </c>
      <c r="P19" s="46" t="str" cm="1">
        <f t="array" aca="1" ref="P19" ca="1">_xlfn.IFNA(_xlfn.IFS(AND(ISNUMBER(SEARCH("Rainshadow",'Map 5'!P19)),ISNUMBER(SEARCH("Flatland",'Map 5'!P19))),CONCATENATE($AT19, " Rainshadow"),'Map 5'!P19="Flatland",$AT19,'Map 5'!P19="Island",CONCATENATE($AT19, " Island"),ISNUMBER(SEARCH("Rainshadow",'Map 5'!P19)),CONCATENATE($AT19," ",'Map 5'!P19)),'Map 5'!P19)</f>
        <v>Forest</v>
      </c>
      <c r="Q19" s="46" t="str" cm="1">
        <f t="array" aca="1" ref="Q19" ca="1">_xlfn.IFNA(_xlfn.IFS(AND(ISNUMBER(SEARCH("Rainshadow",'Map 5'!Q19)),ISNUMBER(SEARCH("Flatland",'Map 5'!Q19))),CONCATENATE($AT19, " Rainshadow"),'Map 5'!Q19="Flatland",$AT19,'Map 5'!Q19="Island",CONCATENATE($AT19, " Island"),ISNUMBER(SEARCH("Rainshadow",'Map 5'!Q19)),CONCATENATE($AT19," ",'Map 5'!Q19)),'Map 5'!Q19)</f>
        <v>Forest</v>
      </c>
      <c r="R19" s="46" t="str" cm="1">
        <f t="array" aca="1" ref="R19" ca="1">_xlfn.IFNA(_xlfn.IFS(AND(ISNUMBER(SEARCH("Rainshadow",'Map 5'!R19)),ISNUMBER(SEARCH("Flatland",'Map 5'!R19))),CONCATENATE($AT19, " Rainshadow"),'Map 5'!R19="Flatland",$AT19,'Map 5'!R19="Island",CONCATENATE($AT19, " Island"),ISNUMBER(SEARCH("Rainshadow",'Map 5'!R19)),CONCATENATE($AT19," ",'Map 5'!R19)),'Map 5'!R19)</f>
        <v>Coast</v>
      </c>
      <c r="S19" s="46" t="str" cm="1">
        <f t="array" aca="1" ref="S19" ca="1">_xlfn.IFNA(_xlfn.IFS(AND(ISNUMBER(SEARCH("Rainshadow",'Map 5'!S19)),ISNUMBER(SEARCH("Flatland",'Map 5'!S19))),CONCATENATE($AT19, " Rainshadow"),'Map 5'!S19="Flatland",$AT19,'Map 5'!S19="Island",CONCATENATE($AT19, " Island"),ISNUMBER(SEARCH("Rainshadow",'Map 5'!S19)),CONCATENATE($AT19," ",'Map 5'!S19)),'Map 5'!S19)</f>
        <v>Ocean</v>
      </c>
      <c r="T19" s="46" t="str" cm="1">
        <f t="array" aca="1" ref="T19" ca="1">_xlfn.IFNA(_xlfn.IFS(AND(ISNUMBER(SEARCH("Rainshadow",'Map 5'!T19)),ISNUMBER(SEARCH("Flatland",'Map 5'!T19))),CONCATENATE($AT19, " Rainshadow"),'Map 5'!T19="Flatland",$AT19,'Map 5'!T19="Island",CONCATENATE($AT19, " Island"),ISNUMBER(SEARCH("Rainshadow",'Map 5'!T19)),CONCATENATE($AT19," ",'Map 5'!T19)),'Map 5'!T19)</f>
        <v>Ocean</v>
      </c>
      <c r="U19" s="46" t="str" cm="1">
        <f t="array" aca="1" ref="U19" ca="1">_xlfn.IFNA(_xlfn.IFS(AND(ISNUMBER(SEARCH("Rainshadow",'Map 5'!U19)),ISNUMBER(SEARCH("Flatland",'Map 5'!U19))),CONCATENATE($AT19, " Rainshadow"),'Map 5'!U19="Flatland",$AT19,'Map 5'!U19="Island",CONCATENATE($AT19, " Island"),ISNUMBER(SEARCH("Rainshadow",'Map 5'!U19)),CONCATENATE($AT19," ",'Map 5'!U19)),'Map 5'!U19)</f>
        <v>Ocean</v>
      </c>
      <c r="V19" s="46" t="str" cm="1">
        <f t="array" aca="1" ref="V19" ca="1">_xlfn.IFNA(_xlfn.IFS(AND(ISNUMBER(SEARCH("Rainshadow",'Map 5'!V19)),ISNUMBER(SEARCH("Flatland",'Map 5'!V19))),CONCATENATE($AT19, " Rainshadow"),'Map 5'!V19="Flatland",$AT19,'Map 5'!V19="Island",CONCATENATE($AT19, " Island"),ISNUMBER(SEARCH("Rainshadow",'Map 5'!V19)),CONCATENATE($AT19," ",'Map 5'!V19)),'Map 5'!V19)</f>
        <v>Ocean</v>
      </c>
      <c r="W19" s="46" t="str" cm="1">
        <f t="array" aca="1" ref="W19" ca="1">_xlfn.IFNA(_xlfn.IFS(AND(ISNUMBER(SEARCH("Rainshadow",'Map 5'!W19)),ISNUMBER(SEARCH("Flatland",'Map 5'!W19))),CONCATENATE($AT19, " Rainshadow"),'Map 5'!W19="Flatland",$AT19,'Map 5'!W19="Island",CONCATENATE($AT19, " Island"),ISNUMBER(SEARCH("Rainshadow",'Map 5'!W19)),CONCATENATE($AT19," ",'Map 5'!W19)),'Map 5'!W19)</f>
        <v>Ocean</v>
      </c>
      <c r="X19" s="46" t="str" cm="1">
        <f t="array" aca="1" ref="X19" ca="1">_xlfn.IFNA(_xlfn.IFS(AND(ISNUMBER(SEARCH("Rainshadow",'Map 5'!X19)),ISNUMBER(SEARCH("Flatland",'Map 5'!X19))),CONCATENATE($AT19, " Rainshadow"),'Map 5'!X19="Flatland",$AT19,'Map 5'!X19="Island",CONCATENATE($AT19, " Island"),ISNUMBER(SEARCH("Rainshadow",'Map 5'!X19)),CONCATENATE($AT19," ",'Map 5'!X19)),'Map 5'!X19)</f>
        <v>Trench</v>
      </c>
      <c r="Y19" s="46" t="str" cm="1">
        <f t="array" aca="1" ref="Y19" ca="1">_xlfn.IFNA(_xlfn.IFS(AND(ISNUMBER(SEARCH("Rainshadow",'Map 5'!Y19)),ISNUMBER(SEARCH("Flatland",'Map 5'!Y19))),CONCATENATE($AT19, " Rainshadow"),'Map 5'!Y19="Flatland",$AT19,'Map 5'!Y19="Island",CONCATENATE($AT19, " Island"),ISNUMBER(SEARCH("Rainshadow",'Map 5'!Y19)),CONCATENATE($AT19," ",'Map 5'!Y19)),'Map 5'!Y19)</f>
        <v>Ocean</v>
      </c>
      <c r="Z19" s="46" t="str" cm="1">
        <f t="array" aca="1" ref="Z19" ca="1">_xlfn.IFNA(_xlfn.IFS(AND(ISNUMBER(SEARCH("Rainshadow",'Map 5'!Z19)),ISNUMBER(SEARCH("Flatland",'Map 5'!Z19))),CONCATENATE($AT19, " Rainshadow"),'Map 5'!Z19="Flatland",$AT19,'Map 5'!Z19="Island",CONCATENATE($AT19, " Island"),ISNUMBER(SEARCH("Rainshadow",'Map 5'!Z19)),CONCATENATE($AT19," ",'Map 5'!Z19)),'Map 5'!Z19)</f>
        <v>Coast</v>
      </c>
      <c r="AA19" s="46" t="str" cm="1">
        <f t="array" aca="1" ref="AA19" ca="1">_xlfn.IFNA(_xlfn.IFS(AND(ISNUMBER(SEARCH("Rainshadow",'Map 5'!AA19)),ISNUMBER(SEARCH("Flatland",'Map 5'!AA19))),CONCATENATE($AT19, " Rainshadow"),'Map 5'!AA19="Flatland",$AT19,'Map 5'!AA19="Island",CONCATENATE($AT19, " Island"),ISNUMBER(SEARCH("Rainshadow",'Map 5'!AA19)),CONCATENATE($AT19," ",'Map 5'!AA19)),'Map 5'!AA19)</f>
        <v>Mountain</v>
      </c>
      <c r="AB19" s="46" t="str" cm="1">
        <f t="array" aca="1" ref="AB19" ca="1">_xlfn.IFNA(_xlfn.IFS(AND(ISNUMBER(SEARCH("Rainshadow",'Map 5'!AB19)),ISNUMBER(SEARCH("Flatland",'Map 5'!AB19))),CONCATENATE($AT19, " Rainshadow"),'Map 5'!AB19="Flatland",$AT19,'Map 5'!AB19="Island",CONCATENATE($AT19, " Island"),ISNUMBER(SEARCH("Rainshadow",'Map 5'!AB19)),CONCATENATE($AT19," ",'Map 5'!AB19)),'Map 5'!AB19)</f>
        <v>Mountain</v>
      </c>
      <c r="AC19" s="46" t="str" cm="1">
        <f t="array" aca="1" ref="AC19" ca="1">_xlfn.IFNA(_xlfn.IFS(AND(ISNUMBER(SEARCH("Rainshadow",'Map 5'!AC19)),ISNUMBER(SEARCH("Flatland",'Map 5'!AC19))),CONCATENATE($AT19, " Rainshadow"),'Map 5'!AC19="Flatland",$AT19,'Map 5'!AC19="Island",CONCATENATE($AT19, " Island"),ISNUMBER(SEARCH("Rainshadow",'Map 5'!AC19)),CONCATENATE($AT19," ",'Map 5'!AC19)),'Map 5'!AC19)</f>
        <v>Valley</v>
      </c>
      <c r="AD19" s="46" t="str" cm="1">
        <f t="array" aca="1" ref="AD19" ca="1">_xlfn.IFNA(_xlfn.IFS(AND(ISNUMBER(SEARCH("Rainshadow",'Map 5'!AD19)),ISNUMBER(SEARCH("Flatland",'Map 5'!AD19))),CONCATENATE($AT19, " Rainshadow"),'Map 5'!AD19="Flatland",$AT19,'Map 5'!AD19="Island",CONCATENATE($AT19, " Island"),ISNUMBER(SEARCH("Rainshadow",'Map 5'!AD19)),CONCATENATE($AT19," ",'Map 5'!AD19)),'Map 5'!AD19)</f>
        <v>Coast</v>
      </c>
      <c r="AE19" s="46" t="str" cm="1">
        <f t="array" aca="1" ref="AE19" ca="1">_xlfn.IFNA(_xlfn.IFS(AND(ISNUMBER(SEARCH("Rainshadow",'Map 5'!AE19)),ISNUMBER(SEARCH("Flatland",'Map 5'!AE19))),CONCATENATE($AT19, " Rainshadow"),'Map 5'!AE19="Flatland",$AT19,'Map 5'!AE19="Island",CONCATENATE($AT19, " Island"),ISNUMBER(SEARCH("Rainshadow",'Map 5'!AE19)),CONCATENATE($AT19," ",'Map 5'!AE19)),'Map 5'!AE19)</f>
        <v>Ocean</v>
      </c>
      <c r="AF19" s="46" t="str" cm="1">
        <f t="array" aca="1" ref="AF19" ca="1">_xlfn.IFNA(_xlfn.IFS(AND(ISNUMBER(SEARCH("Rainshadow",'Map 5'!AF19)),ISNUMBER(SEARCH("Flatland",'Map 5'!AF19))),CONCATENATE($AT19, " Rainshadow"),'Map 5'!AF19="Flatland",$AT19,'Map 5'!AF19="Island",CONCATENATE($AT19, " Island"),ISNUMBER(SEARCH("Rainshadow",'Map 5'!AF19)),CONCATENATE($AT19," ",'Map 5'!AF19)),'Map 5'!AF19)</f>
        <v>Ocean</v>
      </c>
      <c r="AG19" s="46" t="str" cm="1">
        <f t="array" aca="1" ref="AG19" ca="1">_xlfn.IFNA(_xlfn.IFS(AND(ISNUMBER(SEARCH("Rainshadow",'Map 5'!AG19)),ISNUMBER(SEARCH("Flatland",'Map 5'!AG19))),CONCATENATE($AT19, " Rainshadow"),'Map 5'!AG19="Flatland",$AT19,'Map 5'!AG19="Island",CONCATENATE($AT19, " Island"),ISNUMBER(SEARCH("Rainshadow",'Map 5'!AG19)),CONCATENATE($AT19," ",'Map 5'!AG19)),'Map 5'!AG19)</f>
        <v>Ocean</v>
      </c>
      <c r="AH19" s="46" t="str" cm="1">
        <f t="array" aca="1" ref="AH19" ca="1">_xlfn.IFNA(_xlfn.IFS(AND(ISNUMBER(SEARCH("Rainshadow",'Map 5'!AH19)),ISNUMBER(SEARCH("Flatland",'Map 5'!AH19))),CONCATENATE($AT19, " Rainshadow"),'Map 5'!AH19="Flatland",$AT19,'Map 5'!AH19="Island",CONCATENATE($AT19, " Island"),ISNUMBER(SEARCH("Rainshadow",'Map 5'!AH19)),CONCATENATE($AT19," ",'Map 5'!AH19)),'Map 5'!AH19)</f>
        <v>Trench</v>
      </c>
      <c r="AI19" s="46" t="str" cm="1">
        <f t="array" aca="1" ref="AI19" ca="1">_xlfn.IFNA(_xlfn.IFS(AND(ISNUMBER(SEARCH("Rainshadow",'Map 5'!AI19)),ISNUMBER(SEARCH("Flatland",'Map 5'!AI19))),CONCATENATE($AT19, " Rainshadow"),'Map 5'!AI19="Flatland",$AT19,'Map 5'!AI19="Island",CONCATENATE($AT19, " Island"),ISNUMBER(SEARCH("Rainshadow",'Map 5'!AI19)),CONCATENATE($AT19," ",'Map 5'!AI19)),'Map 5'!AI19)</f>
        <v>Ocean</v>
      </c>
      <c r="AJ19" s="46" t="str" cm="1">
        <f t="array" aca="1" ref="AJ19" ca="1">_xlfn.IFNA(_xlfn.IFS(AND(ISNUMBER(SEARCH("Rainshadow",'Map 5'!AJ19)),ISNUMBER(SEARCH("Flatland",'Map 5'!AJ19))),CONCATENATE($AT19, " Rainshadow"),'Map 5'!AJ19="Flatland",$AT19,'Map 5'!AJ19="Island",CONCATENATE($AT19, " Island"),ISNUMBER(SEARCH("Rainshadow",'Map 5'!AJ19)),CONCATENATE($AT19," ",'Map 5'!AJ19)),'Map 5'!AJ19)</f>
        <v>Ocean</v>
      </c>
      <c r="AK19" s="46" t="str" cm="1">
        <f t="array" aca="1" ref="AK19" ca="1">_xlfn.IFNA(_xlfn.IFS(AND(ISNUMBER(SEARCH("Rainshadow",'Map 5'!AK19)),ISNUMBER(SEARCH("Flatland",'Map 5'!AK19))),CONCATENATE($AT19, " Rainshadow"),'Map 5'!AK19="Flatland",$AT19,'Map 5'!AK19="Island",CONCATENATE($AT19, " Island"),ISNUMBER(SEARCH("Rainshadow",'Map 5'!AK19)),CONCATENATE($AT19," ",'Map 5'!AK19)),'Map 5'!AK19)</f>
        <v>Forest Island</v>
      </c>
      <c r="AL19" s="46" t="str" cm="1">
        <f t="array" aca="1" ref="AL19" ca="1">_xlfn.IFNA(_xlfn.IFS(AND(ISNUMBER(SEARCH("Rainshadow",'Map 5'!AL19)),ISNUMBER(SEARCH("Flatland",'Map 5'!AL19))),CONCATENATE($AT19, " Rainshadow"),'Map 5'!AL19="Flatland",$AT19,'Map 5'!AL19="Island",CONCATENATE($AT19, " Island"),ISNUMBER(SEARCH("Rainshadow",'Map 5'!AL19)),CONCATENATE($AT19," ",'Map 5'!AL19)),'Map 5'!AL19)</f>
        <v>Ocean</v>
      </c>
      <c r="AM19" s="46" t="str" cm="1">
        <f t="array" aca="1" ref="AM19" ca="1">_xlfn.IFNA(_xlfn.IFS(AND(ISNUMBER(SEARCH("Rainshadow",'Map 5'!AM19)),ISNUMBER(SEARCH("Flatland",'Map 5'!AM19))),CONCATENATE($AT19, " Rainshadow"),'Map 5'!AM19="Flatland",$AT19,'Map 5'!AM19="Island",CONCATENATE($AT19, " Island"),ISNUMBER(SEARCH("Rainshadow",'Map 5'!AM19)),CONCATENATE($AT19," ",'Map 5'!AM19)),'Map 5'!AM19)</f>
        <v>Ocean</v>
      </c>
      <c r="AN19" s="46" t="str" cm="1">
        <f t="array" aca="1" ref="AN19" ca="1">_xlfn.IFNA(_xlfn.IFS(AND(ISNUMBER(SEARCH("Rainshadow",'Map 5'!AN19)),ISNUMBER(SEARCH("Flatland",'Map 5'!AN19))),CONCATENATE($AT19, " Rainshadow"),'Map 5'!AN19="Flatland",$AT19,'Map 5'!AN19="Island",CONCATENATE($AT19, " Island"),ISNUMBER(SEARCH("Rainshadow",'Map 5'!AN19)),CONCATENATE($AT19," ",'Map 5'!AN19)),'Map 5'!AN19)</f>
        <v>Coast</v>
      </c>
      <c r="AO19" s="46" t="str" cm="1">
        <f t="array" aca="1" ref="AO19" ca="1">_xlfn.IFNA(_xlfn.IFS(AND(ISNUMBER(SEARCH("Rainshadow",'Map 5'!AO19)),ISNUMBER(SEARCH("Flatland",'Map 5'!AO19))),CONCATENATE($AT19, " Rainshadow"),'Map 5'!AO19="Flatland",$AT19,'Map 5'!AO19="Island",CONCATENATE($AT19, " Island"),ISNUMBER(SEARCH("Rainshadow",'Map 5'!AO19)),CONCATENATE($AT19," ",'Map 5'!AO19)),'Map 5'!AO19)</f>
        <v>Ocean</v>
      </c>
      <c r="AP19" s="46">
        <f>'Map 5'!AP19</f>
        <v>21.4</v>
      </c>
      <c r="AQ19" s="46">
        <f>'Map 5'!AQ19</f>
        <v>70.52</v>
      </c>
      <c r="AR19" s="46">
        <f>'Map 5'!AS19</f>
        <v>294.55000000000013</v>
      </c>
      <c r="AS19" s="47">
        <f>'Map 5'!AT19</f>
        <v>49.5</v>
      </c>
      <c r="AT19" s="47" t="str">
        <f>'Map 5'!AU19</f>
        <v>Forest</v>
      </c>
      <c r="AU19" s="47" t="str">
        <f>'Map 5'!AV19</f>
        <v>⤴</v>
      </c>
      <c r="AW19" s="47" t="s">
        <v>49</v>
      </c>
      <c r="AX19" s="47" t="str">
        <f>CONCATENATE(AX13," ",$AW$13)</f>
        <v>Rainforest Island</v>
      </c>
    </row>
    <row r="20" spans="1:50" ht="18.75" customHeight="1">
      <c r="A20" s="46">
        <v>11</v>
      </c>
      <c r="B20" s="46" t="str" cm="1">
        <f t="array" aca="1" ref="B20" ca="1">_xlfn.IFNA(_xlfn.IFS(AND(ISNUMBER(SEARCH("Rainshadow",'Map 5'!B20)),ISNUMBER(SEARCH("Flatland",'Map 5'!B20))),CONCATENATE($AT20, " Rainshadow"),'Map 5'!B20="Flatland",$AT20,'Map 5'!B20="Island",CONCATENATE($AT20, " Island"),ISNUMBER(SEARCH("Rainshadow",'Map 5'!B20)),CONCATENATE($AT20," ",'Map 5'!B20)),'Map 5'!B20)</f>
        <v>Ocean</v>
      </c>
      <c r="C20" s="46" t="str" cm="1">
        <f t="array" aca="1" ref="C20" ca="1">_xlfn.IFNA(_xlfn.IFS(AND(ISNUMBER(SEARCH("Rainshadow",'Map 5'!C20)),ISNUMBER(SEARCH("Flatland",'Map 5'!C20))),CONCATENATE($AT20, " Rainshadow"),'Map 5'!C20="Flatland",$AT20,'Map 5'!C20="Island",CONCATENATE($AT20, " Island"),ISNUMBER(SEARCH("Rainshadow",'Map 5'!C20)),CONCATENATE($AT20," ",'Map 5'!C20)),'Map 5'!C20)</f>
        <v>Ocean</v>
      </c>
      <c r="D20" s="46" t="str" cm="1">
        <f t="array" aca="1" ref="D20" ca="1">_xlfn.IFNA(_xlfn.IFS(AND(ISNUMBER(SEARCH("Rainshadow",'Map 5'!D20)),ISNUMBER(SEARCH("Flatland",'Map 5'!D20))),CONCATENATE($AT20, " Rainshadow"),'Map 5'!D20="Flatland",$AT20,'Map 5'!D20="Island",CONCATENATE($AT20, " Island"),ISNUMBER(SEARCH("Rainshadow",'Map 5'!D20)),CONCATENATE($AT20," ",'Map 5'!D20)),'Map 5'!D20)</f>
        <v>Trench</v>
      </c>
      <c r="E20" s="46" t="str" cm="1">
        <f t="array" aca="1" ref="E20" ca="1">_xlfn.IFNA(_xlfn.IFS(AND(ISNUMBER(SEARCH("Rainshadow",'Map 5'!E20)),ISNUMBER(SEARCH("Flatland",'Map 5'!E20))),CONCATENATE($AT20, " Rainshadow"),'Map 5'!E20="Flatland",$AT20,'Map 5'!E20="Island",CONCATENATE($AT20, " Island"),ISNUMBER(SEARCH("Rainshadow",'Map 5'!E20)),CONCATENATE($AT20," ",'Map 5'!E20)),'Map 5'!E20)</f>
        <v>Ocean</v>
      </c>
      <c r="F20" s="46" t="str" cm="1">
        <f t="array" aca="1" ref="F20" ca="1">_xlfn.IFNA(_xlfn.IFS(AND(ISNUMBER(SEARCH("Rainshadow",'Map 5'!F20)),ISNUMBER(SEARCH("Flatland",'Map 5'!F20))),CONCATENATE($AT20, " Rainshadow"),'Map 5'!F20="Flatland",$AT20,'Map 5'!F20="Island",CONCATENATE($AT20, " Island"),ISNUMBER(SEARCH("Rainshadow",'Map 5'!F20)),CONCATENATE($AT20," ",'Map 5'!F20)),'Map 5'!F20)</f>
        <v>Desert Island</v>
      </c>
      <c r="G20" s="46" t="str" cm="1">
        <f t="array" aca="1" ref="G20" ca="1">_xlfn.IFNA(_xlfn.IFS(AND(ISNUMBER(SEARCH("Rainshadow",'Map 5'!G20)),ISNUMBER(SEARCH("Flatland",'Map 5'!G20))),CONCATENATE($AT20, " Rainshadow"),'Map 5'!G20="Flatland",$AT20,'Map 5'!G20="Island",CONCATENATE($AT20, " Island"),ISNUMBER(SEARCH("Rainshadow",'Map 5'!G20)),CONCATENATE($AT20," ",'Map 5'!G20)),'Map 5'!G20)</f>
        <v>Trench</v>
      </c>
      <c r="H20" s="46" t="str" cm="1">
        <f t="array" aca="1" ref="H20" ca="1">_xlfn.IFNA(_xlfn.IFS(AND(ISNUMBER(SEARCH("Rainshadow",'Map 5'!H20)),ISNUMBER(SEARCH("Flatland",'Map 5'!H20))),CONCATENATE($AT20, " Rainshadow"),'Map 5'!H20="Flatland",$AT20,'Map 5'!H20="Island",CONCATENATE($AT20, " Island"),ISNUMBER(SEARCH("Rainshadow",'Map 5'!H20)),CONCATENATE($AT20," ",'Map 5'!H20)),'Map 5'!H20)</f>
        <v>Desert Island</v>
      </c>
      <c r="I20" s="46" t="str" cm="1">
        <f t="array" aca="1" ref="I20" ca="1">_xlfn.IFNA(_xlfn.IFS(AND(ISNUMBER(SEARCH("Rainshadow",'Map 5'!I20)),ISNUMBER(SEARCH("Flatland",'Map 5'!I20))),CONCATENATE($AT20, " Rainshadow"),'Map 5'!I20="Flatland",$AT20,'Map 5'!I20="Island",CONCATENATE($AT20, " Island"),ISNUMBER(SEARCH("Rainshadow",'Map 5'!I20)),CONCATENATE($AT20," ",'Map 5'!I20)),'Map 5'!I20)</f>
        <v>Desert Island</v>
      </c>
      <c r="J20" s="46" t="str" cm="1">
        <f t="array" aca="1" ref="J20" ca="1">_xlfn.IFNA(_xlfn.IFS(AND(ISNUMBER(SEARCH("Rainshadow",'Map 5'!J20)),ISNUMBER(SEARCH("Flatland",'Map 5'!J20))),CONCATENATE($AT20, " Rainshadow"),'Map 5'!J20="Flatland",$AT20,'Map 5'!J20="Island",CONCATENATE($AT20, " Island"),ISNUMBER(SEARCH("Rainshadow",'Map 5'!J20)),CONCATENATE($AT20," ",'Map 5'!J20)),'Map 5'!J20)</f>
        <v>Trench</v>
      </c>
      <c r="K20" s="46" t="str" cm="1">
        <f t="array" aca="1" ref="K20" ca="1">_xlfn.IFNA(_xlfn.IFS(AND(ISNUMBER(SEARCH("Rainshadow",'Map 5'!K20)),ISNUMBER(SEARCH("Flatland",'Map 5'!K20))),CONCATENATE($AT20, " Rainshadow"),'Map 5'!K20="Flatland",$AT20,'Map 5'!K20="Island",CONCATENATE($AT20, " Island"),ISNUMBER(SEARCH("Rainshadow",'Map 5'!K20)),CONCATENATE($AT20," ",'Map 5'!K20)),'Map 5'!K20)</f>
        <v>Ocean</v>
      </c>
      <c r="L20" s="46" t="str" cm="1">
        <f t="array" aca="1" ref="L20" ca="1">_xlfn.IFNA(_xlfn.IFS(AND(ISNUMBER(SEARCH("Rainshadow",'Map 5'!L20)),ISNUMBER(SEARCH("Flatland",'Map 5'!L20))),CONCATENATE($AT20, " Rainshadow"),'Map 5'!L20="Flatland",$AT20,'Map 5'!L20="Island",CONCATENATE($AT20, " Island"),ISNUMBER(SEARCH("Rainshadow",'Map 5'!L20)),CONCATENATE($AT20," ",'Map 5'!L20)),'Map 5'!L20)</f>
        <v>Ocean</v>
      </c>
      <c r="M20" s="46" t="str" cm="1">
        <f t="array" aca="1" ref="M20" ca="1">_xlfn.IFNA(_xlfn.IFS(AND(ISNUMBER(SEARCH("Rainshadow",'Map 5'!M20)),ISNUMBER(SEARCH("Flatland",'Map 5'!M20))),CONCATENATE($AT20, " Rainshadow"),'Map 5'!M20="Flatland",$AT20,'Map 5'!M20="Island",CONCATENATE($AT20, " Island"),ISNUMBER(SEARCH("Rainshadow",'Map 5'!M20)),CONCATENATE($AT20," ",'Map 5'!M20)),'Map 5'!M20)</f>
        <v>Ocean</v>
      </c>
      <c r="N20" s="46" t="str" cm="1">
        <f t="array" aca="1" ref="N20" ca="1">_xlfn.IFNA(_xlfn.IFS(AND(ISNUMBER(SEARCH("Rainshadow",'Map 5'!N20)),ISNUMBER(SEARCH("Flatland",'Map 5'!N20))),CONCATENATE($AT20, " Rainshadow"),'Map 5'!N20="Flatland",$AT20,'Map 5'!N20="Island",CONCATENATE($AT20, " Island"),ISNUMBER(SEARCH("Rainshadow",'Map 5'!N20)),CONCATENATE($AT20," ",'Map 5'!N20)),'Map 5'!N20)</f>
        <v>Desert</v>
      </c>
      <c r="O20" s="46" t="str" cm="1">
        <f t="array" aca="1" ref="O20" ca="1">_xlfn.IFNA(_xlfn.IFS(AND(ISNUMBER(SEARCH("Rainshadow",'Map 5'!O20)),ISNUMBER(SEARCH("Flatland",'Map 5'!O20))),CONCATENATE($AT20, " Rainshadow"),'Map 5'!O20="Flatland",$AT20,'Map 5'!O20="Island",CONCATENATE($AT20, " Island"),ISNUMBER(SEARCH("Rainshadow",'Map 5'!O20)),CONCATENATE($AT20," ",'Map 5'!O20)),'Map 5'!O20)</f>
        <v>Desert</v>
      </c>
      <c r="P20" s="46" t="str" cm="1">
        <f t="array" aca="1" ref="P20" ca="1">_xlfn.IFNA(_xlfn.IFS(AND(ISNUMBER(SEARCH("Rainshadow",'Map 5'!P20)),ISNUMBER(SEARCH("Flatland",'Map 5'!P20))),CONCATENATE($AT20, " Rainshadow"),'Map 5'!P20="Flatland",$AT20,'Map 5'!P20="Island",CONCATENATE($AT20, " Island"),ISNUMBER(SEARCH("Rainshadow",'Map 5'!P20)),CONCATENATE($AT20," ",'Map 5'!P20)),'Map 5'!P20)</f>
        <v>Desert</v>
      </c>
      <c r="Q20" s="46" t="str" cm="1">
        <f t="array" aca="1" ref="Q20" ca="1">_xlfn.IFNA(_xlfn.IFS(AND(ISNUMBER(SEARCH("Rainshadow",'Map 5'!Q20)),ISNUMBER(SEARCH("Flatland",'Map 5'!Q20))),CONCATENATE($AT20, " Rainshadow"),'Map 5'!Q20="Flatland",$AT20,'Map 5'!Q20="Island",CONCATENATE($AT20, " Island"),ISNUMBER(SEARCH("Rainshadow",'Map 5'!Q20)),CONCATENATE($AT20," ",'Map 5'!Q20)),'Map 5'!Q20)</f>
        <v>Valley</v>
      </c>
      <c r="R20" s="46" t="str" cm="1">
        <f t="array" aca="1" ref="R20" ca="1">_xlfn.IFNA(_xlfn.IFS(AND(ISNUMBER(SEARCH("Rainshadow",'Map 5'!R20)),ISNUMBER(SEARCH("Flatland",'Map 5'!R20))),CONCATENATE($AT20, " Rainshadow"),'Map 5'!R20="Flatland",$AT20,'Map 5'!R20="Island",CONCATENATE($AT20, " Island"),ISNUMBER(SEARCH("Rainshadow",'Map 5'!R20)),CONCATENATE($AT20," ",'Map 5'!R20)),'Map 5'!R20)</f>
        <v>Coast</v>
      </c>
      <c r="S20" s="46" t="str" cm="1">
        <f t="array" aca="1" ref="S20" ca="1">_xlfn.IFNA(_xlfn.IFS(AND(ISNUMBER(SEARCH("Rainshadow",'Map 5'!S20)),ISNUMBER(SEARCH("Flatland",'Map 5'!S20))),CONCATENATE($AT20, " Rainshadow"),'Map 5'!S20="Flatland",$AT20,'Map 5'!S20="Island",CONCATENATE($AT20, " Island"),ISNUMBER(SEARCH("Rainshadow",'Map 5'!S20)),CONCATENATE($AT20," ",'Map 5'!S20)),'Map 5'!S20)</f>
        <v>Ocean</v>
      </c>
      <c r="T20" s="46" t="str" cm="1">
        <f t="array" aca="1" ref="T20" ca="1">_xlfn.IFNA(_xlfn.IFS(AND(ISNUMBER(SEARCH("Rainshadow",'Map 5'!T20)),ISNUMBER(SEARCH("Flatland",'Map 5'!T20))),CONCATENATE($AT20, " Rainshadow"),'Map 5'!T20="Flatland",$AT20,'Map 5'!T20="Island",CONCATENATE($AT20, " Island"),ISNUMBER(SEARCH("Rainshadow",'Map 5'!T20)),CONCATENATE($AT20," ",'Map 5'!T20)),'Map 5'!T20)</f>
        <v>Ocean</v>
      </c>
      <c r="U20" s="46" t="str" cm="1">
        <f t="array" aca="1" ref="U20" ca="1">_xlfn.IFNA(_xlfn.IFS(AND(ISNUMBER(SEARCH("Rainshadow",'Map 5'!U20)),ISNUMBER(SEARCH("Flatland",'Map 5'!U20))),CONCATENATE($AT20, " Rainshadow"),'Map 5'!U20="Flatland",$AT20,'Map 5'!U20="Island",CONCATENATE($AT20, " Island"),ISNUMBER(SEARCH("Rainshadow",'Map 5'!U20)),CONCATENATE($AT20," ",'Map 5'!U20)),'Map 5'!U20)</f>
        <v>Ocean</v>
      </c>
      <c r="V20" s="46" t="str" cm="1">
        <f t="array" aca="1" ref="V20" ca="1">_xlfn.IFNA(_xlfn.IFS(AND(ISNUMBER(SEARCH("Rainshadow",'Map 5'!V20)),ISNUMBER(SEARCH("Flatland",'Map 5'!V20))),CONCATENATE($AT20, " Rainshadow"),'Map 5'!V20="Flatland",$AT20,'Map 5'!V20="Island",CONCATENATE($AT20, " Island"),ISNUMBER(SEARCH("Rainshadow",'Map 5'!V20)),CONCATENATE($AT20," ",'Map 5'!V20)),'Map 5'!V20)</f>
        <v>Ocean</v>
      </c>
      <c r="W20" s="46" t="str" cm="1">
        <f t="array" aca="1" ref="W20" ca="1">_xlfn.IFNA(_xlfn.IFS(AND(ISNUMBER(SEARCH("Rainshadow",'Map 5'!W20)),ISNUMBER(SEARCH("Flatland",'Map 5'!W20))),CONCATENATE($AT20, " Rainshadow"),'Map 5'!W20="Flatland",$AT20,'Map 5'!W20="Island",CONCATENATE($AT20, " Island"),ISNUMBER(SEARCH("Rainshadow",'Map 5'!W20)),CONCATENATE($AT20," ",'Map 5'!W20)),'Map 5'!W20)</f>
        <v>Ocean</v>
      </c>
      <c r="X20" s="46" t="str" cm="1">
        <f t="array" aca="1" ref="X20" ca="1">_xlfn.IFNA(_xlfn.IFS(AND(ISNUMBER(SEARCH("Rainshadow",'Map 5'!X20)),ISNUMBER(SEARCH("Flatland",'Map 5'!X20))),CONCATENATE($AT20, " Rainshadow"),'Map 5'!X20="Flatland",$AT20,'Map 5'!X20="Island",CONCATENATE($AT20, " Island"),ISNUMBER(SEARCH("Rainshadow",'Map 5'!X20)),CONCATENATE($AT20," ",'Map 5'!X20)),'Map 5'!X20)</f>
        <v>Ocean</v>
      </c>
      <c r="Y20" s="46" t="str" cm="1">
        <f t="array" aca="1" ref="Y20" ca="1">_xlfn.IFNA(_xlfn.IFS(AND(ISNUMBER(SEARCH("Rainshadow",'Map 5'!Y20)),ISNUMBER(SEARCH("Flatland",'Map 5'!Y20))),CONCATENATE($AT20, " Rainshadow"),'Map 5'!Y20="Flatland",$AT20,'Map 5'!Y20="Island",CONCATENATE($AT20, " Island"),ISNUMBER(SEARCH("Rainshadow",'Map 5'!Y20)),CONCATENATE($AT20," ",'Map 5'!Y20)),'Map 5'!Y20)</f>
        <v>Drop Off</v>
      </c>
      <c r="Z20" s="46" t="str" cm="1">
        <f t="array" aca="1" ref="Z20" ca="1">_xlfn.IFNA(_xlfn.IFS(AND(ISNUMBER(SEARCH("Rainshadow",'Map 5'!Z20)),ISNUMBER(SEARCH("Flatland",'Map 5'!Z20))),CONCATENATE($AT20, " Rainshadow"),'Map 5'!Z20="Flatland",$AT20,'Map 5'!Z20="Island",CONCATENATE($AT20, " Island"),ISNUMBER(SEARCH("Rainshadow",'Map 5'!Z20)),CONCATENATE($AT20," ",'Map 5'!Z20)),'Map 5'!Z20)</f>
        <v>Desert</v>
      </c>
      <c r="AA20" s="46" t="str" cm="1">
        <f t="array" aca="1" ref="AA20" ca="1">_xlfn.IFNA(_xlfn.IFS(AND(ISNUMBER(SEARCH("Rainshadow",'Map 5'!AA20)),ISNUMBER(SEARCH("Flatland",'Map 5'!AA20))),CONCATENATE($AT20, " Rainshadow"),'Map 5'!AA20="Flatland",$AT20,'Map 5'!AA20="Island",CONCATENATE($AT20, " Island"),ISNUMBER(SEARCH("Rainshadow",'Map 5'!AA20)),CONCATENATE($AT20," ",'Map 5'!AA20)),'Map 5'!AA20)</f>
        <v>Desert Rainshadow Valley</v>
      </c>
      <c r="AB20" s="46" t="str" cm="1">
        <f t="array" aca="1" ref="AB20" ca="1">_xlfn.IFNA(_xlfn.IFS(AND(ISNUMBER(SEARCH("Rainshadow",'Map 5'!AB20)),ISNUMBER(SEARCH("Flatland",'Map 5'!AB20))),CONCATENATE($AT20, " Rainshadow"),'Map 5'!AB20="Flatland",$AT20,'Map 5'!AB20="Island",CONCATENATE($AT20, " Island"),ISNUMBER(SEARCH("Rainshadow",'Map 5'!AB20)),CONCATENATE($AT20," ",'Map 5'!AB20)),'Map 5'!AB20)</f>
        <v>Desert Rainshadow Valley</v>
      </c>
      <c r="AC20" s="46" t="str" cm="1">
        <f t="array" aca="1" ref="AC20" ca="1">_xlfn.IFNA(_xlfn.IFS(AND(ISNUMBER(SEARCH("Rainshadow",'Map 5'!AC20)),ISNUMBER(SEARCH("Flatland",'Map 5'!AC20))),CONCATENATE($AT20, " Rainshadow"),'Map 5'!AC20="Flatland",$AT20,'Map 5'!AC20="Island",CONCATENATE($AT20, " Island"),ISNUMBER(SEARCH("Rainshadow",'Map 5'!AC20)),CONCATENATE($AT20," ",'Map 5'!AC20)),'Map 5'!AC20)</f>
        <v>Mountain</v>
      </c>
      <c r="AD20" s="46" t="str" cm="1">
        <f t="array" aca="1" ref="AD20" ca="1">_xlfn.IFNA(_xlfn.IFS(AND(ISNUMBER(SEARCH("Rainshadow",'Map 5'!AD20)),ISNUMBER(SEARCH("Flatland",'Map 5'!AD20))),CONCATENATE($AT20, " Rainshadow"),'Map 5'!AD20="Flatland",$AT20,'Map 5'!AD20="Island",CONCATENATE($AT20, " Island"),ISNUMBER(SEARCH("Rainshadow",'Map 5'!AD20)),CONCATENATE($AT20," ",'Map 5'!AD20)),'Map 5'!AD20)</f>
        <v>Valley</v>
      </c>
      <c r="AE20" s="46" t="str" cm="1">
        <f t="array" aca="1" ref="AE20" ca="1">_xlfn.IFNA(_xlfn.IFS(AND(ISNUMBER(SEARCH("Rainshadow",'Map 5'!AE20)),ISNUMBER(SEARCH("Flatland",'Map 5'!AE20))),CONCATENATE($AT20, " Rainshadow"),'Map 5'!AE20="Flatland",$AT20,'Map 5'!AE20="Island",CONCATENATE($AT20, " Island"),ISNUMBER(SEARCH("Rainshadow",'Map 5'!AE20)),CONCATENATE($AT20," ",'Map 5'!AE20)),'Map 5'!AE20)</f>
        <v>Cliff</v>
      </c>
      <c r="AF20" s="46" t="str" cm="1">
        <f t="array" aca="1" ref="AF20" ca="1">_xlfn.IFNA(_xlfn.IFS(AND(ISNUMBER(SEARCH("Rainshadow",'Map 5'!AF20)),ISNUMBER(SEARCH("Flatland",'Map 5'!AF20))),CONCATENATE($AT20, " Rainshadow"),'Map 5'!AF20="Flatland",$AT20,'Map 5'!AF20="Island",CONCATENATE($AT20, " Island"),ISNUMBER(SEARCH("Rainshadow",'Map 5'!AF20)),CONCATENATE($AT20," ",'Map 5'!AF20)),'Map 5'!AF20)</f>
        <v>Trench</v>
      </c>
      <c r="AG20" s="46" t="str" cm="1">
        <f t="array" aca="1" ref="AG20" ca="1">_xlfn.IFNA(_xlfn.IFS(AND(ISNUMBER(SEARCH("Rainshadow",'Map 5'!AG20)),ISNUMBER(SEARCH("Flatland",'Map 5'!AG20))),CONCATENATE($AT20, " Rainshadow"),'Map 5'!AG20="Flatland",$AT20,'Map 5'!AG20="Island",CONCATENATE($AT20, " Island"),ISNUMBER(SEARCH("Rainshadow",'Map 5'!AG20)),CONCATENATE($AT20," ",'Map 5'!AG20)),'Map 5'!AG20)</f>
        <v>Ocean</v>
      </c>
      <c r="AH20" s="46" t="str" cm="1">
        <f t="array" aca="1" ref="AH20" ca="1">_xlfn.IFNA(_xlfn.IFS(AND(ISNUMBER(SEARCH("Rainshadow",'Map 5'!AH20)),ISNUMBER(SEARCH("Flatland",'Map 5'!AH20))),CONCATENATE($AT20, " Rainshadow"),'Map 5'!AH20="Flatland",$AT20,'Map 5'!AH20="Island",CONCATENATE($AT20, " Island"),ISNUMBER(SEARCH("Rainshadow",'Map 5'!AH20)),CONCATENATE($AT20," ",'Map 5'!AH20)),'Map 5'!AH20)</f>
        <v>Ocean</v>
      </c>
      <c r="AI20" s="46" t="str" cm="1">
        <f t="array" aca="1" ref="AI20" ca="1">_xlfn.IFNA(_xlfn.IFS(AND(ISNUMBER(SEARCH("Rainshadow",'Map 5'!AI20)),ISNUMBER(SEARCH("Flatland",'Map 5'!AI20))),CONCATENATE($AT20, " Rainshadow"),'Map 5'!AI20="Flatland",$AT20,'Map 5'!AI20="Island",CONCATENATE($AT20, " Island"),ISNUMBER(SEARCH("Rainshadow",'Map 5'!AI20)),CONCATENATE($AT20," ",'Map 5'!AI20)),'Map 5'!AI20)</f>
        <v>Ocean</v>
      </c>
      <c r="AJ20" s="46" t="str" cm="1">
        <f t="array" aca="1" ref="AJ20" ca="1">_xlfn.IFNA(_xlfn.IFS(AND(ISNUMBER(SEARCH("Rainshadow",'Map 5'!AJ20)),ISNUMBER(SEARCH("Flatland",'Map 5'!AJ20))),CONCATENATE($AT20, " Rainshadow"),'Map 5'!AJ20="Flatland",$AT20,'Map 5'!AJ20="Island",CONCATENATE($AT20, " Island"),ISNUMBER(SEARCH("Rainshadow",'Map 5'!AJ20)),CONCATENATE($AT20," ",'Map 5'!AJ20)),'Map 5'!AJ20)</f>
        <v>Desert Island</v>
      </c>
      <c r="AK20" s="46" t="str" cm="1">
        <f t="array" aca="1" ref="AK20" ca="1">_xlfn.IFNA(_xlfn.IFS(AND(ISNUMBER(SEARCH("Rainshadow",'Map 5'!AK20)),ISNUMBER(SEARCH("Flatland",'Map 5'!AK20))),CONCATENATE($AT20, " Rainshadow"),'Map 5'!AK20="Flatland",$AT20,'Map 5'!AK20="Island",CONCATENATE($AT20, " Island"),ISNUMBER(SEARCH("Rainshadow",'Map 5'!AK20)),CONCATENATE($AT20," ",'Map 5'!AK20)),'Map 5'!AK20)</f>
        <v>Ocean</v>
      </c>
      <c r="AL20" s="46" t="str" cm="1">
        <f t="array" aca="1" ref="AL20" ca="1">_xlfn.IFNA(_xlfn.IFS(AND(ISNUMBER(SEARCH("Rainshadow",'Map 5'!AL20)),ISNUMBER(SEARCH("Flatland",'Map 5'!AL20))),CONCATENATE($AT20, " Rainshadow"),'Map 5'!AL20="Flatland",$AT20,'Map 5'!AL20="Island",CONCATENATE($AT20, " Island"),ISNUMBER(SEARCH("Rainshadow",'Map 5'!AL20)),CONCATENATE($AT20," ",'Map 5'!AL20)),'Map 5'!AL20)</f>
        <v>Ocean</v>
      </c>
      <c r="AM20" s="46" t="str" cm="1">
        <f t="array" aca="1" ref="AM20" ca="1">_xlfn.IFNA(_xlfn.IFS(AND(ISNUMBER(SEARCH("Rainshadow",'Map 5'!AM20)),ISNUMBER(SEARCH("Flatland",'Map 5'!AM20))),CONCATENATE($AT20, " Rainshadow"),'Map 5'!AM20="Flatland",$AT20,'Map 5'!AM20="Island",CONCATENATE($AT20, " Island"),ISNUMBER(SEARCH("Rainshadow",'Map 5'!AM20)),CONCATENATE($AT20," ",'Map 5'!AM20)),'Map 5'!AM20)</f>
        <v>Ocean</v>
      </c>
      <c r="AN20" s="46" t="str" cm="1">
        <f t="array" aca="1" ref="AN20" ca="1">_xlfn.IFNA(_xlfn.IFS(AND(ISNUMBER(SEARCH("Rainshadow",'Map 5'!AN20)),ISNUMBER(SEARCH("Flatland",'Map 5'!AN20))),CONCATENATE($AT20, " Rainshadow"),'Map 5'!AN20="Flatland",$AT20,'Map 5'!AN20="Island",CONCATENATE($AT20, " Island"),ISNUMBER(SEARCH("Rainshadow",'Map 5'!AN20)),CONCATENATE($AT20," ",'Map 5'!AN20)),'Map 5'!AN20)</f>
        <v>Ocean</v>
      </c>
      <c r="AO20" s="46" t="str" cm="1">
        <f t="array" aca="1" ref="AO20" ca="1">_xlfn.IFNA(_xlfn.IFS(AND(ISNUMBER(SEARCH("Rainshadow",'Map 5'!AO20)),ISNUMBER(SEARCH("Flatland",'Map 5'!AO20))),CONCATENATE($AT20, " Rainshadow"),'Map 5'!AO20="Flatland",$AT20,'Map 5'!AO20="Island",CONCATENATE($AT20, " Island"),ISNUMBER(SEARCH("Rainshadow",'Map 5'!AO20)),CONCATENATE($AT20," ",'Map 5'!AO20)),'Map 5'!AO20)</f>
        <v>Trench</v>
      </c>
      <c r="AP20" s="46">
        <f>'Map 5'!AP20</f>
        <v>28.35</v>
      </c>
      <c r="AQ20" s="46">
        <f>'Map 5'!AQ20</f>
        <v>83.03</v>
      </c>
      <c r="AR20" s="46">
        <f>'Map 5'!AS20</f>
        <v>301.50000000000011</v>
      </c>
      <c r="AS20" s="47">
        <f>'Map 5'!AT20</f>
        <v>45</v>
      </c>
      <c r="AT20" s="47" t="str">
        <f>'Map 5'!AU20</f>
        <v>Desert</v>
      </c>
      <c r="AU20" s="47" t="str">
        <f>'Map 5'!AV20</f>
        <v>⤴</v>
      </c>
      <c r="AX20" s="47" t="str">
        <f>CONCATENATE(AX8," ",$AW$19)</f>
        <v>Tundra Rainshadow</v>
      </c>
    </row>
    <row r="21" spans="1:50" ht="18.75" customHeight="1">
      <c r="A21" s="46">
        <v>12</v>
      </c>
      <c r="B21" s="46" t="str" cm="1">
        <f t="array" aca="1" ref="B21" ca="1">_xlfn.IFNA(_xlfn.IFS(AND(ISNUMBER(SEARCH("Rainshadow",'Map 5'!B21)),ISNUMBER(SEARCH("Flatland",'Map 5'!B21))),CONCATENATE($AT21, " Rainshadow"),'Map 5'!B21="Flatland",$AT21,'Map 5'!B21="Island",CONCATENATE($AT21, " Island"),ISNUMBER(SEARCH("Rainshadow",'Map 5'!B21)),CONCATENATE($AT21," ",'Map 5'!B21)),'Map 5'!B21)</f>
        <v>Trench</v>
      </c>
      <c r="C21" s="46" t="str" cm="1">
        <f t="array" aca="1" ref="C21" ca="1">_xlfn.IFNA(_xlfn.IFS(AND(ISNUMBER(SEARCH("Rainshadow",'Map 5'!C21)),ISNUMBER(SEARCH("Flatland",'Map 5'!C21))),CONCATENATE($AT21, " Rainshadow"),'Map 5'!C21="Flatland",$AT21,'Map 5'!C21="Island",CONCATENATE($AT21, " Island"),ISNUMBER(SEARCH("Rainshadow",'Map 5'!C21)),CONCATENATE($AT21," ",'Map 5'!C21)),'Map 5'!C21)</f>
        <v>Ocean</v>
      </c>
      <c r="D21" s="46" t="str" cm="1">
        <f t="array" aca="1" ref="D21" ca="1">_xlfn.IFNA(_xlfn.IFS(AND(ISNUMBER(SEARCH("Rainshadow",'Map 5'!D21)),ISNUMBER(SEARCH("Flatland",'Map 5'!D21))),CONCATENATE($AT21, " Rainshadow"),'Map 5'!D21="Flatland",$AT21,'Map 5'!D21="Island",CONCATENATE($AT21, " Island"),ISNUMBER(SEARCH("Rainshadow",'Map 5'!D21)),CONCATENATE($AT21," ",'Map 5'!D21)),'Map 5'!D21)</f>
        <v>Ocean</v>
      </c>
      <c r="E21" s="46" t="str" cm="1">
        <f t="array" aca="1" ref="E21" ca="1">_xlfn.IFNA(_xlfn.IFS(AND(ISNUMBER(SEARCH("Rainshadow",'Map 5'!E21)),ISNUMBER(SEARCH("Flatland",'Map 5'!E21))),CONCATENATE($AT21, " Rainshadow"),'Map 5'!E21="Flatland",$AT21,'Map 5'!E21="Island",CONCATENATE($AT21, " Island"),ISNUMBER(SEARCH("Rainshadow",'Map 5'!E21)),CONCATENATE($AT21," ",'Map 5'!E21)),'Map 5'!E21)</f>
        <v>Ocean</v>
      </c>
      <c r="F21" s="46" t="str" cm="1">
        <f t="array" aca="1" ref="F21" ca="1">_xlfn.IFNA(_xlfn.IFS(AND(ISNUMBER(SEARCH("Rainshadow",'Map 5'!F21)),ISNUMBER(SEARCH("Flatland",'Map 5'!F21))),CONCATENATE($AT21, " Rainshadow"),'Map 5'!F21="Flatland",$AT21,'Map 5'!F21="Island",CONCATENATE($AT21, " Island"),ISNUMBER(SEARCH("Rainshadow",'Map 5'!F21)),CONCATENATE($AT21," ",'Map 5'!F21)),'Map 5'!F21)</f>
        <v>Trench</v>
      </c>
      <c r="G21" s="46" t="str" cm="1">
        <f t="array" aca="1" ref="G21" ca="1">_xlfn.IFNA(_xlfn.IFS(AND(ISNUMBER(SEARCH("Rainshadow",'Map 5'!G21)),ISNUMBER(SEARCH("Flatland",'Map 5'!G21))),CONCATENATE($AT21, " Rainshadow"),'Map 5'!G21="Flatland",$AT21,'Map 5'!G21="Island",CONCATENATE($AT21, " Island"),ISNUMBER(SEARCH("Rainshadow",'Map 5'!G21)),CONCATENATE($AT21," ",'Map 5'!G21)),'Map 5'!G21)</f>
        <v>Desert Island</v>
      </c>
      <c r="H21" s="46" t="str" cm="1">
        <f t="array" aca="1" ref="H21" ca="1">_xlfn.IFNA(_xlfn.IFS(AND(ISNUMBER(SEARCH("Rainshadow",'Map 5'!H21)),ISNUMBER(SEARCH("Flatland",'Map 5'!H21))),CONCATENATE($AT21, " Rainshadow"),'Map 5'!H21="Flatland",$AT21,'Map 5'!H21="Island",CONCATENATE($AT21, " Island"),ISNUMBER(SEARCH("Rainshadow",'Map 5'!H21)),CONCATENATE($AT21," ",'Map 5'!H21)),'Map 5'!H21)</f>
        <v>Ocean</v>
      </c>
      <c r="I21" s="46" t="str" cm="1">
        <f t="array" aca="1" ref="I21" ca="1">_xlfn.IFNA(_xlfn.IFS(AND(ISNUMBER(SEARCH("Rainshadow",'Map 5'!I21)),ISNUMBER(SEARCH("Flatland",'Map 5'!I21))),CONCATENATE($AT21, " Rainshadow"),'Map 5'!I21="Flatland",$AT21,'Map 5'!I21="Island",CONCATENATE($AT21, " Island"),ISNUMBER(SEARCH("Rainshadow",'Map 5'!I21)),CONCATENATE($AT21," ",'Map 5'!I21)),'Map 5'!I21)</f>
        <v>Trench</v>
      </c>
      <c r="J21" s="46" t="str" cm="1">
        <f t="array" aca="1" ref="J21" ca="1">_xlfn.IFNA(_xlfn.IFS(AND(ISNUMBER(SEARCH("Rainshadow",'Map 5'!J21)),ISNUMBER(SEARCH("Flatland",'Map 5'!J21))),CONCATENATE($AT21, " Rainshadow"),'Map 5'!J21="Flatland",$AT21,'Map 5'!J21="Island",CONCATENATE($AT21, " Island"),ISNUMBER(SEARCH("Rainshadow",'Map 5'!J21)),CONCATENATE($AT21," ",'Map 5'!J21)),'Map 5'!J21)</f>
        <v>Ocean</v>
      </c>
      <c r="K21" s="46" t="str" cm="1">
        <f t="array" aca="1" ref="K21" ca="1">_xlfn.IFNA(_xlfn.IFS(AND(ISNUMBER(SEARCH("Rainshadow",'Map 5'!K21)),ISNUMBER(SEARCH("Flatland",'Map 5'!K21))),CONCATENATE($AT21, " Rainshadow"),'Map 5'!K21="Flatland",$AT21,'Map 5'!K21="Island",CONCATENATE($AT21, " Island"),ISNUMBER(SEARCH("Rainshadow",'Map 5'!K21)),CONCATENATE($AT21," ",'Map 5'!K21)),'Map 5'!K21)</f>
        <v>Ocean</v>
      </c>
      <c r="L21" s="46" t="str" cm="1">
        <f t="array" aca="1" ref="L21" ca="1">_xlfn.IFNA(_xlfn.IFS(AND(ISNUMBER(SEARCH("Rainshadow",'Map 5'!L21)),ISNUMBER(SEARCH("Flatland",'Map 5'!L21))),CONCATENATE($AT21, " Rainshadow"),'Map 5'!L21="Flatland",$AT21,'Map 5'!L21="Island",CONCATENATE($AT21, " Island"),ISNUMBER(SEARCH("Rainshadow",'Map 5'!L21)),CONCATENATE($AT21," ",'Map 5'!L21)),'Map 5'!L21)</f>
        <v>Trench</v>
      </c>
      <c r="M21" s="46" t="str" cm="1">
        <f t="array" aca="1" ref="M21" ca="1">_xlfn.IFNA(_xlfn.IFS(AND(ISNUMBER(SEARCH("Rainshadow",'Map 5'!M21)),ISNUMBER(SEARCH("Flatland",'Map 5'!M21))),CONCATENATE($AT21, " Rainshadow"),'Map 5'!M21="Flatland",$AT21,'Map 5'!M21="Island",CONCATENATE($AT21, " Island"),ISNUMBER(SEARCH("Rainshadow",'Map 5'!M21)),CONCATENATE($AT21," ",'Map 5'!M21)),'Map 5'!M21)</f>
        <v>Ocean</v>
      </c>
      <c r="N21" s="46" t="str" cm="1">
        <f t="array" aca="1" ref="N21" ca="1">_xlfn.IFNA(_xlfn.IFS(AND(ISNUMBER(SEARCH("Rainshadow",'Map 5'!N21)),ISNUMBER(SEARCH("Flatland",'Map 5'!N21))),CONCATENATE($AT21, " Rainshadow"),'Map 5'!N21="Flatland",$AT21,'Map 5'!N21="Island",CONCATENATE($AT21, " Island"),ISNUMBER(SEARCH("Rainshadow",'Map 5'!N21)),CONCATENATE($AT21," ",'Map 5'!N21)),'Map 5'!N21)</f>
        <v>Drop Off</v>
      </c>
      <c r="O21" s="46" t="str" cm="1">
        <f t="array" aca="1" ref="O21" ca="1">_xlfn.IFNA(_xlfn.IFS(AND(ISNUMBER(SEARCH("Rainshadow",'Map 5'!O21)),ISNUMBER(SEARCH("Flatland",'Map 5'!O21))),CONCATENATE($AT21, " Rainshadow"),'Map 5'!O21="Flatland",$AT21,'Map 5'!O21="Island",CONCATENATE($AT21, " Island"),ISNUMBER(SEARCH("Rainshadow",'Map 5'!O21)),CONCATENATE($AT21," ",'Map 5'!O21)),'Map 5'!O21)</f>
        <v>Ocean</v>
      </c>
      <c r="P21" s="46" t="str" cm="1">
        <f t="array" aca="1" ref="P21" ca="1">_xlfn.IFNA(_xlfn.IFS(AND(ISNUMBER(SEARCH("Rainshadow",'Map 5'!P21)),ISNUMBER(SEARCH("Flatland",'Map 5'!P21))),CONCATENATE($AT21, " Rainshadow"),'Map 5'!P21="Flatland",$AT21,'Map 5'!P21="Island",CONCATENATE($AT21, " Island"),ISNUMBER(SEARCH("Rainshadow",'Map 5'!P21)),CONCATENATE($AT21," ",'Map 5'!P21)),'Map 5'!P21)</f>
        <v>Ocean</v>
      </c>
      <c r="Q21" s="46" t="str" cm="1">
        <f t="array" aca="1" ref="Q21" ca="1">_xlfn.IFNA(_xlfn.IFS(AND(ISNUMBER(SEARCH("Rainshadow",'Map 5'!Q21)),ISNUMBER(SEARCH("Flatland",'Map 5'!Q21))),CONCATENATE($AT21, " Rainshadow"),'Map 5'!Q21="Flatland",$AT21,'Map 5'!Q21="Island",CONCATENATE($AT21, " Island"),ISNUMBER(SEARCH("Rainshadow",'Map 5'!Q21)),CONCATENATE($AT21," ",'Map 5'!Q21)),'Map 5'!Q21)</f>
        <v>Coast</v>
      </c>
      <c r="R21" s="46" t="str" cm="1">
        <f t="array" aca="1" ref="R21" ca="1">_xlfn.IFNA(_xlfn.IFS(AND(ISNUMBER(SEARCH("Rainshadow",'Map 5'!R21)),ISNUMBER(SEARCH("Flatland",'Map 5'!R21))),CONCATENATE($AT21, " Rainshadow"),'Map 5'!R21="Flatland",$AT21,'Map 5'!R21="Island",CONCATENATE($AT21, " Island"),ISNUMBER(SEARCH("Rainshadow",'Map 5'!R21)),CONCATENATE($AT21," ",'Map 5'!R21)),'Map 5'!R21)</f>
        <v>Coast</v>
      </c>
      <c r="S21" s="46" t="str" cm="1">
        <f t="array" aca="1" ref="S21" ca="1">_xlfn.IFNA(_xlfn.IFS(AND(ISNUMBER(SEARCH("Rainshadow",'Map 5'!S21)),ISNUMBER(SEARCH("Flatland",'Map 5'!S21))),CONCATENATE($AT21, " Rainshadow"),'Map 5'!S21="Flatland",$AT21,'Map 5'!S21="Island",CONCATENATE($AT21, " Island"),ISNUMBER(SEARCH("Rainshadow",'Map 5'!S21)),CONCATENATE($AT21," ",'Map 5'!S21)),'Map 5'!S21)</f>
        <v>Ocean</v>
      </c>
      <c r="T21" s="46" t="str" cm="1">
        <f t="array" aca="1" ref="T21" ca="1">_xlfn.IFNA(_xlfn.IFS(AND(ISNUMBER(SEARCH("Rainshadow",'Map 5'!T21)),ISNUMBER(SEARCH("Flatland",'Map 5'!T21))),CONCATENATE($AT21, " Rainshadow"),'Map 5'!T21="Flatland",$AT21,'Map 5'!T21="Island",CONCATENATE($AT21, " Island"),ISNUMBER(SEARCH("Rainshadow",'Map 5'!T21)),CONCATENATE($AT21," ",'Map 5'!T21)),'Map 5'!T21)</f>
        <v>Ocean</v>
      </c>
      <c r="U21" s="46" t="str" cm="1">
        <f t="array" aca="1" ref="U21" ca="1">_xlfn.IFNA(_xlfn.IFS(AND(ISNUMBER(SEARCH("Rainshadow",'Map 5'!U21)),ISNUMBER(SEARCH("Flatland",'Map 5'!U21))),CONCATENATE($AT21, " Rainshadow"),'Map 5'!U21="Flatland",$AT21,'Map 5'!U21="Island",CONCATENATE($AT21, " Island"),ISNUMBER(SEARCH("Rainshadow",'Map 5'!U21)),CONCATENATE($AT21," ",'Map 5'!U21)),'Map 5'!U21)</f>
        <v>Ocean</v>
      </c>
      <c r="V21" s="46" t="str" cm="1">
        <f t="array" aca="1" ref="V21" ca="1">_xlfn.IFNA(_xlfn.IFS(AND(ISNUMBER(SEARCH("Rainshadow",'Map 5'!V21)),ISNUMBER(SEARCH("Flatland",'Map 5'!V21))),CONCATENATE($AT21, " Rainshadow"),'Map 5'!V21="Flatland",$AT21,'Map 5'!V21="Island",CONCATENATE($AT21, " Island"),ISNUMBER(SEARCH("Rainshadow",'Map 5'!V21)),CONCATENATE($AT21," ",'Map 5'!V21)),'Map 5'!V21)</f>
        <v>Trench</v>
      </c>
      <c r="W21" s="46" t="str" cm="1">
        <f t="array" aca="1" ref="W21" ca="1">_xlfn.IFNA(_xlfn.IFS(AND(ISNUMBER(SEARCH("Rainshadow",'Map 5'!W21)),ISNUMBER(SEARCH("Flatland",'Map 5'!W21))),CONCATENATE($AT21, " Rainshadow"),'Map 5'!W21="Flatland",$AT21,'Map 5'!W21="Island",CONCATENATE($AT21, " Island"),ISNUMBER(SEARCH("Rainshadow",'Map 5'!W21)),CONCATENATE($AT21," ",'Map 5'!W21)),'Map 5'!W21)</f>
        <v>Ocean</v>
      </c>
      <c r="X21" s="46" t="str" cm="1">
        <f t="array" aca="1" ref="X21" ca="1">_xlfn.IFNA(_xlfn.IFS(AND(ISNUMBER(SEARCH("Rainshadow",'Map 5'!X21)),ISNUMBER(SEARCH("Flatland",'Map 5'!X21))),CONCATENATE($AT21, " Rainshadow"),'Map 5'!X21="Flatland",$AT21,'Map 5'!X21="Island",CONCATENATE($AT21, " Island"),ISNUMBER(SEARCH("Rainshadow",'Map 5'!X21)),CONCATENATE($AT21," ",'Map 5'!X21)),'Map 5'!X21)</f>
        <v>Ocean</v>
      </c>
      <c r="Y21" s="46" t="str" cm="1">
        <f t="array" aca="1" ref="Y21" ca="1">_xlfn.IFNA(_xlfn.IFS(AND(ISNUMBER(SEARCH("Rainshadow",'Map 5'!Y21)),ISNUMBER(SEARCH("Flatland",'Map 5'!Y21))),CONCATENATE($AT21, " Rainshadow"),'Map 5'!Y21="Flatland",$AT21,'Map 5'!Y21="Island",CONCATENATE($AT21, " Island"),ISNUMBER(SEARCH("Rainshadow",'Map 5'!Y21)),CONCATENATE($AT21," ",'Map 5'!Y21)),'Map 5'!Y21)</f>
        <v>Coast</v>
      </c>
      <c r="Z21" s="46" t="str" cm="1">
        <f t="array" aca="1" ref="Z21" ca="1">_xlfn.IFNA(_xlfn.IFS(AND(ISNUMBER(SEARCH("Rainshadow",'Map 5'!Z21)),ISNUMBER(SEARCH("Flatland",'Map 5'!Z21))),CONCATENATE($AT21, " Rainshadow"),'Map 5'!Z21="Flatland",$AT21,'Map 5'!Z21="Island",CONCATENATE($AT21, " Island"),ISNUMBER(SEARCH("Rainshadow",'Map 5'!Z21)),CONCATENATE($AT21," ",'Map 5'!Z21)),'Map 5'!Z21)</f>
        <v>Ocean</v>
      </c>
      <c r="AA21" s="46" t="str" cm="1">
        <f t="array" aca="1" ref="AA21" ca="1">_xlfn.IFNA(_xlfn.IFS(AND(ISNUMBER(SEARCH("Rainshadow",'Map 5'!AA21)),ISNUMBER(SEARCH("Flatland",'Map 5'!AA21))),CONCATENATE($AT21, " Rainshadow"),'Map 5'!AA21="Flatland",$AT21,'Map 5'!AA21="Island",CONCATENATE($AT21, " Island"),ISNUMBER(SEARCH("Rainshadow",'Map 5'!AA21)),CONCATENATE($AT21," ",'Map 5'!AA21)),'Map 5'!AA21)</f>
        <v>Ocean</v>
      </c>
      <c r="AB21" s="46" t="str" cm="1">
        <f t="array" aca="1" ref="AB21" ca="1">_xlfn.IFNA(_xlfn.IFS(AND(ISNUMBER(SEARCH("Rainshadow",'Map 5'!AB21)),ISNUMBER(SEARCH("Flatland",'Map 5'!AB21))),CONCATENATE($AT21, " Rainshadow"),'Map 5'!AB21="Flatland",$AT21,'Map 5'!AB21="Island",CONCATENATE($AT21, " Island"),ISNUMBER(SEARCH("Rainshadow",'Map 5'!AB21)),CONCATENATE($AT21," ",'Map 5'!AB21)),'Map 5'!AB21)</f>
        <v>Ocean</v>
      </c>
      <c r="AC21" s="46" t="str" cm="1">
        <f t="array" aca="1" ref="AC21" ca="1">_xlfn.IFNA(_xlfn.IFS(AND(ISNUMBER(SEARCH("Rainshadow",'Map 5'!AC21)),ISNUMBER(SEARCH("Flatland",'Map 5'!AC21))),CONCATENATE($AT21, " Rainshadow"),'Map 5'!AC21="Flatland",$AT21,'Map 5'!AC21="Island",CONCATENATE($AT21, " Island"),ISNUMBER(SEARCH("Rainshadow",'Map 5'!AC21)),CONCATENATE($AT21," ",'Map 5'!AC21)),'Map 5'!AC21)</f>
        <v>Desert Rainshadow Coast</v>
      </c>
      <c r="AD21" s="46" t="str" cm="1">
        <f t="array" aca="1" ref="AD21" ca="1">_xlfn.IFNA(_xlfn.IFS(AND(ISNUMBER(SEARCH("Rainshadow",'Map 5'!AD21)),ISNUMBER(SEARCH("Flatland",'Map 5'!AD21))),CONCATENATE($AT21, " Rainshadow"),'Map 5'!AD21="Flatland",$AT21,'Map 5'!AD21="Island",CONCATENATE($AT21, " Island"),ISNUMBER(SEARCH("Rainshadow",'Map 5'!AD21)),CONCATENATE($AT21," ",'Map 5'!AD21)),'Map 5'!AD21)</f>
        <v>Coast</v>
      </c>
      <c r="AE21" s="46" t="str" cm="1">
        <f t="array" aca="1" ref="AE21" ca="1">_xlfn.IFNA(_xlfn.IFS(AND(ISNUMBER(SEARCH("Rainshadow",'Map 5'!AE21)),ISNUMBER(SEARCH("Flatland",'Map 5'!AE21))),CONCATENATE($AT21, " Rainshadow"),'Map 5'!AE21="Flatland",$AT21,'Map 5'!AE21="Island",CONCATENATE($AT21, " Island"),ISNUMBER(SEARCH("Rainshadow",'Map 5'!AE21)),CONCATENATE($AT21," ",'Map 5'!AE21)),'Map 5'!AE21)</f>
        <v>Ocean</v>
      </c>
      <c r="AF21" s="46" t="str" cm="1">
        <f t="array" aca="1" ref="AF21" ca="1">_xlfn.IFNA(_xlfn.IFS(AND(ISNUMBER(SEARCH("Rainshadow",'Map 5'!AF21)),ISNUMBER(SEARCH("Flatland",'Map 5'!AF21))),CONCATENATE($AT21, " Rainshadow"),'Map 5'!AF21="Flatland",$AT21,'Map 5'!AF21="Island",CONCATENATE($AT21, " Island"),ISNUMBER(SEARCH("Rainshadow",'Map 5'!AF21)),CONCATENATE($AT21," ",'Map 5'!AF21)),'Map 5'!AF21)</f>
        <v>Ocean</v>
      </c>
      <c r="AG21" s="46" t="str" cm="1">
        <f t="array" aca="1" ref="AG21" ca="1">_xlfn.IFNA(_xlfn.IFS(AND(ISNUMBER(SEARCH("Rainshadow",'Map 5'!AG21)),ISNUMBER(SEARCH("Flatland",'Map 5'!AG21))),CONCATENATE($AT21, " Rainshadow"),'Map 5'!AG21="Flatland",$AT21,'Map 5'!AG21="Island",CONCATENATE($AT21, " Island"),ISNUMBER(SEARCH("Rainshadow",'Map 5'!AG21)),CONCATENATE($AT21," ",'Map 5'!AG21)),'Map 5'!AG21)</f>
        <v>Ocean</v>
      </c>
      <c r="AH21" s="46" t="str" cm="1">
        <f t="array" aca="1" ref="AH21" ca="1">_xlfn.IFNA(_xlfn.IFS(AND(ISNUMBER(SEARCH("Rainshadow",'Map 5'!AH21)),ISNUMBER(SEARCH("Flatland",'Map 5'!AH21))),CONCATENATE($AT21, " Rainshadow"),'Map 5'!AH21="Flatland",$AT21,'Map 5'!AH21="Island",CONCATENATE($AT21, " Island"),ISNUMBER(SEARCH("Rainshadow",'Map 5'!AH21)),CONCATENATE($AT21," ",'Map 5'!AH21)),'Map 5'!AH21)</f>
        <v>Desert Island</v>
      </c>
      <c r="AI21" s="46" t="str" cm="1">
        <f t="array" aca="1" ref="AI21" ca="1">_xlfn.IFNA(_xlfn.IFS(AND(ISNUMBER(SEARCH("Rainshadow",'Map 5'!AI21)),ISNUMBER(SEARCH("Flatland",'Map 5'!AI21))),CONCATENATE($AT21, " Rainshadow"),'Map 5'!AI21="Flatland",$AT21,'Map 5'!AI21="Island",CONCATENATE($AT21, " Island"),ISNUMBER(SEARCH("Rainshadow",'Map 5'!AI21)),CONCATENATE($AT21," ",'Map 5'!AI21)),'Map 5'!AI21)</f>
        <v>Ocean</v>
      </c>
      <c r="AJ21" s="46" t="str" cm="1">
        <f t="array" aca="1" ref="AJ21" ca="1">_xlfn.IFNA(_xlfn.IFS(AND(ISNUMBER(SEARCH("Rainshadow",'Map 5'!AJ21)),ISNUMBER(SEARCH("Flatland",'Map 5'!AJ21))),CONCATENATE($AT21, " Rainshadow"),'Map 5'!AJ21="Flatland",$AT21,'Map 5'!AJ21="Island",CONCATENATE($AT21, " Island"),ISNUMBER(SEARCH("Rainshadow",'Map 5'!AJ21)),CONCATENATE($AT21," ",'Map 5'!AJ21)),'Map 5'!AJ21)</f>
        <v>Ocean</v>
      </c>
      <c r="AK21" s="46" t="str" cm="1">
        <f t="array" aca="1" ref="AK21" ca="1">_xlfn.IFNA(_xlfn.IFS(AND(ISNUMBER(SEARCH("Rainshadow",'Map 5'!AK21)),ISNUMBER(SEARCH("Flatland",'Map 5'!AK21))),CONCATENATE($AT21, " Rainshadow"),'Map 5'!AK21="Flatland",$AT21,'Map 5'!AK21="Island",CONCATENATE($AT21, " Island"),ISNUMBER(SEARCH("Rainshadow",'Map 5'!AK21)),CONCATENATE($AT21," ",'Map 5'!AK21)),'Map 5'!AK21)</f>
        <v>Ocean</v>
      </c>
      <c r="AL21" s="46" t="str" cm="1">
        <f t="array" aca="1" ref="AL21" ca="1">_xlfn.IFNA(_xlfn.IFS(AND(ISNUMBER(SEARCH("Rainshadow",'Map 5'!AL21)),ISNUMBER(SEARCH("Flatland",'Map 5'!AL21))),CONCATENATE($AT21, " Rainshadow"),'Map 5'!AL21="Flatland",$AT21,'Map 5'!AL21="Island",CONCATENATE($AT21, " Island"),ISNUMBER(SEARCH("Rainshadow",'Map 5'!AL21)),CONCATENATE($AT21," ",'Map 5'!AL21)),'Map 5'!AL21)</f>
        <v>Ocean</v>
      </c>
      <c r="AM21" s="46" t="str" cm="1">
        <f t="array" aca="1" ref="AM21" ca="1">_xlfn.IFNA(_xlfn.IFS(AND(ISNUMBER(SEARCH("Rainshadow",'Map 5'!AM21)),ISNUMBER(SEARCH("Flatland",'Map 5'!AM21))),CONCATENATE($AT21, " Rainshadow"),'Map 5'!AM21="Flatland",$AT21,'Map 5'!AM21="Island",CONCATENATE($AT21, " Island"),ISNUMBER(SEARCH("Rainshadow",'Map 5'!AM21)),CONCATENATE($AT21," ",'Map 5'!AM21)),'Map 5'!AM21)</f>
        <v>Ocean</v>
      </c>
      <c r="AN21" s="46" t="str" cm="1">
        <f t="array" aca="1" ref="AN21" ca="1">_xlfn.IFNA(_xlfn.IFS(AND(ISNUMBER(SEARCH("Rainshadow",'Map 5'!AN21)),ISNUMBER(SEARCH("Flatland",'Map 5'!AN21))),CONCATENATE($AT21, " Rainshadow"),'Map 5'!AN21="Flatland",$AT21,'Map 5'!AN21="Island",CONCATENATE($AT21, " Island"),ISNUMBER(SEARCH("Rainshadow",'Map 5'!AN21)),CONCATENATE($AT21," ",'Map 5'!AN21)),'Map 5'!AN21)</f>
        <v>Ocean</v>
      </c>
      <c r="AO21" s="46" t="str" cm="1">
        <f t="array" aca="1" ref="AO21" ca="1">_xlfn.IFNA(_xlfn.IFS(AND(ISNUMBER(SEARCH("Rainshadow",'Map 5'!AO21)),ISNUMBER(SEARCH("Flatland",'Map 5'!AO21))),CONCATENATE($AT21, " Rainshadow"),'Map 5'!AO21="Flatland",$AT21,'Map 5'!AO21="Island",CONCATENATE($AT21, " Island"),ISNUMBER(SEARCH("Rainshadow",'Map 5'!AO21)),CONCATENATE($AT21," ",'Map 5'!AO21)),'Map 5'!AO21)</f>
        <v>Desert Island</v>
      </c>
      <c r="AP21" s="46">
        <f>'Map 5'!AP21</f>
        <v>35.299999999999997</v>
      </c>
      <c r="AQ21" s="46">
        <f>'Map 5'!AQ21</f>
        <v>95.54</v>
      </c>
      <c r="AR21" s="46">
        <f>'Map 5'!AS21</f>
        <v>308.4500000000001</v>
      </c>
      <c r="AS21" s="47">
        <f>'Map 5'!AT21</f>
        <v>40.5</v>
      </c>
      <c r="AT21" s="47" t="str">
        <f>'Map 5'!AU21</f>
        <v>Desert</v>
      </c>
      <c r="AU21" s="47" t="str">
        <f>'Map 5'!AV21</f>
        <v>⤴</v>
      </c>
      <c r="AX21" s="47" t="str">
        <f t="shared" ref="AX21:AX25" si="1">CONCATENATE(AX9," ",$AW$19)</f>
        <v>Forest Rainshadow</v>
      </c>
    </row>
    <row r="22" spans="1:50" ht="18.75" customHeight="1">
      <c r="A22" s="46">
        <v>13</v>
      </c>
      <c r="B22" s="46" t="str" cm="1">
        <f t="array" aca="1" ref="B22" ca="1">_xlfn.IFNA(_xlfn.IFS(AND(ISNUMBER(SEARCH("Rainshadow",'Map 5'!B22)),ISNUMBER(SEARCH("Flatland",'Map 5'!B22))),CONCATENATE($AT22, " Rainshadow"),'Map 5'!B22="Flatland",$AT22,'Map 5'!B22="Island",CONCATENATE($AT22, " Island"),ISNUMBER(SEARCH("Rainshadow",'Map 5'!B22)),CONCATENATE($AT22," ",'Map 5'!B22)),'Map 5'!B22)</f>
        <v>Ocean</v>
      </c>
      <c r="C22" s="46" t="str" cm="1">
        <f t="array" aca="1" ref="C22" ca="1">_xlfn.IFNA(_xlfn.IFS(AND(ISNUMBER(SEARCH("Rainshadow",'Map 5'!C22)),ISNUMBER(SEARCH("Flatland",'Map 5'!C22))),CONCATENATE($AT22, " Rainshadow"),'Map 5'!C22="Flatland",$AT22,'Map 5'!C22="Island",CONCATENATE($AT22, " Island"),ISNUMBER(SEARCH("Rainshadow",'Map 5'!C22)),CONCATENATE($AT22," ",'Map 5'!C22)),'Map 5'!C22)</f>
        <v>Trench</v>
      </c>
      <c r="D22" s="46" t="str" cm="1">
        <f t="array" aca="1" ref="D22" ca="1">_xlfn.IFNA(_xlfn.IFS(AND(ISNUMBER(SEARCH("Rainshadow",'Map 5'!D22)),ISNUMBER(SEARCH("Flatland",'Map 5'!D22))),CONCATENATE($AT22, " Rainshadow"),'Map 5'!D22="Flatland",$AT22,'Map 5'!D22="Island",CONCATENATE($AT22, " Island"),ISNUMBER(SEARCH("Rainshadow",'Map 5'!D22)),CONCATENATE($AT22," ",'Map 5'!D22)),'Map 5'!D22)</f>
        <v>Ocean</v>
      </c>
      <c r="E22" s="46" t="str" cm="1">
        <f t="array" aca="1" ref="E22" ca="1">_xlfn.IFNA(_xlfn.IFS(AND(ISNUMBER(SEARCH("Rainshadow",'Map 5'!E22)),ISNUMBER(SEARCH("Flatland",'Map 5'!E22))),CONCATENATE($AT22, " Rainshadow"),'Map 5'!E22="Flatland",$AT22,'Map 5'!E22="Island",CONCATENATE($AT22, " Island"),ISNUMBER(SEARCH("Rainshadow",'Map 5'!E22)),CONCATENATE($AT22," ",'Map 5'!E22)),'Map 5'!E22)</f>
        <v>Ocean</v>
      </c>
      <c r="F22" s="46" t="str" cm="1">
        <f t="array" aca="1" ref="F22" ca="1">_xlfn.IFNA(_xlfn.IFS(AND(ISNUMBER(SEARCH("Rainshadow",'Map 5'!F22)),ISNUMBER(SEARCH("Flatland",'Map 5'!F22))),CONCATENATE($AT22, " Rainshadow"),'Map 5'!F22="Flatland",$AT22,'Map 5'!F22="Island",CONCATENATE($AT22, " Island"),ISNUMBER(SEARCH("Rainshadow",'Map 5'!F22)),CONCATENATE($AT22," ",'Map 5'!F22)),'Map 5'!F22)</f>
        <v>Trench</v>
      </c>
      <c r="G22" s="46" t="str" cm="1">
        <f t="array" aca="1" ref="G22" ca="1">_xlfn.IFNA(_xlfn.IFS(AND(ISNUMBER(SEARCH("Rainshadow",'Map 5'!G22)),ISNUMBER(SEARCH("Flatland",'Map 5'!G22))),CONCATENATE($AT22, " Rainshadow"),'Map 5'!G22="Flatland",$AT22,'Map 5'!G22="Island",CONCATENATE($AT22, " Island"),ISNUMBER(SEARCH("Rainshadow",'Map 5'!G22)),CONCATENATE($AT22," ",'Map 5'!G22)),'Map 5'!G22)</f>
        <v>Trench</v>
      </c>
      <c r="H22" s="46" t="str" cm="1">
        <f t="array" aca="1" ref="H22" ca="1">_xlfn.IFNA(_xlfn.IFS(AND(ISNUMBER(SEARCH("Rainshadow",'Map 5'!H22)),ISNUMBER(SEARCH("Flatland",'Map 5'!H22))),CONCATENATE($AT22, " Rainshadow"),'Map 5'!H22="Flatland",$AT22,'Map 5'!H22="Island",CONCATENATE($AT22, " Island"),ISNUMBER(SEARCH("Rainshadow",'Map 5'!H22)),CONCATENATE($AT22," ",'Map 5'!H22)),'Map 5'!H22)</f>
        <v>Desert Island</v>
      </c>
      <c r="I22" s="46" t="str" cm="1">
        <f t="array" aca="1" ref="I22" ca="1">_xlfn.IFNA(_xlfn.IFS(AND(ISNUMBER(SEARCH("Rainshadow",'Map 5'!I22)),ISNUMBER(SEARCH("Flatland",'Map 5'!I22))),CONCATENATE($AT22, " Rainshadow"),'Map 5'!I22="Flatland",$AT22,'Map 5'!I22="Island",CONCATENATE($AT22, " Island"),ISNUMBER(SEARCH("Rainshadow",'Map 5'!I22)),CONCATENATE($AT22," ",'Map 5'!I22)),'Map 5'!I22)</f>
        <v>Ocean</v>
      </c>
      <c r="J22" s="46" t="str" cm="1">
        <f t="array" aca="1" ref="J22" ca="1">_xlfn.IFNA(_xlfn.IFS(AND(ISNUMBER(SEARCH("Rainshadow",'Map 5'!J22)),ISNUMBER(SEARCH("Flatland",'Map 5'!J22))),CONCATENATE($AT22, " Rainshadow"),'Map 5'!J22="Flatland",$AT22,'Map 5'!J22="Island",CONCATENATE($AT22, " Island"),ISNUMBER(SEARCH("Rainshadow",'Map 5'!J22)),CONCATENATE($AT22," ",'Map 5'!J22)),'Map 5'!J22)</f>
        <v>Ocean</v>
      </c>
      <c r="K22" s="46" t="str" cm="1">
        <f t="array" aca="1" ref="K22" ca="1">_xlfn.IFNA(_xlfn.IFS(AND(ISNUMBER(SEARCH("Rainshadow",'Map 5'!K22)),ISNUMBER(SEARCH("Flatland",'Map 5'!K22))),CONCATENATE($AT22, " Rainshadow"),'Map 5'!K22="Flatland",$AT22,'Map 5'!K22="Island",CONCATENATE($AT22, " Island"),ISNUMBER(SEARCH("Rainshadow",'Map 5'!K22)),CONCATENATE($AT22," ",'Map 5'!K22)),'Map 5'!K22)</f>
        <v>Ocean</v>
      </c>
      <c r="L22" s="46" t="str" cm="1">
        <f t="array" aca="1" ref="L22" ca="1">_xlfn.IFNA(_xlfn.IFS(AND(ISNUMBER(SEARCH("Rainshadow",'Map 5'!L22)),ISNUMBER(SEARCH("Flatland",'Map 5'!L22))),CONCATENATE($AT22, " Rainshadow"),'Map 5'!L22="Flatland",$AT22,'Map 5'!L22="Island",CONCATENATE($AT22, " Island"),ISNUMBER(SEARCH("Rainshadow",'Map 5'!L22)),CONCATENATE($AT22," ",'Map 5'!L22)),'Map 5'!L22)</f>
        <v>Ocean</v>
      </c>
      <c r="M22" s="46" t="str" cm="1">
        <f t="array" aca="1" ref="M22" ca="1">_xlfn.IFNA(_xlfn.IFS(AND(ISNUMBER(SEARCH("Rainshadow",'Map 5'!M22)),ISNUMBER(SEARCH("Flatland",'Map 5'!M22))),CONCATENATE($AT22, " Rainshadow"),'Map 5'!M22="Flatland",$AT22,'Map 5'!M22="Island",CONCATENATE($AT22, " Island"),ISNUMBER(SEARCH("Rainshadow",'Map 5'!M22)),CONCATENATE($AT22," ",'Map 5'!M22)),'Map 5'!M22)</f>
        <v>Ocean</v>
      </c>
      <c r="N22" s="46" t="str" cm="1">
        <f t="array" aca="1" ref="N22" ca="1">_xlfn.IFNA(_xlfn.IFS(AND(ISNUMBER(SEARCH("Rainshadow",'Map 5'!N22)),ISNUMBER(SEARCH("Flatland",'Map 5'!N22))),CONCATENATE($AT22, " Rainshadow"),'Map 5'!N22="Flatland",$AT22,'Map 5'!N22="Island",CONCATENATE($AT22, " Island"),ISNUMBER(SEARCH("Rainshadow",'Map 5'!N22)),CONCATENATE($AT22," ",'Map 5'!N22)),'Map 5'!N22)</f>
        <v>Ocean</v>
      </c>
      <c r="O22" s="46" t="str" cm="1">
        <f t="array" aca="1" ref="O22" ca="1">_xlfn.IFNA(_xlfn.IFS(AND(ISNUMBER(SEARCH("Rainshadow",'Map 5'!O22)),ISNUMBER(SEARCH("Flatland",'Map 5'!O22))),CONCATENATE($AT22, " Rainshadow"),'Map 5'!O22="Flatland",$AT22,'Map 5'!O22="Island",CONCATENATE($AT22, " Island"),ISNUMBER(SEARCH("Rainshadow",'Map 5'!O22)),CONCATENATE($AT22," ",'Map 5'!O22)),'Map 5'!O22)</f>
        <v>Coast</v>
      </c>
      <c r="P22" s="46" t="str" cm="1">
        <f t="array" aca="1" ref="P22" ca="1">_xlfn.IFNA(_xlfn.IFS(AND(ISNUMBER(SEARCH("Rainshadow",'Map 5'!P22)),ISNUMBER(SEARCH("Flatland",'Map 5'!P22))),CONCATENATE($AT22, " Rainshadow"),'Map 5'!P22="Flatland",$AT22,'Map 5'!P22="Island",CONCATENATE($AT22, " Island"),ISNUMBER(SEARCH("Rainshadow",'Map 5'!P22)),CONCATENATE($AT22," ",'Map 5'!P22)),'Map 5'!P22)</f>
        <v>Desert</v>
      </c>
      <c r="Q22" s="46" t="str" cm="1">
        <f t="array" aca="1" ref="Q22" ca="1">_xlfn.IFNA(_xlfn.IFS(AND(ISNUMBER(SEARCH("Rainshadow",'Map 5'!Q22)),ISNUMBER(SEARCH("Flatland",'Map 5'!Q22))),CONCATENATE($AT22, " Rainshadow"),'Map 5'!Q22="Flatland",$AT22,'Map 5'!Q22="Island",CONCATENATE($AT22, " Island"),ISNUMBER(SEARCH("Rainshadow",'Map 5'!Q22)),CONCATENATE($AT22," ",'Map 5'!Q22)),'Map 5'!Q22)</f>
        <v>Coast</v>
      </c>
      <c r="R22" s="46" t="str" cm="1">
        <f t="array" aca="1" ref="R22" ca="1">_xlfn.IFNA(_xlfn.IFS(AND(ISNUMBER(SEARCH("Rainshadow",'Map 5'!R22)),ISNUMBER(SEARCH("Flatland",'Map 5'!R22))),CONCATENATE($AT22, " Rainshadow"),'Map 5'!R22="Flatland",$AT22,'Map 5'!R22="Island",CONCATENATE($AT22, " Island"),ISNUMBER(SEARCH("Rainshadow",'Map 5'!R22)),CONCATENATE($AT22," ",'Map 5'!R22)),'Map 5'!R22)</f>
        <v>Coast</v>
      </c>
      <c r="S22" s="46" t="str" cm="1">
        <f t="array" aca="1" ref="S22" ca="1">_xlfn.IFNA(_xlfn.IFS(AND(ISNUMBER(SEARCH("Rainshadow",'Map 5'!S22)),ISNUMBER(SEARCH("Flatland",'Map 5'!S22))),CONCATENATE($AT22, " Rainshadow"),'Map 5'!S22="Flatland",$AT22,'Map 5'!S22="Island",CONCATENATE($AT22, " Island"),ISNUMBER(SEARCH("Rainshadow",'Map 5'!S22)),CONCATENATE($AT22," ",'Map 5'!S22)),'Map 5'!S22)</f>
        <v>Coast</v>
      </c>
      <c r="T22" s="46" t="str" cm="1">
        <f t="array" aca="1" ref="T22" ca="1">_xlfn.IFNA(_xlfn.IFS(AND(ISNUMBER(SEARCH("Rainshadow",'Map 5'!T22)),ISNUMBER(SEARCH("Flatland",'Map 5'!T22))),CONCATENATE($AT22, " Rainshadow"),'Map 5'!T22="Flatland",$AT22,'Map 5'!T22="Island",CONCATENATE($AT22, " Island"),ISNUMBER(SEARCH("Rainshadow",'Map 5'!T22)),CONCATENATE($AT22," ",'Map 5'!T22)),'Map 5'!T22)</f>
        <v>Ocean</v>
      </c>
      <c r="U22" s="46" t="str" cm="1">
        <f t="array" aca="1" ref="U22" ca="1">_xlfn.IFNA(_xlfn.IFS(AND(ISNUMBER(SEARCH("Rainshadow",'Map 5'!U22)),ISNUMBER(SEARCH("Flatland",'Map 5'!U22))),CONCATENATE($AT22, " Rainshadow"),'Map 5'!U22="Flatland",$AT22,'Map 5'!U22="Island",CONCATENATE($AT22, " Island"),ISNUMBER(SEARCH("Rainshadow",'Map 5'!U22)),CONCATENATE($AT22," ",'Map 5'!U22)),'Map 5'!U22)</f>
        <v>Ocean</v>
      </c>
      <c r="V22" s="46" t="str" cm="1">
        <f t="array" aca="1" ref="V22" ca="1">_xlfn.IFNA(_xlfn.IFS(AND(ISNUMBER(SEARCH("Rainshadow",'Map 5'!V22)),ISNUMBER(SEARCH("Flatland",'Map 5'!V22))),CONCATENATE($AT22, " Rainshadow"),'Map 5'!V22="Flatland",$AT22,'Map 5'!V22="Island",CONCATENATE($AT22, " Island"),ISNUMBER(SEARCH("Rainshadow",'Map 5'!V22)),CONCATENATE($AT22," ",'Map 5'!V22)),'Map 5'!V22)</f>
        <v>Desert Island</v>
      </c>
      <c r="W22" s="46" t="str" cm="1">
        <f t="array" aca="1" ref="W22" ca="1">_xlfn.IFNA(_xlfn.IFS(AND(ISNUMBER(SEARCH("Rainshadow",'Map 5'!W22)),ISNUMBER(SEARCH("Flatland",'Map 5'!W22))),CONCATENATE($AT22, " Rainshadow"),'Map 5'!W22="Flatland",$AT22,'Map 5'!W22="Island",CONCATENATE($AT22, " Island"),ISNUMBER(SEARCH("Rainshadow",'Map 5'!W22)),CONCATENATE($AT22," ",'Map 5'!W22)),'Map 5'!W22)</f>
        <v>Coast</v>
      </c>
      <c r="X22" s="46" t="str" cm="1">
        <f t="array" aca="1" ref="X22" ca="1">_xlfn.IFNA(_xlfn.IFS(AND(ISNUMBER(SEARCH("Rainshadow",'Map 5'!X22)),ISNUMBER(SEARCH("Flatland",'Map 5'!X22))),CONCATENATE($AT22, " Rainshadow"),'Map 5'!X22="Flatland",$AT22,'Map 5'!X22="Island",CONCATENATE($AT22, " Island"),ISNUMBER(SEARCH("Rainshadow",'Map 5'!X22)),CONCATENATE($AT22," ",'Map 5'!X22)),'Map 5'!X22)</f>
        <v>Coast</v>
      </c>
      <c r="Y22" s="46" t="str" cm="1">
        <f t="array" aca="1" ref="Y22" ca="1">_xlfn.IFNA(_xlfn.IFS(AND(ISNUMBER(SEARCH("Rainshadow",'Map 5'!Y22)),ISNUMBER(SEARCH("Flatland",'Map 5'!Y22))),CONCATENATE($AT22, " Rainshadow"),'Map 5'!Y22="Flatland",$AT22,'Map 5'!Y22="Island",CONCATENATE($AT22, " Island"),ISNUMBER(SEARCH("Rainshadow",'Map 5'!Y22)),CONCATENATE($AT22," ",'Map 5'!Y22)),'Map 5'!Y22)</f>
        <v>Coast</v>
      </c>
      <c r="Z22" s="46" t="str" cm="1">
        <f t="array" aca="1" ref="Z22" ca="1">_xlfn.IFNA(_xlfn.IFS(AND(ISNUMBER(SEARCH("Rainshadow",'Map 5'!Z22)),ISNUMBER(SEARCH("Flatland",'Map 5'!Z22))),CONCATENATE($AT22, " Rainshadow"),'Map 5'!Z22="Flatland",$AT22,'Map 5'!Z22="Island",CONCATENATE($AT22, " Island"),ISNUMBER(SEARCH("Rainshadow",'Map 5'!Z22)),CONCATENATE($AT22," ",'Map 5'!Z22)),'Map 5'!Z22)</f>
        <v>Desert</v>
      </c>
      <c r="AA22" s="46" t="str" cm="1">
        <f t="array" aca="1" ref="AA22" ca="1">_xlfn.IFNA(_xlfn.IFS(AND(ISNUMBER(SEARCH("Rainshadow",'Map 5'!AA22)),ISNUMBER(SEARCH("Flatland",'Map 5'!AA22))),CONCATENATE($AT22, " Rainshadow"),'Map 5'!AA22="Flatland",$AT22,'Map 5'!AA22="Island",CONCATENATE($AT22, " Island"),ISNUMBER(SEARCH("Rainshadow",'Map 5'!AA22)),CONCATENATE($AT22," ",'Map 5'!AA22)),'Map 5'!AA22)</f>
        <v>Coast</v>
      </c>
      <c r="AB22" s="46" t="str" cm="1">
        <f t="array" aca="1" ref="AB22" ca="1">_xlfn.IFNA(_xlfn.IFS(AND(ISNUMBER(SEARCH("Rainshadow",'Map 5'!AB22)),ISNUMBER(SEARCH("Flatland",'Map 5'!AB22))),CONCATENATE($AT22, " Rainshadow"),'Map 5'!AB22="Flatland",$AT22,'Map 5'!AB22="Island",CONCATENATE($AT22, " Island"),ISNUMBER(SEARCH("Rainshadow",'Map 5'!AB22)),CONCATENATE($AT22," ",'Map 5'!AB22)),'Map 5'!AB22)</f>
        <v>Ocean</v>
      </c>
      <c r="AC22" s="46" t="str" cm="1">
        <f t="array" aca="1" ref="AC22" ca="1">_xlfn.IFNA(_xlfn.IFS(AND(ISNUMBER(SEARCH("Rainshadow",'Map 5'!AC22)),ISNUMBER(SEARCH("Flatland",'Map 5'!AC22))),CONCATENATE($AT22, " Rainshadow"),'Map 5'!AC22="Flatland",$AT22,'Map 5'!AC22="Island",CONCATENATE($AT22, " Island"),ISNUMBER(SEARCH("Rainshadow",'Map 5'!AC22)),CONCATENATE($AT22," ",'Map 5'!AC22)),'Map 5'!AC22)</f>
        <v>Coast</v>
      </c>
      <c r="AD22" s="46" t="str" cm="1">
        <f t="array" aca="1" ref="AD22" ca="1">_xlfn.IFNA(_xlfn.IFS(AND(ISNUMBER(SEARCH("Rainshadow",'Map 5'!AD22)),ISNUMBER(SEARCH("Flatland",'Map 5'!AD22))),CONCATENATE($AT22, " Rainshadow"),'Map 5'!AD22="Flatland",$AT22,'Map 5'!AD22="Island",CONCATENATE($AT22, " Island"),ISNUMBER(SEARCH("Rainshadow",'Map 5'!AD22)),CONCATENATE($AT22," ",'Map 5'!AD22)),'Map 5'!AD22)</f>
        <v>Ocean</v>
      </c>
      <c r="AE22" s="46" t="str" cm="1">
        <f t="array" aca="1" ref="AE22" ca="1">_xlfn.IFNA(_xlfn.IFS(AND(ISNUMBER(SEARCH("Rainshadow",'Map 5'!AE22)),ISNUMBER(SEARCH("Flatland",'Map 5'!AE22))),CONCATENATE($AT22, " Rainshadow"),'Map 5'!AE22="Flatland",$AT22,'Map 5'!AE22="Island",CONCATENATE($AT22, " Island"),ISNUMBER(SEARCH("Rainshadow",'Map 5'!AE22)),CONCATENATE($AT22," ",'Map 5'!AE22)),'Map 5'!AE22)</f>
        <v>Ocean</v>
      </c>
      <c r="AF22" s="46" t="str" cm="1">
        <f t="array" aca="1" ref="AF22" ca="1">_xlfn.IFNA(_xlfn.IFS(AND(ISNUMBER(SEARCH("Rainshadow",'Map 5'!AF22)),ISNUMBER(SEARCH("Flatland",'Map 5'!AF22))),CONCATENATE($AT22, " Rainshadow"),'Map 5'!AF22="Flatland",$AT22,'Map 5'!AF22="Island",CONCATENATE($AT22, " Island"),ISNUMBER(SEARCH("Rainshadow",'Map 5'!AF22)),CONCATENATE($AT22," ",'Map 5'!AF22)),'Map 5'!AF22)</f>
        <v>Ocean</v>
      </c>
      <c r="AG22" s="46" t="str" cm="1">
        <f t="array" aca="1" ref="AG22" ca="1">_xlfn.IFNA(_xlfn.IFS(AND(ISNUMBER(SEARCH("Rainshadow",'Map 5'!AG22)),ISNUMBER(SEARCH("Flatland",'Map 5'!AG22))),CONCATENATE($AT22, " Rainshadow"),'Map 5'!AG22="Flatland",$AT22,'Map 5'!AG22="Island",CONCATENATE($AT22, " Island"),ISNUMBER(SEARCH("Rainshadow",'Map 5'!AG22)),CONCATENATE($AT22," ",'Map 5'!AG22)),'Map 5'!AG22)</f>
        <v>Ocean</v>
      </c>
      <c r="AH22" s="46" t="str" cm="1">
        <f t="array" aca="1" ref="AH22" ca="1">_xlfn.IFNA(_xlfn.IFS(AND(ISNUMBER(SEARCH("Rainshadow",'Map 5'!AH22)),ISNUMBER(SEARCH("Flatland",'Map 5'!AH22))),CONCATENATE($AT22, " Rainshadow"),'Map 5'!AH22="Flatland",$AT22,'Map 5'!AH22="Island",CONCATENATE($AT22, " Island"),ISNUMBER(SEARCH("Rainshadow",'Map 5'!AH22)),CONCATENATE($AT22," ",'Map 5'!AH22)),'Map 5'!AH22)</f>
        <v>Ocean</v>
      </c>
      <c r="AI22" s="46" t="str" cm="1">
        <f t="array" aca="1" ref="AI22" ca="1">_xlfn.IFNA(_xlfn.IFS(AND(ISNUMBER(SEARCH("Rainshadow",'Map 5'!AI22)),ISNUMBER(SEARCH("Flatland",'Map 5'!AI22))),CONCATENATE($AT22, " Rainshadow"),'Map 5'!AI22="Flatland",$AT22,'Map 5'!AI22="Island",CONCATENATE($AT22, " Island"),ISNUMBER(SEARCH("Rainshadow",'Map 5'!AI22)),CONCATENATE($AT22," ",'Map 5'!AI22)),'Map 5'!AI22)</f>
        <v>Ocean</v>
      </c>
      <c r="AJ22" s="46" t="str" cm="1">
        <f t="array" aca="1" ref="AJ22" ca="1">_xlfn.IFNA(_xlfn.IFS(AND(ISNUMBER(SEARCH("Rainshadow",'Map 5'!AJ22)),ISNUMBER(SEARCH("Flatland",'Map 5'!AJ22))),CONCATENATE($AT22, " Rainshadow"),'Map 5'!AJ22="Flatland",$AT22,'Map 5'!AJ22="Island",CONCATENATE($AT22, " Island"),ISNUMBER(SEARCH("Rainshadow",'Map 5'!AJ22)),CONCATENATE($AT22," ",'Map 5'!AJ22)),'Map 5'!AJ22)</f>
        <v>Ocean</v>
      </c>
      <c r="AK22" s="46" t="str" cm="1">
        <f t="array" aca="1" ref="AK22" ca="1">_xlfn.IFNA(_xlfn.IFS(AND(ISNUMBER(SEARCH("Rainshadow",'Map 5'!AK22)),ISNUMBER(SEARCH("Flatland",'Map 5'!AK22))),CONCATENATE($AT22, " Rainshadow"),'Map 5'!AK22="Flatland",$AT22,'Map 5'!AK22="Island",CONCATENATE($AT22, " Island"),ISNUMBER(SEARCH("Rainshadow",'Map 5'!AK22)),CONCATENATE($AT22," ",'Map 5'!AK22)),'Map 5'!AK22)</f>
        <v>Ocean</v>
      </c>
      <c r="AL22" s="46" t="str" cm="1">
        <f t="array" aca="1" ref="AL22" ca="1">_xlfn.IFNA(_xlfn.IFS(AND(ISNUMBER(SEARCH("Rainshadow",'Map 5'!AL22)),ISNUMBER(SEARCH("Flatland",'Map 5'!AL22))),CONCATENATE($AT22, " Rainshadow"),'Map 5'!AL22="Flatland",$AT22,'Map 5'!AL22="Island",CONCATENATE($AT22, " Island"),ISNUMBER(SEARCH("Rainshadow",'Map 5'!AL22)),CONCATENATE($AT22," ",'Map 5'!AL22)),'Map 5'!AL22)</f>
        <v>Ocean</v>
      </c>
      <c r="AM22" s="46" t="str" cm="1">
        <f t="array" aca="1" ref="AM22" ca="1">_xlfn.IFNA(_xlfn.IFS(AND(ISNUMBER(SEARCH("Rainshadow",'Map 5'!AM22)),ISNUMBER(SEARCH("Flatland",'Map 5'!AM22))),CONCATENATE($AT22, " Rainshadow"),'Map 5'!AM22="Flatland",$AT22,'Map 5'!AM22="Island",CONCATENATE($AT22, " Island"),ISNUMBER(SEARCH("Rainshadow",'Map 5'!AM22)),CONCATENATE($AT22," ",'Map 5'!AM22)),'Map 5'!AM22)</f>
        <v>Ocean</v>
      </c>
      <c r="AN22" s="46" t="str" cm="1">
        <f t="array" aca="1" ref="AN22" ca="1">_xlfn.IFNA(_xlfn.IFS(AND(ISNUMBER(SEARCH("Rainshadow",'Map 5'!AN22)),ISNUMBER(SEARCH("Flatland",'Map 5'!AN22))),CONCATENATE($AT22, " Rainshadow"),'Map 5'!AN22="Flatland",$AT22,'Map 5'!AN22="Island",CONCATENATE($AT22, " Island"),ISNUMBER(SEARCH("Rainshadow",'Map 5'!AN22)),CONCATENATE($AT22," ",'Map 5'!AN22)),'Map 5'!AN22)</f>
        <v>Ocean</v>
      </c>
      <c r="AO22" s="46" t="str" cm="1">
        <f t="array" aca="1" ref="AO22" ca="1">_xlfn.IFNA(_xlfn.IFS(AND(ISNUMBER(SEARCH("Rainshadow",'Map 5'!AO22)),ISNUMBER(SEARCH("Flatland",'Map 5'!AO22))),CONCATENATE($AT22, " Rainshadow"),'Map 5'!AO22="Flatland",$AT22,'Map 5'!AO22="Island",CONCATENATE($AT22, " Island"),ISNUMBER(SEARCH("Rainshadow",'Map 5'!AO22)),CONCATENATE($AT22," ",'Map 5'!AO22)),'Map 5'!AO22)</f>
        <v>Ocean</v>
      </c>
      <c r="AP22" s="46">
        <f>'Map 5'!AP22</f>
        <v>42.25</v>
      </c>
      <c r="AQ22" s="46">
        <f>'Map 5'!AQ22</f>
        <v>108.05</v>
      </c>
      <c r="AR22" s="46">
        <f>'Map 5'!AS22</f>
        <v>315.40000000000009</v>
      </c>
      <c r="AS22" s="47">
        <f>'Map 5'!AT22</f>
        <v>36</v>
      </c>
      <c r="AT22" s="47" t="str">
        <f>'Map 5'!AU22</f>
        <v>Desert</v>
      </c>
      <c r="AU22" s="47" t="str">
        <f>'Map 5'!AV22</f>
        <v>⤴</v>
      </c>
      <c r="AX22" s="47" t="str">
        <f t="shared" si="1"/>
        <v>Mediterranean Rainshadow</v>
      </c>
    </row>
    <row r="23" spans="1:50" ht="18.75" customHeight="1">
      <c r="A23" s="46">
        <v>14</v>
      </c>
      <c r="B23" s="46" t="str" cm="1">
        <f t="array" aca="1" ref="B23" ca="1">_xlfn.IFNA(_xlfn.IFS(AND(ISNUMBER(SEARCH("Rainshadow",'Map 5'!B23)),ISNUMBER(SEARCH("Flatland",'Map 5'!B23))),CONCATENATE($AT23, " Rainshadow"),'Map 5'!B23="Flatland",$AT23,'Map 5'!B23="Island",CONCATENATE($AT23, " Island"),ISNUMBER(SEARCH("Rainshadow",'Map 5'!B23)),CONCATENATE($AT23," ",'Map 5'!B23)),'Map 5'!B23)</f>
        <v>Ocean</v>
      </c>
      <c r="C23" s="46" t="str" cm="1">
        <f t="array" aca="1" ref="C23" ca="1">_xlfn.IFNA(_xlfn.IFS(AND(ISNUMBER(SEARCH("Rainshadow",'Map 5'!C23)),ISNUMBER(SEARCH("Flatland",'Map 5'!C23))),CONCATENATE($AT23, " Rainshadow"),'Map 5'!C23="Flatland",$AT23,'Map 5'!C23="Island",CONCATENATE($AT23, " Island"),ISNUMBER(SEARCH("Rainshadow",'Map 5'!C23)),CONCATENATE($AT23," ",'Map 5'!C23)),'Map 5'!C23)</f>
        <v>Ocean</v>
      </c>
      <c r="D23" s="46" t="str" cm="1">
        <f t="array" aca="1" ref="D23" ca="1">_xlfn.IFNA(_xlfn.IFS(AND(ISNUMBER(SEARCH("Rainshadow",'Map 5'!D23)),ISNUMBER(SEARCH("Flatland",'Map 5'!D23))),CONCATENATE($AT23, " Rainshadow"),'Map 5'!D23="Flatland",$AT23,'Map 5'!D23="Island",CONCATENATE($AT23, " Island"),ISNUMBER(SEARCH("Rainshadow",'Map 5'!D23)),CONCATENATE($AT23," ",'Map 5'!D23)),'Map 5'!D23)</f>
        <v>Ocean</v>
      </c>
      <c r="E23" s="46" t="str" cm="1">
        <f t="array" aca="1" ref="E23" ca="1">_xlfn.IFNA(_xlfn.IFS(AND(ISNUMBER(SEARCH("Rainshadow",'Map 5'!E23)),ISNUMBER(SEARCH("Flatland",'Map 5'!E23))),CONCATENATE($AT23, " Rainshadow"),'Map 5'!E23="Flatland",$AT23,'Map 5'!E23="Island",CONCATENATE($AT23, " Island"),ISNUMBER(SEARCH("Rainshadow",'Map 5'!E23)),CONCATENATE($AT23," ",'Map 5'!E23)),'Map 5'!E23)</f>
        <v>Ocean</v>
      </c>
      <c r="F23" s="46" t="str" cm="1">
        <f t="array" aca="1" ref="F23" ca="1">_xlfn.IFNA(_xlfn.IFS(AND(ISNUMBER(SEARCH("Rainshadow",'Map 5'!F23)),ISNUMBER(SEARCH("Flatland",'Map 5'!F23))),CONCATENATE($AT23, " Rainshadow"),'Map 5'!F23="Flatland",$AT23,'Map 5'!F23="Island",CONCATENATE($AT23, " Island"),ISNUMBER(SEARCH("Rainshadow",'Map 5'!F23)),CONCATENATE($AT23," ",'Map 5'!F23)),'Map 5'!F23)</f>
        <v>Ocean</v>
      </c>
      <c r="G23" s="46" t="str" cm="1">
        <f t="array" aca="1" ref="G23" ca="1">_xlfn.IFNA(_xlfn.IFS(AND(ISNUMBER(SEARCH("Rainshadow",'Map 5'!G23)),ISNUMBER(SEARCH("Flatland",'Map 5'!G23))),CONCATENATE($AT23, " Rainshadow"),'Map 5'!G23="Flatland",$AT23,'Map 5'!G23="Island",CONCATENATE($AT23, " Island"),ISNUMBER(SEARCH("Rainshadow",'Map 5'!G23)),CONCATENATE($AT23," ",'Map 5'!G23)),'Map 5'!G23)</f>
        <v>Ocean</v>
      </c>
      <c r="H23" s="46" t="str" cm="1">
        <f t="array" aca="1" ref="H23" ca="1">_xlfn.IFNA(_xlfn.IFS(AND(ISNUMBER(SEARCH("Rainshadow",'Map 5'!H23)),ISNUMBER(SEARCH("Flatland",'Map 5'!H23))),CONCATENATE($AT23, " Rainshadow"),'Map 5'!H23="Flatland",$AT23,'Map 5'!H23="Island",CONCATENATE($AT23, " Island"),ISNUMBER(SEARCH("Rainshadow",'Map 5'!H23)),CONCATENATE($AT23," ",'Map 5'!H23)),'Map 5'!H23)</f>
        <v>Ocean</v>
      </c>
      <c r="I23" s="46" t="str" cm="1">
        <f t="array" aca="1" ref="I23" ca="1">_xlfn.IFNA(_xlfn.IFS(AND(ISNUMBER(SEARCH("Rainshadow",'Map 5'!I23)),ISNUMBER(SEARCH("Flatland",'Map 5'!I23))),CONCATENATE($AT23, " Rainshadow"),'Map 5'!I23="Flatland",$AT23,'Map 5'!I23="Island",CONCATENATE($AT23, " Island"),ISNUMBER(SEARCH("Rainshadow",'Map 5'!I23)),CONCATENATE($AT23," ",'Map 5'!I23)),'Map 5'!I23)</f>
        <v>Ocean</v>
      </c>
      <c r="J23" s="46" t="str" cm="1">
        <f t="array" aca="1" ref="J23" ca="1">_xlfn.IFNA(_xlfn.IFS(AND(ISNUMBER(SEARCH("Rainshadow",'Map 5'!J23)),ISNUMBER(SEARCH("Flatland",'Map 5'!J23))),CONCATENATE($AT23, " Rainshadow"),'Map 5'!J23="Flatland",$AT23,'Map 5'!J23="Island",CONCATENATE($AT23, " Island"),ISNUMBER(SEARCH("Rainshadow",'Map 5'!J23)),CONCATENATE($AT23," ",'Map 5'!J23)),'Map 5'!J23)</f>
        <v>Ocean</v>
      </c>
      <c r="K23" s="46" t="str" cm="1">
        <f t="array" aca="1" ref="K23" ca="1">_xlfn.IFNA(_xlfn.IFS(AND(ISNUMBER(SEARCH("Rainshadow",'Map 5'!K23)),ISNUMBER(SEARCH("Flatland",'Map 5'!K23))),CONCATENATE($AT23, " Rainshadow"),'Map 5'!K23="Flatland",$AT23,'Map 5'!K23="Island",CONCATENATE($AT23, " Island"),ISNUMBER(SEARCH("Rainshadow",'Map 5'!K23)),CONCATENATE($AT23," ",'Map 5'!K23)),'Map 5'!K23)</f>
        <v>Ocean</v>
      </c>
      <c r="L23" s="46" t="str" cm="1">
        <f t="array" aca="1" ref="L23" ca="1">_xlfn.IFNA(_xlfn.IFS(AND(ISNUMBER(SEARCH("Rainshadow",'Map 5'!L23)),ISNUMBER(SEARCH("Flatland",'Map 5'!L23))),CONCATENATE($AT23, " Rainshadow"),'Map 5'!L23="Flatland",$AT23,'Map 5'!L23="Island",CONCATENATE($AT23, " Island"),ISNUMBER(SEARCH("Rainshadow",'Map 5'!L23)),CONCATENATE($AT23," ",'Map 5'!L23)),'Map 5'!L23)</f>
        <v>Ocean</v>
      </c>
      <c r="M23" s="46" t="str" cm="1">
        <f t="array" aca="1" ref="M23" ca="1">_xlfn.IFNA(_xlfn.IFS(AND(ISNUMBER(SEARCH("Rainshadow",'Map 5'!M23)),ISNUMBER(SEARCH("Flatland",'Map 5'!M23))),CONCATENATE($AT23, " Rainshadow"),'Map 5'!M23="Flatland",$AT23,'Map 5'!M23="Island",CONCATENATE($AT23, " Island"),ISNUMBER(SEARCH("Rainshadow",'Map 5'!M23)),CONCATENATE($AT23," ",'Map 5'!M23)),'Map 5'!M23)</f>
        <v>Ocean</v>
      </c>
      <c r="N23" s="46" t="str" cm="1">
        <f t="array" aca="1" ref="N23" ca="1">_xlfn.IFNA(_xlfn.IFS(AND(ISNUMBER(SEARCH("Rainshadow",'Map 5'!N23)),ISNUMBER(SEARCH("Flatland",'Map 5'!N23))),CONCATENATE($AT23, " Rainshadow"),'Map 5'!N23="Flatland",$AT23,'Map 5'!N23="Island",CONCATENATE($AT23, " Island"),ISNUMBER(SEARCH("Rainshadow",'Map 5'!N23)),CONCATENATE($AT23," ",'Map 5'!N23)),'Map 5'!N23)</f>
        <v>Ocean</v>
      </c>
      <c r="O23" s="46" t="str" cm="1">
        <f t="array" aca="1" ref="O23" ca="1">_xlfn.IFNA(_xlfn.IFS(AND(ISNUMBER(SEARCH("Rainshadow",'Map 5'!O23)),ISNUMBER(SEARCH("Flatland",'Map 5'!O23))),CONCATENATE($AT23, " Rainshadow"),'Map 5'!O23="Flatland",$AT23,'Map 5'!O23="Island",CONCATENATE($AT23, " Island"),ISNUMBER(SEARCH("Rainshadow",'Map 5'!O23)),CONCATENATE($AT23," ",'Map 5'!O23)),'Map 5'!O23)</f>
        <v>Coast</v>
      </c>
      <c r="P23" s="46" t="str" cm="1">
        <f t="array" aca="1" ref="P23" ca="1">_xlfn.IFNA(_xlfn.IFS(AND(ISNUMBER(SEARCH("Rainshadow",'Map 5'!P23)),ISNUMBER(SEARCH("Flatland",'Map 5'!P23))),CONCATENATE($AT23, " Rainshadow"),'Map 5'!P23="Flatland",$AT23,'Map 5'!P23="Island",CONCATENATE($AT23, " Island"),ISNUMBER(SEARCH("Rainshadow",'Map 5'!P23)),CONCATENATE($AT23," ",'Map 5'!P23)),'Map 5'!P23)</f>
        <v>Ocean</v>
      </c>
      <c r="Q23" s="46" t="str" cm="1">
        <f t="array" aca="1" ref="Q23" ca="1">_xlfn.IFNA(_xlfn.IFS(AND(ISNUMBER(SEARCH("Rainshadow",'Map 5'!Q23)),ISNUMBER(SEARCH("Flatland",'Map 5'!Q23))),CONCATENATE($AT23, " Rainshadow"),'Map 5'!Q23="Flatland",$AT23,'Map 5'!Q23="Island",CONCATENATE($AT23, " Island"),ISNUMBER(SEARCH("Rainshadow",'Map 5'!Q23)),CONCATENATE($AT23," ",'Map 5'!Q23)),'Map 5'!Q23)</f>
        <v>Ocean</v>
      </c>
      <c r="R23" s="46" t="str" cm="1">
        <f t="array" aca="1" ref="R23" ca="1">_xlfn.IFNA(_xlfn.IFS(AND(ISNUMBER(SEARCH("Rainshadow",'Map 5'!R23)),ISNUMBER(SEARCH("Flatland",'Map 5'!R23))),CONCATENATE($AT23, " Rainshadow"),'Map 5'!R23="Flatland",$AT23,'Map 5'!R23="Island",CONCATENATE($AT23, " Island"),ISNUMBER(SEARCH("Rainshadow",'Map 5'!R23)),CONCATENATE($AT23," ",'Map 5'!R23)),'Map 5'!R23)</f>
        <v>Ocean</v>
      </c>
      <c r="S23" s="46" t="str" cm="1">
        <f t="array" aca="1" ref="S23" ca="1">_xlfn.IFNA(_xlfn.IFS(AND(ISNUMBER(SEARCH("Rainshadow",'Map 5'!S23)),ISNUMBER(SEARCH("Flatland",'Map 5'!S23))),CONCATENATE($AT23, " Rainshadow"),'Map 5'!S23="Flatland",$AT23,'Map 5'!S23="Island",CONCATENATE($AT23, " Island"),ISNUMBER(SEARCH("Rainshadow",'Map 5'!S23)),CONCATENATE($AT23," ",'Map 5'!S23)),'Map 5'!S23)</f>
        <v>Ocean</v>
      </c>
      <c r="T23" s="46" t="str" cm="1">
        <f t="array" aca="1" ref="T23" ca="1">_xlfn.IFNA(_xlfn.IFS(AND(ISNUMBER(SEARCH("Rainshadow",'Map 5'!T23)),ISNUMBER(SEARCH("Flatland",'Map 5'!T23))),CONCATENATE($AT23, " Rainshadow"),'Map 5'!T23="Flatland",$AT23,'Map 5'!T23="Island",CONCATENATE($AT23, " Island"),ISNUMBER(SEARCH("Rainshadow",'Map 5'!T23)),CONCATENATE($AT23," ",'Map 5'!T23)),'Map 5'!T23)</f>
        <v>Ocean</v>
      </c>
      <c r="U23" s="46" t="str" cm="1">
        <f t="array" aca="1" ref="U23" ca="1">_xlfn.IFNA(_xlfn.IFS(AND(ISNUMBER(SEARCH("Rainshadow",'Map 5'!U23)),ISNUMBER(SEARCH("Flatland",'Map 5'!U23))),CONCATENATE($AT23, " Rainshadow"),'Map 5'!U23="Flatland",$AT23,'Map 5'!U23="Island",CONCATENATE($AT23, " Island"),ISNUMBER(SEARCH("Rainshadow",'Map 5'!U23)),CONCATENATE($AT23," ",'Map 5'!U23)),'Map 5'!U23)</f>
        <v>Coast</v>
      </c>
      <c r="V23" s="46" t="str" cm="1">
        <f t="array" aca="1" ref="V23" ca="1">_xlfn.IFNA(_xlfn.IFS(AND(ISNUMBER(SEARCH("Rainshadow",'Map 5'!V23)),ISNUMBER(SEARCH("Flatland",'Map 5'!V23))),CONCATENATE($AT23, " Rainshadow"),'Map 5'!V23="Flatland",$AT23,'Map 5'!V23="Island",CONCATENATE($AT23, " Island"),ISNUMBER(SEARCH("Rainshadow",'Map 5'!V23)),CONCATENATE($AT23," ",'Map 5'!V23)),'Map 5'!V23)</f>
        <v>Desert</v>
      </c>
      <c r="W23" s="46" t="str" cm="1">
        <f t="array" aca="1" ref="W23" ca="1">_xlfn.IFNA(_xlfn.IFS(AND(ISNUMBER(SEARCH("Rainshadow",'Map 5'!W23)),ISNUMBER(SEARCH("Flatland",'Map 5'!W23))),CONCATENATE($AT23, " Rainshadow"),'Map 5'!W23="Flatland",$AT23,'Map 5'!W23="Island",CONCATENATE($AT23, " Island"),ISNUMBER(SEARCH("Rainshadow",'Map 5'!W23)),CONCATENATE($AT23," ",'Map 5'!W23)),'Map 5'!W23)</f>
        <v>Desert</v>
      </c>
      <c r="X23" s="46" t="str" cm="1">
        <f t="array" aca="1" ref="X23" ca="1">_xlfn.IFNA(_xlfn.IFS(AND(ISNUMBER(SEARCH("Rainshadow",'Map 5'!X23)),ISNUMBER(SEARCH("Flatland",'Map 5'!X23))),CONCATENATE($AT23, " Rainshadow"),'Map 5'!X23="Flatland",$AT23,'Map 5'!X23="Island",CONCATENATE($AT23, " Island"),ISNUMBER(SEARCH("Rainshadow",'Map 5'!X23)),CONCATENATE($AT23," ",'Map 5'!X23)),'Map 5'!X23)</f>
        <v>Coast</v>
      </c>
      <c r="Y23" s="46" t="str" cm="1">
        <f t="array" aca="1" ref="Y23" ca="1">_xlfn.IFNA(_xlfn.IFS(AND(ISNUMBER(SEARCH("Rainshadow",'Map 5'!Y23)),ISNUMBER(SEARCH("Flatland",'Map 5'!Y23))),CONCATENATE($AT23, " Rainshadow"),'Map 5'!Y23="Flatland",$AT23,'Map 5'!Y23="Island",CONCATENATE($AT23, " Island"),ISNUMBER(SEARCH("Rainshadow",'Map 5'!Y23)),CONCATENATE($AT23," ",'Map 5'!Y23)),'Map 5'!Y23)</f>
        <v>Coast</v>
      </c>
      <c r="Z23" s="46" t="str" cm="1">
        <f t="array" aca="1" ref="Z23" ca="1">_xlfn.IFNA(_xlfn.IFS(AND(ISNUMBER(SEARCH("Rainshadow",'Map 5'!Z23)),ISNUMBER(SEARCH("Flatland",'Map 5'!Z23))),CONCATENATE($AT23, " Rainshadow"),'Map 5'!Z23="Flatland",$AT23,'Map 5'!Z23="Island",CONCATENATE($AT23, " Island"),ISNUMBER(SEARCH("Rainshadow",'Map 5'!Z23)),CONCATENATE($AT23," ",'Map 5'!Z23)),'Map 5'!Z23)</f>
        <v>Coast</v>
      </c>
      <c r="AA23" s="46" t="str" cm="1">
        <f t="array" aca="1" ref="AA23" ca="1">_xlfn.IFNA(_xlfn.IFS(AND(ISNUMBER(SEARCH("Rainshadow",'Map 5'!AA23)),ISNUMBER(SEARCH("Flatland",'Map 5'!AA23))),CONCATENATE($AT23, " Rainshadow"),'Map 5'!AA23="Flatland",$AT23,'Map 5'!AA23="Island",CONCATENATE($AT23, " Island"),ISNUMBER(SEARCH("Rainshadow",'Map 5'!AA23)),CONCATENATE($AT23," ",'Map 5'!AA23)),'Map 5'!AA23)</f>
        <v>Ocean</v>
      </c>
      <c r="AB23" s="46" t="str" cm="1">
        <f t="array" aca="1" ref="AB23" ca="1">_xlfn.IFNA(_xlfn.IFS(AND(ISNUMBER(SEARCH("Rainshadow",'Map 5'!AB23)),ISNUMBER(SEARCH("Flatland",'Map 5'!AB23))),CONCATENATE($AT23, " Rainshadow"),'Map 5'!AB23="Flatland",$AT23,'Map 5'!AB23="Island",CONCATENATE($AT23, " Island"),ISNUMBER(SEARCH("Rainshadow",'Map 5'!AB23)),CONCATENATE($AT23," ",'Map 5'!AB23)),'Map 5'!AB23)</f>
        <v>Ocean</v>
      </c>
      <c r="AC23" s="46" t="str" cm="1">
        <f t="array" aca="1" ref="AC23" ca="1">_xlfn.IFNA(_xlfn.IFS(AND(ISNUMBER(SEARCH("Rainshadow",'Map 5'!AC23)),ISNUMBER(SEARCH("Flatland",'Map 5'!AC23))),CONCATENATE($AT23, " Rainshadow"),'Map 5'!AC23="Flatland",$AT23,'Map 5'!AC23="Island",CONCATENATE($AT23, " Island"),ISNUMBER(SEARCH("Rainshadow",'Map 5'!AC23)),CONCATENATE($AT23," ",'Map 5'!AC23)),'Map 5'!AC23)</f>
        <v>Ocean</v>
      </c>
      <c r="AD23" s="46" t="str" cm="1">
        <f t="array" aca="1" ref="AD23" ca="1">_xlfn.IFNA(_xlfn.IFS(AND(ISNUMBER(SEARCH("Rainshadow",'Map 5'!AD23)),ISNUMBER(SEARCH("Flatland",'Map 5'!AD23))),CONCATENATE($AT23, " Rainshadow"),'Map 5'!AD23="Flatland",$AT23,'Map 5'!AD23="Island",CONCATENATE($AT23, " Island"),ISNUMBER(SEARCH("Rainshadow",'Map 5'!AD23)),CONCATENATE($AT23," ",'Map 5'!AD23)),'Map 5'!AD23)</f>
        <v>Ocean</v>
      </c>
      <c r="AE23" s="46" t="str" cm="1">
        <f t="array" aca="1" ref="AE23" ca="1">_xlfn.IFNA(_xlfn.IFS(AND(ISNUMBER(SEARCH("Rainshadow",'Map 5'!AE23)),ISNUMBER(SEARCH("Flatland",'Map 5'!AE23))),CONCATENATE($AT23, " Rainshadow"),'Map 5'!AE23="Flatland",$AT23,'Map 5'!AE23="Island",CONCATENATE($AT23, " Island"),ISNUMBER(SEARCH("Rainshadow",'Map 5'!AE23)),CONCATENATE($AT23," ",'Map 5'!AE23)),'Map 5'!AE23)</f>
        <v>Ocean</v>
      </c>
      <c r="AF23" s="46" t="str" cm="1">
        <f t="array" aca="1" ref="AF23" ca="1">_xlfn.IFNA(_xlfn.IFS(AND(ISNUMBER(SEARCH("Rainshadow",'Map 5'!AF23)),ISNUMBER(SEARCH("Flatland",'Map 5'!AF23))),CONCATENATE($AT23, " Rainshadow"),'Map 5'!AF23="Flatland",$AT23,'Map 5'!AF23="Island",CONCATENATE($AT23, " Island"),ISNUMBER(SEARCH("Rainshadow",'Map 5'!AF23)),CONCATENATE($AT23," ",'Map 5'!AF23)),'Map 5'!AF23)</f>
        <v>Ocean</v>
      </c>
      <c r="AG23" s="46" t="str" cm="1">
        <f t="array" aca="1" ref="AG23" ca="1">_xlfn.IFNA(_xlfn.IFS(AND(ISNUMBER(SEARCH("Rainshadow",'Map 5'!AG23)),ISNUMBER(SEARCH("Flatland",'Map 5'!AG23))),CONCATENATE($AT23, " Rainshadow"),'Map 5'!AG23="Flatland",$AT23,'Map 5'!AG23="Island",CONCATENATE($AT23, " Island"),ISNUMBER(SEARCH("Rainshadow",'Map 5'!AG23)),CONCATENATE($AT23," ",'Map 5'!AG23)),'Map 5'!AG23)</f>
        <v>Ocean</v>
      </c>
      <c r="AH23" s="46" t="str" cm="1">
        <f t="array" aca="1" ref="AH23" ca="1">_xlfn.IFNA(_xlfn.IFS(AND(ISNUMBER(SEARCH("Rainshadow",'Map 5'!AH23)),ISNUMBER(SEARCH("Flatland",'Map 5'!AH23))),CONCATENATE($AT23, " Rainshadow"),'Map 5'!AH23="Flatland",$AT23,'Map 5'!AH23="Island",CONCATENATE($AT23, " Island"),ISNUMBER(SEARCH("Rainshadow",'Map 5'!AH23)),CONCATENATE($AT23," ",'Map 5'!AH23)),'Map 5'!AH23)</f>
        <v>Ocean</v>
      </c>
      <c r="AI23" s="46" t="str" cm="1">
        <f t="array" aca="1" ref="AI23" ca="1">_xlfn.IFNA(_xlfn.IFS(AND(ISNUMBER(SEARCH("Rainshadow",'Map 5'!AI23)),ISNUMBER(SEARCH("Flatland",'Map 5'!AI23))),CONCATENATE($AT23, " Rainshadow"),'Map 5'!AI23="Flatland",$AT23,'Map 5'!AI23="Island",CONCATENATE($AT23, " Island"),ISNUMBER(SEARCH("Rainshadow",'Map 5'!AI23)),CONCATENATE($AT23," ",'Map 5'!AI23)),'Map 5'!AI23)</f>
        <v>Ocean</v>
      </c>
      <c r="AJ23" s="46" t="str" cm="1">
        <f t="array" aca="1" ref="AJ23" ca="1">_xlfn.IFNA(_xlfn.IFS(AND(ISNUMBER(SEARCH("Rainshadow",'Map 5'!AJ23)),ISNUMBER(SEARCH("Flatland",'Map 5'!AJ23))),CONCATENATE($AT23, " Rainshadow"),'Map 5'!AJ23="Flatland",$AT23,'Map 5'!AJ23="Island",CONCATENATE($AT23, " Island"),ISNUMBER(SEARCH("Rainshadow",'Map 5'!AJ23)),CONCATENATE($AT23," ",'Map 5'!AJ23)),'Map 5'!AJ23)</f>
        <v>Ocean</v>
      </c>
      <c r="AK23" s="46" t="str" cm="1">
        <f t="array" aca="1" ref="AK23" ca="1">_xlfn.IFNA(_xlfn.IFS(AND(ISNUMBER(SEARCH("Rainshadow",'Map 5'!AK23)),ISNUMBER(SEARCH("Flatland",'Map 5'!AK23))),CONCATENATE($AT23, " Rainshadow"),'Map 5'!AK23="Flatland",$AT23,'Map 5'!AK23="Island",CONCATENATE($AT23, " Island"),ISNUMBER(SEARCH("Rainshadow",'Map 5'!AK23)),CONCATENATE($AT23," ",'Map 5'!AK23)),'Map 5'!AK23)</f>
        <v>Ocean</v>
      </c>
      <c r="AL23" s="46" t="str" cm="1">
        <f t="array" aca="1" ref="AL23" ca="1">_xlfn.IFNA(_xlfn.IFS(AND(ISNUMBER(SEARCH("Rainshadow",'Map 5'!AL23)),ISNUMBER(SEARCH("Flatland",'Map 5'!AL23))),CONCATENATE($AT23, " Rainshadow"),'Map 5'!AL23="Flatland",$AT23,'Map 5'!AL23="Island",CONCATENATE($AT23, " Island"),ISNUMBER(SEARCH("Rainshadow",'Map 5'!AL23)),CONCATENATE($AT23," ",'Map 5'!AL23)),'Map 5'!AL23)</f>
        <v>Ocean</v>
      </c>
      <c r="AM23" s="46" t="str" cm="1">
        <f t="array" aca="1" ref="AM23" ca="1">_xlfn.IFNA(_xlfn.IFS(AND(ISNUMBER(SEARCH("Rainshadow",'Map 5'!AM23)),ISNUMBER(SEARCH("Flatland",'Map 5'!AM23))),CONCATENATE($AT23, " Rainshadow"),'Map 5'!AM23="Flatland",$AT23,'Map 5'!AM23="Island",CONCATENATE($AT23, " Island"),ISNUMBER(SEARCH("Rainshadow",'Map 5'!AM23)),CONCATENATE($AT23," ",'Map 5'!AM23)),'Map 5'!AM23)</f>
        <v>Ocean</v>
      </c>
      <c r="AN23" s="46" t="str" cm="1">
        <f t="array" aca="1" ref="AN23" ca="1">_xlfn.IFNA(_xlfn.IFS(AND(ISNUMBER(SEARCH("Rainshadow",'Map 5'!AN23)),ISNUMBER(SEARCH("Flatland",'Map 5'!AN23))),CONCATENATE($AT23, " Rainshadow"),'Map 5'!AN23="Flatland",$AT23,'Map 5'!AN23="Island",CONCATENATE($AT23, " Island"),ISNUMBER(SEARCH("Rainshadow",'Map 5'!AN23)),CONCATENATE($AT23," ",'Map 5'!AN23)),'Map 5'!AN23)</f>
        <v>Ocean</v>
      </c>
      <c r="AO23" s="46" t="str" cm="1">
        <f t="array" aca="1" ref="AO23" ca="1">_xlfn.IFNA(_xlfn.IFS(AND(ISNUMBER(SEARCH("Rainshadow",'Map 5'!AO23)),ISNUMBER(SEARCH("Flatland",'Map 5'!AO23))),CONCATENATE($AT23, " Rainshadow"),'Map 5'!AO23="Flatland",$AT23,'Map 5'!AO23="Island",CONCATENATE($AT23, " Island"),ISNUMBER(SEARCH("Rainshadow",'Map 5'!AO23)),CONCATENATE($AT23," ",'Map 5'!AO23)),'Map 5'!AO23)</f>
        <v>Trench</v>
      </c>
      <c r="AP23" s="46">
        <f>'Map 5'!AP23</f>
        <v>49.2</v>
      </c>
      <c r="AQ23" s="46">
        <f>'Map 5'!AQ23</f>
        <v>120.56</v>
      </c>
      <c r="AR23" s="46">
        <f>'Map 5'!AS23</f>
        <v>322.35000000000008</v>
      </c>
      <c r="AS23" s="47">
        <f>'Map 5'!AT23</f>
        <v>31.5</v>
      </c>
      <c r="AT23" s="47" t="str">
        <f>'Map 5'!AU23</f>
        <v>Desert</v>
      </c>
      <c r="AU23" s="47" t="str">
        <f>'Map 5'!AV23</f>
        <v>⤴</v>
      </c>
      <c r="AX23" s="47" t="str">
        <f t="shared" si="1"/>
        <v>Desert Rainshadow</v>
      </c>
    </row>
    <row r="24" spans="1:50" ht="18.75" customHeight="1">
      <c r="A24" s="46">
        <v>15</v>
      </c>
      <c r="B24" s="46" t="str" cm="1">
        <f t="array" aca="1" ref="B24" ca="1">_xlfn.IFNA(_xlfn.IFS(AND(ISNUMBER(SEARCH("Rainshadow",'Map 5'!B24)),ISNUMBER(SEARCH("Flatland",'Map 5'!B24))),CONCATENATE($AT24, " Rainshadow"),'Map 5'!B24="Flatland",$AT24,'Map 5'!B24="Island",CONCATENATE($AT24, " Island"),ISNUMBER(SEARCH("Rainshadow",'Map 5'!B24)),CONCATENATE($AT24," ",'Map 5'!B24)),'Map 5'!B24)</f>
        <v>Ocean</v>
      </c>
      <c r="C24" s="46" t="str" cm="1">
        <f t="array" aca="1" ref="C24" ca="1">_xlfn.IFNA(_xlfn.IFS(AND(ISNUMBER(SEARCH("Rainshadow",'Map 5'!C24)),ISNUMBER(SEARCH("Flatland",'Map 5'!C24))),CONCATENATE($AT24, " Rainshadow"),'Map 5'!C24="Flatland",$AT24,'Map 5'!C24="Island",CONCATENATE($AT24, " Island"),ISNUMBER(SEARCH("Rainshadow",'Map 5'!C24)),CONCATENATE($AT24," ",'Map 5'!C24)),'Map 5'!C24)</f>
        <v>Ocean</v>
      </c>
      <c r="D24" s="46" t="str" cm="1">
        <f t="array" aca="1" ref="D24" ca="1">_xlfn.IFNA(_xlfn.IFS(AND(ISNUMBER(SEARCH("Rainshadow",'Map 5'!D24)),ISNUMBER(SEARCH("Flatland",'Map 5'!D24))),CONCATENATE($AT24, " Rainshadow"),'Map 5'!D24="Flatland",$AT24,'Map 5'!D24="Island",CONCATENATE($AT24, " Island"),ISNUMBER(SEARCH("Rainshadow",'Map 5'!D24)),CONCATENATE($AT24," ",'Map 5'!D24)),'Map 5'!D24)</f>
        <v>Ocean</v>
      </c>
      <c r="E24" s="46" t="str" cm="1">
        <f t="array" aca="1" ref="E24" ca="1">_xlfn.IFNA(_xlfn.IFS(AND(ISNUMBER(SEARCH("Rainshadow",'Map 5'!E24)),ISNUMBER(SEARCH("Flatland",'Map 5'!E24))),CONCATENATE($AT24, " Rainshadow"),'Map 5'!E24="Flatland",$AT24,'Map 5'!E24="Island",CONCATENATE($AT24, " Island"),ISNUMBER(SEARCH("Rainshadow",'Map 5'!E24)),CONCATENATE($AT24," ",'Map 5'!E24)),'Map 5'!E24)</f>
        <v>Ocean</v>
      </c>
      <c r="F24" s="46" t="str" cm="1">
        <f t="array" aca="1" ref="F24" ca="1">_xlfn.IFNA(_xlfn.IFS(AND(ISNUMBER(SEARCH("Rainshadow",'Map 5'!F24)),ISNUMBER(SEARCH("Flatland",'Map 5'!F24))),CONCATENATE($AT24, " Rainshadow"),'Map 5'!F24="Flatland",$AT24,'Map 5'!F24="Island",CONCATENATE($AT24, " Island"),ISNUMBER(SEARCH("Rainshadow",'Map 5'!F24)),CONCATENATE($AT24," ",'Map 5'!F24)),'Map 5'!F24)</f>
        <v>Desert Island</v>
      </c>
      <c r="G24" s="46" t="str" cm="1">
        <f t="array" aca="1" ref="G24" ca="1">_xlfn.IFNA(_xlfn.IFS(AND(ISNUMBER(SEARCH("Rainshadow",'Map 5'!G24)),ISNUMBER(SEARCH("Flatland",'Map 5'!G24))),CONCATENATE($AT24, " Rainshadow"),'Map 5'!G24="Flatland",$AT24,'Map 5'!G24="Island",CONCATENATE($AT24, " Island"),ISNUMBER(SEARCH("Rainshadow",'Map 5'!G24)),CONCATENATE($AT24," ",'Map 5'!G24)),'Map 5'!G24)</f>
        <v>Desert Island</v>
      </c>
      <c r="H24" s="46" t="str" cm="1">
        <f t="array" aca="1" ref="H24" ca="1">_xlfn.IFNA(_xlfn.IFS(AND(ISNUMBER(SEARCH("Rainshadow",'Map 5'!H24)),ISNUMBER(SEARCH("Flatland",'Map 5'!H24))),CONCATENATE($AT24, " Rainshadow"),'Map 5'!H24="Flatland",$AT24,'Map 5'!H24="Island",CONCATENATE($AT24, " Island"),ISNUMBER(SEARCH("Rainshadow",'Map 5'!H24)),CONCATENATE($AT24," ",'Map 5'!H24)),'Map 5'!H24)</f>
        <v>Trench</v>
      </c>
      <c r="I24" s="46" t="str" cm="1">
        <f t="array" aca="1" ref="I24" ca="1">_xlfn.IFNA(_xlfn.IFS(AND(ISNUMBER(SEARCH("Rainshadow",'Map 5'!I24)),ISNUMBER(SEARCH("Flatland",'Map 5'!I24))),CONCATENATE($AT24, " Rainshadow"),'Map 5'!I24="Flatland",$AT24,'Map 5'!I24="Island",CONCATENATE($AT24, " Island"),ISNUMBER(SEARCH("Rainshadow",'Map 5'!I24)),CONCATENATE($AT24," ",'Map 5'!I24)),'Map 5'!I24)</f>
        <v>Desert Island</v>
      </c>
      <c r="J24" s="46" t="str" cm="1">
        <f t="array" aca="1" ref="J24" ca="1">_xlfn.IFNA(_xlfn.IFS(AND(ISNUMBER(SEARCH("Rainshadow",'Map 5'!J24)),ISNUMBER(SEARCH("Flatland",'Map 5'!J24))),CONCATENATE($AT24, " Rainshadow"),'Map 5'!J24="Flatland",$AT24,'Map 5'!J24="Island",CONCATENATE($AT24, " Island"),ISNUMBER(SEARCH("Rainshadow",'Map 5'!J24)),CONCATENATE($AT24," ",'Map 5'!J24)),'Map 5'!J24)</f>
        <v>Ocean</v>
      </c>
      <c r="K24" s="46" t="str" cm="1">
        <f t="array" aca="1" ref="K24" ca="1">_xlfn.IFNA(_xlfn.IFS(AND(ISNUMBER(SEARCH("Rainshadow",'Map 5'!K24)),ISNUMBER(SEARCH("Flatland",'Map 5'!K24))),CONCATENATE($AT24, " Rainshadow"),'Map 5'!K24="Flatland",$AT24,'Map 5'!K24="Island",CONCATENATE($AT24, " Island"),ISNUMBER(SEARCH("Rainshadow",'Map 5'!K24)),CONCATENATE($AT24," ",'Map 5'!K24)),'Map 5'!K24)</f>
        <v>Ocean</v>
      </c>
      <c r="L24" s="46" t="str" cm="1">
        <f t="array" aca="1" ref="L24" ca="1">_xlfn.IFNA(_xlfn.IFS(AND(ISNUMBER(SEARCH("Rainshadow",'Map 5'!L24)),ISNUMBER(SEARCH("Flatland",'Map 5'!L24))),CONCATENATE($AT24, " Rainshadow"),'Map 5'!L24="Flatland",$AT24,'Map 5'!L24="Island",CONCATENATE($AT24, " Island"),ISNUMBER(SEARCH("Rainshadow",'Map 5'!L24)),CONCATENATE($AT24," ",'Map 5'!L24)),'Map 5'!L24)</f>
        <v>Ocean</v>
      </c>
      <c r="M24" s="46" t="str" cm="1">
        <f t="array" aca="1" ref="M24" ca="1">_xlfn.IFNA(_xlfn.IFS(AND(ISNUMBER(SEARCH("Rainshadow",'Map 5'!M24)),ISNUMBER(SEARCH("Flatland",'Map 5'!M24))),CONCATENATE($AT24, " Rainshadow"),'Map 5'!M24="Flatland",$AT24,'Map 5'!M24="Island",CONCATENATE($AT24, " Island"),ISNUMBER(SEARCH("Rainshadow",'Map 5'!M24)),CONCATENATE($AT24," ",'Map 5'!M24)),'Map 5'!M24)</f>
        <v>Ocean</v>
      </c>
      <c r="N24" s="46" t="str" cm="1">
        <f t="array" aca="1" ref="N24" ca="1">_xlfn.IFNA(_xlfn.IFS(AND(ISNUMBER(SEARCH("Rainshadow",'Map 5'!N24)),ISNUMBER(SEARCH("Flatland",'Map 5'!N24))),CONCATENATE($AT24, " Rainshadow"),'Map 5'!N24="Flatland",$AT24,'Map 5'!N24="Island",CONCATENATE($AT24, " Island"),ISNUMBER(SEARCH("Rainshadow",'Map 5'!N24)),CONCATENATE($AT24," ",'Map 5'!N24)),'Map 5'!N24)</f>
        <v>Ocean</v>
      </c>
      <c r="O24" s="46" t="str" cm="1">
        <f t="array" aca="1" ref="O24" ca="1">_xlfn.IFNA(_xlfn.IFS(AND(ISNUMBER(SEARCH("Rainshadow",'Map 5'!O24)),ISNUMBER(SEARCH("Flatland",'Map 5'!O24))),CONCATENATE($AT24, " Rainshadow"),'Map 5'!O24="Flatland",$AT24,'Map 5'!O24="Island",CONCATENATE($AT24, " Island"),ISNUMBER(SEARCH("Rainshadow",'Map 5'!O24)),CONCATENATE($AT24," ",'Map 5'!O24)),'Map 5'!O24)</f>
        <v>Ocean</v>
      </c>
      <c r="P24" s="46" t="str" cm="1">
        <f t="array" aca="1" ref="P24" ca="1">_xlfn.IFNA(_xlfn.IFS(AND(ISNUMBER(SEARCH("Rainshadow",'Map 5'!P24)),ISNUMBER(SEARCH("Flatland",'Map 5'!P24))),CONCATENATE($AT24, " Rainshadow"),'Map 5'!P24="Flatland",$AT24,'Map 5'!P24="Island",CONCATENATE($AT24, " Island"),ISNUMBER(SEARCH("Rainshadow",'Map 5'!P24)),CONCATENATE($AT24," ",'Map 5'!P24)),'Map 5'!P24)</f>
        <v>Ocean</v>
      </c>
      <c r="Q24" s="46" t="str" cm="1">
        <f t="array" aca="1" ref="Q24" ca="1">_xlfn.IFNA(_xlfn.IFS(AND(ISNUMBER(SEARCH("Rainshadow",'Map 5'!Q24)),ISNUMBER(SEARCH("Flatland",'Map 5'!Q24))),CONCATENATE($AT24, " Rainshadow"),'Map 5'!Q24="Flatland",$AT24,'Map 5'!Q24="Island",CONCATENATE($AT24, " Island"),ISNUMBER(SEARCH("Rainshadow",'Map 5'!Q24)),CONCATENATE($AT24," ",'Map 5'!Q24)),'Map 5'!Q24)</f>
        <v>Ocean</v>
      </c>
      <c r="R24" s="46" t="str" cm="1">
        <f t="array" aca="1" ref="R24" ca="1">_xlfn.IFNA(_xlfn.IFS(AND(ISNUMBER(SEARCH("Rainshadow",'Map 5'!R24)),ISNUMBER(SEARCH("Flatland",'Map 5'!R24))),CONCATENATE($AT24, " Rainshadow"),'Map 5'!R24="Flatland",$AT24,'Map 5'!R24="Island",CONCATENATE($AT24, " Island"),ISNUMBER(SEARCH("Rainshadow",'Map 5'!R24)),CONCATENATE($AT24," ",'Map 5'!R24)),'Map 5'!R24)</f>
        <v>Trench</v>
      </c>
      <c r="S24" s="46" t="str" cm="1">
        <f t="array" aca="1" ref="S24" ca="1">_xlfn.IFNA(_xlfn.IFS(AND(ISNUMBER(SEARCH("Rainshadow",'Map 5'!S24)),ISNUMBER(SEARCH("Flatland",'Map 5'!S24))),CONCATENATE($AT24, " Rainshadow"),'Map 5'!S24="Flatland",$AT24,'Map 5'!S24="Island",CONCATENATE($AT24, " Island"),ISNUMBER(SEARCH("Rainshadow",'Map 5'!S24)),CONCATENATE($AT24," ",'Map 5'!S24)),'Map 5'!S24)</f>
        <v>Ocean</v>
      </c>
      <c r="T24" s="46" t="str" cm="1">
        <f t="array" aca="1" ref="T24" ca="1">_xlfn.IFNA(_xlfn.IFS(AND(ISNUMBER(SEARCH("Rainshadow",'Map 5'!T24)),ISNUMBER(SEARCH("Flatland",'Map 5'!T24))),CONCATENATE($AT24, " Rainshadow"),'Map 5'!T24="Flatland",$AT24,'Map 5'!T24="Island",CONCATENATE($AT24, " Island"),ISNUMBER(SEARCH("Rainshadow",'Map 5'!T24)),CONCATENATE($AT24," ",'Map 5'!T24)),'Map 5'!T24)</f>
        <v>Ocean</v>
      </c>
      <c r="U24" s="46" t="str" cm="1">
        <f t="array" aca="1" ref="U24" ca="1">_xlfn.IFNA(_xlfn.IFS(AND(ISNUMBER(SEARCH("Rainshadow",'Map 5'!U24)),ISNUMBER(SEARCH("Flatland",'Map 5'!U24))),CONCATENATE($AT24, " Rainshadow"),'Map 5'!U24="Flatland",$AT24,'Map 5'!U24="Island",CONCATENATE($AT24, " Island"),ISNUMBER(SEARCH("Rainshadow",'Map 5'!U24)),CONCATENATE($AT24," ",'Map 5'!U24)),'Map 5'!U24)</f>
        <v>Desert</v>
      </c>
      <c r="V24" s="46" t="str" cm="1">
        <f t="array" aca="1" ref="V24" ca="1">_xlfn.IFNA(_xlfn.IFS(AND(ISNUMBER(SEARCH("Rainshadow",'Map 5'!V24)),ISNUMBER(SEARCH("Flatland",'Map 5'!V24))),CONCATENATE($AT24, " Rainshadow"),'Map 5'!V24="Flatland",$AT24,'Map 5'!V24="Island",CONCATENATE($AT24, " Island"),ISNUMBER(SEARCH("Rainshadow",'Map 5'!V24)),CONCATENATE($AT24," ",'Map 5'!V24)),'Map 5'!V24)</f>
        <v>Coast</v>
      </c>
      <c r="W24" s="46" t="str" cm="1">
        <f t="array" aca="1" ref="W24" ca="1">_xlfn.IFNA(_xlfn.IFS(AND(ISNUMBER(SEARCH("Rainshadow",'Map 5'!W24)),ISNUMBER(SEARCH("Flatland",'Map 5'!W24))),CONCATENATE($AT24, " Rainshadow"),'Map 5'!W24="Flatland",$AT24,'Map 5'!W24="Island",CONCATENATE($AT24, " Island"),ISNUMBER(SEARCH("Rainshadow",'Map 5'!W24)),CONCATENATE($AT24," ",'Map 5'!W24)),'Map 5'!W24)</f>
        <v>Coast</v>
      </c>
      <c r="X24" s="46" t="str" cm="1">
        <f t="array" aca="1" ref="X24" ca="1">_xlfn.IFNA(_xlfn.IFS(AND(ISNUMBER(SEARCH("Rainshadow",'Map 5'!X24)),ISNUMBER(SEARCH("Flatland",'Map 5'!X24))),CONCATENATE($AT24, " Rainshadow"),'Map 5'!X24="Flatland",$AT24,'Map 5'!X24="Island",CONCATENATE($AT24, " Island"),ISNUMBER(SEARCH("Rainshadow",'Map 5'!X24)),CONCATENATE($AT24," ",'Map 5'!X24)),'Map 5'!X24)</f>
        <v>Desert</v>
      </c>
      <c r="Y24" s="46" t="str" cm="1">
        <f t="array" aca="1" ref="Y24" ca="1">_xlfn.IFNA(_xlfn.IFS(AND(ISNUMBER(SEARCH("Rainshadow",'Map 5'!Y24)),ISNUMBER(SEARCH("Flatland",'Map 5'!Y24))),CONCATENATE($AT24, " Rainshadow"),'Map 5'!Y24="Flatland",$AT24,'Map 5'!Y24="Island",CONCATENATE($AT24, " Island"),ISNUMBER(SEARCH("Rainshadow",'Map 5'!Y24)),CONCATENATE($AT24," ",'Map 5'!Y24)),'Map 5'!Y24)</f>
        <v>Coast</v>
      </c>
      <c r="Z24" s="46" t="str" cm="1">
        <f t="array" aca="1" ref="Z24" ca="1">_xlfn.IFNA(_xlfn.IFS(AND(ISNUMBER(SEARCH("Rainshadow",'Map 5'!Z24)),ISNUMBER(SEARCH("Flatland",'Map 5'!Z24))),CONCATENATE($AT24, " Rainshadow"),'Map 5'!Z24="Flatland",$AT24,'Map 5'!Z24="Island",CONCATENATE($AT24, " Island"),ISNUMBER(SEARCH("Rainshadow",'Map 5'!Z24)),CONCATENATE($AT24," ",'Map 5'!Z24)),'Map 5'!Z24)</f>
        <v>Coast</v>
      </c>
      <c r="AA24" s="46" t="str" cm="1">
        <f t="array" aca="1" ref="AA24" ca="1">_xlfn.IFNA(_xlfn.IFS(AND(ISNUMBER(SEARCH("Rainshadow",'Map 5'!AA24)),ISNUMBER(SEARCH("Flatland",'Map 5'!AA24))),CONCATENATE($AT24, " Rainshadow"),'Map 5'!AA24="Flatland",$AT24,'Map 5'!AA24="Island",CONCATENATE($AT24, " Island"),ISNUMBER(SEARCH("Rainshadow",'Map 5'!AA24)),CONCATENATE($AT24," ",'Map 5'!AA24)),'Map 5'!AA24)</f>
        <v>Desert Island</v>
      </c>
      <c r="AB24" s="46" t="str" cm="1">
        <f t="array" aca="1" ref="AB24" ca="1">_xlfn.IFNA(_xlfn.IFS(AND(ISNUMBER(SEARCH("Rainshadow",'Map 5'!AB24)),ISNUMBER(SEARCH("Flatland",'Map 5'!AB24))),CONCATENATE($AT24, " Rainshadow"),'Map 5'!AB24="Flatland",$AT24,'Map 5'!AB24="Island",CONCATENATE($AT24, " Island"),ISNUMBER(SEARCH("Rainshadow",'Map 5'!AB24)),CONCATENATE($AT24," ",'Map 5'!AB24)),'Map 5'!AB24)</f>
        <v>Trench</v>
      </c>
      <c r="AC24" s="46" t="str" cm="1">
        <f t="array" aca="1" ref="AC24" ca="1">_xlfn.IFNA(_xlfn.IFS(AND(ISNUMBER(SEARCH("Rainshadow",'Map 5'!AC24)),ISNUMBER(SEARCH("Flatland",'Map 5'!AC24))),CONCATENATE($AT24, " Rainshadow"),'Map 5'!AC24="Flatland",$AT24,'Map 5'!AC24="Island",CONCATENATE($AT24, " Island"),ISNUMBER(SEARCH("Rainshadow",'Map 5'!AC24)),CONCATENATE($AT24," ",'Map 5'!AC24)),'Map 5'!AC24)</f>
        <v>Ocean</v>
      </c>
      <c r="AD24" s="46" t="str" cm="1">
        <f t="array" aca="1" ref="AD24" ca="1">_xlfn.IFNA(_xlfn.IFS(AND(ISNUMBER(SEARCH("Rainshadow",'Map 5'!AD24)),ISNUMBER(SEARCH("Flatland",'Map 5'!AD24))),CONCATENATE($AT24, " Rainshadow"),'Map 5'!AD24="Flatland",$AT24,'Map 5'!AD24="Island",CONCATENATE($AT24, " Island"),ISNUMBER(SEARCH("Rainshadow",'Map 5'!AD24)),CONCATENATE($AT24," ",'Map 5'!AD24)),'Map 5'!AD24)</f>
        <v>Trench</v>
      </c>
      <c r="AE24" s="46" t="str" cm="1">
        <f t="array" aca="1" ref="AE24" ca="1">_xlfn.IFNA(_xlfn.IFS(AND(ISNUMBER(SEARCH("Rainshadow",'Map 5'!AE24)),ISNUMBER(SEARCH("Flatland",'Map 5'!AE24))),CONCATENATE($AT24, " Rainshadow"),'Map 5'!AE24="Flatland",$AT24,'Map 5'!AE24="Island",CONCATENATE($AT24, " Island"),ISNUMBER(SEARCH("Rainshadow",'Map 5'!AE24)),CONCATENATE($AT24," ",'Map 5'!AE24)),'Map 5'!AE24)</f>
        <v>Trench</v>
      </c>
      <c r="AF24" s="46" t="str" cm="1">
        <f t="array" aca="1" ref="AF24" ca="1">_xlfn.IFNA(_xlfn.IFS(AND(ISNUMBER(SEARCH("Rainshadow",'Map 5'!AF24)),ISNUMBER(SEARCH("Flatland",'Map 5'!AF24))),CONCATENATE($AT24, " Rainshadow"),'Map 5'!AF24="Flatland",$AT24,'Map 5'!AF24="Island",CONCATENATE($AT24, " Island"),ISNUMBER(SEARCH("Rainshadow",'Map 5'!AF24)),CONCATENATE($AT24," ",'Map 5'!AF24)),'Map 5'!AF24)</f>
        <v>Ocean</v>
      </c>
      <c r="AG24" s="46" t="str" cm="1">
        <f t="array" aca="1" ref="AG24" ca="1">_xlfn.IFNA(_xlfn.IFS(AND(ISNUMBER(SEARCH("Rainshadow",'Map 5'!AG24)),ISNUMBER(SEARCH("Flatland",'Map 5'!AG24))),CONCATENATE($AT24, " Rainshadow"),'Map 5'!AG24="Flatland",$AT24,'Map 5'!AG24="Island",CONCATENATE($AT24, " Island"),ISNUMBER(SEARCH("Rainshadow",'Map 5'!AG24)),CONCATENATE($AT24," ",'Map 5'!AG24)),'Map 5'!AG24)</f>
        <v>Ocean</v>
      </c>
      <c r="AH24" s="46" t="str" cm="1">
        <f t="array" aca="1" ref="AH24" ca="1">_xlfn.IFNA(_xlfn.IFS(AND(ISNUMBER(SEARCH("Rainshadow",'Map 5'!AH24)),ISNUMBER(SEARCH("Flatland",'Map 5'!AH24))),CONCATENATE($AT24, " Rainshadow"),'Map 5'!AH24="Flatland",$AT24,'Map 5'!AH24="Island",CONCATENATE($AT24, " Island"),ISNUMBER(SEARCH("Rainshadow",'Map 5'!AH24)),CONCATENATE($AT24," ",'Map 5'!AH24)),'Map 5'!AH24)</f>
        <v>Trench</v>
      </c>
      <c r="AI24" s="46" t="str" cm="1">
        <f t="array" aca="1" ref="AI24" ca="1">_xlfn.IFNA(_xlfn.IFS(AND(ISNUMBER(SEARCH("Rainshadow",'Map 5'!AI24)),ISNUMBER(SEARCH("Flatland",'Map 5'!AI24))),CONCATENATE($AT24, " Rainshadow"),'Map 5'!AI24="Flatland",$AT24,'Map 5'!AI24="Island",CONCATENATE($AT24, " Island"),ISNUMBER(SEARCH("Rainshadow",'Map 5'!AI24)),CONCATENATE($AT24," ",'Map 5'!AI24)),'Map 5'!AI24)</f>
        <v>Ocean</v>
      </c>
      <c r="AJ24" s="46" t="str" cm="1">
        <f t="array" aca="1" ref="AJ24" ca="1">_xlfn.IFNA(_xlfn.IFS(AND(ISNUMBER(SEARCH("Rainshadow",'Map 5'!AJ24)),ISNUMBER(SEARCH("Flatland",'Map 5'!AJ24))),CONCATENATE($AT24, " Rainshadow"),'Map 5'!AJ24="Flatland",$AT24,'Map 5'!AJ24="Island",CONCATENATE($AT24, " Island"),ISNUMBER(SEARCH("Rainshadow",'Map 5'!AJ24)),CONCATENATE($AT24," ",'Map 5'!AJ24)),'Map 5'!AJ24)</f>
        <v>Ocean</v>
      </c>
      <c r="AK24" s="46" t="str" cm="1">
        <f t="array" aca="1" ref="AK24" ca="1">_xlfn.IFNA(_xlfn.IFS(AND(ISNUMBER(SEARCH("Rainshadow",'Map 5'!AK24)),ISNUMBER(SEARCH("Flatland",'Map 5'!AK24))),CONCATENATE($AT24, " Rainshadow"),'Map 5'!AK24="Flatland",$AT24,'Map 5'!AK24="Island",CONCATENATE($AT24, " Island"),ISNUMBER(SEARCH("Rainshadow",'Map 5'!AK24)),CONCATENATE($AT24," ",'Map 5'!AK24)),'Map 5'!AK24)</f>
        <v>Ocean</v>
      </c>
      <c r="AL24" s="46" t="str" cm="1">
        <f t="array" aca="1" ref="AL24" ca="1">_xlfn.IFNA(_xlfn.IFS(AND(ISNUMBER(SEARCH("Rainshadow",'Map 5'!AL24)),ISNUMBER(SEARCH("Flatland",'Map 5'!AL24))),CONCATENATE($AT24, " Rainshadow"),'Map 5'!AL24="Flatland",$AT24,'Map 5'!AL24="Island",CONCATENATE($AT24, " Island"),ISNUMBER(SEARCH("Rainshadow",'Map 5'!AL24)),CONCATENATE($AT24," ",'Map 5'!AL24)),'Map 5'!AL24)</f>
        <v>Ocean</v>
      </c>
      <c r="AM24" s="46" t="str" cm="1">
        <f t="array" aca="1" ref="AM24" ca="1">_xlfn.IFNA(_xlfn.IFS(AND(ISNUMBER(SEARCH("Rainshadow",'Map 5'!AM24)),ISNUMBER(SEARCH("Flatland",'Map 5'!AM24))),CONCATENATE($AT24, " Rainshadow"),'Map 5'!AM24="Flatland",$AT24,'Map 5'!AM24="Island",CONCATENATE($AT24, " Island"),ISNUMBER(SEARCH("Rainshadow",'Map 5'!AM24)),CONCATENATE($AT24," ",'Map 5'!AM24)),'Map 5'!AM24)</f>
        <v>Ocean</v>
      </c>
      <c r="AN24" s="46" t="str" cm="1">
        <f t="array" aca="1" ref="AN24" ca="1">_xlfn.IFNA(_xlfn.IFS(AND(ISNUMBER(SEARCH("Rainshadow",'Map 5'!AN24)),ISNUMBER(SEARCH("Flatland",'Map 5'!AN24))),CONCATENATE($AT24, " Rainshadow"),'Map 5'!AN24="Flatland",$AT24,'Map 5'!AN24="Island",CONCATENATE($AT24, " Island"),ISNUMBER(SEARCH("Rainshadow",'Map 5'!AN24)),CONCATENATE($AT24," ",'Map 5'!AN24)),'Map 5'!AN24)</f>
        <v>Ocean</v>
      </c>
      <c r="AO24" s="46" t="str" cm="1">
        <f t="array" aca="1" ref="AO24" ca="1">_xlfn.IFNA(_xlfn.IFS(AND(ISNUMBER(SEARCH("Rainshadow",'Map 5'!AO24)),ISNUMBER(SEARCH("Flatland",'Map 5'!AO24))),CONCATENATE($AT24, " Rainshadow"),'Map 5'!AO24="Flatland",$AT24,'Map 5'!AO24="Island",CONCATENATE($AT24, " Island"),ISNUMBER(SEARCH("Rainshadow",'Map 5'!AO24)),CONCATENATE($AT24," ",'Map 5'!AO24)),'Map 5'!AO24)</f>
        <v>Desert Island</v>
      </c>
      <c r="AP24" s="46">
        <f>'Map 5'!AP24</f>
        <v>56.15</v>
      </c>
      <c r="AQ24" s="46">
        <f>'Map 5'!AQ24</f>
        <v>133.07</v>
      </c>
      <c r="AR24" s="46">
        <f>'Map 5'!AS24</f>
        <v>329.30000000000007</v>
      </c>
      <c r="AS24" s="47">
        <f>'Map 5'!AT24</f>
        <v>27</v>
      </c>
      <c r="AT24" s="47" t="str">
        <f>'Map 5'!AU24</f>
        <v>Desert</v>
      </c>
      <c r="AU24" s="47" t="str">
        <f>'Map 5'!AV24</f>
        <v>⤵</v>
      </c>
      <c r="AX24" s="47" t="str">
        <f t="shared" si="1"/>
        <v>Grasslands Rainshadow</v>
      </c>
    </row>
    <row r="25" spans="1:50" ht="18.75" customHeight="1">
      <c r="A25" s="46">
        <v>16</v>
      </c>
      <c r="B25" s="46" t="str" cm="1">
        <f t="array" aca="1" ref="B25" ca="1">_xlfn.IFNA(_xlfn.IFS(AND(ISNUMBER(SEARCH("Rainshadow",'Map 5'!B25)),ISNUMBER(SEARCH("Flatland",'Map 5'!B25))),CONCATENATE($AT25, " Rainshadow"),'Map 5'!B25="Flatland",$AT25,'Map 5'!B25="Island",CONCATENATE($AT25, " Island"),ISNUMBER(SEARCH("Rainshadow",'Map 5'!B25)),CONCATENATE($AT25," ",'Map 5'!B25)),'Map 5'!B25)</f>
        <v>Ocean</v>
      </c>
      <c r="C25" s="46" t="str" cm="1">
        <f t="array" aca="1" ref="C25" ca="1">_xlfn.IFNA(_xlfn.IFS(AND(ISNUMBER(SEARCH("Rainshadow",'Map 5'!C25)),ISNUMBER(SEARCH("Flatland",'Map 5'!C25))),CONCATENATE($AT25, " Rainshadow"),'Map 5'!C25="Flatland",$AT25,'Map 5'!C25="Island",CONCATENATE($AT25, " Island"),ISNUMBER(SEARCH("Rainshadow",'Map 5'!C25)),CONCATENATE($AT25," ",'Map 5'!C25)),'Map 5'!C25)</f>
        <v>Ocean</v>
      </c>
      <c r="D25" s="46" t="str" cm="1">
        <f t="array" aca="1" ref="D25" ca="1">_xlfn.IFNA(_xlfn.IFS(AND(ISNUMBER(SEARCH("Rainshadow",'Map 5'!D25)),ISNUMBER(SEARCH("Flatland",'Map 5'!D25))),CONCATENATE($AT25, " Rainshadow"),'Map 5'!D25="Flatland",$AT25,'Map 5'!D25="Island",CONCATENATE($AT25, " Island"),ISNUMBER(SEARCH("Rainshadow",'Map 5'!D25)),CONCATENATE($AT25," ",'Map 5'!D25)),'Map 5'!D25)</f>
        <v>Ocean</v>
      </c>
      <c r="E25" s="46" t="str" cm="1">
        <f t="array" aca="1" ref="E25" ca="1">_xlfn.IFNA(_xlfn.IFS(AND(ISNUMBER(SEARCH("Rainshadow",'Map 5'!E25)),ISNUMBER(SEARCH("Flatland",'Map 5'!E25))),CONCATENATE($AT25, " Rainshadow"),'Map 5'!E25="Flatland",$AT25,'Map 5'!E25="Island",CONCATENATE($AT25, " Island"),ISNUMBER(SEARCH("Rainshadow",'Map 5'!E25)),CONCATENATE($AT25," ",'Map 5'!E25)),'Map 5'!E25)</f>
        <v>Ocean</v>
      </c>
      <c r="F25" s="46" t="str" cm="1">
        <f t="array" aca="1" ref="F25" ca="1">_xlfn.IFNA(_xlfn.IFS(AND(ISNUMBER(SEARCH("Rainshadow",'Map 5'!F25)),ISNUMBER(SEARCH("Flatland",'Map 5'!F25))),CONCATENATE($AT25, " Rainshadow"),'Map 5'!F25="Flatland",$AT25,'Map 5'!F25="Island",CONCATENATE($AT25, " Island"),ISNUMBER(SEARCH("Rainshadow",'Map 5'!F25)),CONCATENATE($AT25," ",'Map 5'!F25)),'Map 5'!F25)</f>
        <v>Ocean</v>
      </c>
      <c r="G25" s="46" t="str" cm="1">
        <f t="array" aca="1" ref="G25" ca="1">_xlfn.IFNA(_xlfn.IFS(AND(ISNUMBER(SEARCH("Rainshadow",'Map 5'!G25)),ISNUMBER(SEARCH("Flatland",'Map 5'!G25))),CONCATENATE($AT25, " Rainshadow"),'Map 5'!G25="Flatland",$AT25,'Map 5'!G25="Island",CONCATENATE($AT25, " Island"),ISNUMBER(SEARCH("Rainshadow",'Map 5'!G25)),CONCATENATE($AT25," ",'Map 5'!G25)),'Map 5'!G25)</f>
        <v>Desert Rainshadow Coast</v>
      </c>
      <c r="H25" s="46" t="str" cm="1">
        <f t="array" aca="1" ref="H25" ca="1">_xlfn.IFNA(_xlfn.IFS(AND(ISNUMBER(SEARCH("Rainshadow",'Map 5'!H25)),ISNUMBER(SEARCH("Flatland",'Map 5'!H25))),CONCATENATE($AT25, " Rainshadow"),'Map 5'!H25="Flatland",$AT25,'Map 5'!H25="Island",CONCATENATE($AT25, " Island"),ISNUMBER(SEARCH("Rainshadow",'Map 5'!H25)),CONCATENATE($AT25," ",'Map 5'!H25)),'Map 5'!H25)</f>
        <v>Valley</v>
      </c>
      <c r="I25" s="46" t="str" cm="1">
        <f t="array" aca="1" ref="I25" ca="1">_xlfn.IFNA(_xlfn.IFS(AND(ISNUMBER(SEARCH("Rainshadow",'Map 5'!I25)),ISNUMBER(SEARCH("Flatland",'Map 5'!I25))),CONCATENATE($AT25, " Rainshadow"),'Map 5'!I25="Flatland",$AT25,'Map 5'!I25="Island",CONCATENATE($AT25, " Island"),ISNUMBER(SEARCH("Rainshadow",'Map 5'!I25)),CONCATENATE($AT25," ",'Map 5'!I25)),'Map 5'!I25)</f>
        <v>Cliff</v>
      </c>
      <c r="J25" s="46" t="str" cm="1">
        <f t="array" aca="1" ref="J25" ca="1">_xlfn.IFNA(_xlfn.IFS(AND(ISNUMBER(SEARCH("Rainshadow",'Map 5'!J25)),ISNUMBER(SEARCH("Flatland",'Map 5'!J25))),CONCATENATE($AT25, " Rainshadow"),'Map 5'!J25="Flatland",$AT25,'Map 5'!J25="Island",CONCATENATE($AT25, " Island"),ISNUMBER(SEARCH("Rainshadow",'Map 5'!J25)),CONCATENATE($AT25," ",'Map 5'!J25)),'Map 5'!J25)</f>
        <v>Desert Island</v>
      </c>
      <c r="K25" s="46" t="str" cm="1">
        <f t="array" aca="1" ref="K25" ca="1">_xlfn.IFNA(_xlfn.IFS(AND(ISNUMBER(SEARCH("Rainshadow",'Map 5'!K25)),ISNUMBER(SEARCH("Flatland",'Map 5'!K25))),CONCATENATE($AT25, " Rainshadow"),'Map 5'!K25="Flatland",$AT25,'Map 5'!K25="Island",CONCATENATE($AT25, " Island"),ISNUMBER(SEARCH("Rainshadow",'Map 5'!K25)),CONCATENATE($AT25," ",'Map 5'!K25)),'Map 5'!K25)</f>
        <v>Desert Island</v>
      </c>
      <c r="L25" s="46" t="str" cm="1">
        <f t="array" aca="1" ref="L25" ca="1">_xlfn.IFNA(_xlfn.IFS(AND(ISNUMBER(SEARCH("Rainshadow",'Map 5'!L25)),ISNUMBER(SEARCH("Flatland",'Map 5'!L25))),CONCATENATE($AT25, " Rainshadow"),'Map 5'!L25="Flatland",$AT25,'Map 5'!L25="Island",CONCATENATE($AT25, " Island"),ISNUMBER(SEARCH("Rainshadow",'Map 5'!L25)),CONCATENATE($AT25," ",'Map 5'!L25)),'Map 5'!L25)</f>
        <v>Ocean</v>
      </c>
      <c r="M25" s="46" t="str" cm="1">
        <f t="array" aca="1" ref="M25" ca="1">_xlfn.IFNA(_xlfn.IFS(AND(ISNUMBER(SEARCH("Rainshadow",'Map 5'!M25)),ISNUMBER(SEARCH("Flatland",'Map 5'!M25))),CONCATENATE($AT25, " Rainshadow"),'Map 5'!M25="Flatland",$AT25,'Map 5'!M25="Island",CONCATENATE($AT25, " Island"),ISNUMBER(SEARCH("Rainshadow",'Map 5'!M25)),CONCATENATE($AT25," ",'Map 5'!M25)),'Map 5'!M25)</f>
        <v>Ocean</v>
      </c>
      <c r="N25" s="46" t="str" cm="1">
        <f t="array" aca="1" ref="N25" ca="1">_xlfn.IFNA(_xlfn.IFS(AND(ISNUMBER(SEARCH("Rainshadow",'Map 5'!N25)),ISNUMBER(SEARCH("Flatland",'Map 5'!N25))),CONCATENATE($AT25, " Rainshadow"),'Map 5'!N25="Flatland",$AT25,'Map 5'!N25="Island",CONCATENATE($AT25, " Island"),ISNUMBER(SEARCH("Rainshadow",'Map 5'!N25)),CONCATENATE($AT25," ",'Map 5'!N25)),'Map 5'!N25)</f>
        <v>Ocean</v>
      </c>
      <c r="O25" s="46" t="str" cm="1">
        <f t="array" aca="1" ref="O25" ca="1">_xlfn.IFNA(_xlfn.IFS(AND(ISNUMBER(SEARCH("Rainshadow",'Map 5'!O25)),ISNUMBER(SEARCH("Flatland",'Map 5'!O25))),CONCATENATE($AT25, " Rainshadow"),'Map 5'!O25="Flatland",$AT25,'Map 5'!O25="Island",CONCATENATE($AT25, " Island"),ISNUMBER(SEARCH("Rainshadow",'Map 5'!O25)),CONCATENATE($AT25," ",'Map 5'!O25)),'Map 5'!O25)</f>
        <v>Ocean</v>
      </c>
      <c r="P25" s="46" t="str" cm="1">
        <f t="array" aca="1" ref="P25" ca="1">_xlfn.IFNA(_xlfn.IFS(AND(ISNUMBER(SEARCH("Rainshadow",'Map 5'!P25)),ISNUMBER(SEARCH("Flatland",'Map 5'!P25))),CONCATENATE($AT25, " Rainshadow"),'Map 5'!P25="Flatland",$AT25,'Map 5'!P25="Island",CONCATENATE($AT25, " Island"),ISNUMBER(SEARCH("Rainshadow",'Map 5'!P25)),CONCATENATE($AT25," ",'Map 5'!P25)),'Map 5'!P25)</f>
        <v>Ocean</v>
      </c>
      <c r="Q25" s="46" t="str" cm="1">
        <f t="array" aca="1" ref="Q25" ca="1">_xlfn.IFNA(_xlfn.IFS(AND(ISNUMBER(SEARCH("Rainshadow",'Map 5'!Q25)),ISNUMBER(SEARCH("Flatland",'Map 5'!Q25))),CONCATENATE($AT25, " Rainshadow"),'Map 5'!Q25="Flatland",$AT25,'Map 5'!Q25="Island",CONCATENATE($AT25, " Island"),ISNUMBER(SEARCH("Rainshadow",'Map 5'!Q25)),CONCATENATE($AT25," ",'Map 5'!Q25)),'Map 5'!Q25)</f>
        <v>Trench</v>
      </c>
      <c r="R25" s="46" t="str" cm="1">
        <f t="array" aca="1" ref="R25" ca="1">_xlfn.IFNA(_xlfn.IFS(AND(ISNUMBER(SEARCH("Rainshadow",'Map 5'!R25)),ISNUMBER(SEARCH("Flatland",'Map 5'!R25))),CONCATENATE($AT25, " Rainshadow"),'Map 5'!R25="Flatland",$AT25,'Map 5'!R25="Island",CONCATENATE($AT25, " Island"),ISNUMBER(SEARCH("Rainshadow",'Map 5'!R25)),CONCATENATE($AT25," ",'Map 5'!R25)),'Map 5'!R25)</f>
        <v>Ocean</v>
      </c>
      <c r="S25" s="46" t="str" cm="1">
        <f t="array" aca="1" ref="S25" ca="1">_xlfn.IFNA(_xlfn.IFS(AND(ISNUMBER(SEARCH("Rainshadow",'Map 5'!S25)),ISNUMBER(SEARCH("Flatland",'Map 5'!S25))),CONCATENATE($AT25, " Rainshadow"),'Map 5'!S25="Flatland",$AT25,'Map 5'!S25="Island",CONCATENATE($AT25, " Island"),ISNUMBER(SEARCH("Rainshadow",'Map 5'!S25)),CONCATENATE($AT25," ",'Map 5'!S25)),'Map 5'!S25)</f>
        <v>Ocean</v>
      </c>
      <c r="T25" s="46" t="str" cm="1">
        <f t="array" aca="1" ref="T25" ca="1">_xlfn.IFNA(_xlfn.IFS(AND(ISNUMBER(SEARCH("Rainshadow",'Map 5'!T25)),ISNUMBER(SEARCH("Flatland",'Map 5'!T25))),CONCATENATE($AT25, " Rainshadow"),'Map 5'!T25="Flatland",$AT25,'Map 5'!T25="Island",CONCATENATE($AT25, " Island"),ISNUMBER(SEARCH("Rainshadow",'Map 5'!T25)),CONCATENATE($AT25," ",'Map 5'!T25)),'Map 5'!T25)</f>
        <v>Ocean</v>
      </c>
      <c r="U25" s="46" t="str" cm="1">
        <f t="array" aca="1" ref="U25" ca="1">_xlfn.IFNA(_xlfn.IFS(AND(ISNUMBER(SEARCH("Rainshadow",'Map 5'!U25)),ISNUMBER(SEARCH("Flatland",'Map 5'!U25))),CONCATENATE($AT25, " Rainshadow"),'Map 5'!U25="Flatland",$AT25,'Map 5'!U25="Island",CONCATENATE($AT25, " Island"),ISNUMBER(SEARCH("Rainshadow",'Map 5'!U25)),CONCATENATE($AT25," ",'Map 5'!U25)),'Map 5'!U25)</f>
        <v>Desert</v>
      </c>
      <c r="V25" s="46" t="str" cm="1">
        <f t="array" aca="1" ref="V25" ca="1">_xlfn.IFNA(_xlfn.IFS(AND(ISNUMBER(SEARCH("Rainshadow",'Map 5'!V25)),ISNUMBER(SEARCH("Flatland",'Map 5'!V25))),CONCATENATE($AT25, " Rainshadow"),'Map 5'!V25="Flatland",$AT25,'Map 5'!V25="Island",CONCATENATE($AT25, " Island"),ISNUMBER(SEARCH("Rainshadow",'Map 5'!V25)),CONCATENATE($AT25," ",'Map 5'!V25)),'Map 5'!V25)</f>
        <v>Ocean</v>
      </c>
      <c r="W25" s="46" t="str" cm="1">
        <f t="array" aca="1" ref="W25" ca="1">_xlfn.IFNA(_xlfn.IFS(AND(ISNUMBER(SEARCH("Rainshadow",'Map 5'!W25)),ISNUMBER(SEARCH("Flatland",'Map 5'!W25))),CONCATENATE($AT25, " Rainshadow"),'Map 5'!W25="Flatland",$AT25,'Map 5'!W25="Island",CONCATENATE($AT25, " Island"),ISNUMBER(SEARCH("Rainshadow",'Map 5'!W25)),CONCATENATE($AT25," ",'Map 5'!W25)),'Map 5'!W25)</f>
        <v>Coast</v>
      </c>
      <c r="X25" s="46" t="str" cm="1">
        <f t="array" aca="1" ref="X25" ca="1">_xlfn.IFNA(_xlfn.IFS(AND(ISNUMBER(SEARCH("Rainshadow",'Map 5'!X25)),ISNUMBER(SEARCH("Flatland",'Map 5'!X25))),CONCATENATE($AT25, " Rainshadow"),'Map 5'!X25="Flatland",$AT25,'Map 5'!X25="Island",CONCATENATE($AT25, " Island"),ISNUMBER(SEARCH("Rainshadow",'Map 5'!X25)),CONCATENATE($AT25," ",'Map 5'!X25)),'Map 5'!X25)</f>
        <v>Coast</v>
      </c>
      <c r="Y25" s="46" t="str" cm="1">
        <f t="array" aca="1" ref="Y25" ca="1">_xlfn.IFNA(_xlfn.IFS(AND(ISNUMBER(SEARCH("Rainshadow",'Map 5'!Y25)),ISNUMBER(SEARCH("Flatland",'Map 5'!Y25))),CONCATENATE($AT25, " Rainshadow"),'Map 5'!Y25="Flatland",$AT25,'Map 5'!Y25="Island",CONCATENATE($AT25, " Island"),ISNUMBER(SEARCH("Rainshadow",'Map 5'!Y25)),CONCATENATE($AT25," ",'Map 5'!Y25)),'Map 5'!Y25)</f>
        <v>Coast</v>
      </c>
      <c r="Z25" s="46" t="str" cm="1">
        <f t="array" aca="1" ref="Z25" ca="1">_xlfn.IFNA(_xlfn.IFS(AND(ISNUMBER(SEARCH("Rainshadow",'Map 5'!Z25)),ISNUMBER(SEARCH("Flatland",'Map 5'!Z25))),CONCATENATE($AT25, " Rainshadow"),'Map 5'!Z25="Flatland",$AT25,'Map 5'!Z25="Island",CONCATENATE($AT25, " Island"),ISNUMBER(SEARCH("Rainshadow",'Map 5'!Z25)),CONCATENATE($AT25," ",'Map 5'!Z25)),'Map 5'!Z25)</f>
        <v>Ocean</v>
      </c>
      <c r="AA25" s="46" t="str" cm="1">
        <f t="array" aca="1" ref="AA25" ca="1">_xlfn.IFNA(_xlfn.IFS(AND(ISNUMBER(SEARCH("Rainshadow",'Map 5'!AA25)),ISNUMBER(SEARCH("Flatland",'Map 5'!AA25))),CONCATENATE($AT25, " Rainshadow"),'Map 5'!AA25="Flatland",$AT25,'Map 5'!AA25="Island",CONCATENATE($AT25, " Island"),ISNUMBER(SEARCH("Rainshadow",'Map 5'!AA25)),CONCATENATE($AT25," ",'Map 5'!AA25)),'Map 5'!AA25)</f>
        <v>Ocean</v>
      </c>
      <c r="AB25" s="46" t="str" cm="1">
        <f t="array" aca="1" ref="AB25" ca="1">_xlfn.IFNA(_xlfn.IFS(AND(ISNUMBER(SEARCH("Rainshadow",'Map 5'!AB25)),ISNUMBER(SEARCH("Flatland",'Map 5'!AB25))),CONCATENATE($AT25, " Rainshadow"),'Map 5'!AB25="Flatland",$AT25,'Map 5'!AB25="Island",CONCATENATE($AT25, " Island"),ISNUMBER(SEARCH("Rainshadow",'Map 5'!AB25)),CONCATENATE($AT25," ",'Map 5'!AB25)),'Map 5'!AB25)</f>
        <v>Ocean</v>
      </c>
      <c r="AC25" s="46" t="str" cm="1">
        <f t="array" aca="1" ref="AC25" ca="1">_xlfn.IFNA(_xlfn.IFS(AND(ISNUMBER(SEARCH("Rainshadow",'Map 5'!AC25)),ISNUMBER(SEARCH("Flatland",'Map 5'!AC25))),CONCATENATE($AT25, " Rainshadow"),'Map 5'!AC25="Flatland",$AT25,'Map 5'!AC25="Island",CONCATENATE($AT25, " Island"),ISNUMBER(SEARCH("Rainshadow",'Map 5'!AC25)),CONCATENATE($AT25," ",'Map 5'!AC25)),'Map 5'!AC25)</f>
        <v>Trench</v>
      </c>
      <c r="AD25" s="46" t="str" cm="1">
        <f t="array" aca="1" ref="AD25" ca="1">_xlfn.IFNA(_xlfn.IFS(AND(ISNUMBER(SEARCH("Rainshadow",'Map 5'!AD25)),ISNUMBER(SEARCH("Flatland",'Map 5'!AD25))),CONCATENATE($AT25, " Rainshadow"),'Map 5'!AD25="Flatland",$AT25,'Map 5'!AD25="Island",CONCATENATE($AT25, " Island"),ISNUMBER(SEARCH("Rainshadow",'Map 5'!AD25)),CONCATENATE($AT25," ",'Map 5'!AD25)),'Map 5'!AD25)</f>
        <v>Ocean</v>
      </c>
      <c r="AE25" s="46" t="str" cm="1">
        <f t="array" aca="1" ref="AE25" ca="1">_xlfn.IFNA(_xlfn.IFS(AND(ISNUMBER(SEARCH("Rainshadow",'Map 5'!AE25)),ISNUMBER(SEARCH("Flatland",'Map 5'!AE25))),CONCATENATE($AT25, " Rainshadow"),'Map 5'!AE25="Flatland",$AT25,'Map 5'!AE25="Island",CONCATENATE($AT25, " Island"),ISNUMBER(SEARCH("Rainshadow",'Map 5'!AE25)),CONCATENATE($AT25," ",'Map 5'!AE25)),'Map 5'!AE25)</f>
        <v>Trench</v>
      </c>
      <c r="AF25" s="46" t="str" cm="1">
        <f t="array" aca="1" ref="AF25" ca="1">_xlfn.IFNA(_xlfn.IFS(AND(ISNUMBER(SEARCH("Rainshadow",'Map 5'!AF25)),ISNUMBER(SEARCH("Flatland",'Map 5'!AF25))),CONCATENATE($AT25, " Rainshadow"),'Map 5'!AF25="Flatland",$AT25,'Map 5'!AF25="Island",CONCATENATE($AT25, " Island"),ISNUMBER(SEARCH("Rainshadow",'Map 5'!AF25)),CONCATENATE($AT25," ",'Map 5'!AF25)),'Map 5'!AF25)</f>
        <v>Ocean</v>
      </c>
      <c r="AG25" s="46" t="str" cm="1">
        <f t="array" aca="1" ref="AG25" ca="1">_xlfn.IFNA(_xlfn.IFS(AND(ISNUMBER(SEARCH("Rainshadow",'Map 5'!AG25)),ISNUMBER(SEARCH("Flatland",'Map 5'!AG25))),CONCATENATE($AT25, " Rainshadow"),'Map 5'!AG25="Flatland",$AT25,'Map 5'!AG25="Island",CONCATENATE($AT25, " Island"),ISNUMBER(SEARCH("Rainshadow",'Map 5'!AG25)),CONCATENATE($AT25," ",'Map 5'!AG25)),'Map 5'!AG25)</f>
        <v>Ocean</v>
      </c>
      <c r="AH25" s="46" t="str" cm="1">
        <f t="array" aca="1" ref="AH25" ca="1">_xlfn.IFNA(_xlfn.IFS(AND(ISNUMBER(SEARCH("Rainshadow",'Map 5'!AH25)),ISNUMBER(SEARCH("Flatland",'Map 5'!AH25))),CONCATENATE($AT25, " Rainshadow"),'Map 5'!AH25="Flatland",$AT25,'Map 5'!AH25="Island",CONCATENATE($AT25, " Island"),ISNUMBER(SEARCH("Rainshadow",'Map 5'!AH25)),CONCATENATE($AT25," ",'Map 5'!AH25)),'Map 5'!AH25)</f>
        <v>Ocean</v>
      </c>
      <c r="AI25" s="46" t="str" cm="1">
        <f t="array" aca="1" ref="AI25" ca="1">_xlfn.IFNA(_xlfn.IFS(AND(ISNUMBER(SEARCH("Rainshadow",'Map 5'!AI25)),ISNUMBER(SEARCH("Flatland",'Map 5'!AI25))),CONCATENATE($AT25, " Rainshadow"),'Map 5'!AI25="Flatland",$AT25,'Map 5'!AI25="Island",CONCATENATE($AT25, " Island"),ISNUMBER(SEARCH("Rainshadow",'Map 5'!AI25)),CONCATENATE($AT25," ",'Map 5'!AI25)),'Map 5'!AI25)</f>
        <v>Ocean</v>
      </c>
      <c r="AJ25" s="46" t="str" cm="1">
        <f t="array" aca="1" ref="AJ25" ca="1">_xlfn.IFNA(_xlfn.IFS(AND(ISNUMBER(SEARCH("Rainshadow",'Map 5'!AJ25)),ISNUMBER(SEARCH("Flatland",'Map 5'!AJ25))),CONCATENATE($AT25, " Rainshadow"),'Map 5'!AJ25="Flatland",$AT25,'Map 5'!AJ25="Island",CONCATENATE($AT25, " Island"),ISNUMBER(SEARCH("Rainshadow",'Map 5'!AJ25)),CONCATENATE($AT25," ",'Map 5'!AJ25)),'Map 5'!AJ25)</f>
        <v>Trench</v>
      </c>
      <c r="AK25" s="46" t="str" cm="1">
        <f t="array" aca="1" ref="AK25" ca="1">_xlfn.IFNA(_xlfn.IFS(AND(ISNUMBER(SEARCH("Rainshadow",'Map 5'!AK25)),ISNUMBER(SEARCH("Flatland",'Map 5'!AK25))),CONCATENATE($AT25, " Rainshadow"),'Map 5'!AK25="Flatland",$AT25,'Map 5'!AK25="Island",CONCATENATE($AT25, " Island"),ISNUMBER(SEARCH("Rainshadow",'Map 5'!AK25)),CONCATENATE($AT25," ",'Map 5'!AK25)),'Map 5'!AK25)</f>
        <v>Ocean</v>
      </c>
      <c r="AL25" s="46" t="str" cm="1">
        <f t="array" aca="1" ref="AL25" ca="1">_xlfn.IFNA(_xlfn.IFS(AND(ISNUMBER(SEARCH("Rainshadow",'Map 5'!AL25)),ISNUMBER(SEARCH("Flatland",'Map 5'!AL25))),CONCATENATE($AT25, " Rainshadow"),'Map 5'!AL25="Flatland",$AT25,'Map 5'!AL25="Island",CONCATENATE($AT25, " Island"),ISNUMBER(SEARCH("Rainshadow",'Map 5'!AL25)),CONCATENATE($AT25," ",'Map 5'!AL25)),'Map 5'!AL25)</f>
        <v>Ocean</v>
      </c>
      <c r="AM25" s="46" t="str" cm="1">
        <f t="array" aca="1" ref="AM25" ca="1">_xlfn.IFNA(_xlfn.IFS(AND(ISNUMBER(SEARCH("Rainshadow",'Map 5'!AM25)),ISNUMBER(SEARCH("Flatland",'Map 5'!AM25))),CONCATENATE($AT25, " Rainshadow"),'Map 5'!AM25="Flatland",$AT25,'Map 5'!AM25="Island",CONCATENATE($AT25, " Island"),ISNUMBER(SEARCH("Rainshadow",'Map 5'!AM25)),CONCATENATE($AT25," ",'Map 5'!AM25)),'Map 5'!AM25)</f>
        <v>Ocean</v>
      </c>
      <c r="AN25" s="46" t="str" cm="1">
        <f t="array" aca="1" ref="AN25" ca="1">_xlfn.IFNA(_xlfn.IFS(AND(ISNUMBER(SEARCH("Rainshadow",'Map 5'!AN25)),ISNUMBER(SEARCH("Flatland",'Map 5'!AN25))),CONCATENATE($AT25, " Rainshadow"),'Map 5'!AN25="Flatland",$AT25,'Map 5'!AN25="Island",CONCATENATE($AT25, " Island"),ISNUMBER(SEARCH("Rainshadow",'Map 5'!AN25)),CONCATENATE($AT25," ",'Map 5'!AN25)),'Map 5'!AN25)</f>
        <v>Ocean</v>
      </c>
      <c r="AO25" s="46" t="str" cm="1">
        <f t="array" aca="1" ref="AO25" ca="1">_xlfn.IFNA(_xlfn.IFS(AND(ISNUMBER(SEARCH("Rainshadow",'Map 5'!AO25)),ISNUMBER(SEARCH("Flatland",'Map 5'!AO25))),CONCATENATE($AT25, " Rainshadow"),'Map 5'!AO25="Flatland",$AT25,'Map 5'!AO25="Island",CONCATENATE($AT25, " Island"),ISNUMBER(SEARCH("Rainshadow",'Map 5'!AO25)),CONCATENATE($AT25," ",'Map 5'!AO25)),'Map 5'!AO25)</f>
        <v>Drop Off</v>
      </c>
      <c r="AP25" s="46">
        <f>'Map 5'!AP25</f>
        <v>63.1</v>
      </c>
      <c r="AQ25" s="46">
        <f>'Map 5'!AQ25</f>
        <v>145.58000000000001</v>
      </c>
      <c r="AR25" s="46">
        <f>'Map 5'!AS25</f>
        <v>336.25000000000006</v>
      </c>
      <c r="AS25" s="47">
        <f>'Map 5'!AT25</f>
        <v>22.5</v>
      </c>
      <c r="AT25" s="47" t="str">
        <f>'Map 5'!AU25</f>
        <v>Desert</v>
      </c>
      <c r="AU25" s="47" t="str">
        <f>'Map 5'!AV25</f>
        <v>⤵</v>
      </c>
      <c r="AX25" s="47" t="str">
        <f t="shared" si="1"/>
        <v>Rainforest Rainshadow</v>
      </c>
    </row>
    <row r="26" spans="1:50" ht="18.75" customHeight="1">
      <c r="A26" s="46">
        <v>17</v>
      </c>
      <c r="B26" s="46" t="str" cm="1">
        <f t="array" aca="1" ref="B26" ca="1">_xlfn.IFNA(_xlfn.IFS(AND(ISNUMBER(SEARCH("Rainshadow",'Map 5'!B26)),ISNUMBER(SEARCH("Flatland",'Map 5'!B26))),CONCATENATE($AT26, " Rainshadow"),'Map 5'!B26="Flatland",$AT26,'Map 5'!B26="Island",CONCATENATE($AT26, " Island"),ISNUMBER(SEARCH("Rainshadow",'Map 5'!B26)),CONCATENATE($AT26," ",'Map 5'!B26)),'Map 5'!B26)</f>
        <v>Ocean</v>
      </c>
      <c r="C26" s="46" t="str" cm="1">
        <f t="array" aca="1" ref="C26" ca="1">_xlfn.IFNA(_xlfn.IFS(AND(ISNUMBER(SEARCH("Rainshadow",'Map 5'!C26)),ISNUMBER(SEARCH("Flatland",'Map 5'!C26))),CONCATENATE($AT26, " Rainshadow"),'Map 5'!C26="Flatland",$AT26,'Map 5'!C26="Island",CONCATENATE($AT26, " Island"),ISNUMBER(SEARCH("Rainshadow",'Map 5'!C26)),CONCATENATE($AT26," ",'Map 5'!C26)),'Map 5'!C26)</f>
        <v>Ocean</v>
      </c>
      <c r="D26" s="46" t="str" cm="1">
        <f t="array" aca="1" ref="D26" ca="1">_xlfn.IFNA(_xlfn.IFS(AND(ISNUMBER(SEARCH("Rainshadow",'Map 5'!D26)),ISNUMBER(SEARCH("Flatland",'Map 5'!D26))),CONCATENATE($AT26, " Rainshadow"),'Map 5'!D26="Flatland",$AT26,'Map 5'!D26="Island",CONCATENATE($AT26, " Island"),ISNUMBER(SEARCH("Rainshadow",'Map 5'!D26)),CONCATENATE($AT26," ",'Map 5'!D26)),'Map 5'!D26)</f>
        <v>Coast</v>
      </c>
      <c r="E26" s="46" t="str" cm="1">
        <f t="array" aca="1" ref="E26" ca="1">_xlfn.IFNA(_xlfn.IFS(AND(ISNUMBER(SEARCH("Rainshadow",'Map 5'!E26)),ISNUMBER(SEARCH("Flatland",'Map 5'!E26))),CONCATENATE($AT26, " Rainshadow"),'Map 5'!E26="Flatland",$AT26,'Map 5'!E26="Island",CONCATENATE($AT26, " Island"),ISNUMBER(SEARCH("Rainshadow",'Map 5'!E26)),CONCATENATE($AT26," ",'Map 5'!E26)),'Map 5'!E26)</f>
        <v>Coast</v>
      </c>
      <c r="F26" s="46" t="str" cm="1">
        <f t="array" aca="1" ref="F26" ca="1">_xlfn.IFNA(_xlfn.IFS(AND(ISNUMBER(SEARCH("Rainshadow",'Map 5'!F26)),ISNUMBER(SEARCH("Flatland",'Map 5'!F26))),CONCATENATE($AT26, " Rainshadow"),'Map 5'!F26="Flatland",$AT26,'Map 5'!F26="Island",CONCATENATE($AT26, " Island"),ISNUMBER(SEARCH("Rainshadow",'Map 5'!F26)),CONCATENATE($AT26," ",'Map 5'!F26)),'Map 5'!F26)</f>
        <v>Ocean</v>
      </c>
      <c r="G26" s="46" t="str" cm="1">
        <f t="array" aca="1" ref="G26" ca="1">_xlfn.IFNA(_xlfn.IFS(AND(ISNUMBER(SEARCH("Rainshadow",'Map 5'!G26)),ISNUMBER(SEARCH("Flatland",'Map 5'!G26))),CONCATENATE($AT26, " Rainshadow"),'Map 5'!G26="Flatland",$AT26,'Map 5'!G26="Island",CONCATENATE($AT26, " Island"),ISNUMBER(SEARCH("Rainshadow",'Map 5'!G26)),CONCATENATE($AT26," ",'Map 5'!G26)),'Map 5'!G26)</f>
        <v>Mountain</v>
      </c>
      <c r="H26" s="46" t="str" cm="1">
        <f t="array" aca="1" ref="H26" ca="1">_xlfn.IFNA(_xlfn.IFS(AND(ISNUMBER(SEARCH("Rainshadow",'Map 5'!H26)),ISNUMBER(SEARCH("Flatland",'Map 5'!H26))),CONCATENATE($AT26, " Rainshadow"),'Map 5'!H26="Flatland",$AT26,'Map 5'!H26="Island",CONCATENATE($AT26, " Island"),ISNUMBER(SEARCH("Rainshadow",'Map 5'!H26)),CONCATENATE($AT26," ",'Map 5'!H26)),'Map 5'!H26)</f>
        <v>Desert</v>
      </c>
      <c r="I26" s="46" t="str" cm="1">
        <f t="array" aca="1" ref="I26" ca="1">_xlfn.IFNA(_xlfn.IFS(AND(ISNUMBER(SEARCH("Rainshadow",'Map 5'!I26)),ISNUMBER(SEARCH("Flatland",'Map 5'!I26))),CONCATENATE($AT26, " Rainshadow"),'Map 5'!I26="Flatland",$AT26,'Map 5'!I26="Island",CONCATENATE($AT26, " Island"),ISNUMBER(SEARCH("Rainshadow",'Map 5'!I26)),CONCATENATE($AT26," ",'Map 5'!I26)),'Map 5'!I26)</f>
        <v>Desert Island</v>
      </c>
      <c r="J26" s="46" t="str" cm="1">
        <f t="array" aca="1" ref="J26" ca="1">_xlfn.IFNA(_xlfn.IFS(AND(ISNUMBER(SEARCH("Rainshadow",'Map 5'!J26)),ISNUMBER(SEARCH("Flatland",'Map 5'!J26))),CONCATENATE($AT26, " Rainshadow"),'Map 5'!J26="Flatland",$AT26,'Map 5'!J26="Island",CONCATENATE($AT26, " Island"),ISNUMBER(SEARCH("Rainshadow",'Map 5'!J26)),CONCATENATE($AT26," ",'Map 5'!J26)),'Map 5'!J26)</f>
        <v>Ocean</v>
      </c>
      <c r="K26" s="46" t="str" cm="1">
        <f t="array" aca="1" ref="K26" ca="1">_xlfn.IFNA(_xlfn.IFS(AND(ISNUMBER(SEARCH("Rainshadow",'Map 5'!K26)),ISNUMBER(SEARCH("Flatland",'Map 5'!K26))),CONCATENATE($AT26, " Rainshadow"),'Map 5'!K26="Flatland",$AT26,'Map 5'!K26="Island",CONCATENATE($AT26, " Island"),ISNUMBER(SEARCH("Rainshadow",'Map 5'!K26)),CONCATENATE($AT26," ",'Map 5'!K26)),'Map 5'!K26)</f>
        <v>Desert Island</v>
      </c>
      <c r="L26" s="46" t="str" cm="1">
        <f t="array" aca="1" ref="L26" ca="1">_xlfn.IFNA(_xlfn.IFS(AND(ISNUMBER(SEARCH("Rainshadow",'Map 5'!L26)),ISNUMBER(SEARCH("Flatland",'Map 5'!L26))),CONCATENATE($AT26, " Rainshadow"),'Map 5'!L26="Flatland",$AT26,'Map 5'!L26="Island",CONCATENATE($AT26, " Island"),ISNUMBER(SEARCH("Rainshadow",'Map 5'!L26)),CONCATENATE($AT26," ",'Map 5'!L26)),'Map 5'!L26)</f>
        <v>Desert Island</v>
      </c>
      <c r="M26" s="46" t="str" cm="1">
        <f t="array" aca="1" ref="M26" ca="1">_xlfn.IFNA(_xlfn.IFS(AND(ISNUMBER(SEARCH("Rainshadow",'Map 5'!M26)),ISNUMBER(SEARCH("Flatland",'Map 5'!M26))),CONCATENATE($AT26, " Rainshadow"),'Map 5'!M26="Flatland",$AT26,'Map 5'!M26="Island",CONCATENATE($AT26, " Island"),ISNUMBER(SEARCH("Rainshadow",'Map 5'!M26)),CONCATENATE($AT26," ",'Map 5'!M26)),'Map 5'!M26)</f>
        <v>Ocean</v>
      </c>
      <c r="N26" s="46" t="str" cm="1">
        <f t="array" aca="1" ref="N26" ca="1">_xlfn.IFNA(_xlfn.IFS(AND(ISNUMBER(SEARCH("Rainshadow",'Map 5'!N26)),ISNUMBER(SEARCH("Flatland",'Map 5'!N26))),CONCATENATE($AT26, " Rainshadow"),'Map 5'!N26="Flatland",$AT26,'Map 5'!N26="Island",CONCATENATE($AT26, " Island"),ISNUMBER(SEARCH("Rainshadow",'Map 5'!N26)),CONCATENATE($AT26," ",'Map 5'!N26)),'Map 5'!N26)</f>
        <v>Ocean</v>
      </c>
      <c r="O26" s="46" t="str" cm="1">
        <f t="array" aca="1" ref="O26" ca="1">_xlfn.IFNA(_xlfn.IFS(AND(ISNUMBER(SEARCH("Rainshadow",'Map 5'!O26)),ISNUMBER(SEARCH("Flatland",'Map 5'!O26))),CONCATENATE($AT26, " Rainshadow"),'Map 5'!O26="Flatland",$AT26,'Map 5'!O26="Island",CONCATENATE($AT26, " Island"),ISNUMBER(SEARCH("Rainshadow",'Map 5'!O26)),CONCATENATE($AT26," ",'Map 5'!O26)),'Map 5'!O26)</f>
        <v>Ocean</v>
      </c>
      <c r="P26" s="46" t="str" cm="1">
        <f t="array" aca="1" ref="P26" ca="1">_xlfn.IFNA(_xlfn.IFS(AND(ISNUMBER(SEARCH("Rainshadow",'Map 5'!P26)),ISNUMBER(SEARCH("Flatland",'Map 5'!P26))),CONCATENATE($AT26, " Rainshadow"),'Map 5'!P26="Flatland",$AT26,'Map 5'!P26="Island",CONCATENATE($AT26, " Island"),ISNUMBER(SEARCH("Rainshadow",'Map 5'!P26)),CONCATENATE($AT26," ",'Map 5'!P26)),'Map 5'!P26)</f>
        <v>Trench</v>
      </c>
      <c r="Q26" s="46" t="str" cm="1">
        <f t="array" aca="1" ref="Q26" ca="1">_xlfn.IFNA(_xlfn.IFS(AND(ISNUMBER(SEARCH("Rainshadow",'Map 5'!Q26)),ISNUMBER(SEARCH("Flatland",'Map 5'!Q26))),CONCATENATE($AT26, " Rainshadow"),'Map 5'!Q26="Flatland",$AT26,'Map 5'!Q26="Island",CONCATENATE($AT26, " Island"),ISNUMBER(SEARCH("Rainshadow",'Map 5'!Q26)),CONCATENATE($AT26," ",'Map 5'!Q26)),'Map 5'!Q26)</f>
        <v>Coast</v>
      </c>
      <c r="R26" s="46" t="str" cm="1">
        <f t="array" aca="1" ref="R26" ca="1">_xlfn.IFNA(_xlfn.IFS(AND(ISNUMBER(SEARCH("Rainshadow",'Map 5'!R26)),ISNUMBER(SEARCH("Flatland",'Map 5'!R26))),CONCATENATE($AT26, " Rainshadow"),'Map 5'!R26="Flatland",$AT26,'Map 5'!R26="Island",CONCATENATE($AT26, " Island"),ISNUMBER(SEARCH("Rainshadow",'Map 5'!R26)),CONCATENATE($AT26," ",'Map 5'!R26)),'Map 5'!R26)</f>
        <v>Coast</v>
      </c>
      <c r="S26" s="46" t="str" cm="1">
        <f t="array" aca="1" ref="S26" ca="1">_xlfn.IFNA(_xlfn.IFS(AND(ISNUMBER(SEARCH("Rainshadow",'Map 5'!S26)),ISNUMBER(SEARCH("Flatland",'Map 5'!S26))),CONCATENATE($AT26, " Rainshadow"),'Map 5'!S26="Flatland",$AT26,'Map 5'!S26="Island",CONCATENATE($AT26, " Island"),ISNUMBER(SEARCH("Rainshadow",'Map 5'!S26)),CONCATENATE($AT26," ",'Map 5'!S26)),'Map 5'!S26)</f>
        <v>Coast</v>
      </c>
      <c r="T26" s="46" t="str" cm="1">
        <f t="array" aca="1" ref="T26" ca="1">_xlfn.IFNA(_xlfn.IFS(AND(ISNUMBER(SEARCH("Rainshadow",'Map 5'!T26)),ISNUMBER(SEARCH("Flatland",'Map 5'!T26))),CONCATENATE($AT26, " Rainshadow"),'Map 5'!T26="Flatland",$AT26,'Map 5'!T26="Island",CONCATENATE($AT26, " Island"),ISNUMBER(SEARCH("Rainshadow",'Map 5'!T26)),CONCATENATE($AT26," ",'Map 5'!T26)),'Map 5'!T26)</f>
        <v>Desert</v>
      </c>
      <c r="U26" s="46" t="str" cm="1">
        <f t="array" aca="1" ref="U26" ca="1">_xlfn.IFNA(_xlfn.IFS(AND(ISNUMBER(SEARCH("Rainshadow",'Map 5'!U26)),ISNUMBER(SEARCH("Flatland",'Map 5'!U26))),CONCATENATE($AT26, " Rainshadow"),'Map 5'!U26="Flatland",$AT26,'Map 5'!U26="Island",CONCATENATE($AT26, " Island"),ISNUMBER(SEARCH("Rainshadow",'Map 5'!U26)),CONCATENATE($AT26," ",'Map 5'!U26)),'Map 5'!U26)</f>
        <v>Desert</v>
      </c>
      <c r="V26" s="46" t="str" cm="1">
        <f t="array" aca="1" ref="V26" ca="1">_xlfn.IFNA(_xlfn.IFS(AND(ISNUMBER(SEARCH("Rainshadow",'Map 5'!V26)),ISNUMBER(SEARCH("Flatland",'Map 5'!V26))),CONCATENATE($AT26, " Rainshadow"),'Map 5'!V26="Flatland",$AT26,'Map 5'!V26="Island",CONCATENATE($AT26, " Island"),ISNUMBER(SEARCH("Rainshadow",'Map 5'!V26)),CONCATENATE($AT26," ",'Map 5'!V26)),'Map 5'!V26)</f>
        <v>Desert</v>
      </c>
      <c r="W26" s="46" t="str" cm="1">
        <f t="array" aca="1" ref="W26" ca="1">_xlfn.IFNA(_xlfn.IFS(AND(ISNUMBER(SEARCH("Rainshadow",'Map 5'!W26)),ISNUMBER(SEARCH("Flatland",'Map 5'!W26))),CONCATENATE($AT26, " Rainshadow"),'Map 5'!W26="Flatland",$AT26,'Map 5'!W26="Island",CONCATENATE($AT26, " Island"),ISNUMBER(SEARCH("Rainshadow",'Map 5'!W26)),CONCATENATE($AT26," ",'Map 5'!W26)),'Map 5'!W26)</f>
        <v>Coast</v>
      </c>
      <c r="X26" s="46" t="str" cm="1">
        <f t="array" aca="1" ref="X26" ca="1">_xlfn.IFNA(_xlfn.IFS(AND(ISNUMBER(SEARCH("Rainshadow",'Map 5'!X26)),ISNUMBER(SEARCH("Flatland",'Map 5'!X26))),CONCATENATE($AT26, " Rainshadow"),'Map 5'!X26="Flatland",$AT26,'Map 5'!X26="Island",CONCATENATE($AT26, " Island"),ISNUMBER(SEARCH("Rainshadow",'Map 5'!X26)),CONCATENATE($AT26," ",'Map 5'!X26)),'Map 5'!X26)</f>
        <v>Desert</v>
      </c>
      <c r="Y26" s="46" t="str" cm="1">
        <f t="array" aca="1" ref="Y26" ca="1">_xlfn.IFNA(_xlfn.IFS(AND(ISNUMBER(SEARCH("Rainshadow",'Map 5'!Y26)),ISNUMBER(SEARCH("Flatland",'Map 5'!Y26))),CONCATENATE($AT26, " Rainshadow"),'Map 5'!Y26="Flatland",$AT26,'Map 5'!Y26="Island",CONCATENATE($AT26, " Island"),ISNUMBER(SEARCH("Rainshadow",'Map 5'!Y26)),CONCATENATE($AT26," ",'Map 5'!Y26)),'Map 5'!Y26)</f>
        <v>Ocean</v>
      </c>
      <c r="Z26" s="46" t="str" cm="1">
        <f t="array" aca="1" ref="Z26" ca="1">_xlfn.IFNA(_xlfn.IFS(AND(ISNUMBER(SEARCH("Rainshadow",'Map 5'!Z26)),ISNUMBER(SEARCH("Flatland",'Map 5'!Z26))),CONCATENATE($AT26, " Rainshadow"),'Map 5'!Z26="Flatland",$AT26,'Map 5'!Z26="Island",CONCATENATE($AT26, " Island"),ISNUMBER(SEARCH("Rainshadow",'Map 5'!Z26)),CONCATENATE($AT26," ",'Map 5'!Z26)),'Map 5'!Z26)</f>
        <v>Trench</v>
      </c>
      <c r="AA26" s="46" t="str" cm="1">
        <f t="array" aca="1" ref="AA26" ca="1">_xlfn.IFNA(_xlfn.IFS(AND(ISNUMBER(SEARCH("Rainshadow",'Map 5'!AA26)),ISNUMBER(SEARCH("Flatland",'Map 5'!AA26))),CONCATENATE($AT26, " Rainshadow"),'Map 5'!AA26="Flatland",$AT26,'Map 5'!AA26="Island",CONCATENATE($AT26, " Island"),ISNUMBER(SEARCH("Rainshadow",'Map 5'!AA26)),CONCATENATE($AT26," ",'Map 5'!AA26)),'Map 5'!AA26)</f>
        <v>Desert Island</v>
      </c>
      <c r="AB26" s="46" t="str" cm="1">
        <f t="array" aca="1" ref="AB26" ca="1">_xlfn.IFNA(_xlfn.IFS(AND(ISNUMBER(SEARCH("Rainshadow",'Map 5'!AB26)),ISNUMBER(SEARCH("Flatland",'Map 5'!AB26))),CONCATENATE($AT26, " Rainshadow"),'Map 5'!AB26="Flatland",$AT26,'Map 5'!AB26="Island",CONCATENATE($AT26, " Island"),ISNUMBER(SEARCH("Rainshadow",'Map 5'!AB26)),CONCATENATE($AT26," ",'Map 5'!AB26)),'Map 5'!AB26)</f>
        <v>Ocean</v>
      </c>
      <c r="AC26" s="46" t="str" cm="1">
        <f t="array" aca="1" ref="AC26" ca="1">_xlfn.IFNA(_xlfn.IFS(AND(ISNUMBER(SEARCH("Rainshadow",'Map 5'!AC26)),ISNUMBER(SEARCH("Flatland",'Map 5'!AC26))),CONCATENATE($AT26, " Rainshadow"),'Map 5'!AC26="Flatland",$AT26,'Map 5'!AC26="Island",CONCATENATE($AT26, " Island"),ISNUMBER(SEARCH("Rainshadow",'Map 5'!AC26)),CONCATENATE($AT26," ",'Map 5'!AC26)),'Map 5'!AC26)</f>
        <v>Ocean</v>
      </c>
      <c r="AD26" s="46" t="str" cm="1">
        <f t="array" aca="1" ref="AD26" ca="1">_xlfn.IFNA(_xlfn.IFS(AND(ISNUMBER(SEARCH("Rainshadow",'Map 5'!AD26)),ISNUMBER(SEARCH("Flatland",'Map 5'!AD26))),CONCATENATE($AT26, " Rainshadow"),'Map 5'!AD26="Flatland",$AT26,'Map 5'!AD26="Island",CONCATENATE($AT26, " Island"),ISNUMBER(SEARCH("Rainshadow",'Map 5'!AD26)),CONCATENATE($AT26," ",'Map 5'!AD26)),'Map 5'!AD26)</f>
        <v>Ocean</v>
      </c>
      <c r="AE26" s="46" t="str" cm="1">
        <f t="array" aca="1" ref="AE26" ca="1">_xlfn.IFNA(_xlfn.IFS(AND(ISNUMBER(SEARCH("Rainshadow",'Map 5'!AE26)),ISNUMBER(SEARCH("Flatland",'Map 5'!AE26))),CONCATENATE($AT26, " Rainshadow"),'Map 5'!AE26="Flatland",$AT26,'Map 5'!AE26="Island",CONCATENATE($AT26, " Island"),ISNUMBER(SEARCH("Rainshadow",'Map 5'!AE26)),CONCATENATE($AT26," ",'Map 5'!AE26)),'Map 5'!AE26)</f>
        <v>Desert Island</v>
      </c>
      <c r="AF26" s="46" t="str" cm="1">
        <f t="array" aca="1" ref="AF26" ca="1">_xlfn.IFNA(_xlfn.IFS(AND(ISNUMBER(SEARCH("Rainshadow",'Map 5'!AF26)),ISNUMBER(SEARCH("Flatland",'Map 5'!AF26))),CONCATENATE($AT26, " Rainshadow"),'Map 5'!AF26="Flatland",$AT26,'Map 5'!AF26="Island",CONCATENATE($AT26, " Island"),ISNUMBER(SEARCH("Rainshadow",'Map 5'!AF26)),CONCATENATE($AT26," ",'Map 5'!AF26)),'Map 5'!AF26)</f>
        <v>Ocean</v>
      </c>
      <c r="AG26" s="46" t="str" cm="1">
        <f t="array" aca="1" ref="AG26" ca="1">_xlfn.IFNA(_xlfn.IFS(AND(ISNUMBER(SEARCH("Rainshadow",'Map 5'!AG26)),ISNUMBER(SEARCH("Flatland",'Map 5'!AG26))),CONCATENATE($AT26, " Rainshadow"),'Map 5'!AG26="Flatland",$AT26,'Map 5'!AG26="Island",CONCATENATE($AT26, " Island"),ISNUMBER(SEARCH("Rainshadow",'Map 5'!AG26)),CONCATENATE($AT26," ",'Map 5'!AG26)),'Map 5'!AG26)</f>
        <v>Trench</v>
      </c>
      <c r="AH26" s="46" t="str" cm="1">
        <f t="array" aca="1" ref="AH26" ca="1">_xlfn.IFNA(_xlfn.IFS(AND(ISNUMBER(SEARCH("Rainshadow",'Map 5'!AH26)),ISNUMBER(SEARCH("Flatland",'Map 5'!AH26))),CONCATENATE($AT26, " Rainshadow"),'Map 5'!AH26="Flatland",$AT26,'Map 5'!AH26="Island",CONCATENATE($AT26, " Island"),ISNUMBER(SEARCH("Rainshadow",'Map 5'!AH26)),CONCATENATE($AT26," ",'Map 5'!AH26)),'Map 5'!AH26)</f>
        <v>Trench</v>
      </c>
      <c r="AI26" s="46" t="str" cm="1">
        <f t="array" aca="1" ref="AI26" ca="1">_xlfn.IFNA(_xlfn.IFS(AND(ISNUMBER(SEARCH("Rainshadow",'Map 5'!AI26)),ISNUMBER(SEARCH("Flatland",'Map 5'!AI26))),CONCATENATE($AT26, " Rainshadow"),'Map 5'!AI26="Flatland",$AT26,'Map 5'!AI26="Island",CONCATENATE($AT26, " Island"),ISNUMBER(SEARCH("Rainshadow",'Map 5'!AI26)),CONCATENATE($AT26," ",'Map 5'!AI26)),'Map 5'!AI26)</f>
        <v>Ocean</v>
      </c>
      <c r="AJ26" s="46" t="str" cm="1">
        <f t="array" aca="1" ref="AJ26" ca="1">_xlfn.IFNA(_xlfn.IFS(AND(ISNUMBER(SEARCH("Rainshadow",'Map 5'!AJ26)),ISNUMBER(SEARCH("Flatland",'Map 5'!AJ26))),CONCATENATE($AT26, " Rainshadow"),'Map 5'!AJ26="Flatland",$AT26,'Map 5'!AJ26="Island",CONCATENATE($AT26, " Island"),ISNUMBER(SEARCH("Rainshadow",'Map 5'!AJ26)),CONCATENATE($AT26," ",'Map 5'!AJ26)),'Map 5'!AJ26)</f>
        <v>Ocean</v>
      </c>
      <c r="AK26" s="46" t="str" cm="1">
        <f t="array" aca="1" ref="AK26" ca="1">_xlfn.IFNA(_xlfn.IFS(AND(ISNUMBER(SEARCH("Rainshadow",'Map 5'!AK26)),ISNUMBER(SEARCH("Flatland",'Map 5'!AK26))),CONCATENATE($AT26, " Rainshadow"),'Map 5'!AK26="Flatland",$AT26,'Map 5'!AK26="Island",CONCATENATE($AT26, " Island"),ISNUMBER(SEARCH("Rainshadow",'Map 5'!AK26)),CONCATENATE($AT26," ",'Map 5'!AK26)),'Map 5'!AK26)</f>
        <v>Desert Island</v>
      </c>
      <c r="AL26" s="46" t="str" cm="1">
        <f t="array" aca="1" ref="AL26" ca="1">_xlfn.IFNA(_xlfn.IFS(AND(ISNUMBER(SEARCH("Rainshadow",'Map 5'!AL26)),ISNUMBER(SEARCH("Flatland",'Map 5'!AL26))),CONCATENATE($AT26, " Rainshadow"),'Map 5'!AL26="Flatland",$AT26,'Map 5'!AL26="Island",CONCATENATE($AT26, " Island"),ISNUMBER(SEARCH("Rainshadow",'Map 5'!AL26)),CONCATENATE($AT26," ",'Map 5'!AL26)),'Map 5'!AL26)</f>
        <v>Ocean</v>
      </c>
      <c r="AM26" s="46" t="str" cm="1">
        <f t="array" aca="1" ref="AM26" ca="1">_xlfn.IFNA(_xlfn.IFS(AND(ISNUMBER(SEARCH("Rainshadow",'Map 5'!AM26)),ISNUMBER(SEARCH("Flatland",'Map 5'!AM26))),CONCATENATE($AT26, " Rainshadow"),'Map 5'!AM26="Flatland",$AT26,'Map 5'!AM26="Island",CONCATENATE($AT26, " Island"),ISNUMBER(SEARCH("Rainshadow",'Map 5'!AM26)),CONCATENATE($AT26," ",'Map 5'!AM26)),'Map 5'!AM26)</f>
        <v>Ocean</v>
      </c>
      <c r="AN26" s="46" t="str" cm="1">
        <f t="array" aca="1" ref="AN26" ca="1">_xlfn.IFNA(_xlfn.IFS(AND(ISNUMBER(SEARCH("Rainshadow",'Map 5'!AN26)),ISNUMBER(SEARCH("Flatland",'Map 5'!AN26))),CONCATENATE($AT26, " Rainshadow"),'Map 5'!AN26="Flatland",$AT26,'Map 5'!AN26="Island",CONCATENATE($AT26, " Island"),ISNUMBER(SEARCH("Rainshadow",'Map 5'!AN26)),CONCATENATE($AT26," ",'Map 5'!AN26)),'Map 5'!AN26)</f>
        <v>Ocean</v>
      </c>
      <c r="AO26" s="46" t="str" cm="1">
        <f t="array" aca="1" ref="AO26" ca="1">_xlfn.IFNA(_xlfn.IFS(AND(ISNUMBER(SEARCH("Rainshadow",'Map 5'!AO26)),ISNUMBER(SEARCH("Flatland",'Map 5'!AO26))),CONCATENATE($AT26, " Rainshadow"),'Map 5'!AO26="Flatland",$AT26,'Map 5'!AO26="Island",CONCATENATE($AT26, " Island"),ISNUMBER(SEARCH("Rainshadow",'Map 5'!AO26)),CONCATENATE($AT26," ",'Map 5'!AO26)),'Map 5'!AO26)</f>
        <v>Desert</v>
      </c>
      <c r="AP26" s="46">
        <f>'Map 5'!AP26</f>
        <v>70.05</v>
      </c>
      <c r="AQ26" s="46">
        <f>'Map 5'!AQ26</f>
        <v>158.09</v>
      </c>
      <c r="AR26" s="46">
        <f>'Map 5'!AS26</f>
        <v>343.20000000000005</v>
      </c>
      <c r="AS26" s="47">
        <f>'Map 5'!AT26</f>
        <v>18</v>
      </c>
      <c r="AT26" s="47" t="str">
        <f>'Map 5'!AU26</f>
        <v>Desert</v>
      </c>
      <c r="AU26" s="47" t="str">
        <f>'Map 5'!AV26</f>
        <v>⤵</v>
      </c>
      <c r="AX26" s="47" t="str">
        <f>CONCATENATE($AX$20," ",$AX4)</f>
        <v>Tundra Rainshadow Cliff</v>
      </c>
    </row>
    <row r="27" spans="1:50" ht="18.75" customHeight="1">
      <c r="A27" s="46">
        <v>18</v>
      </c>
      <c r="B27" s="46" t="str" cm="1">
        <f t="array" aca="1" ref="B27" ca="1">_xlfn.IFNA(_xlfn.IFS(AND(ISNUMBER(SEARCH("Rainshadow",'Map 5'!B27)),ISNUMBER(SEARCH("Flatland",'Map 5'!B27))),CONCATENATE($AT27, " Rainshadow"),'Map 5'!B27="Flatland",$AT27,'Map 5'!B27="Island",CONCATENATE($AT27, " Island"),ISNUMBER(SEARCH("Rainshadow",'Map 5'!B27)),CONCATENATE($AT27," ",'Map 5'!B27)),'Map 5'!B27)</f>
        <v>Ocean</v>
      </c>
      <c r="C27" s="46" t="str" cm="1">
        <f t="array" aca="1" ref="C27" ca="1">_xlfn.IFNA(_xlfn.IFS(AND(ISNUMBER(SEARCH("Rainshadow",'Map 5'!C27)),ISNUMBER(SEARCH("Flatland",'Map 5'!C27))),CONCATENATE($AT27, " Rainshadow"),'Map 5'!C27="Flatland",$AT27,'Map 5'!C27="Island",CONCATENATE($AT27, " Island"),ISNUMBER(SEARCH("Rainshadow",'Map 5'!C27)),CONCATENATE($AT27," ",'Map 5'!C27)),'Map 5'!C27)</f>
        <v>Coast</v>
      </c>
      <c r="D27" s="46" t="str" cm="1">
        <f t="array" aca="1" ref="D27" ca="1">_xlfn.IFNA(_xlfn.IFS(AND(ISNUMBER(SEARCH("Rainshadow",'Map 5'!D27)),ISNUMBER(SEARCH("Flatland",'Map 5'!D27))),CONCATENATE($AT27, " Rainshadow"),'Map 5'!D27="Flatland",$AT27,'Map 5'!D27="Island",CONCATENATE($AT27, " Island"),ISNUMBER(SEARCH("Rainshadow",'Map 5'!D27)),CONCATENATE($AT27," ",'Map 5'!D27)),'Map 5'!D27)</f>
        <v>Rainforest</v>
      </c>
      <c r="E27" s="46" t="str" cm="1">
        <f t="array" aca="1" ref="E27" ca="1">_xlfn.IFNA(_xlfn.IFS(AND(ISNUMBER(SEARCH("Rainshadow",'Map 5'!E27)),ISNUMBER(SEARCH("Flatland",'Map 5'!E27))),CONCATENATE($AT27, " Rainshadow"),'Map 5'!E27="Flatland",$AT27,'Map 5'!E27="Island",CONCATENATE($AT27, " Island"),ISNUMBER(SEARCH("Rainshadow",'Map 5'!E27)),CONCATENATE($AT27," ",'Map 5'!E27)),'Map 5'!E27)</f>
        <v>Coast</v>
      </c>
      <c r="F27" s="46" t="str" cm="1">
        <f t="array" aca="1" ref="F27" ca="1">_xlfn.IFNA(_xlfn.IFS(AND(ISNUMBER(SEARCH("Rainshadow",'Map 5'!F27)),ISNUMBER(SEARCH("Flatland",'Map 5'!F27))),CONCATENATE($AT27, " Rainshadow"),'Map 5'!F27="Flatland",$AT27,'Map 5'!F27="Island",CONCATENATE($AT27, " Island"),ISNUMBER(SEARCH("Rainshadow",'Map 5'!F27)),CONCATENATE($AT27," ",'Map 5'!F27)),'Map 5'!F27)</f>
        <v>Rainforest</v>
      </c>
      <c r="G27" s="46" t="str" cm="1">
        <f t="array" aca="1" ref="G27" ca="1">_xlfn.IFNA(_xlfn.IFS(AND(ISNUMBER(SEARCH("Rainshadow",'Map 5'!G27)),ISNUMBER(SEARCH("Flatland",'Map 5'!G27))),CONCATENATE($AT27, " Rainshadow"),'Map 5'!G27="Flatland",$AT27,'Map 5'!G27="Island",CONCATENATE($AT27, " Island"),ISNUMBER(SEARCH("Rainshadow",'Map 5'!G27)),CONCATENATE($AT27," ",'Map 5'!G27)),'Map 5'!G27)</f>
        <v>Rainforest</v>
      </c>
      <c r="H27" s="46" t="str" cm="1">
        <f t="array" aca="1" ref="H27" ca="1">_xlfn.IFNA(_xlfn.IFS(AND(ISNUMBER(SEARCH("Rainshadow",'Map 5'!H27)),ISNUMBER(SEARCH("Flatland",'Map 5'!H27))),CONCATENATE($AT27, " Rainshadow"),'Map 5'!H27="Flatland",$AT27,'Map 5'!H27="Island",CONCATENATE($AT27, " Island"),ISNUMBER(SEARCH("Rainshadow",'Map 5'!H27)),CONCATENATE($AT27," ",'Map 5'!H27)),'Map 5'!H27)</f>
        <v>Rainforest</v>
      </c>
      <c r="I27" s="46" t="str" cm="1">
        <f t="array" aca="1" ref="I27" ca="1">_xlfn.IFNA(_xlfn.IFS(AND(ISNUMBER(SEARCH("Rainshadow",'Map 5'!I27)),ISNUMBER(SEARCH("Flatland",'Map 5'!I27))),CONCATENATE($AT27, " Rainshadow"),'Map 5'!I27="Flatland",$AT27,'Map 5'!I27="Island",CONCATENATE($AT27, " Island"),ISNUMBER(SEARCH("Rainshadow",'Map 5'!I27)),CONCATENATE($AT27," ",'Map 5'!I27)),'Map 5'!I27)</f>
        <v>Coast</v>
      </c>
      <c r="J27" s="46" t="str" cm="1">
        <f t="array" aca="1" ref="J27" ca="1">_xlfn.IFNA(_xlfn.IFS(AND(ISNUMBER(SEARCH("Rainshadow",'Map 5'!J27)),ISNUMBER(SEARCH("Flatland",'Map 5'!J27))),CONCATENATE($AT27, " Rainshadow"),'Map 5'!J27="Flatland",$AT27,'Map 5'!J27="Island",CONCATENATE($AT27, " Island"),ISNUMBER(SEARCH("Rainshadow",'Map 5'!J27)),CONCATENATE($AT27," ",'Map 5'!J27)),'Map 5'!J27)</f>
        <v>Coast</v>
      </c>
      <c r="K27" s="46" t="str" cm="1">
        <f t="array" aca="1" ref="K27" ca="1">_xlfn.IFNA(_xlfn.IFS(AND(ISNUMBER(SEARCH("Rainshadow",'Map 5'!K27)),ISNUMBER(SEARCH("Flatland",'Map 5'!K27))),CONCATENATE($AT27, " Rainshadow"),'Map 5'!K27="Flatland",$AT27,'Map 5'!K27="Island",CONCATENATE($AT27, " Island"),ISNUMBER(SEARCH("Rainshadow",'Map 5'!K27)),CONCATENATE($AT27," ",'Map 5'!K27)),'Map 5'!K27)</f>
        <v>Ocean</v>
      </c>
      <c r="L27" s="46" t="str" cm="1">
        <f t="array" aca="1" ref="L27" ca="1">_xlfn.IFNA(_xlfn.IFS(AND(ISNUMBER(SEARCH("Rainshadow",'Map 5'!L27)),ISNUMBER(SEARCH("Flatland",'Map 5'!L27))),CONCATENATE($AT27, " Rainshadow"),'Map 5'!L27="Flatland",$AT27,'Map 5'!L27="Island",CONCATENATE($AT27, " Island"),ISNUMBER(SEARCH("Rainshadow",'Map 5'!L27)),CONCATENATE($AT27," ",'Map 5'!L27)),'Map 5'!L27)</f>
        <v>Ocean</v>
      </c>
      <c r="M27" s="46" t="str" cm="1">
        <f t="array" aca="1" ref="M27" ca="1">_xlfn.IFNA(_xlfn.IFS(AND(ISNUMBER(SEARCH("Rainshadow",'Map 5'!M27)),ISNUMBER(SEARCH("Flatland",'Map 5'!M27))),CONCATENATE($AT27, " Rainshadow"),'Map 5'!M27="Flatland",$AT27,'Map 5'!M27="Island",CONCATENATE($AT27, " Island"),ISNUMBER(SEARCH("Rainshadow",'Map 5'!M27)),CONCATENATE($AT27," ",'Map 5'!M27)),'Map 5'!M27)</f>
        <v>Ocean</v>
      </c>
      <c r="N27" s="46" t="str" cm="1">
        <f t="array" aca="1" ref="N27" ca="1">_xlfn.IFNA(_xlfn.IFS(AND(ISNUMBER(SEARCH("Rainshadow",'Map 5'!N27)),ISNUMBER(SEARCH("Flatland",'Map 5'!N27))),CONCATENATE($AT27, " Rainshadow"),'Map 5'!N27="Flatland",$AT27,'Map 5'!N27="Island",CONCATENATE($AT27, " Island"),ISNUMBER(SEARCH("Rainshadow",'Map 5'!N27)),CONCATENATE($AT27," ",'Map 5'!N27)),'Map 5'!N27)</f>
        <v>Ocean</v>
      </c>
      <c r="O27" s="46" t="str" cm="1">
        <f t="array" aca="1" ref="O27" ca="1">_xlfn.IFNA(_xlfn.IFS(AND(ISNUMBER(SEARCH("Rainshadow",'Map 5'!O27)),ISNUMBER(SEARCH("Flatland",'Map 5'!O27))),CONCATENATE($AT27, " Rainshadow"),'Map 5'!O27="Flatland",$AT27,'Map 5'!O27="Island",CONCATENATE($AT27, " Island"),ISNUMBER(SEARCH("Rainshadow",'Map 5'!O27)),CONCATENATE($AT27," ",'Map 5'!O27)),'Map 5'!O27)</f>
        <v>Ocean</v>
      </c>
      <c r="P27" s="46" t="str" cm="1">
        <f t="array" aca="1" ref="P27" ca="1">_xlfn.IFNA(_xlfn.IFS(AND(ISNUMBER(SEARCH("Rainshadow",'Map 5'!P27)),ISNUMBER(SEARCH("Flatland",'Map 5'!P27))),CONCATENATE($AT27, " Rainshadow"),'Map 5'!P27="Flatland",$AT27,'Map 5'!P27="Island",CONCATENATE($AT27, " Island"),ISNUMBER(SEARCH("Rainshadow",'Map 5'!P27)),CONCATENATE($AT27," ",'Map 5'!P27)),'Map 5'!P27)</f>
        <v>Ocean</v>
      </c>
      <c r="Q27" s="46" t="str" cm="1">
        <f t="array" aca="1" ref="Q27" ca="1">_xlfn.IFNA(_xlfn.IFS(AND(ISNUMBER(SEARCH("Rainshadow",'Map 5'!Q27)),ISNUMBER(SEARCH("Flatland",'Map 5'!Q27))),CONCATENATE($AT27, " Rainshadow"),'Map 5'!Q27="Flatland",$AT27,'Map 5'!Q27="Island",CONCATENATE($AT27, " Island"),ISNUMBER(SEARCH("Rainshadow",'Map 5'!Q27)),CONCATENATE($AT27," ",'Map 5'!Q27)),'Map 5'!Q27)</f>
        <v>Coast</v>
      </c>
      <c r="R27" s="46" t="str" cm="1">
        <f t="array" aca="1" ref="R27" ca="1">_xlfn.IFNA(_xlfn.IFS(AND(ISNUMBER(SEARCH("Rainshadow",'Map 5'!R27)),ISNUMBER(SEARCH("Flatland",'Map 5'!R27))),CONCATENATE($AT27, " Rainshadow"),'Map 5'!R27="Flatland",$AT27,'Map 5'!R27="Island",CONCATENATE($AT27, " Island"),ISNUMBER(SEARCH("Rainshadow",'Map 5'!R27)),CONCATENATE($AT27," ",'Map 5'!R27)),'Map 5'!R27)</f>
        <v>Ocean</v>
      </c>
      <c r="S27" s="46" t="str" cm="1">
        <f t="array" aca="1" ref="S27" ca="1">_xlfn.IFNA(_xlfn.IFS(AND(ISNUMBER(SEARCH("Rainshadow",'Map 5'!S27)),ISNUMBER(SEARCH("Flatland",'Map 5'!S27))),CONCATENATE($AT27, " Rainshadow"),'Map 5'!S27="Flatland",$AT27,'Map 5'!S27="Island",CONCATENATE($AT27, " Island"),ISNUMBER(SEARCH("Rainshadow",'Map 5'!S27)),CONCATENATE($AT27," ",'Map 5'!S27)),'Map 5'!S27)</f>
        <v>Rainforest</v>
      </c>
      <c r="T27" s="46" t="str" cm="1">
        <f t="array" aca="1" ref="T27" ca="1">_xlfn.IFNA(_xlfn.IFS(AND(ISNUMBER(SEARCH("Rainshadow",'Map 5'!T27)),ISNUMBER(SEARCH("Flatland",'Map 5'!T27))),CONCATENATE($AT27, " Rainshadow"),'Map 5'!T27="Flatland",$AT27,'Map 5'!T27="Island",CONCATENATE($AT27, " Island"),ISNUMBER(SEARCH("Rainshadow",'Map 5'!T27)),CONCATENATE($AT27," ",'Map 5'!T27)),'Map 5'!T27)</f>
        <v>Rainforest</v>
      </c>
      <c r="U27" s="46" t="str" cm="1">
        <f t="array" aca="1" ref="U27" ca="1">_xlfn.IFNA(_xlfn.IFS(AND(ISNUMBER(SEARCH("Rainshadow",'Map 5'!U27)),ISNUMBER(SEARCH("Flatland",'Map 5'!U27))),CONCATENATE($AT27, " Rainshadow"),'Map 5'!U27="Flatland",$AT27,'Map 5'!U27="Island",CONCATENATE($AT27, " Island"),ISNUMBER(SEARCH("Rainshadow",'Map 5'!U27)),CONCATENATE($AT27," ",'Map 5'!U27)),'Map 5'!U27)</f>
        <v>Rainforest</v>
      </c>
      <c r="V27" s="46" t="str" cm="1">
        <f t="array" aca="1" ref="V27" ca="1">_xlfn.IFNA(_xlfn.IFS(AND(ISNUMBER(SEARCH("Rainshadow",'Map 5'!V27)),ISNUMBER(SEARCH("Flatland",'Map 5'!V27))),CONCATENATE($AT27, " Rainshadow"),'Map 5'!V27="Flatland",$AT27,'Map 5'!V27="Island",CONCATENATE($AT27, " Island"),ISNUMBER(SEARCH("Rainshadow",'Map 5'!V27)),CONCATENATE($AT27," ",'Map 5'!V27)),'Map 5'!V27)</f>
        <v>Rainforest</v>
      </c>
      <c r="W27" s="46" t="str" cm="1">
        <f t="array" aca="1" ref="W27" ca="1">_xlfn.IFNA(_xlfn.IFS(AND(ISNUMBER(SEARCH("Rainshadow",'Map 5'!W27)),ISNUMBER(SEARCH("Flatland",'Map 5'!W27))),CONCATENATE($AT27, " Rainshadow"),'Map 5'!W27="Flatland",$AT27,'Map 5'!W27="Island",CONCATENATE($AT27, " Island"),ISNUMBER(SEARCH("Rainshadow",'Map 5'!W27)),CONCATENATE($AT27," ",'Map 5'!W27)),'Map 5'!W27)</f>
        <v>Ocean</v>
      </c>
      <c r="X27" s="46" t="str" cm="1">
        <f t="array" aca="1" ref="X27" ca="1">_xlfn.IFNA(_xlfn.IFS(AND(ISNUMBER(SEARCH("Rainshadow",'Map 5'!X27)),ISNUMBER(SEARCH("Flatland",'Map 5'!X27))),CONCATENATE($AT27, " Rainshadow"),'Map 5'!X27="Flatland",$AT27,'Map 5'!X27="Island",CONCATENATE($AT27, " Island"),ISNUMBER(SEARCH("Rainshadow",'Map 5'!X27)),CONCATENATE($AT27," ",'Map 5'!X27)),'Map 5'!X27)</f>
        <v>Coast</v>
      </c>
      <c r="Y27" s="46" t="str" cm="1">
        <f t="array" aca="1" ref="Y27" ca="1">_xlfn.IFNA(_xlfn.IFS(AND(ISNUMBER(SEARCH("Rainshadow",'Map 5'!Y27)),ISNUMBER(SEARCH("Flatland",'Map 5'!Y27))),CONCATENATE($AT27, " Rainshadow"),'Map 5'!Y27="Flatland",$AT27,'Map 5'!Y27="Island",CONCATENATE($AT27, " Island"),ISNUMBER(SEARCH("Rainshadow",'Map 5'!Y27)),CONCATENATE($AT27," ",'Map 5'!Y27)),'Map 5'!Y27)</f>
        <v>Ocean</v>
      </c>
      <c r="Z27" s="46" t="str" cm="1">
        <f t="array" aca="1" ref="Z27" ca="1">_xlfn.IFNA(_xlfn.IFS(AND(ISNUMBER(SEARCH("Rainshadow",'Map 5'!Z27)),ISNUMBER(SEARCH("Flatland",'Map 5'!Z27))),CONCATENATE($AT27, " Rainshadow"),'Map 5'!Z27="Flatland",$AT27,'Map 5'!Z27="Island",CONCATENATE($AT27, " Island"),ISNUMBER(SEARCH("Rainshadow",'Map 5'!Z27)),CONCATENATE($AT27," ",'Map 5'!Z27)),'Map 5'!Z27)</f>
        <v>Rainforest Island</v>
      </c>
      <c r="AA27" s="46" t="str" cm="1">
        <f t="array" aca="1" ref="AA27" ca="1">_xlfn.IFNA(_xlfn.IFS(AND(ISNUMBER(SEARCH("Rainshadow",'Map 5'!AA27)),ISNUMBER(SEARCH("Flatland",'Map 5'!AA27))),CONCATENATE($AT27, " Rainshadow"),'Map 5'!AA27="Flatland",$AT27,'Map 5'!AA27="Island",CONCATENATE($AT27, " Island"),ISNUMBER(SEARCH("Rainshadow",'Map 5'!AA27)),CONCATENATE($AT27," ",'Map 5'!AA27)),'Map 5'!AA27)</f>
        <v>Ocean</v>
      </c>
      <c r="AB27" s="46" t="str" cm="1">
        <f t="array" aca="1" ref="AB27" ca="1">_xlfn.IFNA(_xlfn.IFS(AND(ISNUMBER(SEARCH("Rainshadow",'Map 5'!AB27)),ISNUMBER(SEARCH("Flatland",'Map 5'!AB27))),CONCATENATE($AT27, " Rainshadow"),'Map 5'!AB27="Flatland",$AT27,'Map 5'!AB27="Island",CONCATENATE($AT27, " Island"),ISNUMBER(SEARCH("Rainshadow",'Map 5'!AB27)),CONCATENATE($AT27," ",'Map 5'!AB27)),'Map 5'!AB27)</f>
        <v>Ocean</v>
      </c>
      <c r="AC27" s="46" t="str" cm="1">
        <f t="array" aca="1" ref="AC27" ca="1">_xlfn.IFNA(_xlfn.IFS(AND(ISNUMBER(SEARCH("Rainshadow",'Map 5'!AC27)),ISNUMBER(SEARCH("Flatland",'Map 5'!AC27))),CONCATENATE($AT27, " Rainshadow"),'Map 5'!AC27="Flatland",$AT27,'Map 5'!AC27="Island",CONCATENATE($AT27, " Island"),ISNUMBER(SEARCH("Rainshadow",'Map 5'!AC27)),CONCATENATE($AT27," ",'Map 5'!AC27)),'Map 5'!AC27)</f>
        <v>Ocean</v>
      </c>
      <c r="AD27" s="46" t="str" cm="1">
        <f t="array" aca="1" ref="AD27" ca="1">_xlfn.IFNA(_xlfn.IFS(AND(ISNUMBER(SEARCH("Rainshadow",'Map 5'!AD27)),ISNUMBER(SEARCH("Flatland",'Map 5'!AD27))),CONCATENATE($AT27, " Rainshadow"),'Map 5'!AD27="Flatland",$AT27,'Map 5'!AD27="Island",CONCATENATE($AT27, " Island"),ISNUMBER(SEARCH("Rainshadow",'Map 5'!AD27)),CONCATENATE($AT27," ",'Map 5'!AD27)),'Map 5'!AD27)</f>
        <v>Ocean</v>
      </c>
      <c r="AE27" s="46" t="str" cm="1">
        <f t="array" aca="1" ref="AE27" ca="1">_xlfn.IFNA(_xlfn.IFS(AND(ISNUMBER(SEARCH("Rainshadow",'Map 5'!AE27)),ISNUMBER(SEARCH("Flatland",'Map 5'!AE27))),CONCATENATE($AT27, " Rainshadow"),'Map 5'!AE27="Flatland",$AT27,'Map 5'!AE27="Island",CONCATENATE($AT27, " Island"),ISNUMBER(SEARCH("Rainshadow",'Map 5'!AE27)),CONCATENATE($AT27," ",'Map 5'!AE27)),'Map 5'!AE27)</f>
        <v>Ocean</v>
      </c>
      <c r="AF27" s="46" t="str" cm="1">
        <f t="array" aca="1" ref="AF27" ca="1">_xlfn.IFNA(_xlfn.IFS(AND(ISNUMBER(SEARCH("Rainshadow",'Map 5'!AF27)),ISNUMBER(SEARCH("Flatland",'Map 5'!AF27))),CONCATENATE($AT27, " Rainshadow"),'Map 5'!AF27="Flatland",$AT27,'Map 5'!AF27="Island",CONCATENATE($AT27, " Island"),ISNUMBER(SEARCH("Rainshadow",'Map 5'!AF27)),CONCATENATE($AT27," ",'Map 5'!AF27)),'Map 5'!AF27)</f>
        <v>Ocean</v>
      </c>
      <c r="AG27" s="46" t="str" cm="1">
        <f t="array" aca="1" ref="AG27" ca="1">_xlfn.IFNA(_xlfn.IFS(AND(ISNUMBER(SEARCH("Rainshadow",'Map 5'!AG27)),ISNUMBER(SEARCH("Flatland",'Map 5'!AG27))),CONCATENATE($AT27, " Rainshadow"),'Map 5'!AG27="Flatland",$AT27,'Map 5'!AG27="Island",CONCATENATE($AT27, " Island"),ISNUMBER(SEARCH("Rainshadow",'Map 5'!AG27)),CONCATENATE($AT27," ",'Map 5'!AG27)),'Map 5'!AG27)</f>
        <v>Ocean</v>
      </c>
      <c r="AH27" s="46" t="str" cm="1">
        <f t="array" aca="1" ref="AH27" ca="1">_xlfn.IFNA(_xlfn.IFS(AND(ISNUMBER(SEARCH("Rainshadow",'Map 5'!AH27)),ISNUMBER(SEARCH("Flatland",'Map 5'!AH27))),CONCATENATE($AT27, " Rainshadow"),'Map 5'!AH27="Flatland",$AT27,'Map 5'!AH27="Island",CONCATENATE($AT27, " Island"),ISNUMBER(SEARCH("Rainshadow",'Map 5'!AH27)),CONCATENATE($AT27," ",'Map 5'!AH27)),'Map 5'!AH27)</f>
        <v>Ocean</v>
      </c>
      <c r="AI27" s="46" t="str" cm="1">
        <f t="array" aca="1" ref="AI27" ca="1">_xlfn.IFNA(_xlfn.IFS(AND(ISNUMBER(SEARCH("Rainshadow",'Map 5'!AI27)),ISNUMBER(SEARCH("Flatland",'Map 5'!AI27))),CONCATENATE($AT27, " Rainshadow"),'Map 5'!AI27="Flatland",$AT27,'Map 5'!AI27="Island",CONCATENATE($AT27, " Island"),ISNUMBER(SEARCH("Rainshadow",'Map 5'!AI27)),CONCATENATE($AT27," ",'Map 5'!AI27)),'Map 5'!AI27)</f>
        <v>Ocean</v>
      </c>
      <c r="AJ27" s="46" t="str" cm="1">
        <f t="array" aca="1" ref="AJ27" ca="1">_xlfn.IFNA(_xlfn.IFS(AND(ISNUMBER(SEARCH("Rainshadow",'Map 5'!AJ27)),ISNUMBER(SEARCH("Flatland",'Map 5'!AJ27))),CONCATENATE($AT27, " Rainshadow"),'Map 5'!AJ27="Flatland",$AT27,'Map 5'!AJ27="Island",CONCATENATE($AT27, " Island"),ISNUMBER(SEARCH("Rainshadow",'Map 5'!AJ27)),CONCATENATE($AT27," ",'Map 5'!AJ27)),'Map 5'!AJ27)</f>
        <v>Ocean</v>
      </c>
      <c r="AK27" s="46" t="str" cm="1">
        <f t="array" aca="1" ref="AK27" ca="1">_xlfn.IFNA(_xlfn.IFS(AND(ISNUMBER(SEARCH("Rainshadow",'Map 5'!AK27)),ISNUMBER(SEARCH("Flatland",'Map 5'!AK27))),CONCATENATE($AT27, " Rainshadow"),'Map 5'!AK27="Flatland",$AT27,'Map 5'!AK27="Island",CONCATENATE($AT27, " Island"),ISNUMBER(SEARCH("Rainshadow",'Map 5'!AK27)),CONCATENATE($AT27," ",'Map 5'!AK27)),'Map 5'!AK27)</f>
        <v>Ocean</v>
      </c>
      <c r="AL27" s="46" t="str" cm="1">
        <f t="array" aca="1" ref="AL27" ca="1">_xlfn.IFNA(_xlfn.IFS(AND(ISNUMBER(SEARCH("Rainshadow",'Map 5'!AL27)),ISNUMBER(SEARCH("Flatland",'Map 5'!AL27))),CONCATENATE($AT27, " Rainshadow"),'Map 5'!AL27="Flatland",$AT27,'Map 5'!AL27="Island",CONCATENATE($AT27, " Island"),ISNUMBER(SEARCH("Rainshadow",'Map 5'!AL27)),CONCATENATE($AT27," ",'Map 5'!AL27)),'Map 5'!AL27)</f>
        <v>Ocean</v>
      </c>
      <c r="AM27" s="46" t="str" cm="1">
        <f t="array" aca="1" ref="AM27" ca="1">_xlfn.IFNA(_xlfn.IFS(AND(ISNUMBER(SEARCH("Rainshadow",'Map 5'!AM27)),ISNUMBER(SEARCH("Flatland",'Map 5'!AM27))),CONCATENATE($AT27, " Rainshadow"),'Map 5'!AM27="Flatland",$AT27,'Map 5'!AM27="Island",CONCATENATE($AT27, " Island"),ISNUMBER(SEARCH("Rainshadow",'Map 5'!AM27)),CONCATENATE($AT27," ",'Map 5'!AM27)),'Map 5'!AM27)</f>
        <v>Ocean</v>
      </c>
      <c r="AN27" s="46" t="str" cm="1">
        <f t="array" aca="1" ref="AN27" ca="1">_xlfn.IFNA(_xlfn.IFS(AND(ISNUMBER(SEARCH("Rainshadow",'Map 5'!AN27)),ISNUMBER(SEARCH("Flatland",'Map 5'!AN27))),CONCATENATE($AT27, " Rainshadow"),'Map 5'!AN27="Flatland",$AT27,'Map 5'!AN27="Island",CONCATENATE($AT27, " Island"),ISNUMBER(SEARCH("Rainshadow",'Map 5'!AN27)),CONCATENATE($AT27," ",'Map 5'!AN27)),'Map 5'!AN27)</f>
        <v>Ocean</v>
      </c>
      <c r="AO27" s="46" t="str" cm="1">
        <f t="array" aca="1" ref="AO27" ca="1">_xlfn.IFNA(_xlfn.IFS(AND(ISNUMBER(SEARCH("Rainshadow",'Map 5'!AO27)),ISNUMBER(SEARCH("Flatland",'Map 5'!AO27))),CONCATENATE($AT27, " Rainshadow"),'Map 5'!AO27="Flatland",$AT27,'Map 5'!AO27="Island",CONCATENATE($AT27, " Island"),ISNUMBER(SEARCH("Rainshadow",'Map 5'!AO27)),CONCATENATE($AT27," ",'Map 5'!AO27)),'Map 5'!AO27)</f>
        <v>Rainforest Rainshadow</v>
      </c>
      <c r="AP27" s="46">
        <f>'Map 5'!AP27</f>
        <v>77</v>
      </c>
      <c r="AQ27" s="46">
        <f>'Map 5'!AQ27</f>
        <v>170.6</v>
      </c>
      <c r="AR27" s="46">
        <f>'Map 5'!AS27</f>
        <v>350.15000000000003</v>
      </c>
      <c r="AS27" s="47">
        <f>'Map 5'!AT27</f>
        <v>13.5</v>
      </c>
      <c r="AT27" s="47" t="str">
        <f>'Map 5'!AU27</f>
        <v>Rainforest</v>
      </c>
      <c r="AU27" s="47" t="str">
        <f>'Map 5'!AV27</f>
        <v>⤵</v>
      </c>
      <c r="AX27" s="47" t="str">
        <f>CONCATENATE($AX$21," ",$AX4)</f>
        <v>Forest Rainshadow Cliff</v>
      </c>
    </row>
    <row r="28" spans="1:50" ht="18.75" customHeight="1">
      <c r="A28" s="46">
        <v>19</v>
      </c>
      <c r="B28" s="46" t="str" cm="1">
        <f t="array" aca="1" ref="B28" ca="1">_xlfn.IFNA(_xlfn.IFS(AND(ISNUMBER(SEARCH("Rainshadow",'Map 5'!B28)),ISNUMBER(SEARCH("Flatland",'Map 5'!B28))),CONCATENATE($AT28, " Rainshadow"),'Map 5'!B28="Flatland",$AT28,'Map 5'!B28="Island",CONCATENATE($AT28, " Island"),ISNUMBER(SEARCH("Rainshadow",'Map 5'!B28)),CONCATENATE($AT28," ",'Map 5'!B28)),'Map 5'!B28)</f>
        <v>Valley</v>
      </c>
      <c r="C28" s="46" t="str" cm="1">
        <f t="array" aca="1" ref="C28" ca="1">_xlfn.IFNA(_xlfn.IFS(AND(ISNUMBER(SEARCH("Rainshadow",'Map 5'!C28)),ISNUMBER(SEARCH("Flatland",'Map 5'!C28))),CONCATENATE($AT28, " Rainshadow"),'Map 5'!C28="Flatland",$AT28,'Map 5'!C28="Island",CONCATENATE($AT28, " Island"),ISNUMBER(SEARCH("Rainshadow",'Map 5'!C28)),CONCATENATE($AT28," ",'Map 5'!C28)),'Map 5'!C28)</f>
        <v>Rainforest</v>
      </c>
      <c r="D28" s="46" t="str" cm="1">
        <f t="array" aca="1" ref="D28" ca="1">_xlfn.IFNA(_xlfn.IFS(AND(ISNUMBER(SEARCH("Rainshadow",'Map 5'!D28)),ISNUMBER(SEARCH("Flatland",'Map 5'!D28))),CONCATENATE($AT28, " Rainshadow"),'Map 5'!D28="Flatland",$AT28,'Map 5'!D28="Island",CONCATENATE($AT28, " Island"),ISNUMBER(SEARCH("Rainshadow",'Map 5'!D28)),CONCATENATE($AT28," ",'Map 5'!D28)),'Map 5'!D28)</f>
        <v>Rainforest</v>
      </c>
      <c r="E28" s="46" t="str" cm="1">
        <f t="array" aca="1" ref="E28" ca="1">_xlfn.IFNA(_xlfn.IFS(AND(ISNUMBER(SEARCH("Rainshadow",'Map 5'!E28)),ISNUMBER(SEARCH("Flatland",'Map 5'!E28))),CONCATENATE($AT28, " Rainshadow"),'Map 5'!E28="Flatland",$AT28,'Map 5'!E28="Island",CONCATENATE($AT28, " Island"),ISNUMBER(SEARCH("Rainshadow",'Map 5'!E28)),CONCATENATE($AT28," ",'Map 5'!E28)),'Map 5'!E28)</f>
        <v>Rainforest</v>
      </c>
      <c r="F28" s="46" t="str" cm="1">
        <f t="array" aca="1" ref="F28" ca="1">_xlfn.IFNA(_xlfn.IFS(AND(ISNUMBER(SEARCH("Rainshadow",'Map 5'!F28)),ISNUMBER(SEARCH("Flatland",'Map 5'!F28))),CONCATENATE($AT28, " Rainshadow"),'Map 5'!F28="Flatland",$AT28,'Map 5'!F28="Island",CONCATENATE($AT28, " Island"),ISNUMBER(SEARCH("Rainshadow",'Map 5'!F28)),CONCATENATE($AT28," ",'Map 5'!F28)),'Map 5'!F28)</f>
        <v>Rainforest</v>
      </c>
      <c r="G28" s="46" t="str" cm="1">
        <f t="array" aca="1" ref="G28" ca="1">_xlfn.IFNA(_xlfn.IFS(AND(ISNUMBER(SEARCH("Rainshadow",'Map 5'!G28)),ISNUMBER(SEARCH("Flatland",'Map 5'!G28))),CONCATENATE($AT28, " Rainshadow"),'Map 5'!G28="Flatland",$AT28,'Map 5'!G28="Island",CONCATENATE($AT28, " Island"),ISNUMBER(SEARCH("Rainshadow",'Map 5'!G28)),CONCATENATE($AT28," ",'Map 5'!G28)),'Map 5'!G28)</f>
        <v>Rainforest</v>
      </c>
      <c r="H28" s="46" t="str" cm="1">
        <f t="array" aca="1" ref="H28" ca="1">_xlfn.IFNA(_xlfn.IFS(AND(ISNUMBER(SEARCH("Rainshadow",'Map 5'!H28)),ISNUMBER(SEARCH("Flatland",'Map 5'!H28))),CONCATENATE($AT28, " Rainshadow"),'Map 5'!H28="Flatland",$AT28,'Map 5'!H28="Island",CONCATENATE($AT28, " Island"),ISNUMBER(SEARCH("Rainshadow",'Map 5'!H28)),CONCATENATE($AT28," ",'Map 5'!H28)),'Map 5'!H28)</f>
        <v>Rainforest</v>
      </c>
      <c r="I28" s="46" t="str" cm="1">
        <f t="array" aca="1" ref="I28" ca="1">_xlfn.IFNA(_xlfn.IFS(AND(ISNUMBER(SEARCH("Rainshadow",'Map 5'!I28)),ISNUMBER(SEARCH("Flatland",'Map 5'!I28))),CONCATENATE($AT28, " Rainshadow"),'Map 5'!I28="Flatland",$AT28,'Map 5'!I28="Island",CONCATENATE($AT28, " Island"),ISNUMBER(SEARCH("Rainshadow",'Map 5'!I28)),CONCATENATE($AT28," ",'Map 5'!I28)),'Map 5'!I28)</f>
        <v>Rainforest</v>
      </c>
      <c r="J28" s="46" t="str" cm="1">
        <f t="array" aca="1" ref="J28" ca="1">_xlfn.IFNA(_xlfn.IFS(AND(ISNUMBER(SEARCH("Rainshadow",'Map 5'!J28)),ISNUMBER(SEARCH("Flatland",'Map 5'!J28))),CONCATENATE($AT28, " Rainshadow"),'Map 5'!J28="Flatland",$AT28,'Map 5'!J28="Island",CONCATENATE($AT28, " Island"),ISNUMBER(SEARCH("Rainshadow",'Map 5'!J28)),CONCATENATE($AT28," ",'Map 5'!J28)),'Map 5'!J28)</f>
        <v>Ocean</v>
      </c>
      <c r="K28" s="46" t="str" cm="1">
        <f t="array" aca="1" ref="K28" ca="1">_xlfn.IFNA(_xlfn.IFS(AND(ISNUMBER(SEARCH("Rainshadow",'Map 5'!K28)),ISNUMBER(SEARCH("Flatland",'Map 5'!K28))),CONCATENATE($AT28, " Rainshadow"),'Map 5'!K28="Flatland",$AT28,'Map 5'!K28="Island",CONCATENATE($AT28, " Island"),ISNUMBER(SEARCH("Rainshadow",'Map 5'!K28)),CONCATENATE($AT28," ",'Map 5'!K28)),'Map 5'!K28)</f>
        <v>Ocean</v>
      </c>
      <c r="L28" s="46" t="str" cm="1">
        <f t="array" aca="1" ref="L28" ca="1">_xlfn.IFNA(_xlfn.IFS(AND(ISNUMBER(SEARCH("Rainshadow",'Map 5'!L28)),ISNUMBER(SEARCH("Flatland",'Map 5'!L28))),CONCATENATE($AT28, " Rainshadow"),'Map 5'!L28="Flatland",$AT28,'Map 5'!L28="Island",CONCATENATE($AT28, " Island"),ISNUMBER(SEARCH("Rainshadow",'Map 5'!L28)),CONCATENATE($AT28," ",'Map 5'!L28)),'Map 5'!L28)</f>
        <v>Rainforest Island</v>
      </c>
      <c r="M28" s="46" t="str" cm="1">
        <f t="array" aca="1" ref="M28" ca="1">_xlfn.IFNA(_xlfn.IFS(AND(ISNUMBER(SEARCH("Rainshadow",'Map 5'!M28)),ISNUMBER(SEARCH("Flatland",'Map 5'!M28))),CONCATENATE($AT28, " Rainshadow"),'Map 5'!M28="Flatland",$AT28,'Map 5'!M28="Island",CONCATENATE($AT28, " Island"),ISNUMBER(SEARCH("Rainshadow",'Map 5'!M28)),CONCATENATE($AT28," ",'Map 5'!M28)),'Map 5'!M28)</f>
        <v>Rainforest Island</v>
      </c>
      <c r="N28" s="46" t="str" cm="1">
        <f t="array" aca="1" ref="N28" ca="1">_xlfn.IFNA(_xlfn.IFS(AND(ISNUMBER(SEARCH("Rainshadow",'Map 5'!N28)),ISNUMBER(SEARCH("Flatland",'Map 5'!N28))),CONCATENATE($AT28, " Rainshadow"),'Map 5'!N28="Flatland",$AT28,'Map 5'!N28="Island",CONCATENATE($AT28, " Island"),ISNUMBER(SEARCH("Rainshadow",'Map 5'!N28)),CONCATENATE($AT28," ",'Map 5'!N28)),'Map 5'!N28)</f>
        <v>Ocean</v>
      </c>
      <c r="O28" s="46" t="str" cm="1">
        <f t="array" aca="1" ref="O28" ca="1">_xlfn.IFNA(_xlfn.IFS(AND(ISNUMBER(SEARCH("Rainshadow",'Map 5'!O28)),ISNUMBER(SEARCH("Flatland",'Map 5'!O28))),CONCATENATE($AT28, " Rainshadow"),'Map 5'!O28="Flatland",$AT28,'Map 5'!O28="Island",CONCATENATE($AT28, " Island"),ISNUMBER(SEARCH("Rainshadow",'Map 5'!O28)),CONCATENATE($AT28," ",'Map 5'!O28)),'Map 5'!O28)</f>
        <v>Ocean</v>
      </c>
      <c r="P28" s="46" t="str" cm="1">
        <f t="array" aca="1" ref="P28" ca="1">_xlfn.IFNA(_xlfn.IFS(AND(ISNUMBER(SEARCH("Rainshadow",'Map 5'!P28)),ISNUMBER(SEARCH("Flatland",'Map 5'!P28))),CONCATENATE($AT28, " Rainshadow"),'Map 5'!P28="Flatland",$AT28,'Map 5'!P28="Island",CONCATENATE($AT28, " Island"),ISNUMBER(SEARCH("Rainshadow",'Map 5'!P28)),CONCATENATE($AT28," ",'Map 5'!P28)),'Map 5'!P28)</f>
        <v>Ocean</v>
      </c>
      <c r="Q28" s="46" t="str" cm="1">
        <f t="array" aca="1" ref="Q28" ca="1">_xlfn.IFNA(_xlfn.IFS(AND(ISNUMBER(SEARCH("Rainshadow",'Map 5'!Q28)),ISNUMBER(SEARCH("Flatland",'Map 5'!Q28))),CONCATENATE($AT28, " Rainshadow"),'Map 5'!Q28="Flatland",$AT28,'Map 5'!Q28="Island",CONCATENATE($AT28, " Island"),ISNUMBER(SEARCH("Rainshadow",'Map 5'!Q28)),CONCATENATE($AT28," ",'Map 5'!Q28)),'Map 5'!Q28)</f>
        <v>Ocean</v>
      </c>
      <c r="R28" s="46" t="str" cm="1">
        <f t="array" aca="1" ref="R28" ca="1">_xlfn.IFNA(_xlfn.IFS(AND(ISNUMBER(SEARCH("Rainshadow",'Map 5'!R28)),ISNUMBER(SEARCH("Flatland",'Map 5'!R28))),CONCATENATE($AT28, " Rainshadow"),'Map 5'!R28="Flatland",$AT28,'Map 5'!R28="Island",CONCATENATE($AT28, " Island"),ISNUMBER(SEARCH("Rainshadow",'Map 5'!R28)),CONCATENATE($AT28," ",'Map 5'!R28)),'Map 5'!R28)</f>
        <v>Ocean</v>
      </c>
      <c r="S28" s="46" t="str" cm="1">
        <f t="array" aca="1" ref="S28" ca="1">_xlfn.IFNA(_xlfn.IFS(AND(ISNUMBER(SEARCH("Rainshadow",'Map 5'!S28)),ISNUMBER(SEARCH("Flatland",'Map 5'!S28))),CONCATENATE($AT28, " Rainshadow"),'Map 5'!S28="Flatland",$AT28,'Map 5'!S28="Island",CONCATENATE($AT28, " Island"),ISNUMBER(SEARCH("Rainshadow",'Map 5'!S28)),CONCATENATE($AT28," ",'Map 5'!S28)),'Map 5'!S28)</f>
        <v>Rainforest</v>
      </c>
      <c r="T28" s="46" t="str" cm="1">
        <f t="array" aca="1" ref="T28" ca="1">_xlfn.IFNA(_xlfn.IFS(AND(ISNUMBER(SEARCH("Rainshadow",'Map 5'!T28)),ISNUMBER(SEARCH("Flatland",'Map 5'!T28))),CONCATENATE($AT28, " Rainshadow"),'Map 5'!T28="Flatland",$AT28,'Map 5'!T28="Island",CONCATENATE($AT28, " Island"),ISNUMBER(SEARCH("Rainshadow",'Map 5'!T28)),CONCATENATE($AT28," ",'Map 5'!T28)),'Map 5'!T28)</f>
        <v>Rainforest</v>
      </c>
      <c r="U28" s="46" t="str" cm="1">
        <f t="array" aca="1" ref="U28" ca="1">_xlfn.IFNA(_xlfn.IFS(AND(ISNUMBER(SEARCH("Rainshadow",'Map 5'!U28)),ISNUMBER(SEARCH("Flatland",'Map 5'!U28))),CONCATENATE($AT28, " Rainshadow"),'Map 5'!U28="Flatland",$AT28,'Map 5'!U28="Island",CONCATENATE($AT28, " Island"),ISNUMBER(SEARCH("Rainshadow",'Map 5'!U28)),CONCATENATE($AT28," ",'Map 5'!U28)),'Map 5'!U28)</f>
        <v>Coast</v>
      </c>
      <c r="V28" s="46" t="str" cm="1">
        <f t="array" aca="1" ref="V28" ca="1">_xlfn.IFNA(_xlfn.IFS(AND(ISNUMBER(SEARCH("Rainshadow",'Map 5'!V28)),ISNUMBER(SEARCH("Flatland",'Map 5'!V28))),CONCATENATE($AT28, " Rainshadow"),'Map 5'!V28="Flatland",$AT28,'Map 5'!V28="Island",CONCATENATE($AT28, " Island"),ISNUMBER(SEARCH("Rainshadow",'Map 5'!V28)),CONCATENATE($AT28," ",'Map 5'!V28)),'Map 5'!V28)</f>
        <v>Coast</v>
      </c>
      <c r="W28" s="46" t="str" cm="1">
        <f t="array" aca="1" ref="W28" ca="1">_xlfn.IFNA(_xlfn.IFS(AND(ISNUMBER(SEARCH("Rainshadow",'Map 5'!W28)),ISNUMBER(SEARCH("Flatland",'Map 5'!W28))),CONCATENATE($AT28, " Rainshadow"),'Map 5'!W28="Flatland",$AT28,'Map 5'!W28="Island",CONCATENATE($AT28, " Island"),ISNUMBER(SEARCH("Rainshadow",'Map 5'!W28)),CONCATENATE($AT28," ",'Map 5'!W28)),'Map 5'!W28)</f>
        <v>Ocean</v>
      </c>
      <c r="X28" s="46" t="str" cm="1">
        <f t="array" aca="1" ref="X28" ca="1">_xlfn.IFNA(_xlfn.IFS(AND(ISNUMBER(SEARCH("Rainshadow",'Map 5'!X28)),ISNUMBER(SEARCH("Flatland",'Map 5'!X28))),CONCATENATE($AT28, " Rainshadow"),'Map 5'!X28="Flatland",$AT28,'Map 5'!X28="Island",CONCATENATE($AT28, " Island"),ISNUMBER(SEARCH("Rainshadow",'Map 5'!X28)),CONCATENATE($AT28," ",'Map 5'!X28)),'Map 5'!X28)</f>
        <v>Ocean</v>
      </c>
      <c r="Y28" s="46" t="str" cm="1">
        <f t="array" aca="1" ref="Y28" ca="1">_xlfn.IFNA(_xlfn.IFS(AND(ISNUMBER(SEARCH("Rainshadow",'Map 5'!Y28)),ISNUMBER(SEARCH("Flatland",'Map 5'!Y28))),CONCATENATE($AT28, " Rainshadow"),'Map 5'!Y28="Flatland",$AT28,'Map 5'!Y28="Island",CONCATENATE($AT28, " Island"),ISNUMBER(SEARCH("Rainshadow",'Map 5'!Y28)),CONCATENATE($AT28," ",'Map 5'!Y28)),'Map 5'!Y28)</f>
        <v>Ocean</v>
      </c>
      <c r="Z28" s="46" t="str" cm="1">
        <f t="array" aca="1" ref="Z28" ca="1">_xlfn.IFNA(_xlfn.IFS(AND(ISNUMBER(SEARCH("Rainshadow",'Map 5'!Z28)),ISNUMBER(SEARCH("Flatland",'Map 5'!Z28))),CONCATENATE($AT28, " Rainshadow"),'Map 5'!Z28="Flatland",$AT28,'Map 5'!Z28="Island",CONCATENATE($AT28, " Island"),ISNUMBER(SEARCH("Rainshadow",'Map 5'!Z28)),CONCATENATE($AT28," ",'Map 5'!Z28)),'Map 5'!Z28)</f>
        <v>Trench</v>
      </c>
      <c r="AA28" s="46" t="str" cm="1">
        <f t="array" aca="1" ref="AA28" ca="1">_xlfn.IFNA(_xlfn.IFS(AND(ISNUMBER(SEARCH("Rainshadow",'Map 5'!AA28)),ISNUMBER(SEARCH("Flatland",'Map 5'!AA28))),CONCATENATE($AT28, " Rainshadow"),'Map 5'!AA28="Flatland",$AT28,'Map 5'!AA28="Island",CONCATENATE($AT28, " Island"),ISNUMBER(SEARCH("Rainshadow",'Map 5'!AA28)),CONCATENATE($AT28," ",'Map 5'!AA28)),'Map 5'!AA28)</f>
        <v>Rainforest Island</v>
      </c>
      <c r="AB28" s="46" t="str" cm="1">
        <f t="array" aca="1" ref="AB28" ca="1">_xlfn.IFNA(_xlfn.IFS(AND(ISNUMBER(SEARCH("Rainshadow",'Map 5'!AB28)),ISNUMBER(SEARCH("Flatland",'Map 5'!AB28))),CONCATENATE($AT28, " Rainshadow"),'Map 5'!AB28="Flatland",$AT28,'Map 5'!AB28="Island",CONCATENATE($AT28, " Island"),ISNUMBER(SEARCH("Rainshadow",'Map 5'!AB28)),CONCATENATE($AT28," ",'Map 5'!AB28)),'Map 5'!AB28)</f>
        <v>Ocean</v>
      </c>
      <c r="AC28" s="46" t="str" cm="1">
        <f t="array" aca="1" ref="AC28" ca="1">_xlfn.IFNA(_xlfn.IFS(AND(ISNUMBER(SEARCH("Rainshadow",'Map 5'!AC28)),ISNUMBER(SEARCH("Flatland",'Map 5'!AC28))),CONCATENATE($AT28, " Rainshadow"),'Map 5'!AC28="Flatland",$AT28,'Map 5'!AC28="Island",CONCATENATE($AT28, " Island"),ISNUMBER(SEARCH("Rainshadow",'Map 5'!AC28)),CONCATENATE($AT28," ",'Map 5'!AC28)),'Map 5'!AC28)</f>
        <v>Ocean</v>
      </c>
      <c r="AD28" s="46" t="str" cm="1">
        <f t="array" aca="1" ref="AD28" ca="1">_xlfn.IFNA(_xlfn.IFS(AND(ISNUMBER(SEARCH("Rainshadow",'Map 5'!AD28)),ISNUMBER(SEARCH("Flatland",'Map 5'!AD28))),CONCATENATE($AT28, " Rainshadow"),'Map 5'!AD28="Flatland",$AT28,'Map 5'!AD28="Island",CONCATENATE($AT28, " Island"),ISNUMBER(SEARCH("Rainshadow",'Map 5'!AD28)),CONCATENATE($AT28," ",'Map 5'!AD28)),'Map 5'!AD28)</f>
        <v>Ocean</v>
      </c>
      <c r="AE28" s="46" t="str" cm="1">
        <f t="array" aca="1" ref="AE28" ca="1">_xlfn.IFNA(_xlfn.IFS(AND(ISNUMBER(SEARCH("Rainshadow",'Map 5'!AE28)),ISNUMBER(SEARCH("Flatland",'Map 5'!AE28))),CONCATENATE($AT28, " Rainshadow"),'Map 5'!AE28="Flatland",$AT28,'Map 5'!AE28="Island",CONCATENATE($AT28, " Island"),ISNUMBER(SEARCH("Rainshadow",'Map 5'!AE28)),CONCATENATE($AT28," ",'Map 5'!AE28)),'Map 5'!AE28)</f>
        <v>Ocean</v>
      </c>
      <c r="AF28" s="46" t="str" cm="1">
        <f t="array" aca="1" ref="AF28" ca="1">_xlfn.IFNA(_xlfn.IFS(AND(ISNUMBER(SEARCH("Rainshadow",'Map 5'!AF28)),ISNUMBER(SEARCH("Flatland",'Map 5'!AF28))),CONCATENATE($AT28, " Rainshadow"),'Map 5'!AF28="Flatland",$AT28,'Map 5'!AF28="Island",CONCATENATE($AT28, " Island"),ISNUMBER(SEARCH("Rainshadow",'Map 5'!AF28)),CONCATENATE($AT28," ",'Map 5'!AF28)),'Map 5'!AF28)</f>
        <v>Ocean</v>
      </c>
      <c r="AG28" s="46" t="str" cm="1">
        <f t="array" aca="1" ref="AG28" ca="1">_xlfn.IFNA(_xlfn.IFS(AND(ISNUMBER(SEARCH("Rainshadow",'Map 5'!AG28)),ISNUMBER(SEARCH("Flatland",'Map 5'!AG28))),CONCATENATE($AT28, " Rainshadow"),'Map 5'!AG28="Flatland",$AT28,'Map 5'!AG28="Island",CONCATENATE($AT28, " Island"),ISNUMBER(SEARCH("Rainshadow",'Map 5'!AG28)),CONCATENATE($AT28," ",'Map 5'!AG28)),'Map 5'!AG28)</f>
        <v>Ocean</v>
      </c>
      <c r="AH28" s="46" t="str" cm="1">
        <f t="array" aca="1" ref="AH28" ca="1">_xlfn.IFNA(_xlfn.IFS(AND(ISNUMBER(SEARCH("Rainshadow",'Map 5'!AH28)),ISNUMBER(SEARCH("Flatland",'Map 5'!AH28))),CONCATENATE($AT28, " Rainshadow"),'Map 5'!AH28="Flatland",$AT28,'Map 5'!AH28="Island",CONCATENATE($AT28, " Island"),ISNUMBER(SEARCH("Rainshadow",'Map 5'!AH28)),CONCATENATE($AT28," ",'Map 5'!AH28)),'Map 5'!AH28)</f>
        <v>Ocean</v>
      </c>
      <c r="AI28" s="46" t="str" cm="1">
        <f t="array" aca="1" ref="AI28" ca="1">_xlfn.IFNA(_xlfn.IFS(AND(ISNUMBER(SEARCH("Rainshadow",'Map 5'!AI28)),ISNUMBER(SEARCH("Flatland",'Map 5'!AI28))),CONCATENATE($AT28, " Rainshadow"),'Map 5'!AI28="Flatland",$AT28,'Map 5'!AI28="Island",CONCATENATE($AT28, " Island"),ISNUMBER(SEARCH("Rainshadow",'Map 5'!AI28)),CONCATENATE($AT28," ",'Map 5'!AI28)),'Map 5'!AI28)</f>
        <v>Ocean</v>
      </c>
      <c r="AJ28" s="46" t="str" cm="1">
        <f t="array" aca="1" ref="AJ28" ca="1">_xlfn.IFNA(_xlfn.IFS(AND(ISNUMBER(SEARCH("Rainshadow",'Map 5'!AJ28)),ISNUMBER(SEARCH("Flatland",'Map 5'!AJ28))),CONCATENATE($AT28, " Rainshadow"),'Map 5'!AJ28="Flatland",$AT28,'Map 5'!AJ28="Island",CONCATENATE($AT28, " Island"),ISNUMBER(SEARCH("Rainshadow",'Map 5'!AJ28)),CONCATENATE($AT28," ",'Map 5'!AJ28)),'Map 5'!AJ28)</f>
        <v>Rainforest Island</v>
      </c>
      <c r="AK28" s="46" t="str" cm="1">
        <f t="array" aca="1" ref="AK28" ca="1">_xlfn.IFNA(_xlfn.IFS(AND(ISNUMBER(SEARCH("Rainshadow",'Map 5'!AK28)),ISNUMBER(SEARCH("Flatland",'Map 5'!AK28))),CONCATENATE($AT28, " Rainshadow"),'Map 5'!AK28="Flatland",$AT28,'Map 5'!AK28="Island",CONCATENATE($AT28, " Island"),ISNUMBER(SEARCH("Rainshadow",'Map 5'!AK28)),CONCATENATE($AT28," ",'Map 5'!AK28)),'Map 5'!AK28)</f>
        <v>Ocean</v>
      </c>
      <c r="AL28" s="46" t="str" cm="1">
        <f t="array" aca="1" ref="AL28" ca="1">_xlfn.IFNA(_xlfn.IFS(AND(ISNUMBER(SEARCH("Rainshadow",'Map 5'!AL28)),ISNUMBER(SEARCH("Flatland",'Map 5'!AL28))),CONCATENATE($AT28, " Rainshadow"),'Map 5'!AL28="Flatland",$AT28,'Map 5'!AL28="Island",CONCATENATE($AT28, " Island"),ISNUMBER(SEARCH("Rainshadow",'Map 5'!AL28)),CONCATENATE($AT28," ",'Map 5'!AL28)),'Map 5'!AL28)</f>
        <v>Ocean</v>
      </c>
      <c r="AM28" s="46" t="str" cm="1">
        <f t="array" aca="1" ref="AM28" ca="1">_xlfn.IFNA(_xlfn.IFS(AND(ISNUMBER(SEARCH("Rainshadow",'Map 5'!AM28)),ISNUMBER(SEARCH("Flatland",'Map 5'!AM28))),CONCATENATE($AT28, " Rainshadow"),'Map 5'!AM28="Flatland",$AT28,'Map 5'!AM28="Island",CONCATENATE($AT28, " Island"),ISNUMBER(SEARCH("Rainshadow",'Map 5'!AM28)),CONCATENATE($AT28," ",'Map 5'!AM28)),'Map 5'!AM28)</f>
        <v>Ocean</v>
      </c>
      <c r="AN28" s="46" t="str" cm="1">
        <f t="array" aca="1" ref="AN28" ca="1">_xlfn.IFNA(_xlfn.IFS(AND(ISNUMBER(SEARCH("Rainshadow",'Map 5'!AN28)),ISNUMBER(SEARCH("Flatland",'Map 5'!AN28))),CONCATENATE($AT28, " Rainshadow"),'Map 5'!AN28="Flatland",$AT28,'Map 5'!AN28="Island",CONCATENATE($AT28, " Island"),ISNUMBER(SEARCH("Rainshadow",'Map 5'!AN28)),CONCATENATE($AT28," ",'Map 5'!AN28)),'Map 5'!AN28)</f>
        <v>Ocean</v>
      </c>
      <c r="AO28" s="46" t="str" cm="1">
        <f t="array" aca="1" ref="AO28" ca="1">_xlfn.IFNA(_xlfn.IFS(AND(ISNUMBER(SEARCH("Rainshadow",'Map 5'!AO28)),ISNUMBER(SEARCH("Flatland",'Map 5'!AO28))),CONCATENATE($AT28, " Rainshadow"),'Map 5'!AO28="Flatland",$AT28,'Map 5'!AO28="Island",CONCATENATE($AT28, " Island"),ISNUMBER(SEARCH("Rainshadow",'Map 5'!AO28)),CONCATENATE($AT28," ",'Map 5'!AO28)),'Map 5'!AO28)</f>
        <v>Mountain</v>
      </c>
      <c r="AP28" s="46">
        <f>'Map 5'!AP28</f>
        <v>83.95</v>
      </c>
      <c r="AQ28" s="46">
        <f>'Map 5'!AQ28</f>
        <v>183.11</v>
      </c>
      <c r="AR28" s="46">
        <f>'Map 5'!AS28</f>
        <v>357.1</v>
      </c>
      <c r="AS28" s="47">
        <f>'Map 5'!AT28</f>
        <v>9</v>
      </c>
      <c r="AT28" s="47" t="str">
        <f>'Map 5'!AU28</f>
        <v>Rainforest</v>
      </c>
      <c r="AU28" s="47" t="str">
        <f>'Map 5'!AV28</f>
        <v>⤵</v>
      </c>
      <c r="AX28" s="47" t="str">
        <f>CONCATENATE($AX$22," ",$AX4)</f>
        <v>Mediterranean Rainshadow Cliff</v>
      </c>
    </row>
    <row r="29" spans="1:50" ht="18.75" customHeight="1">
      <c r="A29" s="46">
        <v>20</v>
      </c>
      <c r="B29" s="46" t="str" cm="1">
        <f t="array" aca="1" ref="B29" ca="1">_xlfn.IFNA(_xlfn.IFS(AND(ISNUMBER(SEARCH("Rainshadow",'Map 5'!B29)),ISNUMBER(SEARCH("Flatland",'Map 5'!B29))),CONCATENATE($AT29, " Rainshadow"),'Map 5'!B29="Flatland",$AT29,'Map 5'!B29="Island",CONCATENATE($AT29, " Island"),ISNUMBER(SEARCH("Rainshadow",'Map 5'!B29)),CONCATENATE($AT29," ",'Map 5'!B29)),'Map 5'!B29)</f>
        <v>Ocean</v>
      </c>
      <c r="C29" s="46" t="str" cm="1">
        <f t="array" aca="1" ref="C29" ca="1">_xlfn.IFNA(_xlfn.IFS(AND(ISNUMBER(SEARCH("Rainshadow",'Map 5'!C29)),ISNUMBER(SEARCH("Flatland",'Map 5'!C29))),CONCATENATE($AT29, " Rainshadow"),'Map 5'!C29="Flatland",$AT29,'Map 5'!C29="Island",CONCATENATE($AT29, " Island"),ISNUMBER(SEARCH("Rainshadow",'Map 5'!C29)),CONCATENATE($AT29," ",'Map 5'!C29)),'Map 5'!C29)</f>
        <v>Drop Off</v>
      </c>
      <c r="D29" s="46" t="str" cm="1">
        <f t="array" aca="1" ref="D29" ca="1">_xlfn.IFNA(_xlfn.IFS(AND(ISNUMBER(SEARCH("Rainshadow",'Map 5'!D29)),ISNUMBER(SEARCH("Flatland",'Map 5'!D29))),CONCATENATE($AT29, " Rainshadow"),'Map 5'!D29="Flatland",$AT29,'Map 5'!D29="Island",CONCATENATE($AT29, " Island"),ISNUMBER(SEARCH("Rainshadow",'Map 5'!D29)),CONCATENATE($AT29," ",'Map 5'!D29)),'Map 5'!D29)</f>
        <v>Rainforest Rainshadow Valley</v>
      </c>
      <c r="E29" s="46" t="str" cm="1">
        <f t="array" aca="1" ref="E29" ca="1">_xlfn.IFNA(_xlfn.IFS(AND(ISNUMBER(SEARCH("Rainshadow",'Map 5'!E29)),ISNUMBER(SEARCH("Flatland",'Map 5'!E29))),CONCATENATE($AT29, " Rainshadow"),'Map 5'!E29="Flatland",$AT29,'Map 5'!E29="Island",CONCATENATE($AT29, " Island"),ISNUMBER(SEARCH("Rainshadow",'Map 5'!E29)),CONCATENATE($AT29," ",'Map 5'!E29)),'Map 5'!E29)</f>
        <v>Rainforest</v>
      </c>
      <c r="F29" s="46" t="str" cm="1">
        <f t="array" aca="1" ref="F29" ca="1">_xlfn.IFNA(_xlfn.IFS(AND(ISNUMBER(SEARCH("Rainshadow",'Map 5'!F29)),ISNUMBER(SEARCH("Flatland",'Map 5'!F29))),CONCATENATE($AT29, " Rainshadow"),'Map 5'!F29="Flatland",$AT29,'Map 5'!F29="Island",CONCATENATE($AT29, " Island"),ISNUMBER(SEARCH("Rainshadow",'Map 5'!F29)),CONCATENATE($AT29," ",'Map 5'!F29)),'Map 5'!F29)</f>
        <v>Valley</v>
      </c>
      <c r="G29" s="46" t="str" cm="1">
        <f t="array" aca="1" ref="G29" ca="1">_xlfn.IFNA(_xlfn.IFS(AND(ISNUMBER(SEARCH("Rainshadow",'Map 5'!G29)),ISNUMBER(SEARCH("Flatland",'Map 5'!G29))),CONCATENATE($AT29, " Rainshadow"),'Map 5'!G29="Flatland",$AT29,'Map 5'!G29="Island",CONCATENATE($AT29, " Island"),ISNUMBER(SEARCH("Rainshadow",'Map 5'!G29)),CONCATENATE($AT29," ",'Map 5'!G29)),'Map 5'!G29)</f>
        <v>Valley</v>
      </c>
      <c r="H29" s="46" t="str" cm="1">
        <f t="array" aca="1" ref="H29" ca="1">_xlfn.IFNA(_xlfn.IFS(AND(ISNUMBER(SEARCH("Rainshadow",'Map 5'!H29)),ISNUMBER(SEARCH("Flatland",'Map 5'!H29))),CONCATENATE($AT29, " Rainshadow"),'Map 5'!H29="Flatland",$AT29,'Map 5'!H29="Island",CONCATENATE($AT29, " Island"),ISNUMBER(SEARCH("Rainshadow",'Map 5'!H29)),CONCATENATE($AT29," ",'Map 5'!H29)),'Map 5'!H29)</f>
        <v>Valley</v>
      </c>
      <c r="I29" s="46" t="str" cm="1">
        <f t="array" aca="1" ref="I29" ca="1">_xlfn.IFNA(_xlfn.IFS(AND(ISNUMBER(SEARCH("Rainshadow",'Map 5'!I29)),ISNUMBER(SEARCH("Flatland",'Map 5'!I29))),CONCATENATE($AT29, " Rainshadow"),'Map 5'!I29="Flatland",$AT29,'Map 5'!I29="Island",CONCATENATE($AT29, " Island"),ISNUMBER(SEARCH("Rainshadow",'Map 5'!I29)),CONCATENATE($AT29," ",'Map 5'!I29)),'Map 5'!I29)</f>
        <v>Coast</v>
      </c>
      <c r="J29" s="46" t="str" cm="1">
        <f t="array" aca="1" ref="J29" ca="1">_xlfn.IFNA(_xlfn.IFS(AND(ISNUMBER(SEARCH("Rainshadow",'Map 5'!J29)),ISNUMBER(SEARCH("Flatland",'Map 5'!J29))),CONCATENATE($AT29, " Rainshadow"),'Map 5'!J29="Flatland",$AT29,'Map 5'!J29="Island",CONCATENATE($AT29, " Island"),ISNUMBER(SEARCH("Rainshadow",'Map 5'!J29)),CONCATENATE($AT29," ",'Map 5'!J29)),'Map 5'!J29)</f>
        <v>Coast</v>
      </c>
      <c r="K29" s="46" t="str" cm="1">
        <f t="array" aca="1" ref="K29" ca="1">_xlfn.IFNA(_xlfn.IFS(AND(ISNUMBER(SEARCH("Rainshadow",'Map 5'!K29)),ISNUMBER(SEARCH("Flatland",'Map 5'!K29))),CONCATENATE($AT29, " Rainshadow"),'Map 5'!K29="Flatland",$AT29,'Map 5'!K29="Island",CONCATENATE($AT29, " Island"),ISNUMBER(SEARCH("Rainshadow",'Map 5'!K29)),CONCATENATE($AT29," ",'Map 5'!K29)),'Map 5'!K29)</f>
        <v>Drop Off</v>
      </c>
      <c r="L29" s="46" t="str" cm="1">
        <f t="array" aca="1" ref="L29" ca="1">_xlfn.IFNA(_xlfn.IFS(AND(ISNUMBER(SEARCH("Rainshadow",'Map 5'!L29)),ISNUMBER(SEARCH("Flatland",'Map 5'!L29))),CONCATENATE($AT29, " Rainshadow"),'Map 5'!L29="Flatland",$AT29,'Map 5'!L29="Island",CONCATENATE($AT29, " Island"),ISNUMBER(SEARCH("Rainshadow",'Map 5'!L29)),CONCATENATE($AT29," ",'Map 5'!L29)),'Map 5'!L29)</f>
        <v>Trench</v>
      </c>
      <c r="M29" s="46" t="str" cm="1">
        <f t="array" aca="1" ref="M29" ca="1">_xlfn.IFNA(_xlfn.IFS(AND(ISNUMBER(SEARCH("Rainshadow",'Map 5'!M29)),ISNUMBER(SEARCH("Flatland",'Map 5'!M29))),CONCATENATE($AT29, " Rainshadow"),'Map 5'!M29="Flatland",$AT29,'Map 5'!M29="Island",CONCATENATE($AT29, " Island"),ISNUMBER(SEARCH("Rainshadow",'Map 5'!M29)),CONCATENATE($AT29," ",'Map 5'!M29)),'Map 5'!M29)</f>
        <v>Ocean</v>
      </c>
      <c r="N29" s="46" t="str" cm="1">
        <f t="array" aca="1" ref="N29" ca="1">_xlfn.IFNA(_xlfn.IFS(AND(ISNUMBER(SEARCH("Rainshadow",'Map 5'!N29)),ISNUMBER(SEARCH("Flatland",'Map 5'!N29))),CONCATENATE($AT29, " Rainshadow"),'Map 5'!N29="Flatland",$AT29,'Map 5'!N29="Island",CONCATENATE($AT29, " Island"),ISNUMBER(SEARCH("Rainshadow",'Map 5'!N29)),CONCATENATE($AT29," ",'Map 5'!N29)),'Map 5'!N29)</f>
        <v>Ocean</v>
      </c>
      <c r="O29" s="46" t="str" cm="1">
        <f t="array" aca="1" ref="O29" ca="1">_xlfn.IFNA(_xlfn.IFS(AND(ISNUMBER(SEARCH("Rainshadow",'Map 5'!O29)),ISNUMBER(SEARCH("Flatland",'Map 5'!O29))),CONCATENATE($AT29, " Rainshadow"),'Map 5'!O29="Flatland",$AT29,'Map 5'!O29="Island",CONCATENATE($AT29, " Island"),ISNUMBER(SEARCH("Rainshadow",'Map 5'!O29)),CONCATENATE($AT29," ",'Map 5'!O29)),'Map 5'!O29)</f>
        <v>Ocean</v>
      </c>
      <c r="P29" s="46" t="str" cm="1">
        <f t="array" aca="1" ref="P29" ca="1">_xlfn.IFNA(_xlfn.IFS(AND(ISNUMBER(SEARCH("Rainshadow",'Map 5'!P29)),ISNUMBER(SEARCH("Flatland",'Map 5'!P29))),CONCATENATE($AT29, " Rainshadow"),'Map 5'!P29="Flatland",$AT29,'Map 5'!P29="Island",CONCATENATE($AT29, " Island"),ISNUMBER(SEARCH("Rainshadow",'Map 5'!P29)),CONCATENATE($AT29," ",'Map 5'!P29)),'Map 5'!P29)</f>
        <v>Ocean</v>
      </c>
      <c r="Q29" s="46" t="str" cm="1">
        <f t="array" aca="1" ref="Q29" ca="1">_xlfn.IFNA(_xlfn.IFS(AND(ISNUMBER(SEARCH("Rainshadow",'Map 5'!Q29)),ISNUMBER(SEARCH("Flatland",'Map 5'!Q29))),CONCATENATE($AT29, " Rainshadow"),'Map 5'!Q29="Flatland",$AT29,'Map 5'!Q29="Island",CONCATENATE($AT29, " Island"),ISNUMBER(SEARCH("Rainshadow",'Map 5'!Q29)),CONCATENATE($AT29," ",'Map 5'!Q29)),'Map 5'!Q29)</f>
        <v>Ocean</v>
      </c>
      <c r="R29" s="46" t="str" cm="1">
        <f t="array" aca="1" ref="R29" ca="1">_xlfn.IFNA(_xlfn.IFS(AND(ISNUMBER(SEARCH("Rainshadow",'Map 5'!R29)),ISNUMBER(SEARCH("Flatland",'Map 5'!R29))),CONCATENATE($AT29, " Rainshadow"),'Map 5'!R29="Flatland",$AT29,'Map 5'!R29="Island",CONCATENATE($AT29, " Island"),ISNUMBER(SEARCH("Rainshadow",'Map 5'!R29)),CONCATENATE($AT29," ",'Map 5'!R29)),'Map 5'!R29)</f>
        <v>Ocean</v>
      </c>
      <c r="S29" s="46" t="str" cm="1">
        <f t="array" aca="1" ref="S29" ca="1">_xlfn.IFNA(_xlfn.IFS(AND(ISNUMBER(SEARCH("Rainshadow",'Map 5'!S29)),ISNUMBER(SEARCH("Flatland",'Map 5'!S29))),CONCATENATE($AT29, " Rainshadow"),'Map 5'!S29="Flatland",$AT29,'Map 5'!S29="Island",CONCATENATE($AT29, " Island"),ISNUMBER(SEARCH("Rainshadow",'Map 5'!S29)),CONCATENATE($AT29," ",'Map 5'!S29)),'Map 5'!S29)</f>
        <v>Rainforest</v>
      </c>
      <c r="T29" s="46" t="str" cm="1">
        <f t="array" aca="1" ref="T29" ca="1">_xlfn.IFNA(_xlfn.IFS(AND(ISNUMBER(SEARCH("Rainshadow",'Map 5'!T29)),ISNUMBER(SEARCH("Flatland",'Map 5'!T29))),CONCATENATE($AT29, " Rainshadow"),'Map 5'!T29="Flatland",$AT29,'Map 5'!T29="Island",CONCATENATE($AT29, " Island"),ISNUMBER(SEARCH("Rainshadow",'Map 5'!T29)),CONCATENATE($AT29," ",'Map 5'!T29)),'Map 5'!T29)</f>
        <v>Coast</v>
      </c>
      <c r="U29" s="46" t="str" cm="1">
        <f t="array" aca="1" ref="U29" ca="1">_xlfn.IFNA(_xlfn.IFS(AND(ISNUMBER(SEARCH("Rainshadow",'Map 5'!U29)),ISNUMBER(SEARCH("Flatland",'Map 5'!U29))),CONCATENATE($AT29, " Rainshadow"),'Map 5'!U29="Flatland",$AT29,'Map 5'!U29="Island",CONCATENATE($AT29, " Island"),ISNUMBER(SEARCH("Rainshadow",'Map 5'!U29)),CONCATENATE($AT29," ",'Map 5'!U29)),'Map 5'!U29)</f>
        <v>Ocean</v>
      </c>
      <c r="V29" s="46" t="str" cm="1">
        <f t="array" aca="1" ref="V29" ca="1">_xlfn.IFNA(_xlfn.IFS(AND(ISNUMBER(SEARCH("Rainshadow",'Map 5'!V29)),ISNUMBER(SEARCH("Flatland",'Map 5'!V29))),CONCATENATE($AT29, " Rainshadow"),'Map 5'!V29="Flatland",$AT29,'Map 5'!V29="Island",CONCATENATE($AT29, " Island"),ISNUMBER(SEARCH("Rainshadow",'Map 5'!V29)),CONCATENATE($AT29," ",'Map 5'!V29)),'Map 5'!V29)</f>
        <v>Rainforest</v>
      </c>
      <c r="W29" s="46" t="str" cm="1">
        <f t="array" aca="1" ref="W29" ca="1">_xlfn.IFNA(_xlfn.IFS(AND(ISNUMBER(SEARCH("Rainshadow",'Map 5'!W29)),ISNUMBER(SEARCH("Flatland",'Map 5'!W29))),CONCATENATE($AT29, " Rainshadow"),'Map 5'!W29="Flatland",$AT29,'Map 5'!W29="Island",CONCATENATE($AT29, " Island"),ISNUMBER(SEARCH("Rainshadow",'Map 5'!W29)),CONCATENATE($AT29," ",'Map 5'!W29)),'Map 5'!W29)</f>
        <v>Ocean</v>
      </c>
      <c r="X29" s="46" t="str" cm="1">
        <f t="array" aca="1" ref="X29" ca="1">_xlfn.IFNA(_xlfn.IFS(AND(ISNUMBER(SEARCH("Rainshadow",'Map 5'!X29)),ISNUMBER(SEARCH("Flatland",'Map 5'!X29))),CONCATENATE($AT29, " Rainshadow"),'Map 5'!X29="Flatland",$AT29,'Map 5'!X29="Island",CONCATENATE($AT29, " Island"),ISNUMBER(SEARCH("Rainshadow",'Map 5'!X29)),CONCATENATE($AT29," ",'Map 5'!X29)),'Map 5'!X29)</f>
        <v>Ocean</v>
      </c>
      <c r="Y29" s="46" t="str" cm="1">
        <f t="array" aca="1" ref="Y29" ca="1">_xlfn.IFNA(_xlfn.IFS(AND(ISNUMBER(SEARCH("Rainshadow",'Map 5'!Y29)),ISNUMBER(SEARCH("Flatland",'Map 5'!Y29))),CONCATENATE($AT29, " Rainshadow"),'Map 5'!Y29="Flatland",$AT29,'Map 5'!Y29="Island",CONCATENATE($AT29, " Island"),ISNUMBER(SEARCH("Rainshadow",'Map 5'!Y29)),CONCATENATE($AT29," ",'Map 5'!Y29)),'Map 5'!Y29)</f>
        <v>Ocean</v>
      </c>
      <c r="Z29" s="46" t="str" cm="1">
        <f t="array" aca="1" ref="Z29" ca="1">_xlfn.IFNA(_xlfn.IFS(AND(ISNUMBER(SEARCH("Rainshadow",'Map 5'!Z29)),ISNUMBER(SEARCH("Flatland",'Map 5'!Z29))),CONCATENATE($AT29, " Rainshadow"),'Map 5'!Z29="Flatland",$AT29,'Map 5'!Z29="Island",CONCATENATE($AT29, " Island"),ISNUMBER(SEARCH("Rainshadow",'Map 5'!Z29)),CONCATENATE($AT29," ",'Map 5'!Z29)),'Map 5'!Z29)</f>
        <v>Ocean</v>
      </c>
      <c r="AA29" s="46" t="str" cm="1">
        <f t="array" aca="1" ref="AA29" ca="1">_xlfn.IFNA(_xlfn.IFS(AND(ISNUMBER(SEARCH("Rainshadow",'Map 5'!AA29)),ISNUMBER(SEARCH("Flatland",'Map 5'!AA29))),CONCATENATE($AT29, " Rainshadow"),'Map 5'!AA29="Flatland",$AT29,'Map 5'!AA29="Island",CONCATENATE($AT29, " Island"),ISNUMBER(SEARCH("Rainshadow",'Map 5'!AA29)),CONCATENATE($AT29," ",'Map 5'!AA29)),'Map 5'!AA29)</f>
        <v>Ocean</v>
      </c>
      <c r="AB29" s="46" t="str" cm="1">
        <f t="array" aca="1" ref="AB29" ca="1">_xlfn.IFNA(_xlfn.IFS(AND(ISNUMBER(SEARCH("Rainshadow",'Map 5'!AB29)),ISNUMBER(SEARCH("Flatland",'Map 5'!AB29))),CONCATENATE($AT29, " Rainshadow"),'Map 5'!AB29="Flatland",$AT29,'Map 5'!AB29="Island",CONCATENATE($AT29, " Island"),ISNUMBER(SEARCH("Rainshadow",'Map 5'!AB29)),CONCATENATE($AT29," ",'Map 5'!AB29)),'Map 5'!AB29)</f>
        <v>Ocean</v>
      </c>
      <c r="AC29" s="46" t="str" cm="1">
        <f t="array" aca="1" ref="AC29" ca="1">_xlfn.IFNA(_xlfn.IFS(AND(ISNUMBER(SEARCH("Rainshadow",'Map 5'!AC29)),ISNUMBER(SEARCH("Flatland",'Map 5'!AC29))),CONCATENATE($AT29, " Rainshadow"),'Map 5'!AC29="Flatland",$AT29,'Map 5'!AC29="Island",CONCATENATE($AT29, " Island"),ISNUMBER(SEARCH("Rainshadow",'Map 5'!AC29)),CONCATENATE($AT29," ",'Map 5'!AC29)),'Map 5'!AC29)</f>
        <v>Ocean</v>
      </c>
      <c r="AD29" s="46" t="str" cm="1">
        <f t="array" aca="1" ref="AD29" ca="1">_xlfn.IFNA(_xlfn.IFS(AND(ISNUMBER(SEARCH("Rainshadow",'Map 5'!AD29)),ISNUMBER(SEARCH("Flatland",'Map 5'!AD29))),CONCATENATE($AT29, " Rainshadow"),'Map 5'!AD29="Flatland",$AT29,'Map 5'!AD29="Island",CONCATENATE($AT29, " Island"),ISNUMBER(SEARCH("Rainshadow",'Map 5'!AD29)),CONCATENATE($AT29," ",'Map 5'!AD29)),'Map 5'!AD29)</f>
        <v>Ocean</v>
      </c>
      <c r="AE29" s="46" t="str" cm="1">
        <f t="array" aca="1" ref="AE29" ca="1">_xlfn.IFNA(_xlfn.IFS(AND(ISNUMBER(SEARCH("Rainshadow",'Map 5'!AE29)),ISNUMBER(SEARCH("Flatland",'Map 5'!AE29))),CONCATENATE($AT29, " Rainshadow"),'Map 5'!AE29="Flatland",$AT29,'Map 5'!AE29="Island",CONCATENATE($AT29, " Island"),ISNUMBER(SEARCH("Rainshadow",'Map 5'!AE29)),CONCATENATE($AT29," ",'Map 5'!AE29)),'Map 5'!AE29)</f>
        <v>Trench</v>
      </c>
      <c r="AF29" s="46" t="str" cm="1">
        <f t="array" aca="1" ref="AF29" ca="1">_xlfn.IFNA(_xlfn.IFS(AND(ISNUMBER(SEARCH("Rainshadow",'Map 5'!AF29)),ISNUMBER(SEARCH("Flatland",'Map 5'!AF29))),CONCATENATE($AT29, " Rainshadow"),'Map 5'!AF29="Flatland",$AT29,'Map 5'!AF29="Island",CONCATENATE($AT29, " Island"),ISNUMBER(SEARCH("Rainshadow",'Map 5'!AF29)),CONCATENATE($AT29," ",'Map 5'!AF29)),'Map 5'!AF29)</f>
        <v>Rainforest Island</v>
      </c>
      <c r="AG29" s="46" t="str" cm="1">
        <f t="array" aca="1" ref="AG29" ca="1">_xlfn.IFNA(_xlfn.IFS(AND(ISNUMBER(SEARCH("Rainshadow",'Map 5'!AG29)),ISNUMBER(SEARCH("Flatland",'Map 5'!AG29))),CONCATENATE($AT29, " Rainshadow"),'Map 5'!AG29="Flatland",$AT29,'Map 5'!AG29="Island",CONCATENATE($AT29, " Island"),ISNUMBER(SEARCH("Rainshadow",'Map 5'!AG29)),CONCATENATE($AT29," ",'Map 5'!AG29)),'Map 5'!AG29)</f>
        <v>Ocean</v>
      </c>
      <c r="AH29" s="46" t="str" cm="1">
        <f t="array" aca="1" ref="AH29" ca="1">_xlfn.IFNA(_xlfn.IFS(AND(ISNUMBER(SEARCH("Rainshadow",'Map 5'!AH29)),ISNUMBER(SEARCH("Flatland",'Map 5'!AH29))),CONCATENATE($AT29, " Rainshadow"),'Map 5'!AH29="Flatland",$AT29,'Map 5'!AH29="Island",CONCATENATE($AT29, " Island"),ISNUMBER(SEARCH("Rainshadow",'Map 5'!AH29)),CONCATENATE($AT29," ",'Map 5'!AH29)),'Map 5'!AH29)</f>
        <v>Ocean</v>
      </c>
      <c r="AI29" s="46" t="str" cm="1">
        <f t="array" aca="1" ref="AI29" ca="1">_xlfn.IFNA(_xlfn.IFS(AND(ISNUMBER(SEARCH("Rainshadow",'Map 5'!AI29)),ISNUMBER(SEARCH("Flatland",'Map 5'!AI29))),CONCATENATE($AT29, " Rainshadow"),'Map 5'!AI29="Flatland",$AT29,'Map 5'!AI29="Island",CONCATENATE($AT29, " Island"),ISNUMBER(SEARCH("Rainshadow",'Map 5'!AI29)),CONCATENATE($AT29," ",'Map 5'!AI29)),'Map 5'!AI29)</f>
        <v>Ocean</v>
      </c>
      <c r="AJ29" s="46" t="str" cm="1">
        <f t="array" aca="1" ref="AJ29" ca="1">_xlfn.IFNA(_xlfn.IFS(AND(ISNUMBER(SEARCH("Rainshadow",'Map 5'!AJ29)),ISNUMBER(SEARCH("Flatland",'Map 5'!AJ29))),CONCATENATE($AT29, " Rainshadow"),'Map 5'!AJ29="Flatland",$AT29,'Map 5'!AJ29="Island",CONCATENATE($AT29, " Island"),ISNUMBER(SEARCH("Rainshadow",'Map 5'!AJ29)),CONCATENATE($AT29," ",'Map 5'!AJ29)),'Map 5'!AJ29)</f>
        <v>Trench</v>
      </c>
      <c r="AK29" s="46" t="str" cm="1">
        <f t="array" aca="1" ref="AK29" ca="1">_xlfn.IFNA(_xlfn.IFS(AND(ISNUMBER(SEARCH("Rainshadow",'Map 5'!AK29)),ISNUMBER(SEARCH("Flatland",'Map 5'!AK29))),CONCATENATE($AT29, " Rainshadow"),'Map 5'!AK29="Flatland",$AT29,'Map 5'!AK29="Island",CONCATENATE($AT29, " Island"),ISNUMBER(SEARCH("Rainshadow",'Map 5'!AK29)),CONCATENATE($AT29," ",'Map 5'!AK29)),'Map 5'!AK29)</f>
        <v>Ocean</v>
      </c>
      <c r="AL29" s="46" t="str" cm="1">
        <f t="array" aca="1" ref="AL29" ca="1">_xlfn.IFNA(_xlfn.IFS(AND(ISNUMBER(SEARCH("Rainshadow",'Map 5'!AL29)),ISNUMBER(SEARCH("Flatland",'Map 5'!AL29))),CONCATENATE($AT29, " Rainshadow"),'Map 5'!AL29="Flatland",$AT29,'Map 5'!AL29="Island",CONCATENATE($AT29, " Island"),ISNUMBER(SEARCH("Rainshadow",'Map 5'!AL29)),CONCATENATE($AT29," ",'Map 5'!AL29)),'Map 5'!AL29)</f>
        <v>Ocean</v>
      </c>
      <c r="AM29" s="46" t="str" cm="1">
        <f t="array" aca="1" ref="AM29" ca="1">_xlfn.IFNA(_xlfn.IFS(AND(ISNUMBER(SEARCH("Rainshadow",'Map 5'!AM29)),ISNUMBER(SEARCH("Flatland",'Map 5'!AM29))),CONCATENATE($AT29, " Rainshadow"),'Map 5'!AM29="Flatland",$AT29,'Map 5'!AM29="Island",CONCATENATE($AT29, " Island"),ISNUMBER(SEARCH("Rainshadow",'Map 5'!AM29)),CONCATENATE($AT29," ",'Map 5'!AM29)),'Map 5'!AM29)</f>
        <v>Trench</v>
      </c>
      <c r="AN29" s="46" t="str" cm="1">
        <f t="array" aca="1" ref="AN29" ca="1">_xlfn.IFNA(_xlfn.IFS(AND(ISNUMBER(SEARCH("Rainshadow",'Map 5'!AN29)),ISNUMBER(SEARCH("Flatland",'Map 5'!AN29))),CONCATENATE($AT29, " Rainshadow"),'Map 5'!AN29="Flatland",$AT29,'Map 5'!AN29="Island",CONCATENATE($AT29, " Island"),ISNUMBER(SEARCH("Rainshadow",'Map 5'!AN29)),CONCATENATE($AT29," ",'Map 5'!AN29)),'Map 5'!AN29)</f>
        <v>Trench</v>
      </c>
      <c r="AO29" s="46" t="str" cm="1">
        <f t="array" aca="1" ref="AO29" ca="1">_xlfn.IFNA(_xlfn.IFS(AND(ISNUMBER(SEARCH("Rainshadow",'Map 5'!AO29)),ISNUMBER(SEARCH("Flatland",'Map 5'!AO29))),CONCATENATE($AT29, " Rainshadow"),'Map 5'!AO29="Flatland",$AT29,'Map 5'!AO29="Island",CONCATENATE($AT29, " Island"),ISNUMBER(SEARCH("Rainshadow",'Map 5'!AO29)),CONCATENATE($AT29," ",'Map 5'!AO29)),'Map 5'!AO29)</f>
        <v>Drop Off</v>
      </c>
      <c r="AP29" s="46">
        <f>'Map 5'!AP29</f>
        <v>90.9</v>
      </c>
      <c r="AQ29" s="46">
        <f>'Map 5'!AQ29</f>
        <v>195.62</v>
      </c>
      <c r="AR29" s="46">
        <f>'Map 5'!AS29</f>
        <v>364.05</v>
      </c>
      <c r="AS29" s="47">
        <f>'Map 5'!AT29</f>
        <v>4.5</v>
      </c>
      <c r="AT29" s="47" t="str">
        <f>'Map 5'!AU29</f>
        <v>Rainforest</v>
      </c>
      <c r="AU29" s="47" t="str">
        <f>'Map 5'!AV29</f>
        <v>⤵</v>
      </c>
      <c r="AX29" s="47" t="str">
        <f>CONCATENATE($AX$23," ",$AX4)</f>
        <v>Desert Rainshadow Cliff</v>
      </c>
    </row>
    <row r="30" spans="1:50" ht="18.75" customHeight="1">
      <c r="A30" s="46">
        <v>21</v>
      </c>
      <c r="B30" s="46" t="str" cm="1">
        <f t="array" aca="1" ref="B30" ca="1">_xlfn.IFNA(_xlfn.IFS(AND(ISNUMBER(SEARCH("Rainshadow",'Map 5'!B30)),ISNUMBER(SEARCH("Flatland",'Map 5'!B30))),CONCATENATE($AT30, " Rainshadow"),'Map 5'!B30="Flatland",$AT30,'Map 5'!B30="Island",CONCATENATE($AT30, " Island"),ISNUMBER(SEARCH("Rainshadow",'Map 5'!B30)),CONCATENATE($AT30," ",'Map 5'!B30)),'Map 5'!B30)</f>
        <v>Coast</v>
      </c>
      <c r="C30" s="46" t="str" cm="1">
        <f t="array" aca="1" ref="C30" ca="1">_xlfn.IFNA(_xlfn.IFS(AND(ISNUMBER(SEARCH("Rainshadow",'Map 5'!C30)),ISNUMBER(SEARCH("Flatland",'Map 5'!C30))),CONCATENATE($AT30, " Rainshadow"),'Map 5'!C30="Flatland",$AT30,'Map 5'!C30="Island",CONCATENATE($AT30, " Island"),ISNUMBER(SEARCH("Rainshadow",'Map 5'!C30)),CONCATENATE($AT30," ",'Map 5'!C30)),'Map 5'!C30)</f>
        <v>Rainforest</v>
      </c>
      <c r="D30" s="46" t="str" cm="1">
        <f t="array" aca="1" ref="D30" ca="1">_xlfn.IFNA(_xlfn.IFS(AND(ISNUMBER(SEARCH("Rainshadow",'Map 5'!D30)),ISNUMBER(SEARCH("Flatland",'Map 5'!D30))),CONCATENATE($AT30, " Rainshadow"),'Map 5'!D30="Flatland",$AT30,'Map 5'!D30="Island",CONCATENATE($AT30, " Island"),ISNUMBER(SEARCH("Rainshadow",'Map 5'!D30)),CONCATENATE($AT30," ",'Map 5'!D30)),'Map 5'!D30)</f>
        <v>Mountain</v>
      </c>
      <c r="E30" s="46" t="str" cm="1">
        <f t="array" aca="1" ref="E30" ca="1">_xlfn.IFNA(_xlfn.IFS(AND(ISNUMBER(SEARCH("Rainshadow",'Map 5'!E30)),ISNUMBER(SEARCH("Flatland",'Map 5'!E30))),CONCATENATE($AT30, " Rainshadow"),'Map 5'!E30="Flatland",$AT30,'Map 5'!E30="Island",CONCATENATE($AT30, " Island"),ISNUMBER(SEARCH("Rainshadow",'Map 5'!E30)),CONCATENATE($AT30," ",'Map 5'!E30)),'Map 5'!E30)</f>
        <v>Rainforest</v>
      </c>
      <c r="F30" s="46" t="str" cm="1">
        <f t="array" aca="1" ref="F30" ca="1">_xlfn.IFNA(_xlfn.IFS(AND(ISNUMBER(SEARCH("Rainshadow",'Map 5'!F30)),ISNUMBER(SEARCH("Flatland",'Map 5'!F30))),CONCATENATE($AT30, " Rainshadow"),'Map 5'!F30="Flatland",$AT30,'Map 5'!F30="Island",CONCATENATE($AT30, " Island"),ISNUMBER(SEARCH("Rainshadow",'Map 5'!F30)),CONCATENATE($AT30," ",'Map 5'!F30)),'Map 5'!F30)</f>
        <v>Rainforest</v>
      </c>
      <c r="G30" s="46" t="str" cm="1">
        <f t="array" aca="1" ref="G30" ca="1">_xlfn.IFNA(_xlfn.IFS(AND(ISNUMBER(SEARCH("Rainshadow",'Map 5'!G30)),ISNUMBER(SEARCH("Flatland",'Map 5'!G30))),CONCATENATE($AT30, " Rainshadow"),'Map 5'!G30="Flatland",$AT30,'Map 5'!G30="Island",CONCATENATE($AT30, " Island"),ISNUMBER(SEARCH("Rainshadow",'Map 5'!G30)),CONCATENATE($AT30," ",'Map 5'!G30)),'Map 5'!G30)</f>
        <v>Rainforest</v>
      </c>
      <c r="H30" s="46" t="str" cm="1">
        <f t="array" aca="1" ref="H30" ca="1">_xlfn.IFNA(_xlfn.IFS(AND(ISNUMBER(SEARCH("Rainshadow",'Map 5'!H30)),ISNUMBER(SEARCH("Flatland",'Map 5'!H30))),CONCATENATE($AT30, " Rainshadow"),'Map 5'!H30="Flatland",$AT30,'Map 5'!H30="Island",CONCATENATE($AT30, " Island"),ISNUMBER(SEARCH("Rainshadow",'Map 5'!H30)),CONCATENATE($AT30," ",'Map 5'!H30)),'Map 5'!H30)</f>
        <v>Rainforest</v>
      </c>
      <c r="I30" s="46" t="str" cm="1">
        <f t="array" aca="1" ref="I30" ca="1">_xlfn.IFNA(_xlfn.IFS(AND(ISNUMBER(SEARCH("Rainshadow",'Map 5'!I30)),ISNUMBER(SEARCH("Flatland",'Map 5'!I30))),CONCATENATE($AT30, " Rainshadow"),'Map 5'!I30="Flatland",$AT30,'Map 5'!I30="Island",CONCATENATE($AT30, " Island"),ISNUMBER(SEARCH("Rainshadow",'Map 5'!I30)),CONCATENATE($AT30," ",'Map 5'!I30)),'Map 5'!I30)</f>
        <v>Coast</v>
      </c>
      <c r="J30" s="46" t="str" cm="1">
        <f t="array" aca="1" ref="J30" ca="1">_xlfn.IFNA(_xlfn.IFS(AND(ISNUMBER(SEARCH("Rainshadow",'Map 5'!J30)),ISNUMBER(SEARCH("Flatland",'Map 5'!J30))),CONCATENATE($AT30, " Rainshadow"),'Map 5'!J30="Flatland",$AT30,'Map 5'!J30="Island",CONCATENATE($AT30, " Island"),ISNUMBER(SEARCH("Rainshadow",'Map 5'!J30)),CONCATENATE($AT30," ",'Map 5'!J30)),'Map 5'!J30)</f>
        <v>Rainforest</v>
      </c>
      <c r="K30" s="46" t="str" cm="1">
        <f t="array" aca="1" ref="K30" ca="1">_xlfn.IFNA(_xlfn.IFS(AND(ISNUMBER(SEARCH("Rainshadow",'Map 5'!K30)),ISNUMBER(SEARCH("Flatland",'Map 5'!K30))),CONCATENATE($AT30, " Rainshadow"),'Map 5'!K30="Flatland",$AT30,'Map 5'!K30="Island",CONCATENATE($AT30, " Island"),ISNUMBER(SEARCH("Rainshadow",'Map 5'!K30)),CONCATENATE($AT30," ",'Map 5'!K30)),'Map 5'!K30)</f>
        <v>Trench</v>
      </c>
      <c r="L30" s="46" t="str" cm="1">
        <f t="array" aca="1" ref="L30" ca="1">_xlfn.IFNA(_xlfn.IFS(AND(ISNUMBER(SEARCH("Rainshadow",'Map 5'!L30)),ISNUMBER(SEARCH("Flatland",'Map 5'!L30))),CONCATENATE($AT30, " Rainshadow"),'Map 5'!L30="Flatland",$AT30,'Map 5'!L30="Island",CONCATENATE($AT30, " Island"),ISNUMBER(SEARCH("Rainshadow",'Map 5'!L30)),CONCATENATE($AT30," ",'Map 5'!L30)),'Map 5'!L30)</f>
        <v>Ocean</v>
      </c>
      <c r="M30" s="46" t="str" cm="1">
        <f t="array" aca="1" ref="M30" ca="1">_xlfn.IFNA(_xlfn.IFS(AND(ISNUMBER(SEARCH("Rainshadow",'Map 5'!M30)),ISNUMBER(SEARCH("Flatland",'Map 5'!M30))),CONCATENATE($AT30, " Rainshadow"),'Map 5'!M30="Flatland",$AT30,'Map 5'!M30="Island",CONCATENATE($AT30, " Island"),ISNUMBER(SEARCH("Rainshadow",'Map 5'!M30)),CONCATENATE($AT30," ",'Map 5'!M30)),'Map 5'!M30)</f>
        <v>Ocean</v>
      </c>
      <c r="N30" s="46" t="str" cm="1">
        <f t="array" aca="1" ref="N30" ca="1">_xlfn.IFNA(_xlfn.IFS(AND(ISNUMBER(SEARCH("Rainshadow",'Map 5'!N30)),ISNUMBER(SEARCH("Flatland",'Map 5'!N30))),CONCATENATE($AT30, " Rainshadow"),'Map 5'!N30="Flatland",$AT30,'Map 5'!N30="Island",CONCATENATE($AT30, " Island"),ISNUMBER(SEARCH("Rainshadow",'Map 5'!N30)),CONCATENATE($AT30," ",'Map 5'!N30)),'Map 5'!N30)</f>
        <v>Ocean</v>
      </c>
      <c r="O30" s="46" t="str" cm="1">
        <f t="array" aca="1" ref="O30" ca="1">_xlfn.IFNA(_xlfn.IFS(AND(ISNUMBER(SEARCH("Rainshadow",'Map 5'!O30)),ISNUMBER(SEARCH("Flatland",'Map 5'!O30))),CONCATENATE($AT30, " Rainshadow"),'Map 5'!O30="Flatland",$AT30,'Map 5'!O30="Island",CONCATENATE($AT30, " Island"),ISNUMBER(SEARCH("Rainshadow",'Map 5'!O30)),CONCATENATE($AT30," ",'Map 5'!O30)),'Map 5'!O30)</f>
        <v>Ocean</v>
      </c>
      <c r="P30" s="46" t="str" cm="1">
        <f t="array" aca="1" ref="P30" ca="1">_xlfn.IFNA(_xlfn.IFS(AND(ISNUMBER(SEARCH("Rainshadow",'Map 5'!P30)),ISNUMBER(SEARCH("Flatland",'Map 5'!P30))),CONCATENATE($AT30, " Rainshadow"),'Map 5'!P30="Flatland",$AT30,'Map 5'!P30="Island",CONCATENATE($AT30, " Island"),ISNUMBER(SEARCH("Rainshadow",'Map 5'!P30)),CONCATENATE($AT30," ",'Map 5'!P30)),'Map 5'!P30)</f>
        <v>Ocean</v>
      </c>
      <c r="Q30" s="46" t="str" cm="1">
        <f t="array" aca="1" ref="Q30" ca="1">_xlfn.IFNA(_xlfn.IFS(AND(ISNUMBER(SEARCH("Rainshadow",'Map 5'!Q30)),ISNUMBER(SEARCH("Flatland",'Map 5'!Q30))),CONCATENATE($AT30, " Rainshadow"),'Map 5'!Q30="Flatland",$AT30,'Map 5'!Q30="Island",CONCATENATE($AT30, " Island"),ISNUMBER(SEARCH("Rainshadow",'Map 5'!Q30)),CONCATENATE($AT30," ",'Map 5'!Q30)),'Map 5'!Q30)</f>
        <v>Ocean</v>
      </c>
      <c r="R30" s="46" t="str" cm="1">
        <f t="array" aca="1" ref="R30" ca="1">_xlfn.IFNA(_xlfn.IFS(AND(ISNUMBER(SEARCH("Rainshadow",'Map 5'!R30)),ISNUMBER(SEARCH("Flatland",'Map 5'!R30))),CONCATENATE($AT30, " Rainshadow"),'Map 5'!R30="Flatland",$AT30,'Map 5'!R30="Island",CONCATENATE($AT30, " Island"),ISNUMBER(SEARCH("Rainshadow",'Map 5'!R30)),CONCATENATE($AT30," ",'Map 5'!R30)),'Map 5'!R30)</f>
        <v>Ocean</v>
      </c>
      <c r="S30" s="46" t="str" cm="1">
        <f t="array" aca="1" ref="S30" ca="1">_xlfn.IFNA(_xlfn.IFS(AND(ISNUMBER(SEARCH("Rainshadow",'Map 5'!S30)),ISNUMBER(SEARCH("Flatland",'Map 5'!S30))),CONCATENATE($AT30, " Rainshadow"),'Map 5'!S30="Flatland",$AT30,'Map 5'!S30="Island",CONCATENATE($AT30, " Island"),ISNUMBER(SEARCH("Rainshadow",'Map 5'!S30)),CONCATENATE($AT30," ",'Map 5'!S30)),'Map 5'!S30)</f>
        <v>Coast</v>
      </c>
      <c r="T30" s="46" t="str" cm="1">
        <f t="array" aca="1" ref="T30" ca="1">_xlfn.IFNA(_xlfn.IFS(AND(ISNUMBER(SEARCH("Rainshadow",'Map 5'!T30)),ISNUMBER(SEARCH("Flatland",'Map 5'!T30))),CONCATENATE($AT30, " Rainshadow"),'Map 5'!T30="Flatland",$AT30,'Map 5'!T30="Island",CONCATENATE($AT30, " Island"),ISNUMBER(SEARCH("Rainshadow",'Map 5'!T30)),CONCATENATE($AT30," ",'Map 5'!T30)),'Map 5'!T30)</f>
        <v>Coast</v>
      </c>
      <c r="U30" s="46" t="str" cm="1">
        <f t="array" aca="1" ref="U30" ca="1">_xlfn.IFNA(_xlfn.IFS(AND(ISNUMBER(SEARCH("Rainshadow",'Map 5'!U30)),ISNUMBER(SEARCH("Flatland",'Map 5'!U30))),CONCATENATE($AT30, " Rainshadow"),'Map 5'!U30="Flatland",$AT30,'Map 5'!U30="Island",CONCATENATE($AT30, " Island"),ISNUMBER(SEARCH("Rainshadow",'Map 5'!U30)),CONCATENATE($AT30," ",'Map 5'!U30)),'Map 5'!U30)</f>
        <v>Coast</v>
      </c>
      <c r="V30" s="46" t="str" cm="1">
        <f t="array" aca="1" ref="V30" ca="1">_xlfn.IFNA(_xlfn.IFS(AND(ISNUMBER(SEARCH("Rainshadow",'Map 5'!V30)),ISNUMBER(SEARCH("Flatland",'Map 5'!V30))),CONCATENATE($AT30, " Rainshadow"),'Map 5'!V30="Flatland",$AT30,'Map 5'!V30="Island",CONCATENATE($AT30, " Island"),ISNUMBER(SEARCH("Rainshadow",'Map 5'!V30)),CONCATENATE($AT30," ",'Map 5'!V30)),'Map 5'!V30)</f>
        <v>Coast</v>
      </c>
      <c r="W30" s="46" t="str" cm="1">
        <f t="array" aca="1" ref="W30" ca="1">_xlfn.IFNA(_xlfn.IFS(AND(ISNUMBER(SEARCH("Rainshadow",'Map 5'!W30)),ISNUMBER(SEARCH("Flatland",'Map 5'!W30))),CONCATENATE($AT30, " Rainshadow"),'Map 5'!W30="Flatland",$AT30,'Map 5'!W30="Island",CONCATENATE($AT30, " Island"),ISNUMBER(SEARCH("Rainshadow",'Map 5'!W30)),CONCATENATE($AT30," ",'Map 5'!W30)),'Map 5'!W30)</f>
        <v>Ocean</v>
      </c>
      <c r="X30" s="46" t="str" cm="1">
        <f t="array" aca="1" ref="X30" ca="1">_xlfn.IFNA(_xlfn.IFS(AND(ISNUMBER(SEARCH("Rainshadow",'Map 5'!X30)),ISNUMBER(SEARCH("Flatland",'Map 5'!X30))),CONCATENATE($AT30, " Rainshadow"),'Map 5'!X30="Flatland",$AT30,'Map 5'!X30="Island",CONCATENATE($AT30, " Island"),ISNUMBER(SEARCH("Rainshadow",'Map 5'!X30)),CONCATENATE($AT30," ",'Map 5'!X30)),'Map 5'!X30)</f>
        <v>Ocean</v>
      </c>
      <c r="Y30" s="46" t="str" cm="1">
        <f t="array" aca="1" ref="Y30" ca="1">_xlfn.IFNA(_xlfn.IFS(AND(ISNUMBER(SEARCH("Rainshadow",'Map 5'!Y30)),ISNUMBER(SEARCH("Flatland",'Map 5'!Y30))),CONCATENATE($AT30, " Rainshadow"),'Map 5'!Y30="Flatland",$AT30,'Map 5'!Y30="Island",CONCATENATE($AT30, " Island"),ISNUMBER(SEARCH("Rainshadow",'Map 5'!Y30)),CONCATENATE($AT30," ",'Map 5'!Y30)),'Map 5'!Y30)</f>
        <v>Ocean</v>
      </c>
      <c r="Z30" s="46" t="str" cm="1">
        <f t="array" aca="1" ref="Z30" ca="1">_xlfn.IFNA(_xlfn.IFS(AND(ISNUMBER(SEARCH("Rainshadow",'Map 5'!Z30)),ISNUMBER(SEARCH("Flatland",'Map 5'!Z30))),CONCATENATE($AT30, " Rainshadow"),'Map 5'!Z30="Flatland",$AT30,'Map 5'!Z30="Island",CONCATENATE($AT30, " Island"),ISNUMBER(SEARCH("Rainshadow",'Map 5'!Z30)),CONCATENATE($AT30," ",'Map 5'!Z30)),'Map 5'!Z30)</f>
        <v>Ocean</v>
      </c>
      <c r="AA30" s="46" t="str" cm="1">
        <f t="array" aca="1" ref="AA30" ca="1">_xlfn.IFNA(_xlfn.IFS(AND(ISNUMBER(SEARCH("Rainshadow",'Map 5'!AA30)),ISNUMBER(SEARCH("Flatland",'Map 5'!AA30))),CONCATENATE($AT30, " Rainshadow"),'Map 5'!AA30="Flatland",$AT30,'Map 5'!AA30="Island",CONCATENATE($AT30, " Island"),ISNUMBER(SEARCH("Rainshadow",'Map 5'!AA30)),CONCATENATE($AT30," ",'Map 5'!AA30)),'Map 5'!AA30)</f>
        <v>Ocean</v>
      </c>
      <c r="AB30" s="46" t="str" cm="1">
        <f t="array" aca="1" ref="AB30" ca="1">_xlfn.IFNA(_xlfn.IFS(AND(ISNUMBER(SEARCH("Rainshadow",'Map 5'!AB30)),ISNUMBER(SEARCH("Flatland",'Map 5'!AB30))),CONCATENATE($AT30, " Rainshadow"),'Map 5'!AB30="Flatland",$AT30,'Map 5'!AB30="Island",CONCATENATE($AT30, " Island"),ISNUMBER(SEARCH("Rainshadow",'Map 5'!AB30)),CONCATENATE($AT30," ",'Map 5'!AB30)),'Map 5'!AB30)</f>
        <v>Ocean</v>
      </c>
      <c r="AC30" s="46" t="str" cm="1">
        <f t="array" aca="1" ref="AC30" ca="1">_xlfn.IFNA(_xlfn.IFS(AND(ISNUMBER(SEARCH("Rainshadow",'Map 5'!AC30)),ISNUMBER(SEARCH("Flatland",'Map 5'!AC30))),CONCATENATE($AT30, " Rainshadow"),'Map 5'!AC30="Flatland",$AT30,'Map 5'!AC30="Island",CONCATENATE($AT30, " Island"),ISNUMBER(SEARCH("Rainshadow",'Map 5'!AC30)),CONCATENATE($AT30," ",'Map 5'!AC30)),'Map 5'!AC30)</f>
        <v>Ocean</v>
      </c>
      <c r="AD30" s="46" t="str" cm="1">
        <f t="array" aca="1" ref="AD30" ca="1">_xlfn.IFNA(_xlfn.IFS(AND(ISNUMBER(SEARCH("Rainshadow",'Map 5'!AD30)),ISNUMBER(SEARCH("Flatland",'Map 5'!AD30))),CONCATENATE($AT30, " Rainshadow"),'Map 5'!AD30="Flatland",$AT30,'Map 5'!AD30="Island",CONCATENATE($AT30, " Island"),ISNUMBER(SEARCH("Rainshadow",'Map 5'!AD30)),CONCATENATE($AT30," ",'Map 5'!AD30)),'Map 5'!AD30)</f>
        <v>Ocean</v>
      </c>
      <c r="AE30" s="46" t="str" cm="1">
        <f t="array" aca="1" ref="AE30" ca="1">_xlfn.IFNA(_xlfn.IFS(AND(ISNUMBER(SEARCH("Rainshadow",'Map 5'!AE30)),ISNUMBER(SEARCH("Flatland",'Map 5'!AE30))),CONCATENATE($AT30, " Rainshadow"),'Map 5'!AE30="Flatland",$AT30,'Map 5'!AE30="Island",CONCATENATE($AT30, " Island"),ISNUMBER(SEARCH("Rainshadow",'Map 5'!AE30)),CONCATENATE($AT30," ",'Map 5'!AE30)),'Map 5'!AE30)</f>
        <v>Rainforest Island</v>
      </c>
      <c r="AF30" s="46" t="str" cm="1">
        <f t="array" aca="1" ref="AF30" ca="1">_xlfn.IFNA(_xlfn.IFS(AND(ISNUMBER(SEARCH("Rainshadow",'Map 5'!AF30)),ISNUMBER(SEARCH("Flatland",'Map 5'!AF30))),CONCATENATE($AT30, " Rainshadow"),'Map 5'!AF30="Flatland",$AT30,'Map 5'!AF30="Island",CONCATENATE($AT30, " Island"),ISNUMBER(SEARCH("Rainshadow",'Map 5'!AF30)),CONCATENATE($AT30," ",'Map 5'!AF30)),'Map 5'!AF30)</f>
        <v>Trench</v>
      </c>
      <c r="AG30" s="46" t="str" cm="1">
        <f t="array" aca="1" ref="AG30" ca="1">_xlfn.IFNA(_xlfn.IFS(AND(ISNUMBER(SEARCH("Rainshadow",'Map 5'!AG30)),ISNUMBER(SEARCH("Flatland",'Map 5'!AG30))),CONCATENATE($AT30, " Rainshadow"),'Map 5'!AG30="Flatland",$AT30,'Map 5'!AG30="Island",CONCATENATE($AT30, " Island"),ISNUMBER(SEARCH("Rainshadow",'Map 5'!AG30)),CONCATENATE($AT30," ",'Map 5'!AG30)),'Map 5'!AG30)</f>
        <v>Ocean</v>
      </c>
      <c r="AH30" s="46" t="str" cm="1">
        <f t="array" aca="1" ref="AH30" ca="1">_xlfn.IFNA(_xlfn.IFS(AND(ISNUMBER(SEARCH("Rainshadow",'Map 5'!AH30)),ISNUMBER(SEARCH("Flatland",'Map 5'!AH30))),CONCATENATE($AT30, " Rainshadow"),'Map 5'!AH30="Flatland",$AT30,'Map 5'!AH30="Island",CONCATENATE($AT30, " Island"),ISNUMBER(SEARCH("Rainshadow",'Map 5'!AH30)),CONCATENATE($AT30," ",'Map 5'!AH30)),'Map 5'!AH30)</f>
        <v>Ocean</v>
      </c>
      <c r="AI30" s="46" t="str" cm="1">
        <f t="array" aca="1" ref="AI30" ca="1">_xlfn.IFNA(_xlfn.IFS(AND(ISNUMBER(SEARCH("Rainshadow",'Map 5'!AI30)),ISNUMBER(SEARCH("Flatland",'Map 5'!AI30))),CONCATENATE($AT30, " Rainshadow"),'Map 5'!AI30="Flatland",$AT30,'Map 5'!AI30="Island",CONCATENATE($AT30, " Island"),ISNUMBER(SEARCH("Rainshadow",'Map 5'!AI30)),CONCATENATE($AT30," ",'Map 5'!AI30)),'Map 5'!AI30)</f>
        <v>Ocean</v>
      </c>
      <c r="AJ30" s="46" t="str" cm="1">
        <f t="array" aca="1" ref="AJ30" ca="1">_xlfn.IFNA(_xlfn.IFS(AND(ISNUMBER(SEARCH("Rainshadow",'Map 5'!AJ30)),ISNUMBER(SEARCH("Flatland",'Map 5'!AJ30))),CONCATENATE($AT30, " Rainshadow"),'Map 5'!AJ30="Flatland",$AT30,'Map 5'!AJ30="Island",CONCATENATE($AT30, " Island"),ISNUMBER(SEARCH("Rainshadow",'Map 5'!AJ30)),CONCATENATE($AT30," ",'Map 5'!AJ30)),'Map 5'!AJ30)</f>
        <v>Ocean</v>
      </c>
      <c r="AK30" s="46" t="str" cm="1">
        <f t="array" aca="1" ref="AK30" ca="1">_xlfn.IFNA(_xlfn.IFS(AND(ISNUMBER(SEARCH("Rainshadow",'Map 5'!AK30)),ISNUMBER(SEARCH("Flatland",'Map 5'!AK30))),CONCATENATE($AT30, " Rainshadow"),'Map 5'!AK30="Flatland",$AT30,'Map 5'!AK30="Island",CONCATENATE($AT30, " Island"),ISNUMBER(SEARCH("Rainshadow",'Map 5'!AK30)),CONCATENATE($AT30," ",'Map 5'!AK30)),'Map 5'!AK30)</f>
        <v>Trench</v>
      </c>
      <c r="AL30" s="46" t="str" cm="1">
        <f t="array" aca="1" ref="AL30" ca="1">_xlfn.IFNA(_xlfn.IFS(AND(ISNUMBER(SEARCH("Rainshadow",'Map 5'!AL30)),ISNUMBER(SEARCH("Flatland",'Map 5'!AL30))),CONCATENATE($AT30, " Rainshadow"),'Map 5'!AL30="Flatland",$AT30,'Map 5'!AL30="Island",CONCATENATE($AT30, " Island"),ISNUMBER(SEARCH("Rainshadow",'Map 5'!AL30)),CONCATENATE($AT30," ",'Map 5'!AL30)),'Map 5'!AL30)</f>
        <v>Rainforest Island</v>
      </c>
      <c r="AM30" s="46" t="str" cm="1">
        <f t="array" aca="1" ref="AM30" ca="1">_xlfn.IFNA(_xlfn.IFS(AND(ISNUMBER(SEARCH("Rainshadow",'Map 5'!AM30)),ISNUMBER(SEARCH("Flatland",'Map 5'!AM30))),CONCATENATE($AT30, " Rainshadow"),'Map 5'!AM30="Flatland",$AT30,'Map 5'!AM30="Island",CONCATENATE($AT30, " Island"),ISNUMBER(SEARCH("Rainshadow",'Map 5'!AM30)),CONCATENATE($AT30," ",'Map 5'!AM30)),'Map 5'!AM30)</f>
        <v>Ocean</v>
      </c>
      <c r="AN30" s="46" t="str" cm="1">
        <f t="array" aca="1" ref="AN30" ca="1">_xlfn.IFNA(_xlfn.IFS(AND(ISNUMBER(SEARCH("Rainshadow",'Map 5'!AN30)),ISNUMBER(SEARCH("Flatland",'Map 5'!AN30))),CONCATENATE($AT30, " Rainshadow"),'Map 5'!AN30="Flatland",$AT30,'Map 5'!AN30="Island",CONCATENATE($AT30, " Island"),ISNUMBER(SEARCH("Rainshadow",'Map 5'!AN30)),CONCATENATE($AT30," ",'Map 5'!AN30)),'Map 5'!AN30)</f>
        <v>Trench</v>
      </c>
      <c r="AO30" s="46" t="str" cm="1">
        <f t="array" aca="1" ref="AO30" ca="1">_xlfn.IFNA(_xlfn.IFS(AND(ISNUMBER(SEARCH("Rainshadow",'Map 5'!AO30)),ISNUMBER(SEARCH("Flatland",'Map 5'!AO30))),CONCATENATE($AT30, " Rainshadow"),'Map 5'!AO30="Flatland",$AT30,'Map 5'!AO30="Island",CONCATENATE($AT30, " Island"),ISNUMBER(SEARCH("Rainshadow",'Map 5'!AO30)),CONCATENATE($AT30," ",'Map 5'!AO30)),'Map 5'!AO30)</f>
        <v>Ocean</v>
      </c>
      <c r="AP30" s="46">
        <f>'Map 5'!AP30</f>
        <v>90.9</v>
      </c>
      <c r="AQ30" s="46">
        <f>'Map 5'!AQ30</f>
        <v>195.62</v>
      </c>
      <c r="AR30" s="46">
        <f>'Map 5'!AS30</f>
        <v>364.05</v>
      </c>
      <c r="AS30" s="47">
        <f>'Map 5'!AT30</f>
        <v>-4.5</v>
      </c>
      <c r="AT30" s="47" t="str">
        <f>'Map 5'!AU30</f>
        <v>Rainforest</v>
      </c>
      <c r="AU30" s="47" t="str">
        <f>'Map 5'!AV30</f>
        <v>⤴</v>
      </c>
      <c r="AX30" s="47" t="str">
        <f>CONCATENATE($AX$24," ",$AX4)</f>
        <v>Grasslands Rainshadow Cliff</v>
      </c>
    </row>
    <row r="31" spans="1:50" ht="18.75" customHeight="1">
      <c r="A31" s="46">
        <v>22</v>
      </c>
      <c r="B31" s="46" t="str" cm="1">
        <f t="array" aca="1" ref="B31" ca="1">_xlfn.IFNA(_xlfn.IFS(AND(ISNUMBER(SEARCH("Rainshadow",'Map 5'!B31)),ISNUMBER(SEARCH("Flatland",'Map 5'!B31))),CONCATENATE($AT31, " Rainshadow"),'Map 5'!B31="Flatland",$AT31,'Map 5'!B31="Island",CONCATENATE($AT31, " Island"),ISNUMBER(SEARCH("Rainshadow",'Map 5'!B31)),CONCATENATE($AT31," ",'Map 5'!B31)),'Map 5'!B31)</f>
        <v>Rainforest</v>
      </c>
      <c r="C31" s="46" t="str" cm="1">
        <f t="array" aca="1" ref="C31" ca="1">_xlfn.IFNA(_xlfn.IFS(AND(ISNUMBER(SEARCH("Rainshadow",'Map 5'!C31)),ISNUMBER(SEARCH("Flatland",'Map 5'!C31))),CONCATENATE($AT31, " Rainshadow"),'Map 5'!C31="Flatland",$AT31,'Map 5'!C31="Island",CONCATENATE($AT31, " Island"),ISNUMBER(SEARCH("Rainshadow",'Map 5'!C31)),CONCATENATE($AT31," ",'Map 5'!C31)),'Map 5'!C31)</f>
        <v>Rainforest</v>
      </c>
      <c r="D31" s="46" t="str" cm="1">
        <f t="array" aca="1" ref="D31" ca="1">_xlfn.IFNA(_xlfn.IFS(AND(ISNUMBER(SEARCH("Rainshadow",'Map 5'!D31)),ISNUMBER(SEARCH("Flatland",'Map 5'!D31))),CONCATENATE($AT31, " Rainshadow"),'Map 5'!D31="Flatland",$AT31,'Map 5'!D31="Island",CONCATENATE($AT31, " Island"),ISNUMBER(SEARCH("Rainshadow",'Map 5'!D31)),CONCATENATE($AT31," ",'Map 5'!D31)),'Map 5'!D31)</f>
        <v>Rainforest Rainshadow</v>
      </c>
      <c r="E31" s="46" t="str" cm="1">
        <f t="array" aca="1" ref="E31" ca="1">_xlfn.IFNA(_xlfn.IFS(AND(ISNUMBER(SEARCH("Rainshadow",'Map 5'!E31)),ISNUMBER(SEARCH("Flatland",'Map 5'!E31))),CONCATENATE($AT31, " Rainshadow"),'Map 5'!E31="Flatland",$AT31,'Map 5'!E31="Island",CONCATENATE($AT31, " Island"),ISNUMBER(SEARCH("Rainshadow",'Map 5'!E31)),CONCATENATE($AT31," ",'Map 5'!E31)),'Map 5'!E31)</f>
        <v>Rainforest</v>
      </c>
      <c r="F31" s="46" t="str" cm="1">
        <f t="array" aca="1" ref="F31" ca="1">_xlfn.IFNA(_xlfn.IFS(AND(ISNUMBER(SEARCH("Rainshadow",'Map 5'!F31)),ISNUMBER(SEARCH("Flatland",'Map 5'!F31))),CONCATENATE($AT31, " Rainshadow"),'Map 5'!F31="Flatland",$AT31,'Map 5'!F31="Island",CONCATENATE($AT31, " Island"),ISNUMBER(SEARCH("Rainshadow",'Map 5'!F31)),CONCATENATE($AT31," ",'Map 5'!F31)),'Map 5'!F31)</f>
        <v>Mountain</v>
      </c>
      <c r="G31" s="46" t="str" cm="1">
        <f t="array" aca="1" ref="G31" ca="1">_xlfn.IFNA(_xlfn.IFS(AND(ISNUMBER(SEARCH("Rainshadow",'Map 5'!G31)),ISNUMBER(SEARCH("Flatland",'Map 5'!G31))),CONCATENATE($AT31, " Rainshadow"),'Map 5'!G31="Flatland",$AT31,'Map 5'!G31="Island",CONCATENATE($AT31, " Island"),ISNUMBER(SEARCH("Rainshadow",'Map 5'!G31)),CONCATENATE($AT31," ",'Map 5'!G31)),'Map 5'!G31)</f>
        <v>Rainforest</v>
      </c>
      <c r="H31" s="46" t="str" cm="1">
        <f t="array" aca="1" ref="H31" ca="1">_xlfn.IFNA(_xlfn.IFS(AND(ISNUMBER(SEARCH("Rainshadow",'Map 5'!H31)),ISNUMBER(SEARCH("Flatland",'Map 5'!H31))),CONCATENATE($AT31, " Rainshadow"),'Map 5'!H31="Flatland",$AT31,'Map 5'!H31="Island",CONCATENATE($AT31, " Island"),ISNUMBER(SEARCH("Rainshadow",'Map 5'!H31)),CONCATENATE($AT31," ",'Map 5'!H31)),'Map 5'!H31)</f>
        <v>Rainforest</v>
      </c>
      <c r="I31" s="46" t="str" cm="1">
        <f t="array" aca="1" ref="I31" ca="1">_xlfn.IFNA(_xlfn.IFS(AND(ISNUMBER(SEARCH("Rainshadow",'Map 5'!I31)),ISNUMBER(SEARCH("Flatland",'Map 5'!I31))),CONCATENATE($AT31, " Rainshadow"),'Map 5'!I31="Flatland",$AT31,'Map 5'!I31="Island",CONCATENATE($AT31, " Island"),ISNUMBER(SEARCH("Rainshadow",'Map 5'!I31)),CONCATENATE($AT31," ",'Map 5'!I31)),'Map 5'!I31)</f>
        <v>Rainforest</v>
      </c>
      <c r="J31" s="46" t="str" cm="1">
        <f t="array" aca="1" ref="J31" ca="1">_xlfn.IFNA(_xlfn.IFS(AND(ISNUMBER(SEARCH("Rainshadow",'Map 5'!J31)),ISNUMBER(SEARCH("Flatland",'Map 5'!J31))),CONCATENATE($AT31, " Rainshadow"),'Map 5'!J31="Flatland",$AT31,'Map 5'!J31="Island",CONCATENATE($AT31, " Island"),ISNUMBER(SEARCH("Rainshadow",'Map 5'!J31)),CONCATENATE($AT31," ",'Map 5'!J31)),'Map 5'!J31)</f>
        <v>Rainforest</v>
      </c>
      <c r="K31" s="46" t="str" cm="1">
        <f t="array" aca="1" ref="K31" ca="1">_xlfn.IFNA(_xlfn.IFS(AND(ISNUMBER(SEARCH("Rainshadow",'Map 5'!K31)),ISNUMBER(SEARCH("Flatland",'Map 5'!K31))),CONCATENATE($AT31, " Rainshadow"),'Map 5'!K31="Flatland",$AT31,'Map 5'!K31="Island",CONCATENATE($AT31, " Island"),ISNUMBER(SEARCH("Rainshadow",'Map 5'!K31)),CONCATENATE($AT31," ",'Map 5'!K31)),'Map 5'!K31)</f>
        <v>Ocean</v>
      </c>
      <c r="L31" s="46" t="str" cm="1">
        <f t="array" aca="1" ref="L31" ca="1">_xlfn.IFNA(_xlfn.IFS(AND(ISNUMBER(SEARCH("Rainshadow",'Map 5'!L31)),ISNUMBER(SEARCH("Flatland",'Map 5'!L31))),CONCATENATE($AT31, " Rainshadow"),'Map 5'!L31="Flatland",$AT31,'Map 5'!L31="Island",CONCATENATE($AT31, " Island"),ISNUMBER(SEARCH("Rainshadow",'Map 5'!L31)),CONCATENATE($AT31," ",'Map 5'!L31)),'Map 5'!L31)</f>
        <v>Ocean</v>
      </c>
      <c r="M31" s="46" t="str" cm="1">
        <f t="array" aca="1" ref="M31" ca="1">_xlfn.IFNA(_xlfn.IFS(AND(ISNUMBER(SEARCH("Rainshadow",'Map 5'!M31)),ISNUMBER(SEARCH("Flatland",'Map 5'!M31))),CONCATENATE($AT31, " Rainshadow"),'Map 5'!M31="Flatland",$AT31,'Map 5'!M31="Island",CONCATENATE($AT31, " Island"),ISNUMBER(SEARCH("Rainshadow",'Map 5'!M31)),CONCATENATE($AT31," ",'Map 5'!M31)),'Map 5'!M31)</f>
        <v>Ocean</v>
      </c>
      <c r="N31" s="46" t="str" cm="1">
        <f t="array" aca="1" ref="N31" ca="1">_xlfn.IFNA(_xlfn.IFS(AND(ISNUMBER(SEARCH("Rainshadow",'Map 5'!N31)),ISNUMBER(SEARCH("Flatland",'Map 5'!N31))),CONCATENATE($AT31, " Rainshadow"),'Map 5'!N31="Flatland",$AT31,'Map 5'!N31="Island",CONCATENATE($AT31, " Island"),ISNUMBER(SEARCH("Rainshadow",'Map 5'!N31)),CONCATENATE($AT31," ",'Map 5'!N31)),'Map 5'!N31)</f>
        <v>Ocean</v>
      </c>
      <c r="O31" s="46" t="str" cm="1">
        <f t="array" aca="1" ref="O31" ca="1">_xlfn.IFNA(_xlfn.IFS(AND(ISNUMBER(SEARCH("Rainshadow",'Map 5'!O31)),ISNUMBER(SEARCH("Flatland",'Map 5'!O31))),CONCATENATE($AT31, " Rainshadow"),'Map 5'!O31="Flatland",$AT31,'Map 5'!O31="Island",CONCATENATE($AT31, " Island"),ISNUMBER(SEARCH("Rainshadow",'Map 5'!O31)),CONCATENATE($AT31," ",'Map 5'!O31)),'Map 5'!O31)</f>
        <v>Ocean</v>
      </c>
      <c r="P31" s="46" t="str" cm="1">
        <f t="array" aca="1" ref="P31" ca="1">_xlfn.IFNA(_xlfn.IFS(AND(ISNUMBER(SEARCH("Rainshadow",'Map 5'!P31)),ISNUMBER(SEARCH("Flatland",'Map 5'!P31))),CONCATENATE($AT31, " Rainshadow"),'Map 5'!P31="Flatland",$AT31,'Map 5'!P31="Island",CONCATENATE($AT31, " Island"),ISNUMBER(SEARCH("Rainshadow",'Map 5'!P31)),CONCATENATE($AT31," ",'Map 5'!P31)),'Map 5'!P31)</f>
        <v>Ocean</v>
      </c>
      <c r="Q31" s="46" t="str" cm="1">
        <f t="array" aca="1" ref="Q31" ca="1">_xlfn.IFNA(_xlfn.IFS(AND(ISNUMBER(SEARCH("Rainshadow",'Map 5'!Q31)),ISNUMBER(SEARCH("Flatland",'Map 5'!Q31))),CONCATENATE($AT31, " Rainshadow"),'Map 5'!Q31="Flatland",$AT31,'Map 5'!Q31="Island",CONCATENATE($AT31, " Island"),ISNUMBER(SEARCH("Rainshadow",'Map 5'!Q31)),CONCATENATE($AT31," ",'Map 5'!Q31)),'Map 5'!Q31)</f>
        <v>Ocean</v>
      </c>
      <c r="R31" s="46" t="str" cm="1">
        <f t="array" aca="1" ref="R31" ca="1">_xlfn.IFNA(_xlfn.IFS(AND(ISNUMBER(SEARCH("Rainshadow",'Map 5'!R31)),ISNUMBER(SEARCH("Flatland",'Map 5'!R31))),CONCATENATE($AT31, " Rainshadow"),'Map 5'!R31="Flatland",$AT31,'Map 5'!R31="Island",CONCATENATE($AT31, " Island"),ISNUMBER(SEARCH("Rainshadow",'Map 5'!R31)),CONCATENATE($AT31," ",'Map 5'!R31)),'Map 5'!R31)</f>
        <v>Ocean</v>
      </c>
      <c r="S31" s="46" t="str" cm="1">
        <f t="array" aca="1" ref="S31" ca="1">_xlfn.IFNA(_xlfn.IFS(AND(ISNUMBER(SEARCH("Rainshadow",'Map 5'!S31)),ISNUMBER(SEARCH("Flatland",'Map 5'!S31))),CONCATENATE($AT31, " Rainshadow"),'Map 5'!S31="Flatland",$AT31,'Map 5'!S31="Island",CONCATENATE($AT31, " Island"),ISNUMBER(SEARCH("Rainshadow",'Map 5'!S31)),CONCATENATE($AT31," ",'Map 5'!S31)),'Map 5'!S31)</f>
        <v>Ocean</v>
      </c>
      <c r="T31" s="46" t="str" cm="1">
        <f t="array" aca="1" ref="T31" ca="1">_xlfn.IFNA(_xlfn.IFS(AND(ISNUMBER(SEARCH("Rainshadow",'Map 5'!T31)),ISNUMBER(SEARCH("Flatland",'Map 5'!T31))),CONCATENATE($AT31, " Rainshadow"),'Map 5'!T31="Flatland",$AT31,'Map 5'!T31="Island",CONCATENATE($AT31, " Island"),ISNUMBER(SEARCH("Rainshadow",'Map 5'!T31)),CONCATENATE($AT31," ",'Map 5'!T31)),'Map 5'!T31)</f>
        <v>Coast</v>
      </c>
      <c r="U31" s="46" t="str" cm="1">
        <f t="array" aca="1" ref="U31" ca="1">_xlfn.IFNA(_xlfn.IFS(AND(ISNUMBER(SEARCH("Rainshadow",'Map 5'!U31)),ISNUMBER(SEARCH("Flatland",'Map 5'!U31))),CONCATENATE($AT31, " Rainshadow"),'Map 5'!U31="Flatland",$AT31,'Map 5'!U31="Island",CONCATENATE($AT31, " Island"),ISNUMBER(SEARCH("Rainshadow",'Map 5'!U31)),CONCATENATE($AT31," ",'Map 5'!U31)),'Map 5'!U31)</f>
        <v>Ocean</v>
      </c>
      <c r="V31" s="46" t="str" cm="1">
        <f t="array" aca="1" ref="V31" ca="1">_xlfn.IFNA(_xlfn.IFS(AND(ISNUMBER(SEARCH("Rainshadow",'Map 5'!V31)),ISNUMBER(SEARCH("Flatland",'Map 5'!V31))),CONCATENATE($AT31, " Rainshadow"),'Map 5'!V31="Flatland",$AT31,'Map 5'!V31="Island",CONCATENATE($AT31, " Island"),ISNUMBER(SEARCH("Rainshadow",'Map 5'!V31)),CONCATENATE($AT31," ",'Map 5'!V31)),'Map 5'!V31)</f>
        <v>Ocean</v>
      </c>
      <c r="W31" s="46" t="str" cm="1">
        <f t="array" aca="1" ref="W31" ca="1">_xlfn.IFNA(_xlfn.IFS(AND(ISNUMBER(SEARCH("Rainshadow",'Map 5'!W31)),ISNUMBER(SEARCH("Flatland",'Map 5'!W31))),CONCATENATE($AT31, " Rainshadow"),'Map 5'!W31="Flatland",$AT31,'Map 5'!W31="Island",CONCATENATE($AT31, " Island"),ISNUMBER(SEARCH("Rainshadow",'Map 5'!W31)),CONCATENATE($AT31," ",'Map 5'!W31)),'Map 5'!W31)</f>
        <v>Ocean</v>
      </c>
      <c r="X31" s="46" t="str" cm="1">
        <f t="array" aca="1" ref="X31" ca="1">_xlfn.IFNA(_xlfn.IFS(AND(ISNUMBER(SEARCH("Rainshadow",'Map 5'!X31)),ISNUMBER(SEARCH("Flatland",'Map 5'!X31))),CONCATENATE($AT31, " Rainshadow"),'Map 5'!X31="Flatland",$AT31,'Map 5'!X31="Island",CONCATENATE($AT31, " Island"),ISNUMBER(SEARCH("Rainshadow",'Map 5'!X31)),CONCATENATE($AT31," ",'Map 5'!X31)),'Map 5'!X31)</f>
        <v>Ocean</v>
      </c>
      <c r="Y31" s="46" t="str" cm="1">
        <f t="array" aca="1" ref="Y31" ca="1">_xlfn.IFNA(_xlfn.IFS(AND(ISNUMBER(SEARCH("Rainshadow",'Map 5'!Y31)),ISNUMBER(SEARCH("Flatland",'Map 5'!Y31))),CONCATENATE($AT31, " Rainshadow"),'Map 5'!Y31="Flatland",$AT31,'Map 5'!Y31="Island",CONCATENATE($AT31, " Island"),ISNUMBER(SEARCH("Rainshadow",'Map 5'!Y31)),CONCATENATE($AT31," ",'Map 5'!Y31)),'Map 5'!Y31)</f>
        <v>Ocean</v>
      </c>
      <c r="Z31" s="46" t="str" cm="1">
        <f t="array" aca="1" ref="Z31" ca="1">_xlfn.IFNA(_xlfn.IFS(AND(ISNUMBER(SEARCH("Rainshadow",'Map 5'!Z31)),ISNUMBER(SEARCH("Flatland",'Map 5'!Z31))),CONCATENATE($AT31, " Rainshadow"),'Map 5'!Z31="Flatland",$AT31,'Map 5'!Z31="Island",CONCATENATE($AT31, " Island"),ISNUMBER(SEARCH("Rainshadow",'Map 5'!Z31)),CONCATENATE($AT31," ",'Map 5'!Z31)),'Map 5'!Z31)</f>
        <v>Ocean</v>
      </c>
      <c r="AA31" s="46" t="str" cm="1">
        <f t="array" aca="1" ref="AA31" ca="1">_xlfn.IFNA(_xlfn.IFS(AND(ISNUMBER(SEARCH("Rainshadow",'Map 5'!AA31)),ISNUMBER(SEARCH("Flatland",'Map 5'!AA31))),CONCATENATE($AT31, " Rainshadow"),'Map 5'!AA31="Flatland",$AT31,'Map 5'!AA31="Island",CONCATENATE($AT31, " Island"),ISNUMBER(SEARCH("Rainshadow",'Map 5'!AA31)),CONCATENATE($AT31," ",'Map 5'!AA31)),'Map 5'!AA31)</f>
        <v>Trench</v>
      </c>
      <c r="AB31" s="46" t="str" cm="1">
        <f t="array" aca="1" ref="AB31" ca="1">_xlfn.IFNA(_xlfn.IFS(AND(ISNUMBER(SEARCH("Rainshadow",'Map 5'!AB31)),ISNUMBER(SEARCH("Flatland",'Map 5'!AB31))),CONCATENATE($AT31, " Rainshadow"),'Map 5'!AB31="Flatland",$AT31,'Map 5'!AB31="Island",CONCATENATE($AT31, " Island"),ISNUMBER(SEARCH("Rainshadow",'Map 5'!AB31)),CONCATENATE($AT31," ",'Map 5'!AB31)),'Map 5'!AB31)</f>
        <v>Rainforest Island</v>
      </c>
      <c r="AC31" s="46" t="str" cm="1">
        <f t="array" aca="1" ref="AC31" ca="1">_xlfn.IFNA(_xlfn.IFS(AND(ISNUMBER(SEARCH("Rainshadow",'Map 5'!AC31)),ISNUMBER(SEARCH("Flatland",'Map 5'!AC31))),CONCATENATE($AT31, " Rainshadow"),'Map 5'!AC31="Flatland",$AT31,'Map 5'!AC31="Island",CONCATENATE($AT31, " Island"),ISNUMBER(SEARCH("Rainshadow",'Map 5'!AC31)),CONCATENATE($AT31," ",'Map 5'!AC31)),'Map 5'!AC31)</f>
        <v>Ocean</v>
      </c>
      <c r="AD31" s="46" t="str" cm="1">
        <f t="array" aca="1" ref="AD31" ca="1">_xlfn.IFNA(_xlfn.IFS(AND(ISNUMBER(SEARCH("Rainshadow",'Map 5'!AD31)),ISNUMBER(SEARCH("Flatland",'Map 5'!AD31))),CONCATENATE($AT31, " Rainshadow"),'Map 5'!AD31="Flatland",$AT31,'Map 5'!AD31="Island",CONCATENATE($AT31, " Island"),ISNUMBER(SEARCH("Rainshadow",'Map 5'!AD31)),CONCATENATE($AT31," ",'Map 5'!AD31)),'Map 5'!AD31)</f>
        <v>Ocean</v>
      </c>
      <c r="AE31" s="46" t="str" cm="1">
        <f t="array" aca="1" ref="AE31" ca="1">_xlfn.IFNA(_xlfn.IFS(AND(ISNUMBER(SEARCH("Rainshadow",'Map 5'!AE31)),ISNUMBER(SEARCH("Flatland",'Map 5'!AE31))),CONCATENATE($AT31, " Rainshadow"),'Map 5'!AE31="Flatland",$AT31,'Map 5'!AE31="Island",CONCATENATE($AT31, " Island"),ISNUMBER(SEARCH("Rainshadow",'Map 5'!AE31)),CONCATENATE($AT31," ",'Map 5'!AE31)),'Map 5'!AE31)</f>
        <v>Ocean</v>
      </c>
      <c r="AF31" s="46" t="str" cm="1">
        <f t="array" aca="1" ref="AF31" ca="1">_xlfn.IFNA(_xlfn.IFS(AND(ISNUMBER(SEARCH("Rainshadow",'Map 5'!AF31)),ISNUMBER(SEARCH("Flatland",'Map 5'!AF31))),CONCATENATE($AT31, " Rainshadow"),'Map 5'!AF31="Flatland",$AT31,'Map 5'!AF31="Island",CONCATENATE($AT31, " Island"),ISNUMBER(SEARCH("Rainshadow",'Map 5'!AF31)),CONCATENATE($AT31," ",'Map 5'!AF31)),'Map 5'!AF31)</f>
        <v>Rainforest Island</v>
      </c>
      <c r="AG31" s="46" t="str" cm="1">
        <f t="array" aca="1" ref="AG31" ca="1">_xlfn.IFNA(_xlfn.IFS(AND(ISNUMBER(SEARCH("Rainshadow",'Map 5'!AG31)),ISNUMBER(SEARCH("Flatland",'Map 5'!AG31))),CONCATENATE($AT31, " Rainshadow"),'Map 5'!AG31="Flatland",$AT31,'Map 5'!AG31="Island",CONCATENATE($AT31, " Island"),ISNUMBER(SEARCH("Rainshadow",'Map 5'!AG31)),CONCATENATE($AT31," ",'Map 5'!AG31)),'Map 5'!AG31)</f>
        <v>Trench</v>
      </c>
      <c r="AH31" s="46" t="str" cm="1">
        <f t="array" aca="1" ref="AH31" ca="1">_xlfn.IFNA(_xlfn.IFS(AND(ISNUMBER(SEARCH("Rainshadow",'Map 5'!AH31)),ISNUMBER(SEARCH("Flatland",'Map 5'!AH31))),CONCATENATE($AT31, " Rainshadow"),'Map 5'!AH31="Flatland",$AT31,'Map 5'!AH31="Island",CONCATENATE($AT31, " Island"),ISNUMBER(SEARCH("Rainshadow",'Map 5'!AH31)),CONCATENATE($AT31," ",'Map 5'!AH31)),'Map 5'!AH31)</f>
        <v>Ocean</v>
      </c>
      <c r="AI31" s="46" t="str" cm="1">
        <f t="array" aca="1" ref="AI31" ca="1">_xlfn.IFNA(_xlfn.IFS(AND(ISNUMBER(SEARCH("Rainshadow",'Map 5'!AI31)),ISNUMBER(SEARCH("Flatland",'Map 5'!AI31))),CONCATENATE($AT31, " Rainshadow"),'Map 5'!AI31="Flatland",$AT31,'Map 5'!AI31="Island",CONCATENATE($AT31, " Island"),ISNUMBER(SEARCH("Rainshadow",'Map 5'!AI31)),CONCATENATE($AT31," ",'Map 5'!AI31)),'Map 5'!AI31)</f>
        <v>Ocean</v>
      </c>
      <c r="AJ31" s="46" t="str" cm="1">
        <f t="array" aca="1" ref="AJ31" ca="1">_xlfn.IFNA(_xlfn.IFS(AND(ISNUMBER(SEARCH("Rainshadow",'Map 5'!AJ31)),ISNUMBER(SEARCH("Flatland",'Map 5'!AJ31))),CONCATENATE($AT31, " Rainshadow"),'Map 5'!AJ31="Flatland",$AT31,'Map 5'!AJ31="Island",CONCATENATE($AT31, " Island"),ISNUMBER(SEARCH("Rainshadow",'Map 5'!AJ31)),CONCATENATE($AT31," ",'Map 5'!AJ31)),'Map 5'!AJ31)</f>
        <v>Rainforest Island</v>
      </c>
      <c r="AK31" s="46" t="str" cm="1">
        <f t="array" aca="1" ref="AK31" ca="1">_xlfn.IFNA(_xlfn.IFS(AND(ISNUMBER(SEARCH("Rainshadow",'Map 5'!AK31)),ISNUMBER(SEARCH("Flatland",'Map 5'!AK31))),CONCATENATE($AT31, " Rainshadow"),'Map 5'!AK31="Flatland",$AT31,'Map 5'!AK31="Island",CONCATENATE($AT31, " Island"),ISNUMBER(SEARCH("Rainshadow",'Map 5'!AK31)),CONCATENATE($AT31," ",'Map 5'!AK31)),'Map 5'!AK31)</f>
        <v>Ocean</v>
      </c>
      <c r="AL31" s="46" t="str" cm="1">
        <f t="array" aca="1" ref="AL31" ca="1">_xlfn.IFNA(_xlfn.IFS(AND(ISNUMBER(SEARCH("Rainshadow",'Map 5'!AL31)),ISNUMBER(SEARCH("Flatland",'Map 5'!AL31))),CONCATENATE($AT31, " Rainshadow"),'Map 5'!AL31="Flatland",$AT31,'Map 5'!AL31="Island",CONCATENATE($AT31, " Island"),ISNUMBER(SEARCH("Rainshadow",'Map 5'!AL31)),CONCATENATE($AT31," ",'Map 5'!AL31)),'Map 5'!AL31)</f>
        <v>Ocean</v>
      </c>
      <c r="AM31" s="46" t="str" cm="1">
        <f t="array" aca="1" ref="AM31" ca="1">_xlfn.IFNA(_xlfn.IFS(AND(ISNUMBER(SEARCH("Rainshadow",'Map 5'!AM31)),ISNUMBER(SEARCH("Flatland",'Map 5'!AM31))),CONCATENATE($AT31, " Rainshadow"),'Map 5'!AM31="Flatland",$AT31,'Map 5'!AM31="Island",CONCATENATE($AT31, " Island"),ISNUMBER(SEARCH("Rainshadow",'Map 5'!AM31)),CONCATENATE($AT31," ",'Map 5'!AM31)),'Map 5'!AM31)</f>
        <v>Ocean</v>
      </c>
      <c r="AN31" s="46" t="str" cm="1">
        <f t="array" aca="1" ref="AN31" ca="1">_xlfn.IFNA(_xlfn.IFS(AND(ISNUMBER(SEARCH("Rainshadow",'Map 5'!AN31)),ISNUMBER(SEARCH("Flatland",'Map 5'!AN31))),CONCATENATE($AT31, " Rainshadow"),'Map 5'!AN31="Flatland",$AT31,'Map 5'!AN31="Island",CONCATENATE($AT31, " Island"),ISNUMBER(SEARCH("Rainshadow",'Map 5'!AN31)),CONCATENATE($AT31," ",'Map 5'!AN31)),'Map 5'!AN31)</f>
        <v>Ocean</v>
      </c>
      <c r="AO31" s="46" t="str" cm="1">
        <f t="array" aca="1" ref="AO31" ca="1">_xlfn.IFNA(_xlfn.IFS(AND(ISNUMBER(SEARCH("Rainshadow",'Map 5'!AO31)),ISNUMBER(SEARCH("Flatland",'Map 5'!AO31))),CONCATENATE($AT31, " Rainshadow"),'Map 5'!AO31="Flatland",$AT31,'Map 5'!AO31="Island",CONCATENATE($AT31, " Island"),ISNUMBER(SEARCH("Rainshadow",'Map 5'!AO31)),CONCATENATE($AT31," ",'Map 5'!AO31)),'Map 5'!AO31)</f>
        <v>Ocean</v>
      </c>
      <c r="AP31" s="46">
        <f>'Map 5'!AP31</f>
        <v>83.95</v>
      </c>
      <c r="AQ31" s="46">
        <f>'Map 5'!AQ31</f>
        <v>183.11</v>
      </c>
      <c r="AR31" s="46">
        <f>'Map 5'!AS31</f>
        <v>357.1</v>
      </c>
      <c r="AS31" s="47">
        <f>'Map 5'!AT31</f>
        <v>-9</v>
      </c>
      <c r="AT31" s="47" t="str">
        <f>'Map 5'!AU31</f>
        <v>Rainforest</v>
      </c>
      <c r="AU31" s="47" t="str">
        <f>'Map 5'!AV31</f>
        <v>⤴</v>
      </c>
      <c r="AX31" s="47" t="str">
        <f>CONCATENATE($AX$25," ",$AX4)</f>
        <v>Rainforest Rainshadow Cliff</v>
      </c>
    </row>
    <row r="32" spans="1:50" ht="18.75" customHeight="1">
      <c r="A32" s="46">
        <v>23</v>
      </c>
      <c r="B32" s="46" t="str" cm="1">
        <f t="array" aca="1" ref="B32" ca="1">_xlfn.IFNA(_xlfn.IFS(AND(ISNUMBER(SEARCH("Rainshadow",'Map 5'!B32)),ISNUMBER(SEARCH("Flatland",'Map 5'!B32))),CONCATENATE($AT32, " Rainshadow"),'Map 5'!B32="Flatland",$AT32,'Map 5'!B32="Island",CONCATENATE($AT32, " Island"),ISNUMBER(SEARCH("Rainshadow",'Map 5'!B32)),CONCATENATE($AT32," ",'Map 5'!B32)),'Map 5'!B32)</f>
        <v>Ocean</v>
      </c>
      <c r="C32" s="46" t="str" cm="1">
        <f t="array" aca="1" ref="C32" ca="1">_xlfn.IFNA(_xlfn.IFS(AND(ISNUMBER(SEARCH("Rainshadow",'Map 5'!C32)),ISNUMBER(SEARCH("Flatland",'Map 5'!C32))),CONCATENATE($AT32, " Rainshadow"),'Map 5'!C32="Flatland",$AT32,'Map 5'!C32="Island",CONCATENATE($AT32, " Island"),ISNUMBER(SEARCH("Rainshadow",'Map 5'!C32)),CONCATENATE($AT32," ",'Map 5'!C32)),'Map 5'!C32)</f>
        <v>Drop Off</v>
      </c>
      <c r="D32" s="46" t="str" cm="1">
        <f t="array" aca="1" ref="D32" ca="1">_xlfn.IFNA(_xlfn.IFS(AND(ISNUMBER(SEARCH("Rainshadow",'Map 5'!D32)),ISNUMBER(SEARCH("Flatland",'Map 5'!D32))),CONCATENATE($AT32, " Rainshadow"),'Map 5'!D32="Flatland",$AT32,'Map 5'!D32="Island",CONCATENATE($AT32, " Island"),ISNUMBER(SEARCH("Rainshadow",'Map 5'!D32)),CONCATENATE($AT32," ",'Map 5'!D32)),'Map 5'!D32)</f>
        <v>Rainforest</v>
      </c>
      <c r="E32" s="46" t="str" cm="1">
        <f t="array" aca="1" ref="E32" ca="1">_xlfn.IFNA(_xlfn.IFS(AND(ISNUMBER(SEARCH("Rainshadow",'Map 5'!E32)),ISNUMBER(SEARCH("Flatland",'Map 5'!E32))),CONCATENATE($AT32, " Rainshadow"),'Map 5'!E32="Flatland",$AT32,'Map 5'!E32="Island",CONCATENATE($AT32, " Island"),ISNUMBER(SEARCH("Rainshadow",'Map 5'!E32)),CONCATENATE($AT32," ",'Map 5'!E32)),'Map 5'!E32)</f>
        <v>Rainforest</v>
      </c>
      <c r="F32" s="46" t="str" cm="1">
        <f t="array" aca="1" ref="F32" ca="1">_xlfn.IFNA(_xlfn.IFS(AND(ISNUMBER(SEARCH("Rainshadow",'Map 5'!F32)),ISNUMBER(SEARCH("Flatland",'Map 5'!F32))),CONCATENATE($AT32, " Rainshadow"),'Map 5'!F32="Flatland",$AT32,'Map 5'!F32="Island",CONCATENATE($AT32, " Island"),ISNUMBER(SEARCH("Rainshadow",'Map 5'!F32)),CONCATENATE($AT32," ",'Map 5'!F32)),'Map 5'!F32)</f>
        <v>Rainforest Rainshadow</v>
      </c>
      <c r="G32" s="46" t="str" cm="1">
        <f t="array" aca="1" ref="G32" ca="1">_xlfn.IFNA(_xlfn.IFS(AND(ISNUMBER(SEARCH("Rainshadow",'Map 5'!G32)),ISNUMBER(SEARCH("Flatland",'Map 5'!G32))),CONCATENATE($AT32, " Rainshadow"),'Map 5'!G32="Flatland",$AT32,'Map 5'!G32="Island",CONCATENATE($AT32, " Island"),ISNUMBER(SEARCH("Rainshadow",'Map 5'!G32)),CONCATENATE($AT32," ",'Map 5'!G32)),'Map 5'!G32)</f>
        <v>Rainforest</v>
      </c>
      <c r="H32" s="46" t="str" cm="1">
        <f t="array" aca="1" ref="H32" ca="1">_xlfn.IFNA(_xlfn.IFS(AND(ISNUMBER(SEARCH("Rainshadow",'Map 5'!H32)),ISNUMBER(SEARCH("Flatland",'Map 5'!H32))),CONCATENATE($AT32, " Rainshadow"),'Map 5'!H32="Flatland",$AT32,'Map 5'!H32="Island",CONCATENATE($AT32, " Island"),ISNUMBER(SEARCH("Rainshadow",'Map 5'!H32)),CONCATENATE($AT32," ",'Map 5'!H32)),'Map 5'!H32)</f>
        <v>Rainforest</v>
      </c>
      <c r="I32" s="46" t="str" cm="1">
        <f t="array" aca="1" ref="I32" ca="1">_xlfn.IFNA(_xlfn.IFS(AND(ISNUMBER(SEARCH("Rainshadow",'Map 5'!I32)),ISNUMBER(SEARCH("Flatland",'Map 5'!I32))),CONCATENATE($AT32, " Rainshadow"),'Map 5'!I32="Flatland",$AT32,'Map 5'!I32="Island",CONCATENATE($AT32, " Island"),ISNUMBER(SEARCH("Rainshadow",'Map 5'!I32)),CONCATENATE($AT32," ",'Map 5'!I32)),'Map 5'!I32)</f>
        <v>Rainforest</v>
      </c>
      <c r="J32" s="46" t="str" cm="1">
        <f t="array" aca="1" ref="J32" ca="1">_xlfn.IFNA(_xlfn.IFS(AND(ISNUMBER(SEARCH("Rainshadow",'Map 5'!J32)),ISNUMBER(SEARCH("Flatland",'Map 5'!J32))),CONCATENATE($AT32, " Rainshadow"),'Map 5'!J32="Flatland",$AT32,'Map 5'!J32="Island",CONCATENATE($AT32, " Island"),ISNUMBER(SEARCH("Rainshadow",'Map 5'!J32)),CONCATENATE($AT32," ",'Map 5'!J32)),'Map 5'!J32)</f>
        <v>Coast</v>
      </c>
      <c r="K32" s="46" t="str" cm="1">
        <f t="array" aca="1" ref="K32" ca="1">_xlfn.IFNA(_xlfn.IFS(AND(ISNUMBER(SEARCH("Rainshadow",'Map 5'!K32)),ISNUMBER(SEARCH("Flatland",'Map 5'!K32))),CONCATENATE($AT32, " Rainshadow"),'Map 5'!K32="Flatland",$AT32,'Map 5'!K32="Island",CONCATENATE($AT32, " Island"),ISNUMBER(SEARCH("Rainshadow",'Map 5'!K32)),CONCATENATE($AT32," ",'Map 5'!K32)),'Map 5'!K32)</f>
        <v>Ocean</v>
      </c>
      <c r="L32" s="46" t="str" cm="1">
        <f t="array" aca="1" ref="L32" ca="1">_xlfn.IFNA(_xlfn.IFS(AND(ISNUMBER(SEARCH("Rainshadow",'Map 5'!L32)),ISNUMBER(SEARCH("Flatland",'Map 5'!L32))),CONCATENATE($AT32, " Rainshadow"),'Map 5'!L32="Flatland",$AT32,'Map 5'!L32="Island",CONCATENATE($AT32, " Island"),ISNUMBER(SEARCH("Rainshadow",'Map 5'!L32)),CONCATENATE($AT32," ",'Map 5'!L32)),'Map 5'!L32)</f>
        <v>Ocean</v>
      </c>
      <c r="M32" s="46" t="str" cm="1">
        <f t="array" aca="1" ref="M32" ca="1">_xlfn.IFNA(_xlfn.IFS(AND(ISNUMBER(SEARCH("Rainshadow",'Map 5'!M32)),ISNUMBER(SEARCH("Flatland",'Map 5'!M32))),CONCATENATE($AT32, " Rainshadow"),'Map 5'!M32="Flatland",$AT32,'Map 5'!M32="Island",CONCATENATE($AT32, " Island"),ISNUMBER(SEARCH("Rainshadow",'Map 5'!M32)),CONCATENATE($AT32," ",'Map 5'!M32)),'Map 5'!M32)</f>
        <v>Ocean</v>
      </c>
      <c r="N32" s="46" t="str" cm="1">
        <f t="array" aca="1" ref="N32" ca="1">_xlfn.IFNA(_xlfn.IFS(AND(ISNUMBER(SEARCH("Rainshadow",'Map 5'!N32)),ISNUMBER(SEARCH("Flatland",'Map 5'!N32))),CONCATENATE($AT32, " Rainshadow"),'Map 5'!N32="Flatland",$AT32,'Map 5'!N32="Island",CONCATENATE($AT32, " Island"),ISNUMBER(SEARCH("Rainshadow",'Map 5'!N32)),CONCATENATE($AT32," ",'Map 5'!N32)),'Map 5'!N32)</f>
        <v>Ocean</v>
      </c>
      <c r="O32" s="46" t="str" cm="1">
        <f t="array" aca="1" ref="O32" ca="1">_xlfn.IFNA(_xlfn.IFS(AND(ISNUMBER(SEARCH("Rainshadow",'Map 5'!O32)),ISNUMBER(SEARCH("Flatland",'Map 5'!O32))),CONCATENATE($AT32, " Rainshadow"),'Map 5'!O32="Flatland",$AT32,'Map 5'!O32="Island",CONCATENATE($AT32, " Island"),ISNUMBER(SEARCH("Rainshadow",'Map 5'!O32)),CONCATENATE($AT32," ",'Map 5'!O32)),'Map 5'!O32)</f>
        <v>Ocean</v>
      </c>
      <c r="P32" s="46" t="str" cm="1">
        <f t="array" aca="1" ref="P32" ca="1">_xlfn.IFNA(_xlfn.IFS(AND(ISNUMBER(SEARCH("Rainshadow",'Map 5'!P32)),ISNUMBER(SEARCH("Flatland",'Map 5'!P32))),CONCATENATE($AT32, " Rainshadow"),'Map 5'!P32="Flatland",$AT32,'Map 5'!P32="Island",CONCATENATE($AT32, " Island"),ISNUMBER(SEARCH("Rainshadow",'Map 5'!P32)),CONCATENATE($AT32," ",'Map 5'!P32)),'Map 5'!P32)</f>
        <v>Ocean</v>
      </c>
      <c r="Q32" s="46" t="str" cm="1">
        <f t="array" aca="1" ref="Q32" ca="1">_xlfn.IFNA(_xlfn.IFS(AND(ISNUMBER(SEARCH("Rainshadow",'Map 5'!Q32)),ISNUMBER(SEARCH("Flatland",'Map 5'!Q32))),CONCATENATE($AT32, " Rainshadow"),'Map 5'!Q32="Flatland",$AT32,'Map 5'!Q32="Island",CONCATENATE($AT32, " Island"),ISNUMBER(SEARCH("Rainshadow",'Map 5'!Q32)),CONCATENATE($AT32," ",'Map 5'!Q32)),'Map 5'!Q32)</f>
        <v>Ocean</v>
      </c>
      <c r="R32" s="46" t="str" cm="1">
        <f t="array" aca="1" ref="R32" ca="1">_xlfn.IFNA(_xlfn.IFS(AND(ISNUMBER(SEARCH("Rainshadow",'Map 5'!R32)),ISNUMBER(SEARCH("Flatland",'Map 5'!R32))),CONCATENATE($AT32, " Rainshadow"),'Map 5'!R32="Flatland",$AT32,'Map 5'!R32="Island",CONCATENATE($AT32, " Island"),ISNUMBER(SEARCH("Rainshadow",'Map 5'!R32)),CONCATENATE($AT32," ",'Map 5'!R32)),'Map 5'!R32)</f>
        <v>Ocean</v>
      </c>
      <c r="S32" s="46" t="str" cm="1">
        <f t="array" aca="1" ref="S32" ca="1">_xlfn.IFNA(_xlfn.IFS(AND(ISNUMBER(SEARCH("Rainshadow",'Map 5'!S32)),ISNUMBER(SEARCH("Flatland",'Map 5'!S32))),CONCATENATE($AT32, " Rainshadow"),'Map 5'!S32="Flatland",$AT32,'Map 5'!S32="Island",CONCATENATE($AT32, " Island"),ISNUMBER(SEARCH("Rainshadow",'Map 5'!S32)),CONCATENATE($AT32," ",'Map 5'!S32)),'Map 5'!S32)</f>
        <v>Ocean</v>
      </c>
      <c r="T32" s="46" t="str" cm="1">
        <f t="array" aca="1" ref="T32" ca="1">_xlfn.IFNA(_xlfn.IFS(AND(ISNUMBER(SEARCH("Rainshadow",'Map 5'!T32)),ISNUMBER(SEARCH("Flatland",'Map 5'!T32))),CONCATENATE($AT32, " Rainshadow"),'Map 5'!T32="Flatland",$AT32,'Map 5'!T32="Island",CONCATENATE($AT32, " Island"),ISNUMBER(SEARCH("Rainshadow",'Map 5'!T32)),CONCATENATE($AT32," ",'Map 5'!T32)),'Map 5'!T32)</f>
        <v>Ocean</v>
      </c>
      <c r="U32" s="46" t="str" cm="1">
        <f t="array" aca="1" ref="U32" ca="1">_xlfn.IFNA(_xlfn.IFS(AND(ISNUMBER(SEARCH("Rainshadow",'Map 5'!U32)),ISNUMBER(SEARCH("Flatland",'Map 5'!U32))),CONCATENATE($AT32, " Rainshadow"),'Map 5'!U32="Flatland",$AT32,'Map 5'!U32="Island",CONCATENATE($AT32, " Island"),ISNUMBER(SEARCH("Rainshadow",'Map 5'!U32)),CONCATENATE($AT32," ",'Map 5'!U32)),'Map 5'!U32)</f>
        <v>Ocean</v>
      </c>
      <c r="V32" s="46" t="str" cm="1">
        <f t="array" aca="1" ref="V32" ca="1">_xlfn.IFNA(_xlfn.IFS(AND(ISNUMBER(SEARCH("Rainshadow",'Map 5'!V32)),ISNUMBER(SEARCH("Flatland",'Map 5'!V32))),CONCATENATE($AT32, " Rainshadow"),'Map 5'!V32="Flatland",$AT32,'Map 5'!V32="Island",CONCATENATE($AT32, " Island"),ISNUMBER(SEARCH("Rainshadow",'Map 5'!V32)),CONCATENATE($AT32," ",'Map 5'!V32)),'Map 5'!V32)</f>
        <v>Ocean</v>
      </c>
      <c r="W32" s="46" t="str" cm="1">
        <f t="array" aca="1" ref="W32" ca="1">_xlfn.IFNA(_xlfn.IFS(AND(ISNUMBER(SEARCH("Rainshadow",'Map 5'!W32)),ISNUMBER(SEARCH("Flatland",'Map 5'!W32))),CONCATENATE($AT32, " Rainshadow"),'Map 5'!W32="Flatland",$AT32,'Map 5'!W32="Island",CONCATENATE($AT32, " Island"),ISNUMBER(SEARCH("Rainshadow",'Map 5'!W32)),CONCATENATE($AT32," ",'Map 5'!W32)),'Map 5'!W32)</f>
        <v>Ocean</v>
      </c>
      <c r="X32" s="46" t="str" cm="1">
        <f t="array" aca="1" ref="X32" ca="1">_xlfn.IFNA(_xlfn.IFS(AND(ISNUMBER(SEARCH("Rainshadow",'Map 5'!X32)),ISNUMBER(SEARCH("Flatland",'Map 5'!X32))),CONCATENATE($AT32, " Rainshadow"),'Map 5'!X32="Flatland",$AT32,'Map 5'!X32="Island",CONCATENATE($AT32, " Island"),ISNUMBER(SEARCH("Rainshadow",'Map 5'!X32)),CONCATENATE($AT32," ",'Map 5'!X32)),'Map 5'!X32)</f>
        <v>Ocean</v>
      </c>
      <c r="Y32" s="46" t="str" cm="1">
        <f t="array" aca="1" ref="Y32" ca="1">_xlfn.IFNA(_xlfn.IFS(AND(ISNUMBER(SEARCH("Rainshadow",'Map 5'!Y32)),ISNUMBER(SEARCH("Flatland",'Map 5'!Y32))),CONCATENATE($AT32, " Rainshadow"),'Map 5'!Y32="Flatland",$AT32,'Map 5'!Y32="Island",CONCATENATE($AT32, " Island"),ISNUMBER(SEARCH("Rainshadow",'Map 5'!Y32)),CONCATENATE($AT32," ",'Map 5'!Y32)),'Map 5'!Y32)</f>
        <v>Ocean</v>
      </c>
      <c r="Z32" s="46" t="str" cm="1">
        <f t="array" aca="1" ref="Z32" ca="1">_xlfn.IFNA(_xlfn.IFS(AND(ISNUMBER(SEARCH("Rainshadow",'Map 5'!Z32)),ISNUMBER(SEARCH("Flatland",'Map 5'!Z32))),CONCATENATE($AT32, " Rainshadow"),'Map 5'!Z32="Flatland",$AT32,'Map 5'!Z32="Island",CONCATENATE($AT32, " Island"),ISNUMBER(SEARCH("Rainshadow",'Map 5'!Z32)),CONCATENATE($AT32," ",'Map 5'!Z32)),'Map 5'!Z32)</f>
        <v>Rainforest Island</v>
      </c>
      <c r="AA32" s="46" t="str" cm="1">
        <f t="array" aca="1" ref="AA32" ca="1">_xlfn.IFNA(_xlfn.IFS(AND(ISNUMBER(SEARCH("Rainshadow",'Map 5'!AA32)),ISNUMBER(SEARCH("Flatland",'Map 5'!AA32))),CONCATENATE($AT32, " Rainshadow"),'Map 5'!AA32="Flatland",$AT32,'Map 5'!AA32="Island",CONCATENATE($AT32, " Island"),ISNUMBER(SEARCH("Rainshadow",'Map 5'!AA32)),CONCATENATE($AT32," ",'Map 5'!AA32)),'Map 5'!AA32)</f>
        <v>Ocean</v>
      </c>
      <c r="AB32" s="46" t="str" cm="1">
        <f t="array" aca="1" ref="AB32" ca="1">_xlfn.IFNA(_xlfn.IFS(AND(ISNUMBER(SEARCH("Rainshadow",'Map 5'!AB32)),ISNUMBER(SEARCH("Flatland",'Map 5'!AB32))),CONCATENATE($AT32, " Rainshadow"),'Map 5'!AB32="Flatland",$AT32,'Map 5'!AB32="Island",CONCATENATE($AT32, " Island"),ISNUMBER(SEARCH("Rainshadow",'Map 5'!AB32)),CONCATENATE($AT32," ",'Map 5'!AB32)),'Map 5'!AB32)</f>
        <v>Ocean</v>
      </c>
      <c r="AC32" s="46" t="str" cm="1">
        <f t="array" aca="1" ref="AC32" ca="1">_xlfn.IFNA(_xlfn.IFS(AND(ISNUMBER(SEARCH("Rainshadow",'Map 5'!AC32)),ISNUMBER(SEARCH("Flatland",'Map 5'!AC32))),CONCATENATE($AT32, " Rainshadow"),'Map 5'!AC32="Flatland",$AT32,'Map 5'!AC32="Island",CONCATENATE($AT32, " Island"),ISNUMBER(SEARCH("Rainshadow",'Map 5'!AC32)),CONCATENATE($AT32," ",'Map 5'!AC32)),'Map 5'!AC32)</f>
        <v>Ocean</v>
      </c>
      <c r="AD32" s="46" t="str" cm="1">
        <f t="array" aca="1" ref="AD32" ca="1">_xlfn.IFNA(_xlfn.IFS(AND(ISNUMBER(SEARCH("Rainshadow",'Map 5'!AD32)),ISNUMBER(SEARCH("Flatland",'Map 5'!AD32))),CONCATENATE($AT32, " Rainshadow"),'Map 5'!AD32="Flatland",$AT32,'Map 5'!AD32="Island",CONCATENATE($AT32, " Island"),ISNUMBER(SEARCH("Rainshadow",'Map 5'!AD32)),CONCATENATE($AT32," ",'Map 5'!AD32)),'Map 5'!AD32)</f>
        <v>Ocean</v>
      </c>
      <c r="AE32" s="46" t="str" cm="1">
        <f t="array" aca="1" ref="AE32" ca="1">_xlfn.IFNA(_xlfn.IFS(AND(ISNUMBER(SEARCH("Rainshadow",'Map 5'!AE32)),ISNUMBER(SEARCH("Flatland",'Map 5'!AE32))),CONCATENATE($AT32, " Rainshadow"),'Map 5'!AE32="Flatland",$AT32,'Map 5'!AE32="Island",CONCATENATE($AT32, " Island"),ISNUMBER(SEARCH("Rainshadow",'Map 5'!AE32)),CONCATENATE($AT32," ",'Map 5'!AE32)),'Map 5'!AE32)</f>
        <v>Trench</v>
      </c>
      <c r="AF32" s="46" t="str" cm="1">
        <f t="array" aca="1" ref="AF32" ca="1">_xlfn.IFNA(_xlfn.IFS(AND(ISNUMBER(SEARCH("Rainshadow",'Map 5'!AF32)),ISNUMBER(SEARCH("Flatland",'Map 5'!AF32))),CONCATENATE($AT32, " Rainshadow"),'Map 5'!AF32="Flatland",$AT32,'Map 5'!AF32="Island",CONCATENATE($AT32, " Island"),ISNUMBER(SEARCH("Rainshadow",'Map 5'!AF32)),CONCATENATE($AT32," ",'Map 5'!AF32)),'Map 5'!AF32)</f>
        <v>Rainforest Island</v>
      </c>
      <c r="AG32" s="46" t="str" cm="1">
        <f t="array" aca="1" ref="AG32" ca="1">_xlfn.IFNA(_xlfn.IFS(AND(ISNUMBER(SEARCH("Rainshadow",'Map 5'!AG32)),ISNUMBER(SEARCH("Flatland",'Map 5'!AG32))),CONCATENATE($AT32, " Rainshadow"),'Map 5'!AG32="Flatland",$AT32,'Map 5'!AG32="Island",CONCATENATE($AT32, " Island"),ISNUMBER(SEARCH("Rainshadow",'Map 5'!AG32)),CONCATENATE($AT32," ",'Map 5'!AG32)),'Map 5'!AG32)</f>
        <v>Ocean</v>
      </c>
      <c r="AH32" s="46" t="str" cm="1">
        <f t="array" aca="1" ref="AH32" ca="1">_xlfn.IFNA(_xlfn.IFS(AND(ISNUMBER(SEARCH("Rainshadow",'Map 5'!AH32)),ISNUMBER(SEARCH("Flatland",'Map 5'!AH32))),CONCATENATE($AT32, " Rainshadow"),'Map 5'!AH32="Flatland",$AT32,'Map 5'!AH32="Island",CONCATENATE($AT32, " Island"),ISNUMBER(SEARCH("Rainshadow",'Map 5'!AH32)),CONCATENATE($AT32," ",'Map 5'!AH32)),'Map 5'!AH32)</f>
        <v>Ocean</v>
      </c>
      <c r="AI32" s="46" t="str" cm="1">
        <f t="array" aca="1" ref="AI32" ca="1">_xlfn.IFNA(_xlfn.IFS(AND(ISNUMBER(SEARCH("Rainshadow",'Map 5'!AI32)),ISNUMBER(SEARCH("Flatland",'Map 5'!AI32))),CONCATENATE($AT32, " Rainshadow"),'Map 5'!AI32="Flatland",$AT32,'Map 5'!AI32="Island",CONCATENATE($AT32, " Island"),ISNUMBER(SEARCH("Rainshadow",'Map 5'!AI32)),CONCATENATE($AT32," ",'Map 5'!AI32)),'Map 5'!AI32)</f>
        <v>Ocean</v>
      </c>
      <c r="AJ32" s="46" t="str" cm="1">
        <f t="array" aca="1" ref="AJ32" ca="1">_xlfn.IFNA(_xlfn.IFS(AND(ISNUMBER(SEARCH("Rainshadow",'Map 5'!AJ32)),ISNUMBER(SEARCH("Flatland",'Map 5'!AJ32))),CONCATENATE($AT32, " Rainshadow"),'Map 5'!AJ32="Flatland",$AT32,'Map 5'!AJ32="Island",CONCATENATE($AT32, " Island"),ISNUMBER(SEARCH("Rainshadow",'Map 5'!AJ32)),CONCATENATE($AT32," ",'Map 5'!AJ32)),'Map 5'!AJ32)</f>
        <v>Trench</v>
      </c>
      <c r="AK32" s="46" t="str" cm="1">
        <f t="array" aca="1" ref="AK32" ca="1">_xlfn.IFNA(_xlfn.IFS(AND(ISNUMBER(SEARCH("Rainshadow",'Map 5'!AK32)),ISNUMBER(SEARCH("Flatland",'Map 5'!AK32))),CONCATENATE($AT32, " Rainshadow"),'Map 5'!AK32="Flatland",$AT32,'Map 5'!AK32="Island",CONCATENATE($AT32, " Island"),ISNUMBER(SEARCH("Rainshadow",'Map 5'!AK32)),CONCATENATE($AT32," ",'Map 5'!AK32)),'Map 5'!AK32)</f>
        <v>Ocean</v>
      </c>
      <c r="AL32" s="46" t="str" cm="1">
        <f t="array" aca="1" ref="AL32" ca="1">_xlfn.IFNA(_xlfn.IFS(AND(ISNUMBER(SEARCH("Rainshadow",'Map 5'!AL32)),ISNUMBER(SEARCH("Flatland",'Map 5'!AL32))),CONCATENATE($AT32, " Rainshadow"),'Map 5'!AL32="Flatland",$AT32,'Map 5'!AL32="Island",CONCATENATE($AT32, " Island"),ISNUMBER(SEARCH("Rainshadow",'Map 5'!AL32)),CONCATENATE($AT32," ",'Map 5'!AL32)),'Map 5'!AL32)</f>
        <v>Rainforest Island</v>
      </c>
      <c r="AM32" s="46" t="str" cm="1">
        <f t="array" aca="1" ref="AM32" ca="1">_xlfn.IFNA(_xlfn.IFS(AND(ISNUMBER(SEARCH("Rainshadow",'Map 5'!AM32)),ISNUMBER(SEARCH("Flatland",'Map 5'!AM32))),CONCATENATE($AT32, " Rainshadow"),'Map 5'!AM32="Flatland",$AT32,'Map 5'!AM32="Island",CONCATENATE($AT32, " Island"),ISNUMBER(SEARCH("Rainshadow",'Map 5'!AM32)),CONCATENATE($AT32," ",'Map 5'!AM32)),'Map 5'!AM32)</f>
        <v>Ocean</v>
      </c>
      <c r="AN32" s="46" t="str" cm="1">
        <f t="array" aca="1" ref="AN32" ca="1">_xlfn.IFNA(_xlfn.IFS(AND(ISNUMBER(SEARCH("Rainshadow",'Map 5'!AN32)),ISNUMBER(SEARCH("Flatland",'Map 5'!AN32))),CONCATENATE($AT32, " Rainshadow"),'Map 5'!AN32="Flatland",$AT32,'Map 5'!AN32="Island",CONCATENATE($AT32, " Island"),ISNUMBER(SEARCH("Rainshadow",'Map 5'!AN32)),CONCATENATE($AT32," ",'Map 5'!AN32)),'Map 5'!AN32)</f>
        <v>Ocean</v>
      </c>
      <c r="AO32" s="46" t="str" cm="1">
        <f t="array" aca="1" ref="AO32" ca="1">_xlfn.IFNA(_xlfn.IFS(AND(ISNUMBER(SEARCH("Rainshadow",'Map 5'!AO32)),ISNUMBER(SEARCH("Flatland",'Map 5'!AO32))),CONCATENATE($AT32, " Rainshadow"),'Map 5'!AO32="Flatland",$AT32,'Map 5'!AO32="Island",CONCATENATE($AT32, " Island"),ISNUMBER(SEARCH("Rainshadow",'Map 5'!AO32)),CONCATENATE($AT32," ",'Map 5'!AO32)),'Map 5'!AO32)</f>
        <v>Ocean</v>
      </c>
      <c r="AP32" s="46">
        <f>'Map 5'!AP32</f>
        <v>77</v>
      </c>
      <c r="AQ32" s="46">
        <f>'Map 5'!AQ32</f>
        <v>170.6</v>
      </c>
      <c r="AR32" s="46">
        <f>'Map 5'!AS32</f>
        <v>350.15000000000003</v>
      </c>
      <c r="AS32" s="47">
        <f>'Map 5'!AT32</f>
        <v>-13.5</v>
      </c>
      <c r="AT32" s="47" t="str">
        <f>'Map 5'!AU32</f>
        <v>Rainforest</v>
      </c>
      <c r="AU32" s="47" t="str">
        <f>'Map 5'!AV32</f>
        <v>⤴</v>
      </c>
      <c r="AX32" s="47" t="str">
        <f>CONCATENATE($AX$20," ",$AX5)</f>
        <v>Tundra Rainshadow Drop Off</v>
      </c>
    </row>
    <row r="33" spans="1:50" ht="18.75" customHeight="1">
      <c r="A33" s="46">
        <v>24</v>
      </c>
      <c r="B33" s="46" t="str" cm="1">
        <f t="array" aca="1" ref="B33" ca="1">_xlfn.IFNA(_xlfn.IFS(AND(ISNUMBER(SEARCH("Rainshadow",'Map 5'!B33)),ISNUMBER(SEARCH("Flatland",'Map 5'!B33))),CONCATENATE($AT33, " Rainshadow"),'Map 5'!B33="Flatland",$AT33,'Map 5'!B33="Island",CONCATENATE($AT33, " Island"),ISNUMBER(SEARCH("Rainshadow",'Map 5'!B33)),CONCATENATE($AT33," ",'Map 5'!B33)),'Map 5'!B33)</f>
        <v>Ocean</v>
      </c>
      <c r="C33" s="46" t="str" cm="1">
        <f t="array" aca="1" ref="C33" ca="1">_xlfn.IFNA(_xlfn.IFS(AND(ISNUMBER(SEARCH("Rainshadow",'Map 5'!C33)),ISNUMBER(SEARCH("Flatland",'Map 5'!C33))),CONCATENATE($AT33, " Rainshadow"),'Map 5'!C33="Flatland",$AT33,'Map 5'!C33="Island",CONCATENATE($AT33, " Island"),ISNUMBER(SEARCH("Rainshadow",'Map 5'!C33)),CONCATENATE($AT33," ",'Map 5'!C33)),'Map 5'!C33)</f>
        <v>Coast</v>
      </c>
      <c r="D33" s="46" t="str" cm="1">
        <f t="array" aca="1" ref="D33" ca="1">_xlfn.IFNA(_xlfn.IFS(AND(ISNUMBER(SEARCH("Rainshadow",'Map 5'!D33)),ISNUMBER(SEARCH("Flatland",'Map 5'!D33))),CONCATENATE($AT33, " Rainshadow"),'Map 5'!D33="Flatland",$AT33,'Map 5'!D33="Island",CONCATENATE($AT33, " Island"),ISNUMBER(SEARCH("Rainshadow",'Map 5'!D33)),CONCATENATE($AT33," ",'Map 5'!D33)),'Map 5'!D33)</f>
        <v>Coast</v>
      </c>
      <c r="E33" s="46" t="str" cm="1">
        <f t="array" aca="1" ref="E33" ca="1">_xlfn.IFNA(_xlfn.IFS(AND(ISNUMBER(SEARCH("Rainshadow",'Map 5'!E33)),ISNUMBER(SEARCH("Flatland",'Map 5'!E33))),CONCATENATE($AT33, " Rainshadow"),'Map 5'!E33="Flatland",$AT33,'Map 5'!E33="Island",CONCATENATE($AT33, " Island"),ISNUMBER(SEARCH("Rainshadow",'Map 5'!E33)),CONCATENATE($AT33," ",'Map 5'!E33)),'Map 5'!E33)</f>
        <v>Coast</v>
      </c>
      <c r="F33" s="46" t="str" cm="1">
        <f t="array" aca="1" ref="F33" ca="1">_xlfn.IFNA(_xlfn.IFS(AND(ISNUMBER(SEARCH("Rainshadow",'Map 5'!F33)),ISNUMBER(SEARCH("Flatland",'Map 5'!F33))),CONCATENATE($AT33, " Rainshadow"),'Map 5'!F33="Flatland",$AT33,'Map 5'!F33="Island",CONCATENATE($AT33, " Island"),ISNUMBER(SEARCH("Rainshadow",'Map 5'!F33)),CONCATENATE($AT33," ",'Map 5'!F33)),'Map 5'!F33)</f>
        <v>Coast</v>
      </c>
      <c r="G33" s="46" t="str" cm="1">
        <f t="array" aca="1" ref="G33" ca="1">_xlfn.IFNA(_xlfn.IFS(AND(ISNUMBER(SEARCH("Rainshadow",'Map 5'!G33)),ISNUMBER(SEARCH("Flatland",'Map 5'!G33))),CONCATENATE($AT33, " Rainshadow"),'Map 5'!G33="Flatland",$AT33,'Map 5'!G33="Island",CONCATENATE($AT33, " Island"),ISNUMBER(SEARCH("Rainshadow",'Map 5'!G33)),CONCATENATE($AT33," ",'Map 5'!G33)),'Map 5'!G33)</f>
        <v>Coast</v>
      </c>
      <c r="H33" s="46" t="str" cm="1">
        <f t="array" aca="1" ref="H33" ca="1">_xlfn.IFNA(_xlfn.IFS(AND(ISNUMBER(SEARCH("Rainshadow",'Map 5'!H33)),ISNUMBER(SEARCH("Flatland",'Map 5'!H33))),CONCATENATE($AT33, " Rainshadow"),'Map 5'!H33="Flatland",$AT33,'Map 5'!H33="Island",CONCATENATE($AT33, " Island"),ISNUMBER(SEARCH("Rainshadow",'Map 5'!H33)),CONCATENATE($AT33," ",'Map 5'!H33)),'Map 5'!H33)</f>
        <v>Desert</v>
      </c>
      <c r="I33" s="46" t="str" cm="1">
        <f t="array" aca="1" ref="I33" ca="1">_xlfn.IFNA(_xlfn.IFS(AND(ISNUMBER(SEARCH("Rainshadow",'Map 5'!I33)),ISNUMBER(SEARCH("Flatland",'Map 5'!I33))),CONCATENATE($AT33, " Rainshadow"),'Map 5'!I33="Flatland",$AT33,'Map 5'!I33="Island",CONCATENATE($AT33, " Island"),ISNUMBER(SEARCH("Rainshadow",'Map 5'!I33)),CONCATENATE($AT33," ",'Map 5'!I33)),'Map 5'!I33)</f>
        <v>Coast</v>
      </c>
      <c r="J33" s="46" t="str" cm="1">
        <f t="array" aca="1" ref="J33" ca="1">_xlfn.IFNA(_xlfn.IFS(AND(ISNUMBER(SEARCH("Rainshadow",'Map 5'!J33)),ISNUMBER(SEARCH("Flatland",'Map 5'!J33))),CONCATENATE($AT33, " Rainshadow"),'Map 5'!J33="Flatland",$AT33,'Map 5'!J33="Island",CONCATENATE($AT33, " Island"),ISNUMBER(SEARCH("Rainshadow",'Map 5'!J33)),CONCATENATE($AT33," ",'Map 5'!J33)),'Map 5'!J33)</f>
        <v>Ocean</v>
      </c>
      <c r="K33" s="46" t="str" cm="1">
        <f t="array" aca="1" ref="K33" ca="1">_xlfn.IFNA(_xlfn.IFS(AND(ISNUMBER(SEARCH("Rainshadow",'Map 5'!K33)),ISNUMBER(SEARCH("Flatland",'Map 5'!K33))),CONCATENATE($AT33, " Rainshadow"),'Map 5'!K33="Flatland",$AT33,'Map 5'!K33="Island",CONCATENATE($AT33, " Island"),ISNUMBER(SEARCH("Rainshadow",'Map 5'!K33)),CONCATENATE($AT33," ",'Map 5'!K33)),'Map 5'!K33)</f>
        <v>Ocean</v>
      </c>
      <c r="L33" s="46" t="str" cm="1">
        <f t="array" aca="1" ref="L33" ca="1">_xlfn.IFNA(_xlfn.IFS(AND(ISNUMBER(SEARCH("Rainshadow",'Map 5'!L33)),ISNUMBER(SEARCH("Flatland",'Map 5'!L33))),CONCATENATE($AT33, " Rainshadow"),'Map 5'!L33="Flatland",$AT33,'Map 5'!L33="Island",CONCATENATE($AT33, " Island"),ISNUMBER(SEARCH("Rainshadow",'Map 5'!L33)),CONCATENATE($AT33," ",'Map 5'!L33)),'Map 5'!L33)</f>
        <v>Ocean</v>
      </c>
      <c r="M33" s="46" t="str" cm="1">
        <f t="array" aca="1" ref="M33" ca="1">_xlfn.IFNA(_xlfn.IFS(AND(ISNUMBER(SEARCH("Rainshadow",'Map 5'!M33)),ISNUMBER(SEARCH("Flatland",'Map 5'!M33))),CONCATENATE($AT33, " Rainshadow"),'Map 5'!M33="Flatland",$AT33,'Map 5'!M33="Island",CONCATENATE($AT33, " Island"),ISNUMBER(SEARCH("Rainshadow",'Map 5'!M33)),CONCATENATE($AT33," ",'Map 5'!M33)),'Map 5'!M33)</f>
        <v>Ocean</v>
      </c>
      <c r="N33" s="46" t="str" cm="1">
        <f t="array" aca="1" ref="N33" ca="1">_xlfn.IFNA(_xlfn.IFS(AND(ISNUMBER(SEARCH("Rainshadow",'Map 5'!N33)),ISNUMBER(SEARCH("Flatland",'Map 5'!N33))),CONCATENATE($AT33, " Rainshadow"),'Map 5'!N33="Flatland",$AT33,'Map 5'!N33="Island",CONCATENATE($AT33, " Island"),ISNUMBER(SEARCH("Rainshadow",'Map 5'!N33)),CONCATENATE($AT33," ",'Map 5'!N33)),'Map 5'!N33)</f>
        <v>Ocean</v>
      </c>
      <c r="O33" s="46" t="str" cm="1">
        <f t="array" aca="1" ref="O33" ca="1">_xlfn.IFNA(_xlfn.IFS(AND(ISNUMBER(SEARCH("Rainshadow",'Map 5'!O33)),ISNUMBER(SEARCH("Flatland",'Map 5'!O33))),CONCATENATE($AT33, " Rainshadow"),'Map 5'!O33="Flatland",$AT33,'Map 5'!O33="Island",CONCATENATE($AT33, " Island"),ISNUMBER(SEARCH("Rainshadow",'Map 5'!O33)),CONCATENATE($AT33," ",'Map 5'!O33)),'Map 5'!O33)</f>
        <v>Ocean</v>
      </c>
      <c r="P33" s="46" t="str" cm="1">
        <f t="array" aca="1" ref="P33" ca="1">_xlfn.IFNA(_xlfn.IFS(AND(ISNUMBER(SEARCH("Rainshadow",'Map 5'!P33)),ISNUMBER(SEARCH("Flatland",'Map 5'!P33))),CONCATENATE($AT33, " Rainshadow"),'Map 5'!P33="Flatland",$AT33,'Map 5'!P33="Island",CONCATENATE($AT33, " Island"),ISNUMBER(SEARCH("Rainshadow",'Map 5'!P33)),CONCATENATE($AT33," ",'Map 5'!P33)),'Map 5'!P33)</f>
        <v>Ocean</v>
      </c>
      <c r="Q33" s="46" t="str" cm="1">
        <f t="array" aca="1" ref="Q33" ca="1">_xlfn.IFNA(_xlfn.IFS(AND(ISNUMBER(SEARCH("Rainshadow",'Map 5'!Q33)),ISNUMBER(SEARCH("Flatland",'Map 5'!Q33))),CONCATENATE($AT33, " Rainshadow"),'Map 5'!Q33="Flatland",$AT33,'Map 5'!Q33="Island",CONCATENATE($AT33, " Island"),ISNUMBER(SEARCH("Rainshadow",'Map 5'!Q33)),CONCATENATE($AT33," ",'Map 5'!Q33)),'Map 5'!Q33)</f>
        <v>Ocean</v>
      </c>
      <c r="R33" s="46" t="str" cm="1">
        <f t="array" aca="1" ref="R33" ca="1">_xlfn.IFNA(_xlfn.IFS(AND(ISNUMBER(SEARCH("Rainshadow",'Map 5'!R33)),ISNUMBER(SEARCH("Flatland",'Map 5'!R33))),CONCATENATE($AT33, " Rainshadow"),'Map 5'!R33="Flatland",$AT33,'Map 5'!R33="Island",CONCATENATE($AT33, " Island"),ISNUMBER(SEARCH("Rainshadow",'Map 5'!R33)),CONCATENATE($AT33," ",'Map 5'!R33)),'Map 5'!R33)</f>
        <v>Ocean</v>
      </c>
      <c r="S33" s="46" t="str" cm="1">
        <f t="array" aca="1" ref="S33" ca="1">_xlfn.IFNA(_xlfn.IFS(AND(ISNUMBER(SEARCH("Rainshadow",'Map 5'!S33)),ISNUMBER(SEARCH("Flatland",'Map 5'!S33))),CONCATENATE($AT33, " Rainshadow"),'Map 5'!S33="Flatland",$AT33,'Map 5'!S33="Island",CONCATENATE($AT33, " Island"),ISNUMBER(SEARCH("Rainshadow",'Map 5'!S33)),CONCATENATE($AT33," ",'Map 5'!S33)),'Map 5'!S33)</f>
        <v>Ocean</v>
      </c>
      <c r="T33" s="46" t="str" cm="1">
        <f t="array" aca="1" ref="T33" ca="1">_xlfn.IFNA(_xlfn.IFS(AND(ISNUMBER(SEARCH("Rainshadow",'Map 5'!T33)),ISNUMBER(SEARCH("Flatland",'Map 5'!T33))),CONCATENATE($AT33, " Rainshadow"),'Map 5'!T33="Flatland",$AT33,'Map 5'!T33="Island",CONCATENATE($AT33, " Island"),ISNUMBER(SEARCH("Rainshadow",'Map 5'!T33)),CONCATENATE($AT33," ",'Map 5'!T33)),'Map 5'!T33)</f>
        <v>Ocean</v>
      </c>
      <c r="U33" s="46" t="str" cm="1">
        <f t="array" aca="1" ref="U33" ca="1">_xlfn.IFNA(_xlfn.IFS(AND(ISNUMBER(SEARCH("Rainshadow",'Map 5'!U33)),ISNUMBER(SEARCH("Flatland",'Map 5'!U33))),CONCATENATE($AT33, " Rainshadow"),'Map 5'!U33="Flatland",$AT33,'Map 5'!U33="Island",CONCATENATE($AT33, " Island"),ISNUMBER(SEARCH("Rainshadow",'Map 5'!U33)),CONCATENATE($AT33," ",'Map 5'!U33)),'Map 5'!U33)</f>
        <v>Ocean</v>
      </c>
      <c r="V33" s="46" t="str" cm="1">
        <f t="array" aca="1" ref="V33" ca="1">_xlfn.IFNA(_xlfn.IFS(AND(ISNUMBER(SEARCH("Rainshadow",'Map 5'!V33)),ISNUMBER(SEARCH("Flatland",'Map 5'!V33))),CONCATENATE($AT33, " Rainshadow"),'Map 5'!V33="Flatland",$AT33,'Map 5'!V33="Island",CONCATENATE($AT33, " Island"),ISNUMBER(SEARCH("Rainshadow",'Map 5'!V33)),CONCATENATE($AT33," ",'Map 5'!V33)),'Map 5'!V33)</f>
        <v>Ocean</v>
      </c>
      <c r="W33" s="46" t="str" cm="1">
        <f t="array" aca="1" ref="W33" ca="1">_xlfn.IFNA(_xlfn.IFS(AND(ISNUMBER(SEARCH("Rainshadow",'Map 5'!W33)),ISNUMBER(SEARCH("Flatland",'Map 5'!W33))),CONCATENATE($AT33, " Rainshadow"),'Map 5'!W33="Flatland",$AT33,'Map 5'!W33="Island",CONCATENATE($AT33, " Island"),ISNUMBER(SEARCH("Rainshadow",'Map 5'!W33)),CONCATENATE($AT33," ",'Map 5'!W33)),'Map 5'!W33)</f>
        <v>Ocean</v>
      </c>
      <c r="X33" s="46" t="str" cm="1">
        <f t="array" aca="1" ref="X33" ca="1">_xlfn.IFNA(_xlfn.IFS(AND(ISNUMBER(SEARCH("Rainshadow",'Map 5'!X33)),ISNUMBER(SEARCH("Flatland",'Map 5'!X33))),CONCATENATE($AT33, " Rainshadow"),'Map 5'!X33="Flatland",$AT33,'Map 5'!X33="Island",CONCATENATE($AT33, " Island"),ISNUMBER(SEARCH("Rainshadow",'Map 5'!X33)),CONCATENATE($AT33," ",'Map 5'!X33)),'Map 5'!X33)</f>
        <v>Ocean</v>
      </c>
      <c r="Y33" s="46" t="str" cm="1">
        <f t="array" aca="1" ref="Y33" ca="1">_xlfn.IFNA(_xlfn.IFS(AND(ISNUMBER(SEARCH("Rainshadow",'Map 5'!Y33)),ISNUMBER(SEARCH("Flatland",'Map 5'!Y33))),CONCATENATE($AT33, " Rainshadow"),'Map 5'!Y33="Flatland",$AT33,'Map 5'!Y33="Island",CONCATENATE($AT33, " Island"),ISNUMBER(SEARCH("Rainshadow",'Map 5'!Y33)),CONCATENATE($AT33," ",'Map 5'!Y33)),'Map 5'!Y33)</f>
        <v>Ocean</v>
      </c>
      <c r="Z33" s="46" t="str" cm="1">
        <f t="array" aca="1" ref="Z33" ca="1">_xlfn.IFNA(_xlfn.IFS(AND(ISNUMBER(SEARCH("Rainshadow",'Map 5'!Z33)),ISNUMBER(SEARCH("Flatland",'Map 5'!Z33))),CONCATENATE($AT33, " Rainshadow"),'Map 5'!Z33="Flatland",$AT33,'Map 5'!Z33="Island",CONCATENATE($AT33, " Island"),ISNUMBER(SEARCH("Rainshadow",'Map 5'!Z33)),CONCATENATE($AT33," ",'Map 5'!Z33)),'Map 5'!Z33)</f>
        <v>Ocean</v>
      </c>
      <c r="AA33" s="46" t="str" cm="1">
        <f t="array" aca="1" ref="AA33" ca="1">_xlfn.IFNA(_xlfn.IFS(AND(ISNUMBER(SEARCH("Rainshadow",'Map 5'!AA33)),ISNUMBER(SEARCH("Flatland",'Map 5'!AA33))),CONCATENATE($AT33, " Rainshadow"),'Map 5'!AA33="Flatland",$AT33,'Map 5'!AA33="Island",CONCATENATE($AT33, " Island"),ISNUMBER(SEARCH("Rainshadow",'Map 5'!AA33)),CONCATENATE($AT33," ",'Map 5'!AA33)),'Map 5'!AA33)</f>
        <v>Ocean</v>
      </c>
      <c r="AB33" s="46" t="str" cm="1">
        <f t="array" aca="1" ref="AB33" ca="1">_xlfn.IFNA(_xlfn.IFS(AND(ISNUMBER(SEARCH("Rainshadow",'Map 5'!AB33)),ISNUMBER(SEARCH("Flatland",'Map 5'!AB33))),CONCATENATE($AT33, " Rainshadow"),'Map 5'!AB33="Flatland",$AT33,'Map 5'!AB33="Island",CONCATENATE($AT33, " Island"),ISNUMBER(SEARCH("Rainshadow",'Map 5'!AB33)),CONCATENATE($AT33," ",'Map 5'!AB33)),'Map 5'!AB33)</f>
        <v>Ocean</v>
      </c>
      <c r="AC33" s="46" t="str" cm="1">
        <f t="array" aca="1" ref="AC33" ca="1">_xlfn.IFNA(_xlfn.IFS(AND(ISNUMBER(SEARCH("Rainshadow",'Map 5'!AC33)),ISNUMBER(SEARCH("Flatland",'Map 5'!AC33))),CONCATENATE($AT33, " Rainshadow"),'Map 5'!AC33="Flatland",$AT33,'Map 5'!AC33="Island",CONCATENATE($AT33, " Island"),ISNUMBER(SEARCH("Rainshadow",'Map 5'!AC33)),CONCATENATE($AT33," ",'Map 5'!AC33)),'Map 5'!AC33)</f>
        <v>Ocean</v>
      </c>
      <c r="AD33" s="46" t="str" cm="1">
        <f t="array" aca="1" ref="AD33" ca="1">_xlfn.IFNA(_xlfn.IFS(AND(ISNUMBER(SEARCH("Rainshadow",'Map 5'!AD33)),ISNUMBER(SEARCH("Flatland",'Map 5'!AD33))),CONCATENATE($AT33, " Rainshadow"),'Map 5'!AD33="Flatland",$AT33,'Map 5'!AD33="Island",CONCATENATE($AT33, " Island"),ISNUMBER(SEARCH("Rainshadow",'Map 5'!AD33)),CONCATENATE($AT33," ",'Map 5'!AD33)),'Map 5'!AD33)</f>
        <v>Ocean</v>
      </c>
      <c r="AE33" s="46" t="str" cm="1">
        <f t="array" aca="1" ref="AE33" ca="1">_xlfn.IFNA(_xlfn.IFS(AND(ISNUMBER(SEARCH("Rainshadow",'Map 5'!AE33)),ISNUMBER(SEARCH("Flatland",'Map 5'!AE33))),CONCATENATE($AT33, " Rainshadow"),'Map 5'!AE33="Flatland",$AT33,'Map 5'!AE33="Island",CONCATENATE($AT33, " Island"),ISNUMBER(SEARCH("Rainshadow",'Map 5'!AE33)),CONCATENATE($AT33," ",'Map 5'!AE33)),'Map 5'!AE33)</f>
        <v>Ocean</v>
      </c>
      <c r="AF33" s="46" t="str" cm="1">
        <f t="array" aca="1" ref="AF33" ca="1">_xlfn.IFNA(_xlfn.IFS(AND(ISNUMBER(SEARCH("Rainshadow",'Map 5'!AF33)),ISNUMBER(SEARCH("Flatland",'Map 5'!AF33))),CONCATENATE($AT33, " Rainshadow"),'Map 5'!AF33="Flatland",$AT33,'Map 5'!AF33="Island",CONCATENATE($AT33, " Island"),ISNUMBER(SEARCH("Rainshadow",'Map 5'!AF33)),CONCATENATE($AT33," ",'Map 5'!AF33)),'Map 5'!AF33)</f>
        <v>Trench</v>
      </c>
      <c r="AG33" s="46" t="str" cm="1">
        <f t="array" aca="1" ref="AG33" ca="1">_xlfn.IFNA(_xlfn.IFS(AND(ISNUMBER(SEARCH("Rainshadow",'Map 5'!AG33)),ISNUMBER(SEARCH("Flatland",'Map 5'!AG33))),CONCATENATE($AT33, " Rainshadow"),'Map 5'!AG33="Flatland",$AT33,'Map 5'!AG33="Island",CONCATENATE($AT33, " Island"),ISNUMBER(SEARCH("Rainshadow",'Map 5'!AG33)),CONCATENATE($AT33," ",'Map 5'!AG33)),'Map 5'!AG33)</f>
        <v>Ocean</v>
      </c>
      <c r="AH33" s="46" t="str" cm="1">
        <f t="array" aca="1" ref="AH33" ca="1">_xlfn.IFNA(_xlfn.IFS(AND(ISNUMBER(SEARCH("Rainshadow",'Map 5'!AH33)),ISNUMBER(SEARCH("Flatland",'Map 5'!AH33))),CONCATENATE($AT33, " Rainshadow"),'Map 5'!AH33="Flatland",$AT33,'Map 5'!AH33="Island",CONCATENATE($AT33, " Island"),ISNUMBER(SEARCH("Rainshadow",'Map 5'!AH33)),CONCATENATE($AT33," ",'Map 5'!AH33)),'Map 5'!AH33)</f>
        <v>Ocean</v>
      </c>
      <c r="AI33" s="46" t="str" cm="1">
        <f t="array" aca="1" ref="AI33" ca="1">_xlfn.IFNA(_xlfn.IFS(AND(ISNUMBER(SEARCH("Rainshadow",'Map 5'!AI33)),ISNUMBER(SEARCH("Flatland",'Map 5'!AI33))),CONCATENATE($AT33, " Rainshadow"),'Map 5'!AI33="Flatland",$AT33,'Map 5'!AI33="Island",CONCATENATE($AT33, " Island"),ISNUMBER(SEARCH("Rainshadow",'Map 5'!AI33)),CONCATENATE($AT33," ",'Map 5'!AI33)),'Map 5'!AI33)</f>
        <v>Ocean</v>
      </c>
      <c r="AJ33" s="46" t="str" cm="1">
        <f t="array" aca="1" ref="AJ33" ca="1">_xlfn.IFNA(_xlfn.IFS(AND(ISNUMBER(SEARCH("Rainshadow",'Map 5'!AJ33)),ISNUMBER(SEARCH("Flatland",'Map 5'!AJ33))),CONCATENATE($AT33, " Rainshadow"),'Map 5'!AJ33="Flatland",$AT33,'Map 5'!AJ33="Island",CONCATENATE($AT33, " Island"),ISNUMBER(SEARCH("Rainshadow",'Map 5'!AJ33)),CONCATENATE($AT33," ",'Map 5'!AJ33)),'Map 5'!AJ33)</f>
        <v>Desert Island</v>
      </c>
      <c r="AK33" s="46" t="str" cm="1">
        <f t="array" aca="1" ref="AK33" ca="1">_xlfn.IFNA(_xlfn.IFS(AND(ISNUMBER(SEARCH("Rainshadow",'Map 5'!AK33)),ISNUMBER(SEARCH("Flatland",'Map 5'!AK33))),CONCATENATE($AT33, " Rainshadow"),'Map 5'!AK33="Flatland",$AT33,'Map 5'!AK33="Island",CONCATENATE($AT33, " Island"),ISNUMBER(SEARCH("Rainshadow",'Map 5'!AK33)),CONCATENATE($AT33," ",'Map 5'!AK33)),'Map 5'!AK33)</f>
        <v>Ocean</v>
      </c>
      <c r="AL33" s="46" t="str" cm="1">
        <f t="array" aca="1" ref="AL33" ca="1">_xlfn.IFNA(_xlfn.IFS(AND(ISNUMBER(SEARCH("Rainshadow",'Map 5'!AL33)),ISNUMBER(SEARCH("Flatland",'Map 5'!AL33))),CONCATENATE($AT33, " Rainshadow"),'Map 5'!AL33="Flatland",$AT33,'Map 5'!AL33="Island",CONCATENATE($AT33, " Island"),ISNUMBER(SEARCH("Rainshadow",'Map 5'!AL33)),CONCATENATE($AT33," ",'Map 5'!AL33)),'Map 5'!AL33)</f>
        <v>Ocean</v>
      </c>
      <c r="AM33" s="46" t="str" cm="1">
        <f t="array" aca="1" ref="AM33" ca="1">_xlfn.IFNA(_xlfn.IFS(AND(ISNUMBER(SEARCH("Rainshadow",'Map 5'!AM33)),ISNUMBER(SEARCH("Flatland",'Map 5'!AM33))),CONCATENATE($AT33, " Rainshadow"),'Map 5'!AM33="Flatland",$AT33,'Map 5'!AM33="Island",CONCATENATE($AT33, " Island"),ISNUMBER(SEARCH("Rainshadow",'Map 5'!AM33)),CONCATENATE($AT33," ",'Map 5'!AM33)),'Map 5'!AM33)</f>
        <v>Ocean</v>
      </c>
      <c r="AN33" s="46" t="str" cm="1">
        <f t="array" aca="1" ref="AN33" ca="1">_xlfn.IFNA(_xlfn.IFS(AND(ISNUMBER(SEARCH("Rainshadow",'Map 5'!AN33)),ISNUMBER(SEARCH("Flatland",'Map 5'!AN33))),CONCATENATE($AT33, " Rainshadow"),'Map 5'!AN33="Flatland",$AT33,'Map 5'!AN33="Island",CONCATENATE($AT33, " Island"),ISNUMBER(SEARCH("Rainshadow",'Map 5'!AN33)),CONCATENATE($AT33," ",'Map 5'!AN33)),'Map 5'!AN33)</f>
        <v>Ocean</v>
      </c>
      <c r="AO33" s="46" t="str" cm="1">
        <f t="array" aca="1" ref="AO33" ca="1">_xlfn.IFNA(_xlfn.IFS(AND(ISNUMBER(SEARCH("Rainshadow",'Map 5'!AO33)),ISNUMBER(SEARCH("Flatland",'Map 5'!AO33))),CONCATENATE($AT33, " Rainshadow"),'Map 5'!AO33="Flatland",$AT33,'Map 5'!AO33="Island",CONCATENATE($AT33, " Island"),ISNUMBER(SEARCH("Rainshadow",'Map 5'!AO33)),CONCATENATE($AT33," ",'Map 5'!AO33)),'Map 5'!AO33)</f>
        <v>Desert Island</v>
      </c>
      <c r="AP33" s="46">
        <f>'Map 5'!AP33</f>
        <v>70.05</v>
      </c>
      <c r="AQ33" s="46">
        <f>'Map 5'!AQ33</f>
        <v>158.09</v>
      </c>
      <c r="AR33" s="46">
        <f>'Map 5'!AS33</f>
        <v>343.20000000000005</v>
      </c>
      <c r="AS33" s="47">
        <f>'Map 5'!AT33</f>
        <v>-18</v>
      </c>
      <c r="AT33" s="47" t="str">
        <f>'Map 5'!AU33</f>
        <v>Desert</v>
      </c>
      <c r="AU33" s="47" t="str">
        <f>'Map 5'!AV33</f>
        <v>⤴</v>
      </c>
      <c r="AX33" s="47" t="str">
        <f>CONCATENATE($AX$21," ",$AX5)</f>
        <v>Forest Rainshadow Drop Off</v>
      </c>
    </row>
    <row r="34" spans="1:50" ht="18.75" customHeight="1">
      <c r="A34" s="46">
        <v>25</v>
      </c>
      <c r="B34" s="46" t="str" cm="1">
        <f t="array" aca="1" ref="B34" ca="1">_xlfn.IFNA(_xlfn.IFS(AND(ISNUMBER(SEARCH("Rainshadow",'Map 5'!B34)),ISNUMBER(SEARCH("Flatland",'Map 5'!B34))),CONCATENATE($AT34, " Rainshadow"),'Map 5'!B34="Flatland",$AT34,'Map 5'!B34="Island",CONCATENATE($AT34, " Island"),ISNUMBER(SEARCH("Rainshadow",'Map 5'!B34)),CONCATENATE($AT34," ",'Map 5'!B34)),'Map 5'!B34)</f>
        <v>Ocean</v>
      </c>
      <c r="C34" s="46" t="str" cm="1">
        <f t="array" aca="1" ref="C34" ca="1">_xlfn.IFNA(_xlfn.IFS(AND(ISNUMBER(SEARCH("Rainshadow",'Map 5'!C34)),ISNUMBER(SEARCH("Flatland",'Map 5'!C34))),CONCATENATE($AT34, " Rainshadow"),'Map 5'!C34="Flatland",$AT34,'Map 5'!C34="Island",CONCATENATE($AT34, " Island"),ISNUMBER(SEARCH("Rainshadow",'Map 5'!C34)),CONCATENATE($AT34," ",'Map 5'!C34)),'Map 5'!C34)</f>
        <v>Coast</v>
      </c>
      <c r="D34" s="46" t="str" cm="1">
        <f t="array" aca="1" ref="D34" ca="1">_xlfn.IFNA(_xlfn.IFS(AND(ISNUMBER(SEARCH("Rainshadow",'Map 5'!D34)),ISNUMBER(SEARCH("Flatland",'Map 5'!D34))),CONCATENATE($AT34, " Rainshadow"),'Map 5'!D34="Flatland",$AT34,'Map 5'!D34="Island",CONCATENATE($AT34, " Island"),ISNUMBER(SEARCH("Rainshadow",'Map 5'!D34)),CONCATENATE($AT34," ",'Map 5'!D34)),'Map 5'!D34)</f>
        <v>Coast</v>
      </c>
      <c r="E34" s="46" t="str" cm="1">
        <f t="array" aca="1" ref="E34" ca="1">_xlfn.IFNA(_xlfn.IFS(AND(ISNUMBER(SEARCH("Rainshadow",'Map 5'!E34)),ISNUMBER(SEARCH("Flatland",'Map 5'!E34))),CONCATENATE($AT34, " Rainshadow"),'Map 5'!E34="Flatland",$AT34,'Map 5'!E34="Island",CONCATENATE($AT34, " Island"),ISNUMBER(SEARCH("Rainshadow",'Map 5'!E34)),CONCATENATE($AT34," ",'Map 5'!E34)),'Map 5'!E34)</f>
        <v>Desert</v>
      </c>
      <c r="F34" s="46" t="str" cm="1">
        <f t="array" aca="1" ref="F34" ca="1">_xlfn.IFNA(_xlfn.IFS(AND(ISNUMBER(SEARCH("Rainshadow",'Map 5'!F34)),ISNUMBER(SEARCH("Flatland",'Map 5'!F34))),CONCATENATE($AT34, " Rainshadow"),'Map 5'!F34="Flatland",$AT34,'Map 5'!F34="Island",CONCATENATE($AT34, " Island"),ISNUMBER(SEARCH("Rainshadow",'Map 5'!F34)),CONCATENATE($AT34," ",'Map 5'!F34)),'Map 5'!F34)</f>
        <v>Coast</v>
      </c>
      <c r="G34" s="46" t="str" cm="1">
        <f t="array" aca="1" ref="G34" ca="1">_xlfn.IFNA(_xlfn.IFS(AND(ISNUMBER(SEARCH("Rainshadow",'Map 5'!G34)),ISNUMBER(SEARCH("Flatland",'Map 5'!G34))),CONCATENATE($AT34, " Rainshadow"),'Map 5'!G34="Flatland",$AT34,'Map 5'!G34="Island",CONCATENATE($AT34, " Island"),ISNUMBER(SEARCH("Rainshadow",'Map 5'!G34)),CONCATENATE($AT34," ",'Map 5'!G34)),'Map 5'!G34)</f>
        <v>Desert</v>
      </c>
      <c r="H34" s="46" t="str" cm="1">
        <f t="array" aca="1" ref="H34" ca="1">_xlfn.IFNA(_xlfn.IFS(AND(ISNUMBER(SEARCH("Rainshadow",'Map 5'!H34)),ISNUMBER(SEARCH("Flatland",'Map 5'!H34))),CONCATENATE($AT34, " Rainshadow"),'Map 5'!H34="Flatland",$AT34,'Map 5'!H34="Island",CONCATENATE($AT34, " Island"),ISNUMBER(SEARCH("Rainshadow",'Map 5'!H34)),CONCATENATE($AT34," ",'Map 5'!H34)),'Map 5'!H34)</f>
        <v>Desert</v>
      </c>
      <c r="I34" s="46" t="str" cm="1">
        <f t="array" aca="1" ref="I34" ca="1">_xlfn.IFNA(_xlfn.IFS(AND(ISNUMBER(SEARCH("Rainshadow",'Map 5'!I34)),ISNUMBER(SEARCH("Flatland",'Map 5'!I34))),CONCATENATE($AT34, " Rainshadow"),'Map 5'!I34="Flatland",$AT34,'Map 5'!I34="Island",CONCATENATE($AT34, " Island"),ISNUMBER(SEARCH("Rainshadow",'Map 5'!I34)),CONCATENATE($AT34," ",'Map 5'!I34)),'Map 5'!I34)</f>
        <v>Coast</v>
      </c>
      <c r="J34" s="46" t="str" cm="1">
        <f t="array" aca="1" ref="J34" ca="1">_xlfn.IFNA(_xlfn.IFS(AND(ISNUMBER(SEARCH("Rainshadow",'Map 5'!J34)),ISNUMBER(SEARCH("Flatland",'Map 5'!J34))),CONCATENATE($AT34, " Rainshadow"),'Map 5'!J34="Flatland",$AT34,'Map 5'!J34="Island",CONCATENATE($AT34, " Island"),ISNUMBER(SEARCH("Rainshadow",'Map 5'!J34)),CONCATENATE($AT34," ",'Map 5'!J34)),'Map 5'!J34)</f>
        <v>Desert</v>
      </c>
      <c r="K34" s="46" t="str" cm="1">
        <f t="array" aca="1" ref="K34" ca="1">_xlfn.IFNA(_xlfn.IFS(AND(ISNUMBER(SEARCH("Rainshadow",'Map 5'!K34)),ISNUMBER(SEARCH("Flatland",'Map 5'!K34))),CONCATENATE($AT34, " Rainshadow"),'Map 5'!K34="Flatland",$AT34,'Map 5'!K34="Island",CONCATENATE($AT34, " Island"),ISNUMBER(SEARCH("Rainshadow",'Map 5'!K34)),CONCATENATE($AT34," ",'Map 5'!K34)),'Map 5'!K34)</f>
        <v>Coast</v>
      </c>
      <c r="L34" s="46" t="str" cm="1">
        <f t="array" aca="1" ref="L34" ca="1">_xlfn.IFNA(_xlfn.IFS(AND(ISNUMBER(SEARCH("Rainshadow",'Map 5'!L34)),ISNUMBER(SEARCH("Flatland",'Map 5'!L34))),CONCATENATE($AT34, " Rainshadow"),'Map 5'!L34="Flatland",$AT34,'Map 5'!L34="Island",CONCATENATE($AT34, " Island"),ISNUMBER(SEARCH("Rainshadow",'Map 5'!L34)),CONCATENATE($AT34," ",'Map 5'!L34)),'Map 5'!L34)</f>
        <v>Desert Island</v>
      </c>
      <c r="M34" s="46" t="str" cm="1">
        <f t="array" aca="1" ref="M34" ca="1">_xlfn.IFNA(_xlfn.IFS(AND(ISNUMBER(SEARCH("Rainshadow",'Map 5'!M34)),ISNUMBER(SEARCH("Flatland",'Map 5'!M34))),CONCATENATE($AT34, " Rainshadow"),'Map 5'!M34="Flatland",$AT34,'Map 5'!M34="Island",CONCATENATE($AT34, " Island"),ISNUMBER(SEARCH("Rainshadow",'Map 5'!M34)),CONCATENATE($AT34," ",'Map 5'!M34)),'Map 5'!M34)</f>
        <v>Ocean</v>
      </c>
      <c r="N34" s="46" t="str" cm="1">
        <f t="array" aca="1" ref="N34" ca="1">_xlfn.IFNA(_xlfn.IFS(AND(ISNUMBER(SEARCH("Rainshadow",'Map 5'!N34)),ISNUMBER(SEARCH("Flatland",'Map 5'!N34))),CONCATENATE($AT34, " Rainshadow"),'Map 5'!N34="Flatland",$AT34,'Map 5'!N34="Island",CONCATENATE($AT34, " Island"),ISNUMBER(SEARCH("Rainshadow",'Map 5'!N34)),CONCATENATE($AT34," ",'Map 5'!N34)),'Map 5'!N34)</f>
        <v>Desert Island</v>
      </c>
      <c r="O34" s="46" t="str" cm="1">
        <f t="array" aca="1" ref="O34" ca="1">_xlfn.IFNA(_xlfn.IFS(AND(ISNUMBER(SEARCH("Rainshadow",'Map 5'!O34)),ISNUMBER(SEARCH("Flatland",'Map 5'!O34))),CONCATENATE($AT34, " Rainshadow"),'Map 5'!O34="Flatland",$AT34,'Map 5'!O34="Island",CONCATENATE($AT34, " Island"),ISNUMBER(SEARCH("Rainshadow",'Map 5'!O34)),CONCATENATE($AT34," ",'Map 5'!O34)),'Map 5'!O34)</f>
        <v>Ocean</v>
      </c>
      <c r="P34" s="46" t="str" cm="1">
        <f t="array" aca="1" ref="P34" ca="1">_xlfn.IFNA(_xlfn.IFS(AND(ISNUMBER(SEARCH("Rainshadow",'Map 5'!P34)),ISNUMBER(SEARCH("Flatland",'Map 5'!P34))),CONCATENATE($AT34, " Rainshadow"),'Map 5'!P34="Flatland",$AT34,'Map 5'!P34="Island",CONCATENATE($AT34, " Island"),ISNUMBER(SEARCH("Rainshadow",'Map 5'!P34)),CONCATENATE($AT34," ",'Map 5'!P34)),'Map 5'!P34)</f>
        <v>Ocean</v>
      </c>
      <c r="Q34" s="46" t="str" cm="1">
        <f t="array" aca="1" ref="Q34" ca="1">_xlfn.IFNA(_xlfn.IFS(AND(ISNUMBER(SEARCH("Rainshadow",'Map 5'!Q34)),ISNUMBER(SEARCH("Flatland",'Map 5'!Q34))),CONCATENATE($AT34, " Rainshadow"),'Map 5'!Q34="Flatland",$AT34,'Map 5'!Q34="Island",CONCATENATE($AT34, " Island"),ISNUMBER(SEARCH("Rainshadow",'Map 5'!Q34)),CONCATENATE($AT34," ",'Map 5'!Q34)),'Map 5'!Q34)</f>
        <v>Ocean</v>
      </c>
      <c r="R34" s="46" t="str" cm="1">
        <f t="array" aca="1" ref="R34" ca="1">_xlfn.IFNA(_xlfn.IFS(AND(ISNUMBER(SEARCH("Rainshadow",'Map 5'!R34)),ISNUMBER(SEARCH("Flatland",'Map 5'!R34))),CONCATENATE($AT34, " Rainshadow"),'Map 5'!R34="Flatland",$AT34,'Map 5'!R34="Island",CONCATENATE($AT34, " Island"),ISNUMBER(SEARCH("Rainshadow",'Map 5'!R34)),CONCATENATE($AT34," ",'Map 5'!R34)),'Map 5'!R34)</f>
        <v>Desert Island</v>
      </c>
      <c r="S34" s="46" t="str" cm="1">
        <f t="array" aca="1" ref="S34" ca="1">_xlfn.IFNA(_xlfn.IFS(AND(ISNUMBER(SEARCH("Rainshadow",'Map 5'!S34)),ISNUMBER(SEARCH("Flatland",'Map 5'!S34))),CONCATENATE($AT34, " Rainshadow"),'Map 5'!S34="Flatland",$AT34,'Map 5'!S34="Island",CONCATENATE($AT34, " Island"),ISNUMBER(SEARCH("Rainshadow",'Map 5'!S34)),CONCATENATE($AT34," ",'Map 5'!S34)),'Map 5'!S34)</f>
        <v>Trench</v>
      </c>
      <c r="T34" s="46" t="str" cm="1">
        <f t="array" aca="1" ref="T34" ca="1">_xlfn.IFNA(_xlfn.IFS(AND(ISNUMBER(SEARCH("Rainshadow",'Map 5'!T34)),ISNUMBER(SEARCH("Flatland",'Map 5'!T34))),CONCATENATE($AT34, " Rainshadow"),'Map 5'!T34="Flatland",$AT34,'Map 5'!T34="Island",CONCATENATE($AT34, " Island"),ISNUMBER(SEARCH("Rainshadow",'Map 5'!T34)),CONCATENATE($AT34," ",'Map 5'!T34)),'Map 5'!T34)</f>
        <v>Ocean</v>
      </c>
      <c r="U34" s="46" t="str" cm="1">
        <f t="array" aca="1" ref="U34" ca="1">_xlfn.IFNA(_xlfn.IFS(AND(ISNUMBER(SEARCH("Rainshadow",'Map 5'!U34)),ISNUMBER(SEARCH("Flatland",'Map 5'!U34))),CONCATENATE($AT34, " Rainshadow"),'Map 5'!U34="Flatland",$AT34,'Map 5'!U34="Island",CONCATENATE($AT34, " Island"),ISNUMBER(SEARCH("Rainshadow",'Map 5'!U34)),CONCATENATE($AT34," ",'Map 5'!U34)),'Map 5'!U34)</f>
        <v>Ocean</v>
      </c>
      <c r="V34" s="46" t="str" cm="1">
        <f t="array" aca="1" ref="V34" ca="1">_xlfn.IFNA(_xlfn.IFS(AND(ISNUMBER(SEARCH("Rainshadow",'Map 5'!V34)),ISNUMBER(SEARCH("Flatland",'Map 5'!V34))),CONCATENATE($AT34, " Rainshadow"),'Map 5'!V34="Flatland",$AT34,'Map 5'!V34="Island",CONCATENATE($AT34, " Island"),ISNUMBER(SEARCH("Rainshadow",'Map 5'!V34)),CONCATENATE($AT34," ",'Map 5'!V34)),'Map 5'!V34)</f>
        <v>Ocean</v>
      </c>
      <c r="W34" s="46" t="str" cm="1">
        <f t="array" aca="1" ref="W34" ca="1">_xlfn.IFNA(_xlfn.IFS(AND(ISNUMBER(SEARCH("Rainshadow",'Map 5'!W34)),ISNUMBER(SEARCH("Flatland",'Map 5'!W34))),CONCATENATE($AT34, " Rainshadow"),'Map 5'!W34="Flatland",$AT34,'Map 5'!W34="Island",CONCATENATE($AT34, " Island"),ISNUMBER(SEARCH("Rainshadow",'Map 5'!W34)),CONCATENATE($AT34," ",'Map 5'!W34)),'Map 5'!W34)</f>
        <v>Ocean</v>
      </c>
      <c r="X34" s="46" t="str" cm="1">
        <f t="array" aca="1" ref="X34" ca="1">_xlfn.IFNA(_xlfn.IFS(AND(ISNUMBER(SEARCH("Rainshadow",'Map 5'!X34)),ISNUMBER(SEARCH("Flatland",'Map 5'!X34))),CONCATENATE($AT34, " Rainshadow"),'Map 5'!X34="Flatland",$AT34,'Map 5'!X34="Island",CONCATENATE($AT34, " Island"),ISNUMBER(SEARCH("Rainshadow",'Map 5'!X34)),CONCATENATE($AT34," ",'Map 5'!X34)),'Map 5'!X34)</f>
        <v>Ocean</v>
      </c>
      <c r="Y34" s="46" t="str" cm="1">
        <f t="array" aca="1" ref="Y34" ca="1">_xlfn.IFNA(_xlfn.IFS(AND(ISNUMBER(SEARCH("Rainshadow",'Map 5'!Y34)),ISNUMBER(SEARCH("Flatland",'Map 5'!Y34))),CONCATENATE($AT34, " Rainshadow"),'Map 5'!Y34="Flatland",$AT34,'Map 5'!Y34="Island",CONCATENATE($AT34, " Island"),ISNUMBER(SEARCH("Rainshadow",'Map 5'!Y34)),CONCATENATE($AT34," ",'Map 5'!Y34)),'Map 5'!Y34)</f>
        <v>Ocean</v>
      </c>
      <c r="Z34" s="46" t="str" cm="1">
        <f t="array" aca="1" ref="Z34" ca="1">_xlfn.IFNA(_xlfn.IFS(AND(ISNUMBER(SEARCH("Rainshadow",'Map 5'!Z34)),ISNUMBER(SEARCH("Flatland",'Map 5'!Z34))),CONCATENATE($AT34, " Rainshadow"),'Map 5'!Z34="Flatland",$AT34,'Map 5'!Z34="Island",CONCATENATE($AT34, " Island"),ISNUMBER(SEARCH("Rainshadow",'Map 5'!Z34)),CONCATENATE($AT34," ",'Map 5'!Z34)),'Map 5'!Z34)</f>
        <v>Trench</v>
      </c>
      <c r="AA34" s="46" t="str" cm="1">
        <f t="array" aca="1" ref="AA34" ca="1">_xlfn.IFNA(_xlfn.IFS(AND(ISNUMBER(SEARCH("Rainshadow",'Map 5'!AA34)),ISNUMBER(SEARCH("Flatland",'Map 5'!AA34))),CONCATENATE($AT34, " Rainshadow"),'Map 5'!AA34="Flatland",$AT34,'Map 5'!AA34="Island",CONCATENATE($AT34, " Island"),ISNUMBER(SEARCH("Rainshadow",'Map 5'!AA34)),CONCATENATE($AT34," ",'Map 5'!AA34)),'Map 5'!AA34)</f>
        <v>Desert Island</v>
      </c>
      <c r="AB34" s="46" t="str" cm="1">
        <f t="array" aca="1" ref="AB34" ca="1">_xlfn.IFNA(_xlfn.IFS(AND(ISNUMBER(SEARCH("Rainshadow",'Map 5'!AB34)),ISNUMBER(SEARCH("Flatland",'Map 5'!AB34))),CONCATENATE($AT34, " Rainshadow"),'Map 5'!AB34="Flatland",$AT34,'Map 5'!AB34="Island",CONCATENATE($AT34, " Island"),ISNUMBER(SEARCH("Rainshadow",'Map 5'!AB34)),CONCATENATE($AT34," ",'Map 5'!AB34)),'Map 5'!AB34)</f>
        <v>Ocean</v>
      </c>
      <c r="AC34" s="46" t="str" cm="1">
        <f t="array" aca="1" ref="AC34" ca="1">_xlfn.IFNA(_xlfn.IFS(AND(ISNUMBER(SEARCH("Rainshadow",'Map 5'!AC34)),ISNUMBER(SEARCH("Flatland",'Map 5'!AC34))),CONCATENATE($AT34, " Rainshadow"),'Map 5'!AC34="Flatland",$AT34,'Map 5'!AC34="Island",CONCATENATE($AT34, " Island"),ISNUMBER(SEARCH("Rainshadow",'Map 5'!AC34)),CONCATENATE($AT34," ",'Map 5'!AC34)),'Map 5'!AC34)</f>
        <v>Ocean</v>
      </c>
      <c r="AD34" s="46" t="str" cm="1">
        <f t="array" aca="1" ref="AD34" ca="1">_xlfn.IFNA(_xlfn.IFS(AND(ISNUMBER(SEARCH("Rainshadow",'Map 5'!AD34)),ISNUMBER(SEARCH("Flatland",'Map 5'!AD34))),CONCATENATE($AT34, " Rainshadow"),'Map 5'!AD34="Flatland",$AT34,'Map 5'!AD34="Island",CONCATENATE($AT34, " Island"),ISNUMBER(SEARCH("Rainshadow",'Map 5'!AD34)),CONCATENATE($AT34," ",'Map 5'!AD34)),'Map 5'!AD34)</f>
        <v>Ocean</v>
      </c>
      <c r="AE34" s="46" t="str" cm="1">
        <f t="array" aca="1" ref="AE34" ca="1">_xlfn.IFNA(_xlfn.IFS(AND(ISNUMBER(SEARCH("Rainshadow",'Map 5'!AE34)),ISNUMBER(SEARCH("Flatland",'Map 5'!AE34))),CONCATENATE($AT34, " Rainshadow"),'Map 5'!AE34="Flatland",$AT34,'Map 5'!AE34="Island",CONCATENATE($AT34, " Island"),ISNUMBER(SEARCH("Rainshadow",'Map 5'!AE34)),CONCATENATE($AT34," ",'Map 5'!AE34)),'Map 5'!AE34)</f>
        <v>Ocean</v>
      </c>
      <c r="AF34" s="46" t="str" cm="1">
        <f t="array" aca="1" ref="AF34" ca="1">_xlfn.IFNA(_xlfn.IFS(AND(ISNUMBER(SEARCH("Rainshadow",'Map 5'!AF34)),ISNUMBER(SEARCH("Flatland",'Map 5'!AF34))),CONCATENATE($AT34, " Rainshadow"),'Map 5'!AF34="Flatland",$AT34,'Map 5'!AF34="Island",CONCATENATE($AT34, " Island"),ISNUMBER(SEARCH("Rainshadow",'Map 5'!AF34)),CONCATENATE($AT34," ",'Map 5'!AF34)),'Map 5'!AF34)</f>
        <v>Ocean</v>
      </c>
      <c r="AG34" s="46" t="str" cm="1">
        <f t="array" aca="1" ref="AG34" ca="1">_xlfn.IFNA(_xlfn.IFS(AND(ISNUMBER(SEARCH("Rainshadow",'Map 5'!AG34)),ISNUMBER(SEARCH("Flatland",'Map 5'!AG34))),CONCATENATE($AT34, " Rainshadow"),'Map 5'!AG34="Flatland",$AT34,'Map 5'!AG34="Island",CONCATENATE($AT34, " Island"),ISNUMBER(SEARCH("Rainshadow",'Map 5'!AG34)),CONCATENATE($AT34," ",'Map 5'!AG34)),'Map 5'!AG34)</f>
        <v>Desert Island</v>
      </c>
      <c r="AH34" s="46" t="str" cm="1">
        <f t="array" aca="1" ref="AH34" ca="1">_xlfn.IFNA(_xlfn.IFS(AND(ISNUMBER(SEARCH("Rainshadow",'Map 5'!AH34)),ISNUMBER(SEARCH("Flatland",'Map 5'!AH34))),CONCATENATE($AT34, " Rainshadow"),'Map 5'!AH34="Flatland",$AT34,'Map 5'!AH34="Island",CONCATENATE($AT34, " Island"),ISNUMBER(SEARCH("Rainshadow",'Map 5'!AH34)),CONCATENATE($AT34," ",'Map 5'!AH34)),'Map 5'!AH34)</f>
        <v>Trench</v>
      </c>
      <c r="AI34" s="46" t="str" cm="1">
        <f t="array" aca="1" ref="AI34" ca="1">_xlfn.IFNA(_xlfn.IFS(AND(ISNUMBER(SEARCH("Rainshadow",'Map 5'!AI34)),ISNUMBER(SEARCH("Flatland",'Map 5'!AI34))),CONCATENATE($AT34, " Rainshadow"),'Map 5'!AI34="Flatland",$AT34,'Map 5'!AI34="Island",CONCATENATE($AT34, " Island"),ISNUMBER(SEARCH("Rainshadow",'Map 5'!AI34)),CONCATENATE($AT34," ",'Map 5'!AI34)),'Map 5'!AI34)</f>
        <v>Desert Island</v>
      </c>
      <c r="AJ34" s="46" t="str" cm="1">
        <f t="array" aca="1" ref="AJ34" ca="1">_xlfn.IFNA(_xlfn.IFS(AND(ISNUMBER(SEARCH("Rainshadow",'Map 5'!AJ34)),ISNUMBER(SEARCH("Flatland",'Map 5'!AJ34))),CONCATENATE($AT34, " Rainshadow"),'Map 5'!AJ34="Flatland",$AT34,'Map 5'!AJ34="Island",CONCATENATE($AT34, " Island"),ISNUMBER(SEARCH("Rainshadow",'Map 5'!AJ34)),CONCATENATE($AT34," ",'Map 5'!AJ34)),'Map 5'!AJ34)</f>
        <v>Ocean</v>
      </c>
      <c r="AK34" s="46" t="str" cm="1">
        <f t="array" aca="1" ref="AK34" ca="1">_xlfn.IFNA(_xlfn.IFS(AND(ISNUMBER(SEARCH("Rainshadow",'Map 5'!AK34)),ISNUMBER(SEARCH("Flatland",'Map 5'!AK34))),CONCATENATE($AT34, " Rainshadow"),'Map 5'!AK34="Flatland",$AT34,'Map 5'!AK34="Island",CONCATENATE($AT34, " Island"),ISNUMBER(SEARCH("Rainshadow",'Map 5'!AK34)),CONCATENATE($AT34," ",'Map 5'!AK34)),'Map 5'!AK34)</f>
        <v>Ocean</v>
      </c>
      <c r="AL34" s="46" t="str" cm="1">
        <f t="array" aca="1" ref="AL34" ca="1">_xlfn.IFNA(_xlfn.IFS(AND(ISNUMBER(SEARCH("Rainshadow",'Map 5'!AL34)),ISNUMBER(SEARCH("Flatland",'Map 5'!AL34))),CONCATENATE($AT34, " Rainshadow"),'Map 5'!AL34="Flatland",$AT34,'Map 5'!AL34="Island",CONCATENATE($AT34, " Island"),ISNUMBER(SEARCH("Rainshadow",'Map 5'!AL34)),CONCATENATE($AT34," ",'Map 5'!AL34)),'Map 5'!AL34)</f>
        <v>Trench</v>
      </c>
      <c r="AM34" s="46" t="str" cm="1">
        <f t="array" aca="1" ref="AM34" ca="1">_xlfn.IFNA(_xlfn.IFS(AND(ISNUMBER(SEARCH("Rainshadow",'Map 5'!AM34)),ISNUMBER(SEARCH("Flatland",'Map 5'!AM34))),CONCATENATE($AT34, " Rainshadow"),'Map 5'!AM34="Flatland",$AT34,'Map 5'!AM34="Island",CONCATENATE($AT34, " Island"),ISNUMBER(SEARCH("Rainshadow",'Map 5'!AM34)),CONCATENATE($AT34," ",'Map 5'!AM34)),'Map 5'!AM34)</f>
        <v>Ocean</v>
      </c>
      <c r="AN34" s="46" t="str" cm="1">
        <f t="array" aca="1" ref="AN34" ca="1">_xlfn.IFNA(_xlfn.IFS(AND(ISNUMBER(SEARCH("Rainshadow",'Map 5'!AN34)),ISNUMBER(SEARCH("Flatland",'Map 5'!AN34))),CONCATENATE($AT34, " Rainshadow"),'Map 5'!AN34="Flatland",$AT34,'Map 5'!AN34="Island",CONCATENATE($AT34, " Island"),ISNUMBER(SEARCH("Rainshadow",'Map 5'!AN34)),CONCATENATE($AT34," ",'Map 5'!AN34)),'Map 5'!AN34)</f>
        <v>Desert Island</v>
      </c>
      <c r="AO34" s="46" t="str" cm="1">
        <f t="array" aca="1" ref="AO34" ca="1">_xlfn.IFNA(_xlfn.IFS(AND(ISNUMBER(SEARCH("Rainshadow",'Map 5'!AO34)),ISNUMBER(SEARCH("Flatland",'Map 5'!AO34))),CONCATENATE($AT34, " Rainshadow"),'Map 5'!AO34="Flatland",$AT34,'Map 5'!AO34="Island",CONCATENATE($AT34, " Island"),ISNUMBER(SEARCH("Rainshadow",'Map 5'!AO34)),CONCATENATE($AT34," ",'Map 5'!AO34)),'Map 5'!AO34)</f>
        <v>Trench</v>
      </c>
      <c r="AP34" s="46">
        <f>'Map 5'!AP34</f>
        <v>63.1</v>
      </c>
      <c r="AQ34" s="46">
        <f>'Map 5'!AQ34</f>
        <v>145.58000000000001</v>
      </c>
      <c r="AR34" s="46">
        <f>'Map 5'!AS34</f>
        <v>336.25000000000006</v>
      </c>
      <c r="AS34" s="47">
        <f>'Map 5'!AT34</f>
        <v>-22.5</v>
      </c>
      <c r="AT34" s="47" t="str">
        <f>'Map 5'!AU34</f>
        <v>Desert</v>
      </c>
      <c r="AU34" s="47" t="str">
        <f>'Map 5'!AV34</f>
        <v>⤴</v>
      </c>
      <c r="AX34" s="47" t="str">
        <f>CONCATENATE($AX$22," ",$AX5)</f>
        <v>Mediterranean Rainshadow Drop Off</v>
      </c>
    </row>
    <row r="35" spans="1:50" ht="18.75" customHeight="1">
      <c r="A35" s="46">
        <v>26</v>
      </c>
      <c r="B35" s="46" t="str" cm="1">
        <f t="array" aca="1" ref="B35" ca="1">_xlfn.IFNA(_xlfn.IFS(AND(ISNUMBER(SEARCH("Rainshadow",'Map 5'!B35)),ISNUMBER(SEARCH("Flatland",'Map 5'!B35))),CONCATENATE($AT35, " Rainshadow"),'Map 5'!B35="Flatland",$AT35,'Map 5'!B35="Island",CONCATENATE($AT35, " Island"),ISNUMBER(SEARCH("Rainshadow",'Map 5'!B35)),CONCATENATE($AT35," ",'Map 5'!B35)),'Map 5'!B35)</f>
        <v>Ocean</v>
      </c>
      <c r="C35" s="46" t="str" cm="1">
        <f t="array" aca="1" ref="C35" ca="1">_xlfn.IFNA(_xlfn.IFS(AND(ISNUMBER(SEARCH("Rainshadow",'Map 5'!C35)),ISNUMBER(SEARCH("Flatland",'Map 5'!C35))),CONCATENATE($AT35, " Rainshadow"),'Map 5'!C35="Flatland",$AT35,'Map 5'!C35="Island",CONCATENATE($AT35, " Island"),ISNUMBER(SEARCH("Rainshadow",'Map 5'!C35)),CONCATENATE($AT35," ",'Map 5'!C35)),'Map 5'!C35)</f>
        <v>Trench</v>
      </c>
      <c r="D35" s="46" t="str" cm="1">
        <f t="array" aca="1" ref="D35" ca="1">_xlfn.IFNA(_xlfn.IFS(AND(ISNUMBER(SEARCH("Rainshadow",'Map 5'!D35)),ISNUMBER(SEARCH("Flatland",'Map 5'!D35))),CONCATENATE($AT35, " Rainshadow"),'Map 5'!D35="Flatland",$AT35,'Map 5'!D35="Island",CONCATENATE($AT35, " Island"),ISNUMBER(SEARCH("Rainshadow",'Map 5'!D35)),CONCATENATE($AT35," ",'Map 5'!D35)),'Map 5'!D35)</f>
        <v>Desert Island</v>
      </c>
      <c r="E35" s="46" t="str" cm="1">
        <f t="array" aca="1" ref="E35" ca="1">_xlfn.IFNA(_xlfn.IFS(AND(ISNUMBER(SEARCH("Rainshadow",'Map 5'!E35)),ISNUMBER(SEARCH("Flatland",'Map 5'!E35))),CONCATENATE($AT35, " Rainshadow"),'Map 5'!E35="Flatland",$AT35,'Map 5'!E35="Island",CONCATENATE($AT35, " Island"),ISNUMBER(SEARCH("Rainshadow",'Map 5'!E35)),CONCATENATE($AT35," ",'Map 5'!E35)),'Map 5'!E35)</f>
        <v>Trench</v>
      </c>
      <c r="F35" s="46" t="str" cm="1">
        <f t="array" aca="1" ref="F35" ca="1">_xlfn.IFNA(_xlfn.IFS(AND(ISNUMBER(SEARCH("Rainshadow",'Map 5'!F35)),ISNUMBER(SEARCH("Flatland",'Map 5'!F35))),CONCATENATE($AT35, " Rainshadow"),'Map 5'!F35="Flatland",$AT35,'Map 5'!F35="Island",CONCATENATE($AT35, " Island"),ISNUMBER(SEARCH("Rainshadow",'Map 5'!F35)),CONCATENATE($AT35," ",'Map 5'!F35)),'Map 5'!F35)</f>
        <v>Cliff</v>
      </c>
      <c r="G35" s="46" t="str" cm="1">
        <f t="array" aca="1" ref="G35" ca="1">_xlfn.IFNA(_xlfn.IFS(AND(ISNUMBER(SEARCH("Rainshadow",'Map 5'!G35)),ISNUMBER(SEARCH("Flatland",'Map 5'!G35))),CONCATENATE($AT35, " Rainshadow"),'Map 5'!G35="Flatland",$AT35,'Map 5'!G35="Island",CONCATENATE($AT35, " Island"),ISNUMBER(SEARCH("Rainshadow",'Map 5'!G35)),CONCATENATE($AT35," ",'Map 5'!G35)),'Map 5'!G35)</f>
        <v>Valley</v>
      </c>
      <c r="H35" s="46" t="str" cm="1">
        <f t="array" aca="1" ref="H35" ca="1">_xlfn.IFNA(_xlfn.IFS(AND(ISNUMBER(SEARCH("Rainshadow",'Map 5'!H35)),ISNUMBER(SEARCH("Flatland",'Map 5'!H35))),CONCATENATE($AT35, " Rainshadow"),'Map 5'!H35="Flatland",$AT35,'Map 5'!H35="Island",CONCATENATE($AT35, " Island"),ISNUMBER(SEARCH("Rainshadow",'Map 5'!H35)),CONCATENATE($AT35," ",'Map 5'!H35)),'Map 5'!H35)</f>
        <v>Mountain</v>
      </c>
      <c r="I35" s="46" t="str" cm="1">
        <f t="array" aca="1" ref="I35" ca="1">_xlfn.IFNA(_xlfn.IFS(AND(ISNUMBER(SEARCH("Rainshadow",'Map 5'!I35)),ISNUMBER(SEARCH("Flatland",'Map 5'!I35))),CONCATENATE($AT35, " Rainshadow"),'Map 5'!I35="Flatland",$AT35,'Map 5'!I35="Island",CONCATENATE($AT35, " Island"),ISNUMBER(SEARCH("Rainshadow",'Map 5'!I35)),CONCATENATE($AT35," ",'Map 5'!I35)),'Map 5'!I35)</f>
        <v>Desert</v>
      </c>
      <c r="J35" s="46" t="str" cm="1">
        <f t="array" aca="1" ref="J35" ca="1">_xlfn.IFNA(_xlfn.IFS(AND(ISNUMBER(SEARCH("Rainshadow",'Map 5'!J35)),ISNUMBER(SEARCH("Flatland",'Map 5'!J35))),CONCATENATE($AT35, " Rainshadow"),'Map 5'!J35="Flatland",$AT35,'Map 5'!J35="Island",CONCATENATE($AT35, " Island"),ISNUMBER(SEARCH("Rainshadow",'Map 5'!J35)),CONCATENATE($AT35," ",'Map 5'!J35)),'Map 5'!J35)</f>
        <v>Desert</v>
      </c>
      <c r="K35" s="46" t="str" cm="1">
        <f t="array" aca="1" ref="K35" ca="1">_xlfn.IFNA(_xlfn.IFS(AND(ISNUMBER(SEARCH("Rainshadow",'Map 5'!K35)),ISNUMBER(SEARCH("Flatland",'Map 5'!K35))),CONCATENATE($AT35, " Rainshadow"),'Map 5'!K35="Flatland",$AT35,'Map 5'!K35="Island",CONCATENATE($AT35, " Island"),ISNUMBER(SEARCH("Rainshadow",'Map 5'!K35)),CONCATENATE($AT35," ",'Map 5'!K35)),'Map 5'!K35)</f>
        <v>Ocean</v>
      </c>
      <c r="L35" s="46" t="str" cm="1">
        <f t="array" aca="1" ref="L35" ca="1">_xlfn.IFNA(_xlfn.IFS(AND(ISNUMBER(SEARCH("Rainshadow",'Map 5'!L35)),ISNUMBER(SEARCH("Flatland",'Map 5'!L35))),CONCATENATE($AT35, " Rainshadow"),'Map 5'!L35="Flatland",$AT35,'Map 5'!L35="Island",CONCATENATE($AT35, " Island"),ISNUMBER(SEARCH("Rainshadow",'Map 5'!L35)),CONCATENATE($AT35," ",'Map 5'!L35)),'Map 5'!L35)</f>
        <v>Trench</v>
      </c>
      <c r="M35" s="46" t="str" cm="1">
        <f t="array" aca="1" ref="M35" ca="1">_xlfn.IFNA(_xlfn.IFS(AND(ISNUMBER(SEARCH("Rainshadow",'Map 5'!M35)),ISNUMBER(SEARCH("Flatland",'Map 5'!M35))),CONCATENATE($AT35, " Rainshadow"),'Map 5'!M35="Flatland",$AT35,'Map 5'!M35="Island",CONCATENATE($AT35, " Island"),ISNUMBER(SEARCH("Rainshadow",'Map 5'!M35)),CONCATENATE($AT35," ",'Map 5'!M35)),'Map 5'!M35)</f>
        <v>Trench</v>
      </c>
      <c r="N35" s="46" t="str" cm="1">
        <f t="array" aca="1" ref="N35" ca="1">_xlfn.IFNA(_xlfn.IFS(AND(ISNUMBER(SEARCH("Rainshadow",'Map 5'!N35)),ISNUMBER(SEARCH("Flatland",'Map 5'!N35))),CONCATENATE($AT35, " Rainshadow"),'Map 5'!N35="Flatland",$AT35,'Map 5'!N35="Island",CONCATENATE($AT35, " Island"),ISNUMBER(SEARCH("Rainshadow",'Map 5'!N35)),CONCATENATE($AT35," ",'Map 5'!N35)),'Map 5'!N35)</f>
        <v>Ocean</v>
      </c>
      <c r="O35" s="46" t="str" cm="1">
        <f t="array" aca="1" ref="O35" ca="1">_xlfn.IFNA(_xlfn.IFS(AND(ISNUMBER(SEARCH("Rainshadow",'Map 5'!O35)),ISNUMBER(SEARCH("Flatland",'Map 5'!O35))),CONCATENATE($AT35, " Rainshadow"),'Map 5'!O35="Flatland",$AT35,'Map 5'!O35="Island",CONCATENATE($AT35, " Island"),ISNUMBER(SEARCH("Rainshadow",'Map 5'!O35)),CONCATENATE($AT35," ",'Map 5'!O35)),'Map 5'!O35)</f>
        <v>Desert Island</v>
      </c>
      <c r="P35" s="46" t="str" cm="1">
        <f t="array" aca="1" ref="P35" ca="1">_xlfn.IFNA(_xlfn.IFS(AND(ISNUMBER(SEARCH("Rainshadow",'Map 5'!P35)),ISNUMBER(SEARCH("Flatland",'Map 5'!P35))),CONCATENATE($AT35, " Rainshadow"),'Map 5'!P35="Flatland",$AT35,'Map 5'!P35="Island",CONCATENATE($AT35, " Island"),ISNUMBER(SEARCH("Rainshadow",'Map 5'!P35)),CONCATENATE($AT35," ",'Map 5'!P35)),'Map 5'!P35)</f>
        <v>Ocean</v>
      </c>
      <c r="Q35" s="46" t="str" cm="1">
        <f t="array" aca="1" ref="Q35" ca="1">_xlfn.IFNA(_xlfn.IFS(AND(ISNUMBER(SEARCH("Rainshadow",'Map 5'!Q35)),ISNUMBER(SEARCH("Flatland",'Map 5'!Q35))),CONCATENATE($AT35, " Rainshadow"),'Map 5'!Q35="Flatland",$AT35,'Map 5'!Q35="Island",CONCATENATE($AT35, " Island"),ISNUMBER(SEARCH("Rainshadow",'Map 5'!Q35)),CONCATENATE($AT35," ",'Map 5'!Q35)),'Map 5'!Q35)</f>
        <v>Desert Island</v>
      </c>
      <c r="R35" s="46" t="str" cm="1">
        <f t="array" aca="1" ref="R35" ca="1">_xlfn.IFNA(_xlfn.IFS(AND(ISNUMBER(SEARCH("Rainshadow",'Map 5'!R35)),ISNUMBER(SEARCH("Flatland",'Map 5'!R35))),CONCATENATE($AT35, " Rainshadow"),'Map 5'!R35="Flatland",$AT35,'Map 5'!R35="Island",CONCATENATE($AT35, " Island"),ISNUMBER(SEARCH("Rainshadow",'Map 5'!R35)),CONCATENATE($AT35," ",'Map 5'!R35)),'Map 5'!R35)</f>
        <v>Trench</v>
      </c>
      <c r="S35" s="46" t="str" cm="1">
        <f t="array" aca="1" ref="S35" ca="1">_xlfn.IFNA(_xlfn.IFS(AND(ISNUMBER(SEARCH("Rainshadow",'Map 5'!S35)),ISNUMBER(SEARCH("Flatland",'Map 5'!S35))),CONCATENATE($AT35, " Rainshadow"),'Map 5'!S35="Flatland",$AT35,'Map 5'!S35="Island",CONCATENATE($AT35, " Island"),ISNUMBER(SEARCH("Rainshadow",'Map 5'!S35)),CONCATENATE($AT35," ",'Map 5'!S35)),'Map 5'!S35)</f>
        <v>Ocean</v>
      </c>
      <c r="T35" s="46" t="str" cm="1">
        <f t="array" aca="1" ref="T35" ca="1">_xlfn.IFNA(_xlfn.IFS(AND(ISNUMBER(SEARCH("Rainshadow",'Map 5'!T35)),ISNUMBER(SEARCH("Flatland",'Map 5'!T35))),CONCATENATE($AT35, " Rainshadow"),'Map 5'!T35="Flatland",$AT35,'Map 5'!T35="Island",CONCATENATE($AT35, " Island"),ISNUMBER(SEARCH("Rainshadow",'Map 5'!T35)),CONCATENATE($AT35," ",'Map 5'!T35)),'Map 5'!T35)</f>
        <v>Ocean</v>
      </c>
      <c r="U35" s="46" t="str" cm="1">
        <f t="array" aca="1" ref="U35" ca="1">_xlfn.IFNA(_xlfn.IFS(AND(ISNUMBER(SEARCH("Rainshadow",'Map 5'!U35)),ISNUMBER(SEARCH("Flatland",'Map 5'!U35))),CONCATENATE($AT35, " Rainshadow"),'Map 5'!U35="Flatland",$AT35,'Map 5'!U35="Island",CONCATENATE($AT35, " Island"),ISNUMBER(SEARCH("Rainshadow",'Map 5'!U35)),CONCATENATE($AT35," ",'Map 5'!U35)),'Map 5'!U35)</f>
        <v>Ocean</v>
      </c>
      <c r="V35" s="46" t="str" cm="1">
        <f t="array" aca="1" ref="V35" ca="1">_xlfn.IFNA(_xlfn.IFS(AND(ISNUMBER(SEARCH("Rainshadow",'Map 5'!V35)),ISNUMBER(SEARCH("Flatland",'Map 5'!V35))),CONCATENATE($AT35, " Rainshadow"),'Map 5'!V35="Flatland",$AT35,'Map 5'!V35="Island",CONCATENATE($AT35, " Island"),ISNUMBER(SEARCH("Rainshadow",'Map 5'!V35)),CONCATENATE($AT35," ",'Map 5'!V35)),'Map 5'!V35)</f>
        <v>Ocean</v>
      </c>
      <c r="W35" s="46" t="str" cm="1">
        <f t="array" aca="1" ref="W35" ca="1">_xlfn.IFNA(_xlfn.IFS(AND(ISNUMBER(SEARCH("Rainshadow",'Map 5'!W35)),ISNUMBER(SEARCH("Flatland",'Map 5'!W35))),CONCATENATE($AT35, " Rainshadow"),'Map 5'!W35="Flatland",$AT35,'Map 5'!W35="Island",CONCATENATE($AT35, " Island"),ISNUMBER(SEARCH("Rainshadow",'Map 5'!W35)),CONCATENATE($AT35," ",'Map 5'!W35)),'Map 5'!W35)</f>
        <v>Ocean</v>
      </c>
      <c r="X35" s="46" t="str" cm="1">
        <f t="array" aca="1" ref="X35" ca="1">_xlfn.IFNA(_xlfn.IFS(AND(ISNUMBER(SEARCH("Rainshadow",'Map 5'!X35)),ISNUMBER(SEARCH("Flatland",'Map 5'!X35))),CONCATENATE($AT35, " Rainshadow"),'Map 5'!X35="Flatland",$AT35,'Map 5'!X35="Island",CONCATENATE($AT35, " Island"),ISNUMBER(SEARCH("Rainshadow",'Map 5'!X35)),CONCATENATE($AT35," ",'Map 5'!X35)),'Map 5'!X35)</f>
        <v>Ocean</v>
      </c>
      <c r="Y35" s="46" t="str" cm="1">
        <f t="array" aca="1" ref="Y35" ca="1">_xlfn.IFNA(_xlfn.IFS(AND(ISNUMBER(SEARCH("Rainshadow",'Map 5'!Y35)),ISNUMBER(SEARCH("Flatland",'Map 5'!Y35))),CONCATENATE($AT35, " Rainshadow"),'Map 5'!Y35="Flatland",$AT35,'Map 5'!Y35="Island",CONCATENATE($AT35, " Island"),ISNUMBER(SEARCH("Rainshadow",'Map 5'!Y35)),CONCATENATE($AT35," ",'Map 5'!Y35)),'Map 5'!Y35)</f>
        <v>Ocean</v>
      </c>
      <c r="Z35" s="46" t="str" cm="1">
        <f t="array" aca="1" ref="Z35" ca="1">_xlfn.IFNA(_xlfn.IFS(AND(ISNUMBER(SEARCH("Rainshadow",'Map 5'!Z35)),ISNUMBER(SEARCH("Flatland",'Map 5'!Z35))),CONCATENATE($AT35, " Rainshadow"),'Map 5'!Z35="Flatland",$AT35,'Map 5'!Z35="Island",CONCATENATE($AT35, " Island"),ISNUMBER(SEARCH("Rainshadow",'Map 5'!Z35)),CONCATENATE($AT35," ",'Map 5'!Z35)),'Map 5'!Z35)</f>
        <v>Desert Island</v>
      </c>
      <c r="AA35" s="46" t="str" cm="1">
        <f t="array" aca="1" ref="AA35" ca="1">_xlfn.IFNA(_xlfn.IFS(AND(ISNUMBER(SEARCH("Rainshadow",'Map 5'!AA35)),ISNUMBER(SEARCH("Flatland",'Map 5'!AA35))),CONCATENATE($AT35, " Rainshadow"),'Map 5'!AA35="Flatland",$AT35,'Map 5'!AA35="Island",CONCATENATE($AT35, " Island"),ISNUMBER(SEARCH("Rainshadow",'Map 5'!AA35)),CONCATENATE($AT35," ",'Map 5'!AA35)),'Map 5'!AA35)</f>
        <v>Trench</v>
      </c>
      <c r="AB35" s="46" t="str" cm="1">
        <f t="array" aca="1" ref="AB35" ca="1">_xlfn.IFNA(_xlfn.IFS(AND(ISNUMBER(SEARCH("Rainshadow",'Map 5'!AB35)),ISNUMBER(SEARCH("Flatland",'Map 5'!AB35))),CONCATENATE($AT35, " Rainshadow"),'Map 5'!AB35="Flatland",$AT35,'Map 5'!AB35="Island",CONCATENATE($AT35, " Island"),ISNUMBER(SEARCH("Rainshadow",'Map 5'!AB35)),CONCATENATE($AT35," ",'Map 5'!AB35)),'Map 5'!AB35)</f>
        <v>Ocean</v>
      </c>
      <c r="AC35" s="46" t="str" cm="1">
        <f t="array" aca="1" ref="AC35" ca="1">_xlfn.IFNA(_xlfn.IFS(AND(ISNUMBER(SEARCH("Rainshadow",'Map 5'!AC35)),ISNUMBER(SEARCH("Flatland",'Map 5'!AC35))),CONCATENATE($AT35, " Rainshadow"),'Map 5'!AC35="Flatland",$AT35,'Map 5'!AC35="Island",CONCATENATE($AT35, " Island"),ISNUMBER(SEARCH("Rainshadow",'Map 5'!AC35)),CONCATENATE($AT35," ",'Map 5'!AC35)),'Map 5'!AC35)</f>
        <v>Ocean</v>
      </c>
      <c r="AD35" s="46" t="str" cm="1">
        <f t="array" aca="1" ref="AD35" ca="1">_xlfn.IFNA(_xlfn.IFS(AND(ISNUMBER(SEARCH("Rainshadow",'Map 5'!AD35)),ISNUMBER(SEARCH("Flatland",'Map 5'!AD35))),CONCATENATE($AT35, " Rainshadow"),'Map 5'!AD35="Flatland",$AT35,'Map 5'!AD35="Island",CONCATENATE($AT35, " Island"),ISNUMBER(SEARCH("Rainshadow",'Map 5'!AD35)),CONCATENATE($AT35," ",'Map 5'!AD35)),'Map 5'!AD35)</f>
        <v>Ocean</v>
      </c>
      <c r="AE35" s="46" t="str" cm="1">
        <f t="array" aca="1" ref="AE35" ca="1">_xlfn.IFNA(_xlfn.IFS(AND(ISNUMBER(SEARCH("Rainshadow",'Map 5'!AE35)),ISNUMBER(SEARCH("Flatland",'Map 5'!AE35))),CONCATENATE($AT35, " Rainshadow"),'Map 5'!AE35="Flatland",$AT35,'Map 5'!AE35="Island",CONCATENATE($AT35, " Island"),ISNUMBER(SEARCH("Rainshadow",'Map 5'!AE35)),CONCATENATE($AT35," ",'Map 5'!AE35)),'Map 5'!AE35)</f>
        <v>Ocean</v>
      </c>
      <c r="AF35" s="46" t="str" cm="1">
        <f t="array" aca="1" ref="AF35" ca="1">_xlfn.IFNA(_xlfn.IFS(AND(ISNUMBER(SEARCH("Rainshadow",'Map 5'!AF35)),ISNUMBER(SEARCH("Flatland",'Map 5'!AF35))),CONCATENATE($AT35, " Rainshadow"),'Map 5'!AF35="Flatland",$AT35,'Map 5'!AF35="Island",CONCATENATE($AT35, " Island"),ISNUMBER(SEARCH("Rainshadow",'Map 5'!AF35)),CONCATENATE($AT35," ",'Map 5'!AF35)),'Map 5'!AF35)</f>
        <v>Desert Island</v>
      </c>
      <c r="AG35" s="46" t="str" cm="1">
        <f t="array" aca="1" ref="AG35" ca="1">_xlfn.IFNA(_xlfn.IFS(AND(ISNUMBER(SEARCH("Rainshadow",'Map 5'!AG35)),ISNUMBER(SEARCH("Flatland",'Map 5'!AG35))),CONCATENATE($AT35, " Rainshadow"),'Map 5'!AG35="Flatland",$AT35,'Map 5'!AG35="Island",CONCATENATE($AT35, " Island"),ISNUMBER(SEARCH("Rainshadow",'Map 5'!AG35)),CONCATENATE($AT35," ",'Map 5'!AG35)),'Map 5'!AG35)</f>
        <v>Trench</v>
      </c>
      <c r="AH35" s="46" t="str" cm="1">
        <f t="array" aca="1" ref="AH35" ca="1">_xlfn.IFNA(_xlfn.IFS(AND(ISNUMBER(SEARCH("Rainshadow",'Map 5'!AH35)),ISNUMBER(SEARCH("Flatland",'Map 5'!AH35))),CONCATENATE($AT35, " Rainshadow"),'Map 5'!AH35="Flatland",$AT35,'Map 5'!AH35="Island",CONCATENATE($AT35, " Island"),ISNUMBER(SEARCH("Rainshadow",'Map 5'!AH35)),CONCATENATE($AT35," ",'Map 5'!AH35)),'Map 5'!AH35)</f>
        <v>Desert Island</v>
      </c>
      <c r="AI35" s="46" t="str" cm="1">
        <f t="array" aca="1" ref="AI35" ca="1">_xlfn.IFNA(_xlfn.IFS(AND(ISNUMBER(SEARCH("Rainshadow",'Map 5'!AI35)),ISNUMBER(SEARCH("Flatland",'Map 5'!AI35))),CONCATENATE($AT35, " Rainshadow"),'Map 5'!AI35="Flatland",$AT35,'Map 5'!AI35="Island",CONCATENATE($AT35, " Island"),ISNUMBER(SEARCH("Rainshadow",'Map 5'!AI35)),CONCATENATE($AT35," ",'Map 5'!AI35)),'Map 5'!AI35)</f>
        <v>Ocean</v>
      </c>
      <c r="AJ35" s="46" t="str" cm="1">
        <f t="array" aca="1" ref="AJ35" ca="1">_xlfn.IFNA(_xlfn.IFS(AND(ISNUMBER(SEARCH("Rainshadow",'Map 5'!AJ35)),ISNUMBER(SEARCH("Flatland",'Map 5'!AJ35))),CONCATENATE($AT35, " Rainshadow"),'Map 5'!AJ35="Flatland",$AT35,'Map 5'!AJ35="Island",CONCATENATE($AT35, " Island"),ISNUMBER(SEARCH("Rainshadow",'Map 5'!AJ35)),CONCATENATE($AT35," ",'Map 5'!AJ35)),'Map 5'!AJ35)</f>
        <v>Ocean</v>
      </c>
      <c r="AK35" s="46" t="str" cm="1">
        <f t="array" aca="1" ref="AK35" ca="1">_xlfn.IFNA(_xlfn.IFS(AND(ISNUMBER(SEARCH("Rainshadow",'Map 5'!AK35)),ISNUMBER(SEARCH("Flatland",'Map 5'!AK35))),CONCATENATE($AT35, " Rainshadow"),'Map 5'!AK35="Flatland",$AT35,'Map 5'!AK35="Island",CONCATENATE($AT35, " Island"),ISNUMBER(SEARCH("Rainshadow",'Map 5'!AK35)),CONCATENATE($AT35," ",'Map 5'!AK35)),'Map 5'!AK35)</f>
        <v>Ocean</v>
      </c>
      <c r="AL35" s="46" t="str" cm="1">
        <f t="array" aca="1" ref="AL35" ca="1">_xlfn.IFNA(_xlfn.IFS(AND(ISNUMBER(SEARCH("Rainshadow",'Map 5'!AL35)),ISNUMBER(SEARCH("Flatland",'Map 5'!AL35))),CONCATENATE($AT35, " Rainshadow"),'Map 5'!AL35="Flatland",$AT35,'Map 5'!AL35="Island",CONCATENATE($AT35, " Island"),ISNUMBER(SEARCH("Rainshadow",'Map 5'!AL35)),CONCATENATE($AT35," ",'Map 5'!AL35)),'Map 5'!AL35)</f>
        <v>Ocean</v>
      </c>
      <c r="AM35" s="46" t="str" cm="1">
        <f t="array" aca="1" ref="AM35" ca="1">_xlfn.IFNA(_xlfn.IFS(AND(ISNUMBER(SEARCH("Rainshadow",'Map 5'!AM35)),ISNUMBER(SEARCH("Flatland",'Map 5'!AM35))),CONCATENATE($AT35, " Rainshadow"),'Map 5'!AM35="Flatland",$AT35,'Map 5'!AM35="Island",CONCATENATE($AT35, " Island"),ISNUMBER(SEARCH("Rainshadow",'Map 5'!AM35)),CONCATENATE($AT35," ",'Map 5'!AM35)),'Map 5'!AM35)</f>
        <v>Ocean</v>
      </c>
      <c r="AN35" s="46" t="str" cm="1">
        <f t="array" aca="1" ref="AN35" ca="1">_xlfn.IFNA(_xlfn.IFS(AND(ISNUMBER(SEARCH("Rainshadow",'Map 5'!AN35)),ISNUMBER(SEARCH("Flatland",'Map 5'!AN35))),CONCATENATE($AT35, " Rainshadow"),'Map 5'!AN35="Flatland",$AT35,'Map 5'!AN35="Island",CONCATENATE($AT35, " Island"),ISNUMBER(SEARCH("Rainshadow",'Map 5'!AN35)),CONCATENATE($AT35," ",'Map 5'!AN35)),'Map 5'!AN35)</f>
        <v>Ocean</v>
      </c>
      <c r="AO35" s="46" t="str" cm="1">
        <f t="array" aca="1" ref="AO35" ca="1">_xlfn.IFNA(_xlfn.IFS(AND(ISNUMBER(SEARCH("Rainshadow",'Map 5'!AO35)),ISNUMBER(SEARCH("Flatland",'Map 5'!AO35))),CONCATENATE($AT35, " Rainshadow"),'Map 5'!AO35="Flatland",$AT35,'Map 5'!AO35="Island",CONCATENATE($AT35, " Island"),ISNUMBER(SEARCH("Rainshadow",'Map 5'!AO35)),CONCATENATE($AT35," ",'Map 5'!AO35)),'Map 5'!AO35)</f>
        <v>Trench</v>
      </c>
      <c r="AP35" s="46">
        <f>'Map 5'!AP35</f>
        <v>56.15</v>
      </c>
      <c r="AQ35" s="46">
        <f>'Map 5'!AQ35</f>
        <v>133.07</v>
      </c>
      <c r="AR35" s="46">
        <f>'Map 5'!AS35</f>
        <v>329.30000000000007</v>
      </c>
      <c r="AS35" s="47">
        <f>'Map 5'!AT35</f>
        <v>-27</v>
      </c>
      <c r="AT35" s="47" t="str">
        <f>'Map 5'!AU35</f>
        <v>Desert</v>
      </c>
      <c r="AU35" s="47" t="str">
        <f>'Map 5'!AV35</f>
        <v>⤴</v>
      </c>
      <c r="AX35" s="47" t="str">
        <f>CONCATENATE($AX$23," ",$AX5)</f>
        <v>Desert Rainshadow Drop Off</v>
      </c>
    </row>
    <row r="36" spans="1:50" ht="18.75" customHeight="1">
      <c r="A36" s="46">
        <v>27</v>
      </c>
      <c r="B36" s="46" t="str" cm="1">
        <f t="array" aca="1" ref="B36" ca="1">_xlfn.IFNA(_xlfn.IFS(AND(ISNUMBER(SEARCH("Rainshadow",'Map 5'!B36)),ISNUMBER(SEARCH("Flatland",'Map 5'!B36))),CONCATENATE($AT36, " Rainshadow"),'Map 5'!B36="Flatland",$AT36,'Map 5'!B36="Island",CONCATENATE($AT36, " Island"),ISNUMBER(SEARCH("Rainshadow",'Map 5'!B36)),CONCATENATE($AT36," ",'Map 5'!B36)),'Map 5'!B36)</f>
        <v>Trench</v>
      </c>
      <c r="C36" s="46" t="str" cm="1">
        <f t="array" aca="1" ref="C36" ca="1">_xlfn.IFNA(_xlfn.IFS(AND(ISNUMBER(SEARCH("Rainshadow",'Map 5'!C36)),ISNUMBER(SEARCH("Flatland",'Map 5'!C36))),CONCATENATE($AT36, " Rainshadow"),'Map 5'!C36="Flatland",$AT36,'Map 5'!C36="Island",CONCATENATE($AT36, " Island"),ISNUMBER(SEARCH("Rainshadow",'Map 5'!C36)),CONCATENATE($AT36," ",'Map 5'!C36)),'Map 5'!C36)</f>
        <v>Ocean</v>
      </c>
      <c r="D36" s="46" t="str" cm="1">
        <f t="array" aca="1" ref="D36" ca="1">_xlfn.IFNA(_xlfn.IFS(AND(ISNUMBER(SEARCH("Rainshadow",'Map 5'!D36)),ISNUMBER(SEARCH("Flatland",'Map 5'!D36))),CONCATENATE($AT36, " Rainshadow"),'Map 5'!D36="Flatland",$AT36,'Map 5'!D36="Island",CONCATENATE($AT36, " Island"),ISNUMBER(SEARCH("Rainshadow",'Map 5'!D36)),CONCATENATE($AT36," ",'Map 5'!D36)),'Map 5'!D36)</f>
        <v>Trench</v>
      </c>
      <c r="E36" s="46" t="str" cm="1">
        <f t="array" aca="1" ref="E36" ca="1">_xlfn.IFNA(_xlfn.IFS(AND(ISNUMBER(SEARCH("Rainshadow",'Map 5'!E36)),ISNUMBER(SEARCH("Flatland",'Map 5'!E36))),CONCATENATE($AT36, " Rainshadow"),'Map 5'!E36="Flatland",$AT36,'Map 5'!E36="Island",CONCATENATE($AT36, " Island"),ISNUMBER(SEARCH("Rainshadow",'Map 5'!E36)),CONCATENATE($AT36," ",'Map 5'!E36)),'Map 5'!E36)</f>
        <v>Ocean</v>
      </c>
      <c r="F36" s="46" t="str" cm="1">
        <f t="array" aca="1" ref="F36" ca="1">_xlfn.IFNA(_xlfn.IFS(AND(ISNUMBER(SEARCH("Rainshadow",'Map 5'!F36)),ISNUMBER(SEARCH("Flatland",'Map 5'!F36))),CONCATENATE($AT36, " Rainshadow"),'Map 5'!F36="Flatland",$AT36,'Map 5'!F36="Island",CONCATENATE($AT36, " Island"),ISNUMBER(SEARCH("Rainshadow",'Map 5'!F36)),CONCATENATE($AT36," ",'Map 5'!F36)),'Map 5'!F36)</f>
        <v>Mountain</v>
      </c>
      <c r="G36" s="46" t="str" cm="1">
        <f t="array" aca="1" ref="G36" ca="1">_xlfn.IFNA(_xlfn.IFS(AND(ISNUMBER(SEARCH("Rainshadow",'Map 5'!G36)),ISNUMBER(SEARCH("Flatland",'Map 5'!G36))),CONCATENATE($AT36, " Rainshadow"),'Map 5'!G36="Flatland",$AT36,'Map 5'!G36="Island",CONCATENATE($AT36, " Island"),ISNUMBER(SEARCH("Rainshadow",'Map 5'!G36)),CONCATENATE($AT36," ",'Map 5'!G36)),'Map 5'!G36)</f>
        <v>Desert</v>
      </c>
      <c r="H36" s="46" t="str" cm="1">
        <f t="array" aca="1" ref="H36" ca="1">_xlfn.IFNA(_xlfn.IFS(AND(ISNUMBER(SEARCH("Rainshadow",'Map 5'!H36)),ISNUMBER(SEARCH("Flatland",'Map 5'!H36))),CONCATENATE($AT36, " Rainshadow"),'Map 5'!H36="Flatland",$AT36,'Map 5'!H36="Island",CONCATENATE($AT36, " Island"),ISNUMBER(SEARCH("Rainshadow",'Map 5'!H36)),CONCATENATE($AT36," ",'Map 5'!H36)),'Map 5'!H36)</f>
        <v>Desert</v>
      </c>
      <c r="I36" s="46" t="str" cm="1">
        <f t="array" aca="1" ref="I36" ca="1">_xlfn.IFNA(_xlfn.IFS(AND(ISNUMBER(SEARCH("Rainshadow",'Map 5'!I36)),ISNUMBER(SEARCH("Flatland",'Map 5'!I36))),CONCATENATE($AT36, " Rainshadow"),'Map 5'!I36="Flatland",$AT36,'Map 5'!I36="Island",CONCATENATE($AT36, " Island"),ISNUMBER(SEARCH("Rainshadow",'Map 5'!I36)),CONCATENATE($AT36," ",'Map 5'!I36)),'Map 5'!I36)</f>
        <v>Coast</v>
      </c>
      <c r="J36" s="46" t="str" cm="1">
        <f t="array" aca="1" ref="J36" ca="1">_xlfn.IFNA(_xlfn.IFS(AND(ISNUMBER(SEARCH("Rainshadow",'Map 5'!J36)),ISNUMBER(SEARCH("Flatland",'Map 5'!J36))),CONCATENATE($AT36, " Rainshadow"),'Map 5'!J36="Flatland",$AT36,'Map 5'!J36="Island",CONCATENATE($AT36, " Island"),ISNUMBER(SEARCH("Rainshadow",'Map 5'!J36)),CONCATENATE($AT36," ",'Map 5'!J36)),'Map 5'!J36)</f>
        <v>Ocean</v>
      </c>
      <c r="K36" s="46" t="str" cm="1">
        <f t="array" aca="1" ref="K36" ca="1">_xlfn.IFNA(_xlfn.IFS(AND(ISNUMBER(SEARCH("Rainshadow",'Map 5'!K36)),ISNUMBER(SEARCH("Flatland",'Map 5'!K36))),CONCATENATE($AT36, " Rainshadow"),'Map 5'!K36="Flatland",$AT36,'Map 5'!K36="Island",CONCATENATE($AT36, " Island"),ISNUMBER(SEARCH("Rainshadow",'Map 5'!K36)),CONCATENATE($AT36," ",'Map 5'!K36)),'Map 5'!K36)</f>
        <v>Ocean</v>
      </c>
      <c r="L36" s="46" t="str" cm="1">
        <f t="array" aca="1" ref="L36" ca="1">_xlfn.IFNA(_xlfn.IFS(AND(ISNUMBER(SEARCH("Rainshadow",'Map 5'!L36)),ISNUMBER(SEARCH("Flatland",'Map 5'!L36))),CONCATENATE($AT36, " Rainshadow"),'Map 5'!L36="Flatland",$AT36,'Map 5'!L36="Island",CONCATENATE($AT36, " Island"),ISNUMBER(SEARCH("Rainshadow",'Map 5'!L36)),CONCATENATE($AT36," ",'Map 5'!L36)),'Map 5'!L36)</f>
        <v>Desert Island</v>
      </c>
      <c r="M36" s="46" t="str" cm="1">
        <f t="array" aca="1" ref="M36" ca="1">_xlfn.IFNA(_xlfn.IFS(AND(ISNUMBER(SEARCH("Rainshadow",'Map 5'!M36)),ISNUMBER(SEARCH("Flatland",'Map 5'!M36))),CONCATENATE($AT36, " Rainshadow"),'Map 5'!M36="Flatland",$AT36,'Map 5'!M36="Island",CONCATENATE($AT36, " Island"),ISNUMBER(SEARCH("Rainshadow",'Map 5'!M36)),CONCATENATE($AT36," ",'Map 5'!M36)),'Map 5'!M36)</f>
        <v>Ocean</v>
      </c>
      <c r="N36" s="46" t="str" cm="1">
        <f t="array" aca="1" ref="N36" ca="1">_xlfn.IFNA(_xlfn.IFS(AND(ISNUMBER(SEARCH("Rainshadow",'Map 5'!N36)),ISNUMBER(SEARCH("Flatland",'Map 5'!N36))),CONCATENATE($AT36, " Rainshadow"),'Map 5'!N36="Flatland",$AT36,'Map 5'!N36="Island",CONCATENATE($AT36, " Island"),ISNUMBER(SEARCH("Rainshadow",'Map 5'!N36)),CONCATENATE($AT36," ",'Map 5'!N36)),'Map 5'!N36)</f>
        <v>Desert Island</v>
      </c>
      <c r="O36" s="46" t="str" cm="1">
        <f t="array" aca="1" ref="O36" ca="1">_xlfn.IFNA(_xlfn.IFS(AND(ISNUMBER(SEARCH("Rainshadow",'Map 5'!O36)),ISNUMBER(SEARCH("Flatland",'Map 5'!O36))),CONCATENATE($AT36, " Rainshadow"),'Map 5'!O36="Flatland",$AT36,'Map 5'!O36="Island",CONCATENATE($AT36, " Island"),ISNUMBER(SEARCH("Rainshadow",'Map 5'!O36)),CONCATENATE($AT36," ",'Map 5'!O36)),'Map 5'!O36)</f>
        <v>Ocean</v>
      </c>
      <c r="P36" s="46" t="str" cm="1">
        <f t="array" aca="1" ref="P36" ca="1">_xlfn.IFNA(_xlfn.IFS(AND(ISNUMBER(SEARCH("Rainshadow",'Map 5'!P36)),ISNUMBER(SEARCH("Flatland",'Map 5'!P36))),CONCATENATE($AT36, " Rainshadow"),'Map 5'!P36="Flatland",$AT36,'Map 5'!P36="Island",CONCATENATE($AT36, " Island"),ISNUMBER(SEARCH("Rainshadow",'Map 5'!P36)),CONCATENATE($AT36," ",'Map 5'!P36)),'Map 5'!P36)</f>
        <v>Ocean</v>
      </c>
      <c r="Q36" s="46" t="str" cm="1">
        <f t="array" aca="1" ref="Q36" ca="1">_xlfn.IFNA(_xlfn.IFS(AND(ISNUMBER(SEARCH("Rainshadow",'Map 5'!Q36)),ISNUMBER(SEARCH("Flatland",'Map 5'!Q36))),CONCATENATE($AT36, " Rainshadow"),'Map 5'!Q36="Flatland",$AT36,'Map 5'!Q36="Island",CONCATENATE($AT36, " Island"),ISNUMBER(SEARCH("Rainshadow",'Map 5'!Q36)),CONCATENATE($AT36," ",'Map 5'!Q36)),'Map 5'!Q36)</f>
        <v>Ocean</v>
      </c>
      <c r="R36" s="46" t="str" cm="1">
        <f t="array" aca="1" ref="R36" ca="1">_xlfn.IFNA(_xlfn.IFS(AND(ISNUMBER(SEARCH("Rainshadow",'Map 5'!R36)),ISNUMBER(SEARCH("Flatland",'Map 5'!R36))),CONCATENATE($AT36, " Rainshadow"),'Map 5'!R36="Flatland",$AT36,'Map 5'!R36="Island",CONCATENATE($AT36, " Island"),ISNUMBER(SEARCH("Rainshadow",'Map 5'!R36)),CONCATENATE($AT36," ",'Map 5'!R36)),'Map 5'!R36)</f>
        <v>Desert Island</v>
      </c>
      <c r="S36" s="46" t="str" cm="1">
        <f t="array" aca="1" ref="S36" ca="1">_xlfn.IFNA(_xlfn.IFS(AND(ISNUMBER(SEARCH("Rainshadow",'Map 5'!S36)),ISNUMBER(SEARCH("Flatland",'Map 5'!S36))),CONCATENATE($AT36, " Rainshadow"),'Map 5'!S36="Flatland",$AT36,'Map 5'!S36="Island",CONCATENATE($AT36, " Island"),ISNUMBER(SEARCH("Rainshadow",'Map 5'!S36)),CONCATENATE($AT36," ",'Map 5'!S36)),'Map 5'!S36)</f>
        <v>Ocean</v>
      </c>
      <c r="T36" s="46" t="str" cm="1">
        <f t="array" aca="1" ref="T36" ca="1">_xlfn.IFNA(_xlfn.IFS(AND(ISNUMBER(SEARCH("Rainshadow",'Map 5'!T36)),ISNUMBER(SEARCH("Flatland",'Map 5'!T36))),CONCATENATE($AT36, " Rainshadow"),'Map 5'!T36="Flatland",$AT36,'Map 5'!T36="Island",CONCATENATE($AT36, " Island"),ISNUMBER(SEARCH("Rainshadow",'Map 5'!T36)),CONCATENATE($AT36," ",'Map 5'!T36)),'Map 5'!T36)</f>
        <v>Ocean</v>
      </c>
      <c r="U36" s="46" t="str" cm="1">
        <f t="array" aca="1" ref="U36" ca="1">_xlfn.IFNA(_xlfn.IFS(AND(ISNUMBER(SEARCH("Rainshadow",'Map 5'!U36)),ISNUMBER(SEARCH("Flatland",'Map 5'!U36))),CONCATENATE($AT36, " Rainshadow"),'Map 5'!U36="Flatland",$AT36,'Map 5'!U36="Island",CONCATENATE($AT36, " Island"),ISNUMBER(SEARCH("Rainshadow",'Map 5'!U36)),CONCATENATE($AT36," ",'Map 5'!U36)),'Map 5'!U36)</f>
        <v>Trench</v>
      </c>
      <c r="V36" s="46" t="str" cm="1">
        <f t="array" aca="1" ref="V36" ca="1">_xlfn.IFNA(_xlfn.IFS(AND(ISNUMBER(SEARCH("Rainshadow",'Map 5'!V36)),ISNUMBER(SEARCH("Flatland",'Map 5'!V36))),CONCATENATE($AT36, " Rainshadow"),'Map 5'!V36="Flatland",$AT36,'Map 5'!V36="Island",CONCATENATE($AT36, " Island"),ISNUMBER(SEARCH("Rainshadow",'Map 5'!V36)),CONCATENATE($AT36," ",'Map 5'!V36)),'Map 5'!V36)</f>
        <v>Desert Island</v>
      </c>
      <c r="W36" s="46" t="str" cm="1">
        <f t="array" aca="1" ref="W36" ca="1">_xlfn.IFNA(_xlfn.IFS(AND(ISNUMBER(SEARCH("Rainshadow",'Map 5'!W36)),ISNUMBER(SEARCH("Flatland",'Map 5'!W36))),CONCATENATE($AT36, " Rainshadow"),'Map 5'!W36="Flatland",$AT36,'Map 5'!W36="Island",CONCATENATE($AT36, " Island"),ISNUMBER(SEARCH("Rainshadow",'Map 5'!W36)),CONCATENATE($AT36," ",'Map 5'!W36)),'Map 5'!W36)</f>
        <v>Trench</v>
      </c>
      <c r="X36" s="46" t="str" cm="1">
        <f t="array" aca="1" ref="X36" ca="1">_xlfn.IFNA(_xlfn.IFS(AND(ISNUMBER(SEARCH("Rainshadow",'Map 5'!X36)),ISNUMBER(SEARCH("Flatland",'Map 5'!X36))),CONCATENATE($AT36, " Rainshadow"),'Map 5'!X36="Flatland",$AT36,'Map 5'!X36="Island",CONCATENATE($AT36, " Island"),ISNUMBER(SEARCH("Rainshadow",'Map 5'!X36)),CONCATENATE($AT36," ",'Map 5'!X36)),'Map 5'!X36)</f>
        <v>Ocean</v>
      </c>
      <c r="Y36" s="46" t="str" cm="1">
        <f t="array" aca="1" ref="Y36" ca="1">_xlfn.IFNA(_xlfn.IFS(AND(ISNUMBER(SEARCH("Rainshadow",'Map 5'!Y36)),ISNUMBER(SEARCH("Flatland",'Map 5'!Y36))),CONCATENATE($AT36, " Rainshadow"),'Map 5'!Y36="Flatland",$AT36,'Map 5'!Y36="Island",CONCATENATE($AT36, " Island"),ISNUMBER(SEARCH("Rainshadow",'Map 5'!Y36)),CONCATENATE($AT36," ",'Map 5'!Y36)),'Map 5'!Y36)</f>
        <v>Ocean</v>
      </c>
      <c r="Z36" s="46" t="str" cm="1">
        <f t="array" aca="1" ref="Z36" ca="1">_xlfn.IFNA(_xlfn.IFS(AND(ISNUMBER(SEARCH("Rainshadow",'Map 5'!Z36)),ISNUMBER(SEARCH("Flatland",'Map 5'!Z36))),CONCATENATE($AT36, " Rainshadow"),'Map 5'!Z36="Flatland",$AT36,'Map 5'!Z36="Island",CONCATENATE($AT36, " Island"),ISNUMBER(SEARCH("Rainshadow",'Map 5'!Z36)),CONCATENATE($AT36," ",'Map 5'!Z36)),'Map 5'!Z36)</f>
        <v>Trench</v>
      </c>
      <c r="AA36" s="46" t="str" cm="1">
        <f t="array" aca="1" ref="AA36" ca="1">_xlfn.IFNA(_xlfn.IFS(AND(ISNUMBER(SEARCH("Rainshadow",'Map 5'!AA36)),ISNUMBER(SEARCH("Flatland",'Map 5'!AA36))),CONCATENATE($AT36, " Rainshadow"),'Map 5'!AA36="Flatland",$AT36,'Map 5'!AA36="Island",CONCATENATE($AT36, " Island"),ISNUMBER(SEARCH("Rainshadow",'Map 5'!AA36)),CONCATENATE($AT36," ",'Map 5'!AA36)),'Map 5'!AA36)</f>
        <v>Ocean</v>
      </c>
      <c r="AB36" s="46" t="str" cm="1">
        <f t="array" aca="1" ref="AB36" ca="1">_xlfn.IFNA(_xlfn.IFS(AND(ISNUMBER(SEARCH("Rainshadow",'Map 5'!AB36)),ISNUMBER(SEARCH("Flatland",'Map 5'!AB36))),CONCATENATE($AT36, " Rainshadow"),'Map 5'!AB36="Flatland",$AT36,'Map 5'!AB36="Island",CONCATENATE($AT36, " Island"),ISNUMBER(SEARCH("Rainshadow",'Map 5'!AB36)),CONCATENATE($AT36," ",'Map 5'!AB36)),'Map 5'!AB36)</f>
        <v>Ocean</v>
      </c>
      <c r="AC36" s="46" t="str" cm="1">
        <f t="array" aca="1" ref="AC36" ca="1">_xlfn.IFNA(_xlfn.IFS(AND(ISNUMBER(SEARCH("Rainshadow",'Map 5'!AC36)),ISNUMBER(SEARCH("Flatland",'Map 5'!AC36))),CONCATENATE($AT36, " Rainshadow"),'Map 5'!AC36="Flatland",$AT36,'Map 5'!AC36="Island",CONCATENATE($AT36, " Island"),ISNUMBER(SEARCH("Rainshadow",'Map 5'!AC36)),CONCATENATE($AT36," ",'Map 5'!AC36)),'Map 5'!AC36)</f>
        <v>Ocean</v>
      </c>
      <c r="AD36" s="46" t="str" cm="1">
        <f t="array" aca="1" ref="AD36" ca="1">_xlfn.IFNA(_xlfn.IFS(AND(ISNUMBER(SEARCH("Rainshadow",'Map 5'!AD36)),ISNUMBER(SEARCH("Flatland",'Map 5'!AD36))),CONCATENATE($AT36, " Rainshadow"),'Map 5'!AD36="Flatland",$AT36,'Map 5'!AD36="Island",CONCATENATE($AT36, " Island"),ISNUMBER(SEARCH("Rainshadow",'Map 5'!AD36)),CONCATENATE($AT36," ",'Map 5'!AD36)),'Map 5'!AD36)</f>
        <v>Ocean</v>
      </c>
      <c r="AE36" s="46" t="str" cm="1">
        <f t="array" aca="1" ref="AE36" ca="1">_xlfn.IFNA(_xlfn.IFS(AND(ISNUMBER(SEARCH("Rainshadow",'Map 5'!AE36)),ISNUMBER(SEARCH("Flatland",'Map 5'!AE36))),CONCATENATE($AT36, " Rainshadow"),'Map 5'!AE36="Flatland",$AT36,'Map 5'!AE36="Island",CONCATENATE($AT36, " Island"),ISNUMBER(SEARCH("Rainshadow",'Map 5'!AE36)),CONCATENATE($AT36," ",'Map 5'!AE36)),'Map 5'!AE36)</f>
        <v>Ocean</v>
      </c>
      <c r="AF36" s="46" t="str" cm="1">
        <f t="array" aca="1" ref="AF36" ca="1">_xlfn.IFNA(_xlfn.IFS(AND(ISNUMBER(SEARCH("Rainshadow",'Map 5'!AF36)),ISNUMBER(SEARCH("Flatland",'Map 5'!AF36))),CONCATENATE($AT36, " Rainshadow"),'Map 5'!AF36="Flatland",$AT36,'Map 5'!AF36="Island",CONCATENATE($AT36, " Island"),ISNUMBER(SEARCH("Rainshadow",'Map 5'!AF36)),CONCATENATE($AT36," ",'Map 5'!AF36)),'Map 5'!AF36)</f>
        <v>Ocean</v>
      </c>
      <c r="AG36" s="46" t="str" cm="1">
        <f t="array" aca="1" ref="AG36" ca="1">_xlfn.IFNA(_xlfn.IFS(AND(ISNUMBER(SEARCH("Rainshadow",'Map 5'!AG36)),ISNUMBER(SEARCH("Flatland",'Map 5'!AG36))),CONCATENATE($AT36, " Rainshadow"),'Map 5'!AG36="Flatland",$AT36,'Map 5'!AG36="Island",CONCATENATE($AT36, " Island"),ISNUMBER(SEARCH("Rainshadow",'Map 5'!AG36)),CONCATENATE($AT36," ",'Map 5'!AG36)),'Map 5'!AG36)</f>
        <v>Desert Island</v>
      </c>
      <c r="AH36" s="46" t="str" cm="1">
        <f t="array" aca="1" ref="AH36" ca="1">_xlfn.IFNA(_xlfn.IFS(AND(ISNUMBER(SEARCH("Rainshadow",'Map 5'!AH36)),ISNUMBER(SEARCH("Flatland",'Map 5'!AH36))),CONCATENATE($AT36, " Rainshadow"),'Map 5'!AH36="Flatland",$AT36,'Map 5'!AH36="Island",CONCATENATE($AT36, " Island"),ISNUMBER(SEARCH("Rainshadow",'Map 5'!AH36)),CONCATENATE($AT36," ",'Map 5'!AH36)),'Map 5'!AH36)</f>
        <v>Ocean</v>
      </c>
      <c r="AI36" s="46" t="str" cm="1">
        <f t="array" aca="1" ref="AI36" ca="1">_xlfn.IFNA(_xlfn.IFS(AND(ISNUMBER(SEARCH("Rainshadow",'Map 5'!AI36)),ISNUMBER(SEARCH("Flatland",'Map 5'!AI36))),CONCATENATE($AT36, " Rainshadow"),'Map 5'!AI36="Flatland",$AT36,'Map 5'!AI36="Island",CONCATENATE($AT36, " Island"),ISNUMBER(SEARCH("Rainshadow",'Map 5'!AI36)),CONCATENATE($AT36," ",'Map 5'!AI36)),'Map 5'!AI36)</f>
        <v>Ocean</v>
      </c>
      <c r="AJ36" s="46" t="str" cm="1">
        <f t="array" aca="1" ref="AJ36" ca="1">_xlfn.IFNA(_xlfn.IFS(AND(ISNUMBER(SEARCH("Rainshadow",'Map 5'!AJ36)),ISNUMBER(SEARCH("Flatland",'Map 5'!AJ36))),CONCATENATE($AT36, " Rainshadow"),'Map 5'!AJ36="Flatland",$AT36,'Map 5'!AJ36="Island",CONCATENATE($AT36, " Island"),ISNUMBER(SEARCH("Rainshadow",'Map 5'!AJ36)),CONCATENATE($AT36," ",'Map 5'!AJ36)),'Map 5'!AJ36)</f>
        <v>Ocean</v>
      </c>
      <c r="AK36" s="46" t="str" cm="1">
        <f t="array" aca="1" ref="AK36" ca="1">_xlfn.IFNA(_xlfn.IFS(AND(ISNUMBER(SEARCH("Rainshadow",'Map 5'!AK36)),ISNUMBER(SEARCH("Flatland",'Map 5'!AK36))),CONCATENATE($AT36, " Rainshadow"),'Map 5'!AK36="Flatland",$AT36,'Map 5'!AK36="Island",CONCATENATE($AT36, " Island"),ISNUMBER(SEARCH("Rainshadow",'Map 5'!AK36)),CONCATENATE($AT36," ",'Map 5'!AK36)),'Map 5'!AK36)</f>
        <v>Ocean</v>
      </c>
      <c r="AL36" s="46" t="str" cm="1">
        <f t="array" aca="1" ref="AL36" ca="1">_xlfn.IFNA(_xlfn.IFS(AND(ISNUMBER(SEARCH("Rainshadow",'Map 5'!AL36)),ISNUMBER(SEARCH("Flatland",'Map 5'!AL36))),CONCATENATE($AT36, " Rainshadow"),'Map 5'!AL36="Flatland",$AT36,'Map 5'!AL36="Island",CONCATENATE($AT36, " Island"),ISNUMBER(SEARCH("Rainshadow",'Map 5'!AL36)),CONCATENATE($AT36," ",'Map 5'!AL36)),'Map 5'!AL36)</f>
        <v>Ocean</v>
      </c>
      <c r="AM36" s="46" t="str" cm="1">
        <f t="array" aca="1" ref="AM36" ca="1">_xlfn.IFNA(_xlfn.IFS(AND(ISNUMBER(SEARCH("Rainshadow",'Map 5'!AM36)),ISNUMBER(SEARCH("Flatland",'Map 5'!AM36))),CONCATENATE($AT36, " Rainshadow"),'Map 5'!AM36="Flatland",$AT36,'Map 5'!AM36="Island",CONCATENATE($AT36, " Island"),ISNUMBER(SEARCH("Rainshadow",'Map 5'!AM36)),CONCATENATE($AT36," ",'Map 5'!AM36)),'Map 5'!AM36)</f>
        <v>Ocean</v>
      </c>
      <c r="AN36" s="46" t="str" cm="1">
        <f t="array" aca="1" ref="AN36" ca="1">_xlfn.IFNA(_xlfn.IFS(AND(ISNUMBER(SEARCH("Rainshadow",'Map 5'!AN36)),ISNUMBER(SEARCH("Flatland",'Map 5'!AN36))),CONCATENATE($AT36, " Rainshadow"),'Map 5'!AN36="Flatland",$AT36,'Map 5'!AN36="Island",CONCATENATE($AT36, " Island"),ISNUMBER(SEARCH("Rainshadow",'Map 5'!AN36)),CONCATENATE($AT36," ",'Map 5'!AN36)),'Map 5'!AN36)</f>
        <v>Trench</v>
      </c>
      <c r="AO36" s="46" t="str" cm="1">
        <f t="array" aca="1" ref="AO36" ca="1">_xlfn.IFNA(_xlfn.IFS(AND(ISNUMBER(SEARCH("Rainshadow",'Map 5'!AO36)),ISNUMBER(SEARCH("Flatland",'Map 5'!AO36))),CONCATENATE($AT36, " Rainshadow"),'Map 5'!AO36="Flatland",$AT36,'Map 5'!AO36="Island",CONCATENATE($AT36, " Island"),ISNUMBER(SEARCH("Rainshadow",'Map 5'!AO36)),CONCATENATE($AT36," ",'Map 5'!AO36)),'Map 5'!AO36)</f>
        <v>Ocean</v>
      </c>
      <c r="AP36" s="46">
        <f>'Map 5'!AP36</f>
        <v>49.2</v>
      </c>
      <c r="AQ36" s="46">
        <f>'Map 5'!AQ36</f>
        <v>120.56</v>
      </c>
      <c r="AR36" s="46">
        <f>'Map 5'!AS36</f>
        <v>322.35000000000008</v>
      </c>
      <c r="AS36" s="47">
        <f>'Map 5'!AT36</f>
        <v>-31.5</v>
      </c>
      <c r="AT36" s="47" t="str">
        <f>'Map 5'!AU36</f>
        <v>Desert</v>
      </c>
      <c r="AU36" s="47" t="str">
        <f>'Map 5'!AV36</f>
        <v>⤵</v>
      </c>
      <c r="AX36" s="47" t="str">
        <f>CONCATENATE($AX$24," ",$AX5)</f>
        <v>Grasslands Rainshadow Drop Off</v>
      </c>
    </row>
    <row r="37" spans="1:50" ht="18.75" customHeight="1">
      <c r="A37" s="46">
        <v>28</v>
      </c>
      <c r="B37" s="46" t="str" cm="1">
        <f t="array" aca="1" ref="B37" ca="1">_xlfn.IFNA(_xlfn.IFS(AND(ISNUMBER(SEARCH("Rainshadow",'Map 5'!B37)),ISNUMBER(SEARCH("Flatland",'Map 5'!B37))),CONCATENATE($AT37, " Rainshadow"),'Map 5'!B37="Flatland",$AT37,'Map 5'!B37="Island",CONCATENATE($AT37, " Island"),ISNUMBER(SEARCH("Rainshadow",'Map 5'!B37)),CONCATENATE($AT37," ",'Map 5'!B37)),'Map 5'!B37)</f>
        <v>Drop Off</v>
      </c>
      <c r="C37" s="46" t="str" cm="1">
        <f t="array" aca="1" ref="C37" ca="1">_xlfn.IFNA(_xlfn.IFS(AND(ISNUMBER(SEARCH("Rainshadow",'Map 5'!C37)),ISNUMBER(SEARCH("Flatland",'Map 5'!C37))),CONCATENATE($AT37, " Rainshadow"),'Map 5'!C37="Flatland",$AT37,'Map 5'!C37="Island",CONCATENATE($AT37, " Island"),ISNUMBER(SEARCH("Rainshadow",'Map 5'!C37)),CONCATENATE($AT37," ",'Map 5'!C37)),'Map 5'!C37)</f>
        <v>Coast</v>
      </c>
      <c r="D37" s="46" t="str" cm="1">
        <f t="array" aca="1" ref="D37" ca="1">_xlfn.IFNA(_xlfn.IFS(AND(ISNUMBER(SEARCH("Rainshadow",'Map 5'!D37)),ISNUMBER(SEARCH("Flatland",'Map 5'!D37))),CONCATENATE($AT37, " Rainshadow"),'Map 5'!D37="Flatland",$AT37,'Map 5'!D37="Island",CONCATENATE($AT37, " Island"),ISNUMBER(SEARCH("Rainshadow",'Map 5'!D37)),CONCATENATE($AT37," ",'Map 5'!D37)),'Map 5'!D37)</f>
        <v>Ocean</v>
      </c>
      <c r="E37" s="46" t="str" cm="1">
        <f t="array" aca="1" ref="E37" ca="1">_xlfn.IFNA(_xlfn.IFS(AND(ISNUMBER(SEARCH("Rainshadow",'Map 5'!E37)),ISNUMBER(SEARCH("Flatland",'Map 5'!E37))),CONCATENATE($AT37, " Rainshadow"),'Map 5'!E37="Flatland",$AT37,'Map 5'!E37="Island",CONCATENATE($AT37, " Island"),ISNUMBER(SEARCH("Rainshadow",'Map 5'!E37)),CONCATENATE($AT37," ",'Map 5'!E37)),'Map 5'!E37)</f>
        <v>Ocean</v>
      </c>
      <c r="F37" s="46" t="str" cm="1">
        <f t="array" aca="1" ref="F37" ca="1">_xlfn.IFNA(_xlfn.IFS(AND(ISNUMBER(SEARCH("Rainshadow",'Map 5'!F37)),ISNUMBER(SEARCH("Flatland",'Map 5'!F37))),CONCATENATE($AT37, " Rainshadow"),'Map 5'!F37="Flatland",$AT37,'Map 5'!F37="Island",CONCATENATE($AT37, " Island"),ISNUMBER(SEARCH("Rainshadow",'Map 5'!F37)),CONCATENATE($AT37," ",'Map 5'!F37)),'Map 5'!F37)</f>
        <v>Desert</v>
      </c>
      <c r="G37" s="46" t="str" cm="1">
        <f t="array" aca="1" ref="G37" ca="1">_xlfn.IFNA(_xlfn.IFS(AND(ISNUMBER(SEARCH("Rainshadow",'Map 5'!G37)),ISNUMBER(SEARCH("Flatland",'Map 5'!G37))),CONCATENATE($AT37, " Rainshadow"),'Map 5'!G37="Flatland",$AT37,'Map 5'!G37="Island",CONCATENATE($AT37, " Island"),ISNUMBER(SEARCH("Rainshadow",'Map 5'!G37)),CONCATENATE($AT37," ",'Map 5'!G37)),'Map 5'!G37)</f>
        <v>Desert</v>
      </c>
      <c r="H37" s="46" t="str" cm="1">
        <f t="array" aca="1" ref="H37" ca="1">_xlfn.IFNA(_xlfn.IFS(AND(ISNUMBER(SEARCH("Rainshadow",'Map 5'!H37)),ISNUMBER(SEARCH("Flatland",'Map 5'!H37))),CONCATENATE($AT37, " Rainshadow"),'Map 5'!H37="Flatland",$AT37,'Map 5'!H37="Island",CONCATENATE($AT37, " Island"),ISNUMBER(SEARCH("Rainshadow",'Map 5'!H37)),CONCATENATE($AT37," ",'Map 5'!H37)),'Map 5'!H37)</f>
        <v>Desert</v>
      </c>
      <c r="I37" s="46" t="str" cm="1">
        <f t="array" aca="1" ref="I37" ca="1">_xlfn.IFNA(_xlfn.IFS(AND(ISNUMBER(SEARCH("Rainshadow",'Map 5'!I37)),ISNUMBER(SEARCH("Flatland",'Map 5'!I37))),CONCATENATE($AT37, " Rainshadow"),'Map 5'!I37="Flatland",$AT37,'Map 5'!I37="Island",CONCATENATE($AT37, " Island"),ISNUMBER(SEARCH("Rainshadow",'Map 5'!I37)),CONCATENATE($AT37," ",'Map 5'!I37)),'Map 5'!I37)</f>
        <v>Coast</v>
      </c>
      <c r="J37" s="46" t="str" cm="1">
        <f t="array" aca="1" ref="J37" ca="1">_xlfn.IFNA(_xlfn.IFS(AND(ISNUMBER(SEARCH("Rainshadow",'Map 5'!J37)),ISNUMBER(SEARCH("Flatland",'Map 5'!J37))),CONCATENATE($AT37, " Rainshadow"),'Map 5'!J37="Flatland",$AT37,'Map 5'!J37="Island",CONCATENATE($AT37, " Island"),ISNUMBER(SEARCH("Rainshadow",'Map 5'!J37)),CONCATENATE($AT37," ",'Map 5'!J37)),'Map 5'!J37)</f>
        <v>Coast</v>
      </c>
      <c r="K37" s="46" t="str" cm="1">
        <f t="array" aca="1" ref="K37" ca="1">_xlfn.IFNA(_xlfn.IFS(AND(ISNUMBER(SEARCH("Rainshadow",'Map 5'!K37)),ISNUMBER(SEARCH("Flatland",'Map 5'!K37))),CONCATENATE($AT37, " Rainshadow"),'Map 5'!K37="Flatland",$AT37,'Map 5'!K37="Island",CONCATENATE($AT37, " Island"),ISNUMBER(SEARCH("Rainshadow",'Map 5'!K37)),CONCATENATE($AT37," ",'Map 5'!K37)),'Map 5'!K37)</f>
        <v>Ocean</v>
      </c>
      <c r="L37" s="46" t="str" cm="1">
        <f t="array" aca="1" ref="L37" ca="1">_xlfn.IFNA(_xlfn.IFS(AND(ISNUMBER(SEARCH("Rainshadow",'Map 5'!L37)),ISNUMBER(SEARCH("Flatland",'Map 5'!L37))),CONCATENATE($AT37, " Rainshadow"),'Map 5'!L37="Flatland",$AT37,'Map 5'!L37="Island",CONCATENATE($AT37, " Island"),ISNUMBER(SEARCH("Rainshadow",'Map 5'!L37)),CONCATENATE($AT37," ",'Map 5'!L37)),'Map 5'!L37)</f>
        <v>Trench</v>
      </c>
      <c r="M37" s="46" t="str" cm="1">
        <f t="array" aca="1" ref="M37" ca="1">_xlfn.IFNA(_xlfn.IFS(AND(ISNUMBER(SEARCH("Rainshadow",'Map 5'!M37)),ISNUMBER(SEARCH("Flatland",'Map 5'!M37))),CONCATENATE($AT37, " Rainshadow"),'Map 5'!M37="Flatland",$AT37,'Map 5'!M37="Island",CONCATENATE($AT37, " Island"),ISNUMBER(SEARCH("Rainshadow",'Map 5'!M37)),CONCATENATE($AT37," ",'Map 5'!M37)),'Map 5'!M37)</f>
        <v>Trench</v>
      </c>
      <c r="N37" s="46" t="str" cm="1">
        <f t="array" aca="1" ref="N37" ca="1">_xlfn.IFNA(_xlfn.IFS(AND(ISNUMBER(SEARCH("Rainshadow",'Map 5'!N37)),ISNUMBER(SEARCH("Flatland",'Map 5'!N37))),CONCATENATE($AT37, " Rainshadow"),'Map 5'!N37="Flatland",$AT37,'Map 5'!N37="Island",CONCATENATE($AT37, " Island"),ISNUMBER(SEARCH("Rainshadow",'Map 5'!N37)),CONCATENATE($AT37," ",'Map 5'!N37)),'Map 5'!N37)</f>
        <v>Ocean</v>
      </c>
      <c r="O37" s="46" t="str" cm="1">
        <f t="array" aca="1" ref="O37" ca="1">_xlfn.IFNA(_xlfn.IFS(AND(ISNUMBER(SEARCH("Rainshadow",'Map 5'!O37)),ISNUMBER(SEARCH("Flatland",'Map 5'!O37))),CONCATENATE($AT37, " Rainshadow"),'Map 5'!O37="Flatland",$AT37,'Map 5'!O37="Island",CONCATENATE($AT37, " Island"),ISNUMBER(SEARCH("Rainshadow",'Map 5'!O37)),CONCATENATE($AT37," ",'Map 5'!O37)),'Map 5'!O37)</f>
        <v>Ocean</v>
      </c>
      <c r="P37" s="46" t="str" cm="1">
        <f t="array" aca="1" ref="P37" ca="1">_xlfn.IFNA(_xlfn.IFS(AND(ISNUMBER(SEARCH("Rainshadow",'Map 5'!P37)),ISNUMBER(SEARCH("Flatland",'Map 5'!P37))),CONCATENATE($AT37, " Rainshadow"),'Map 5'!P37="Flatland",$AT37,'Map 5'!P37="Island",CONCATENATE($AT37, " Island"),ISNUMBER(SEARCH("Rainshadow",'Map 5'!P37)),CONCATENATE($AT37," ",'Map 5'!P37)),'Map 5'!P37)</f>
        <v>Ocean</v>
      </c>
      <c r="Q37" s="46" t="str" cm="1">
        <f t="array" aca="1" ref="Q37" ca="1">_xlfn.IFNA(_xlfn.IFS(AND(ISNUMBER(SEARCH("Rainshadow",'Map 5'!Q37)),ISNUMBER(SEARCH("Flatland",'Map 5'!Q37))),CONCATENATE($AT37, " Rainshadow"),'Map 5'!Q37="Flatland",$AT37,'Map 5'!Q37="Island",CONCATENATE($AT37, " Island"),ISNUMBER(SEARCH("Rainshadow",'Map 5'!Q37)),CONCATENATE($AT37," ",'Map 5'!Q37)),'Map 5'!Q37)</f>
        <v>Ocean</v>
      </c>
      <c r="R37" s="46" t="str" cm="1">
        <f t="array" aca="1" ref="R37" ca="1">_xlfn.IFNA(_xlfn.IFS(AND(ISNUMBER(SEARCH("Rainshadow",'Map 5'!R37)),ISNUMBER(SEARCH("Flatland",'Map 5'!R37))),CONCATENATE($AT37, " Rainshadow"),'Map 5'!R37="Flatland",$AT37,'Map 5'!R37="Island",CONCATENATE($AT37, " Island"),ISNUMBER(SEARCH("Rainshadow",'Map 5'!R37)),CONCATENATE($AT37," ",'Map 5'!R37)),'Map 5'!R37)</f>
        <v>Desert Island</v>
      </c>
      <c r="S37" s="46" t="str" cm="1">
        <f t="array" aca="1" ref="S37" ca="1">_xlfn.IFNA(_xlfn.IFS(AND(ISNUMBER(SEARCH("Rainshadow",'Map 5'!S37)),ISNUMBER(SEARCH("Flatland",'Map 5'!S37))),CONCATENATE($AT37, " Rainshadow"),'Map 5'!S37="Flatland",$AT37,'Map 5'!S37="Island",CONCATENATE($AT37, " Island"),ISNUMBER(SEARCH("Rainshadow",'Map 5'!S37)),CONCATENATE($AT37," ",'Map 5'!S37)),'Map 5'!S37)</f>
        <v>Ocean</v>
      </c>
      <c r="T37" s="46" t="str" cm="1">
        <f t="array" aca="1" ref="T37" ca="1">_xlfn.IFNA(_xlfn.IFS(AND(ISNUMBER(SEARCH("Rainshadow",'Map 5'!T37)),ISNUMBER(SEARCH("Flatland",'Map 5'!T37))),CONCATENATE($AT37, " Rainshadow"),'Map 5'!T37="Flatland",$AT37,'Map 5'!T37="Island",CONCATENATE($AT37, " Island"),ISNUMBER(SEARCH("Rainshadow",'Map 5'!T37)),CONCATENATE($AT37," ",'Map 5'!T37)),'Map 5'!T37)</f>
        <v>Ocean</v>
      </c>
      <c r="U37" s="46" t="str" cm="1">
        <f t="array" aca="1" ref="U37" ca="1">_xlfn.IFNA(_xlfn.IFS(AND(ISNUMBER(SEARCH("Rainshadow",'Map 5'!U37)),ISNUMBER(SEARCH("Flatland",'Map 5'!U37))),CONCATENATE($AT37, " Rainshadow"),'Map 5'!U37="Flatland",$AT37,'Map 5'!U37="Island",CONCATENATE($AT37, " Island"),ISNUMBER(SEARCH("Rainshadow",'Map 5'!U37)),CONCATENATE($AT37," ",'Map 5'!U37)),'Map 5'!U37)</f>
        <v>Desert Island</v>
      </c>
      <c r="V37" s="46" t="str" cm="1">
        <f t="array" aca="1" ref="V37" ca="1">_xlfn.IFNA(_xlfn.IFS(AND(ISNUMBER(SEARCH("Rainshadow",'Map 5'!V37)),ISNUMBER(SEARCH("Flatland",'Map 5'!V37))),CONCATENATE($AT37, " Rainshadow"),'Map 5'!V37="Flatland",$AT37,'Map 5'!V37="Island",CONCATENATE($AT37, " Island"),ISNUMBER(SEARCH("Rainshadow",'Map 5'!V37)),CONCATENATE($AT37," ",'Map 5'!V37)),'Map 5'!V37)</f>
        <v>Trench</v>
      </c>
      <c r="W37" s="46" t="str" cm="1">
        <f t="array" aca="1" ref="W37" ca="1">_xlfn.IFNA(_xlfn.IFS(AND(ISNUMBER(SEARCH("Rainshadow",'Map 5'!W37)),ISNUMBER(SEARCH("Flatland",'Map 5'!W37))),CONCATENATE($AT37, " Rainshadow"),'Map 5'!W37="Flatland",$AT37,'Map 5'!W37="Island",CONCATENATE($AT37, " Island"),ISNUMBER(SEARCH("Rainshadow",'Map 5'!W37)),CONCATENATE($AT37," ",'Map 5'!W37)),'Map 5'!W37)</f>
        <v>Ocean</v>
      </c>
      <c r="X37" s="46" t="str" cm="1">
        <f t="array" aca="1" ref="X37" ca="1">_xlfn.IFNA(_xlfn.IFS(AND(ISNUMBER(SEARCH("Rainshadow",'Map 5'!X37)),ISNUMBER(SEARCH("Flatland",'Map 5'!X37))),CONCATENATE($AT37, " Rainshadow"),'Map 5'!X37="Flatland",$AT37,'Map 5'!X37="Island",CONCATENATE($AT37, " Island"),ISNUMBER(SEARCH("Rainshadow",'Map 5'!X37)),CONCATENATE($AT37," ",'Map 5'!X37)),'Map 5'!X37)</f>
        <v>Ocean</v>
      </c>
      <c r="Y37" s="46" t="str" cm="1">
        <f t="array" aca="1" ref="Y37" ca="1">_xlfn.IFNA(_xlfn.IFS(AND(ISNUMBER(SEARCH("Rainshadow",'Map 5'!Y37)),ISNUMBER(SEARCH("Flatland",'Map 5'!Y37))),CONCATENATE($AT37, " Rainshadow"),'Map 5'!Y37="Flatland",$AT37,'Map 5'!Y37="Island",CONCATENATE($AT37, " Island"),ISNUMBER(SEARCH("Rainshadow",'Map 5'!Y37)),CONCATENATE($AT37," ",'Map 5'!Y37)),'Map 5'!Y37)</f>
        <v>Ocean</v>
      </c>
      <c r="Z37" s="46" t="str" cm="1">
        <f t="array" aca="1" ref="Z37" ca="1">_xlfn.IFNA(_xlfn.IFS(AND(ISNUMBER(SEARCH("Rainshadow",'Map 5'!Z37)),ISNUMBER(SEARCH("Flatland",'Map 5'!Z37))),CONCATENATE($AT37, " Rainshadow"),'Map 5'!Z37="Flatland",$AT37,'Map 5'!Z37="Island",CONCATENATE($AT37, " Island"),ISNUMBER(SEARCH("Rainshadow",'Map 5'!Z37)),CONCATENATE($AT37," ",'Map 5'!Z37)),'Map 5'!Z37)</f>
        <v>Ocean</v>
      </c>
      <c r="AA37" s="46" t="str" cm="1">
        <f t="array" aca="1" ref="AA37" ca="1">_xlfn.IFNA(_xlfn.IFS(AND(ISNUMBER(SEARCH("Rainshadow",'Map 5'!AA37)),ISNUMBER(SEARCH("Flatland",'Map 5'!AA37))),CONCATENATE($AT37, " Rainshadow"),'Map 5'!AA37="Flatland",$AT37,'Map 5'!AA37="Island",CONCATENATE($AT37, " Island"),ISNUMBER(SEARCH("Rainshadow",'Map 5'!AA37)),CONCATENATE($AT37," ",'Map 5'!AA37)),'Map 5'!AA37)</f>
        <v>Ocean</v>
      </c>
      <c r="AB37" s="46" t="str" cm="1">
        <f t="array" aca="1" ref="AB37" ca="1">_xlfn.IFNA(_xlfn.IFS(AND(ISNUMBER(SEARCH("Rainshadow",'Map 5'!AB37)),ISNUMBER(SEARCH("Flatland",'Map 5'!AB37))),CONCATENATE($AT37, " Rainshadow"),'Map 5'!AB37="Flatland",$AT37,'Map 5'!AB37="Island",CONCATENATE($AT37, " Island"),ISNUMBER(SEARCH("Rainshadow",'Map 5'!AB37)),CONCATENATE($AT37," ",'Map 5'!AB37)),'Map 5'!AB37)</f>
        <v>Ocean</v>
      </c>
      <c r="AC37" s="46" t="str" cm="1">
        <f t="array" aca="1" ref="AC37" ca="1">_xlfn.IFNA(_xlfn.IFS(AND(ISNUMBER(SEARCH("Rainshadow",'Map 5'!AC37)),ISNUMBER(SEARCH("Flatland",'Map 5'!AC37))),CONCATENATE($AT37, " Rainshadow"),'Map 5'!AC37="Flatland",$AT37,'Map 5'!AC37="Island",CONCATENATE($AT37, " Island"),ISNUMBER(SEARCH("Rainshadow",'Map 5'!AC37)),CONCATENATE($AT37," ",'Map 5'!AC37)),'Map 5'!AC37)</f>
        <v>Ocean</v>
      </c>
      <c r="AD37" s="46" t="str" cm="1">
        <f t="array" aca="1" ref="AD37" ca="1">_xlfn.IFNA(_xlfn.IFS(AND(ISNUMBER(SEARCH("Rainshadow",'Map 5'!AD37)),ISNUMBER(SEARCH("Flatland",'Map 5'!AD37))),CONCATENATE($AT37, " Rainshadow"),'Map 5'!AD37="Flatland",$AT37,'Map 5'!AD37="Island",CONCATENATE($AT37, " Island"),ISNUMBER(SEARCH("Rainshadow",'Map 5'!AD37)),CONCATENATE($AT37," ",'Map 5'!AD37)),'Map 5'!AD37)</f>
        <v>Ocean</v>
      </c>
      <c r="AE37" s="46" t="str" cm="1">
        <f t="array" aca="1" ref="AE37" ca="1">_xlfn.IFNA(_xlfn.IFS(AND(ISNUMBER(SEARCH("Rainshadow",'Map 5'!AE37)),ISNUMBER(SEARCH("Flatland",'Map 5'!AE37))),CONCATENATE($AT37, " Rainshadow"),'Map 5'!AE37="Flatland",$AT37,'Map 5'!AE37="Island",CONCATENATE($AT37, " Island"),ISNUMBER(SEARCH("Rainshadow",'Map 5'!AE37)),CONCATENATE($AT37," ",'Map 5'!AE37)),'Map 5'!AE37)</f>
        <v>Desert Island</v>
      </c>
      <c r="AF37" s="46" t="str" cm="1">
        <f t="array" aca="1" ref="AF37" ca="1">_xlfn.IFNA(_xlfn.IFS(AND(ISNUMBER(SEARCH("Rainshadow",'Map 5'!AF37)),ISNUMBER(SEARCH("Flatland",'Map 5'!AF37))),CONCATENATE($AT37, " Rainshadow"),'Map 5'!AF37="Flatland",$AT37,'Map 5'!AF37="Island",CONCATENATE($AT37, " Island"),ISNUMBER(SEARCH("Rainshadow",'Map 5'!AF37)),CONCATENATE($AT37," ",'Map 5'!AF37)),'Map 5'!AF37)</f>
        <v>Ocean</v>
      </c>
      <c r="AG37" s="46" t="str" cm="1">
        <f t="array" aca="1" ref="AG37" ca="1">_xlfn.IFNA(_xlfn.IFS(AND(ISNUMBER(SEARCH("Rainshadow",'Map 5'!AG37)),ISNUMBER(SEARCH("Flatland",'Map 5'!AG37))),CONCATENATE($AT37, " Rainshadow"),'Map 5'!AG37="Flatland",$AT37,'Map 5'!AG37="Island",CONCATENATE($AT37, " Island"),ISNUMBER(SEARCH("Rainshadow",'Map 5'!AG37)),CONCATENATE($AT37," ",'Map 5'!AG37)),'Map 5'!AG37)</f>
        <v>Ocean</v>
      </c>
      <c r="AH37" s="46" t="str" cm="1">
        <f t="array" aca="1" ref="AH37" ca="1">_xlfn.IFNA(_xlfn.IFS(AND(ISNUMBER(SEARCH("Rainshadow",'Map 5'!AH37)),ISNUMBER(SEARCH("Flatland",'Map 5'!AH37))),CONCATENATE($AT37, " Rainshadow"),'Map 5'!AH37="Flatland",$AT37,'Map 5'!AH37="Island",CONCATENATE($AT37, " Island"),ISNUMBER(SEARCH("Rainshadow",'Map 5'!AH37)),CONCATENATE($AT37," ",'Map 5'!AH37)),'Map 5'!AH37)</f>
        <v>Ocean</v>
      </c>
      <c r="AI37" s="46" t="str" cm="1">
        <f t="array" aca="1" ref="AI37" ca="1">_xlfn.IFNA(_xlfn.IFS(AND(ISNUMBER(SEARCH("Rainshadow",'Map 5'!AI37)),ISNUMBER(SEARCH("Flatland",'Map 5'!AI37))),CONCATENATE($AT37, " Rainshadow"),'Map 5'!AI37="Flatland",$AT37,'Map 5'!AI37="Island",CONCATENATE($AT37, " Island"),ISNUMBER(SEARCH("Rainshadow",'Map 5'!AI37)),CONCATENATE($AT37," ",'Map 5'!AI37)),'Map 5'!AI37)</f>
        <v>Ocean</v>
      </c>
      <c r="AJ37" s="46" t="str" cm="1">
        <f t="array" aca="1" ref="AJ37" ca="1">_xlfn.IFNA(_xlfn.IFS(AND(ISNUMBER(SEARCH("Rainshadow",'Map 5'!AJ37)),ISNUMBER(SEARCH("Flatland",'Map 5'!AJ37))),CONCATENATE($AT37, " Rainshadow"),'Map 5'!AJ37="Flatland",$AT37,'Map 5'!AJ37="Island",CONCATENATE($AT37, " Island"),ISNUMBER(SEARCH("Rainshadow",'Map 5'!AJ37)),CONCATENATE($AT37," ",'Map 5'!AJ37)),'Map 5'!AJ37)</f>
        <v>Trench</v>
      </c>
      <c r="AK37" s="46" t="str" cm="1">
        <f t="array" aca="1" ref="AK37" ca="1">_xlfn.IFNA(_xlfn.IFS(AND(ISNUMBER(SEARCH("Rainshadow",'Map 5'!AK37)),ISNUMBER(SEARCH("Flatland",'Map 5'!AK37))),CONCATENATE($AT37, " Rainshadow"),'Map 5'!AK37="Flatland",$AT37,'Map 5'!AK37="Island",CONCATENATE($AT37, " Island"),ISNUMBER(SEARCH("Rainshadow",'Map 5'!AK37)),CONCATENATE($AT37," ",'Map 5'!AK37)),'Map 5'!AK37)</f>
        <v>Desert Island</v>
      </c>
      <c r="AL37" s="46" t="str" cm="1">
        <f t="array" aca="1" ref="AL37" ca="1">_xlfn.IFNA(_xlfn.IFS(AND(ISNUMBER(SEARCH("Rainshadow",'Map 5'!AL37)),ISNUMBER(SEARCH("Flatland",'Map 5'!AL37))),CONCATENATE($AT37, " Rainshadow"),'Map 5'!AL37="Flatland",$AT37,'Map 5'!AL37="Island",CONCATENATE($AT37, " Island"),ISNUMBER(SEARCH("Rainshadow",'Map 5'!AL37)),CONCATENATE($AT37," ",'Map 5'!AL37)),'Map 5'!AL37)</f>
        <v>Ocean</v>
      </c>
      <c r="AM37" s="46" t="str" cm="1">
        <f t="array" aca="1" ref="AM37" ca="1">_xlfn.IFNA(_xlfn.IFS(AND(ISNUMBER(SEARCH("Rainshadow",'Map 5'!AM37)),ISNUMBER(SEARCH("Flatland",'Map 5'!AM37))),CONCATENATE($AT37, " Rainshadow"),'Map 5'!AM37="Flatland",$AT37,'Map 5'!AM37="Island",CONCATENATE($AT37, " Island"),ISNUMBER(SEARCH("Rainshadow",'Map 5'!AM37)),CONCATENATE($AT37," ",'Map 5'!AM37)),'Map 5'!AM37)</f>
        <v>Ocean</v>
      </c>
      <c r="AN37" s="46" t="str" cm="1">
        <f t="array" aca="1" ref="AN37" ca="1">_xlfn.IFNA(_xlfn.IFS(AND(ISNUMBER(SEARCH("Rainshadow",'Map 5'!AN37)),ISNUMBER(SEARCH("Flatland",'Map 5'!AN37))),CONCATENATE($AT37, " Rainshadow"),'Map 5'!AN37="Flatland",$AT37,'Map 5'!AN37="Island",CONCATENATE($AT37, " Island"),ISNUMBER(SEARCH("Rainshadow",'Map 5'!AN37)),CONCATENATE($AT37," ",'Map 5'!AN37)),'Map 5'!AN37)</f>
        <v>Ocean</v>
      </c>
      <c r="AO37" s="46" t="str" cm="1">
        <f t="array" aca="1" ref="AO37" ca="1">_xlfn.IFNA(_xlfn.IFS(AND(ISNUMBER(SEARCH("Rainshadow",'Map 5'!AO37)),ISNUMBER(SEARCH("Flatland",'Map 5'!AO37))),CONCATENATE($AT37, " Rainshadow"),'Map 5'!AO37="Flatland",$AT37,'Map 5'!AO37="Island",CONCATENATE($AT37, " Island"),ISNUMBER(SEARCH("Rainshadow",'Map 5'!AO37)),CONCATENATE($AT37," ",'Map 5'!AO37)),'Map 5'!AO37)</f>
        <v>Ocean</v>
      </c>
      <c r="AP37" s="46">
        <f>'Map 5'!AP37</f>
        <v>42.25</v>
      </c>
      <c r="AQ37" s="46">
        <f>'Map 5'!AQ37</f>
        <v>108.05</v>
      </c>
      <c r="AR37" s="46">
        <f>'Map 5'!AS37</f>
        <v>315.40000000000009</v>
      </c>
      <c r="AS37" s="47">
        <f>'Map 5'!AT37</f>
        <v>-36</v>
      </c>
      <c r="AT37" s="47" t="str">
        <f>'Map 5'!AU37</f>
        <v>Desert</v>
      </c>
      <c r="AU37" s="47" t="str">
        <f>'Map 5'!AV37</f>
        <v>⤵</v>
      </c>
      <c r="AX37" s="47" t="str">
        <f>CONCATENATE($AX$25," ",$AX5)</f>
        <v>Rainforest Rainshadow Drop Off</v>
      </c>
    </row>
    <row r="38" spans="1:50" ht="18.75" customHeight="1">
      <c r="A38" s="46">
        <v>29</v>
      </c>
      <c r="B38" s="46" t="str" cm="1">
        <f t="array" aca="1" ref="B38" ca="1">_xlfn.IFNA(_xlfn.IFS(AND(ISNUMBER(SEARCH("Rainshadow",'Map 5'!B38)),ISNUMBER(SEARCH("Flatland",'Map 5'!B38))),CONCATENATE($AT38, " Rainshadow"),'Map 5'!B38="Flatland",$AT38,'Map 5'!B38="Island",CONCATENATE($AT38, " Island"),ISNUMBER(SEARCH("Rainshadow",'Map 5'!B38)),CONCATENATE($AT38," ",'Map 5'!B38)),'Map 5'!B38)</f>
        <v>Ocean</v>
      </c>
      <c r="C38" s="46" t="str" cm="1">
        <f t="array" aca="1" ref="C38" ca="1">_xlfn.IFNA(_xlfn.IFS(AND(ISNUMBER(SEARCH("Rainshadow",'Map 5'!C38)),ISNUMBER(SEARCH("Flatland",'Map 5'!C38))),CONCATENATE($AT38, " Rainshadow"),'Map 5'!C38="Flatland",$AT38,'Map 5'!C38="Island",CONCATENATE($AT38, " Island"),ISNUMBER(SEARCH("Rainshadow",'Map 5'!C38)),CONCATENATE($AT38," ",'Map 5'!C38)),'Map 5'!C38)</f>
        <v>Trench</v>
      </c>
      <c r="D38" s="46" t="str" cm="1">
        <f t="array" aca="1" ref="D38" ca="1">_xlfn.IFNA(_xlfn.IFS(AND(ISNUMBER(SEARCH("Rainshadow",'Map 5'!D38)),ISNUMBER(SEARCH("Flatland",'Map 5'!D38))),CONCATENATE($AT38, " Rainshadow"),'Map 5'!D38="Flatland",$AT38,'Map 5'!D38="Island",CONCATENATE($AT38, " Island"),ISNUMBER(SEARCH("Rainshadow",'Map 5'!D38)),CONCATENATE($AT38," ",'Map 5'!D38)),'Map 5'!D38)</f>
        <v>Coast</v>
      </c>
      <c r="E38" s="46" t="str" cm="1">
        <f t="array" aca="1" ref="E38" ca="1">_xlfn.IFNA(_xlfn.IFS(AND(ISNUMBER(SEARCH("Rainshadow",'Map 5'!E38)),ISNUMBER(SEARCH("Flatland",'Map 5'!E38))),CONCATENATE($AT38, " Rainshadow"),'Map 5'!E38="Flatland",$AT38,'Map 5'!E38="Island",CONCATENATE($AT38, " Island"),ISNUMBER(SEARCH("Rainshadow",'Map 5'!E38)),CONCATENATE($AT38," ",'Map 5'!E38)),'Map 5'!E38)</f>
        <v>Desert</v>
      </c>
      <c r="F38" s="46" t="str" cm="1">
        <f t="array" aca="1" ref="F38" ca="1">_xlfn.IFNA(_xlfn.IFS(AND(ISNUMBER(SEARCH("Rainshadow",'Map 5'!F38)),ISNUMBER(SEARCH("Flatland",'Map 5'!F38))),CONCATENATE($AT38, " Rainshadow"),'Map 5'!F38="Flatland",$AT38,'Map 5'!F38="Island",CONCATENATE($AT38, " Island"),ISNUMBER(SEARCH("Rainshadow",'Map 5'!F38)),CONCATENATE($AT38," ",'Map 5'!F38)),'Map 5'!F38)</f>
        <v>Desert</v>
      </c>
      <c r="G38" s="46" t="str" cm="1">
        <f t="array" aca="1" ref="G38" ca="1">_xlfn.IFNA(_xlfn.IFS(AND(ISNUMBER(SEARCH("Rainshadow",'Map 5'!G38)),ISNUMBER(SEARCH("Flatland",'Map 5'!G38))),CONCATENATE($AT38, " Rainshadow"),'Map 5'!G38="Flatland",$AT38,'Map 5'!G38="Island",CONCATENATE($AT38, " Island"),ISNUMBER(SEARCH("Rainshadow",'Map 5'!G38)),CONCATENATE($AT38," ",'Map 5'!G38)),'Map 5'!G38)</f>
        <v>Desert</v>
      </c>
      <c r="H38" s="46" t="str" cm="1">
        <f t="array" aca="1" ref="H38" ca="1">_xlfn.IFNA(_xlfn.IFS(AND(ISNUMBER(SEARCH("Rainshadow",'Map 5'!H38)),ISNUMBER(SEARCH("Flatland",'Map 5'!H38))),CONCATENATE($AT38, " Rainshadow"),'Map 5'!H38="Flatland",$AT38,'Map 5'!H38="Island",CONCATENATE($AT38, " Island"),ISNUMBER(SEARCH("Rainshadow",'Map 5'!H38)),CONCATENATE($AT38," ",'Map 5'!H38)),'Map 5'!H38)</f>
        <v>Desert</v>
      </c>
      <c r="I38" s="46" t="str" cm="1">
        <f t="array" aca="1" ref="I38" ca="1">_xlfn.IFNA(_xlfn.IFS(AND(ISNUMBER(SEARCH("Rainshadow",'Map 5'!I38)),ISNUMBER(SEARCH("Flatland",'Map 5'!I38))),CONCATENATE($AT38, " Rainshadow"),'Map 5'!I38="Flatland",$AT38,'Map 5'!I38="Island",CONCATENATE($AT38, " Island"),ISNUMBER(SEARCH("Rainshadow",'Map 5'!I38)),CONCATENATE($AT38," ",'Map 5'!I38)),'Map 5'!I38)</f>
        <v>Desert</v>
      </c>
      <c r="J38" s="46" t="str" cm="1">
        <f t="array" aca="1" ref="J38" ca="1">_xlfn.IFNA(_xlfn.IFS(AND(ISNUMBER(SEARCH("Rainshadow",'Map 5'!J38)),ISNUMBER(SEARCH("Flatland",'Map 5'!J38))),CONCATENATE($AT38, " Rainshadow"),'Map 5'!J38="Flatland",$AT38,'Map 5'!J38="Island",CONCATENATE($AT38, " Island"),ISNUMBER(SEARCH("Rainshadow",'Map 5'!J38)),CONCATENATE($AT38," ",'Map 5'!J38)),'Map 5'!J38)</f>
        <v>Ocean</v>
      </c>
      <c r="K38" s="46" t="str" cm="1">
        <f t="array" aca="1" ref="K38" ca="1">_xlfn.IFNA(_xlfn.IFS(AND(ISNUMBER(SEARCH("Rainshadow",'Map 5'!K38)),ISNUMBER(SEARCH("Flatland",'Map 5'!K38))),CONCATENATE($AT38, " Rainshadow"),'Map 5'!K38="Flatland",$AT38,'Map 5'!K38="Island",CONCATENATE($AT38, " Island"),ISNUMBER(SEARCH("Rainshadow",'Map 5'!K38)),CONCATENATE($AT38," ",'Map 5'!K38)),'Map 5'!K38)</f>
        <v>Ocean</v>
      </c>
      <c r="L38" s="46" t="str" cm="1">
        <f t="array" aca="1" ref="L38" ca="1">_xlfn.IFNA(_xlfn.IFS(AND(ISNUMBER(SEARCH("Rainshadow",'Map 5'!L38)),ISNUMBER(SEARCH("Flatland",'Map 5'!L38))),CONCATENATE($AT38, " Rainshadow"),'Map 5'!L38="Flatland",$AT38,'Map 5'!L38="Island",CONCATENATE($AT38, " Island"),ISNUMBER(SEARCH("Rainshadow",'Map 5'!L38)),CONCATENATE($AT38," ",'Map 5'!L38)),'Map 5'!L38)</f>
        <v>Desert Island</v>
      </c>
      <c r="M38" s="46" t="str" cm="1">
        <f t="array" aca="1" ref="M38" ca="1">_xlfn.IFNA(_xlfn.IFS(AND(ISNUMBER(SEARCH("Rainshadow",'Map 5'!M38)),ISNUMBER(SEARCH("Flatland",'Map 5'!M38))),CONCATENATE($AT38, " Rainshadow"),'Map 5'!M38="Flatland",$AT38,'Map 5'!M38="Island",CONCATENATE($AT38, " Island"),ISNUMBER(SEARCH("Rainshadow",'Map 5'!M38)),CONCATENATE($AT38," ",'Map 5'!M38)),'Map 5'!M38)</f>
        <v>Ocean</v>
      </c>
      <c r="N38" s="46" t="str" cm="1">
        <f t="array" aca="1" ref="N38" ca="1">_xlfn.IFNA(_xlfn.IFS(AND(ISNUMBER(SEARCH("Rainshadow",'Map 5'!N38)),ISNUMBER(SEARCH("Flatland",'Map 5'!N38))),CONCATENATE($AT38, " Rainshadow"),'Map 5'!N38="Flatland",$AT38,'Map 5'!N38="Island",CONCATENATE($AT38, " Island"),ISNUMBER(SEARCH("Rainshadow",'Map 5'!N38)),CONCATENATE($AT38," ",'Map 5'!N38)),'Map 5'!N38)</f>
        <v>Ocean</v>
      </c>
      <c r="O38" s="46" t="str" cm="1">
        <f t="array" aca="1" ref="O38" ca="1">_xlfn.IFNA(_xlfn.IFS(AND(ISNUMBER(SEARCH("Rainshadow",'Map 5'!O38)),ISNUMBER(SEARCH("Flatland",'Map 5'!O38))),CONCATENATE($AT38, " Rainshadow"),'Map 5'!O38="Flatland",$AT38,'Map 5'!O38="Island",CONCATENATE($AT38, " Island"),ISNUMBER(SEARCH("Rainshadow",'Map 5'!O38)),CONCATENATE($AT38," ",'Map 5'!O38)),'Map 5'!O38)</f>
        <v>Ocean</v>
      </c>
      <c r="P38" s="46" t="str" cm="1">
        <f t="array" aca="1" ref="P38" ca="1">_xlfn.IFNA(_xlfn.IFS(AND(ISNUMBER(SEARCH("Rainshadow",'Map 5'!P38)),ISNUMBER(SEARCH("Flatland",'Map 5'!P38))),CONCATENATE($AT38, " Rainshadow"),'Map 5'!P38="Flatland",$AT38,'Map 5'!P38="Island",CONCATENATE($AT38, " Island"),ISNUMBER(SEARCH("Rainshadow",'Map 5'!P38)),CONCATENATE($AT38," ",'Map 5'!P38)),'Map 5'!P38)</f>
        <v>Ocean</v>
      </c>
      <c r="Q38" s="46" t="str" cm="1">
        <f t="array" aca="1" ref="Q38" ca="1">_xlfn.IFNA(_xlfn.IFS(AND(ISNUMBER(SEARCH("Rainshadow",'Map 5'!Q38)),ISNUMBER(SEARCH("Flatland",'Map 5'!Q38))),CONCATENATE($AT38, " Rainshadow"),'Map 5'!Q38="Flatland",$AT38,'Map 5'!Q38="Island",CONCATENATE($AT38, " Island"),ISNUMBER(SEARCH("Rainshadow",'Map 5'!Q38)),CONCATENATE($AT38," ",'Map 5'!Q38)),'Map 5'!Q38)</f>
        <v>Ocean</v>
      </c>
      <c r="R38" s="46" t="str" cm="1">
        <f t="array" aca="1" ref="R38" ca="1">_xlfn.IFNA(_xlfn.IFS(AND(ISNUMBER(SEARCH("Rainshadow",'Map 5'!R38)),ISNUMBER(SEARCH("Flatland",'Map 5'!R38))),CONCATENATE($AT38, " Rainshadow"),'Map 5'!R38="Flatland",$AT38,'Map 5'!R38="Island",CONCATENATE($AT38, " Island"),ISNUMBER(SEARCH("Rainshadow",'Map 5'!R38)),CONCATENATE($AT38," ",'Map 5'!R38)),'Map 5'!R38)</f>
        <v>Ocean</v>
      </c>
      <c r="S38" s="46" t="str" cm="1">
        <f t="array" aca="1" ref="S38" ca="1">_xlfn.IFNA(_xlfn.IFS(AND(ISNUMBER(SEARCH("Rainshadow",'Map 5'!S38)),ISNUMBER(SEARCH("Flatland",'Map 5'!S38))),CONCATENATE($AT38, " Rainshadow"),'Map 5'!S38="Flatland",$AT38,'Map 5'!S38="Island",CONCATENATE($AT38, " Island"),ISNUMBER(SEARCH("Rainshadow",'Map 5'!S38)),CONCATENATE($AT38," ",'Map 5'!S38)),'Map 5'!S38)</f>
        <v>Ocean</v>
      </c>
      <c r="T38" s="46" t="str" cm="1">
        <f t="array" aca="1" ref="T38" ca="1">_xlfn.IFNA(_xlfn.IFS(AND(ISNUMBER(SEARCH("Rainshadow",'Map 5'!T38)),ISNUMBER(SEARCH("Flatland",'Map 5'!T38))),CONCATENATE($AT38, " Rainshadow"),'Map 5'!T38="Flatland",$AT38,'Map 5'!T38="Island",CONCATENATE($AT38, " Island"),ISNUMBER(SEARCH("Rainshadow",'Map 5'!T38)),CONCATENATE($AT38," ",'Map 5'!T38)),'Map 5'!T38)</f>
        <v>Ocean</v>
      </c>
      <c r="U38" s="46" t="str" cm="1">
        <f t="array" aca="1" ref="U38" ca="1">_xlfn.IFNA(_xlfn.IFS(AND(ISNUMBER(SEARCH("Rainshadow",'Map 5'!U38)),ISNUMBER(SEARCH("Flatland",'Map 5'!U38))),CONCATENATE($AT38, " Rainshadow"),'Map 5'!U38="Flatland",$AT38,'Map 5'!U38="Island",CONCATENATE($AT38, " Island"),ISNUMBER(SEARCH("Rainshadow",'Map 5'!U38)),CONCATENATE($AT38," ",'Map 5'!U38)),'Map 5'!U38)</f>
        <v>Ocean</v>
      </c>
      <c r="V38" s="46" t="str" cm="1">
        <f t="array" aca="1" ref="V38" ca="1">_xlfn.IFNA(_xlfn.IFS(AND(ISNUMBER(SEARCH("Rainshadow",'Map 5'!V38)),ISNUMBER(SEARCH("Flatland",'Map 5'!V38))),CONCATENATE($AT38, " Rainshadow"),'Map 5'!V38="Flatland",$AT38,'Map 5'!V38="Island",CONCATENATE($AT38, " Island"),ISNUMBER(SEARCH("Rainshadow",'Map 5'!V38)),CONCATENATE($AT38," ",'Map 5'!V38)),'Map 5'!V38)</f>
        <v>Ocean</v>
      </c>
      <c r="W38" s="46" t="str" cm="1">
        <f t="array" aca="1" ref="W38" ca="1">_xlfn.IFNA(_xlfn.IFS(AND(ISNUMBER(SEARCH("Rainshadow",'Map 5'!W38)),ISNUMBER(SEARCH("Flatland",'Map 5'!W38))),CONCATENATE($AT38, " Rainshadow"),'Map 5'!W38="Flatland",$AT38,'Map 5'!W38="Island",CONCATENATE($AT38, " Island"),ISNUMBER(SEARCH("Rainshadow",'Map 5'!W38)),CONCATENATE($AT38," ",'Map 5'!W38)),'Map 5'!W38)</f>
        <v>Ocean</v>
      </c>
      <c r="X38" s="46" t="str" cm="1">
        <f t="array" aca="1" ref="X38" ca="1">_xlfn.IFNA(_xlfn.IFS(AND(ISNUMBER(SEARCH("Rainshadow",'Map 5'!X38)),ISNUMBER(SEARCH("Flatland",'Map 5'!X38))),CONCATENATE($AT38, " Rainshadow"),'Map 5'!X38="Flatland",$AT38,'Map 5'!X38="Island",CONCATENATE($AT38, " Island"),ISNUMBER(SEARCH("Rainshadow",'Map 5'!X38)),CONCATENATE($AT38," ",'Map 5'!X38)),'Map 5'!X38)</f>
        <v>Ocean</v>
      </c>
      <c r="Y38" s="46" t="str" cm="1">
        <f t="array" aca="1" ref="Y38" ca="1">_xlfn.IFNA(_xlfn.IFS(AND(ISNUMBER(SEARCH("Rainshadow",'Map 5'!Y38)),ISNUMBER(SEARCH("Flatland",'Map 5'!Y38))),CONCATENATE($AT38, " Rainshadow"),'Map 5'!Y38="Flatland",$AT38,'Map 5'!Y38="Island",CONCATENATE($AT38, " Island"),ISNUMBER(SEARCH("Rainshadow",'Map 5'!Y38)),CONCATENATE($AT38," ",'Map 5'!Y38)),'Map 5'!Y38)</f>
        <v>Ocean</v>
      </c>
      <c r="Z38" s="46" t="str" cm="1">
        <f t="array" aca="1" ref="Z38" ca="1">_xlfn.IFNA(_xlfn.IFS(AND(ISNUMBER(SEARCH("Rainshadow",'Map 5'!Z38)),ISNUMBER(SEARCH("Flatland",'Map 5'!Z38))),CONCATENATE($AT38, " Rainshadow"),'Map 5'!Z38="Flatland",$AT38,'Map 5'!Z38="Island",CONCATENATE($AT38, " Island"),ISNUMBER(SEARCH("Rainshadow",'Map 5'!Z38)),CONCATENATE($AT38," ",'Map 5'!Z38)),'Map 5'!Z38)</f>
        <v>Ocean</v>
      </c>
      <c r="AA38" s="46" t="str" cm="1">
        <f t="array" aca="1" ref="AA38" ca="1">_xlfn.IFNA(_xlfn.IFS(AND(ISNUMBER(SEARCH("Rainshadow",'Map 5'!AA38)),ISNUMBER(SEARCH("Flatland",'Map 5'!AA38))),CONCATENATE($AT38, " Rainshadow"),'Map 5'!AA38="Flatland",$AT38,'Map 5'!AA38="Island",CONCATENATE($AT38, " Island"),ISNUMBER(SEARCH("Rainshadow",'Map 5'!AA38)),CONCATENATE($AT38," ",'Map 5'!AA38)),'Map 5'!AA38)</f>
        <v>Ocean</v>
      </c>
      <c r="AB38" s="46" t="str" cm="1">
        <f t="array" aca="1" ref="AB38" ca="1">_xlfn.IFNA(_xlfn.IFS(AND(ISNUMBER(SEARCH("Rainshadow",'Map 5'!AB38)),ISNUMBER(SEARCH("Flatland",'Map 5'!AB38))),CONCATENATE($AT38, " Rainshadow"),'Map 5'!AB38="Flatland",$AT38,'Map 5'!AB38="Island",CONCATENATE($AT38, " Island"),ISNUMBER(SEARCH("Rainshadow",'Map 5'!AB38)),CONCATENATE($AT38," ",'Map 5'!AB38)),'Map 5'!AB38)</f>
        <v>Ocean</v>
      </c>
      <c r="AC38" s="46" t="str" cm="1">
        <f t="array" aca="1" ref="AC38" ca="1">_xlfn.IFNA(_xlfn.IFS(AND(ISNUMBER(SEARCH("Rainshadow",'Map 5'!AC38)),ISNUMBER(SEARCH("Flatland",'Map 5'!AC38))),CONCATENATE($AT38, " Rainshadow"),'Map 5'!AC38="Flatland",$AT38,'Map 5'!AC38="Island",CONCATENATE($AT38, " Island"),ISNUMBER(SEARCH("Rainshadow",'Map 5'!AC38)),CONCATENATE($AT38," ",'Map 5'!AC38)),'Map 5'!AC38)</f>
        <v>Ocean</v>
      </c>
      <c r="AD38" s="46" t="str" cm="1">
        <f t="array" aca="1" ref="AD38" ca="1">_xlfn.IFNA(_xlfn.IFS(AND(ISNUMBER(SEARCH("Rainshadow",'Map 5'!AD38)),ISNUMBER(SEARCH("Flatland",'Map 5'!AD38))),CONCATENATE($AT38, " Rainshadow"),'Map 5'!AD38="Flatland",$AT38,'Map 5'!AD38="Island",CONCATENATE($AT38, " Island"),ISNUMBER(SEARCH("Rainshadow",'Map 5'!AD38)),CONCATENATE($AT38," ",'Map 5'!AD38)),'Map 5'!AD38)</f>
        <v>Ocean</v>
      </c>
      <c r="AE38" s="46" t="str" cm="1">
        <f t="array" aca="1" ref="AE38" ca="1">_xlfn.IFNA(_xlfn.IFS(AND(ISNUMBER(SEARCH("Rainshadow",'Map 5'!AE38)),ISNUMBER(SEARCH("Flatland",'Map 5'!AE38))),CONCATENATE($AT38, " Rainshadow"),'Map 5'!AE38="Flatland",$AT38,'Map 5'!AE38="Island",CONCATENATE($AT38, " Island"),ISNUMBER(SEARCH("Rainshadow",'Map 5'!AE38)),CONCATENATE($AT38," ",'Map 5'!AE38)),'Map 5'!AE38)</f>
        <v>Trench</v>
      </c>
      <c r="AF38" s="46" t="str" cm="1">
        <f t="array" aca="1" ref="AF38" ca="1">_xlfn.IFNA(_xlfn.IFS(AND(ISNUMBER(SEARCH("Rainshadow",'Map 5'!AF38)),ISNUMBER(SEARCH("Flatland",'Map 5'!AF38))),CONCATENATE($AT38, " Rainshadow"),'Map 5'!AF38="Flatland",$AT38,'Map 5'!AF38="Island",CONCATENATE($AT38, " Island"),ISNUMBER(SEARCH("Rainshadow",'Map 5'!AF38)),CONCATENATE($AT38," ",'Map 5'!AF38)),'Map 5'!AF38)</f>
        <v>Ocean</v>
      </c>
      <c r="AG38" s="46" t="str" cm="1">
        <f t="array" aca="1" ref="AG38" ca="1">_xlfn.IFNA(_xlfn.IFS(AND(ISNUMBER(SEARCH("Rainshadow",'Map 5'!AG38)),ISNUMBER(SEARCH("Flatland",'Map 5'!AG38))),CONCATENATE($AT38, " Rainshadow"),'Map 5'!AG38="Flatland",$AT38,'Map 5'!AG38="Island",CONCATENATE($AT38, " Island"),ISNUMBER(SEARCH("Rainshadow",'Map 5'!AG38)),CONCATENATE($AT38," ",'Map 5'!AG38)),'Map 5'!AG38)</f>
        <v>Desert Island</v>
      </c>
      <c r="AH38" s="46" t="str" cm="1">
        <f t="array" aca="1" ref="AH38" ca="1">_xlfn.IFNA(_xlfn.IFS(AND(ISNUMBER(SEARCH("Rainshadow",'Map 5'!AH38)),ISNUMBER(SEARCH("Flatland",'Map 5'!AH38))),CONCATENATE($AT38, " Rainshadow"),'Map 5'!AH38="Flatland",$AT38,'Map 5'!AH38="Island",CONCATENATE($AT38, " Island"),ISNUMBER(SEARCH("Rainshadow",'Map 5'!AH38)),CONCATENATE($AT38," ",'Map 5'!AH38)),'Map 5'!AH38)</f>
        <v>Ocean</v>
      </c>
      <c r="AI38" s="46" t="str" cm="1">
        <f t="array" aca="1" ref="AI38" ca="1">_xlfn.IFNA(_xlfn.IFS(AND(ISNUMBER(SEARCH("Rainshadow",'Map 5'!AI38)),ISNUMBER(SEARCH("Flatland",'Map 5'!AI38))),CONCATENATE($AT38, " Rainshadow"),'Map 5'!AI38="Flatland",$AT38,'Map 5'!AI38="Island",CONCATENATE($AT38, " Island"),ISNUMBER(SEARCH("Rainshadow",'Map 5'!AI38)),CONCATENATE($AT38," ",'Map 5'!AI38)),'Map 5'!AI38)</f>
        <v>Ocean</v>
      </c>
      <c r="AJ38" s="46" t="str" cm="1">
        <f t="array" aca="1" ref="AJ38" ca="1">_xlfn.IFNA(_xlfn.IFS(AND(ISNUMBER(SEARCH("Rainshadow",'Map 5'!AJ38)),ISNUMBER(SEARCH("Flatland",'Map 5'!AJ38))),CONCATENATE($AT38, " Rainshadow"),'Map 5'!AJ38="Flatland",$AT38,'Map 5'!AJ38="Island",CONCATENATE($AT38, " Island"),ISNUMBER(SEARCH("Rainshadow",'Map 5'!AJ38)),CONCATENATE($AT38," ",'Map 5'!AJ38)),'Map 5'!AJ38)</f>
        <v>Ocean</v>
      </c>
      <c r="AK38" s="46" t="str" cm="1">
        <f t="array" aca="1" ref="AK38" ca="1">_xlfn.IFNA(_xlfn.IFS(AND(ISNUMBER(SEARCH("Rainshadow",'Map 5'!AK38)),ISNUMBER(SEARCH("Flatland",'Map 5'!AK38))),CONCATENATE($AT38, " Rainshadow"),'Map 5'!AK38="Flatland",$AT38,'Map 5'!AK38="Island",CONCATENATE($AT38, " Island"),ISNUMBER(SEARCH("Rainshadow",'Map 5'!AK38)),CONCATENATE($AT38," ",'Map 5'!AK38)),'Map 5'!AK38)</f>
        <v>Trench</v>
      </c>
      <c r="AL38" s="46" t="str" cm="1">
        <f t="array" aca="1" ref="AL38" ca="1">_xlfn.IFNA(_xlfn.IFS(AND(ISNUMBER(SEARCH("Rainshadow",'Map 5'!AL38)),ISNUMBER(SEARCH("Flatland",'Map 5'!AL38))),CONCATENATE($AT38, " Rainshadow"),'Map 5'!AL38="Flatland",$AT38,'Map 5'!AL38="Island",CONCATENATE($AT38, " Island"),ISNUMBER(SEARCH("Rainshadow",'Map 5'!AL38)),CONCATENATE($AT38," ",'Map 5'!AL38)),'Map 5'!AL38)</f>
        <v>Ocean</v>
      </c>
      <c r="AM38" s="46" t="str" cm="1">
        <f t="array" aca="1" ref="AM38" ca="1">_xlfn.IFNA(_xlfn.IFS(AND(ISNUMBER(SEARCH("Rainshadow",'Map 5'!AM38)),ISNUMBER(SEARCH("Flatland",'Map 5'!AM38))),CONCATENATE($AT38, " Rainshadow"),'Map 5'!AM38="Flatland",$AT38,'Map 5'!AM38="Island",CONCATENATE($AT38, " Island"),ISNUMBER(SEARCH("Rainshadow",'Map 5'!AM38)),CONCATENATE($AT38," ",'Map 5'!AM38)),'Map 5'!AM38)</f>
        <v>Ocean</v>
      </c>
      <c r="AN38" s="46" t="str" cm="1">
        <f t="array" aca="1" ref="AN38" ca="1">_xlfn.IFNA(_xlfn.IFS(AND(ISNUMBER(SEARCH("Rainshadow",'Map 5'!AN38)),ISNUMBER(SEARCH("Flatland",'Map 5'!AN38))),CONCATENATE($AT38, " Rainshadow"),'Map 5'!AN38="Flatland",$AT38,'Map 5'!AN38="Island",CONCATENATE($AT38, " Island"),ISNUMBER(SEARCH("Rainshadow",'Map 5'!AN38)),CONCATENATE($AT38," ",'Map 5'!AN38)),'Map 5'!AN38)</f>
        <v>Ocean</v>
      </c>
      <c r="AO38" s="46" t="str" cm="1">
        <f t="array" aca="1" ref="AO38" ca="1">_xlfn.IFNA(_xlfn.IFS(AND(ISNUMBER(SEARCH("Rainshadow",'Map 5'!AO38)),ISNUMBER(SEARCH("Flatland",'Map 5'!AO38))),CONCATENATE($AT38, " Rainshadow"),'Map 5'!AO38="Flatland",$AT38,'Map 5'!AO38="Island",CONCATENATE($AT38, " Island"),ISNUMBER(SEARCH("Rainshadow",'Map 5'!AO38)),CONCATENATE($AT38," ",'Map 5'!AO38)),'Map 5'!AO38)</f>
        <v>Ocean</v>
      </c>
      <c r="AP38" s="46">
        <f>'Map 5'!AP38</f>
        <v>35.299999999999997</v>
      </c>
      <c r="AQ38" s="46">
        <f>'Map 5'!AQ38</f>
        <v>95.54</v>
      </c>
      <c r="AR38" s="46">
        <f>'Map 5'!AS38</f>
        <v>308.4500000000001</v>
      </c>
      <c r="AS38" s="47">
        <f>'Map 5'!AT38</f>
        <v>-40.5</v>
      </c>
      <c r="AT38" s="47" t="str">
        <f>'Map 5'!AU38</f>
        <v>Desert</v>
      </c>
      <c r="AU38" s="47" t="str">
        <f>'Map 5'!AV38</f>
        <v>⤵</v>
      </c>
      <c r="AX38" s="47" t="str">
        <f>CONCATENATE($AX$20," ",$AX6)</f>
        <v>Tundra Rainshadow Coast</v>
      </c>
    </row>
    <row r="39" spans="1:50" ht="18.75" customHeight="1">
      <c r="A39" s="46">
        <v>30</v>
      </c>
      <c r="B39" s="46" t="str" cm="1">
        <f t="array" aca="1" ref="B39" ca="1">_xlfn.IFNA(_xlfn.IFS(AND(ISNUMBER(SEARCH("Rainshadow",'Map 5'!B39)),ISNUMBER(SEARCH("Flatland",'Map 5'!B39))),CONCATENATE($AT39, " Rainshadow"),'Map 5'!B39="Flatland",$AT39,'Map 5'!B39="Island",CONCATENATE($AT39, " Island"),ISNUMBER(SEARCH("Rainshadow",'Map 5'!B39)),CONCATENATE($AT39," ",'Map 5'!B39)),'Map 5'!B39)</f>
        <v>Ocean</v>
      </c>
      <c r="C39" s="46" t="str" cm="1">
        <f t="array" aca="1" ref="C39" ca="1">_xlfn.IFNA(_xlfn.IFS(AND(ISNUMBER(SEARCH("Rainshadow",'Map 5'!C39)),ISNUMBER(SEARCH("Flatland",'Map 5'!C39))),CONCATENATE($AT39, " Rainshadow"),'Map 5'!C39="Flatland",$AT39,'Map 5'!C39="Island",CONCATENATE($AT39, " Island"),ISNUMBER(SEARCH("Rainshadow",'Map 5'!C39)),CONCATENATE($AT39," ",'Map 5'!C39)),'Map 5'!C39)</f>
        <v>Drop Off</v>
      </c>
      <c r="D39" s="46" t="str" cm="1">
        <f t="array" aca="1" ref="D39" ca="1">_xlfn.IFNA(_xlfn.IFS(AND(ISNUMBER(SEARCH("Rainshadow",'Map 5'!D39)),ISNUMBER(SEARCH("Flatland",'Map 5'!D39))),CONCATENATE($AT39, " Rainshadow"),'Map 5'!D39="Flatland",$AT39,'Map 5'!D39="Island",CONCATENATE($AT39, " Island"),ISNUMBER(SEARCH("Rainshadow",'Map 5'!D39)),CONCATENATE($AT39," ",'Map 5'!D39)),'Map 5'!D39)</f>
        <v>Valley</v>
      </c>
      <c r="E39" s="46" t="str" cm="1">
        <f t="array" aca="1" ref="E39" ca="1">_xlfn.IFNA(_xlfn.IFS(AND(ISNUMBER(SEARCH("Rainshadow",'Map 5'!E39)),ISNUMBER(SEARCH("Flatland",'Map 5'!E39))),CONCATENATE($AT39, " Rainshadow"),'Map 5'!E39="Flatland",$AT39,'Map 5'!E39="Island",CONCATENATE($AT39, " Island"),ISNUMBER(SEARCH("Rainshadow",'Map 5'!E39)),CONCATENATE($AT39," ",'Map 5'!E39)),'Map 5'!E39)</f>
        <v>Desert</v>
      </c>
      <c r="F39" s="46" t="str" cm="1">
        <f t="array" aca="1" ref="F39" ca="1">_xlfn.IFNA(_xlfn.IFS(AND(ISNUMBER(SEARCH("Rainshadow",'Map 5'!F39)),ISNUMBER(SEARCH("Flatland",'Map 5'!F39))),CONCATENATE($AT39, " Rainshadow"),'Map 5'!F39="Flatland",$AT39,'Map 5'!F39="Island",CONCATENATE($AT39, " Island"),ISNUMBER(SEARCH("Rainshadow",'Map 5'!F39)),CONCATENATE($AT39," ",'Map 5'!F39)),'Map 5'!F39)</f>
        <v>Valley</v>
      </c>
      <c r="G39" s="46" t="str" cm="1">
        <f t="array" aca="1" ref="G39" ca="1">_xlfn.IFNA(_xlfn.IFS(AND(ISNUMBER(SEARCH("Rainshadow",'Map 5'!G39)),ISNUMBER(SEARCH("Flatland",'Map 5'!G39))),CONCATENATE($AT39, " Rainshadow"),'Map 5'!G39="Flatland",$AT39,'Map 5'!G39="Island",CONCATENATE($AT39, " Island"),ISNUMBER(SEARCH("Rainshadow",'Map 5'!G39)),CONCATENATE($AT39," ",'Map 5'!G39)),'Map 5'!G39)</f>
        <v>Desert</v>
      </c>
      <c r="H39" s="46" t="str" cm="1">
        <f t="array" aca="1" ref="H39" ca="1">_xlfn.IFNA(_xlfn.IFS(AND(ISNUMBER(SEARCH("Rainshadow",'Map 5'!H39)),ISNUMBER(SEARCH("Flatland",'Map 5'!H39))),CONCATENATE($AT39, " Rainshadow"),'Map 5'!H39="Flatland",$AT39,'Map 5'!H39="Island",CONCATENATE($AT39, " Island"),ISNUMBER(SEARCH("Rainshadow",'Map 5'!H39)),CONCATENATE($AT39," ",'Map 5'!H39)),'Map 5'!H39)</f>
        <v>Desert</v>
      </c>
      <c r="I39" s="46" t="str" cm="1">
        <f t="array" aca="1" ref="I39" ca="1">_xlfn.IFNA(_xlfn.IFS(AND(ISNUMBER(SEARCH("Rainshadow",'Map 5'!I39)),ISNUMBER(SEARCH("Flatland",'Map 5'!I39))),CONCATENATE($AT39, " Rainshadow"),'Map 5'!I39="Flatland",$AT39,'Map 5'!I39="Island",CONCATENATE($AT39, " Island"),ISNUMBER(SEARCH("Rainshadow",'Map 5'!I39)),CONCATENATE($AT39," ",'Map 5'!I39)),'Map 5'!I39)</f>
        <v>Coast</v>
      </c>
      <c r="J39" s="46" t="str" cm="1">
        <f t="array" aca="1" ref="J39" ca="1">_xlfn.IFNA(_xlfn.IFS(AND(ISNUMBER(SEARCH("Rainshadow",'Map 5'!J39)),ISNUMBER(SEARCH("Flatland",'Map 5'!J39))),CONCATENATE($AT39, " Rainshadow"),'Map 5'!J39="Flatland",$AT39,'Map 5'!J39="Island",CONCATENATE($AT39, " Island"),ISNUMBER(SEARCH("Rainshadow",'Map 5'!J39)),CONCATENATE($AT39," ",'Map 5'!J39)),'Map 5'!J39)</f>
        <v>Ocean</v>
      </c>
      <c r="K39" s="46" t="str" cm="1">
        <f t="array" aca="1" ref="K39" ca="1">_xlfn.IFNA(_xlfn.IFS(AND(ISNUMBER(SEARCH("Rainshadow",'Map 5'!K39)),ISNUMBER(SEARCH("Flatland",'Map 5'!K39))),CONCATENATE($AT39, " Rainshadow"),'Map 5'!K39="Flatland",$AT39,'Map 5'!K39="Island",CONCATENATE($AT39, " Island"),ISNUMBER(SEARCH("Rainshadow",'Map 5'!K39)),CONCATENATE($AT39," ",'Map 5'!K39)),'Map 5'!K39)</f>
        <v>Ocean</v>
      </c>
      <c r="L39" s="46" t="str" cm="1">
        <f t="array" aca="1" ref="L39" ca="1">_xlfn.IFNA(_xlfn.IFS(AND(ISNUMBER(SEARCH("Rainshadow",'Map 5'!L39)),ISNUMBER(SEARCH("Flatland",'Map 5'!L39))),CONCATENATE($AT39, " Rainshadow"),'Map 5'!L39="Flatland",$AT39,'Map 5'!L39="Island",CONCATENATE($AT39, " Island"),ISNUMBER(SEARCH("Rainshadow",'Map 5'!L39)),CONCATENATE($AT39," ",'Map 5'!L39)),'Map 5'!L39)</f>
        <v>Trench</v>
      </c>
      <c r="M39" s="46" t="str" cm="1">
        <f t="array" aca="1" ref="M39" ca="1">_xlfn.IFNA(_xlfn.IFS(AND(ISNUMBER(SEARCH("Rainshadow",'Map 5'!M39)),ISNUMBER(SEARCH("Flatland",'Map 5'!M39))),CONCATENATE($AT39, " Rainshadow"),'Map 5'!M39="Flatland",$AT39,'Map 5'!M39="Island",CONCATENATE($AT39, " Island"),ISNUMBER(SEARCH("Rainshadow",'Map 5'!M39)),CONCATENATE($AT39," ",'Map 5'!M39)),'Map 5'!M39)</f>
        <v>Ocean</v>
      </c>
      <c r="N39" s="46" t="str" cm="1">
        <f t="array" aca="1" ref="N39" ca="1">_xlfn.IFNA(_xlfn.IFS(AND(ISNUMBER(SEARCH("Rainshadow",'Map 5'!N39)),ISNUMBER(SEARCH("Flatland",'Map 5'!N39))),CONCATENATE($AT39, " Rainshadow"),'Map 5'!N39="Flatland",$AT39,'Map 5'!N39="Island",CONCATENATE($AT39, " Island"),ISNUMBER(SEARCH("Rainshadow",'Map 5'!N39)),CONCATENATE($AT39," ",'Map 5'!N39)),'Map 5'!N39)</f>
        <v>Ocean</v>
      </c>
      <c r="O39" s="46" t="str" cm="1">
        <f t="array" aca="1" ref="O39" ca="1">_xlfn.IFNA(_xlfn.IFS(AND(ISNUMBER(SEARCH("Rainshadow",'Map 5'!O39)),ISNUMBER(SEARCH("Flatland",'Map 5'!O39))),CONCATENATE($AT39, " Rainshadow"),'Map 5'!O39="Flatland",$AT39,'Map 5'!O39="Island",CONCATENATE($AT39, " Island"),ISNUMBER(SEARCH("Rainshadow",'Map 5'!O39)),CONCATENATE($AT39," ",'Map 5'!O39)),'Map 5'!O39)</f>
        <v>Trench</v>
      </c>
      <c r="P39" s="46" t="str" cm="1">
        <f t="array" aca="1" ref="P39" ca="1">_xlfn.IFNA(_xlfn.IFS(AND(ISNUMBER(SEARCH("Rainshadow",'Map 5'!P39)),ISNUMBER(SEARCH("Flatland",'Map 5'!P39))),CONCATENATE($AT39, " Rainshadow"),'Map 5'!P39="Flatland",$AT39,'Map 5'!P39="Island",CONCATENATE($AT39, " Island"),ISNUMBER(SEARCH("Rainshadow",'Map 5'!P39)),CONCATENATE($AT39," ",'Map 5'!P39)),'Map 5'!P39)</f>
        <v>Trench</v>
      </c>
      <c r="Q39" s="46" t="str" cm="1">
        <f t="array" aca="1" ref="Q39" ca="1">_xlfn.IFNA(_xlfn.IFS(AND(ISNUMBER(SEARCH("Rainshadow",'Map 5'!Q39)),ISNUMBER(SEARCH("Flatland",'Map 5'!Q39))),CONCATENATE($AT39, " Rainshadow"),'Map 5'!Q39="Flatland",$AT39,'Map 5'!Q39="Island",CONCATENATE($AT39, " Island"),ISNUMBER(SEARCH("Rainshadow",'Map 5'!Q39)),CONCATENATE($AT39," ",'Map 5'!Q39)),'Map 5'!Q39)</f>
        <v>Trench</v>
      </c>
      <c r="R39" s="46" t="str" cm="1">
        <f t="array" aca="1" ref="R39" ca="1">_xlfn.IFNA(_xlfn.IFS(AND(ISNUMBER(SEARCH("Rainshadow",'Map 5'!R39)),ISNUMBER(SEARCH("Flatland",'Map 5'!R39))),CONCATENATE($AT39, " Rainshadow"),'Map 5'!R39="Flatland",$AT39,'Map 5'!R39="Island",CONCATENATE($AT39, " Island"),ISNUMBER(SEARCH("Rainshadow",'Map 5'!R39)),CONCATENATE($AT39," ",'Map 5'!R39)),'Map 5'!R39)</f>
        <v>Desert Island</v>
      </c>
      <c r="S39" s="46" t="str" cm="1">
        <f t="array" aca="1" ref="S39" ca="1">_xlfn.IFNA(_xlfn.IFS(AND(ISNUMBER(SEARCH("Rainshadow",'Map 5'!S39)),ISNUMBER(SEARCH("Flatland",'Map 5'!S39))),CONCATENATE($AT39, " Rainshadow"),'Map 5'!S39="Flatland",$AT39,'Map 5'!S39="Island",CONCATENATE($AT39, " Island"),ISNUMBER(SEARCH("Rainshadow",'Map 5'!S39)),CONCATENATE($AT39," ",'Map 5'!S39)),'Map 5'!S39)</f>
        <v>Desert Island</v>
      </c>
      <c r="T39" s="46" t="str" cm="1">
        <f t="array" aca="1" ref="T39" ca="1">_xlfn.IFNA(_xlfn.IFS(AND(ISNUMBER(SEARCH("Rainshadow",'Map 5'!T39)),ISNUMBER(SEARCH("Flatland",'Map 5'!T39))),CONCATENATE($AT39, " Rainshadow"),'Map 5'!T39="Flatland",$AT39,'Map 5'!T39="Island",CONCATENATE($AT39, " Island"),ISNUMBER(SEARCH("Rainshadow",'Map 5'!T39)),CONCATENATE($AT39," ",'Map 5'!T39)),'Map 5'!T39)</f>
        <v>Ocean</v>
      </c>
      <c r="U39" s="46" t="str" cm="1">
        <f t="array" aca="1" ref="U39" ca="1">_xlfn.IFNA(_xlfn.IFS(AND(ISNUMBER(SEARCH("Rainshadow",'Map 5'!U39)),ISNUMBER(SEARCH("Flatland",'Map 5'!U39))),CONCATENATE($AT39, " Rainshadow"),'Map 5'!U39="Flatland",$AT39,'Map 5'!U39="Island",CONCATENATE($AT39, " Island"),ISNUMBER(SEARCH("Rainshadow",'Map 5'!U39)),CONCATENATE($AT39," ",'Map 5'!U39)),'Map 5'!U39)</f>
        <v>Trench</v>
      </c>
      <c r="V39" s="46" t="str" cm="1">
        <f t="array" aca="1" ref="V39" ca="1">_xlfn.IFNA(_xlfn.IFS(AND(ISNUMBER(SEARCH("Rainshadow",'Map 5'!V39)),ISNUMBER(SEARCH("Flatland",'Map 5'!V39))),CONCATENATE($AT39, " Rainshadow"),'Map 5'!V39="Flatland",$AT39,'Map 5'!V39="Island",CONCATENATE($AT39, " Island"),ISNUMBER(SEARCH("Rainshadow",'Map 5'!V39)),CONCATENATE($AT39," ",'Map 5'!V39)),'Map 5'!V39)</f>
        <v>Ocean</v>
      </c>
      <c r="W39" s="46" t="str" cm="1">
        <f t="array" aca="1" ref="W39" ca="1">_xlfn.IFNA(_xlfn.IFS(AND(ISNUMBER(SEARCH("Rainshadow",'Map 5'!W39)),ISNUMBER(SEARCH("Flatland",'Map 5'!W39))),CONCATENATE($AT39, " Rainshadow"),'Map 5'!W39="Flatland",$AT39,'Map 5'!W39="Island",CONCATENATE($AT39, " Island"),ISNUMBER(SEARCH("Rainshadow",'Map 5'!W39)),CONCATENATE($AT39," ",'Map 5'!W39)),'Map 5'!W39)</f>
        <v>Ocean</v>
      </c>
      <c r="X39" s="46" t="str" cm="1">
        <f t="array" aca="1" ref="X39" ca="1">_xlfn.IFNA(_xlfn.IFS(AND(ISNUMBER(SEARCH("Rainshadow",'Map 5'!X39)),ISNUMBER(SEARCH("Flatland",'Map 5'!X39))),CONCATENATE($AT39, " Rainshadow"),'Map 5'!X39="Flatland",$AT39,'Map 5'!X39="Island",CONCATENATE($AT39, " Island"),ISNUMBER(SEARCH("Rainshadow",'Map 5'!X39)),CONCATENATE($AT39," ",'Map 5'!X39)),'Map 5'!X39)</f>
        <v>Ocean</v>
      </c>
      <c r="Y39" s="46" t="str" cm="1">
        <f t="array" aca="1" ref="Y39" ca="1">_xlfn.IFNA(_xlfn.IFS(AND(ISNUMBER(SEARCH("Rainshadow",'Map 5'!Y39)),ISNUMBER(SEARCH("Flatland",'Map 5'!Y39))),CONCATENATE($AT39, " Rainshadow"),'Map 5'!Y39="Flatland",$AT39,'Map 5'!Y39="Island",CONCATENATE($AT39, " Island"),ISNUMBER(SEARCH("Rainshadow",'Map 5'!Y39)),CONCATENATE($AT39," ",'Map 5'!Y39)),'Map 5'!Y39)</f>
        <v>Ocean</v>
      </c>
      <c r="Z39" s="46" t="str" cm="1">
        <f t="array" aca="1" ref="Z39" ca="1">_xlfn.IFNA(_xlfn.IFS(AND(ISNUMBER(SEARCH("Rainshadow",'Map 5'!Z39)),ISNUMBER(SEARCH("Flatland",'Map 5'!Z39))),CONCATENATE($AT39, " Rainshadow"),'Map 5'!Z39="Flatland",$AT39,'Map 5'!Z39="Island",CONCATENATE($AT39, " Island"),ISNUMBER(SEARCH("Rainshadow",'Map 5'!Z39)),CONCATENATE($AT39," ",'Map 5'!Z39)),'Map 5'!Z39)</f>
        <v>Ocean</v>
      </c>
      <c r="AA39" s="46" t="str" cm="1">
        <f t="array" aca="1" ref="AA39" ca="1">_xlfn.IFNA(_xlfn.IFS(AND(ISNUMBER(SEARCH("Rainshadow",'Map 5'!AA39)),ISNUMBER(SEARCH("Flatland",'Map 5'!AA39))),CONCATENATE($AT39, " Rainshadow"),'Map 5'!AA39="Flatland",$AT39,'Map 5'!AA39="Island",CONCATENATE($AT39, " Island"),ISNUMBER(SEARCH("Rainshadow",'Map 5'!AA39)),CONCATENATE($AT39," ",'Map 5'!AA39)),'Map 5'!AA39)</f>
        <v>Ocean</v>
      </c>
      <c r="AB39" s="46" t="str" cm="1">
        <f t="array" aca="1" ref="AB39" ca="1">_xlfn.IFNA(_xlfn.IFS(AND(ISNUMBER(SEARCH("Rainshadow",'Map 5'!AB39)),ISNUMBER(SEARCH("Flatland",'Map 5'!AB39))),CONCATENATE($AT39, " Rainshadow"),'Map 5'!AB39="Flatland",$AT39,'Map 5'!AB39="Island",CONCATENATE($AT39, " Island"),ISNUMBER(SEARCH("Rainshadow",'Map 5'!AB39)),CONCATENATE($AT39," ",'Map 5'!AB39)),'Map 5'!AB39)</f>
        <v>Desert Island</v>
      </c>
      <c r="AC39" s="46" t="str" cm="1">
        <f t="array" aca="1" ref="AC39" ca="1">_xlfn.IFNA(_xlfn.IFS(AND(ISNUMBER(SEARCH("Rainshadow",'Map 5'!AC39)),ISNUMBER(SEARCH("Flatland",'Map 5'!AC39))),CONCATENATE($AT39, " Rainshadow"),'Map 5'!AC39="Flatland",$AT39,'Map 5'!AC39="Island",CONCATENATE($AT39, " Island"),ISNUMBER(SEARCH("Rainshadow",'Map 5'!AC39)),CONCATENATE($AT39," ",'Map 5'!AC39)),'Map 5'!AC39)</f>
        <v>Ocean</v>
      </c>
      <c r="AD39" s="46" t="str" cm="1">
        <f t="array" aca="1" ref="AD39" ca="1">_xlfn.IFNA(_xlfn.IFS(AND(ISNUMBER(SEARCH("Rainshadow",'Map 5'!AD39)),ISNUMBER(SEARCH("Flatland",'Map 5'!AD39))),CONCATENATE($AT39, " Rainshadow"),'Map 5'!AD39="Flatland",$AT39,'Map 5'!AD39="Island",CONCATENATE($AT39, " Island"),ISNUMBER(SEARCH("Rainshadow",'Map 5'!AD39)),CONCATENATE($AT39," ",'Map 5'!AD39)),'Map 5'!AD39)</f>
        <v>Trench</v>
      </c>
      <c r="AE39" s="46" t="str" cm="1">
        <f t="array" aca="1" ref="AE39" ca="1">_xlfn.IFNA(_xlfn.IFS(AND(ISNUMBER(SEARCH("Rainshadow",'Map 5'!AE39)),ISNUMBER(SEARCH("Flatland",'Map 5'!AE39))),CONCATENATE($AT39, " Rainshadow"),'Map 5'!AE39="Flatland",$AT39,'Map 5'!AE39="Island",CONCATENATE($AT39, " Island"),ISNUMBER(SEARCH("Rainshadow",'Map 5'!AE39)),CONCATENATE($AT39," ",'Map 5'!AE39)),'Map 5'!AE39)</f>
        <v>Desert Island</v>
      </c>
      <c r="AF39" s="46" t="str" cm="1">
        <f t="array" aca="1" ref="AF39" ca="1">_xlfn.IFNA(_xlfn.IFS(AND(ISNUMBER(SEARCH("Rainshadow",'Map 5'!AF39)),ISNUMBER(SEARCH("Flatland",'Map 5'!AF39))),CONCATENATE($AT39, " Rainshadow"),'Map 5'!AF39="Flatland",$AT39,'Map 5'!AF39="Island",CONCATENATE($AT39, " Island"),ISNUMBER(SEARCH("Rainshadow",'Map 5'!AF39)),CONCATENATE($AT39," ",'Map 5'!AF39)),'Map 5'!AF39)</f>
        <v>Ocean</v>
      </c>
      <c r="AG39" s="46" t="str" cm="1">
        <f t="array" aca="1" ref="AG39" ca="1">_xlfn.IFNA(_xlfn.IFS(AND(ISNUMBER(SEARCH("Rainshadow",'Map 5'!AG39)),ISNUMBER(SEARCH("Flatland",'Map 5'!AG39))),CONCATENATE($AT39, " Rainshadow"),'Map 5'!AG39="Flatland",$AT39,'Map 5'!AG39="Island",CONCATENATE($AT39, " Island"),ISNUMBER(SEARCH("Rainshadow",'Map 5'!AG39)),CONCATENATE($AT39," ",'Map 5'!AG39)),'Map 5'!AG39)</f>
        <v>Ocean</v>
      </c>
      <c r="AH39" s="46" t="str" cm="1">
        <f t="array" aca="1" ref="AH39" ca="1">_xlfn.IFNA(_xlfn.IFS(AND(ISNUMBER(SEARCH("Rainshadow",'Map 5'!AH39)),ISNUMBER(SEARCH("Flatland",'Map 5'!AH39))),CONCATENATE($AT39, " Rainshadow"),'Map 5'!AH39="Flatland",$AT39,'Map 5'!AH39="Island",CONCATENATE($AT39, " Island"),ISNUMBER(SEARCH("Rainshadow",'Map 5'!AH39)),CONCATENATE($AT39," ",'Map 5'!AH39)),'Map 5'!AH39)</f>
        <v>Ocean</v>
      </c>
      <c r="AI39" s="46" t="str" cm="1">
        <f t="array" aca="1" ref="AI39" ca="1">_xlfn.IFNA(_xlfn.IFS(AND(ISNUMBER(SEARCH("Rainshadow",'Map 5'!AI39)),ISNUMBER(SEARCH("Flatland",'Map 5'!AI39))),CONCATENATE($AT39, " Rainshadow"),'Map 5'!AI39="Flatland",$AT39,'Map 5'!AI39="Island",CONCATENATE($AT39, " Island"),ISNUMBER(SEARCH("Rainshadow",'Map 5'!AI39)),CONCATENATE($AT39," ",'Map 5'!AI39)),'Map 5'!AI39)</f>
        <v>Desert Island</v>
      </c>
      <c r="AJ39" s="46" t="str" cm="1">
        <f t="array" aca="1" ref="AJ39" ca="1">_xlfn.IFNA(_xlfn.IFS(AND(ISNUMBER(SEARCH("Rainshadow",'Map 5'!AJ39)),ISNUMBER(SEARCH("Flatland",'Map 5'!AJ39))),CONCATENATE($AT39, " Rainshadow"),'Map 5'!AJ39="Flatland",$AT39,'Map 5'!AJ39="Island",CONCATENATE($AT39, " Island"),ISNUMBER(SEARCH("Rainshadow",'Map 5'!AJ39)),CONCATENATE($AT39," ",'Map 5'!AJ39)),'Map 5'!AJ39)</f>
        <v>Ocean</v>
      </c>
      <c r="AK39" s="46" t="str" cm="1">
        <f t="array" aca="1" ref="AK39" ca="1">_xlfn.IFNA(_xlfn.IFS(AND(ISNUMBER(SEARCH("Rainshadow",'Map 5'!AK39)),ISNUMBER(SEARCH("Flatland",'Map 5'!AK39))),CONCATENATE($AT39, " Rainshadow"),'Map 5'!AK39="Flatland",$AT39,'Map 5'!AK39="Island",CONCATENATE($AT39, " Island"),ISNUMBER(SEARCH("Rainshadow",'Map 5'!AK39)),CONCATENATE($AT39," ",'Map 5'!AK39)),'Map 5'!AK39)</f>
        <v>Desert Island</v>
      </c>
      <c r="AL39" s="46" t="str" cm="1">
        <f t="array" aca="1" ref="AL39" ca="1">_xlfn.IFNA(_xlfn.IFS(AND(ISNUMBER(SEARCH("Rainshadow",'Map 5'!AL39)),ISNUMBER(SEARCH("Flatland",'Map 5'!AL39))),CONCATENATE($AT39, " Rainshadow"),'Map 5'!AL39="Flatland",$AT39,'Map 5'!AL39="Island",CONCATENATE($AT39, " Island"),ISNUMBER(SEARCH("Rainshadow",'Map 5'!AL39)),CONCATENATE($AT39," ",'Map 5'!AL39)),'Map 5'!AL39)</f>
        <v>Trench</v>
      </c>
      <c r="AM39" s="46" t="str" cm="1">
        <f t="array" aca="1" ref="AM39" ca="1">_xlfn.IFNA(_xlfn.IFS(AND(ISNUMBER(SEARCH("Rainshadow",'Map 5'!AM39)),ISNUMBER(SEARCH("Flatland",'Map 5'!AM39))),CONCATENATE($AT39, " Rainshadow"),'Map 5'!AM39="Flatland",$AT39,'Map 5'!AM39="Island",CONCATENATE($AT39, " Island"),ISNUMBER(SEARCH("Rainshadow",'Map 5'!AM39)),CONCATENATE($AT39," ",'Map 5'!AM39)),'Map 5'!AM39)</f>
        <v>Ocean</v>
      </c>
      <c r="AN39" s="46" t="str" cm="1">
        <f t="array" aca="1" ref="AN39" ca="1">_xlfn.IFNA(_xlfn.IFS(AND(ISNUMBER(SEARCH("Rainshadow",'Map 5'!AN39)),ISNUMBER(SEARCH("Flatland",'Map 5'!AN39))),CONCATENATE($AT39, " Rainshadow"),'Map 5'!AN39="Flatland",$AT39,'Map 5'!AN39="Island",CONCATENATE($AT39, " Island"),ISNUMBER(SEARCH("Rainshadow",'Map 5'!AN39)),CONCATENATE($AT39," ",'Map 5'!AN39)),'Map 5'!AN39)</f>
        <v>Ocean</v>
      </c>
      <c r="AO39" s="46" t="str" cm="1">
        <f t="array" aca="1" ref="AO39" ca="1">_xlfn.IFNA(_xlfn.IFS(AND(ISNUMBER(SEARCH("Rainshadow",'Map 5'!AO39)),ISNUMBER(SEARCH("Flatland",'Map 5'!AO39))),CONCATENATE($AT39, " Rainshadow"),'Map 5'!AO39="Flatland",$AT39,'Map 5'!AO39="Island",CONCATENATE($AT39, " Island"),ISNUMBER(SEARCH("Rainshadow",'Map 5'!AO39)),CONCATENATE($AT39," ",'Map 5'!AO39)),'Map 5'!AO39)</f>
        <v>Desert Rainshadow Coast</v>
      </c>
      <c r="AP39" s="46">
        <f>'Map 5'!AP39</f>
        <v>28.35</v>
      </c>
      <c r="AQ39" s="46">
        <f>'Map 5'!AQ39</f>
        <v>83.03</v>
      </c>
      <c r="AR39" s="46">
        <f>'Map 5'!AS39</f>
        <v>301.50000000000011</v>
      </c>
      <c r="AS39" s="47">
        <f>'Map 5'!AT39</f>
        <v>-45</v>
      </c>
      <c r="AT39" s="47" t="str">
        <f>'Map 5'!AU39</f>
        <v>Desert</v>
      </c>
      <c r="AU39" s="47" t="str">
        <f>'Map 5'!AV39</f>
        <v>⤵</v>
      </c>
      <c r="AX39" s="47" t="str">
        <f>CONCATENATE($AX$21," ",$AX6)</f>
        <v>Forest Rainshadow Coast</v>
      </c>
    </row>
    <row r="40" spans="1:50" ht="18.75" customHeight="1">
      <c r="A40" s="46">
        <v>31</v>
      </c>
      <c r="B40" s="46" t="str" cm="1">
        <f t="array" aca="1" ref="B40" ca="1">_xlfn.IFNA(_xlfn.IFS(AND(ISNUMBER(SEARCH("Rainshadow",'Map 5'!B40)),ISNUMBER(SEARCH("Flatland",'Map 5'!B40))),CONCATENATE($AT40, " Rainshadow"),'Map 5'!B40="Flatland",$AT40,'Map 5'!B40="Island",CONCATENATE($AT40, " Island"),ISNUMBER(SEARCH("Rainshadow",'Map 5'!B40)),CONCATENATE($AT40," ",'Map 5'!B40)),'Map 5'!B40)</f>
        <v>Forest</v>
      </c>
      <c r="C40" s="46" t="str" cm="1">
        <f t="array" aca="1" ref="C40" ca="1">_xlfn.IFNA(_xlfn.IFS(AND(ISNUMBER(SEARCH("Rainshadow",'Map 5'!C40)),ISNUMBER(SEARCH("Flatland",'Map 5'!C40))),CONCATENATE($AT40, " Rainshadow"),'Map 5'!C40="Flatland",$AT40,'Map 5'!C40="Island",CONCATENATE($AT40, " Island"),ISNUMBER(SEARCH("Rainshadow",'Map 5'!C40)),CONCATENATE($AT40," ",'Map 5'!C40)),'Map 5'!C40)</f>
        <v>Forest</v>
      </c>
      <c r="D40" s="46" t="str" cm="1">
        <f t="array" aca="1" ref="D40" ca="1">_xlfn.IFNA(_xlfn.IFS(AND(ISNUMBER(SEARCH("Rainshadow",'Map 5'!D40)),ISNUMBER(SEARCH("Flatland",'Map 5'!D40))),CONCATENATE($AT40, " Rainshadow"),'Map 5'!D40="Flatland",$AT40,'Map 5'!D40="Island",CONCATENATE($AT40, " Island"),ISNUMBER(SEARCH("Rainshadow",'Map 5'!D40)),CONCATENATE($AT40," ",'Map 5'!D40)),'Map 5'!D40)</f>
        <v>Forest</v>
      </c>
      <c r="E40" s="46" t="str" cm="1">
        <f t="array" aca="1" ref="E40" ca="1">_xlfn.IFNA(_xlfn.IFS(AND(ISNUMBER(SEARCH("Rainshadow",'Map 5'!E40)),ISNUMBER(SEARCH("Flatland",'Map 5'!E40))),CONCATENATE($AT40, " Rainshadow"),'Map 5'!E40="Flatland",$AT40,'Map 5'!E40="Island",CONCATENATE($AT40, " Island"),ISNUMBER(SEARCH("Rainshadow",'Map 5'!E40)),CONCATENATE($AT40," ",'Map 5'!E40)),'Map 5'!E40)</f>
        <v>Valley</v>
      </c>
      <c r="F40" s="46" t="str" cm="1">
        <f t="array" aca="1" ref="F40" ca="1">_xlfn.IFNA(_xlfn.IFS(AND(ISNUMBER(SEARCH("Rainshadow",'Map 5'!F40)),ISNUMBER(SEARCH("Flatland",'Map 5'!F40))),CONCATENATE($AT40, " Rainshadow"),'Map 5'!F40="Flatland",$AT40,'Map 5'!F40="Island",CONCATENATE($AT40, " Island"),ISNUMBER(SEARCH("Rainshadow",'Map 5'!F40)),CONCATENATE($AT40," ",'Map 5'!F40)),'Map 5'!F40)</f>
        <v>Forest</v>
      </c>
      <c r="G40" s="46" t="str" cm="1">
        <f t="array" aca="1" ref="G40" ca="1">_xlfn.IFNA(_xlfn.IFS(AND(ISNUMBER(SEARCH("Rainshadow",'Map 5'!G40)),ISNUMBER(SEARCH("Flatland",'Map 5'!G40))),CONCATENATE($AT40, " Rainshadow"),'Map 5'!G40="Flatland",$AT40,'Map 5'!G40="Island",CONCATENATE($AT40, " Island"),ISNUMBER(SEARCH("Rainshadow",'Map 5'!G40)),CONCATENATE($AT40," ",'Map 5'!G40)),'Map 5'!G40)</f>
        <v>Forest</v>
      </c>
      <c r="H40" s="46" t="str" cm="1">
        <f t="array" aca="1" ref="H40" ca="1">_xlfn.IFNA(_xlfn.IFS(AND(ISNUMBER(SEARCH("Rainshadow",'Map 5'!H40)),ISNUMBER(SEARCH("Flatland",'Map 5'!H40))),CONCATENATE($AT40, " Rainshadow"),'Map 5'!H40="Flatland",$AT40,'Map 5'!H40="Island",CONCATENATE($AT40, " Island"),ISNUMBER(SEARCH("Rainshadow",'Map 5'!H40)),CONCATENATE($AT40," ",'Map 5'!H40)),'Map 5'!H40)</f>
        <v>Forest</v>
      </c>
      <c r="I40" s="46" t="str" cm="1">
        <f t="array" aca="1" ref="I40" ca="1">_xlfn.IFNA(_xlfn.IFS(AND(ISNUMBER(SEARCH("Rainshadow",'Map 5'!I40)),ISNUMBER(SEARCH("Flatland",'Map 5'!I40))),CONCATENATE($AT40, " Rainshadow"),'Map 5'!I40="Flatland",$AT40,'Map 5'!I40="Island",CONCATENATE($AT40, " Island"),ISNUMBER(SEARCH("Rainshadow",'Map 5'!I40)),CONCATENATE($AT40," ",'Map 5'!I40)),'Map 5'!I40)</f>
        <v>Ocean</v>
      </c>
      <c r="J40" s="46" t="str" cm="1">
        <f t="array" aca="1" ref="J40" ca="1">_xlfn.IFNA(_xlfn.IFS(AND(ISNUMBER(SEARCH("Rainshadow",'Map 5'!J40)),ISNUMBER(SEARCH("Flatland",'Map 5'!J40))),CONCATENATE($AT40, " Rainshadow"),'Map 5'!J40="Flatland",$AT40,'Map 5'!J40="Island",CONCATENATE($AT40, " Island"),ISNUMBER(SEARCH("Rainshadow",'Map 5'!J40)),CONCATENATE($AT40," ",'Map 5'!J40)),'Map 5'!J40)</f>
        <v>Coast</v>
      </c>
      <c r="K40" s="46" t="str" cm="1">
        <f t="array" aca="1" ref="K40" ca="1">_xlfn.IFNA(_xlfn.IFS(AND(ISNUMBER(SEARCH("Rainshadow",'Map 5'!K40)),ISNUMBER(SEARCH("Flatland",'Map 5'!K40))),CONCATENATE($AT40, " Rainshadow"),'Map 5'!K40="Flatland",$AT40,'Map 5'!K40="Island",CONCATENATE($AT40, " Island"),ISNUMBER(SEARCH("Rainshadow",'Map 5'!K40)),CONCATENATE($AT40," ",'Map 5'!K40)),'Map 5'!K40)</f>
        <v>Coast</v>
      </c>
      <c r="L40" s="46" t="str" cm="1">
        <f t="array" aca="1" ref="L40" ca="1">_xlfn.IFNA(_xlfn.IFS(AND(ISNUMBER(SEARCH("Rainshadow",'Map 5'!L40)),ISNUMBER(SEARCH("Flatland",'Map 5'!L40))),CONCATENATE($AT40, " Rainshadow"),'Map 5'!L40="Flatland",$AT40,'Map 5'!L40="Island",CONCATENATE($AT40, " Island"),ISNUMBER(SEARCH("Rainshadow",'Map 5'!L40)),CONCATENATE($AT40," ",'Map 5'!L40)),'Map 5'!L40)</f>
        <v>Ocean</v>
      </c>
      <c r="M40" s="46" t="str" cm="1">
        <f t="array" aca="1" ref="M40" ca="1">_xlfn.IFNA(_xlfn.IFS(AND(ISNUMBER(SEARCH("Rainshadow",'Map 5'!M40)),ISNUMBER(SEARCH("Flatland",'Map 5'!M40))),CONCATENATE($AT40, " Rainshadow"),'Map 5'!M40="Flatland",$AT40,'Map 5'!M40="Island",CONCATENATE($AT40, " Island"),ISNUMBER(SEARCH("Rainshadow",'Map 5'!M40)),CONCATENATE($AT40," ",'Map 5'!M40)),'Map 5'!M40)</f>
        <v>Forest Island</v>
      </c>
      <c r="N40" s="46" t="str" cm="1">
        <f t="array" aca="1" ref="N40" ca="1">_xlfn.IFNA(_xlfn.IFS(AND(ISNUMBER(SEARCH("Rainshadow",'Map 5'!N40)),ISNUMBER(SEARCH("Flatland",'Map 5'!N40))),CONCATENATE($AT40, " Rainshadow"),'Map 5'!N40="Flatland",$AT40,'Map 5'!N40="Island",CONCATENATE($AT40, " Island"),ISNUMBER(SEARCH("Rainshadow",'Map 5'!N40)),CONCATENATE($AT40," ",'Map 5'!N40)),'Map 5'!N40)</f>
        <v>Forest Island</v>
      </c>
      <c r="O40" s="46" t="str" cm="1">
        <f t="array" aca="1" ref="O40" ca="1">_xlfn.IFNA(_xlfn.IFS(AND(ISNUMBER(SEARCH("Rainshadow",'Map 5'!O40)),ISNUMBER(SEARCH("Flatland",'Map 5'!O40))),CONCATENATE($AT40, " Rainshadow"),'Map 5'!O40="Flatland",$AT40,'Map 5'!O40="Island",CONCATENATE($AT40, " Island"),ISNUMBER(SEARCH("Rainshadow",'Map 5'!O40)),CONCATENATE($AT40," ",'Map 5'!O40)),'Map 5'!O40)</f>
        <v>Trench</v>
      </c>
      <c r="P40" s="46" t="str" cm="1">
        <f t="array" aca="1" ref="P40" ca="1">_xlfn.IFNA(_xlfn.IFS(AND(ISNUMBER(SEARCH("Rainshadow",'Map 5'!P40)),ISNUMBER(SEARCH("Flatland",'Map 5'!P40))),CONCATENATE($AT40, " Rainshadow"),'Map 5'!P40="Flatland",$AT40,'Map 5'!P40="Island",CONCATENATE($AT40, " Island"),ISNUMBER(SEARCH("Rainshadow",'Map 5'!P40)),CONCATENATE($AT40," ",'Map 5'!P40)),'Map 5'!P40)</f>
        <v>Ocean</v>
      </c>
      <c r="Q40" s="46" t="str" cm="1">
        <f t="array" aca="1" ref="Q40" ca="1">_xlfn.IFNA(_xlfn.IFS(AND(ISNUMBER(SEARCH("Rainshadow",'Map 5'!Q40)),ISNUMBER(SEARCH("Flatland",'Map 5'!Q40))),CONCATENATE($AT40, " Rainshadow"),'Map 5'!Q40="Flatland",$AT40,'Map 5'!Q40="Island",CONCATENATE($AT40, " Island"),ISNUMBER(SEARCH("Rainshadow",'Map 5'!Q40)),CONCATENATE($AT40," ",'Map 5'!Q40)),'Map 5'!Q40)</f>
        <v>Trench</v>
      </c>
      <c r="R40" s="46" t="str" cm="1">
        <f t="array" aca="1" ref="R40" ca="1">_xlfn.IFNA(_xlfn.IFS(AND(ISNUMBER(SEARCH("Rainshadow",'Map 5'!R40)),ISNUMBER(SEARCH("Flatland",'Map 5'!R40))),CONCATENATE($AT40, " Rainshadow"),'Map 5'!R40="Flatland",$AT40,'Map 5'!R40="Island",CONCATENATE($AT40, " Island"),ISNUMBER(SEARCH("Rainshadow",'Map 5'!R40)),CONCATENATE($AT40," ",'Map 5'!R40)),'Map 5'!R40)</f>
        <v>Forest Island</v>
      </c>
      <c r="S40" s="46" t="str" cm="1">
        <f t="array" aca="1" ref="S40" ca="1">_xlfn.IFNA(_xlfn.IFS(AND(ISNUMBER(SEARCH("Rainshadow",'Map 5'!S40)),ISNUMBER(SEARCH("Flatland",'Map 5'!S40))),CONCATENATE($AT40, " Rainshadow"),'Map 5'!S40="Flatland",$AT40,'Map 5'!S40="Island",CONCATENATE($AT40, " Island"),ISNUMBER(SEARCH("Rainshadow",'Map 5'!S40)),CONCATENATE($AT40," ",'Map 5'!S40)),'Map 5'!S40)</f>
        <v>Trench</v>
      </c>
      <c r="T40" s="46" t="str" cm="1">
        <f t="array" aca="1" ref="T40" ca="1">_xlfn.IFNA(_xlfn.IFS(AND(ISNUMBER(SEARCH("Rainshadow",'Map 5'!T40)),ISNUMBER(SEARCH("Flatland",'Map 5'!T40))),CONCATENATE($AT40, " Rainshadow"),'Map 5'!T40="Flatland",$AT40,'Map 5'!T40="Island",CONCATENATE($AT40, " Island"),ISNUMBER(SEARCH("Rainshadow",'Map 5'!T40)),CONCATENATE($AT40," ",'Map 5'!T40)),'Map 5'!T40)</f>
        <v>Ocean</v>
      </c>
      <c r="U40" s="46" t="str" cm="1">
        <f t="array" aca="1" ref="U40" ca="1">_xlfn.IFNA(_xlfn.IFS(AND(ISNUMBER(SEARCH("Rainshadow",'Map 5'!U40)),ISNUMBER(SEARCH("Flatland",'Map 5'!U40))),CONCATENATE($AT40, " Rainshadow"),'Map 5'!U40="Flatland",$AT40,'Map 5'!U40="Island",CONCATENATE($AT40, " Island"),ISNUMBER(SEARCH("Rainshadow",'Map 5'!U40)),CONCATENATE($AT40," ",'Map 5'!U40)),'Map 5'!U40)</f>
        <v>Forest Island</v>
      </c>
      <c r="V40" s="46" t="str" cm="1">
        <f t="array" aca="1" ref="V40" ca="1">_xlfn.IFNA(_xlfn.IFS(AND(ISNUMBER(SEARCH("Rainshadow",'Map 5'!V40)),ISNUMBER(SEARCH("Flatland",'Map 5'!V40))),CONCATENATE($AT40, " Rainshadow"),'Map 5'!V40="Flatland",$AT40,'Map 5'!V40="Island",CONCATENATE($AT40, " Island"),ISNUMBER(SEARCH("Rainshadow",'Map 5'!V40)),CONCATENATE($AT40," ",'Map 5'!V40)),'Map 5'!V40)</f>
        <v>Trench</v>
      </c>
      <c r="W40" s="46" t="str" cm="1">
        <f t="array" aca="1" ref="W40" ca="1">_xlfn.IFNA(_xlfn.IFS(AND(ISNUMBER(SEARCH("Rainshadow",'Map 5'!W40)),ISNUMBER(SEARCH("Flatland",'Map 5'!W40))),CONCATENATE($AT40, " Rainshadow"),'Map 5'!W40="Flatland",$AT40,'Map 5'!W40="Island",CONCATENATE($AT40, " Island"),ISNUMBER(SEARCH("Rainshadow",'Map 5'!W40)),CONCATENATE($AT40," ",'Map 5'!W40)),'Map 5'!W40)</f>
        <v>Ocean</v>
      </c>
      <c r="X40" s="46" t="str" cm="1">
        <f t="array" aca="1" ref="X40" ca="1">_xlfn.IFNA(_xlfn.IFS(AND(ISNUMBER(SEARCH("Rainshadow",'Map 5'!X40)),ISNUMBER(SEARCH("Flatland",'Map 5'!X40))),CONCATENATE($AT40, " Rainshadow"),'Map 5'!X40="Flatland",$AT40,'Map 5'!X40="Island",CONCATENATE($AT40, " Island"),ISNUMBER(SEARCH("Rainshadow",'Map 5'!X40)),CONCATENATE($AT40," ",'Map 5'!X40)),'Map 5'!X40)</f>
        <v>Ocean</v>
      </c>
      <c r="Y40" s="46" t="str" cm="1">
        <f t="array" aca="1" ref="Y40" ca="1">_xlfn.IFNA(_xlfn.IFS(AND(ISNUMBER(SEARCH("Rainshadow",'Map 5'!Y40)),ISNUMBER(SEARCH("Flatland",'Map 5'!Y40))),CONCATENATE($AT40, " Rainshadow"),'Map 5'!Y40="Flatland",$AT40,'Map 5'!Y40="Island",CONCATENATE($AT40, " Island"),ISNUMBER(SEARCH("Rainshadow",'Map 5'!Y40)),CONCATENATE($AT40," ",'Map 5'!Y40)),'Map 5'!Y40)</f>
        <v>Ocean</v>
      </c>
      <c r="Z40" s="46" t="str" cm="1">
        <f t="array" aca="1" ref="Z40" ca="1">_xlfn.IFNA(_xlfn.IFS(AND(ISNUMBER(SEARCH("Rainshadow",'Map 5'!Z40)),ISNUMBER(SEARCH("Flatland",'Map 5'!Z40))),CONCATENATE($AT40, " Rainshadow"),'Map 5'!Z40="Flatland",$AT40,'Map 5'!Z40="Island",CONCATENATE($AT40, " Island"),ISNUMBER(SEARCH("Rainshadow",'Map 5'!Z40)),CONCATENATE($AT40," ",'Map 5'!Z40)),'Map 5'!Z40)</f>
        <v>Ocean</v>
      </c>
      <c r="AA40" s="46" t="str" cm="1">
        <f t="array" aca="1" ref="AA40" ca="1">_xlfn.IFNA(_xlfn.IFS(AND(ISNUMBER(SEARCH("Rainshadow",'Map 5'!AA40)),ISNUMBER(SEARCH("Flatland",'Map 5'!AA40))),CONCATENATE($AT40, " Rainshadow"),'Map 5'!AA40="Flatland",$AT40,'Map 5'!AA40="Island",CONCATENATE($AT40, " Island"),ISNUMBER(SEARCH("Rainshadow",'Map 5'!AA40)),CONCATENATE($AT40," ",'Map 5'!AA40)),'Map 5'!AA40)</f>
        <v>Forest Island</v>
      </c>
      <c r="AB40" s="46" t="str" cm="1">
        <f t="array" aca="1" ref="AB40" ca="1">_xlfn.IFNA(_xlfn.IFS(AND(ISNUMBER(SEARCH("Rainshadow",'Map 5'!AB40)),ISNUMBER(SEARCH("Flatland",'Map 5'!AB40))),CONCATENATE($AT40, " Rainshadow"),'Map 5'!AB40="Flatland",$AT40,'Map 5'!AB40="Island",CONCATENATE($AT40, " Island"),ISNUMBER(SEARCH("Rainshadow",'Map 5'!AB40)),CONCATENATE($AT40," ",'Map 5'!AB40)),'Map 5'!AB40)</f>
        <v>Ocean</v>
      </c>
      <c r="AC40" s="46" t="str" cm="1">
        <f t="array" aca="1" ref="AC40" ca="1">_xlfn.IFNA(_xlfn.IFS(AND(ISNUMBER(SEARCH("Rainshadow",'Map 5'!AC40)),ISNUMBER(SEARCH("Flatland",'Map 5'!AC40))),CONCATENATE($AT40, " Rainshadow"),'Map 5'!AC40="Flatland",$AT40,'Map 5'!AC40="Island",CONCATENATE($AT40, " Island"),ISNUMBER(SEARCH("Rainshadow",'Map 5'!AC40)),CONCATENATE($AT40," ",'Map 5'!AC40)),'Map 5'!AC40)</f>
        <v>Trench</v>
      </c>
      <c r="AD40" s="46" t="str" cm="1">
        <f t="array" aca="1" ref="AD40" ca="1">_xlfn.IFNA(_xlfn.IFS(AND(ISNUMBER(SEARCH("Rainshadow",'Map 5'!AD40)),ISNUMBER(SEARCH("Flatland",'Map 5'!AD40))),CONCATENATE($AT40, " Rainshadow"),'Map 5'!AD40="Flatland",$AT40,'Map 5'!AD40="Island",CONCATENATE($AT40, " Island"),ISNUMBER(SEARCH("Rainshadow",'Map 5'!AD40)),CONCATENATE($AT40," ",'Map 5'!AD40)),'Map 5'!AD40)</f>
        <v>Forest Island</v>
      </c>
      <c r="AE40" s="46" t="str" cm="1">
        <f t="array" aca="1" ref="AE40" ca="1">_xlfn.IFNA(_xlfn.IFS(AND(ISNUMBER(SEARCH("Rainshadow",'Map 5'!AE40)),ISNUMBER(SEARCH("Flatland",'Map 5'!AE40))),CONCATENATE($AT40, " Rainshadow"),'Map 5'!AE40="Flatland",$AT40,'Map 5'!AE40="Island",CONCATENATE($AT40, " Island"),ISNUMBER(SEARCH("Rainshadow",'Map 5'!AE40)),CONCATENATE($AT40," ",'Map 5'!AE40)),'Map 5'!AE40)</f>
        <v>Ocean</v>
      </c>
      <c r="AF40" s="46" t="str" cm="1">
        <f t="array" aca="1" ref="AF40" ca="1">_xlfn.IFNA(_xlfn.IFS(AND(ISNUMBER(SEARCH("Rainshadow",'Map 5'!AF40)),ISNUMBER(SEARCH("Flatland",'Map 5'!AF40))),CONCATENATE($AT40, " Rainshadow"),'Map 5'!AF40="Flatland",$AT40,'Map 5'!AF40="Island",CONCATENATE($AT40, " Island"),ISNUMBER(SEARCH("Rainshadow",'Map 5'!AF40)),CONCATENATE($AT40," ",'Map 5'!AF40)),'Map 5'!AF40)</f>
        <v>Forest Island</v>
      </c>
      <c r="AG40" s="46" t="str" cm="1">
        <f t="array" aca="1" ref="AG40" ca="1">_xlfn.IFNA(_xlfn.IFS(AND(ISNUMBER(SEARCH("Rainshadow",'Map 5'!AG40)),ISNUMBER(SEARCH("Flatland",'Map 5'!AG40))),CONCATENATE($AT40, " Rainshadow"),'Map 5'!AG40="Flatland",$AT40,'Map 5'!AG40="Island",CONCATENATE($AT40, " Island"),ISNUMBER(SEARCH("Rainshadow",'Map 5'!AG40)),CONCATENATE($AT40," ",'Map 5'!AG40)),'Map 5'!AG40)</f>
        <v>Forest Island</v>
      </c>
      <c r="AH40" s="46" t="str" cm="1">
        <f t="array" aca="1" ref="AH40" ca="1">_xlfn.IFNA(_xlfn.IFS(AND(ISNUMBER(SEARCH("Rainshadow",'Map 5'!AH40)),ISNUMBER(SEARCH("Flatland",'Map 5'!AH40))),CONCATENATE($AT40, " Rainshadow"),'Map 5'!AH40="Flatland",$AT40,'Map 5'!AH40="Island",CONCATENATE($AT40, " Island"),ISNUMBER(SEARCH("Rainshadow",'Map 5'!AH40)),CONCATENATE($AT40," ",'Map 5'!AH40)),'Map 5'!AH40)</f>
        <v>Ocean</v>
      </c>
      <c r="AI40" s="46" t="str" cm="1">
        <f t="array" aca="1" ref="AI40" ca="1">_xlfn.IFNA(_xlfn.IFS(AND(ISNUMBER(SEARCH("Rainshadow",'Map 5'!AI40)),ISNUMBER(SEARCH("Flatland",'Map 5'!AI40))),CONCATENATE($AT40, " Rainshadow"),'Map 5'!AI40="Flatland",$AT40,'Map 5'!AI40="Island",CONCATENATE($AT40, " Island"),ISNUMBER(SEARCH("Rainshadow",'Map 5'!AI40)),CONCATENATE($AT40," ",'Map 5'!AI40)),'Map 5'!AI40)</f>
        <v>Ocean</v>
      </c>
      <c r="AJ40" s="46" t="str" cm="1">
        <f t="array" aca="1" ref="AJ40" ca="1">_xlfn.IFNA(_xlfn.IFS(AND(ISNUMBER(SEARCH("Rainshadow",'Map 5'!AJ40)),ISNUMBER(SEARCH("Flatland",'Map 5'!AJ40))),CONCATENATE($AT40, " Rainshadow"),'Map 5'!AJ40="Flatland",$AT40,'Map 5'!AJ40="Island",CONCATENATE($AT40, " Island"),ISNUMBER(SEARCH("Rainshadow",'Map 5'!AJ40)),CONCATENATE($AT40," ",'Map 5'!AJ40)),'Map 5'!AJ40)</f>
        <v>Forest Island</v>
      </c>
      <c r="AK40" s="46" t="str" cm="1">
        <f t="array" aca="1" ref="AK40" ca="1">_xlfn.IFNA(_xlfn.IFS(AND(ISNUMBER(SEARCH("Rainshadow",'Map 5'!AK40)),ISNUMBER(SEARCH("Flatland",'Map 5'!AK40))),CONCATENATE($AT40, " Rainshadow"),'Map 5'!AK40="Flatland",$AT40,'Map 5'!AK40="Island",CONCATENATE($AT40, " Island"),ISNUMBER(SEARCH("Rainshadow",'Map 5'!AK40)),CONCATENATE($AT40," ",'Map 5'!AK40)),'Map 5'!AK40)</f>
        <v>Ocean</v>
      </c>
      <c r="AL40" s="46" t="str" cm="1">
        <f t="array" aca="1" ref="AL40" ca="1">_xlfn.IFNA(_xlfn.IFS(AND(ISNUMBER(SEARCH("Rainshadow",'Map 5'!AL40)),ISNUMBER(SEARCH("Flatland",'Map 5'!AL40))),CONCATENATE($AT40, " Rainshadow"),'Map 5'!AL40="Flatland",$AT40,'Map 5'!AL40="Island",CONCATENATE($AT40, " Island"),ISNUMBER(SEARCH("Rainshadow",'Map 5'!AL40)),CONCATENATE($AT40," ",'Map 5'!AL40)),'Map 5'!AL40)</f>
        <v>Ocean</v>
      </c>
      <c r="AM40" s="46" t="str" cm="1">
        <f t="array" aca="1" ref="AM40" ca="1">_xlfn.IFNA(_xlfn.IFS(AND(ISNUMBER(SEARCH("Rainshadow",'Map 5'!AM40)),ISNUMBER(SEARCH("Flatland",'Map 5'!AM40))),CONCATENATE($AT40, " Rainshadow"),'Map 5'!AM40="Flatland",$AT40,'Map 5'!AM40="Island",CONCATENATE($AT40, " Island"),ISNUMBER(SEARCH("Rainshadow",'Map 5'!AM40)),CONCATENATE($AT40," ",'Map 5'!AM40)),'Map 5'!AM40)</f>
        <v>Forest Island</v>
      </c>
      <c r="AN40" s="46" t="str" cm="1">
        <f t="array" aca="1" ref="AN40" ca="1">_xlfn.IFNA(_xlfn.IFS(AND(ISNUMBER(SEARCH("Rainshadow",'Map 5'!AN40)),ISNUMBER(SEARCH("Flatland",'Map 5'!AN40))),CONCATENATE($AT40, " Rainshadow"),'Map 5'!AN40="Flatland",$AT40,'Map 5'!AN40="Island",CONCATENATE($AT40, " Island"),ISNUMBER(SEARCH("Rainshadow",'Map 5'!AN40)),CONCATENATE($AT40," ",'Map 5'!AN40)),'Map 5'!AN40)</f>
        <v>Ocean</v>
      </c>
      <c r="AO40" s="46" t="str" cm="1">
        <f t="array" aca="1" ref="AO40" ca="1">_xlfn.IFNA(_xlfn.IFS(AND(ISNUMBER(SEARCH("Rainshadow",'Map 5'!AO40)),ISNUMBER(SEARCH("Flatland",'Map 5'!AO40))),CONCATENATE($AT40, " Rainshadow"),'Map 5'!AO40="Flatland",$AT40,'Map 5'!AO40="Island",CONCATENATE($AT40, " Island"),ISNUMBER(SEARCH("Rainshadow",'Map 5'!AO40)),CONCATENATE($AT40," ",'Map 5'!AO40)),'Map 5'!AO40)</f>
        <v>Mountain</v>
      </c>
      <c r="AP40" s="46">
        <f>'Map 5'!AP40</f>
        <v>21.4</v>
      </c>
      <c r="AQ40" s="46">
        <f>'Map 5'!AQ40</f>
        <v>70.52</v>
      </c>
      <c r="AR40" s="46">
        <f>'Map 5'!AS40</f>
        <v>294.55000000000013</v>
      </c>
      <c r="AS40" s="47">
        <f>'Map 5'!AT40</f>
        <v>-49.5</v>
      </c>
      <c r="AT40" s="47" t="str">
        <f>'Map 5'!AU40</f>
        <v>Forest</v>
      </c>
      <c r="AU40" s="47" t="str">
        <f>'Map 5'!AV40</f>
        <v>⤵</v>
      </c>
      <c r="AX40" s="47" t="str">
        <f>CONCATENATE($AX$22," ",$AX6)</f>
        <v>Mediterranean Rainshadow Coast</v>
      </c>
    </row>
    <row r="41" spans="1:50" ht="18.75" customHeight="1">
      <c r="A41" s="46">
        <v>32</v>
      </c>
      <c r="B41" s="46" t="str" cm="1">
        <f t="array" aca="1" ref="B41" ca="1">_xlfn.IFNA(_xlfn.IFS(AND(ISNUMBER(SEARCH("Rainshadow",'Map 5'!B41)),ISNUMBER(SEARCH("Flatland",'Map 5'!B41))),CONCATENATE($AT41, " Rainshadow"),'Map 5'!B41="Flatland",$AT41,'Map 5'!B41="Island",CONCATENATE($AT41, " Island"),ISNUMBER(SEARCH("Rainshadow",'Map 5'!B41)),CONCATENATE($AT41," ",'Map 5'!B41)),'Map 5'!B41)</f>
        <v>Drop Off</v>
      </c>
      <c r="C41" s="46" t="str" cm="1">
        <f t="array" aca="1" ref="C41" ca="1">_xlfn.IFNA(_xlfn.IFS(AND(ISNUMBER(SEARCH("Rainshadow",'Map 5'!C41)),ISNUMBER(SEARCH("Flatland",'Map 5'!C41))),CONCATENATE($AT41, " Rainshadow"),'Map 5'!C41="Flatland",$AT41,'Map 5'!C41="Island",CONCATENATE($AT41, " Island"),ISNUMBER(SEARCH("Rainshadow",'Map 5'!C41)),CONCATENATE($AT41," ",'Map 5'!C41)),'Map 5'!C41)</f>
        <v>Forest</v>
      </c>
      <c r="D41" s="46" t="str" cm="1">
        <f t="array" aca="1" ref="D41" ca="1">_xlfn.IFNA(_xlfn.IFS(AND(ISNUMBER(SEARCH("Rainshadow",'Map 5'!D41)),ISNUMBER(SEARCH("Flatland",'Map 5'!D41))),CONCATENATE($AT41, " Rainshadow"),'Map 5'!D41="Flatland",$AT41,'Map 5'!D41="Island",CONCATENATE($AT41, " Island"),ISNUMBER(SEARCH("Rainshadow",'Map 5'!D41)),CONCATENATE($AT41," ",'Map 5'!D41)),'Map 5'!D41)</f>
        <v>Drop Off</v>
      </c>
      <c r="E41" s="46" t="str" cm="1">
        <f t="array" aca="1" ref="E41" ca="1">_xlfn.IFNA(_xlfn.IFS(AND(ISNUMBER(SEARCH("Rainshadow",'Map 5'!E41)),ISNUMBER(SEARCH("Flatland",'Map 5'!E41))),CONCATENATE($AT41, " Rainshadow"),'Map 5'!E41="Flatland",$AT41,'Map 5'!E41="Island",CONCATENATE($AT41, " Island"),ISNUMBER(SEARCH("Rainshadow",'Map 5'!E41)),CONCATENATE($AT41," ",'Map 5'!E41)),'Map 5'!E41)</f>
        <v>Coast</v>
      </c>
      <c r="F41" s="46" t="str" cm="1">
        <f t="array" aca="1" ref="F41" ca="1">_xlfn.IFNA(_xlfn.IFS(AND(ISNUMBER(SEARCH("Rainshadow",'Map 5'!F41)),ISNUMBER(SEARCH("Flatland",'Map 5'!F41))),CONCATENATE($AT41, " Rainshadow"),'Map 5'!F41="Flatland",$AT41,'Map 5'!F41="Island",CONCATENATE($AT41, " Island"),ISNUMBER(SEARCH("Rainshadow",'Map 5'!F41)),CONCATENATE($AT41," ",'Map 5'!F41)),'Map 5'!F41)</f>
        <v>Forest</v>
      </c>
      <c r="G41" s="46" t="str" cm="1">
        <f t="array" aca="1" ref="G41" ca="1">_xlfn.IFNA(_xlfn.IFS(AND(ISNUMBER(SEARCH("Rainshadow",'Map 5'!G41)),ISNUMBER(SEARCH("Flatland",'Map 5'!G41))),CONCATENATE($AT41, " Rainshadow"),'Map 5'!G41="Flatland",$AT41,'Map 5'!G41="Island",CONCATENATE($AT41, " Island"),ISNUMBER(SEARCH("Rainshadow",'Map 5'!G41)),CONCATENATE($AT41," ",'Map 5'!G41)),'Map 5'!G41)</f>
        <v>Forest</v>
      </c>
      <c r="H41" s="46" t="str" cm="1">
        <f t="array" aca="1" ref="H41" ca="1">_xlfn.IFNA(_xlfn.IFS(AND(ISNUMBER(SEARCH("Rainshadow",'Map 5'!H41)),ISNUMBER(SEARCH("Flatland",'Map 5'!H41))),CONCATENATE($AT41, " Rainshadow"),'Map 5'!H41="Flatland",$AT41,'Map 5'!H41="Island",CONCATENATE($AT41, " Island"),ISNUMBER(SEARCH("Rainshadow",'Map 5'!H41)),CONCATENATE($AT41," ",'Map 5'!H41)),'Map 5'!H41)</f>
        <v>Forest</v>
      </c>
      <c r="I41" s="46" t="str" cm="1">
        <f t="array" aca="1" ref="I41" ca="1">_xlfn.IFNA(_xlfn.IFS(AND(ISNUMBER(SEARCH("Rainshadow",'Map 5'!I41)),ISNUMBER(SEARCH("Flatland",'Map 5'!I41))),CONCATENATE($AT41, " Rainshadow"),'Map 5'!I41="Flatland",$AT41,'Map 5'!I41="Island",CONCATENATE($AT41, " Island"),ISNUMBER(SEARCH("Rainshadow",'Map 5'!I41)),CONCATENATE($AT41," ",'Map 5'!I41)),'Map 5'!I41)</f>
        <v>Ocean</v>
      </c>
      <c r="J41" s="46" t="str" cm="1">
        <f t="array" aca="1" ref="J41" ca="1">_xlfn.IFNA(_xlfn.IFS(AND(ISNUMBER(SEARCH("Rainshadow",'Map 5'!J41)),ISNUMBER(SEARCH("Flatland",'Map 5'!J41))),CONCATENATE($AT41, " Rainshadow"),'Map 5'!J41="Flatland",$AT41,'Map 5'!J41="Island",CONCATENATE($AT41, " Island"),ISNUMBER(SEARCH("Rainshadow",'Map 5'!J41)),CONCATENATE($AT41," ",'Map 5'!J41)),'Map 5'!J41)</f>
        <v>Coast</v>
      </c>
      <c r="K41" s="46" t="str" cm="1">
        <f t="array" aca="1" ref="K41" ca="1">_xlfn.IFNA(_xlfn.IFS(AND(ISNUMBER(SEARCH("Rainshadow",'Map 5'!K41)),ISNUMBER(SEARCH("Flatland",'Map 5'!K41))),CONCATENATE($AT41, " Rainshadow"),'Map 5'!K41="Flatland",$AT41,'Map 5'!K41="Island",CONCATENATE($AT41, " Island"),ISNUMBER(SEARCH("Rainshadow",'Map 5'!K41)),CONCATENATE($AT41," ",'Map 5'!K41)),'Map 5'!K41)</f>
        <v>Ocean</v>
      </c>
      <c r="L41" s="46" t="str" cm="1">
        <f t="array" aca="1" ref="L41" ca="1">_xlfn.IFNA(_xlfn.IFS(AND(ISNUMBER(SEARCH("Rainshadow",'Map 5'!L41)),ISNUMBER(SEARCH("Flatland",'Map 5'!L41))),CONCATENATE($AT41, " Rainshadow"),'Map 5'!L41="Flatland",$AT41,'Map 5'!L41="Island",CONCATENATE($AT41, " Island"),ISNUMBER(SEARCH("Rainshadow",'Map 5'!L41)),CONCATENATE($AT41," ",'Map 5'!L41)),'Map 5'!L41)</f>
        <v>Ocean</v>
      </c>
      <c r="M41" s="46" t="str" cm="1">
        <f t="array" aca="1" ref="M41" ca="1">_xlfn.IFNA(_xlfn.IFS(AND(ISNUMBER(SEARCH("Rainshadow",'Map 5'!M41)),ISNUMBER(SEARCH("Flatland",'Map 5'!M41))),CONCATENATE($AT41, " Rainshadow"),'Map 5'!M41="Flatland",$AT41,'Map 5'!M41="Island",CONCATENATE($AT41, " Island"),ISNUMBER(SEARCH("Rainshadow",'Map 5'!M41)),CONCATENATE($AT41," ",'Map 5'!M41)),'Map 5'!M41)</f>
        <v>Trench</v>
      </c>
      <c r="N41" s="46" t="str" cm="1">
        <f t="array" aca="1" ref="N41" ca="1">_xlfn.IFNA(_xlfn.IFS(AND(ISNUMBER(SEARCH("Rainshadow",'Map 5'!N41)),ISNUMBER(SEARCH("Flatland",'Map 5'!N41))),CONCATENATE($AT41, " Rainshadow"),'Map 5'!N41="Flatland",$AT41,'Map 5'!N41="Island",CONCATENATE($AT41, " Island"),ISNUMBER(SEARCH("Rainshadow",'Map 5'!N41)),CONCATENATE($AT41," ",'Map 5'!N41)),'Map 5'!N41)</f>
        <v>Coast</v>
      </c>
      <c r="O41" s="46" t="str" cm="1">
        <f t="array" aca="1" ref="O41" ca="1">_xlfn.IFNA(_xlfn.IFS(AND(ISNUMBER(SEARCH("Rainshadow",'Map 5'!O41)),ISNUMBER(SEARCH("Flatland",'Map 5'!O41))),CONCATENATE($AT41, " Rainshadow"),'Map 5'!O41="Flatland",$AT41,'Map 5'!O41="Island",CONCATENATE($AT41, " Island"),ISNUMBER(SEARCH("Rainshadow",'Map 5'!O41)),CONCATENATE($AT41," ",'Map 5'!O41)),'Map 5'!O41)</f>
        <v>Coast</v>
      </c>
      <c r="P41" s="46" t="str" cm="1">
        <f t="array" aca="1" ref="P41" ca="1">_xlfn.IFNA(_xlfn.IFS(AND(ISNUMBER(SEARCH("Rainshadow",'Map 5'!P41)),ISNUMBER(SEARCH("Flatland",'Map 5'!P41))),CONCATENATE($AT41, " Rainshadow"),'Map 5'!P41="Flatland",$AT41,'Map 5'!P41="Island",CONCATENATE($AT41, " Island"),ISNUMBER(SEARCH("Rainshadow",'Map 5'!P41)),CONCATENATE($AT41," ",'Map 5'!P41)),'Map 5'!P41)</f>
        <v>Coast</v>
      </c>
      <c r="Q41" s="46" t="str" cm="1">
        <f t="array" aca="1" ref="Q41" ca="1">_xlfn.IFNA(_xlfn.IFS(AND(ISNUMBER(SEARCH("Rainshadow",'Map 5'!Q41)),ISNUMBER(SEARCH("Flatland",'Map 5'!Q41))),CONCATENATE($AT41, " Rainshadow"),'Map 5'!Q41="Flatland",$AT41,'Map 5'!Q41="Island",CONCATENATE($AT41, " Island"),ISNUMBER(SEARCH("Rainshadow",'Map 5'!Q41)),CONCATENATE($AT41," ",'Map 5'!Q41)),'Map 5'!Q41)</f>
        <v>Coast</v>
      </c>
      <c r="R41" s="46" t="str" cm="1">
        <f t="array" aca="1" ref="R41" ca="1">_xlfn.IFNA(_xlfn.IFS(AND(ISNUMBER(SEARCH("Rainshadow",'Map 5'!R41)),ISNUMBER(SEARCH("Flatland",'Map 5'!R41))),CONCATENATE($AT41, " Rainshadow"),'Map 5'!R41="Flatland",$AT41,'Map 5'!R41="Island",CONCATENATE($AT41, " Island"),ISNUMBER(SEARCH("Rainshadow",'Map 5'!R41)),CONCATENATE($AT41," ",'Map 5'!R41)),'Map 5'!R41)</f>
        <v>Trench</v>
      </c>
      <c r="S41" s="46" t="str" cm="1">
        <f t="array" aca="1" ref="S41" ca="1">_xlfn.IFNA(_xlfn.IFS(AND(ISNUMBER(SEARCH("Rainshadow",'Map 5'!S41)),ISNUMBER(SEARCH("Flatland",'Map 5'!S41))),CONCATENATE($AT41, " Rainshadow"),'Map 5'!S41="Flatland",$AT41,'Map 5'!S41="Island",CONCATENATE($AT41, " Island"),ISNUMBER(SEARCH("Rainshadow",'Map 5'!S41)),CONCATENATE($AT41," ",'Map 5'!S41)),'Map 5'!S41)</f>
        <v>Ocean</v>
      </c>
      <c r="T41" s="46" t="str" cm="1">
        <f t="array" aca="1" ref="T41" ca="1">_xlfn.IFNA(_xlfn.IFS(AND(ISNUMBER(SEARCH("Rainshadow",'Map 5'!T41)),ISNUMBER(SEARCH("Flatland",'Map 5'!T41))),CONCATENATE($AT41, " Rainshadow"),'Map 5'!T41="Flatland",$AT41,'Map 5'!T41="Island",CONCATENATE($AT41, " Island"),ISNUMBER(SEARCH("Rainshadow",'Map 5'!T41)),CONCATENATE($AT41," ",'Map 5'!T41)),'Map 5'!T41)</f>
        <v>Ocean</v>
      </c>
      <c r="U41" s="46" t="str" cm="1">
        <f t="array" aca="1" ref="U41" ca="1">_xlfn.IFNA(_xlfn.IFS(AND(ISNUMBER(SEARCH("Rainshadow",'Map 5'!U41)),ISNUMBER(SEARCH("Flatland",'Map 5'!U41))),CONCATENATE($AT41, " Rainshadow"),'Map 5'!U41="Flatland",$AT41,'Map 5'!U41="Island",CONCATENATE($AT41, " Island"),ISNUMBER(SEARCH("Rainshadow",'Map 5'!U41)),CONCATENATE($AT41," ",'Map 5'!U41)),'Map 5'!U41)</f>
        <v>Trench</v>
      </c>
      <c r="V41" s="46" t="str" cm="1">
        <f t="array" aca="1" ref="V41" ca="1">_xlfn.IFNA(_xlfn.IFS(AND(ISNUMBER(SEARCH("Rainshadow",'Map 5'!V41)),ISNUMBER(SEARCH("Flatland",'Map 5'!V41))),CONCATENATE($AT41, " Rainshadow"),'Map 5'!V41="Flatland",$AT41,'Map 5'!V41="Island",CONCATENATE($AT41, " Island"),ISNUMBER(SEARCH("Rainshadow",'Map 5'!V41)),CONCATENATE($AT41," ",'Map 5'!V41)),'Map 5'!V41)</f>
        <v>Ocean</v>
      </c>
      <c r="W41" s="46" t="str" cm="1">
        <f t="array" aca="1" ref="W41" ca="1">_xlfn.IFNA(_xlfn.IFS(AND(ISNUMBER(SEARCH("Rainshadow",'Map 5'!W41)),ISNUMBER(SEARCH("Flatland",'Map 5'!W41))),CONCATENATE($AT41, " Rainshadow"),'Map 5'!W41="Flatland",$AT41,'Map 5'!W41="Island",CONCATENATE($AT41, " Island"),ISNUMBER(SEARCH("Rainshadow",'Map 5'!W41)),CONCATENATE($AT41," ",'Map 5'!W41)),'Map 5'!W41)</f>
        <v>Ocean</v>
      </c>
      <c r="X41" s="46" t="str" cm="1">
        <f t="array" aca="1" ref="X41" ca="1">_xlfn.IFNA(_xlfn.IFS(AND(ISNUMBER(SEARCH("Rainshadow",'Map 5'!X41)),ISNUMBER(SEARCH("Flatland",'Map 5'!X41))),CONCATENATE($AT41, " Rainshadow"),'Map 5'!X41="Flatland",$AT41,'Map 5'!X41="Island",CONCATENATE($AT41, " Island"),ISNUMBER(SEARCH("Rainshadow",'Map 5'!X41)),CONCATENATE($AT41," ",'Map 5'!X41)),'Map 5'!X41)</f>
        <v>Ocean</v>
      </c>
      <c r="Y41" s="46" t="str" cm="1">
        <f t="array" aca="1" ref="Y41" ca="1">_xlfn.IFNA(_xlfn.IFS(AND(ISNUMBER(SEARCH("Rainshadow",'Map 5'!Y41)),ISNUMBER(SEARCH("Flatland",'Map 5'!Y41))),CONCATENATE($AT41, " Rainshadow"),'Map 5'!Y41="Flatland",$AT41,'Map 5'!Y41="Island",CONCATENATE($AT41, " Island"),ISNUMBER(SEARCH("Rainshadow",'Map 5'!Y41)),CONCATENATE($AT41," ",'Map 5'!Y41)),'Map 5'!Y41)</f>
        <v>Ocean</v>
      </c>
      <c r="Z41" s="46" t="str" cm="1">
        <f t="array" aca="1" ref="Z41" ca="1">_xlfn.IFNA(_xlfn.IFS(AND(ISNUMBER(SEARCH("Rainshadow",'Map 5'!Z41)),ISNUMBER(SEARCH("Flatland",'Map 5'!Z41))),CONCATENATE($AT41, " Rainshadow"),'Map 5'!Z41="Flatland",$AT41,'Map 5'!Z41="Island",CONCATENATE($AT41, " Island"),ISNUMBER(SEARCH("Rainshadow",'Map 5'!Z41)),CONCATENATE($AT41," ",'Map 5'!Z41)),'Map 5'!Z41)</f>
        <v>Forest Island</v>
      </c>
      <c r="AA41" s="46" t="str" cm="1">
        <f t="array" aca="1" ref="AA41" ca="1">_xlfn.IFNA(_xlfn.IFS(AND(ISNUMBER(SEARCH("Rainshadow",'Map 5'!AA41)),ISNUMBER(SEARCH("Flatland",'Map 5'!AA41))),CONCATENATE($AT41, " Rainshadow"),'Map 5'!AA41="Flatland",$AT41,'Map 5'!AA41="Island",CONCATENATE($AT41, " Island"),ISNUMBER(SEARCH("Rainshadow",'Map 5'!AA41)),CONCATENATE($AT41," ",'Map 5'!AA41)),'Map 5'!AA41)</f>
        <v>Ocean</v>
      </c>
      <c r="AB41" s="46" t="str" cm="1">
        <f t="array" aca="1" ref="AB41" ca="1">_xlfn.IFNA(_xlfn.IFS(AND(ISNUMBER(SEARCH("Rainshadow",'Map 5'!AB41)),ISNUMBER(SEARCH("Flatland",'Map 5'!AB41))),CONCATENATE($AT41, " Rainshadow"),'Map 5'!AB41="Flatland",$AT41,'Map 5'!AB41="Island",CONCATENATE($AT41, " Island"),ISNUMBER(SEARCH("Rainshadow",'Map 5'!AB41)),CONCATENATE($AT41," ",'Map 5'!AB41)),'Map 5'!AB41)</f>
        <v>Ocean</v>
      </c>
      <c r="AC41" s="46" t="str" cm="1">
        <f t="array" aca="1" ref="AC41" ca="1">_xlfn.IFNA(_xlfn.IFS(AND(ISNUMBER(SEARCH("Rainshadow",'Map 5'!AC41)),ISNUMBER(SEARCH("Flatland",'Map 5'!AC41))),CONCATENATE($AT41, " Rainshadow"),'Map 5'!AC41="Flatland",$AT41,'Map 5'!AC41="Island",CONCATENATE($AT41, " Island"),ISNUMBER(SEARCH("Rainshadow",'Map 5'!AC41)),CONCATENATE($AT41," ",'Map 5'!AC41)),'Map 5'!AC41)</f>
        <v>Forest Island</v>
      </c>
      <c r="AD41" s="46" t="str" cm="1">
        <f t="array" aca="1" ref="AD41" ca="1">_xlfn.IFNA(_xlfn.IFS(AND(ISNUMBER(SEARCH("Rainshadow",'Map 5'!AD41)),ISNUMBER(SEARCH("Flatland",'Map 5'!AD41))),CONCATENATE($AT41, " Rainshadow"),'Map 5'!AD41="Flatland",$AT41,'Map 5'!AD41="Island",CONCATENATE($AT41, " Island"),ISNUMBER(SEARCH("Rainshadow",'Map 5'!AD41)),CONCATENATE($AT41," ",'Map 5'!AD41)),'Map 5'!AD41)</f>
        <v>Ocean</v>
      </c>
      <c r="AE41" s="46" t="str" cm="1">
        <f t="array" aca="1" ref="AE41" ca="1">_xlfn.IFNA(_xlfn.IFS(AND(ISNUMBER(SEARCH("Rainshadow",'Map 5'!AE41)),ISNUMBER(SEARCH("Flatland",'Map 5'!AE41))),CONCATENATE($AT41, " Rainshadow"),'Map 5'!AE41="Flatland",$AT41,'Map 5'!AE41="Island",CONCATENATE($AT41, " Island"),ISNUMBER(SEARCH("Rainshadow",'Map 5'!AE41)),CONCATENATE($AT41," ",'Map 5'!AE41)),'Map 5'!AE41)</f>
        <v>Forest Island</v>
      </c>
      <c r="AF41" s="46" t="str" cm="1">
        <f t="array" aca="1" ref="AF41" ca="1">_xlfn.IFNA(_xlfn.IFS(AND(ISNUMBER(SEARCH("Rainshadow",'Map 5'!AF41)),ISNUMBER(SEARCH("Flatland",'Map 5'!AF41))),CONCATENATE($AT41, " Rainshadow"),'Map 5'!AF41="Flatland",$AT41,'Map 5'!AF41="Island",CONCATENATE($AT41, " Island"),ISNUMBER(SEARCH("Rainshadow",'Map 5'!AF41)),CONCATENATE($AT41," ",'Map 5'!AF41)),'Map 5'!AF41)</f>
        <v>Forest Island</v>
      </c>
      <c r="AG41" s="46" t="str" cm="1">
        <f t="array" aca="1" ref="AG41" ca="1">_xlfn.IFNA(_xlfn.IFS(AND(ISNUMBER(SEARCH("Rainshadow",'Map 5'!AG41)),ISNUMBER(SEARCH("Flatland",'Map 5'!AG41))),CONCATENATE($AT41, " Rainshadow"),'Map 5'!AG41="Flatland",$AT41,'Map 5'!AG41="Island",CONCATENATE($AT41, " Island"),ISNUMBER(SEARCH("Rainshadow",'Map 5'!AG41)),CONCATENATE($AT41," ",'Map 5'!AG41)),'Map 5'!AG41)</f>
        <v>Trench</v>
      </c>
      <c r="AH41" s="46" t="str" cm="1">
        <f t="array" aca="1" ref="AH41" ca="1">_xlfn.IFNA(_xlfn.IFS(AND(ISNUMBER(SEARCH("Rainshadow",'Map 5'!AH41)),ISNUMBER(SEARCH("Flatland",'Map 5'!AH41))),CONCATENATE($AT41, " Rainshadow"),'Map 5'!AH41="Flatland",$AT41,'Map 5'!AH41="Island",CONCATENATE($AT41, " Island"),ISNUMBER(SEARCH("Rainshadow",'Map 5'!AH41)),CONCATENATE($AT41," ",'Map 5'!AH41)),'Map 5'!AH41)</f>
        <v>Ocean</v>
      </c>
      <c r="AI41" s="46" t="str" cm="1">
        <f t="array" aca="1" ref="AI41" ca="1">_xlfn.IFNA(_xlfn.IFS(AND(ISNUMBER(SEARCH("Rainshadow",'Map 5'!AI41)),ISNUMBER(SEARCH("Flatland",'Map 5'!AI41))),CONCATENATE($AT41, " Rainshadow"),'Map 5'!AI41="Flatland",$AT41,'Map 5'!AI41="Island",CONCATENATE($AT41, " Island"),ISNUMBER(SEARCH("Rainshadow",'Map 5'!AI41)),CONCATENATE($AT41," ",'Map 5'!AI41)),'Map 5'!AI41)</f>
        <v>Ocean</v>
      </c>
      <c r="AJ41" s="46" t="str" cm="1">
        <f t="array" aca="1" ref="AJ41" ca="1">_xlfn.IFNA(_xlfn.IFS(AND(ISNUMBER(SEARCH("Rainshadow",'Map 5'!AJ41)),ISNUMBER(SEARCH("Flatland",'Map 5'!AJ41))),CONCATENATE($AT41, " Rainshadow"),'Map 5'!AJ41="Flatland",$AT41,'Map 5'!AJ41="Island",CONCATENATE($AT41, " Island"),ISNUMBER(SEARCH("Rainshadow",'Map 5'!AJ41)),CONCATENATE($AT41," ",'Map 5'!AJ41)),'Map 5'!AJ41)</f>
        <v>Ocean</v>
      </c>
      <c r="AK41" s="46" t="str" cm="1">
        <f t="array" aca="1" ref="AK41" ca="1">_xlfn.IFNA(_xlfn.IFS(AND(ISNUMBER(SEARCH("Rainshadow",'Map 5'!AK41)),ISNUMBER(SEARCH("Flatland",'Map 5'!AK41))),CONCATENATE($AT41, " Rainshadow"),'Map 5'!AK41="Flatland",$AT41,'Map 5'!AK41="Island",CONCATENATE($AT41, " Island"),ISNUMBER(SEARCH("Rainshadow",'Map 5'!AK41)),CONCATENATE($AT41," ",'Map 5'!AK41)),'Map 5'!AK41)</f>
        <v>Ocean</v>
      </c>
      <c r="AL41" s="46" t="str" cm="1">
        <f t="array" aca="1" ref="AL41" ca="1">_xlfn.IFNA(_xlfn.IFS(AND(ISNUMBER(SEARCH("Rainshadow",'Map 5'!AL41)),ISNUMBER(SEARCH("Flatland",'Map 5'!AL41))),CONCATENATE($AT41, " Rainshadow"),'Map 5'!AL41="Flatland",$AT41,'Map 5'!AL41="Island",CONCATENATE($AT41, " Island"),ISNUMBER(SEARCH("Rainshadow",'Map 5'!AL41)),CONCATENATE($AT41," ",'Map 5'!AL41)),'Map 5'!AL41)</f>
        <v>Ocean</v>
      </c>
      <c r="AM41" s="46" t="str" cm="1">
        <f t="array" aca="1" ref="AM41" ca="1">_xlfn.IFNA(_xlfn.IFS(AND(ISNUMBER(SEARCH("Rainshadow",'Map 5'!AM41)),ISNUMBER(SEARCH("Flatland",'Map 5'!AM41))),CONCATENATE($AT41, " Rainshadow"),'Map 5'!AM41="Flatland",$AT41,'Map 5'!AM41="Island",CONCATENATE($AT41, " Island"),ISNUMBER(SEARCH("Rainshadow",'Map 5'!AM41)),CONCATENATE($AT41," ",'Map 5'!AM41)),'Map 5'!AM41)</f>
        <v>Ocean</v>
      </c>
      <c r="AN41" s="46" t="str" cm="1">
        <f t="array" aca="1" ref="AN41" ca="1">_xlfn.IFNA(_xlfn.IFS(AND(ISNUMBER(SEARCH("Rainshadow",'Map 5'!AN41)),ISNUMBER(SEARCH("Flatland",'Map 5'!AN41))),CONCATENATE($AT41, " Rainshadow"),'Map 5'!AN41="Flatland",$AT41,'Map 5'!AN41="Island",CONCATENATE($AT41, " Island"),ISNUMBER(SEARCH("Rainshadow",'Map 5'!AN41)),CONCATENATE($AT41," ",'Map 5'!AN41)),'Map 5'!AN41)</f>
        <v>Forest Island</v>
      </c>
      <c r="AO41" s="46" t="str" cm="1">
        <f t="array" aca="1" ref="AO41" ca="1">_xlfn.IFNA(_xlfn.IFS(AND(ISNUMBER(SEARCH("Rainshadow",'Map 5'!AO41)),ISNUMBER(SEARCH("Flatland",'Map 5'!AO41))),CONCATENATE($AT41, " Rainshadow"),'Map 5'!AO41="Flatland",$AT41,'Map 5'!AO41="Island",CONCATENATE($AT41, " Island"),ISNUMBER(SEARCH("Rainshadow",'Map 5'!AO41)),CONCATENATE($AT41," ",'Map 5'!AO41)),'Map 5'!AO41)</f>
        <v>Ocean</v>
      </c>
      <c r="AP41" s="46">
        <f>'Map 5'!AP41</f>
        <v>14.45</v>
      </c>
      <c r="AQ41" s="46">
        <f>'Map 5'!AQ41</f>
        <v>58.01</v>
      </c>
      <c r="AR41" s="46">
        <f>'Map 5'!AS41</f>
        <v>287.60000000000014</v>
      </c>
      <c r="AS41" s="47">
        <f>'Map 5'!AT41</f>
        <v>-54</v>
      </c>
      <c r="AT41" s="47" t="str">
        <f>'Map 5'!AU41</f>
        <v>Forest</v>
      </c>
      <c r="AU41" s="47" t="str">
        <f>'Map 5'!AV41</f>
        <v>⤵</v>
      </c>
      <c r="AX41" s="47" t="str">
        <f>CONCATENATE($AX$23," ",$AX6)</f>
        <v>Desert Rainshadow Coast</v>
      </c>
    </row>
    <row r="42" spans="1:50" ht="18.75" customHeight="1">
      <c r="A42" s="46">
        <v>33</v>
      </c>
      <c r="B42" s="46" t="str" cm="1">
        <f t="array" aca="1" ref="B42" ca="1">_xlfn.IFNA(_xlfn.IFS(AND(ISNUMBER(SEARCH("Rainshadow",'Map 5'!B42)),ISNUMBER(SEARCH("Flatland",'Map 5'!B42))),CONCATENATE($AT42, " Rainshadow"),'Map 5'!B42="Flatland",$AT42,'Map 5'!B42="Island",CONCATENATE($AT42, " Island"),ISNUMBER(SEARCH("Rainshadow",'Map 5'!B42)),CONCATENATE($AT42," ",'Map 5'!B42)),'Map 5'!B42)</f>
        <v>Ocean</v>
      </c>
      <c r="C42" s="46" t="str" cm="1">
        <f t="array" aca="1" ref="C42" ca="1">_xlfn.IFNA(_xlfn.IFS(AND(ISNUMBER(SEARCH("Rainshadow",'Map 5'!C42)),ISNUMBER(SEARCH("Flatland",'Map 5'!C42))),CONCATENATE($AT42, " Rainshadow"),'Map 5'!C42="Flatland",$AT42,'Map 5'!C42="Island",CONCATENATE($AT42, " Island"),ISNUMBER(SEARCH("Rainshadow",'Map 5'!C42)),CONCATENATE($AT42," ",'Map 5'!C42)),'Map 5'!C42)</f>
        <v>Ocean</v>
      </c>
      <c r="D42" s="46" t="str" cm="1">
        <f t="array" aca="1" ref="D42" ca="1">_xlfn.IFNA(_xlfn.IFS(AND(ISNUMBER(SEARCH("Rainshadow",'Map 5'!D42)),ISNUMBER(SEARCH("Flatland",'Map 5'!D42))),CONCATENATE($AT42, " Rainshadow"),'Map 5'!D42="Flatland",$AT42,'Map 5'!D42="Island",CONCATENATE($AT42, " Island"),ISNUMBER(SEARCH("Rainshadow",'Map 5'!D42)),CONCATENATE($AT42," ",'Map 5'!D42)),'Map 5'!D42)</f>
        <v>Coast</v>
      </c>
      <c r="E42" s="46" t="str" cm="1">
        <f t="array" aca="1" ref="E42" ca="1">_xlfn.IFNA(_xlfn.IFS(AND(ISNUMBER(SEARCH("Rainshadow",'Map 5'!E42)),ISNUMBER(SEARCH("Flatland",'Map 5'!E42))),CONCATENATE($AT42, " Rainshadow"),'Map 5'!E42="Flatland",$AT42,'Map 5'!E42="Island",CONCATENATE($AT42, " Island"),ISNUMBER(SEARCH("Rainshadow",'Map 5'!E42)),CONCATENATE($AT42," ",'Map 5'!E42)),'Map 5'!E42)</f>
        <v>Forest</v>
      </c>
      <c r="F42" s="46" t="str" cm="1">
        <f t="array" aca="1" ref="F42" ca="1">_xlfn.IFNA(_xlfn.IFS(AND(ISNUMBER(SEARCH("Rainshadow",'Map 5'!F42)),ISNUMBER(SEARCH("Flatland",'Map 5'!F42))),CONCATENATE($AT42, " Rainshadow"),'Map 5'!F42="Flatland",$AT42,'Map 5'!F42="Island",CONCATENATE($AT42, " Island"),ISNUMBER(SEARCH("Rainshadow",'Map 5'!F42)),CONCATENATE($AT42," ",'Map 5'!F42)),'Map 5'!F42)</f>
        <v>Forest</v>
      </c>
      <c r="G42" s="46" t="str" cm="1">
        <f t="array" aca="1" ref="G42" ca="1">_xlfn.IFNA(_xlfn.IFS(AND(ISNUMBER(SEARCH("Rainshadow",'Map 5'!G42)),ISNUMBER(SEARCH("Flatland",'Map 5'!G42))),CONCATENATE($AT42, " Rainshadow"),'Map 5'!G42="Flatland",$AT42,'Map 5'!G42="Island",CONCATENATE($AT42, " Island"),ISNUMBER(SEARCH("Rainshadow",'Map 5'!G42)),CONCATENATE($AT42," ",'Map 5'!G42)),'Map 5'!G42)</f>
        <v>Forest</v>
      </c>
      <c r="H42" s="46" t="str" cm="1">
        <f t="array" aca="1" ref="H42" ca="1">_xlfn.IFNA(_xlfn.IFS(AND(ISNUMBER(SEARCH("Rainshadow",'Map 5'!H42)),ISNUMBER(SEARCH("Flatland",'Map 5'!H42))),CONCATENATE($AT42, " Rainshadow"),'Map 5'!H42="Flatland",$AT42,'Map 5'!H42="Island",CONCATENATE($AT42, " Island"),ISNUMBER(SEARCH("Rainshadow",'Map 5'!H42)),CONCATENATE($AT42," ",'Map 5'!H42)),'Map 5'!H42)</f>
        <v>Forest</v>
      </c>
      <c r="I42" s="46" t="str" cm="1">
        <f t="array" aca="1" ref="I42" ca="1">_xlfn.IFNA(_xlfn.IFS(AND(ISNUMBER(SEARCH("Rainshadow",'Map 5'!I42)),ISNUMBER(SEARCH("Flatland",'Map 5'!I42))),CONCATENATE($AT42, " Rainshadow"),'Map 5'!I42="Flatland",$AT42,'Map 5'!I42="Island",CONCATENATE($AT42, " Island"),ISNUMBER(SEARCH("Rainshadow",'Map 5'!I42)),CONCATENATE($AT42," ",'Map 5'!I42)),'Map 5'!I42)</f>
        <v>Ocean</v>
      </c>
      <c r="J42" s="46" t="str" cm="1">
        <f t="array" aca="1" ref="J42" ca="1">_xlfn.IFNA(_xlfn.IFS(AND(ISNUMBER(SEARCH("Rainshadow",'Map 5'!J42)),ISNUMBER(SEARCH("Flatland",'Map 5'!J42))),CONCATENATE($AT42, " Rainshadow"),'Map 5'!J42="Flatland",$AT42,'Map 5'!J42="Island",CONCATENATE($AT42, " Island"),ISNUMBER(SEARCH("Rainshadow",'Map 5'!J42)),CONCATENATE($AT42," ",'Map 5'!J42)),'Map 5'!J42)</f>
        <v>Ocean</v>
      </c>
      <c r="K42" s="46" t="str" cm="1">
        <f t="array" aca="1" ref="K42" ca="1">_xlfn.IFNA(_xlfn.IFS(AND(ISNUMBER(SEARCH("Rainshadow",'Map 5'!K42)),ISNUMBER(SEARCH("Flatland",'Map 5'!K42))),CONCATENATE($AT42, " Rainshadow"),'Map 5'!K42="Flatland",$AT42,'Map 5'!K42="Island",CONCATENATE($AT42, " Island"),ISNUMBER(SEARCH("Rainshadow",'Map 5'!K42)),CONCATENATE($AT42," ",'Map 5'!K42)),'Map 5'!K42)</f>
        <v>Coast</v>
      </c>
      <c r="L42" s="46" t="str" cm="1">
        <f t="array" aca="1" ref="L42" ca="1">_xlfn.IFNA(_xlfn.IFS(AND(ISNUMBER(SEARCH("Rainshadow",'Map 5'!L42)),ISNUMBER(SEARCH("Flatland",'Map 5'!L42))),CONCATENATE($AT42, " Rainshadow"),'Map 5'!L42="Flatland",$AT42,'Map 5'!L42="Island",CONCATENATE($AT42, " Island"),ISNUMBER(SEARCH("Rainshadow",'Map 5'!L42)),CONCATENATE($AT42," ",'Map 5'!L42)),'Map 5'!L42)</f>
        <v>Coast</v>
      </c>
      <c r="M42" s="46" t="str" cm="1">
        <f t="array" aca="1" ref="M42" ca="1">_xlfn.IFNA(_xlfn.IFS(AND(ISNUMBER(SEARCH("Rainshadow",'Map 5'!M42)),ISNUMBER(SEARCH("Flatland",'Map 5'!M42))),CONCATENATE($AT42, " Rainshadow"),'Map 5'!M42="Flatland",$AT42,'Map 5'!M42="Island",CONCATENATE($AT42, " Island"),ISNUMBER(SEARCH("Rainshadow",'Map 5'!M42)),CONCATENATE($AT42," ",'Map 5'!M42)),'Map 5'!M42)</f>
        <v>Ocean</v>
      </c>
      <c r="N42" s="46" t="str" cm="1">
        <f t="array" aca="1" ref="N42" ca="1">_xlfn.IFNA(_xlfn.IFS(AND(ISNUMBER(SEARCH("Rainshadow",'Map 5'!N42)),ISNUMBER(SEARCH("Flatland",'Map 5'!N42))),CONCATENATE($AT42, " Rainshadow"),'Map 5'!N42="Flatland",$AT42,'Map 5'!N42="Island",CONCATENATE($AT42, " Island"),ISNUMBER(SEARCH("Rainshadow",'Map 5'!N42)),CONCATENATE($AT42," ",'Map 5'!N42)),'Map 5'!N42)</f>
        <v>Forest</v>
      </c>
      <c r="O42" s="46" t="str" cm="1">
        <f t="array" aca="1" ref="O42" ca="1">_xlfn.IFNA(_xlfn.IFS(AND(ISNUMBER(SEARCH("Rainshadow",'Map 5'!O42)),ISNUMBER(SEARCH("Flatland",'Map 5'!O42))),CONCATENATE($AT42, " Rainshadow"),'Map 5'!O42="Flatland",$AT42,'Map 5'!O42="Island",CONCATENATE($AT42, " Island"),ISNUMBER(SEARCH("Rainshadow",'Map 5'!O42)),CONCATENATE($AT42," ",'Map 5'!O42)),'Map 5'!O42)</f>
        <v>Coast</v>
      </c>
      <c r="P42" s="46" t="str" cm="1">
        <f t="array" aca="1" ref="P42" ca="1">_xlfn.IFNA(_xlfn.IFS(AND(ISNUMBER(SEARCH("Rainshadow",'Map 5'!P42)),ISNUMBER(SEARCH("Flatland",'Map 5'!P42))),CONCATENATE($AT42, " Rainshadow"),'Map 5'!P42="Flatland",$AT42,'Map 5'!P42="Island",CONCATENATE($AT42, " Island"),ISNUMBER(SEARCH("Rainshadow",'Map 5'!P42)),CONCATENATE($AT42," ",'Map 5'!P42)),'Map 5'!P42)</f>
        <v>Forest</v>
      </c>
      <c r="Q42" s="46" t="str" cm="1">
        <f t="array" aca="1" ref="Q42" ca="1">_xlfn.IFNA(_xlfn.IFS(AND(ISNUMBER(SEARCH("Rainshadow",'Map 5'!Q42)),ISNUMBER(SEARCH("Flatland",'Map 5'!Q42))),CONCATENATE($AT42, " Rainshadow"),'Map 5'!Q42="Flatland",$AT42,'Map 5'!Q42="Island",CONCATENATE($AT42, " Island"),ISNUMBER(SEARCH("Rainshadow",'Map 5'!Q42)),CONCATENATE($AT42," ",'Map 5'!Q42)),'Map 5'!Q42)</f>
        <v>Coast</v>
      </c>
      <c r="R42" s="46" t="str" cm="1">
        <f t="array" aca="1" ref="R42" ca="1">_xlfn.IFNA(_xlfn.IFS(AND(ISNUMBER(SEARCH("Rainshadow",'Map 5'!R42)),ISNUMBER(SEARCH("Flatland",'Map 5'!R42))),CONCATENATE($AT42, " Rainshadow"),'Map 5'!R42="Flatland",$AT42,'Map 5'!R42="Island",CONCATENATE($AT42, " Island"),ISNUMBER(SEARCH("Rainshadow",'Map 5'!R42)),CONCATENATE($AT42," ",'Map 5'!R42)),'Map 5'!R42)</f>
        <v>Coast</v>
      </c>
      <c r="S42" s="46" t="str" cm="1">
        <f t="array" aca="1" ref="S42" ca="1">_xlfn.IFNA(_xlfn.IFS(AND(ISNUMBER(SEARCH("Rainshadow",'Map 5'!S42)),ISNUMBER(SEARCH("Flatland",'Map 5'!S42))),CONCATENATE($AT42, " Rainshadow"),'Map 5'!S42="Flatland",$AT42,'Map 5'!S42="Island",CONCATENATE($AT42, " Island"),ISNUMBER(SEARCH("Rainshadow",'Map 5'!S42)),CONCATENATE($AT42," ",'Map 5'!S42)),'Map 5'!S42)</f>
        <v>Ocean</v>
      </c>
      <c r="T42" s="46" t="str" cm="1">
        <f t="array" aca="1" ref="T42" ca="1">_xlfn.IFNA(_xlfn.IFS(AND(ISNUMBER(SEARCH("Rainshadow",'Map 5'!T42)),ISNUMBER(SEARCH("Flatland",'Map 5'!T42))),CONCATENATE($AT42, " Rainshadow"),'Map 5'!T42="Flatland",$AT42,'Map 5'!T42="Island",CONCATENATE($AT42, " Island"),ISNUMBER(SEARCH("Rainshadow",'Map 5'!T42)),CONCATENATE($AT42," ",'Map 5'!T42)),'Map 5'!T42)</f>
        <v>Ocean</v>
      </c>
      <c r="U42" s="46" t="str" cm="1">
        <f t="array" aca="1" ref="U42" ca="1">_xlfn.IFNA(_xlfn.IFS(AND(ISNUMBER(SEARCH("Rainshadow",'Map 5'!U42)),ISNUMBER(SEARCH("Flatland",'Map 5'!U42))),CONCATENATE($AT42, " Rainshadow"),'Map 5'!U42="Flatland",$AT42,'Map 5'!U42="Island",CONCATENATE($AT42, " Island"),ISNUMBER(SEARCH("Rainshadow",'Map 5'!U42)),CONCATENATE($AT42," ",'Map 5'!U42)),'Map 5'!U42)</f>
        <v>Ocean</v>
      </c>
      <c r="V42" s="46" t="str" cm="1">
        <f t="array" aca="1" ref="V42" ca="1">_xlfn.IFNA(_xlfn.IFS(AND(ISNUMBER(SEARCH("Rainshadow",'Map 5'!V42)),ISNUMBER(SEARCH("Flatland",'Map 5'!V42))),CONCATENATE($AT42, " Rainshadow"),'Map 5'!V42="Flatland",$AT42,'Map 5'!V42="Island",CONCATENATE($AT42, " Island"),ISNUMBER(SEARCH("Rainshadow",'Map 5'!V42)),CONCATENATE($AT42," ",'Map 5'!V42)),'Map 5'!V42)</f>
        <v>Ocean</v>
      </c>
      <c r="W42" s="46" t="str" cm="1">
        <f t="array" aca="1" ref="W42" ca="1">_xlfn.IFNA(_xlfn.IFS(AND(ISNUMBER(SEARCH("Rainshadow",'Map 5'!W42)),ISNUMBER(SEARCH("Flatland",'Map 5'!W42))),CONCATENATE($AT42, " Rainshadow"),'Map 5'!W42="Flatland",$AT42,'Map 5'!W42="Island",CONCATENATE($AT42, " Island"),ISNUMBER(SEARCH("Rainshadow",'Map 5'!W42)),CONCATENATE($AT42," ",'Map 5'!W42)),'Map 5'!W42)</f>
        <v>Ocean</v>
      </c>
      <c r="X42" s="46" t="str" cm="1">
        <f t="array" aca="1" ref="X42" ca="1">_xlfn.IFNA(_xlfn.IFS(AND(ISNUMBER(SEARCH("Rainshadow",'Map 5'!X42)),ISNUMBER(SEARCH("Flatland",'Map 5'!X42))),CONCATENATE($AT42, " Rainshadow"),'Map 5'!X42="Flatland",$AT42,'Map 5'!X42="Island",CONCATENATE($AT42, " Island"),ISNUMBER(SEARCH("Rainshadow",'Map 5'!X42)),CONCATENATE($AT42," ",'Map 5'!X42)),'Map 5'!X42)</f>
        <v>Ocean</v>
      </c>
      <c r="Y42" s="46" t="str" cm="1">
        <f t="array" aca="1" ref="Y42" ca="1">_xlfn.IFNA(_xlfn.IFS(AND(ISNUMBER(SEARCH("Rainshadow",'Map 5'!Y42)),ISNUMBER(SEARCH("Flatland",'Map 5'!Y42))),CONCATENATE($AT42, " Rainshadow"),'Map 5'!Y42="Flatland",$AT42,'Map 5'!Y42="Island",CONCATENATE($AT42, " Island"),ISNUMBER(SEARCH("Rainshadow",'Map 5'!Y42)),CONCATENATE($AT42," ",'Map 5'!Y42)),'Map 5'!Y42)</f>
        <v>Ocean</v>
      </c>
      <c r="Z42" s="46" t="str" cm="1">
        <f t="array" aca="1" ref="Z42" ca="1">_xlfn.IFNA(_xlfn.IFS(AND(ISNUMBER(SEARCH("Rainshadow",'Map 5'!Z42)),ISNUMBER(SEARCH("Flatland",'Map 5'!Z42))),CONCATENATE($AT42, " Rainshadow"),'Map 5'!Z42="Flatland",$AT42,'Map 5'!Z42="Island",CONCATENATE($AT42, " Island"),ISNUMBER(SEARCH("Rainshadow",'Map 5'!Z42)),CONCATENATE($AT42," ",'Map 5'!Z42)),'Map 5'!Z42)</f>
        <v>Ocean</v>
      </c>
      <c r="AA42" s="46" t="str" cm="1">
        <f t="array" aca="1" ref="AA42" ca="1">_xlfn.IFNA(_xlfn.IFS(AND(ISNUMBER(SEARCH("Rainshadow",'Map 5'!AA42)),ISNUMBER(SEARCH("Flatland",'Map 5'!AA42))),CONCATENATE($AT42, " Rainshadow"),'Map 5'!AA42="Flatland",$AT42,'Map 5'!AA42="Island",CONCATENATE($AT42, " Island"),ISNUMBER(SEARCH("Rainshadow",'Map 5'!AA42)),CONCATENATE($AT42," ",'Map 5'!AA42)),'Map 5'!AA42)</f>
        <v>Trench</v>
      </c>
      <c r="AB42" s="46" t="str" cm="1">
        <f t="array" aca="1" ref="AB42" ca="1">_xlfn.IFNA(_xlfn.IFS(AND(ISNUMBER(SEARCH("Rainshadow",'Map 5'!AB42)),ISNUMBER(SEARCH("Flatland",'Map 5'!AB42))),CONCATENATE($AT42, " Rainshadow"),'Map 5'!AB42="Flatland",$AT42,'Map 5'!AB42="Island",CONCATENATE($AT42, " Island"),ISNUMBER(SEARCH("Rainshadow",'Map 5'!AB42)),CONCATENATE($AT42," ",'Map 5'!AB42)),'Map 5'!AB42)</f>
        <v>Forest Island</v>
      </c>
      <c r="AC42" s="46" t="str" cm="1">
        <f t="array" aca="1" ref="AC42" ca="1">_xlfn.IFNA(_xlfn.IFS(AND(ISNUMBER(SEARCH("Rainshadow",'Map 5'!AC42)),ISNUMBER(SEARCH("Flatland",'Map 5'!AC42))),CONCATENATE($AT42, " Rainshadow"),'Map 5'!AC42="Flatland",$AT42,'Map 5'!AC42="Island",CONCATENATE($AT42, " Island"),ISNUMBER(SEARCH("Rainshadow",'Map 5'!AC42)),CONCATENATE($AT42," ",'Map 5'!AC42)),'Map 5'!AC42)</f>
        <v>Ocean</v>
      </c>
      <c r="AD42" s="46" t="str" cm="1">
        <f t="array" aca="1" ref="AD42" ca="1">_xlfn.IFNA(_xlfn.IFS(AND(ISNUMBER(SEARCH("Rainshadow",'Map 5'!AD42)),ISNUMBER(SEARCH("Flatland",'Map 5'!AD42))),CONCATENATE($AT42, " Rainshadow"),'Map 5'!AD42="Flatland",$AT42,'Map 5'!AD42="Island",CONCATENATE($AT42, " Island"),ISNUMBER(SEARCH("Rainshadow",'Map 5'!AD42)),CONCATENATE($AT42," ",'Map 5'!AD42)),'Map 5'!AD42)</f>
        <v>Ocean</v>
      </c>
      <c r="AE42" s="46" t="str" cm="1">
        <f t="array" aca="1" ref="AE42" ca="1">_xlfn.IFNA(_xlfn.IFS(AND(ISNUMBER(SEARCH("Rainshadow",'Map 5'!AE42)),ISNUMBER(SEARCH("Flatland",'Map 5'!AE42))),CONCATENATE($AT42, " Rainshadow"),'Map 5'!AE42="Flatland",$AT42,'Map 5'!AE42="Island",CONCATENATE($AT42, " Island"),ISNUMBER(SEARCH("Rainshadow",'Map 5'!AE42)),CONCATENATE($AT42," ",'Map 5'!AE42)),'Map 5'!AE42)</f>
        <v>Trench</v>
      </c>
      <c r="AF42" s="46" t="str" cm="1">
        <f t="array" aca="1" ref="AF42" ca="1">_xlfn.IFNA(_xlfn.IFS(AND(ISNUMBER(SEARCH("Rainshadow",'Map 5'!AF42)),ISNUMBER(SEARCH("Flatland",'Map 5'!AF42))),CONCATENATE($AT42, " Rainshadow"),'Map 5'!AF42="Flatland",$AT42,'Map 5'!AF42="Island",CONCATENATE($AT42, " Island"),ISNUMBER(SEARCH("Rainshadow",'Map 5'!AF42)),CONCATENATE($AT42," ",'Map 5'!AF42)),'Map 5'!AF42)</f>
        <v>Trench</v>
      </c>
      <c r="AG42" s="46" t="str" cm="1">
        <f t="array" aca="1" ref="AG42" ca="1">_xlfn.IFNA(_xlfn.IFS(AND(ISNUMBER(SEARCH("Rainshadow",'Map 5'!AG42)),ISNUMBER(SEARCH("Flatland",'Map 5'!AG42))),CONCATENATE($AT42, " Rainshadow"),'Map 5'!AG42="Flatland",$AT42,'Map 5'!AG42="Island",CONCATENATE($AT42, " Island"),ISNUMBER(SEARCH("Rainshadow",'Map 5'!AG42)),CONCATENATE($AT42," ",'Map 5'!AG42)),'Map 5'!AG42)</f>
        <v>Ocean</v>
      </c>
      <c r="AH42" s="46" t="str" cm="1">
        <f t="array" aca="1" ref="AH42" ca="1">_xlfn.IFNA(_xlfn.IFS(AND(ISNUMBER(SEARCH("Rainshadow",'Map 5'!AH42)),ISNUMBER(SEARCH("Flatland",'Map 5'!AH42))),CONCATENATE($AT42, " Rainshadow"),'Map 5'!AH42="Flatland",$AT42,'Map 5'!AH42="Island",CONCATENATE($AT42, " Island"),ISNUMBER(SEARCH("Rainshadow",'Map 5'!AH42)),CONCATENATE($AT42," ",'Map 5'!AH42)),'Map 5'!AH42)</f>
        <v>Ocean</v>
      </c>
      <c r="AI42" s="46" t="str" cm="1">
        <f t="array" aca="1" ref="AI42" ca="1">_xlfn.IFNA(_xlfn.IFS(AND(ISNUMBER(SEARCH("Rainshadow",'Map 5'!AI42)),ISNUMBER(SEARCH("Flatland",'Map 5'!AI42))),CONCATENATE($AT42, " Rainshadow"),'Map 5'!AI42="Flatland",$AT42,'Map 5'!AI42="Island",CONCATENATE($AT42, " Island"),ISNUMBER(SEARCH("Rainshadow",'Map 5'!AI42)),CONCATENATE($AT42," ",'Map 5'!AI42)),'Map 5'!AI42)</f>
        <v>Ocean</v>
      </c>
      <c r="AJ42" s="46" t="str" cm="1">
        <f t="array" aca="1" ref="AJ42" ca="1">_xlfn.IFNA(_xlfn.IFS(AND(ISNUMBER(SEARCH("Rainshadow",'Map 5'!AJ42)),ISNUMBER(SEARCH("Flatland",'Map 5'!AJ42))),CONCATENATE($AT42, " Rainshadow"),'Map 5'!AJ42="Flatland",$AT42,'Map 5'!AJ42="Island",CONCATENATE($AT42, " Island"),ISNUMBER(SEARCH("Rainshadow",'Map 5'!AJ42)),CONCATENATE($AT42," ",'Map 5'!AJ42)),'Map 5'!AJ42)</f>
        <v>Ocean</v>
      </c>
      <c r="AK42" s="46" t="str" cm="1">
        <f t="array" aca="1" ref="AK42" ca="1">_xlfn.IFNA(_xlfn.IFS(AND(ISNUMBER(SEARCH("Rainshadow",'Map 5'!AK42)),ISNUMBER(SEARCH("Flatland",'Map 5'!AK42))),CONCATENATE($AT42, " Rainshadow"),'Map 5'!AK42="Flatland",$AT42,'Map 5'!AK42="Island",CONCATENATE($AT42, " Island"),ISNUMBER(SEARCH("Rainshadow",'Map 5'!AK42)),CONCATENATE($AT42," ",'Map 5'!AK42)),'Map 5'!AK42)</f>
        <v>Ocean</v>
      </c>
      <c r="AL42" s="46" t="str" cm="1">
        <f t="array" aca="1" ref="AL42" ca="1">_xlfn.IFNA(_xlfn.IFS(AND(ISNUMBER(SEARCH("Rainshadow",'Map 5'!AL42)),ISNUMBER(SEARCH("Flatland",'Map 5'!AL42))),CONCATENATE($AT42, " Rainshadow"),'Map 5'!AL42="Flatland",$AT42,'Map 5'!AL42="Island",CONCATENATE($AT42, " Island"),ISNUMBER(SEARCH("Rainshadow",'Map 5'!AL42)),CONCATENATE($AT42," ",'Map 5'!AL42)),'Map 5'!AL42)</f>
        <v>Ocean</v>
      </c>
      <c r="AM42" s="46" t="str" cm="1">
        <f t="array" aca="1" ref="AM42" ca="1">_xlfn.IFNA(_xlfn.IFS(AND(ISNUMBER(SEARCH("Rainshadow",'Map 5'!AM42)),ISNUMBER(SEARCH("Flatland",'Map 5'!AM42))),CONCATENATE($AT42, " Rainshadow"),'Map 5'!AM42="Flatland",$AT42,'Map 5'!AM42="Island",CONCATENATE($AT42, " Island"),ISNUMBER(SEARCH("Rainshadow",'Map 5'!AM42)),CONCATENATE($AT42," ",'Map 5'!AM42)),'Map 5'!AM42)</f>
        <v>Ocean</v>
      </c>
      <c r="AN42" s="46" t="str" cm="1">
        <f t="array" aca="1" ref="AN42" ca="1">_xlfn.IFNA(_xlfn.IFS(AND(ISNUMBER(SEARCH("Rainshadow",'Map 5'!AN42)),ISNUMBER(SEARCH("Flatland",'Map 5'!AN42))),CONCATENATE($AT42, " Rainshadow"),'Map 5'!AN42="Flatland",$AT42,'Map 5'!AN42="Island",CONCATENATE($AT42, " Island"),ISNUMBER(SEARCH("Rainshadow",'Map 5'!AN42)),CONCATENATE($AT42," ",'Map 5'!AN42)),'Map 5'!AN42)</f>
        <v>Ocean</v>
      </c>
      <c r="AO42" s="46" t="str" cm="1">
        <f t="array" aca="1" ref="AO42" ca="1">_xlfn.IFNA(_xlfn.IFS(AND(ISNUMBER(SEARCH("Rainshadow",'Map 5'!AO42)),ISNUMBER(SEARCH("Flatland",'Map 5'!AO42))),CONCATENATE($AT42, " Rainshadow"),'Map 5'!AO42="Flatland",$AT42,'Map 5'!AO42="Island",CONCATENATE($AT42, " Island"),ISNUMBER(SEARCH("Rainshadow",'Map 5'!AO42)),CONCATENATE($AT42," ",'Map 5'!AO42)),'Map 5'!AO42)</f>
        <v>Trench</v>
      </c>
      <c r="AP42" s="46">
        <f>'Map 5'!AP42</f>
        <v>7.5</v>
      </c>
      <c r="AQ42" s="46">
        <f>'Map 5'!AQ42</f>
        <v>45.5</v>
      </c>
      <c r="AR42" s="46">
        <f>'Map 5'!AS42</f>
        <v>280.65000000000015</v>
      </c>
      <c r="AS42" s="47">
        <f>'Map 5'!AT42</f>
        <v>-58.5</v>
      </c>
      <c r="AT42" s="47" t="str">
        <f>'Map 5'!AU42</f>
        <v>Forest</v>
      </c>
      <c r="AU42" s="47" t="str">
        <f>'Map 5'!AV42</f>
        <v>⤵</v>
      </c>
      <c r="AX42" s="47" t="str">
        <f>CONCATENATE($AX$24," ",$AX6)</f>
        <v>Grasslands Rainshadow Coast</v>
      </c>
    </row>
    <row r="43" spans="1:50" ht="18.75" customHeight="1">
      <c r="A43" s="46">
        <v>34</v>
      </c>
      <c r="B43" s="46" t="str" cm="1">
        <f t="array" aca="1" ref="B43" ca="1">_xlfn.IFNA(_xlfn.IFS(AND(ISNUMBER(SEARCH("Rainshadow",'Map 5'!B43)),ISNUMBER(SEARCH("Flatland",'Map 5'!B43))),CONCATENATE($AT43, " Rainshadow"),'Map 5'!B43="Flatland",$AT43,'Map 5'!B43="Island",CONCATENATE($AT43, " Island"),ISNUMBER(SEARCH("Rainshadow",'Map 5'!B43)),CONCATENATE($AT43," ",'Map 5'!B43)),'Map 5'!B43)</f>
        <v>Ocean</v>
      </c>
      <c r="C43" s="46" t="str" cm="1">
        <f t="array" aca="1" ref="C43" ca="1">_xlfn.IFNA(_xlfn.IFS(AND(ISNUMBER(SEARCH("Rainshadow",'Map 5'!C43)),ISNUMBER(SEARCH("Flatland",'Map 5'!C43))),CONCATENATE($AT43, " Rainshadow"),'Map 5'!C43="Flatland",$AT43,'Map 5'!C43="Island",CONCATENATE($AT43, " Island"),ISNUMBER(SEARCH("Rainshadow",'Map 5'!C43)),CONCATENATE($AT43," ",'Map 5'!C43)),'Map 5'!C43)</f>
        <v>Ocean</v>
      </c>
      <c r="D43" s="46" t="str" cm="1">
        <f t="array" aca="1" ref="D43" ca="1">_xlfn.IFNA(_xlfn.IFS(AND(ISNUMBER(SEARCH("Rainshadow",'Map 5'!D43)),ISNUMBER(SEARCH("Flatland",'Map 5'!D43))),CONCATENATE($AT43, " Rainshadow"),'Map 5'!D43="Flatland",$AT43,'Map 5'!D43="Island",CONCATENATE($AT43, " Island"),ISNUMBER(SEARCH("Rainshadow",'Map 5'!D43)),CONCATENATE($AT43," ",'Map 5'!D43)),'Map 5'!D43)</f>
        <v>Coast</v>
      </c>
      <c r="E43" s="46" t="str" cm="1">
        <f t="array" aca="1" ref="E43" ca="1">_xlfn.IFNA(_xlfn.IFS(AND(ISNUMBER(SEARCH("Rainshadow",'Map 5'!E43)),ISNUMBER(SEARCH("Flatland",'Map 5'!E43))),CONCATENATE($AT43, " Rainshadow"),'Map 5'!E43="Flatland",$AT43,'Map 5'!E43="Island",CONCATENATE($AT43, " Island"),ISNUMBER(SEARCH("Rainshadow",'Map 5'!E43)),CONCATENATE($AT43," ",'Map 5'!E43)),'Map 5'!E43)</f>
        <v>Ocean</v>
      </c>
      <c r="F43" s="46" t="str" cm="1">
        <f t="array" aca="1" ref="F43" ca="1">_xlfn.IFNA(_xlfn.IFS(AND(ISNUMBER(SEARCH("Rainshadow",'Map 5'!F43)),ISNUMBER(SEARCH("Flatland",'Map 5'!F43))),CONCATENATE($AT43, " Rainshadow"),'Map 5'!F43="Flatland",$AT43,'Map 5'!F43="Island",CONCATENATE($AT43, " Island"),ISNUMBER(SEARCH("Rainshadow",'Map 5'!F43)),CONCATENATE($AT43," ",'Map 5'!F43)),'Map 5'!F43)</f>
        <v>Ocean</v>
      </c>
      <c r="G43" s="46" t="str" cm="1">
        <f t="array" aca="1" ref="G43" ca="1">_xlfn.IFNA(_xlfn.IFS(AND(ISNUMBER(SEARCH("Rainshadow",'Map 5'!G43)),ISNUMBER(SEARCH("Flatland",'Map 5'!G43))),CONCATENATE($AT43, " Rainshadow"),'Map 5'!G43="Flatland",$AT43,'Map 5'!G43="Island",CONCATENATE($AT43, " Island"),ISNUMBER(SEARCH("Rainshadow",'Map 5'!G43)),CONCATENATE($AT43," ",'Map 5'!G43)),'Map 5'!G43)</f>
        <v>Ocean</v>
      </c>
      <c r="H43" s="46" t="str" cm="1">
        <f t="array" aca="1" ref="H43" ca="1">_xlfn.IFNA(_xlfn.IFS(AND(ISNUMBER(SEARCH("Rainshadow",'Map 5'!H43)),ISNUMBER(SEARCH("Flatland",'Map 5'!H43))),CONCATENATE($AT43, " Rainshadow"),'Map 5'!H43="Flatland",$AT43,'Map 5'!H43="Island",CONCATENATE($AT43, " Island"),ISNUMBER(SEARCH("Rainshadow",'Map 5'!H43)),CONCATENATE($AT43," ",'Map 5'!H43)),'Map 5'!H43)</f>
        <v>Ocean</v>
      </c>
      <c r="I43" s="46" t="str" cm="1">
        <f t="array" aca="1" ref="I43" ca="1">_xlfn.IFNA(_xlfn.IFS(AND(ISNUMBER(SEARCH("Rainshadow",'Map 5'!I43)),ISNUMBER(SEARCH("Flatland",'Map 5'!I43))),CONCATENATE($AT43, " Rainshadow"),'Map 5'!I43="Flatland",$AT43,'Map 5'!I43="Island",CONCATENATE($AT43, " Island"),ISNUMBER(SEARCH("Rainshadow",'Map 5'!I43)),CONCATENATE($AT43," ",'Map 5'!I43)),'Map 5'!I43)</f>
        <v>Ocean</v>
      </c>
      <c r="J43" s="46" t="str" cm="1">
        <f t="array" aca="1" ref="J43" ca="1">_xlfn.IFNA(_xlfn.IFS(AND(ISNUMBER(SEARCH("Rainshadow",'Map 5'!J43)),ISNUMBER(SEARCH("Flatland",'Map 5'!J43))),CONCATENATE($AT43, " Rainshadow"),'Map 5'!J43="Flatland",$AT43,'Map 5'!J43="Island",CONCATENATE($AT43, " Island"),ISNUMBER(SEARCH("Rainshadow",'Map 5'!J43)),CONCATENATE($AT43," ",'Map 5'!J43)),'Map 5'!J43)</f>
        <v>Coast</v>
      </c>
      <c r="K43" s="46" t="str" cm="1">
        <f t="array" aca="1" ref="K43" ca="1">_xlfn.IFNA(_xlfn.IFS(AND(ISNUMBER(SEARCH("Rainshadow",'Map 5'!K43)),ISNUMBER(SEARCH("Flatland",'Map 5'!K43))),CONCATENATE($AT43, " Rainshadow"),'Map 5'!K43="Flatland",$AT43,'Map 5'!K43="Island",CONCATENATE($AT43, " Island"),ISNUMBER(SEARCH("Rainshadow",'Map 5'!K43)),CONCATENATE($AT43," ",'Map 5'!K43)),'Map 5'!K43)</f>
        <v>Forest</v>
      </c>
      <c r="L43" s="46" t="str" cm="1">
        <f t="array" aca="1" ref="L43" ca="1">_xlfn.IFNA(_xlfn.IFS(AND(ISNUMBER(SEARCH("Rainshadow",'Map 5'!L43)),ISNUMBER(SEARCH("Flatland",'Map 5'!L43))),CONCATENATE($AT43, " Rainshadow"),'Map 5'!L43="Flatland",$AT43,'Map 5'!L43="Island",CONCATENATE($AT43, " Island"),ISNUMBER(SEARCH("Rainshadow",'Map 5'!L43)),CONCATENATE($AT43," ",'Map 5'!L43)),'Map 5'!L43)</f>
        <v>Coast</v>
      </c>
      <c r="M43" s="46" t="str" cm="1">
        <f t="array" aca="1" ref="M43" ca="1">_xlfn.IFNA(_xlfn.IFS(AND(ISNUMBER(SEARCH("Rainshadow",'Map 5'!M43)),ISNUMBER(SEARCH("Flatland",'Map 5'!M43))),CONCATENATE($AT43, " Rainshadow"),'Map 5'!M43="Flatland",$AT43,'Map 5'!M43="Island",CONCATENATE($AT43, " Island"),ISNUMBER(SEARCH("Rainshadow",'Map 5'!M43)),CONCATENATE($AT43," ",'Map 5'!M43)),'Map 5'!M43)</f>
        <v>Forest</v>
      </c>
      <c r="N43" s="46" t="str" cm="1">
        <f t="array" aca="1" ref="N43" ca="1">_xlfn.IFNA(_xlfn.IFS(AND(ISNUMBER(SEARCH("Rainshadow",'Map 5'!N43)),ISNUMBER(SEARCH("Flatland",'Map 5'!N43))),CONCATENATE($AT43, " Rainshadow"),'Map 5'!N43="Flatland",$AT43,'Map 5'!N43="Island",CONCATENATE($AT43, " Island"),ISNUMBER(SEARCH("Rainshadow",'Map 5'!N43)),CONCATENATE($AT43," ",'Map 5'!N43)),'Map 5'!N43)</f>
        <v>Forest</v>
      </c>
      <c r="O43" s="46" t="str" cm="1">
        <f t="array" aca="1" ref="O43" ca="1">_xlfn.IFNA(_xlfn.IFS(AND(ISNUMBER(SEARCH("Rainshadow",'Map 5'!O43)),ISNUMBER(SEARCH("Flatland",'Map 5'!O43))),CONCATENATE($AT43, " Rainshadow"),'Map 5'!O43="Flatland",$AT43,'Map 5'!O43="Island",CONCATENATE($AT43, " Island"),ISNUMBER(SEARCH("Rainshadow",'Map 5'!O43)),CONCATENATE($AT43," ",'Map 5'!O43)),'Map 5'!O43)</f>
        <v>Forest</v>
      </c>
      <c r="P43" s="46" t="str" cm="1">
        <f t="array" aca="1" ref="P43" ca="1">_xlfn.IFNA(_xlfn.IFS(AND(ISNUMBER(SEARCH("Rainshadow",'Map 5'!P43)),ISNUMBER(SEARCH("Flatland",'Map 5'!P43))),CONCATENATE($AT43, " Rainshadow"),'Map 5'!P43="Flatland",$AT43,'Map 5'!P43="Island",CONCATENATE($AT43, " Island"),ISNUMBER(SEARCH("Rainshadow",'Map 5'!P43)),CONCATENATE($AT43," ",'Map 5'!P43)),'Map 5'!P43)</f>
        <v>Forest</v>
      </c>
      <c r="Q43" s="46" t="str" cm="1">
        <f t="array" aca="1" ref="Q43" ca="1">_xlfn.IFNA(_xlfn.IFS(AND(ISNUMBER(SEARCH("Rainshadow",'Map 5'!Q43)),ISNUMBER(SEARCH("Flatland",'Map 5'!Q43))),CONCATENATE($AT43, " Rainshadow"),'Map 5'!Q43="Flatland",$AT43,'Map 5'!Q43="Island",CONCATENATE($AT43, " Island"),ISNUMBER(SEARCH("Rainshadow",'Map 5'!Q43)),CONCATENATE($AT43," ",'Map 5'!Q43)),'Map 5'!Q43)</f>
        <v>Coast</v>
      </c>
      <c r="R43" s="46" t="str" cm="1">
        <f t="array" aca="1" ref="R43" ca="1">_xlfn.IFNA(_xlfn.IFS(AND(ISNUMBER(SEARCH("Rainshadow",'Map 5'!R43)),ISNUMBER(SEARCH("Flatland",'Map 5'!R43))),CONCATENATE($AT43, " Rainshadow"),'Map 5'!R43="Flatland",$AT43,'Map 5'!R43="Island",CONCATENATE($AT43, " Island"),ISNUMBER(SEARCH("Rainshadow",'Map 5'!R43)),CONCATENATE($AT43," ",'Map 5'!R43)),'Map 5'!R43)</f>
        <v>Ocean</v>
      </c>
      <c r="S43" s="46" t="str" cm="1">
        <f t="array" aca="1" ref="S43" ca="1">_xlfn.IFNA(_xlfn.IFS(AND(ISNUMBER(SEARCH("Rainshadow",'Map 5'!S43)),ISNUMBER(SEARCH("Flatland",'Map 5'!S43))),CONCATENATE($AT43, " Rainshadow"),'Map 5'!S43="Flatland",$AT43,'Map 5'!S43="Island",CONCATENATE($AT43, " Island"),ISNUMBER(SEARCH("Rainshadow",'Map 5'!S43)),CONCATENATE($AT43," ",'Map 5'!S43)),'Map 5'!S43)</f>
        <v>Ocean</v>
      </c>
      <c r="T43" s="46" t="str" cm="1">
        <f t="array" aca="1" ref="T43" ca="1">_xlfn.IFNA(_xlfn.IFS(AND(ISNUMBER(SEARCH("Rainshadow",'Map 5'!T43)),ISNUMBER(SEARCH("Flatland",'Map 5'!T43))),CONCATENATE($AT43, " Rainshadow"),'Map 5'!T43="Flatland",$AT43,'Map 5'!T43="Island",CONCATENATE($AT43, " Island"),ISNUMBER(SEARCH("Rainshadow",'Map 5'!T43)),CONCATENATE($AT43," ",'Map 5'!T43)),'Map 5'!T43)</f>
        <v>Ocean</v>
      </c>
      <c r="U43" s="46" t="str" cm="1">
        <f t="array" aca="1" ref="U43" ca="1">_xlfn.IFNA(_xlfn.IFS(AND(ISNUMBER(SEARCH("Rainshadow",'Map 5'!U43)),ISNUMBER(SEARCH("Flatland",'Map 5'!U43))),CONCATENATE($AT43, " Rainshadow"),'Map 5'!U43="Flatland",$AT43,'Map 5'!U43="Island",CONCATENATE($AT43, " Island"),ISNUMBER(SEARCH("Rainshadow",'Map 5'!U43)),CONCATENATE($AT43," ",'Map 5'!U43)),'Map 5'!U43)</f>
        <v>Ocean</v>
      </c>
      <c r="V43" s="46" t="str" cm="1">
        <f t="array" aca="1" ref="V43" ca="1">_xlfn.IFNA(_xlfn.IFS(AND(ISNUMBER(SEARCH("Rainshadow",'Map 5'!V43)),ISNUMBER(SEARCH("Flatland",'Map 5'!V43))),CONCATENATE($AT43, " Rainshadow"),'Map 5'!V43="Flatland",$AT43,'Map 5'!V43="Island",CONCATENATE($AT43, " Island"),ISNUMBER(SEARCH("Rainshadow",'Map 5'!V43)),CONCATENATE($AT43," ",'Map 5'!V43)),'Map 5'!V43)</f>
        <v>Ocean</v>
      </c>
      <c r="W43" s="46" t="str" cm="1">
        <f t="array" aca="1" ref="W43" ca="1">_xlfn.IFNA(_xlfn.IFS(AND(ISNUMBER(SEARCH("Rainshadow",'Map 5'!W43)),ISNUMBER(SEARCH("Flatland",'Map 5'!W43))),CONCATENATE($AT43, " Rainshadow"),'Map 5'!W43="Flatland",$AT43,'Map 5'!W43="Island",CONCATENATE($AT43, " Island"),ISNUMBER(SEARCH("Rainshadow",'Map 5'!W43)),CONCATENATE($AT43," ",'Map 5'!W43)),'Map 5'!W43)</f>
        <v>Ocean</v>
      </c>
      <c r="X43" s="46" t="str" cm="1">
        <f t="array" aca="1" ref="X43" ca="1">_xlfn.IFNA(_xlfn.IFS(AND(ISNUMBER(SEARCH("Rainshadow",'Map 5'!X43)),ISNUMBER(SEARCH("Flatland",'Map 5'!X43))),CONCATENATE($AT43, " Rainshadow"),'Map 5'!X43="Flatland",$AT43,'Map 5'!X43="Island",CONCATENATE($AT43, " Island"),ISNUMBER(SEARCH("Rainshadow",'Map 5'!X43)),CONCATENATE($AT43," ",'Map 5'!X43)),'Map 5'!X43)</f>
        <v>Ocean</v>
      </c>
      <c r="Y43" s="46" t="str" cm="1">
        <f t="array" aca="1" ref="Y43" ca="1">_xlfn.IFNA(_xlfn.IFS(AND(ISNUMBER(SEARCH("Rainshadow",'Map 5'!Y43)),ISNUMBER(SEARCH("Flatland",'Map 5'!Y43))),CONCATENATE($AT43, " Rainshadow"),'Map 5'!Y43="Flatland",$AT43,'Map 5'!Y43="Island",CONCATENATE($AT43, " Island"),ISNUMBER(SEARCH("Rainshadow",'Map 5'!Y43)),CONCATENATE($AT43," ",'Map 5'!Y43)),'Map 5'!Y43)</f>
        <v>Ocean</v>
      </c>
      <c r="Z43" s="46" t="str" cm="1">
        <f t="array" aca="1" ref="Z43" ca="1">_xlfn.IFNA(_xlfn.IFS(AND(ISNUMBER(SEARCH("Rainshadow",'Map 5'!Z43)),ISNUMBER(SEARCH("Flatland",'Map 5'!Z43))),CONCATENATE($AT43, " Rainshadow"),'Map 5'!Z43="Flatland",$AT43,'Map 5'!Z43="Island",CONCATENATE($AT43, " Island"),ISNUMBER(SEARCH("Rainshadow",'Map 5'!Z43)),CONCATENATE($AT43," ",'Map 5'!Z43)),'Map 5'!Z43)</f>
        <v>Trench</v>
      </c>
      <c r="AA43" s="46" t="str" cm="1">
        <f t="array" aca="1" ref="AA43" ca="1">_xlfn.IFNA(_xlfn.IFS(AND(ISNUMBER(SEARCH("Rainshadow",'Map 5'!AA43)),ISNUMBER(SEARCH("Flatland",'Map 5'!AA43))),CONCATENATE($AT43, " Rainshadow"),'Map 5'!AA43="Flatland",$AT43,'Map 5'!AA43="Island",CONCATENATE($AT43, " Island"),ISNUMBER(SEARCH("Rainshadow",'Map 5'!AA43)),CONCATENATE($AT43," ",'Map 5'!AA43)),'Map 5'!AA43)</f>
        <v>Forest Island</v>
      </c>
      <c r="AB43" s="46" t="str" cm="1">
        <f t="array" aca="1" ref="AB43" ca="1">_xlfn.IFNA(_xlfn.IFS(AND(ISNUMBER(SEARCH("Rainshadow",'Map 5'!AB43)),ISNUMBER(SEARCH("Flatland",'Map 5'!AB43))),CONCATENATE($AT43, " Rainshadow"),'Map 5'!AB43="Flatland",$AT43,'Map 5'!AB43="Island",CONCATENATE($AT43, " Island"),ISNUMBER(SEARCH("Rainshadow",'Map 5'!AB43)),CONCATENATE($AT43," ",'Map 5'!AB43)),'Map 5'!AB43)</f>
        <v>Ocean</v>
      </c>
      <c r="AC43" s="46" t="str" cm="1">
        <f t="array" aca="1" ref="AC43" ca="1">_xlfn.IFNA(_xlfn.IFS(AND(ISNUMBER(SEARCH("Rainshadow",'Map 5'!AC43)),ISNUMBER(SEARCH("Flatland",'Map 5'!AC43))),CONCATENATE($AT43, " Rainshadow"),'Map 5'!AC43="Flatland",$AT43,'Map 5'!AC43="Island",CONCATENATE($AT43, " Island"),ISNUMBER(SEARCH("Rainshadow",'Map 5'!AC43)),CONCATENATE($AT43," ",'Map 5'!AC43)),'Map 5'!AC43)</f>
        <v>Ocean</v>
      </c>
      <c r="AD43" s="46" t="str" cm="1">
        <f t="array" aca="1" ref="AD43" ca="1">_xlfn.IFNA(_xlfn.IFS(AND(ISNUMBER(SEARCH("Rainshadow",'Map 5'!AD43)),ISNUMBER(SEARCH("Flatland",'Map 5'!AD43))),CONCATENATE($AT43, " Rainshadow"),'Map 5'!AD43="Flatland",$AT43,'Map 5'!AD43="Island",CONCATENATE($AT43, " Island"),ISNUMBER(SEARCH("Rainshadow",'Map 5'!AD43)),CONCATENATE($AT43," ",'Map 5'!AD43)),'Map 5'!AD43)</f>
        <v>Ocean</v>
      </c>
      <c r="AE43" s="46" t="str" cm="1">
        <f t="array" aca="1" ref="AE43" ca="1">_xlfn.IFNA(_xlfn.IFS(AND(ISNUMBER(SEARCH("Rainshadow",'Map 5'!AE43)),ISNUMBER(SEARCH("Flatland",'Map 5'!AE43))),CONCATENATE($AT43, " Rainshadow"),'Map 5'!AE43="Flatland",$AT43,'Map 5'!AE43="Island",CONCATENATE($AT43, " Island"),ISNUMBER(SEARCH("Rainshadow",'Map 5'!AE43)),CONCATENATE($AT43," ",'Map 5'!AE43)),'Map 5'!AE43)</f>
        <v>Ocean</v>
      </c>
      <c r="AF43" s="46" t="str" cm="1">
        <f t="array" aca="1" ref="AF43" ca="1">_xlfn.IFNA(_xlfn.IFS(AND(ISNUMBER(SEARCH("Rainshadow",'Map 5'!AF43)),ISNUMBER(SEARCH("Flatland",'Map 5'!AF43))),CONCATENATE($AT43, " Rainshadow"),'Map 5'!AF43="Flatland",$AT43,'Map 5'!AF43="Island",CONCATENATE($AT43, " Island"),ISNUMBER(SEARCH("Rainshadow",'Map 5'!AF43)),CONCATENATE($AT43," ",'Map 5'!AF43)),'Map 5'!AF43)</f>
        <v>Ocean</v>
      </c>
      <c r="AG43" s="46" t="str" cm="1">
        <f t="array" aca="1" ref="AG43" ca="1">_xlfn.IFNA(_xlfn.IFS(AND(ISNUMBER(SEARCH("Rainshadow",'Map 5'!AG43)),ISNUMBER(SEARCH("Flatland",'Map 5'!AG43))),CONCATENATE($AT43, " Rainshadow"),'Map 5'!AG43="Flatland",$AT43,'Map 5'!AG43="Island",CONCATENATE($AT43, " Island"),ISNUMBER(SEARCH("Rainshadow",'Map 5'!AG43)),CONCATENATE($AT43," ",'Map 5'!AG43)),'Map 5'!AG43)</f>
        <v>Ocean</v>
      </c>
      <c r="AH43" s="46" t="str" cm="1">
        <f t="array" aca="1" ref="AH43" ca="1">_xlfn.IFNA(_xlfn.IFS(AND(ISNUMBER(SEARCH("Rainshadow",'Map 5'!AH43)),ISNUMBER(SEARCH("Flatland",'Map 5'!AH43))),CONCATENATE($AT43, " Rainshadow"),'Map 5'!AH43="Flatland",$AT43,'Map 5'!AH43="Island",CONCATENATE($AT43, " Island"),ISNUMBER(SEARCH("Rainshadow",'Map 5'!AH43)),CONCATENATE($AT43," ",'Map 5'!AH43)),'Map 5'!AH43)</f>
        <v>Ocean</v>
      </c>
      <c r="AI43" s="46" t="str" cm="1">
        <f t="array" aca="1" ref="AI43" ca="1">_xlfn.IFNA(_xlfn.IFS(AND(ISNUMBER(SEARCH("Rainshadow",'Map 5'!AI43)),ISNUMBER(SEARCH("Flatland",'Map 5'!AI43))),CONCATENATE($AT43, " Rainshadow"),'Map 5'!AI43="Flatland",$AT43,'Map 5'!AI43="Island",CONCATENATE($AT43, " Island"),ISNUMBER(SEARCH("Rainshadow",'Map 5'!AI43)),CONCATENATE($AT43," ",'Map 5'!AI43)),'Map 5'!AI43)</f>
        <v>Ocean</v>
      </c>
      <c r="AJ43" s="46" t="str" cm="1">
        <f t="array" aca="1" ref="AJ43" ca="1">_xlfn.IFNA(_xlfn.IFS(AND(ISNUMBER(SEARCH("Rainshadow",'Map 5'!AJ43)),ISNUMBER(SEARCH("Flatland",'Map 5'!AJ43))),CONCATENATE($AT43, " Rainshadow"),'Map 5'!AJ43="Flatland",$AT43,'Map 5'!AJ43="Island",CONCATENATE($AT43, " Island"),ISNUMBER(SEARCH("Rainshadow",'Map 5'!AJ43)),CONCATENATE($AT43," ",'Map 5'!AJ43)),'Map 5'!AJ43)</f>
        <v>Ocean</v>
      </c>
      <c r="AK43" s="46" t="str" cm="1">
        <f t="array" aca="1" ref="AK43" ca="1">_xlfn.IFNA(_xlfn.IFS(AND(ISNUMBER(SEARCH("Rainshadow",'Map 5'!AK43)),ISNUMBER(SEARCH("Flatland",'Map 5'!AK43))),CONCATENATE($AT43, " Rainshadow"),'Map 5'!AK43="Flatland",$AT43,'Map 5'!AK43="Island",CONCATENATE($AT43, " Island"),ISNUMBER(SEARCH("Rainshadow",'Map 5'!AK43)),CONCATENATE($AT43," ",'Map 5'!AK43)),'Map 5'!AK43)</f>
        <v>Ocean</v>
      </c>
      <c r="AL43" s="46" t="str" cm="1">
        <f t="array" aca="1" ref="AL43" ca="1">_xlfn.IFNA(_xlfn.IFS(AND(ISNUMBER(SEARCH("Rainshadow",'Map 5'!AL43)),ISNUMBER(SEARCH("Flatland",'Map 5'!AL43))),CONCATENATE($AT43, " Rainshadow"),'Map 5'!AL43="Flatland",$AT43,'Map 5'!AL43="Island",CONCATENATE($AT43, " Island"),ISNUMBER(SEARCH("Rainshadow",'Map 5'!AL43)),CONCATENATE($AT43," ",'Map 5'!AL43)),'Map 5'!AL43)</f>
        <v>Ocean</v>
      </c>
      <c r="AM43" s="46" t="str" cm="1">
        <f t="array" aca="1" ref="AM43" ca="1">_xlfn.IFNA(_xlfn.IFS(AND(ISNUMBER(SEARCH("Rainshadow",'Map 5'!AM43)),ISNUMBER(SEARCH("Flatland",'Map 5'!AM43))),CONCATENATE($AT43, " Rainshadow"),'Map 5'!AM43="Flatland",$AT43,'Map 5'!AM43="Island",CONCATENATE($AT43, " Island"),ISNUMBER(SEARCH("Rainshadow",'Map 5'!AM43)),CONCATENATE($AT43," ",'Map 5'!AM43)),'Map 5'!AM43)</f>
        <v>Ocean</v>
      </c>
      <c r="AN43" s="46" t="str" cm="1">
        <f t="array" aca="1" ref="AN43" ca="1">_xlfn.IFNA(_xlfn.IFS(AND(ISNUMBER(SEARCH("Rainshadow",'Map 5'!AN43)),ISNUMBER(SEARCH("Flatland",'Map 5'!AN43))),CONCATENATE($AT43, " Rainshadow"),'Map 5'!AN43="Flatland",$AT43,'Map 5'!AN43="Island",CONCATENATE($AT43, " Island"),ISNUMBER(SEARCH("Rainshadow",'Map 5'!AN43)),CONCATENATE($AT43," ",'Map 5'!AN43)),'Map 5'!AN43)</f>
        <v>Ocean</v>
      </c>
      <c r="AO43" s="46" t="str" cm="1">
        <f t="array" aca="1" ref="AO43" ca="1">_xlfn.IFNA(_xlfn.IFS(AND(ISNUMBER(SEARCH("Rainshadow",'Map 5'!AO43)),ISNUMBER(SEARCH("Flatland",'Map 5'!AO43))),CONCATENATE($AT43, " Rainshadow"),'Map 5'!AO43="Flatland",$AT43,'Map 5'!AO43="Island",CONCATENATE($AT43, " Island"),ISNUMBER(SEARCH("Rainshadow",'Map 5'!AO43)),CONCATENATE($AT43," ",'Map 5'!AO43)),'Map 5'!AO43)</f>
        <v>Ocean</v>
      </c>
      <c r="AP43" s="46">
        <f>'Map 5'!AP43</f>
        <v>0.55000000000000004</v>
      </c>
      <c r="AQ43" s="46">
        <f>'Map 5'!AQ43</f>
        <v>32.99</v>
      </c>
      <c r="AR43" s="46">
        <f>'Map 5'!AS43</f>
        <v>273.70000000000016</v>
      </c>
      <c r="AS43" s="47">
        <f>'Map 5'!AT43</f>
        <v>-63</v>
      </c>
      <c r="AT43" s="47" t="str">
        <f>'Map 5'!AU43</f>
        <v>Forest</v>
      </c>
      <c r="AU43" s="47" t="str">
        <f>'Map 5'!AV43</f>
        <v>⤴</v>
      </c>
      <c r="AX43" s="47" t="str">
        <f>CONCATENATE($AX$25," ",$AX6)</f>
        <v>Rainforest Rainshadow Coast</v>
      </c>
    </row>
    <row r="44" spans="1:50" ht="18.75" customHeight="1">
      <c r="A44" s="46">
        <v>35</v>
      </c>
      <c r="B44" s="46" t="str" cm="1">
        <f t="array" aca="1" ref="B44" ca="1">_xlfn.IFNA(_xlfn.IFS(AND(ISNUMBER(SEARCH("Rainshadow",'Map 5'!B44)),ISNUMBER(SEARCH("Flatland",'Map 5'!B44))),CONCATENATE($AT44, " Rainshadow"),'Map 5'!B44="Flatland",$AT44,'Map 5'!B44="Island",CONCATENATE($AT44, " Island"),ISNUMBER(SEARCH("Rainshadow",'Map 5'!B44)),CONCATENATE($AT44," ",'Map 5'!B44)),'Map 5'!B44)</f>
        <v>Ocean</v>
      </c>
      <c r="C44" s="46" t="str" cm="1">
        <f t="array" aca="1" ref="C44" ca="1">_xlfn.IFNA(_xlfn.IFS(AND(ISNUMBER(SEARCH("Rainshadow",'Map 5'!C44)),ISNUMBER(SEARCH("Flatland",'Map 5'!C44))),CONCATENATE($AT44, " Rainshadow"),'Map 5'!C44="Flatland",$AT44,'Map 5'!C44="Island",CONCATENATE($AT44, " Island"),ISNUMBER(SEARCH("Rainshadow",'Map 5'!C44)),CONCATENATE($AT44," ",'Map 5'!C44)),'Map 5'!C44)</f>
        <v>Ocean</v>
      </c>
      <c r="D44" s="46" t="str" cm="1">
        <f t="array" aca="1" ref="D44" ca="1">_xlfn.IFNA(_xlfn.IFS(AND(ISNUMBER(SEARCH("Rainshadow",'Map 5'!D44)),ISNUMBER(SEARCH("Flatland",'Map 5'!D44))),CONCATENATE($AT44, " Rainshadow"),'Map 5'!D44="Flatland",$AT44,'Map 5'!D44="Island",CONCATENATE($AT44, " Island"),ISNUMBER(SEARCH("Rainshadow",'Map 5'!D44)),CONCATENATE($AT44," ",'Map 5'!D44)),'Map 5'!D44)</f>
        <v>Ocean</v>
      </c>
      <c r="E44" s="46" t="str" cm="1">
        <f t="array" aca="1" ref="E44" ca="1">_xlfn.IFNA(_xlfn.IFS(AND(ISNUMBER(SEARCH("Rainshadow",'Map 5'!E44)),ISNUMBER(SEARCH("Flatland",'Map 5'!E44))),CONCATENATE($AT44, " Rainshadow"),'Map 5'!E44="Flatland",$AT44,'Map 5'!E44="Island",CONCATENATE($AT44, " Island"),ISNUMBER(SEARCH("Rainshadow",'Map 5'!E44)),CONCATENATE($AT44," ",'Map 5'!E44)),'Map 5'!E44)</f>
        <v>Ocean</v>
      </c>
      <c r="F44" s="46" t="str" cm="1">
        <f t="array" aca="1" ref="F44" ca="1">_xlfn.IFNA(_xlfn.IFS(AND(ISNUMBER(SEARCH("Rainshadow",'Map 5'!F44)),ISNUMBER(SEARCH("Flatland",'Map 5'!F44))),CONCATENATE($AT44, " Rainshadow"),'Map 5'!F44="Flatland",$AT44,'Map 5'!F44="Island",CONCATENATE($AT44, " Island"),ISNUMBER(SEARCH("Rainshadow",'Map 5'!F44)),CONCATENATE($AT44," ",'Map 5'!F44)),'Map 5'!F44)</f>
        <v>Ocean</v>
      </c>
      <c r="G44" s="46" t="str" cm="1">
        <f t="array" aca="1" ref="G44" ca="1">_xlfn.IFNA(_xlfn.IFS(AND(ISNUMBER(SEARCH("Rainshadow",'Map 5'!G44)),ISNUMBER(SEARCH("Flatland",'Map 5'!G44))),CONCATENATE($AT44, " Rainshadow"),'Map 5'!G44="Flatland",$AT44,'Map 5'!G44="Island",CONCATENATE($AT44, " Island"),ISNUMBER(SEARCH("Rainshadow",'Map 5'!G44)),CONCATENATE($AT44," ",'Map 5'!G44)),'Map 5'!G44)</f>
        <v>Ocean</v>
      </c>
      <c r="H44" s="46" t="str" cm="1">
        <f t="array" aca="1" ref="H44" ca="1">_xlfn.IFNA(_xlfn.IFS(AND(ISNUMBER(SEARCH("Rainshadow",'Map 5'!H44)),ISNUMBER(SEARCH("Flatland",'Map 5'!H44))),CONCATENATE($AT44, " Rainshadow"),'Map 5'!H44="Flatland",$AT44,'Map 5'!H44="Island",CONCATENATE($AT44, " Island"),ISNUMBER(SEARCH("Rainshadow",'Map 5'!H44)),CONCATENATE($AT44," ",'Map 5'!H44)),'Map 5'!H44)</f>
        <v>Ocean</v>
      </c>
      <c r="I44" s="46" t="str" cm="1">
        <f t="array" aca="1" ref="I44" ca="1">_xlfn.IFNA(_xlfn.IFS(AND(ISNUMBER(SEARCH("Rainshadow",'Map 5'!I44)),ISNUMBER(SEARCH("Flatland",'Map 5'!I44))),CONCATENATE($AT44, " Rainshadow"),'Map 5'!I44="Flatland",$AT44,'Map 5'!I44="Island",CONCATENATE($AT44, " Island"),ISNUMBER(SEARCH("Rainshadow",'Map 5'!I44)),CONCATENATE($AT44," ",'Map 5'!I44)),'Map 5'!I44)</f>
        <v>Ocean</v>
      </c>
      <c r="J44" s="46" t="str" cm="1">
        <f t="array" aca="1" ref="J44" ca="1">_xlfn.IFNA(_xlfn.IFS(AND(ISNUMBER(SEARCH("Rainshadow",'Map 5'!J44)),ISNUMBER(SEARCH("Flatland",'Map 5'!J44))),CONCATENATE($AT44, " Rainshadow"),'Map 5'!J44="Flatland",$AT44,'Map 5'!J44="Island",CONCATENATE($AT44, " Island"),ISNUMBER(SEARCH("Rainshadow",'Map 5'!J44)),CONCATENATE($AT44," ",'Map 5'!J44)),'Map 5'!J44)</f>
        <v>Coast</v>
      </c>
      <c r="K44" s="46" t="str" cm="1">
        <f t="array" aca="1" ref="K44" ca="1">_xlfn.IFNA(_xlfn.IFS(AND(ISNUMBER(SEARCH("Rainshadow",'Map 5'!K44)),ISNUMBER(SEARCH("Flatland",'Map 5'!K44))),CONCATENATE($AT44, " Rainshadow"),'Map 5'!K44="Flatland",$AT44,'Map 5'!K44="Island",CONCATENATE($AT44, " Island"),ISNUMBER(SEARCH("Rainshadow",'Map 5'!K44)),CONCATENATE($AT44," ",'Map 5'!K44)),'Map 5'!K44)</f>
        <v>Coast</v>
      </c>
      <c r="L44" s="46" t="str" cm="1">
        <f t="array" aca="1" ref="L44" ca="1">_xlfn.IFNA(_xlfn.IFS(AND(ISNUMBER(SEARCH("Rainshadow",'Map 5'!L44)),ISNUMBER(SEARCH("Flatland",'Map 5'!L44))),CONCATENATE($AT44, " Rainshadow"),'Map 5'!L44="Flatland",$AT44,'Map 5'!L44="Island",CONCATENATE($AT44, " Island"),ISNUMBER(SEARCH("Rainshadow",'Map 5'!L44)),CONCATENATE($AT44," ",'Map 5'!L44)),'Map 5'!L44)</f>
        <v>Forest</v>
      </c>
      <c r="M44" s="46" t="str" cm="1">
        <f t="array" aca="1" ref="M44" ca="1">_xlfn.IFNA(_xlfn.IFS(AND(ISNUMBER(SEARCH("Rainshadow",'Map 5'!M44)),ISNUMBER(SEARCH("Flatland",'Map 5'!M44))),CONCATENATE($AT44, " Rainshadow"),'Map 5'!M44="Flatland",$AT44,'Map 5'!M44="Island",CONCATENATE($AT44, " Island"),ISNUMBER(SEARCH("Rainshadow",'Map 5'!M44)),CONCATENATE($AT44," ",'Map 5'!M44)),'Map 5'!M44)</f>
        <v>Forest</v>
      </c>
      <c r="N44" s="46" t="str" cm="1">
        <f t="array" aca="1" ref="N44" ca="1">_xlfn.IFNA(_xlfn.IFS(AND(ISNUMBER(SEARCH("Rainshadow",'Map 5'!N44)),ISNUMBER(SEARCH("Flatland",'Map 5'!N44))),CONCATENATE($AT44, " Rainshadow"),'Map 5'!N44="Flatland",$AT44,'Map 5'!N44="Island",CONCATENATE($AT44, " Island"),ISNUMBER(SEARCH("Rainshadow",'Map 5'!N44)),CONCATENATE($AT44," ",'Map 5'!N44)),'Map 5'!N44)</f>
        <v>Forest</v>
      </c>
      <c r="O44" s="46" t="str" cm="1">
        <f t="array" aca="1" ref="O44" ca="1">_xlfn.IFNA(_xlfn.IFS(AND(ISNUMBER(SEARCH("Rainshadow",'Map 5'!O44)),ISNUMBER(SEARCH("Flatland",'Map 5'!O44))),CONCATENATE($AT44, " Rainshadow"),'Map 5'!O44="Flatland",$AT44,'Map 5'!O44="Island",CONCATENATE($AT44, " Island"),ISNUMBER(SEARCH("Rainshadow",'Map 5'!O44)),CONCATENATE($AT44," ",'Map 5'!O44)),'Map 5'!O44)</f>
        <v>Forest</v>
      </c>
      <c r="P44" s="46" t="str" cm="1">
        <f t="array" aca="1" ref="P44" ca="1">_xlfn.IFNA(_xlfn.IFS(AND(ISNUMBER(SEARCH("Rainshadow",'Map 5'!P44)),ISNUMBER(SEARCH("Flatland",'Map 5'!P44))),CONCATENATE($AT44, " Rainshadow"),'Map 5'!P44="Flatland",$AT44,'Map 5'!P44="Island",CONCATENATE($AT44, " Island"),ISNUMBER(SEARCH("Rainshadow",'Map 5'!P44)),CONCATENATE($AT44," ",'Map 5'!P44)),'Map 5'!P44)</f>
        <v>Forest</v>
      </c>
      <c r="Q44" s="46" t="str" cm="1">
        <f t="array" aca="1" ref="Q44" ca="1">_xlfn.IFNA(_xlfn.IFS(AND(ISNUMBER(SEARCH("Rainshadow",'Map 5'!Q44)),ISNUMBER(SEARCH("Flatland",'Map 5'!Q44))),CONCATENATE($AT44, " Rainshadow"),'Map 5'!Q44="Flatland",$AT44,'Map 5'!Q44="Island",CONCATENATE($AT44, " Island"),ISNUMBER(SEARCH("Rainshadow",'Map 5'!Q44)),CONCATENATE($AT44," ",'Map 5'!Q44)),'Map 5'!Q44)</f>
        <v>Coast</v>
      </c>
      <c r="R44" s="46" t="str" cm="1">
        <f t="array" aca="1" ref="R44" ca="1">_xlfn.IFNA(_xlfn.IFS(AND(ISNUMBER(SEARCH("Rainshadow",'Map 5'!R44)),ISNUMBER(SEARCH("Flatland",'Map 5'!R44))),CONCATENATE($AT44, " Rainshadow"),'Map 5'!R44="Flatland",$AT44,'Map 5'!R44="Island",CONCATENATE($AT44, " Island"),ISNUMBER(SEARCH("Rainshadow",'Map 5'!R44)),CONCATENATE($AT44," ",'Map 5'!R44)),'Map 5'!R44)</f>
        <v>Cliff</v>
      </c>
      <c r="S44" s="46" t="str" cm="1">
        <f t="array" aca="1" ref="S44" ca="1">_xlfn.IFNA(_xlfn.IFS(AND(ISNUMBER(SEARCH("Rainshadow",'Map 5'!S44)),ISNUMBER(SEARCH("Flatland",'Map 5'!S44))),CONCATENATE($AT44, " Rainshadow"),'Map 5'!S44="Flatland",$AT44,'Map 5'!S44="Island",CONCATENATE($AT44, " Island"),ISNUMBER(SEARCH("Rainshadow",'Map 5'!S44)),CONCATENATE($AT44," ",'Map 5'!S44)),'Map 5'!S44)</f>
        <v>Trench</v>
      </c>
      <c r="T44" s="46" t="str" cm="1">
        <f t="array" aca="1" ref="T44" ca="1">_xlfn.IFNA(_xlfn.IFS(AND(ISNUMBER(SEARCH("Rainshadow",'Map 5'!T44)),ISNUMBER(SEARCH("Flatland",'Map 5'!T44))),CONCATENATE($AT44, " Rainshadow"),'Map 5'!T44="Flatland",$AT44,'Map 5'!T44="Island",CONCATENATE($AT44, " Island"),ISNUMBER(SEARCH("Rainshadow",'Map 5'!T44)),CONCATENATE($AT44," ",'Map 5'!T44)),'Map 5'!T44)</f>
        <v>Ocean</v>
      </c>
      <c r="U44" s="46" t="str" cm="1">
        <f t="array" aca="1" ref="U44" ca="1">_xlfn.IFNA(_xlfn.IFS(AND(ISNUMBER(SEARCH("Rainshadow",'Map 5'!U44)),ISNUMBER(SEARCH("Flatland",'Map 5'!U44))),CONCATENATE($AT44, " Rainshadow"),'Map 5'!U44="Flatland",$AT44,'Map 5'!U44="Island",CONCATENATE($AT44, " Island"),ISNUMBER(SEARCH("Rainshadow",'Map 5'!U44)),CONCATENATE($AT44," ",'Map 5'!U44)),'Map 5'!U44)</f>
        <v>Ocean</v>
      </c>
      <c r="V44" s="46" t="str" cm="1">
        <f t="array" aca="1" ref="V44" ca="1">_xlfn.IFNA(_xlfn.IFS(AND(ISNUMBER(SEARCH("Rainshadow",'Map 5'!V44)),ISNUMBER(SEARCH("Flatland",'Map 5'!V44))),CONCATENATE($AT44, " Rainshadow"),'Map 5'!V44="Flatland",$AT44,'Map 5'!V44="Island",CONCATENATE($AT44, " Island"),ISNUMBER(SEARCH("Rainshadow",'Map 5'!V44)),CONCATENATE($AT44," ",'Map 5'!V44)),'Map 5'!V44)</f>
        <v>Ocean</v>
      </c>
      <c r="W44" s="46" t="str" cm="1">
        <f t="array" aca="1" ref="W44" ca="1">_xlfn.IFNA(_xlfn.IFS(AND(ISNUMBER(SEARCH("Rainshadow",'Map 5'!W44)),ISNUMBER(SEARCH("Flatland",'Map 5'!W44))),CONCATENATE($AT44, " Rainshadow"),'Map 5'!W44="Flatland",$AT44,'Map 5'!W44="Island",CONCATENATE($AT44, " Island"),ISNUMBER(SEARCH("Rainshadow",'Map 5'!W44)),CONCATENATE($AT44," ",'Map 5'!W44)),'Map 5'!W44)</f>
        <v>Ocean</v>
      </c>
      <c r="X44" s="46" t="str" cm="1">
        <f t="array" aca="1" ref="X44" ca="1">_xlfn.IFNA(_xlfn.IFS(AND(ISNUMBER(SEARCH("Rainshadow",'Map 5'!X44)),ISNUMBER(SEARCH("Flatland",'Map 5'!X44))),CONCATENATE($AT44, " Rainshadow"),'Map 5'!X44="Flatland",$AT44,'Map 5'!X44="Island",CONCATENATE($AT44, " Island"),ISNUMBER(SEARCH("Rainshadow",'Map 5'!X44)),CONCATENATE($AT44," ",'Map 5'!X44)),'Map 5'!X44)</f>
        <v>Ocean</v>
      </c>
      <c r="Y44" s="46" t="str" cm="1">
        <f t="array" aca="1" ref="Y44" ca="1">_xlfn.IFNA(_xlfn.IFS(AND(ISNUMBER(SEARCH("Rainshadow",'Map 5'!Y44)),ISNUMBER(SEARCH("Flatland",'Map 5'!Y44))),CONCATENATE($AT44, " Rainshadow"),'Map 5'!Y44="Flatland",$AT44,'Map 5'!Y44="Island",CONCATENATE($AT44, " Island"),ISNUMBER(SEARCH("Rainshadow",'Map 5'!Y44)),CONCATENATE($AT44," ",'Map 5'!Y44)),'Map 5'!Y44)</f>
        <v>Ocean</v>
      </c>
      <c r="Z44" s="46" t="str" cm="1">
        <f t="array" aca="1" ref="Z44" ca="1">_xlfn.IFNA(_xlfn.IFS(AND(ISNUMBER(SEARCH("Rainshadow",'Map 5'!Z44)),ISNUMBER(SEARCH("Flatland",'Map 5'!Z44))),CONCATENATE($AT44, " Rainshadow"),'Map 5'!Z44="Flatland",$AT44,'Map 5'!Z44="Island",CONCATENATE($AT44, " Island"),ISNUMBER(SEARCH("Rainshadow",'Map 5'!Z44)),CONCATENATE($AT44," ",'Map 5'!Z44)),'Map 5'!Z44)</f>
        <v>Ocean</v>
      </c>
      <c r="AA44" s="46" t="str" cm="1">
        <f t="array" aca="1" ref="AA44" ca="1">_xlfn.IFNA(_xlfn.IFS(AND(ISNUMBER(SEARCH("Rainshadow",'Map 5'!AA44)),ISNUMBER(SEARCH("Flatland",'Map 5'!AA44))),CONCATENATE($AT44, " Rainshadow"),'Map 5'!AA44="Flatland",$AT44,'Map 5'!AA44="Island",CONCATENATE($AT44, " Island"),ISNUMBER(SEARCH("Rainshadow",'Map 5'!AA44)),CONCATENATE($AT44," ",'Map 5'!AA44)),'Map 5'!AA44)</f>
        <v>Ocean</v>
      </c>
      <c r="AB44" s="46" t="str" cm="1">
        <f t="array" aca="1" ref="AB44" ca="1">_xlfn.IFNA(_xlfn.IFS(AND(ISNUMBER(SEARCH("Rainshadow",'Map 5'!AB44)),ISNUMBER(SEARCH("Flatland",'Map 5'!AB44))),CONCATENATE($AT44, " Rainshadow"),'Map 5'!AB44="Flatland",$AT44,'Map 5'!AB44="Island",CONCATENATE($AT44, " Island"),ISNUMBER(SEARCH("Rainshadow",'Map 5'!AB44)),CONCATENATE($AT44," ",'Map 5'!AB44)),'Map 5'!AB44)</f>
        <v>Ocean</v>
      </c>
      <c r="AC44" s="46" t="str" cm="1">
        <f t="array" aca="1" ref="AC44" ca="1">_xlfn.IFNA(_xlfn.IFS(AND(ISNUMBER(SEARCH("Rainshadow",'Map 5'!AC44)),ISNUMBER(SEARCH("Flatland",'Map 5'!AC44))),CONCATENATE($AT44, " Rainshadow"),'Map 5'!AC44="Flatland",$AT44,'Map 5'!AC44="Island",CONCATENATE($AT44, " Island"),ISNUMBER(SEARCH("Rainshadow",'Map 5'!AC44)),CONCATENATE($AT44," ",'Map 5'!AC44)),'Map 5'!AC44)</f>
        <v>Ocean</v>
      </c>
      <c r="AD44" s="46" t="str" cm="1">
        <f t="array" aca="1" ref="AD44" ca="1">_xlfn.IFNA(_xlfn.IFS(AND(ISNUMBER(SEARCH("Rainshadow",'Map 5'!AD44)),ISNUMBER(SEARCH("Flatland",'Map 5'!AD44))),CONCATENATE($AT44, " Rainshadow"),'Map 5'!AD44="Flatland",$AT44,'Map 5'!AD44="Island",CONCATENATE($AT44, " Island"),ISNUMBER(SEARCH("Rainshadow",'Map 5'!AD44)),CONCATENATE($AT44," ",'Map 5'!AD44)),'Map 5'!AD44)</f>
        <v>Ocean</v>
      </c>
      <c r="AE44" s="46" t="str" cm="1">
        <f t="array" aca="1" ref="AE44" ca="1">_xlfn.IFNA(_xlfn.IFS(AND(ISNUMBER(SEARCH("Rainshadow",'Map 5'!AE44)),ISNUMBER(SEARCH("Flatland",'Map 5'!AE44))),CONCATENATE($AT44, " Rainshadow"),'Map 5'!AE44="Flatland",$AT44,'Map 5'!AE44="Island",CONCATENATE($AT44, " Island"),ISNUMBER(SEARCH("Rainshadow",'Map 5'!AE44)),CONCATENATE($AT44," ",'Map 5'!AE44)),'Map 5'!AE44)</f>
        <v>Forest Island</v>
      </c>
      <c r="AF44" s="46" t="str" cm="1">
        <f t="array" aca="1" ref="AF44" ca="1">_xlfn.IFNA(_xlfn.IFS(AND(ISNUMBER(SEARCH("Rainshadow",'Map 5'!AF44)),ISNUMBER(SEARCH("Flatland",'Map 5'!AF44))),CONCATENATE($AT44, " Rainshadow"),'Map 5'!AF44="Flatland",$AT44,'Map 5'!AF44="Island",CONCATENATE($AT44, " Island"),ISNUMBER(SEARCH("Rainshadow",'Map 5'!AF44)),CONCATENATE($AT44," ",'Map 5'!AF44)),'Map 5'!AF44)</f>
        <v>Forest Island</v>
      </c>
      <c r="AG44" s="46" t="str" cm="1">
        <f t="array" aca="1" ref="AG44" ca="1">_xlfn.IFNA(_xlfn.IFS(AND(ISNUMBER(SEARCH("Rainshadow",'Map 5'!AG44)),ISNUMBER(SEARCH("Flatland",'Map 5'!AG44))),CONCATENATE($AT44, " Rainshadow"),'Map 5'!AG44="Flatland",$AT44,'Map 5'!AG44="Island",CONCATENATE($AT44, " Island"),ISNUMBER(SEARCH("Rainshadow",'Map 5'!AG44)),CONCATENATE($AT44," ",'Map 5'!AG44)),'Map 5'!AG44)</f>
        <v>Trench</v>
      </c>
      <c r="AH44" s="46" t="str" cm="1">
        <f t="array" aca="1" ref="AH44" ca="1">_xlfn.IFNA(_xlfn.IFS(AND(ISNUMBER(SEARCH("Rainshadow",'Map 5'!AH44)),ISNUMBER(SEARCH("Flatland",'Map 5'!AH44))),CONCATENATE($AT44, " Rainshadow"),'Map 5'!AH44="Flatland",$AT44,'Map 5'!AH44="Island",CONCATENATE($AT44, " Island"),ISNUMBER(SEARCH("Rainshadow",'Map 5'!AH44)),CONCATENATE($AT44," ",'Map 5'!AH44)),'Map 5'!AH44)</f>
        <v>Ocean</v>
      </c>
      <c r="AI44" s="46" t="str" cm="1">
        <f t="array" aca="1" ref="AI44" ca="1">_xlfn.IFNA(_xlfn.IFS(AND(ISNUMBER(SEARCH("Rainshadow",'Map 5'!AI44)),ISNUMBER(SEARCH("Flatland",'Map 5'!AI44))),CONCATENATE($AT44, " Rainshadow"),'Map 5'!AI44="Flatland",$AT44,'Map 5'!AI44="Island",CONCATENATE($AT44, " Island"),ISNUMBER(SEARCH("Rainshadow",'Map 5'!AI44)),CONCATENATE($AT44," ",'Map 5'!AI44)),'Map 5'!AI44)</f>
        <v>Ocean</v>
      </c>
      <c r="AJ44" s="46" t="str" cm="1">
        <f t="array" aca="1" ref="AJ44" ca="1">_xlfn.IFNA(_xlfn.IFS(AND(ISNUMBER(SEARCH("Rainshadow",'Map 5'!AJ44)),ISNUMBER(SEARCH("Flatland",'Map 5'!AJ44))),CONCATENATE($AT44, " Rainshadow"),'Map 5'!AJ44="Flatland",$AT44,'Map 5'!AJ44="Island",CONCATENATE($AT44, " Island"),ISNUMBER(SEARCH("Rainshadow",'Map 5'!AJ44)),CONCATENATE($AT44," ",'Map 5'!AJ44)),'Map 5'!AJ44)</f>
        <v>Ocean</v>
      </c>
      <c r="AK44" s="46" t="str" cm="1">
        <f t="array" aca="1" ref="AK44" ca="1">_xlfn.IFNA(_xlfn.IFS(AND(ISNUMBER(SEARCH("Rainshadow",'Map 5'!AK44)),ISNUMBER(SEARCH("Flatland",'Map 5'!AK44))),CONCATENATE($AT44, " Rainshadow"),'Map 5'!AK44="Flatland",$AT44,'Map 5'!AK44="Island",CONCATENATE($AT44, " Island"),ISNUMBER(SEARCH("Rainshadow",'Map 5'!AK44)),CONCATENATE($AT44," ",'Map 5'!AK44)),'Map 5'!AK44)</f>
        <v>Ocean</v>
      </c>
      <c r="AL44" s="46" t="str" cm="1">
        <f t="array" aca="1" ref="AL44" ca="1">_xlfn.IFNA(_xlfn.IFS(AND(ISNUMBER(SEARCH("Rainshadow",'Map 5'!AL44)),ISNUMBER(SEARCH("Flatland",'Map 5'!AL44))),CONCATENATE($AT44, " Rainshadow"),'Map 5'!AL44="Flatland",$AT44,'Map 5'!AL44="Island",CONCATENATE($AT44, " Island"),ISNUMBER(SEARCH("Rainshadow",'Map 5'!AL44)),CONCATENATE($AT44," ",'Map 5'!AL44)),'Map 5'!AL44)</f>
        <v>Ocean</v>
      </c>
      <c r="AM44" s="46" t="str" cm="1">
        <f t="array" aca="1" ref="AM44" ca="1">_xlfn.IFNA(_xlfn.IFS(AND(ISNUMBER(SEARCH("Rainshadow",'Map 5'!AM44)),ISNUMBER(SEARCH("Flatland",'Map 5'!AM44))),CONCATENATE($AT44, " Rainshadow"),'Map 5'!AM44="Flatland",$AT44,'Map 5'!AM44="Island",CONCATENATE($AT44, " Island"),ISNUMBER(SEARCH("Rainshadow",'Map 5'!AM44)),CONCATENATE($AT44," ",'Map 5'!AM44)),'Map 5'!AM44)</f>
        <v>Trench</v>
      </c>
      <c r="AN44" s="46" t="str" cm="1">
        <f t="array" aca="1" ref="AN44" ca="1">_xlfn.IFNA(_xlfn.IFS(AND(ISNUMBER(SEARCH("Rainshadow",'Map 5'!AN44)),ISNUMBER(SEARCH("Flatland",'Map 5'!AN44))),CONCATENATE($AT44, " Rainshadow"),'Map 5'!AN44="Flatland",$AT44,'Map 5'!AN44="Island",CONCATENATE($AT44, " Island"),ISNUMBER(SEARCH("Rainshadow",'Map 5'!AN44)),CONCATENATE($AT44," ",'Map 5'!AN44)),'Map 5'!AN44)</f>
        <v>Ocean</v>
      </c>
      <c r="AO44" s="46" t="str" cm="1">
        <f t="array" aca="1" ref="AO44" ca="1">_xlfn.IFNA(_xlfn.IFS(AND(ISNUMBER(SEARCH("Rainshadow",'Map 5'!AO44)),ISNUMBER(SEARCH("Flatland",'Map 5'!AO44))),CONCATENATE($AT44, " Rainshadow"),'Map 5'!AO44="Flatland",$AT44,'Map 5'!AO44="Island",CONCATENATE($AT44, " Island"),ISNUMBER(SEARCH("Rainshadow",'Map 5'!AO44)),CONCATENATE($AT44," ",'Map 5'!AO44)),'Map 5'!AO44)</f>
        <v>Ocean</v>
      </c>
      <c r="AP44" s="46">
        <f>'Map 5'!AP44</f>
        <v>-6.4</v>
      </c>
      <c r="AQ44" s="46">
        <f>'Map 5'!AQ44</f>
        <v>20.48</v>
      </c>
      <c r="AR44" s="46">
        <f>'Map 5'!AS44</f>
        <v>266.75000000000017</v>
      </c>
      <c r="AS44" s="47">
        <f>'Map 5'!AT44</f>
        <v>-67.5</v>
      </c>
      <c r="AT44" s="47" t="str">
        <f>'Map 5'!AU44</f>
        <v>Forest</v>
      </c>
      <c r="AU44" s="47" t="str">
        <f>'Map 5'!AV44</f>
        <v>⤴</v>
      </c>
      <c r="AX44" s="47" t="str">
        <f>CONCATENATE($AX$20," ",$AX7)</f>
        <v>Tundra Rainshadow Valley</v>
      </c>
    </row>
    <row r="45" spans="1:50" ht="18.75" customHeight="1">
      <c r="A45" s="46">
        <v>36</v>
      </c>
      <c r="B45" s="46" t="str" cm="1">
        <f t="array" aca="1" ref="B45" ca="1">_xlfn.IFNA(_xlfn.IFS(AND(ISNUMBER(SEARCH("Rainshadow",'Map 5'!B45)),ISNUMBER(SEARCH("Flatland",'Map 5'!B45))),CONCATENATE($AT45, " Rainshadow"),'Map 5'!B45="Flatland",$AT45,'Map 5'!B45="Island",CONCATENATE($AT45, " Island"),ISNUMBER(SEARCH("Rainshadow",'Map 5'!B45)),CONCATENATE($AT45," ",'Map 5'!B45)),'Map 5'!B45)</f>
        <v>Ocean</v>
      </c>
      <c r="C45" s="46" t="str" cm="1">
        <f t="array" aca="1" ref="C45" ca="1">_xlfn.IFNA(_xlfn.IFS(AND(ISNUMBER(SEARCH("Rainshadow",'Map 5'!C45)),ISNUMBER(SEARCH("Flatland",'Map 5'!C45))),CONCATENATE($AT45, " Rainshadow"),'Map 5'!C45="Flatland",$AT45,'Map 5'!C45="Island",CONCATENATE($AT45, " Island"),ISNUMBER(SEARCH("Rainshadow",'Map 5'!C45)),CONCATENATE($AT45," ",'Map 5'!C45)),'Map 5'!C45)</f>
        <v>Ocean</v>
      </c>
      <c r="D45" s="46" t="str" cm="1">
        <f t="array" aca="1" ref="D45" ca="1">_xlfn.IFNA(_xlfn.IFS(AND(ISNUMBER(SEARCH("Rainshadow",'Map 5'!D45)),ISNUMBER(SEARCH("Flatland",'Map 5'!D45))),CONCATENATE($AT45, " Rainshadow"),'Map 5'!D45="Flatland",$AT45,'Map 5'!D45="Island",CONCATENATE($AT45, " Island"),ISNUMBER(SEARCH("Rainshadow",'Map 5'!D45)),CONCATENATE($AT45," ",'Map 5'!D45)),'Map 5'!D45)</f>
        <v>Ocean</v>
      </c>
      <c r="E45" s="46" t="str" cm="1">
        <f t="array" aca="1" ref="E45" ca="1">_xlfn.IFNA(_xlfn.IFS(AND(ISNUMBER(SEARCH("Rainshadow",'Map 5'!E45)),ISNUMBER(SEARCH("Flatland",'Map 5'!E45))),CONCATENATE($AT45, " Rainshadow"),'Map 5'!E45="Flatland",$AT45,'Map 5'!E45="Island",CONCATENATE($AT45, " Island"),ISNUMBER(SEARCH("Rainshadow",'Map 5'!E45)),CONCATENATE($AT45," ",'Map 5'!E45)),'Map 5'!E45)</f>
        <v>Coast</v>
      </c>
      <c r="F45" s="46" t="str" cm="1">
        <f t="array" aca="1" ref="F45" ca="1">_xlfn.IFNA(_xlfn.IFS(AND(ISNUMBER(SEARCH("Rainshadow",'Map 5'!F45)),ISNUMBER(SEARCH("Flatland",'Map 5'!F45))),CONCATENATE($AT45, " Rainshadow"),'Map 5'!F45="Flatland",$AT45,'Map 5'!F45="Island",CONCATENATE($AT45, " Island"),ISNUMBER(SEARCH("Rainshadow",'Map 5'!F45)),CONCATENATE($AT45," ",'Map 5'!F45)),'Map 5'!F45)</f>
        <v>Coast</v>
      </c>
      <c r="G45" s="46" t="str" cm="1">
        <f t="array" aca="1" ref="G45" ca="1">_xlfn.IFNA(_xlfn.IFS(AND(ISNUMBER(SEARCH("Rainshadow",'Map 5'!G45)),ISNUMBER(SEARCH("Flatland",'Map 5'!G45))),CONCATENATE($AT45, " Rainshadow"),'Map 5'!G45="Flatland",$AT45,'Map 5'!G45="Island",CONCATENATE($AT45, " Island"),ISNUMBER(SEARCH("Rainshadow",'Map 5'!G45)),CONCATENATE($AT45," ",'Map 5'!G45)),'Map 5'!G45)</f>
        <v>Coast</v>
      </c>
      <c r="H45" s="46" t="str" cm="1">
        <f t="array" aca="1" ref="H45" ca="1">_xlfn.IFNA(_xlfn.IFS(AND(ISNUMBER(SEARCH("Rainshadow",'Map 5'!H45)),ISNUMBER(SEARCH("Flatland",'Map 5'!H45))),CONCATENATE($AT45, " Rainshadow"),'Map 5'!H45="Flatland",$AT45,'Map 5'!H45="Island",CONCATENATE($AT45, " Island"),ISNUMBER(SEARCH("Rainshadow",'Map 5'!H45)),CONCATENATE($AT45," ",'Map 5'!H45)),'Map 5'!H45)</f>
        <v>Coast</v>
      </c>
      <c r="I45" s="46" t="str" cm="1">
        <f t="array" aca="1" ref="I45" ca="1">_xlfn.IFNA(_xlfn.IFS(AND(ISNUMBER(SEARCH("Rainshadow",'Map 5'!I45)),ISNUMBER(SEARCH("Flatland",'Map 5'!I45))),CONCATENATE($AT45, " Rainshadow"),'Map 5'!I45="Flatland",$AT45,'Map 5'!I45="Island",CONCATENATE($AT45, " Island"),ISNUMBER(SEARCH("Rainshadow",'Map 5'!I45)),CONCATENATE($AT45," ",'Map 5'!I45)),'Map 5'!I45)</f>
        <v>Ocean</v>
      </c>
      <c r="J45" s="46" t="str" cm="1">
        <f t="array" aca="1" ref="J45" ca="1">_xlfn.IFNA(_xlfn.IFS(AND(ISNUMBER(SEARCH("Rainshadow",'Map 5'!J45)),ISNUMBER(SEARCH("Flatland",'Map 5'!J45))),CONCATENATE($AT45, " Rainshadow"),'Map 5'!J45="Flatland",$AT45,'Map 5'!J45="Island",CONCATENATE($AT45, " Island"),ISNUMBER(SEARCH("Rainshadow",'Map 5'!J45)),CONCATENATE($AT45," ",'Map 5'!J45)),'Map 5'!J45)</f>
        <v>Coast</v>
      </c>
      <c r="K45" s="46" t="str" cm="1">
        <f t="array" aca="1" ref="K45" ca="1">_xlfn.IFNA(_xlfn.IFS(AND(ISNUMBER(SEARCH("Rainshadow",'Map 5'!K45)),ISNUMBER(SEARCH("Flatland",'Map 5'!K45))),CONCATENATE($AT45, " Rainshadow"),'Map 5'!K45="Flatland",$AT45,'Map 5'!K45="Island",CONCATENATE($AT45, " Island"),ISNUMBER(SEARCH("Rainshadow",'Map 5'!K45)),CONCATENATE($AT45," ",'Map 5'!K45)),'Map 5'!K45)</f>
        <v>Forest</v>
      </c>
      <c r="L45" s="46" t="str" cm="1">
        <f t="array" aca="1" ref="L45" ca="1">_xlfn.IFNA(_xlfn.IFS(AND(ISNUMBER(SEARCH("Rainshadow",'Map 5'!L45)),ISNUMBER(SEARCH("Flatland",'Map 5'!L45))),CONCATENATE($AT45, " Rainshadow"),'Map 5'!L45="Flatland",$AT45,'Map 5'!L45="Island",CONCATENATE($AT45, " Island"),ISNUMBER(SEARCH("Rainshadow",'Map 5'!L45)),CONCATENATE($AT45," ",'Map 5'!L45)),'Map 5'!L45)</f>
        <v>Coast</v>
      </c>
      <c r="M45" s="46" t="str" cm="1">
        <f t="array" aca="1" ref="M45" ca="1">_xlfn.IFNA(_xlfn.IFS(AND(ISNUMBER(SEARCH("Rainshadow",'Map 5'!M45)),ISNUMBER(SEARCH("Flatland",'Map 5'!M45))),CONCATENATE($AT45, " Rainshadow"),'Map 5'!M45="Flatland",$AT45,'Map 5'!M45="Island",CONCATENATE($AT45, " Island"),ISNUMBER(SEARCH("Rainshadow",'Map 5'!M45)),CONCATENATE($AT45," ",'Map 5'!M45)),'Map 5'!M45)</f>
        <v>Coast</v>
      </c>
      <c r="N45" s="46" t="str" cm="1">
        <f t="array" aca="1" ref="N45" ca="1">_xlfn.IFNA(_xlfn.IFS(AND(ISNUMBER(SEARCH("Rainshadow",'Map 5'!N45)),ISNUMBER(SEARCH("Flatland",'Map 5'!N45))),CONCATENATE($AT45, " Rainshadow"),'Map 5'!N45="Flatland",$AT45,'Map 5'!N45="Island",CONCATENATE($AT45, " Island"),ISNUMBER(SEARCH("Rainshadow",'Map 5'!N45)),CONCATENATE($AT45," ",'Map 5'!N45)),'Map 5'!N45)</f>
        <v>Forest</v>
      </c>
      <c r="O45" s="46" t="str" cm="1">
        <f t="array" aca="1" ref="O45" ca="1">_xlfn.IFNA(_xlfn.IFS(AND(ISNUMBER(SEARCH("Rainshadow",'Map 5'!O45)),ISNUMBER(SEARCH("Flatland",'Map 5'!O45))),CONCATENATE($AT45, " Rainshadow"),'Map 5'!O45="Flatland",$AT45,'Map 5'!O45="Island",CONCATENATE($AT45, " Island"),ISNUMBER(SEARCH("Rainshadow",'Map 5'!O45)),CONCATENATE($AT45," ",'Map 5'!O45)),'Map 5'!O45)</f>
        <v>Forest</v>
      </c>
      <c r="P45" s="46" t="str" cm="1">
        <f t="array" aca="1" ref="P45" ca="1">_xlfn.IFNA(_xlfn.IFS(AND(ISNUMBER(SEARCH("Rainshadow",'Map 5'!P45)),ISNUMBER(SEARCH("Flatland",'Map 5'!P45))),CONCATENATE($AT45, " Rainshadow"),'Map 5'!P45="Flatland",$AT45,'Map 5'!P45="Island",CONCATENATE($AT45, " Island"),ISNUMBER(SEARCH("Rainshadow",'Map 5'!P45)),CONCATENATE($AT45," ",'Map 5'!P45)),'Map 5'!P45)</f>
        <v>Forest</v>
      </c>
      <c r="Q45" s="46" t="str" cm="1">
        <f t="array" aca="1" ref="Q45" ca="1">_xlfn.IFNA(_xlfn.IFS(AND(ISNUMBER(SEARCH("Rainshadow",'Map 5'!Q45)),ISNUMBER(SEARCH("Flatland",'Map 5'!Q45))),CONCATENATE($AT45, " Rainshadow"),'Map 5'!Q45="Flatland",$AT45,'Map 5'!Q45="Island",CONCATENATE($AT45, " Island"),ISNUMBER(SEARCH("Rainshadow",'Map 5'!Q45)),CONCATENATE($AT45," ",'Map 5'!Q45)),'Map 5'!Q45)</f>
        <v>Forest</v>
      </c>
      <c r="R45" s="46" t="str" cm="1">
        <f t="array" aca="1" ref="R45" ca="1">_xlfn.IFNA(_xlfn.IFS(AND(ISNUMBER(SEARCH("Rainshadow",'Map 5'!R45)),ISNUMBER(SEARCH("Flatland",'Map 5'!R45))),CONCATENATE($AT45, " Rainshadow"),'Map 5'!R45="Flatland",$AT45,'Map 5'!R45="Island",CONCATENATE($AT45, " Island"),ISNUMBER(SEARCH("Rainshadow",'Map 5'!R45)),CONCATENATE($AT45," ",'Map 5'!R45)),'Map 5'!R45)</f>
        <v>Coast</v>
      </c>
      <c r="S45" s="46" t="str" cm="1">
        <f t="array" aca="1" ref="S45" ca="1">_xlfn.IFNA(_xlfn.IFS(AND(ISNUMBER(SEARCH("Rainshadow",'Map 5'!S45)),ISNUMBER(SEARCH("Flatland",'Map 5'!S45))),CONCATENATE($AT45, " Rainshadow"),'Map 5'!S45="Flatland",$AT45,'Map 5'!S45="Island",CONCATENATE($AT45, " Island"),ISNUMBER(SEARCH("Rainshadow",'Map 5'!S45)),CONCATENATE($AT45," ",'Map 5'!S45)),'Map 5'!S45)</f>
        <v>Coast</v>
      </c>
      <c r="T45" s="46" t="str" cm="1">
        <f t="array" aca="1" ref="T45" ca="1">_xlfn.IFNA(_xlfn.IFS(AND(ISNUMBER(SEARCH("Rainshadow",'Map 5'!T45)),ISNUMBER(SEARCH("Flatland",'Map 5'!T45))),CONCATENATE($AT45, " Rainshadow"),'Map 5'!T45="Flatland",$AT45,'Map 5'!T45="Island",CONCATENATE($AT45, " Island"),ISNUMBER(SEARCH("Rainshadow",'Map 5'!T45)),CONCATENATE($AT45," ",'Map 5'!T45)),'Map 5'!T45)</f>
        <v>Ocean</v>
      </c>
      <c r="U45" s="46" t="str" cm="1">
        <f t="array" aca="1" ref="U45" ca="1">_xlfn.IFNA(_xlfn.IFS(AND(ISNUMBER(SEARCH("Rainshadow",'Map 5'!U45)),ISNUMBER(SEARCH("Flatland",'Map 5'!U45))),CONCATENATE($AT45, " Rainshadow"),'Map 5'!U45="Flatland",$AT45,'Map 5'!U45="Island",CONCATENATE($AT45, " Island"),ISNUMBER(SEARCH("Rainshadow",'Map 5'!U45)),CONCATENATE($AT45," ",'Map 5'!U45)),'Map 5'!U45)</f>
        <v>Ocean</v>
      </c>
      <c r="V45" s="46" t="str" cm="1">
        <f t="array" aca="1" ref="V45" ca="1">_xlfn.IFNA(_xlfn.IFS(AND(ISNUMBER(SEARCH("Rainshadow",'Map 5'!V45)),ISNUMBER(SEARCH("Flatland",'Map 5'!V45))),CONCATENATE($AT45, " Rainshadow"),'Map 5'!V45="Flatland",$AT45,'Map 5'!V45="Island",CONCATENATE($AT45, " Island"),ISNUMBER(SEARCH("Rainshadow",'Map 5'!V45)),CONCATENATE($AT45," ",'Map 5'!V45)),'Map 5'!V45)</f>
        <v>Trench</v>
      </c>
      <c r="W45" s="46" t="str" cm="1">
        <f t="array" aca="1" ref="W45" ca="1">_xlfn.IFNA(_xlfn.IFS(AND(ISNUMBER(SEARCH("Rainshadow",'Map 5'!W45)),ISNUMBER(SEARCH("Flatland",'Map 5'!W45))),CONCATENATE($AT45, " Rainshadow"),'Map 5'!W45="Flatland",$AT45,'Map 5'!W45="Island",CONCATENATE($AT45, " Island"),ISNUMBER(SEARCH("Rainshadow",'Map 5'!W45)),CONCATENATE($AT45," ",'Map 5'!W45)),'Map 5'!W45)</f>
        <v>Ocean</v>
      </c>
      <c r="X45" s="46" t="str" cm="1">
        <f t="array" aca="1" ref="X45" ca="1">_xlfn.IFNA(_xlfn.IFS(AND(ISNUMBER(SEARCH("Rainshadow",'Map 5'!X45)),ISNUMBER(SEARCH("Flatland",'Map 5'!X45))),CONCATENATE($AT45, " Rainshadow"),'Map 5'!X45="Flatland",$AT45,'Map 5'!X45="Island",CONCATENATE($AT45, " Island"),ISNUMBER(SEARCH("Rainshadow",'Map 5'!X45)),CONCATENATE($AT45," ",'Map 5'!X45)),'Map 5'!X45)</f>
        <v>Ocean</v>
      </c>
      <c r="Y45" s="46" t="str" cm="1">
        <f t="array" aca="1" ref="Y45" ca="1">_xlfn.IFNA(_xlfn.IFS(AND(ISNUMBER(SEARCH("Rainshadow",'Map 5'!Y45)),ISNUMBER(SEARCH("Flatland",'Map 5'!Y45))),CONCATENATE($AT45, " Rainshadow"),'Map 5'!Y45="Flatland",$AT45,'Map 5'!Y45="Island",CONCATENATE($AT45, " Island"),ISNUMBER(SEARCH("Rainshadow",'Map 5'!Y45)),CONCATENATE($AT45," ",'Map 5'!Y45)),'Map 5'!Y45)</f>
        <v>Ocean</v>
      </c>
      <c r="Z45" s="46" t="str" cm="1">
        <f t="array" aca="1" ref="Z45" ca="1">_xlfn.IFNA(_xlfn.IFS(AND(ISNUMBER(SEARCH("Rainshadow",'Map 5'!Z45)),ISNUMBER(SEARCH("Flatland",'Map 5'!Z45))),CONCATENATE($AT45, " Rainshadow"),'Map 5'!Z45="Flatland",$AT45,'Map 5'!Z45="Island",CONCATENATE($AT45, " Island"),ISNUMBER(SEARCH("Rainshadow",'Map 5'!Z45)),CONCATENATE($AT45," ",'Map 5'!Z45)),'Map 5'!Z45)</f>
        <v>Forest Island</v>
      </c>
      <c r="AA45" s="46" t="str" cm="1">
        <f t="array" aca="1" ref="AA45" ca="1">_xlfn.IFNA(_xlfn.IFS(AND(ISNUMBER(SEARCH("Rainshadow",'Map 5'!AA45)),ISNUMBER(SEARCH("Flatland",'Map 5'!AA45))),CONCATENATE($AT45, " Rainshadow"),'Map 5'!AA45="Flatland",$AT45,'Map 5'!AA45="Island",CONCATENATE($AT45, " Island"),ISNUMBER(SEARCH("Rainshadow",'Map 5'!AA45)),CONCATENATE($AT45," ",'Map 5'!AA45)),'Map 5'!AA45)</f>
        <v>Ocean</v>
      </c>
      <c r="AB45" s="46" t="str" cm="1">
        <f t="array" aca="1" ref="AB45" ca="1">_xlfn.IFNA(_xlfn.IFS(AND(ISNUMBER(SEARCH("Rainshadow",'Map 5'!AB45)),ISNUMBER(SEARCH("Flatland",'Map 5'!AB45))),CONCATENATE($AT45, " Rainshadow"),'Map 5'!AB45="Flatland",$AT45,'Map 5'!AB45="Island",CONCATENATE($AT45, " Island"),ISNUMBER(SEARCH("Rainshadow",'Map 5'!AB45)),CONCATENATE($AT45," ",'Map 5'!AB45)),'Map 5'!AB45)</f>
        <v>Ocean</v>
      </c>
      <c r="AC45" s="46" t="str" cm="1">
        <f t="array" aca="1" ref="AC45" ca="1">_xlfn.IFNA(_xlfn.IFS(AND(ISNUMBER(SEARCH("Rainshadow",'Map 5'!AC45)),ISNUMBER(SEARCH("Flatland",'Map 5'!AC45))),CONCATENATE($AT45, " Rainshadow"),'Map 5'!AC45="Flatland",$AT45,'Map 5'!AC45="Island",CONCATENATE($AT45, " Island"),ISNUMBER(SEARCH("Rainshadow",'Map 5'!AC45)),CONCATENATE($AT45," ",'Map 5'!AC45)),'Map 5'!AC45)</f>
        <v>Ocean</v>
      </c>
      <c r="AD45" s="46" t="str" cm="1">
        <f t="array" aca="1" ref="AD45" ca="1">_xlfn.IFNA(_xlfn.IFS(AND(ISNUMBER(SEARCH("Rainshadow",'Map 5'!AD45)),ISNUMBER(SEARCH("Flatland",'Map 5'!AD45))),CONCATENATE($AT45, " Rainshadow"),'Map 5'!AD45="Flatland",$AT45,'Map 5'!AD45="Island",CONCATENATE($AT45, " Island"),ISNUMBER(SEARCH("Rainshadow",'Map 5'!AD45)),CONCATENATE($AT45," ",'Map 5'!AD45)),'Map 5'!AD45)</f>
        <v>Ocean</v>
      </c>
      <c r="AE45" s="46" t="str" cm="1">
        <f t="array" aca="1" ref="AE45" ca="1">_xlfn.IFNA(_xlfn.IFS(AND(ISNUMBER(SEARCH("Rainshadow",'Map 5'!AE45)),ISNUMBER(SEARCH("Flatland",'Map 5'!AE45))),CONCATENATE($AT45, " Rainshadow"),'Map 5'!AE45="Flatland",$AT45,'Map 5'!AE45="Island",CONCATENATE($AT45, " Island"),ISNUMBER(SEARCH("Rainshadow",'Map 5'!AE45)),CONCATENATE($AT45," ",'Map 5'!AE45)),'Map 5'!AE45)</f>
        <v>Trench</v>
      </c>
      <c r="AF45" s="46" t="str" cm="1">
        <f t="array" aca="1" ref="AF45" ca="1">_xlfn.IFNA(_xlfn.IFS(AND(ISNUMBER(SEARCH("Rainshadow",'Map 5'!AF45)),ISNUMBER(SEARCH("Flatland",'Map 5'!AF45))),CONCATENATE($AT45, " Rainshadow"),'Map 5'!AF45="Flatland",$AT45,'Map 5'!AF45="Island",CONCATENATE($AT45, " Island"),ISNUMBER(SEARCH("Rainshadow",'Map 5'!AF45)),CONCATENATE($AT45," ",'Map 5'!AF45)),'Map 5'!AF45)</f>
        <v>Trench</v>
      </c>
      <c r="AG45" s="46" t="str" cm="1">
        <f t="array" aca="1" ref="AG45" ca="1">_xlfn.IFNA(_xlfn.IFS(AND(ISNUMBER(SEARCH("Rainshadow",'Map 5'!AG45)),ISNUMBER(SEARCH("Flatland",'Map 5'!AG45))),CONCATENATE($AT45, " Rainshadow"),'Map 5'!AG45="Flatland",$AT45,'Map 5'!AG45="Island",CONCATENATE($AT45, " Island"),ISNUMBER(SEARCH("Rainshadow",'Map 5'!AG45)),CONCATENATE($AT45," ",'Map 5'!AG45)),'Map 5'!AG45)</f>
        <v>Forest Island</v>
      </c>
      <c r="AH45" s="46" t="str" cm="1">
        <f t="array" aca="1" ref="AH45" ca="1">_xlfn.IFNA(_xlfn.IFS(AND(ISNUMBER(SEARCH("Rainshadow",'Map 5'!AH45)),ISNUMBER(SEARCH("Flatland",'Map 5'!AH45))),CONCATENATE($AT45, " Rainshadow"),'Map 5'!AH45="Flatland",$AT45,'Map 5'!AH45="Island",CONCATENATE($AT45, " Island"),ISNUMBER(SEARCH("Rainshadow",'Map 5'!AH45)),CONCATENATE($AT45," ",'Map 5'!AH45)),'Map 5'!AH45)</f>
        <v>Ocean</v>
      </c>
      <c r="AI45" s="46" t="str" cm="1">
        <f t="array" aca="1" ref="AI45" ca="1">_xlfn.IFNA(_xlfn.IFS(AND(ISNUMBER(SEARCH("Rainshadow",'Map 5'!AI45)),ISNUMBER(SEARCH("Flatland",'Map 5'!AI45))),CONCATENATE($AT45, " Rainshadow"),'Map 5'!AI45="Flatland",$AT45,'Map 5'!AI45="Island",CONCATENATE($AT45, " Island"),ISNUMBER(SEARCH("Rainshadow",'Map 5'!AI45)),CONCATENATE($AT45," ",'Map 5'!AI45)),'Map 5'!AI45)</f>
        <v>Ocean</v>
      </c>
      <c r="AJ45" s="46" t="str" cm="1">
        <f t="array" aca="1" ref="AJ45" ca="1">_xlfn.IFNA(_xlfn.IFS(AND(ISNUMBER(SEARCH("Rainshadow",'Map 5'!AJ45)),ISNUMBER(SEARCH("Flatland",'Map 5'!AJ45))),CONCATENATE($AT45, " Rainshadow"),'Map 5'!AJ45="Flatland",$AT45,'Map 5'!AJ45="Island",CONCATENATE($AT45, " Island"),ISNUMBER(SEARCH("Rainshadow",'Map 5'!AJ45)),CONCATENATE($AT45," ",'Map 5'!AJ45)),'Map 5'!AJ45)</f>
        <v>Ocean</v>
      </c>
      <c r="AK45" s="46" t="str" cm="1">
        <f t="array" aca="1" ref="AK45" ca="1">_xlfn.IFNA(_xlfn.IFS(AND(ISNUMBER(SEARCH("Rainshadow",'Map 5'!AK45)),ISNUMBER(SEARCH("Flatland",'Map 5'!AK45))),CONCATENATE($AT45, " Rainshadow"),'Map 5'!AK45="Flatland",$AT45,'Map 5'!AK45="Island",CONCATENATE($AT45, " Island"),ISNUMBER(SEARCH("Rainshadow",'Map 5'!AK45)),CONCATENATE($AT45," ",'Map 5'!AK45)),'Map 5'!AK45)</f>
        <v>Trench</v>
      </c>
      <c r="AL45" s="46" t="str" cm="1">
        <f t="array" aca="1" ref="AL45" ca="1">_xlfn.IFNA(_xlfn.IFS(AND(ISNUMBER(SEARCH("Rainshadow",'Map 5'!AL45)),ISNUMBER(SEARCH("Flatland",'Map 5'!AL45))),CONCATENATE($AT45, " Rainshadow"),'Map 5'!AL45="Flatland",$AT45,'Map 5'!AL45="Island",CONCATENATE($AT45, " Island"),ISNUMBER(SEARCH("Rainshadow",'Map 5'!AL45)),CONCATENATE($AT45," ",'Map 5'!AL45)),'Map 5'!AL45)</f>
        <v>Trench</v>
      </c>
      <c r="AM45" s="46" t="str" cm="1">
        <f t="array" aca="1" ref="AM45" ca="1">_xlfn.IFNA(_xlfn.IFS(AND(ISNUMBER(SEARCH("Rainshadow",'Map 5'!AM45)),ISNUMBER(SEARCH("Flatland",'Map 5'!AM45))),CONCATENATE($AT45, " Rainshadow"),'Map 5'!AM45="Flatland",$AT45,'Map 5'!AM45="Island",CONCATENATE($AT45, " Island"),ISNUMBER(SEARCH("Rainshadow",'Map 5'!AM45)),CONCATENATE($AT45," ",'Map 5'!AM45)),'Map 5'!AM45)</f>
        <v>Ocean</v>
      </c>
      <c r="AN45" s="46" t="str" cm="1">
        <f t="array" aca="1" ref="AN45" ca="1">_xlfn.IFNA(_xlfn.IFS(AND(ISNUMBER(SEARCH("Rainshadow",'Map 5'!AN45)),ISNUMBER(SEARCH("Flatland",'Map 5'!AN45))),CONCATENATE($AT45, " Rainshadow"),'Map 5'!AN45="Flatland",$AT45,'Map 5'!AN45="Island",CONCATENATE($AT45, " Island"),ISNUMBER(SEARCH("Rainshadow",'Map 5'!AN45)),CONCATENATE($AT45," ",'Map 5'!AN45)),'Map 5'!AN45)</f>
        <v>Ocean</v>
      </c>
      <c r="AO45" s="46" t="str" cm="1">
        <f t="array" aca="1" ref="AO45" ca="1">_xlfn.IFNA(_xlfn.IFS(AND(ISNUMBER(SEARCH("Rainshadow",'Map 5'!AO45)),ISNUMBER(SEARCH("Flatland",'Map 5'!AO45))),CONCATENATE($AT45, " Rainshadow"),'Map 5'!AO45="Flatland",$AT45,'Map 5'!AO45="Island",CONCATENATE($AT45, " Island"),ISNUMBER(SEARCH("Rainshadow",'Map 5'!AO45)),CONCATENATE($AT45," ",'Map 5'!AO45)),'Map 5'!AO45)</f>
        <v>Ocean</v>
      </c>
      <c r="AP45" s="46">
        <f>'Map 5'!AP45</f>
        <v>-13.35</v>
      </c>
      <c r="AQ45" s="46">
        <f>'Map 5'!AQ45</f>
        <v>7.97</v>
      </c>
      <c r="AR45" s="46">
        <f>'Map 5'!AS45</f>
        <v>259.80000000000018</v>
      </c>
      <c r="AS45" s="47">
        <f>'Map 5'!AT45</f>
        <v>-72</v>
      </c>
      <c r="AT45" s="47" t="str">
        <f>'Map 5'!AU45</f>
        <v>Forest</v>
      </c>
      <c r="AU45" s="47" t="str">
        <f>'Map 5'!AV45</f>
        <v>⤴</v>
      </c>
      <c r="AX45" s="47" t="str">
        <f>CONCATENATE($AX$21," ",$AX7)</f>
        <v>Forest Rainshadow Valley</v>
      </c>
    </row>
    <row r="46" spans="1:50" ht="18.75" customHeight="1">
      <c r="A46" s="46">
        <v>37</v>
      </c>
      <c r="B46" s="46" t="str" cm="1">
        <f t="array" aca="1" ref="B46" ca="1">_xlfn.IFNA(_xlfn.IFS(AND(ISNUMBER(SEARCH("Rainshadow",'Map 5'!B46)),ISNUMBER(SEARCH("Flatland",'Map 5'!B46))),CONCATENATE($AT46, " Rainshadow"),'Map 5'!B46="Flatland",$AT46,'Map 5'!B46="Island",CONCATENATE($AT46, " Island"),ISNUMBER(SEARCH("Rainshadow",'Map 5'!B46)),CONCATENATE($AT46," ",'Map 5'!B46)),'Map 5'!B46)</f>
        <v>Ocean</v>
      </c>
      <c r="C46" s="46" t="str" cm="1">
        <f t="array" aca="1" ref="C46" ca="1">_xlfn.IFNA(_xlfn.IFS(AND(ISNUMBER(SEARCH("Rainshadow",'Map 5'!C46)),ISNUMBER(SEARCH("Flatland",'Map 5'!C46))),CONCATENATE($AT46, " Rainshadow"),'Map 5'!C46="Flatland",$AT46,'Map 5'!C46="Island",CONCATENATE($AT46, " Island"),ISNUMBER(SEARCH("Rainshadow",'Map 5'!C46)),CONCATENATE($AT46," ",'Map 5'!C46)),'Map 5'!C46)</f>
        <v>Ocean</v>
      </c>
      <c r="D46" s="46" t="str" cm="1">
        <f t="array" aca="1" ref="D46" ca="1">_xlfn.IFNA(_xlfn.IFS(AND(ISNUMBER(SEARCH("Rainshadow",'Map 5'!D46)),ISNUMBER(SEARCH("Flatland",'Map 5'!D46))),CONCATENATE($AT46, " Rainshadow"),'Map 5'!D46="Flatland",$AT46,'Map 5'!D46="Island",CONCATENATE($AT46, " Island"),ISNUMBER(SEARCH("Rainshadow",'Map 5'!D46)),CONCATENATE($AT46," ",'Map 5'!D46)),'Map 5'!D46)</f>
        <v>Ocean</v>
      </c>
      <c r="E46" s="46" t="str" cm="1">
        <f t="array" aca="1" ref="E46" ca="1">_xlfn.IFNA(_xlfn.IFS(AND(ISNUMBER(SEARCH("Rainshadow",'Map 5'!E46)),ISNUMBER(SEARCH("Flatland",'Map 5'!E46))),CONCATENATE($AT46, " Rainshadow"),'Map 5'!E46="Flatland",$AT46,'Map 5'!E46="Island",CONCATENATE($AT46, " Island"),ISNUMBER(SEARCH("Rainshadow",'Map 5'!E46)),CONCATENATE($AT46," ",'Map 5'!E46)),'Map 5'!E46)</f>
        <v>Ocean</v>
      </c>
      <c r="F46" s="46" t="str" cm="1">
        <f t="array" aca="1" ref="F46" ca="1">_xlfn.IFNA(_xlfn.IFS(AND(ISNUMBER(SEARCH("Rainshadow",'Map 5'!F46)),ISNUMBER(SEARCH("Flatland",'Map 5'!F46))),CONCATENATE($AT46, " Rainshadow"),'Map 5'!F46="Flatland",$AT46,'Map 5'!F46="Island",CONCATENATE($AT46, " Island"),ISNUMBER(SEARCH("Rainshadow",'Map 5'!F46)),CONCATENATE($AT46," ",'Map 5'!F46)),'Map 5'!F46)</f>
        <v>Coast</v>
      </c>
      <c r="G46" s="46" t="str" cm="1">
        <f t="array" aca="1" ref="G46" ca="1">_xlfn.IFNA(_xlfn.IFS(AND(ISNUMBER(SEARCH("Rainshadow",'Map 5'!G46)),ISNUMBER(SEARCH("Flatland",'Map 5'!G46))),CONCATENATE($AT46, " Rainshadow"),'Map 5'!G46="Flatland",$AT46,'Map 5'!G46="Island",CONCATENATE($AT46, " Island"),ISNUMBER(SEARCH("Rainshadow",'Map 5'!G46)),CONCATENATE($AT46," ",'Map 5'!G46)),'Map 5'!G46)</f>
        <v>Forest</v>
      </c>
      <c r="H46" s="46" t="str" cm="1">
        <f t="array" aca="1" ref="H46" ca="1">_xlfn.IFNA(_xlfn.IFS(AND(ISNUMBER(SEARCH("Rainshadow",'Map 5'!H46)),ISNUMBER(SEARCH("Flatland",'Map 5'!H46))),CONCATENATE($AT46, " Rainshadow"),'Map 5'!H46="Flatland",$AT46,'Map 5'!H46="Island",CONCATENATE($AT46, " Island"),ISNUMBER(SEARCH("Rainshadow",'Map 5'!H46)),CONCATENATE($AT46," ",'Map 5'!H46)),'Map 5'!H46)</f>
        <v>Coast</v>
      </c>
      <c r="I46" s="46" t="str" cm="1">
        <f t="array" aca="1" ref="I46" ca="1">_xlfn.IFNA(_xlfn.IFS(AND(ISNUMBER(SEARCH("Rainshadow",'Map 5'!I46)),ISNUMBER(SEARCH("Flatland",'Map 5'!I46))),CONCATENATE($AT46, " Rainshadow"),'Map 5'!I46="Flatland",$AT46,'Map 5'!I46="Island",CONCATENATE($AT46, " Island"),ISNUMBER(SEARCH("Rainshadow",'Map 5'!I46)),CONCATENATE($AT46," ",'Map 5'!I46)),'Map 5'!I46)</f>
        <v>Coast</v>
      </c>
      <c r="J46" s="46" t="str" cm="1">
        <f t="array" aca="1" ref="J46" ca="1">_xlfn.IFNA(_xlfn.IFS(AND(ISNUMBER(SEARCH("Rainshadow",'Map 5'!J46)),ISNUMBER(SEARCH("Flatland",'Map 5'!J46))),CONCATENATE($AT46, " Rainshadow"),'Map 5'!J46="Flatland",$AT46,'Map 5'!J46="Island",CONCATENATE($AT46, " Island"),ISNUMBER(SEARCH("Rainshadow",'Map 5'!J46)),CONCATENATE($AT46," ",'Map 5'!J46)),'Map 5'!J46)</f>
        <v>Forest</v>
      </c>
      <c r="K46" s="46" t="str" cm="1">
        <f t="array" aca="1" ref="K46" ca="1">_xlfn.IFNA(_xlfn.IFS(AND(ISNUMBER(SEARCH("Rainshadow",'Map 5'!K46)),ISNUMBER(SEARCH("Flatland",'Map 5'!K46))),CONCATENATE($AT46, " Rainshadow"),'Map 5'!K46="Flatland",$AT46,'Map 5'!K46="Island",CONCATENATE($AT46, " Island"),ISNUMBER(SEARCH("Rainshadow",'Map 5'!K46)),CONCATENATE($AT46," ",'Map 5'!K46)),'Map 5'!K46)</f>
        <v>Coast</v>
      </c>
      <c r="L46" s="46" t="str" cm="1">
        <f t="array" aca="1" ref="L46" ca="1">_xlfn.IFNA(_xlfn.IFS(AND(ISNUMBER(SEARCH("Rainshadow",'Map 5'!L46)),ISNUMBER(SEARCH("Flatland",'Map 5'!L46))),CONCATENATE($AT46, " Rainshadow"),'Map 5'!L46="Flatland",$AT46,'Map 5'!L46="Island",CONCATENATE($AT46, " Island"),ISNUMBER(SEARCH("Rainshadow",'Map 5'!L46)),CONCATENATE($AT46," ",'Map 5'!L46)),'Map 5'!L46)</f>
        <v>Ocean</v>
      </c>
      <c r="M46" s="46" t="str" cm="1">
        <f t="array" aca="1" ref="M46" ca="1">_xlfn.IFNA(_xlfn.IFS(AND(ISNUMBER(SEARCH("Rainshadow",'Map 5'!M46)),ISNUMBER(SEARCH("Flatland",'Map 5'!M46))),CONCATENATE($AT46, " Rainshadow"),'Map 5'!M46="Flatland",$AT46,'Map 5'!M46="Island",CONCATENATE($AT46, " Island"),ISNUMBER(SEARCH("Rainshadow",'Map 5'!M46)),CONCATENATE($AT46," ",'Map 5'!M46)),'Map 5'!M46)</f>
        <v>Forest</v>
      </c>
      <c r="N46" s="46" t="str" cm="1">
        <f t="array" aca="1" ref="N46" ca="1">_xlfn.IFNA(_xlfn.IFS(AND(ISNUMBER(SEARCH("Rainshadow",'Map 5'!N46)),ISNUMBER(SEARCH("Flatland",'Map 5'!N46))),CONCATENATE($AT46, " Rainshadow"),'Map 5'!N46="Flatland",$AT46,'Map 5'!N46="Island",CONCATENATE($AT46, " Island"),ISNUMBER(SEARCH("Rainshadow",'Map 5'!N46)),CONCATENATE($AT46," ",'Map 5'!N46)),'Map 5'!N46)</f>
        <v>Coast</v>
      </c>
      <c r="O46" s="46" t="str" cm="1">
        <f t="array" aca="1" ref="O46" ca="1">_xlfn.IFNA(_xlfn.IFS(AND(ISNUMBER(SEARCH("Rainshadow",'Map 5'!O46)),ISNUMBER(SEARCH("Flatland",'Map 5'!O46))),CONCATENATE($AT46, " Rainshadow"),'Map 5'!O46="Flatland",$AT46,'Map 5'!O46="Island",CONCATENATE($AT46, " Island"),ISNUMBER(SEARCH("Rainshadow",'Map 5'!O46)),CONCATENATE($AT46," ",'Map 5'!O46)),'Map 5'!O46)</f>
        <v>Coast</v>
      </c>
      <c r="P46" s="46" t="str" cm="1">
        <f t="array" aca="1" ref="P46" ca="1">_xlfn.IFNA(_xlfn.IFS(AND(ISNUMBER(SEARCH("Rainshadow",'Map 5'!P46)),ISNUMBER(SEARCH("Flatland",'Map 5'!P46))),CONCATENATE($AT46, " Rainshadow"),'Map 5'!P46="Flatland",$AT46,'Map 5'!P46="Island",CONCATENATE($AT46, " Island"),ISNUMBER(SEARCH("Rainshadow",'Map 5'!P46)),CONCATENATE($AT46," ",'Map 5'!P46)),'Map 5'!P46)</f>
        <v>Mountain</v>
      </c>
      <c r="Q46" s="46" t="str" cm="1">
        <f t="array" aca="1" ref="Q46" ca="1">_xlfn.IFNA(_xlfn.IFS(AND(ISNUMBER(SEARCH("Rainshadow",'Map 5'!Q46)),ISNUMBER(SEARCH("Flatland",'Map 5'!Q46))),CONCATENATE($AT46, " Rainshadow"),'Map 5'!Q46="Flatland",$AT46,'Map 5'!Q46="Island",CONCATENATE($AT46, " Island"),ISNUMBER(SEARCH("Rainshadow",'Map 5'!Q46)),CONCATENATE($AT46," ",'Map 5'!Q46)),'Map 5'!Q46)</f>
        <v>Forest</v>
      </c>
      <c r="R46" s="46" t="str" cm="1">
        <f t="array" aca="1" ref="R46" ca="1">_xlfn.IFNA(_xlfn.IFS(AND(ISNUMBER(SEARCH("Rainshadow",'Map 5'!R46)),ISNUMBER(SEARCH("Flatland",'Map 5'!R46))),CONCATENATE($AT46, " Rainshadow"),'Map 5'!R46="Flatland",$AT46,'Map 5'!R46="Island",CONCATENATE($AT46, " Island"),ISNUMBER(SEARCH("Rainshadow",'Map 5'!R46)),CONCATENATE($AT46," ",'Map 5'!R46)),'Map 5'!R46)</f>
        <v>Forest</v>
      </c>
      <c r="S46" s="46" t="str" cm="1">
        <f t="array" aca="1" ref="S46" ca="1">_xlfn.IFNA(_xlfn.IFS(AND(ISNUMBER(SEARCH("Rainshadow",'Map 5'!S46)),ISNUMBER(SEARCH("Flatland",'Map 5'!S46))),CONCATENATE($AT46, " Rainshadow"),'Map 5'!S46="Flatland",$AT46,'Map 5'!S46="Island",CONCATENATE($AT46, " Island"),ISNUMBER(SEARCH("Rainshadow",'Map 5'!S46)),CONCATENATE($AT46," ",'Map 5'!S46)),'Map 5'!S46)</f>
        <v>Ocean</v>
      </c>
      <c r="T46" s="46" t="str" cm="1">
        <f t="array" aca="1" ref="T46" ca="1">_xlfn.IFNA(_xlfn.IFS(AND(ISNUMBER(SEARCH("Rainshadow",'Map 5'!T46)),ISNUMBER(SEARCH("Flatland",'Map 5'!T46))),CONCATENATE($AT46, " Rainshadow"),'Map 5'!T46="Flatland",$AT46,'Map 5'!T46="Island",CONCATENATE($AT46, " Island"),ISNUMBER(SEARCH("Rainshadow",'Map 5'!T46)),CONCATENATE($AT46," ",'Map 5'!T46)),'Map 5'!T46)</f>
        <v>Coast</v>
      </c>
      <c r="U46" s="46" t="str" cm="1">
        <f t="array" aca="1" ref="U46" ca="1">_xlfn.IFNA(_xlfn.IFS(AND(ISNUMBER(SEARCH("Rainshadow",'Map 5'!U46)),ISNUMBER(SEARCH("Flatland",'Map 5'!U46))),CONCATENATE($AT46, " Rainshadow"),'Map 5'!U46="Flatland",$AT46,'Map 5'!U46="Island",CONCATENATE($AT46, " Island"),ISNUMBER(SEARCH("Rainshadow",'Map 5'!U46)),CONCATENATE($AT46," ",'Map 5'!U46)),'Map 5'!U46)</f>
        <v>Coast</v>
      </c>
      <c r="V46" s="46" t="str" cm="1">
        <f t="array" aca="1" ref="V46" ca="1">_xlfn.IFNA(_xlfn.IFS(AND(ISNUMBER(SEARCH("Rainshadow",'Map 5'!V46)),ISNUMBER(SEARCH("Flatland",'Map 5'!V46))),CONCATENATE($AT46, " Rainshadow"),'Map 5'!V46="Flatland",$AT46,'Map 5'!V46="Island",CONCATENATE($AT46, " Island"),ISNUMBER(SEARCH("Rainshadow",'Map 5'!V46)),CONCATENATE($AT46," ",'Map 5'!V46)),'Map 5'!V46)</f>
        <v>Forest Island</v>
      </c>
      <c r="W46" s="46" t="str" cm="1">
        <f t="array" aca="1" ref="W46" ca="1">_xlfn.IFNA(_xlfn.IFS(AND(ISNUMBER(SEARCH("Rainshadow",'Map 5'!W46)),ISNUMBER(SEARCH("Flatland",'Map 5'!W46))),CONCATENATE($AT46, " Rainshadow"),'Map 5'!W46="Flatland",$AT46,'Map 5'!W46="Island",CONCATENATE($AT46, " Island"),ISNUMBER(SEARCH("Rainshadow",'Map 5'!W46)),CONCATENATE($AT46," ",'Map 5'!W46)),'Map 5'!W46)</f>
        <v>Trench</v>
      </c>
      <c r="X46" s="46" t="str" cm="1">
        <f t="array" aca="1" ref="X46" ca="1">_xlfn.IFNA(_xlfn.IFS(AND(ISNUMBER(SEARCH("Rainshadow",'Map 5'!X46)),ISNUMBER(SEARCH("Flatland",'Map 5'!X46))),CONCATENATE($AT46, " Rainshadow"),'Map 5'!X46="Flatland",$AT46,'Map 5'!X46="Island",CONCATENATE($AT46, " Island"),ISNUMBER(SEARCH("Rainshadow",'Map 5'!X46)),CONCATENATE($AT46," ",'Map 5'!X46)),'Map 5'!X46)</f>
        <v>Ocean</v>
      </c>
      <c r="Y46" s="46" t="str" cm="1">
        <f t="array" aca="1" ref="Y46" ca="1">_xlfn.IFNA(_xlfn.IFS(AND(ISNUMBER(SEARCH("Rainshadow",'Map 5'!Y46)),ISNUMBER(SEARCH("Flatland",'Map 5'!Y46))),CONCATENATE($AT46, " Rainshadow"),'Map 5'!Y46="Flatland",$AT46,'Map 5'!Y46="Island",CONCATENATE($AT46, " Island"),ISNUMBER(SEARCH("Rainshadow",'Map 5'!Y46)),CONCATENATE($AT46," ",'Map 5'!Y46)),'Map 5'!Y46)</f>
        <v>Ocean</v>
      </c>
      <c r="Z46" s="46" t="str" cm="1">
        <f t="array" aca="1" ref="Z46" ca="1">_xlfn.IFNA(_xlfn.IFS(AND(ISNUMBER(SEARCH("Rainshadow",'Map 5'!Z46)),ISNUMBER(SEARCH("Flatland",'Map 5'!Z46))),CONCATENATE($AT46, " Rainshadow"),'Map 5'!Z46="Flatland",$AT46,'Map 5'!Z46="Island",CONCATENATE($AT46, " Island"),ISNUMBER(SEARCH("Rainshadow",'Map 5'!Z46)),CONCATENATE($AT46," ",'Map 5'!Z46)),'Map 5'!Z46)</f>
        <v>Trench</v>
      </c>
      <c r="AA46" s="46" t="str" cm="1">
        <f t="array" aca="1" ref="AA46" ca="1">_xlfn.IFNA(_xlfn.IFS(AND(ISNUMBER(SEARCH("Rainshadow",'Map 5'!AA46)),ISNUMBER(SEARCH("Flatland",'Map 5'!AA46))),CONCATENATE($AT46, " Rainshadow"),'Map 5'!AA46="Flatland",$AT46,'Map 5'!AA46="Island",CONCATENATE($AT46, " Island"),ISNUMBER(SEARCH("Rainshadow",'Map 5'!AA46)),CONCATENATE($AT46," ",'Map 5'!AA46)),'Map 5'!AA46)</f>
        <v>Ocean</v>
      </c>
      <c r="AB46" s="46" t="str" cm="1">
        <f t="array" aca="1" ref="AB46" ca="1">_xlfn.IFNA(_xlfn.IFS(AND(ISNUMBER(SEARCH("Rainshadow",'Map 5'!AB46)),ISNUMBER(SEARCH("Flatland",'Map 5'!AB46))),CONCATENATE($AT46, " Rainshadow"),'Map 5'!AB46="Flatland",$AT46,'Map 5'!AB46="Island",CONCATENATE($AT46, " Island"),ISNUMBER(SEARCH("Rainshadow",'Map 5'!AB46)),CONCATENATE($AT46," ",'Map 5'!AB46)),'Map 5'!AB46)</f>
        <v>Forest Island</v>
      </c>
      <c r="AC46" s="46" t="str" cm="1">
        <f t="array" aca="1" ref="AC46" ca="1">_xlfn.IFNA(_xlfn.IFS(AND(ISNUMBER(SEARCH("Rainshadow",'Map 5'!AC46)),ISNUMBER(SEARCH("Flatland",'Map 5'!AC46))),CONCATENATE($AT46, " Rainshadow"),'Map 5'!AC46="Flatland",$AT46,'Map 5'!AC46="Island",CONCATENATE($AT46, " Island"),ISNUMBER(SEARCH("Rainshadow",'Map 5'!AC46)),CONCATENATE($AT46," ",'Map 5'!AC46)),'Map 5'!AC46)</f>
        <v>Ocean</v>
      </c>
      <c r="AD46" s="46" t="str" cm="1">
        <f t="array" aca="1" ref="AD46" ca="1">_xlfn.IFNA(_xlfn.IFS(AND(ISNUMBER(SEARCH("Rainshadow",'Map 5'!AD46)),ISNUMBER(SEARCH("Flatland",'Map 5'!AD46))),CONCATENATE($AT46, " Rainshadow"),'Map 5'!AD46="Flatland",$AT46,'Map 5'!AD46="Island",CONCATENATE($AT46, " Island"),ISNUMBER(SEARCH("Rainshadow",'Map 5'!AD46)),CONCATENATE($AT46," ",'Map 5'!AD46)),'Map 5'!AD46)</f>
        <v>Ocean</v>
      </c>
      <c r="AE46" s="46" t="str" cm="1">
        <f t="array" aca="1" ref="AE46" ca="1">_xlfn.IFNA(_xlfn.IFS(AND(ISNUMBER(SEARCH("Rainshadow",'Map 5'!AE46)),ISNUMBER(SEARCH("Flatland",'Map 5'!AE46))),CONCATENATE($AT46, " Rainshadow"),'Map 5'!AE46="Flatland",$AT46,'Map 5'!AE46="Island",CONCATENATE($AT46, " Island"),ISNUMBER(SEARCH("Rainshadow",'Map 5'!AE46)),CONCATENATE($AT46," ",'Map 5'!AE46)),'Map 5'!AE46)</f>
        <v>Ocean</v>
      </c>
      <c r="AF46" s="46" t="str" cm="1">
        <f t="array" aca="1" ref="AF46" ca="1">_xlfn.IFNA(_xlfn.IFS(AND(ISNUMBER(SEARCH("Rainshadow",'Map 5'!AF46)),ISNUMBER(SEARCH("Flatland",'Map 5'!AF46))),CONCATENATE($AT46, " Rainshadow"),'Map 5'!AF46="Flatland",$AT46,'Map 5'!AF46="Island",CONCATENATE($AT46, " Island"),ISNUMBER(SEARCH("Rainshadow",'Map 5'!AF46)),CONCATENATE($AT46," ",'Map 5'!AF46)),'Map 5'!AF46)</f>
        <v>Trench</v>
      </c>
      <c r="AG46" s="46" t="str" cm="1">
        <f t="array" aca="1" ref="AG46" ca="1">_xlfn.IFNA(_xlfn.IFS(AND(ISNUMBER(SEARCH("Rainshadow",'Map 5'!AG46)),ISNUMBER(SEARCH("Flatland",'Map 5'!AG46))),CONCATENATE($AT46, " Rainshadow"),'Map 5'!AG46="Flatland",$AT46,'Map 5'!AG46="Island",CONCATENATE($AT46, " Island"),ISNUMBER(SEARCH("Rainshadow",'Map 5'!AG46)),CONCATENATE($AT46," ",'Map 5'!AG46)),'Map 5'!AG46)</f>
        <v>Ocean</v>
      </c>
      <c r="AH46" s="46" t="str" cm="1">
        <f t="array" aca="1" ref="AH46" ca="1">_xlfn.IFNA(_xlfn.IFS(AND(ISNUMBER(SEARCH("Rainshadow",'Map 5'!AH46)),ISNUMBER(SEARCH("Flatland",'Map 5'!AH46))),CONCATENATE($AT46, " Rainshadow"),'Map 5'!AH46="Flatland",$AT46,'Map 5'!AH46="Island",CONCATENATE($AT46, " Island"),ISNUMBER(SEARCH("Rainshadow",'Map 5'!AH46)),CONCATENATE($AT46," ",'Map 5'!AH46)),'Map 5'!AH46)</f>
        <v>Ocean</v>
      </c>
      <c r="AI46" s="46" t="str" cm="1">
        <f t="array" aca="1" ref="AI46" ca="1">_xlfn.IFNA(_xlfn.IFS(AND(ISNUMBER(SEARCH("Rainshadow",'Map 5'!AI46)),ISNUMBER(SEARCH("Flatland",'Map 5'!AI46))),CONCATENATE($AT46, " Rainshadow"),'Map 5'!AI46="Flatland",$AT46,'Map 5'!AI46="Island",CONCATENATE($AT46, " Island"),ISNUMBER(SEARCH("Rainshadow",'Map 5'!AI46)),CONCATENATE($AT46," ",'Map 5'!AI46)),'Map 5'!AI46)</f>
        <v>Ocean</v>
      </c>
      <c r="AJ46" s="46" t="str" cm="1">
        <f t="array" aca="1" ref="AJ46" ca="1">_xlfn.IFNA(_xlfn.IFS(AND(ISNUMBER(SEARCH("Rainshadow",'Map 5'!AJ46)),ISNUMBER(SEARCH("Flatland",'Map 5'!AJ46))),CONCATENATE($AT46, " Rainshadow"),'Map 5'!AJ46="Flatland",$AT46,'Map 5'!AJ46="Island",CONCATENATE($AT46, " Island"),ISNUMBER(SEARCH("Rainshadow",'Map 5'!AJ46)),CONCATENATE($AT46," ",'Map 5'!AJ46)),'Map 5'!AJ46)</f>
        <v>Ocean</v>
      </c>
      <c r="AK46" s="46" t="str" cm="1">
        <f t="array" aca="1" ref="AK46" ca="1">_xlfn.IFNA(_xlfn.IFS(AND(ISNUMBER(SEARCH("Rainshadow",'Map 5'!AK46)),ISNUMBER(SEARCH("Flatland",'Map 5'!AK46))),CONCATENATE($AT46, " Rainshadow"),'Map 5'!AK46="Flatland",$AT46,'Map 5'!AK46="Island",CONCATENATE($AT46, " Island"),ISNUMBER(SEARCH("Rainshadow",'Map 5'!AK46)),CONCATENATE($AT46," ",'Map 5'!AK46)),'Map 5'!AK46)</f>
        <v>Trench</v>
      </c>
      <c r="AL46" s="46" t="str" cm="1">
        <f t="array" aca="1" ref="AL46" ca="1">_xlfn.IFNA(_xlfn.IFS(AND(ISNUMBER(SEARCH("Rainshadow",'Map 5'!AL46)),ISNUMBER(SEARCH("Flatland",'Map 5'!AL46))),CONCATENATE($AT46, " Rainshadow"),'Map 5'!AL46="Flatland",$AT46,'Map 5'!AL46="Island",CONCATENATE($AT46, " Island"),ISNUMBER(SEARCH("Rainshadow",'Map 5'!AL46)),CONCATENATE($AT46," ",'Map 5'!AL46)),'Map 5'!AL46)</f>
        <v>Ocean</v>
      </c>
      <c r="AM46" s="46" t="str" cm="1">
        <f t="array" aca="1" ref="AM46" ca="1">_xlfn.IFNA(_xlfn.IFS(AND(ISNUMBER(SEARCH("Rainshadow",'Map 5'!AM46)),ISNUMBER(SEARCH("Flatland",'Map 5'!AM46))),CONCATENATE($AT46, " Rainshadow"),'Map 5'!AM46="Flatland",$AT46,'Map 5'!AM46="Island",CONCATENATE($AT46, " Island"),ISNUMBER(SEARCH("Rainshadow",'Map 5'!AM46)),CONCATENATE($AT46," ",'Map 5'!AM46)),'Map 5'!AM46)</f>
        <v>Ocean</v>
      </c>
      <c r="AN46" s="46" t="str" cm="1">
        <f t="array" aca="1" ref="AN46" ca="1">_xlfn.IFNA(_xlfn.IFS(AND(ISNUMBER(SEARCH("Rainshadow",'Map 5'!AN46)),ISNUMBER(SEARCH("Flatland",'Map 5'!AN46))),CONCATENATE($AT46, " Rainshadow"),'Map 5'!AN46="Flatland",$AT46,'Map 5'!AN46="Island",CONCATENATE($AT46, " Island"),ISNUMBER(SEARCH("Rainshadow",'Map 5'!AN46)),CONCATENATE($AT46," ",'Map 5'!AN46)),'Map 5'!AN46)</f>
        <v>Trench</v>
      </c>
      <c r="AO46" s="46" t="str" cm="1">
        <f t="array" aca="1" ref="AO46" ca="1">_xlfn.IFNA(_xlfn.IFS(AND(ISNUMBER(SEARCH("Rainshadow",'Map 5'!AO46)),ISNUMBER(SEARCH("Flatland",'Map 5'!AO46))),CONCATENATE($AT46, " Rainshadow"),'Map 5'!AO46="Flatland",$AT46,'Map 5'!AO46="Island",CONCATENATE($AT46, " Island"),ISNUMBER(SEARCH("Rainshadow",'Map 5'!AO46)),CONCATENATE($AT46," ",'Map 5'!AO46)),'Map 5'!AO46)</f>
        <v>Ocean</v>
      </c>
      <c r="AP46" s="46">
        <f>'Map 5'!AP46</f>
        <v>-20.3</v>
      </c>
      <c r="AQ46" s="46">
        <f>'Map 5'!AQ46</f>
        <v>-4.54</v>
      </c>
      <c r="AR46" s="46">
        <f>'Map 5'!AS46</f>
        <v>252.85000000000019</v>
      </c>
      <c r="AS46" s="47">
        <f>'Map 5'!AT46</f>
        <v>-76.5</v>
      </c>
      <c r="AT46" s="47" t="str">
        <f>'Map 5'!AU46</f>
        <v>Forest</v>
      </c>
      <c r="AU46" s="47" t="str">
        <f>'Map 5'!AV46</f>
        <v>⤴</v>
      </c>
      <c r="AX46" s="47" t="str">
        <f>CONCATENATE($AX$22," ",$AX7)</f>
        <v>Mediterranean Rainshadow Valley</v>
      </c>
    </row>
    <row r="47" spans="1:50" ht="18.75" customHeight="1">
      <c r="A47" s="46">
        <v>38</v>
      </c>
      <c r="B47" s="46" t="str" cm="1">
        <f t="array" aca="1" ref="B47" ca="1">_xlfn.IFNA(_xlfn.IFS(AND(ISNUMBER(SEARCH("Rainshadow",'Map 5'!B47)),ISNUMBER(SEARCH("Flatland",'Map 5'!B47))),CONCATENATE($AT47, " Rainshadow"),'Map 5'!B47="Flatland",$AT47,'Map 5'!B47="Island",CONCATENATE($AT47, " Island"),ISNUMBER(SEARCH("Rainshadow",'Map 5'!B47)),CONCATENATE($AT47," ",'Map 5'!B47)),'Map 5'!B47)</f>
        <v>Ocean</v>
      </c>
      <c r="C47" s="46" t="str" cm="1">
        <f t="array" aca="1" ref="C47" ca="1">_xlfn.IFNA(_xlfn.IFS(AND(ISNUMBER(SEARCH("Rainshadow",'Map 5'!C47)),ISNUMBER(SEARCH("Flatland",'Map 5'!C47))),CONCATENATE($AT47, " Rainshadow"),'Map 5'!C47="Flatland",$AT47,'Map 5'!C47="Island",CONCATENATE($AT47, " Island"),ISNUMBER(SEARCH("Rainshadow",'Map 5'!C47)),CONCATENATE($AT47," ",'Map 5'!C47)),'Map 5'!C47)</f>
        <v>Ocean</v>
      </c>
      <c r="D47" s="46" t="str" cm="1">
        <f t="array" aca="1" ref="D47" ca="1">_xlfn.IFNA(_xlfn.IFS(AND(ISNUMBER(SEARCH("Rainshadow",'Map 5'!D47)),ISNUMBER(SEARCH("Flatland",'Map 5'!D47))),CONCATENATE($AT47, " Rainshadow"),'Map 5'!D47="Flatland",$AT47,'Map 5'!D47="Island",CONCATENATE($AT47, " Island"),ISNUMBER(SEARCH("Rainshadow",'Map 5'!D47)),CONCATENATE($AT47," ",'Map 5'!D47)),'Map 5'!D47)</f>
        <v>Ocean</v>
      </c>
      <c r="E47" s="46" t="str" cm="1">
        <f t="array" aca="1" ref="E47" ca="1">_xlfn.IFNA(_xlfn.IFS(AND(ISNUMBER(SEARCH("Rainshadow",'Map 5'!E47)),ISNUMBER(SEARCH("Flatland",'Map 5'!E47))),CONCATENATE($AT47, " Rainshadow"),'Map 5'!E47="Flatland",$AT47,'Map 5'!E47="Island",CONCATENATE($AT47, " Island"),ISNUMBER(SEARCH("Rainshadow",'Map 5'!E47)),CONCATENATE($AT47," ",'Map 5'!E47)),'Map 5'!E47)</f>
        <v>Ocean</v>
      </c>
      <c r="F47" s="46" t="str" cm="1">
        <f t="array" aca="1" ref="F47" ca="1">_xlfn.IFNA(_xlfn.IFS(AND(ISNUMBER(SEARCH("Rainshadow",'Map 5'!F47)),ISNUMBER(SEARCH("Flatland",'Map 5'!F47))),CONCATENATE($AT47, " Rainshadow"),'Map 5'!F47="Flatland",$AT47,'Map 5'!F47="Island",CONCATENATE($AT47, " Island"),ISNUMBER(SEARCH("Rainshadow",'Map 5'!F47)),CONCATENATE($AT47," ",'Map 5'!F47)),'Map 5'!F47)</f>
        <v>Cliff</v>
      </c>
      <c r="G47" s="46" t="str" cm="1">
        <f t="array" aca="1" ref="G47" ca="1">_xlfn.IFNA(_xlfn.IFS(AND(ISNUMBER(SEARCH("Rainshadow",'Map 5'!G47)),ISNUMBER(SEARCH("Flatland",'Map 5'!G47))),CONCATENATE($AT47, " Rainshadow"),'Map 5'!G47="Flatland",$AT47,'Map 5'!G47="Island",CONCATENATE($AT47, " Island"),ISNUMBER(SEARCH("Rainshadow",'Map 5'!G47)),CONCATENATE($AT47," ",'Map 5'!G47)),'Map 5'!G47)</f>
        <v>Coast</v>
      </c>
      <c r="H47" s="46" t="str" cm="1">
        <f t="array" aca="1" ref="H47" ca="1">_xlfn.IFNA(_xlfn.IFS(AND(ISNUMBER(SEARCH("Rainshadow",'Map 5'!H47)),ISNUMBER(SEARCH("Flatland",'Map 5'!H47))),CONCATENATE($AT47, " Rainshadow"),'Map 5'!H47="Flatland",$AT47,'Map 5'!H47="Island",CONCATENATE($AT47, " Island"),ISNUMBER(SEARCH("Rainshadow",'Map 5'!H47)),CONCATENATE($AT47," ",'Map 5'!H47)),'Map 5'!H47)</f>
        <v>Tundra</v>
      </c>
      <c r="I47" s="46" t="str" cm="1">
        <f t="array" aca="1" ref="I47" ca="1">_xlfn.IFNA(_xlfn.IFS(AND(ISNUMBER(SEARCH("Rainshadow",'Map 5'!I47)),ISNUMBER(SEARCH("Flatland",'Map 5'!I47))),CONCATENATE($AT47, " Rainshadow"),'Map 5'!I47="Flatland",$AT47,'Map 5'!I47="Island",CONCATENATE($AT47, " Island"),ISNUMBER(SEARCH("Rainshadow",'Map 5'!I47)),CONCATENATE($AT47," ",'Map 5'!I47)),'Map 5'!I47)</f>
        <v>Tundra</v>
      </c>
      <c r="J47" s="46" t="str" cm="1">
        <f t="array" aca="1" ref="J47" ca="1">_xlfn.IFNA(_xlfn.IFS(AND(ISNUMBER(SEARCH("Rainshadow",'Map 5'!J47)),ISNUMBER(SEARCH("Flatland",'Map 5'!J47))),CONCATENATE($AT47, " Rainshadow"),'Map 5'!J47="Flatland",$AT47,'Map 5'!J47="Island",CONCATENATE($AT47, " Island"),ISNUMBER(SEARCH("Rainshadow",'Map 5'!J47)),CONCATENATE($AT47," ",'Map 5'!J47)),'Map 5'!J47)</f>
        <v>Tundra</v>
      </c>
      <c r="K47" s="46" t="str" cm="1">
        <f t="array" aca="1" ref="K47" ca="1">_xlfn.IFNA(_xlfn.IFS(AND(ISNUMBER(SEARCH("Rainshadow",'Map 5'!K47)),ISNUMBER(SEARCH("Flatland",'Map 5'!K47))),CONCATENATE($AT47, " Rainshadow"),'Map 5'!K47="Flatland",$AT47,'Map 5'!K47="Island",CONCATENATE($AT47, " Island"),ISNUMBER(SEARCH("Rainshadow",'Map 5'!K47)),CONCATENATE($AT47," ",'Map 5'!K47)),'Map 5'!K47)</f>
        <v>Ocean</v>
      </c>
      <c r="L47" s="46" t="str" cm="1">
        <f t="array" aca="1" ref="L47" ca="1">_xlfn.IFNA(_xlfn.IFS(AND(ISNUMBER(SEARCH("Rainshadow",'Map 5'!L47)),ISNUMBER(SEARCH("Flatland",'Map 5'!L47))),CONCATENATE($AT47, " Rainshadow"),'Map 5'!L47="Flatland",$AT47,'Map 5'!L47="Island",CONCATENATE($AT47, " Island"),ISNUMBER(SEARCH("Rainshadow",'Map 5'!L47)),CONCATENATE($AT47," ",'Map 5'!L47)),'Map 5'!L47)</f>
        <v>Ocean</v>
      </c>
      <c r="M47" s="46" t="str" cm="1">
        <f t="array" aca="1" ref="M47" ca="1">_xlfn.IFNA(_xlfn.IFS(AND(ISNUMBER(SEARCH("Rainshadow",'Map 5'!M47)),ISNUMBER(SEARCH("Flatland",'Map 5'!M47))),CONCATENATE($AT47, " Rainshadow"),'Map 5'!M47="Flatland",$AT47,'Map 5'!M47="Island",CONCATENATE($AT47, " Island"),ISNUMBER(SEARCH("Rainshadow",'Map 5'!M47)),CONCATENATE($AT47," ",'Map 5'!M47)),'Map 5'!M47)</f>
        <v>Coast</v>
      </c>
      <c r="N47" s="46" t="str" cm="1">
        <f t="array" aca="1" ref="N47" ca="1">_xlfn.IFNA(_xlfn.IFS(AND(ISNUMBER(SEARCH("Rainshadow",'Map 5'!N47)),ISNUMBER(SEARCH("Flatland",'Map 5'!N47))),CONCATENATE($AT47, " Rainshadow"),'Map 5'!N47="Flatland",$AT47,'Map 5'!N47="Island",CONCATENATE($AT47, " Island"),ISNUMBER(SEARCH("Rainshadow",'Map 5'!N47)),CONCATENATE($AT47," ",'Map 5'!N47)),'Map 5'!N47)</f>
        <v>Coast</v>
      </c>
      <c r="O47" s="46" t="str" cm="1">
        <f t="array" aca="1" ref="O47" ca="1">_xlfn.IFNA(_xlfn.IFS(AND(ISNUMBER(SEARCH("Rainshadow",'Map 5'!O47)),ISNUMBER(SEARCH("Flatland",'Map 5'!O47))),CONCATENATE($AT47, " Rainshadow"),'Map 5'!O47="Flatland",$AT47,'Map 5'!O47="Island",CONCATENATE($AT47, " Island"),ISNUMBER(SEARCH("Rainshadow",'Map 5'!O47)),CONCATENATE($AT47," ",'Map 5'!O47)),'Map 5'!O47)</f>
        <v>Tundra</v>
      </c>
      <c r="P47" s="46" t="str" cm="1">
        <f t="array" aca="1" ref="P47" ca="1">_xlfn.IFNA(_xlfn.IFS(AND(ISNUMBER(SEARCH("Rainshadow",'Map 5'!P47)),ISNUMBER(SEARCH("Flatland",'Map 5'!P47))),CONCATENATE($AT47, " Rainshadow"),'Map 5'!P47="Flatland",$AT47,'Map 5'!P47="Island",CONCATENATE($AT47, " Island"),ISNUMBER(SEARCH("Rainshadow",'Map 5'!P47)),CONCATENATE($AT47," ",'Map 5'!P47)),'Map 5'!P47)</f>
        <v>Tundra Rainshadow</v>
      </c>
      <c r="Q47" s="46" t="str" cm="1">
        <f t="array" aca="1" ref="Q47" ca="1">_xlfn.IFNA(_xlfn.IFS(AND(ISNUMBER(SEARCH("Rainshadow",'Map 5'!Q47)),ISNUMBER(SEARCH("Flatland",'Map 5'!Q47))),CONCATENATE($AT47, " Rainshadow"),'Map 5'!Q47="Flatland",$AT47,'Map 5'!Q47="Island",CONCATENATE($AT47, " Island"),ISNUMBER(SEARCH("Rainshadow",'Map 5'!Q47)),CONCATENATE($AT47," ",'Map 5'!Q47)),'Map 5'!Q47)</f>
        <v>Valley</v>
      </c>
      <c r="R47" s="46" t="str" cm="1">
        <f t="array" aca="1" ref="R47" ca="1">_xlfn.IFNA(_xlfn.IFS(AND(ISNUMBER(SEARCH("Rainshadow",'Map 5'!R47)),ISNUMBER(SEARCH("Flatland",'Map 5'!R47))),CONCATENATE($AT47, " Rainshadow"),'Map 5'!R47="Flatland",$AT47,'Map 5'!R47="Island",CONCATENATE($AT47, " Island"),ISNUMBER(SEARCH("Rainshadow",'Map 5'!R47)),CONCATENATE($AT47," ",'Map 5'!R47)),'Map 5'!R47)</f>
        <v>Mountain</v>
      </c>
      <c r="S47" s="46" t="str" cm="1">
        <f t="array" aca="1" ref="S47" ca="1">_xlfn.IFNA(_xlfn.IFS(AND(ISNUMBER(SEARCH("Rainshadow",'Map 5'!S47)),ISNUMBER(SEARCH("Flatland",'Map 5'!S47))),CONCATENATE($AT47, " Rainshadow"),'Map 5'!S47="Flatland",$AT47,'Map 5'!S47="Island",CONCATENATE($AT47, " Island"),ISNUMBER(SEARCH("Rainshadow",'Map 5'!S47)),CONCATENATE($AT47," ",'Map 5'!S47)),'Map 5'!S47)</f>
        <v>Coast</v>
      </c>
      <c r="T47" s="46" t="str" cm="1">
        <f t="array" aca="1" ref="T47" ca="1">_xlfn.IFNA(_xlfn.IFS(AND(ISNUMBER(SEARCH("Rainshadow",'Map 5'!T47)),ISNUMBER(SEARCH("Flatland",'Map 5'!T47))),CONCATENATE($AT47, " Rainshadow"),'Map 5'!T47="Flatland",$AT47,'Map 5'!T47="Island",CONCATENATE($AT47, " Island"),ISNUMBER(SEARCH("Rainshadow",'Map 5'!T47)),CONCATENATE($AT47," ",'Map 5'!T47)),'Map 5'!T47)</f>
        <v>Tundra</v>
      </c>
      <c r="U47" s="46" t="str" cm="1">
        <f t="array" aca="1" ref="U47" ca="1">_xlfn.IFNA(_xlfn.IFS(AND(ISNUMBER(SEARCH("Rainshadow",'Map 5'!U47)),ISNUMBER(SEARCH("Flatland",'Map 5'!U47))),CONCATENATE($AT47, " Rainshadow"),'Map 5'!U47="Flatland",$AT47,'Map 5'!U47="Island",CONCATENATE($AT47, " Island"),ISNUMBER(SEARCH("Rainshadow",'Map 5'!U47)),CONCATENATE($AT47," ",'Map 5'!U47)),'Map 5'!U47)</f>
        <v>Coast</v>
      </c>
      <c r="V47" s="46" t="str" cm="1">
        <f t="array" aca="1" ref="V47" ca="1">_xlfn.IFNA(_xlfn.IFS(AND(ISNUMBER(SEARCH("Rainshadow",'Map 5'!V47)),ISNUMBER(SEARCH("Flatland",'Map 5'!V47))),CONCATENATE($AT47, " Rainshadow"),'Map 5'!V47="Flatland",$AT47,'Map 5'!V47="Island",CONCATENATE($AT47, " Island"),ISNUMBER(SEARCH("Rainshadow",'Map 5'!V47)),CONCATENATE($AT47," ",'Map 5'!V47)),'Map 5'!V47)</f>
        <v>Coast</v>
      </c>
      <c r="W47" s="46" t="str" cm="1">
        <f t="array" aca="1" ref="W47" ca="1">_xlfn.IFNA(_xlfn.IFS(AND(ISNUMBER(SEARCH("Rainshadow",'Map 5'!W47)),ISNUMBER(SEARCH("Flatland",'Map 5'!W47))),CONCATENATE($AT47, " Rainshadow"),'Map 5'!W47="Flatland",$AT47,'Map 5'!W47="Island",CONCATENATE($AT47, " Island"),ISNUMBER(SEARCH("Rainshadow",'Map 5'!W47)),CONCATENATE($AT47," ",'Map 5'!W47)),'Map 5'!W47)</f>
        <v>Ocean</v>
      </c>
      <c r="X47" s="46" t="str" cm="1">
        <f t="array" aca="1" ref="X47" ca="1">_xlfn.IFNA(_xlfn.IFS(AND(ISNUMBER(SEARCH("Rainshadow",'Map 5'!X47)),ISNUMBER(SEARCH("Flatland",'Map 5'!X47))),CONCATENATE($AT47, " Rainshadow"),'Map 5'!X47="Flatland",$AT47,'Map 5'!X47="Island",CONCATENATE($AT47, " Island"),ISNUMBER(SEARCH("Rainshadow",'Map 5'!X47)),CONCATENATE($AT47," ",'Map 5'!X47)),'Map 5'!X47)</f>
        <v>Ocean</v>
      </c>
      <c r="Y47" s="46" t="str" cm="1">
        <f t="array" aca="1" ref="Y47" ca="1">_xlfn.IFNA(_xlfn.IFS(AND(ISNUMBER(SEARCH("Rainshadow",'Map 5'!Y47)),ISNUMBER(SEARCH("Flatland",'Map 5'!Y47))),CONCATENATE($AT47, " Rainshadow"),'Map 5'!Y47="Flatland",$AT47,'Map 5'!Y47="Island",CONCATENATE($AT47, " Island"),ISNUMBER(SEARCH("Rainshadow",'Map 5'!Y47)),CONCATENATE($AT47," ",'Map 5'!Y47)),'Map 5'!Y47)</f>
        <v>Ocean</v>
      </c>
      <c r="Z47" s="46" t="str" cm="1">
        <f t="array" aca="1" ref="Z47" ca="1">_xlfn.IFNA(_xlfn.IFS(AND(ISNUMBER(SEARCH("Rainshadow",'Map 5'!Z47)),ISNUMBER(SEARCH("Flatland",'Map 5'!Z47))),CONCATENATE($AT47, " Rainshadow"),'Map 5'!Z47="Flatland",$AT47,'Map 5'!Z47="Island",CONCATENATE($AT47, " Island"),ISNUMBER(SEARCH("Rainshadow",'Map 5'!Z47)),CONCATENATE($AT47," ",'Map 5'!Z47)),'Map 5'!Z47)</f>
        <v>Ocean</v>
      </c>
      <c r="AA47" s="46" t="str" cm="1">
        <f t="array" aca="1" ref="AA47" ca="1">_xlfn.IFNA(_xlfn.IFS(AND(ISNUMBER(SEARCH("Rainshadow",'Map 5'!AA47)),ISNUMBER(SEARCH("Flatland",'Map 5'!AA47))),CONCATENATE($AT47, " Rainshadow"),'Map 5'!AA47="Flatland",$AT47,'Map 5'!AA47="Island",CONCATENATE($AT47, " Island"),ISNUMBER(SEARCH("Rainshadow",'Map 5'!AA47)),CONCATENATE($AT47," ",'Map 5'!AA47)),'Map 5'!AA47)</f>
        <v>Ocean</v>
      </c>
      <c r="AB47" s="46" t="str" cm="1">
        <f t="array" aca="1" ref="AB47" ca="1">_xlfn.IFNA(_xlfn.IFS(AND(ISNUMBER(SEARCH("Rainshadow",'Map 5'!AB47)),ISNUMBER(SEARCH("Flatland",'Map 5'!AB47))),CONCATENATE($AT47, " Rainshadow"),'Map 5'!AB47="Flatland",$AT47,'Map 5'!AB47="Island",CONCATENATE($AT47, " Island"),ISNUMBER(SEARCH("Rainshadow",'Map 5'!AB47)),CONCATENATE($AT47," ",'Map 5'!AB47)),'Map 5'!AB47)</f>
        <v>Ocean</v>
      </c>
      <c r="AC47" s="46" t="str" cm="1">
        <f t="array" aca="1" ref="AC47" ca="1">_xlfn.IFNA(_xlfn.IFS(AND(ISNUMBER(SEARCH("Rainshadow",'Map 5'!AC47)),ISNUMBER(SEARCH("Flatland",'Map 5'!AC47))),CONCATENATE($AT47, " Rainshadow"),'Map 5'!AC47="Flatland",$AT47,'Map 5'!AC47="Island",CONCATENATE($AT47, " Island"),ISNUMBER(SEARCH("Rainshadow",'Map 5'!AC47)),CONCATENATE($AT47," ",'Map 5'!AC47)),'Map 5'!AC47)</f>
        <v>Ocean</v>
      </c>
      <c r="AD47" s="46" t="str" cm="1">
        <f t="array" aca="1" ref="AD47" ca="1">_xlfn.IFNA(_xlfn.IFS(AND(ISNUMBER(SEARCH("Rainshadow",'Map 5'!AD47)),ISNUMBER(SEARCH("Flatland",'Map 5'!AD47))),CONCATENATE($AT47, " Rainshadow"),'Map 5'!AD47="Flatland",$AT47,'Map 5'!AD47="Island",CONCATENATE($AT47, " Island"),ISNUMBER(SEARCH("Rainshadow",'Map 5'!AD47)),CONCATENATE($AT47," ",'Map 5'!AD47)),'Map 5'!AD47)</f>
        <v>Ocean</v>
      </c>
      <c r="AE47" s="46" t="str" cm="1">
        <f t="array" aca="1" ref="AE47" ca="1">_xlfn.IFNA(_xlfn.IFS(AND(ISNUMBER(SEARCH("Rainshadow",'Map 5'!AE47)),ISNUMBER(SEARCH("Flatland",'Map 5'!AE47))),CONCATENATE($AT47, " Rainshadow"),'Map 5'!AE47="Flatland",$AT47,'Map 5'!AE47="Island",CONCATENATE($AT47, " Island"),ISNUMBER(SEARCH("Rainshadow",'Map 5'!AE47)),CONCATENATE($AT47," ",'Map 5'!AE47)),'Map 5'!AE47)</f>
        <v>Ocean</v>
      </c>
      <c r="AF47" s="46" t="str" cm="1">
        <f t="array" aca="1" ref="AF47" ca="1">_xlfn.IFNA(_xlfn.IFS(AND(ISNUMBER(SEARCH("Rainshadow",'Map 5'!AF47)),ISNUMBER(SEARCH("Flatland",'Map 5'!AF47))),CONCATENATE($AT47, " Rainshadow"),'Map 5'!AF47="Flatland",$AT47,'Map 5'!AF47="Island",CONCATENATE($AT47, " Island"),ISNUMBER(SEARCH("Rainshadow",'Map 5'!AF47)),CONCATENATE($AT47," ",'Map 5'!AF47)),'Map 5'!AF47)</f>
        <v>Ocean</v>
      </c>
      <c r="AG47" s="46" t="str" cm="1">
        <f t="array" aca="1" ref="AG47" ca="1">_xlfn.IFNA(_xlfn.IFS(AND(ISNUMBER(SEARCH("Rainshadow",'Map 5'!AG47)),ISNUMBER(SEARCH("Flatland",'Map 5'!AG47))),CONCATENATE($AT47, " Rainshadow"),'Map 5'!AG47="Flatland",$AT47,'Map 5'!AG47="Island",CONCATENATE($AT47, " Island"),ISNUMBER(SEARCH("Rainshadow",'Map 5'!AG47)),CONCATENATE($AT47," ",'Map 5'!AG47)),'Map 5'!AG47)</f>
        <v>Ocean</v>
      </c>
      <c r="AH47" s="46" t="str" cm="1">
        <f t="array" aca="1" ref="AH47" ca="1">_xlfn.IFNA(_xlfn.IFS(AND(ISNUMBER(SEARCH("Rainshadow",'Map 5'!AH47)),ISNUMBER(SEARCH("Flatland",'Map 5'!AH47))),CONCATENATE($AT47, " Rainshadow"),'Map 5'!AH47="Flatland",$AT47,'Map 5'!AH47="Island",CONCATENATE($AT47, " Island"),ISNUMBER(SEARCH("Rainshadow",'Map 5'!AH47)),CONCATENATE($AT47," ",'Map 5'!AH47)),'Map 5'!AH47)</f>
        <v>Ocean</v>
      </c>
      <c r="AI47" s="46" t="str" cm="1">
        <f t="array" aca="1" ref="AI47" ca="1">_xlfn.IFNA(_xlfn.IFS(AND(ISNUMBER(SEARCH("Rainshadow",'Map 5'!AI47)),ISNUMBER(SEARCH("Flatland",'Map 5'!AI47))),CONCATENATE($AT47, " Rainshadow"),'Map 5'!AI47="Flatland",$AT47,'Map 5'!AI47="Island",CONCATENATE($AT47, " Island"),ISNUMBER(SEARCH("Rainshadow",'Map 5'!AI47)),CONCATENATE($AT47," ",'Map 5'!AI47)),'Map 5'!AI47)</f>
        <v>Ocean</v>
      </c>
      <c r="AJ47" s="46" t="str" cm="1">
        <f t="array" aca="1" ref="AJ47" ca="1">_xlfn.IFNA(_xlfn.IFS(AND(ISNUMBER(SEARCH("Rainshadow",'Map 5'!AJ47)),ISNUMBER(SEARCH("Flatland",'Map 5'!AJ47))),CONCATENATE($AT47, " Rainshadow"),'Map 5'!AJ47="Flatland",$AT47,'Map 5'!AJ47="Island",CONCATENATE($AT47, " Island"),ISNUMBER(SEARCH("Rainshadow",'Map 5'!AJ47)),CONCATENATE($AT47," ",'Map 5'!AJ47)),'Map 5'!AJ47)</f>
        <v>Ocean</v>
      </c>
      <c r="AK47" s="46" t="str" cm="1">
        <f t="array" aca="1" ref="AK47" ca="1">_xlfn.IFNA(_xlfn.IFS(AND(ISNUMBER(SEARCH("Rainshadow",'Map 5'!AK47)),ISNUMBER(SEARCH("Flatland",'Map 5'!AK47))),CONCATENATE($AT47, " Rainshadow"),'Map 5'!AK47="Flatland",$AT47,'Map 5'!AK47="Island",CONCATENATE($AT47, " Island"),ISNUMBER(SEARCH("Rainshadow",'Map 5'!AK47)),CONCATENATE($AT47," ",'Map 5'!AK47)),'Map 5'!AK47)</f>
        <v>Ocean</v>
      </c>
      <c r="AL47" s="46" t="str" cm="1">
        <f t="array" aca="1" ref="AL47" ca="1">_xlfn.IFNA(_xlfn.IFS(AND(ISNUMBER(SEARCH("Rainshadow",'Map 5'!AL47)),ISNUMBER(SEARCH("Flatland",'Map 5'!AL47))),CONCATENATE($AT47, " Rainshadow"),'Map 5'!AL47="Flatland",$AT47,'Map 5'!AL47="Island",CONCATENATE($AT47, " Island"),ISNUMBER(SEARCH("Rainshadow",'Map 5'!AL47)),CONCATENATE($AT47," ",'Map 5'!AL47)),'Map 5'!AL47)</f>
        <v>Ocean</v>
      </c>
      <c r="AM47" s="46" t="str" cm="1">
        <f t="array" aca="1" ref="AM47" ca="1">_xlfn.IFNA(_xlfn.IFS(AND(ISNUMBER(SEARCH("Rainshadow",'Map 5'!AM47)),ISNUMBER(SEARCH("Flatland",'Map 5'!AM47))),CONCATENATE($AT47, " Rainshadow"),'Map 5'!AM47="Flatland",$AT47,'Map 5'!AM47="Island",CONCATENATE($AT47, " Island"),ISNUMBER(SEARCH("Rainshadow",'Map 5'!AM47)),CONCATENATE($AT47," ",'Map 5'!AM47)),'Map 5'!AM47)</f>
        <v>Ocean</v>
      </c>
      <c r="AN47" s="46" t="str" cm="1">
        <f t="array" aca="1" ref="AN47" ca="1">_xlfn.IFNA(_xlfn.IFS(AND(ISNUMBER(SEARCH("Rainshadow",'Map 5'!AN47)),ISNUMBER(SEARCH("Flatland",'Map 5'!AN47))),CONCATENATE($AT47, " Rainshadow"),'Map 5'!AN47="Flatland",$AT47,'Map 5'!AN47="Island",CONCATENATE($AT47, " Island"),ISNUMBER(SEARCH("Rainshadow",'Map 5'!AN47)),CONCATENATE($AT47," ",'Map 5'!AN47)),'Map 5'!AN47)</f>
        <v>Ocean</v>
      </c>
      <c r="AO47" s="46" t="str" cm="1">
        <f t="array" aca="1" ref="AO47" ca="1">_xlfn.IFNA(_xlfn.IFS(AND(ISNUMBER(SEARCH("Rainshadow",'Map 5'!AO47)),ISNUMBER(SEARCH("Flatland",'Map 5'!AO47))),CONCATENATE($AT47, " Rainshadow"),'Map 5'!AO47="Flatland",$AT47,'Map 5'!AO47="Island",CONCATENATE($AT47, " Island"),ISNUMBER(SEARCH("Rainshadow",'Map 5'!AO47)),CONCATENATE($AT47," ",'Map 5'!AO47)),'Map 5'!AO47)</f>
        <v>Trench</v>
      </c>
      <c r="AP47" s="46">
        <f>'Map 5'!AP47</f>
        <v>-27.25</v>
      </c>
      <c r="AQ47" s="46">
        <f>'Map 5'!AQ47</f>
        <v>-17.05</v>
      </c>
      <c r="AR47" s="46">
        <f>'Map 5'!AS47</f>
        <v>245.9000000000002</v>
      </c>
      <c r="AS47" s="47">
        <f>'Map 5'!AT47</f>
        <v>-81</v>
      </c>
      <c r="AT47" s="47" t="str">
        <f>'Map 5'!AU47</f>
        <v>Tundra</v>
      </c>
      <c r="AU47" s="47" t="str">
        <f>'Map 5'!AV47</f>
        <v>⤴</v>
      </c>
      <c r="AX47" s="47" t="str">
        <f>CONCATENATE($AX$23," ",$AX7)</f>
        <v>Desert Rainshadow Valley</v>
      </c>
    </row>
    <row r="48" spans="1:50" ht="18.75" customHeight="1">
      <c r="A48" s="46">
        <v>39</v>
      </c>
      <c r="B48" s="46" t="str" cm="1">
        <f t="array" aca="1" ref="B48" ca="1">_xlfn.IFNA(_xlfn.IFS(AND(ISNUMBER(SEARCH("Rainshadow",'Map 5'!B48)),ISNUMBER(SEARCH("Flatland",'Map 5'!B48))),CONCATENATE($AT48, " Rainshadow"),'Map 5'!B48="Flatland",$AT48,'Map 5'!B48="Island",CONCATENATE($AT48, " Island"),ISNUMBER(SEARCH("Rainshadow",'Map 5'!B48)),CONCATENATE($AT48," ",'Map 5'!B48)),'Map 5'!B48)</f>
        <v>Ocean</v>
      </c>
      <c r="C48" s="46" t="str" cm="1">
        <f t="array" aca="1" ref="C48" ca="1">_xlfn.IFNA(_xlfn.IFS(AND(ISNUMBER(SEARCH("Rainshadow",'Map 5'!C48)),ISNUMBER(SEARCH("Flatland",'Map 5'!C48))),CONCATENATE($AT48, " Rainshadow"),'Map 5'!C48="Flatland",$AT48,'Map 5'!C48="Island",CONCATENATE($AT48, " Island"),ISNUMBER(SEARCH("Rainshadow",'Map 5'!C48)),CONCATENATE($AT48," ",'Map 5'!C48)),'Map 5'!C48)</f>
        <v>Ocean</v>
      </c>
      <c r="D48" s="46" t="str" cm="1">
        <f t="array" aca="1" ref="D48" ca="1">_xlfn.IFNA(_xlfn.IFS(AND(ISNUMBER(SEARCH("Rainshadow",'Map 5'!D48)),ISNUMBER(SEARCH("Flatland",'Map 5'!D48))),CONCATENATE($AT48, " Rainshadow"),'Map 5'!D48="Flatland",$AT48,'Map 5'!D48="Island",CONCATENATE($AT48, " Island"),ISNUMBER(SEARCH("Rainshadow",'Map 5'!D48)),CONCATENATE($AT48," ",'Map 5'!D48)),'Map 5'!D48)</f>
        <v>Ocean</v>
      </c>
      <c r="E48" s="46" t="str" cm="1">
        <f t="array" aca="1" ref="E48" ca="1">_xlfn.IFNA(_xlfn.IFS(AND(ISNUMBER(SEARCH("Rainshadow",'Map 5'!E48)),ISNUMBER(SEARCH("Flatland",'Map 5'!E48))),CONCATENATE($AT48, " Rainshadow"),'Map 5'!E48="Flatland",$AT48,'Map 5'!E48="Island",CONCATENATE($AT48, " Island"),ISNUMBER(SEARCH("Rainshadow",'Map 5'!E48)),CONCATENATE($AT48," ",'Map 5'!E48)),'Map 5'!E48)</f>
        <v>Ocean</v>
      </c>
      <c r="F48" s="46" t="str" cm="1">
        <f t="array" aca="1" ref="F48" ca="1">_xlfn.IFNA(_xlfn.IFS(AND(ISNUMBER(SEARCH("Rainshadow",'Map 5'!F48)),ISNUMBER(SEARCH("Flatland",'Map 5'!F48))),CONCATENATE($AT48, " Rainshadow"),'Map 5'!F48="Flatland",$AT48,'Map 5'!F48="Island",CONCATENATE($AT48, " Island"),ISNUMBER(SEARCH("Rainshadow",'Map 5'!F48)),CONCATENATE($AT48," ",'Map 5'!F48)),'Map 5'!F48)</f>
        <v>Drop Off</v>
      </c>
      <c r="G48" s="46" t="str" cm="1">
        <f t="array" aca="1" ref="G48" ca="1">_xlfn.IFNA(_xlfn.IFS(AND(ISNUMBER(SEARCH("Rainshadow",'Map 5'!G48)),ISNUMBER(SEARCH("Flatland",'Map 5'!G48))),CONCATENATE($AT48, " Rainshadow"),'Map 5'!G48="Flatland",$AT48,'Map 5'!G48="Island",CONCATENATE($AT48, " Island"),ISNUMBER(SEARCH("Rainshadow",'Map 5'!G48)),CONCATENATE($AT48," ",'Map 5'!G48)),'Map 5'!G48)</f>
        <v>Tundra</v>
      </c>
      <c r="H48" s="46" t="str" cm="1">
        <f t="array" aca="1" ref="H48" ca="1">_xlfn.IFNA(_xlfn.IFS(AND(ISNUMBER(SEARCH("Rainshadow",'Map 5'!H48)),ISNUMBER(SEARCH("Flatland",'Map 5'!H48))),CONCATENATE($AT48, " Rainshadow"),'Map 5'!H48="Flatland",$AT48,'Map 5'!H48="Island",CONCATENATE($AT48, " Island"),ISNUMBER(SEARCH("Rainshadow",'Map 5'!H48)),CONCATENATE($AT48," ",'Map 5'!H48)),'Map 5'!H48)</f>
        <v>Tundra</v>
      </c>
      <c r="I48" s="46" t="str" cm="1">
        <f t="array" aca="1" ref="I48" ca="1">_xlfn.IFNA(_xlfn.IFS(AND(ISNUMBER(SEARCH("Rainshadow",'Map 5'!I48)),ISNUMBER(SEARCH("Flatland",'Map 5'!I48))),CONCATENATE($AT48, " Rainshadow"),'Map 5'!I48="Flatland",$AT48,'Map 5'!I48="Island",CONCATENATE($AT48, " Island"),ISNUMBER(SEARCH("Rainshadow",'Map 5'!I48)),CONCATENATE($AT48," ",'Map 5'!I48)),'Map 5'!I48)</f>
        <v>Tundra</v>
      </c>
      <c r="J48" s="46" t="str" cm="1">
        <f t="array" aca="1" ref="J48" ca="1">_xlfn.IFNA(_xlfn.IFS(AND(ISNUMBER(SEARCH("Rainshadow",'Map 5'!J48)),ISNUMBER(SEARCH("Flatland",'Map 5'!J48))),CONCATENATE($AT48, " Rainshadow"),'Map 5'!J48="Flatland",$AT48,'Map 5'!J48="Island",CONCATENATE($AT48, " Island"),ISNUMBER(SEARCH("Rainshadow",'Map 5'!J48)),CONCATENATE($AT48," ",'Map 5'!J48)),'Map 5'!J48)</f>
        <v>Coast</v>
      </c>
      <c r="K48" s="46" t="str" cm="1">
        <f t="array" aca="1" ref="K48" ca="1">_xlfn.IFNA(_xlfn.IFS(AND(ISNUMBER(SEARCH("Rainshadow",'Map 5'!K48)),ISNUMBER(SEARCH("Flatland",'Map 5'!K48))),CONCATENATE($AT48, " Rainshadow"),'Map 5'!K48="Flatland",$AT48,'Map 5'!K48="Island",CONCATENATE($AT48, " Island"),ISNUMBER(SEARCH("Rainshadow",'Map 5'!K48)),CONCATENATE($AT48," ",'Map 5'!K48)),'Map 5'!K48)</f>
        <v>Ocean</v>
      </c>
      <c r="L48" s="46" t="str" cm="1">
        <f t="array" aca="1" ref="L48" ca="1">_xlfn.IFNA(_xlfn.IFS(AND(ISNUMBER(SEARCH("Rainshadow",'Map 5'!L48)),ISNUMBER(SEARCH("Flatland",'Map 5'!L48))),CONCATENATE($AT48, " Rainshadow"),'Map 5'!L48="Flatland",$AT48,'Map 5'!L48="Island",CONCATENATE($AT48, " Island"),ISNUMBER(SEARCH("Rainshadow",'Map 5'!L48)),CONCATENATE($AT48," ",'Map 5'!L48)),'Map 5'!L48)</f>
        <v>Ocean</v>
      </c>
      <c r="M48" s="46" t="str" cm="1">
        <f t="array" aca="1" ref="M48" ca="1">_xlfn.IFNA(_xlfn.IFS(AND(ISNUMBER(SEARCH("Rainshadow",'Map 5'!M48)),ISNUMBER(SEARCH("Flatland",'Map 5'!M48))),CONCATENATE($AT48, " Rainshadow"),'Map 5'!M48="Flatland",$AT48,'Map 5'!M48="Island",CONCATENATE($AT48, " Island"),ISNUMBER(SEARCH("Rainshadow",'Map 5'!M48)),CONCATENATE($AT48," ",'Map 5'!M48)),'Map 5'!M48)</f>
        <v>Ocean</v>
      </c>
      <c r="N48" s="46" t="str" cm="1">
        <f t="array" aca="1" ref="N48" ca="1">_xlfn.IFNA(_xlfn.IFS(AND(ISNUMBER(SEARCH("Rainshadow",'Map 5'!N48)),ISNUMBER(SEARCH("Flatland",'Map 5'!N48))),CONCATENATE($AT48, " Rainshadow"),'Map 5'!N48="Flatland",$AT48,'Map 5'!N48="Island",CONCATENATE($AT48, " Island"),ISNUMBER(SEARCH("Rainshadow",'Map 5'!N48)),CONCATENATE($AT48," ",'Map 5'!N48)),'Map 5'!N48)</f>
        <v>Coast</v>
      </c>
      <c r="O48" s="46" t="str" cm="1">
        <f t="array" aca="1" ref="O48" ca="1">_xlfn.IFNA(_xlfn.IFS(AND(ISNUMBER(SEARCH("Rainshadow",'Map 5'!O48)),ISNUMBER(SEARCH("Flatland",'Map 5'!O48))),CONCATENATE($AT48, " Rainshadow"),'Map 5'!O48="Flatland",$AT48,'Map 5'!O48="Island",CONCATENATE($AT48, " Island"),ISNUMBER(SEARCH("Rainshadow",'Map 5'!O48)),CONCATENATE($AT48," ",'Map 5'!O48)),'Map 5'!O48)</f>
        <v>Coast</v>
      </c>
      <c r="P48" s="46" t="str" cm="1">
        <f t="array" aca="1" ref="P48" ca="1">_xlfn.IFNA(_xlfn.IFS(AND(ISNUMBER(SEARCH("Rainshadow",'Map 5'!P48)),ISNUMBER(SEARCH("Flatland",'Map 5'!P48))),CONCATENATE($AT48, " Rainshadow"),'Map 5'!P48="Flatland",$AT48,'Map 5'!P48="Island",CONCATENATE($AT48, " Island"),ISNUMBER(SEARCH("Rainshadow",'Map 5'!P48)),CONCATENATE($AT48," ",'Map 5'!P48)),'Map 5'!P48)</f>
        <v>Valley</v>
      </c>
      <c r="Q48" s="46" t="str" cm="1">
        <f t="array" aca="1" ref="Q48" ca="1">_xlfn.IFNA(_xlfn.IFS(AND(ISNUMBER(SEARCH("Rainshadow",'Map 5'!Q48)),ISNUMBER(SEARCH("Flatland",'Map 5'!Q48))),CONCATENATE($AT48, " Rainshadow"),'Map 5'!Q48="Flatland",$AT48,'Map 5'!Q48="Island",CONCATENATE($AT48, " Island"),ISNUMBER(SEARCH("Rainshadow",'Map 5'!Q48)),CONCATENATE($AT48," ",'Map 5'!Q48)),'Map 5'!Q48)</f>
        <v>Tundra</v>
      </c>
      <c r="R48" s="46" t="str" cm="1">
        <f t="array" aca="1" ref="R48" ca="1">_xlfn.IFNA(_xlfn.IFS(AND(ISNUMBER(SEARCH("Rainshadow",'Map 5'!R48)),ISNUMBER(SEARCH("Flatland",'Map 5'!R48))),CONCATENATE($AT48, " Rainshadow"),'Map 5'!R48="Flatland",$AT48,'Map 5'!R48="Island",CONCATENATE($AT48, " Island"),ISNUMBER(SEARCH("Rainshadow",'Map 5'!R48)),CONCATENATE($AT48," ",'Map 5'!R48)),'Map 5'!R48)</f>
        <v>Tundra Rainshadow</v>
      </c>
      <c r="S48" s="46" t="str" cm="1">
        <f t="array" aca="1" ref="S48" ca="1">_xlfn.IFNA(_xlfn.IFS(AND(ISNUMBER(SEARCH("Rainshadow",'Map 5'!S48)),ISNUMBER(SEARCH("Flatland",'Map 5'!S48))),CONCATENATE($AT48, " Rainshadow"),'Map 5'!S48="Flatland",$AT48,'Map 5'!S48="Island",CONCATENATE($AT48, " Island"),ISNUMBER(SEARCH("Rainshadow",'Map 5'!S48)),CONCATENATE($AT48," ",'Map 5'!S48)),'Map 5'!S48)</f>
        <v>Tundra</v>
      </c>
      <c r="T48" s="46" t="str" cm="1">
        <f t="array" aca="1" ref="T48" ca="1">_xlfn.IFNA(_xlfn.IFS(AND(ISNUMBER(SEARCH("Rainshadow",'Map 5'!T48)),ISNUMBER(SEARCH("Flatland",'Map 5'!T48))),CONCATENATE($AT48, " Rainshadow"),'Map 5'!T48="Flatland",$AT48,'Map 5'!T48="Island",CONCATENATE($AT48, " Island"),ISNUMBER(SEARCH("Rainshadow",'Map 5'!T48)),CONCATENATE($AT48," ",'Map 5'!T48)),'Map 5'!T48)</f>
        <v>Tundra</v>
      </c>
      <c r="U48" s="46" t="str" cm="1">
        <f t="array" aca="1" ref="U48" ca="1">_xlfn.IFNA(_xlfn.IFS(AND(ISNUMBER(SEARCH("Rainshadow",'Map 5'!U48)),ISNUMBER(SEARCH("Flatland",'Map 5'!U48))),CONCATENATE($AT48, " Rainshadow"),'Map 5'!U48="Flatland",$AT48,'Map 5'!U48="Island",CONCATENATE($AT48, " Island"),ISNUMBER(SEARCH("Rainshadow",'Map 5'!U48)),CONCATENATE($AT48," ",'Map 5'!U48)),'Map 5'!U48)</f>
        <v>Valley</v>
      </c>
      <c r="V48" s="46" t="str" cm="1">
        <f t="array" aca="1" ref="V48" ca="1">_xlfn.IFNA(_xlfn.IFS(AND(ISNUMBER(SEARCH("Rainshadow",'Map 5'!V48)),ISNUMBER(SEARCH("Flatland",'Map 5'!V48))),CONCATENATE($AT48, " Rainshadow"),'Map 5'!V48="Flatland",$AT48,'Map 5'!V48="Island",CONCATENATE($AT48, " Island"),ISNUMBER(SEARCH("Rainshadow",'Map 5'!V48)),CONCATENATE($AT48," ",'Map 5'!V48)),'Map 5'!V48)</f>
        <v>Coast</v>
      </c>
      <c r="W48" s="46" t="str" cm="1">
        <f t="array" aca="1" ref="W48" ca="1">_xlfn.IFNA(_xlfn.IFS(AND(ISNUMBER(SEARCH("Rainshadow",'Map 5'!W48)),ISNUMBER(SEARCH("Flatland",'Map 5'!W48))),CONCATENATE($AT48, " Rainshadow"),'Map 5'!W48="Flatland",$AT48,'Map 5'!W48="Island",CONCATENATE($AT48, " Island"),ISNUMBER(SEARCH("Rainshadow",'Map 5'!W48)),CONCATENATE($AT48," ",'Map 5'!W48)),'Map 5'!W48)</f>
        <v>Ocean</v>
      </c>
      <c r="X48" s="46" t="str" cm="1">
        <f t="array" aca="1" ref="X48" ca="1">_xlfn.IFNA(_xlfn.IFS(AND(ISNUMBER(SEARCH("Rainshadow",'Map 5'!X48)),ISNUMBER(SEARCH("Flatland",'Map 5'!X48))),CONCATENATE($AT48, " Rainshadow"),'Map 5'!X48="Flatland",$AT48,'Map 5'!X48="Island",CONCATENATE($AT48, " Island"),ISNUMBER(SEARCH("Rainshadow",'Map 5'!X48)),CONCATENATE($AT48," ",'Map 5'!X48)),'Map 5'!X48)</f>
        <v>Ocean</v>
      </c>
      <c r="Y48" s="46" t="str" cm="1">
        <f t="array" aca="1" ref="Y48" ca="1">_xlfn.IFNA(_xlfn.IFS(AND(ISNUMBER(SEARCH("Rainshadow",'Map 5'!Y48)),ISNUMBER(SEARCH("Flatland",'Map 5'!Y48))),CONCATENATE($AT48, " Rainshadow"),'Map 5'!Y48="Flatland",$AT48,'Map 5'!Y48="Island",CONCATENATE($AT48, " Island"),ISNUMBER(SEARCH("Rainshadow",'Map 5'!Y48)),CONCATENATE($AT48," ",'Map 5'!Y48)),'Map 5'!Y48)</f>
        <v>Ocean</v>
      </c>
      <c r="Z48" s="46" t="str" cm="1">
        <f t="array" aca="1" ref="Z48" ca="1">_xlfn.IFNA(_xlfn.IFS(AND(ISNUMBER(SEARCH("Rainshadow",'Map 5'!Z48)),ISNUMBER(SEARCH("Flatland",'Map 5'!Z48))),CONCATENATE($AT48, " Rainshadow"),'Map 5'!Z48="Flatland",$AT48,'Map 5'!Z48="Island",CONCATENATE($AT48, " Island"),ISNUMBER(SEARCH("Rainshadow",'Map 5'!Z48)),CONCATENATE($AT48," ",'Map 5'!Z48)),'Map 5'!Z48)</f>
        <v>Ocean</v>
      </c>
      <c r="AA48" s="46" t="str" cm="1">
        <f t="array" aca="1" ref="AA48" ca="1">_xlfn.IFNA(_xlfn.IFS(AND(ISNUMBER(SEARCH("Rainshadow",'Map 5'!AA48)),ISNUMBER(SEARCH("Flatland",'Map 5'!AA48))),CONCATENATE($AT48, " Rainshadow"),'Map 5'!AA48="Flatland",$AT48,'Map 5'!AA48="Island",CONCATENATE($AT48, " Island"),ISNUMBER(SEARCH("Rainshadow",'Map 5'!AA48)),CONCATENATE($AT48," ",'Map 5'!AA48)),'Map 5'!AA48)</f>
        <v>Ocean</v>
      </c>
      <c r="AB48" s="46" t="str" cm="1">
        <f t="array" aca="1" ref="AB48" ca="1">_xlfn.IFNA(_xlfn.IFS(AND(ISNUMBER(SEARCH("Rainshadow",'Map 5'!AB48)),ISNUMBER(SEARCH("Flatland",'Map 5'!AB48))),CONCATENATE($AT48, " Rainshadow"),'Map 5'!AB48="Flatland",$AT48,'Map 5'!AB48="Island",CONCATENATE($AT48, " Island"),ISNUMBER(SEARCH("Rainshadow",'Map 5'!AB48)),CONCATENATE($AT48," ",'Map 5'!AB48)),'Map 5'!AB48)</f>
        <v>Ocean</v>
      </c>
      <c r="AC48" s="46" t="str" cm="1">
        <f t="array" aca="1" ref="AC48" ca="1">_xlfn.IFNA(_xlfn.IFS(AND(ISNUMBER(SEARCH("Rainshadow",'Map 5'!AC48)),ISNUMBER(SEARCH("Flatland",'Map 5'!AC48))),CONCATENATE($AT48, " Rainshadow"),'Map 5'!AC48="Flatland",$AT48,'Map 5'!AC48="Island",CONCATENATE($AT48, " Island"),ISNUMBER(SEARCH("Rainshadow",'Map 5'!AC48)),CONCATENATE($AT48," ",'Map 5'!AC48)),'Map 5'!AC48)</f>
        <v>Ocean</v>
      </c>
      <c r="AD48" s="46" t="str" cm="1">
        <f t="array" aca="1" ref="AD48" ca="1">_xlfn.IFNA(_xlfn.IFS(AND(ISNUMBER(SEARCH("Rainshadow",'Map 5'!AD48)),ISNUMBER(SEARCH("Flatland",'Map 5'!AD48))),CONCATENATE($AT48, " Rainshadow"),'Map 5'!AD48="Flatland",$AT48,'Map 5'!AD48="Island",CONCATENATE($AT48, " Island"),ISNUMBER(SEARCH("Rainshadow",'Map 5'!AD48)),CONCATENATE($AT48," ",'Map 5'!AD48)),'Map 5'!AD48)</f>
        <v>Ocean</v>
      </c>
      <c r="AE48" s="46" t="str" cm="1">
        <f t="array" aca="1" ref="AE48" ca="1">_xlfn.IFNA(_xlfn.IFS(AND(ISNUMBER(SEARCH("Rainshadow",'Map 5'!AE48)),ISNUMBER(SEARCH("Flatland",'Map 5'!AE48))),CONCATENATE($AT48, " Rainshadow"),'Map 5'!AE48="Flatland",$AT48,'Map 5'!AE48="Island",CONCATENATE($AT48, " Island"),ISNUMBER(SEARCH("Rainshadow",'Map 5'!AE48)),CONCATENATE($AT48," ",'Map 5'!AE48)),'Map 5'!AE48)</f>
        <v>Ocean</v>
      </c>
      <c r="AF48" s="46" t="str" cm="1">
        <f t="array" aca="1" ref="AF48" ca="1">_xlfn.IFNA(_xlfn.IFS(AND(ISNUMBER(SEARCH("Rainshadow",'Map 5'!AF48)),ISNUMBER(SEARCH("Flatland",'Map 5'!AF48))),CONCATENATE($AT48, " Rainshadow"),'Map 5'!AF48="Flatland",$AT48,'Map 5'!AF48="Island",CONCATENATE($AT48, " Island"),ISNUMBER(SEARCH("Rainshadow",'Map 5'!AF48)),CONCATENATE($AT48," ",'Map 5'!AF48)),'Map 5'!AF48)</f>
        <v>Ocean</v>
      </c>
      <c r="AG48" s="46" t="str" cm="1">
        <f t="array" aca="1" ref="AG48" ca="1">_xlfn.IFNA(_xlfn.IFS(AND(ISNUMBER(SEARCH("Rainshadow",'Map 5'!AG48)),ISNUMBER(SEARCH("Flatland",'Map 5'!AG48))),CONCATENATE($AT48, " Rainshadow"),'Map 5'!AG48="Flatland",$AT48,'Map 5'!AG48="Island",CONCATENATE($AT48, " Island"),ISNUMBER(SEARCH("Rainshadow",'Map 5'!AG48)),CONCATENATE($AT48," ",'Map 5'!AG48)),'Map 5'!AG48)</f>
        <v>Ocean</v>
      </c>
      <c r="AH48" s="46" t="str" cm="1">
        <f t="array" aca="1" ref="AH48" ca="1">_xlfn.IFNA(_xlfn.IFS(AND(ISNUMBER(SEARCH("Rainshadow",'Map 5'!AH48)),ISNUMBER(SEARCH("Flatland",'Map 5'!AH48))),CONCATENATE($AT48, " Rainshadow"),'Map 5'!AH48="Flatland",$AT48,'Map 5'!AH48="Island",CONCATENATE($AT48, " Island"),ISNUMBER(SEARCH("Rainshadow",'Map 5'!AH48)),CONCATENATE($AT48," ",'Map 5'!AH48)),'Map 5'!AH48)</f>
        <v>Ocean</v>
      </c>
      <c r="AI48" s="46" t="str" cm="1">
        <f t="array" aca="1" ref="AI48" ca="1">_xlfn.IFNA(_xlfn.IFS(AND(ISNUMBER(SEARCH("Rainshadow",'Map 5'!AI48)),ISNUMBER(SEARCH("Flatland",'Map 5'!AI48))),CONCATENATE($AT48, " Rainshadow"),'Map 5'!AI48="Flatland",$AT48,'Map 5'!AI48="Island",CONCATENATE($AT48, " Island"),ISNUMBER(SEARCH("Rainshadow",'Map 5'!AI48)),CONCATENATE($AT48," ",'Map 5'!AI48)),'Map 5'!AI48)</f>
        <v>Ocean</v>
      </c>
      <c r="AJ48" s="46" t="str" cm="1">
        <f t="array" aca="1" ref="AJ48" ca="1">_xlfn.IFNA(_xlfn.IFS(AND(ISNUMBER(SEARCH("Rainshadow",'Map 5'!AJ48)),ISNUMBER(SEARCH("Flatland",'Map 5'!AJ48))),CONCATENATE($AT48, " Rainshadow"),'Map 5'!AJ48="Flatland",$AT48,'Map 5'!AJ48="Island",CONCATENATE($AT48, " Island"),ISNUMBER(SEARCH("Rainshadow",'Map 5'!AJ48)),CONCATENATE($AT48," ",'Map 5'!AJ48)),'Map 5'!AJ48)</f>
        <v>Ocean</v>
      </c>
      <c r="AK48" s="46" t="str" cm="1">
        <f t="array" aca="1" ref="AK48" ca="1">_xlfn.IFNA(_xlfn.IFS(AND(ISNUMBER(SEARCH("Rainshadow",'Map 5'!AK48)),ISNUMBER(SEARCH("Flatland",'Map 5'!AK48))),CONCATENATE($AT48, " Rainshadow"),'Map 5'!AK48="Flatland",$AT48,'Map 5'!AK48="Island",CONCATENATE($AT48, " Island"),ISNUMBER(SEARCH("Rainshadow",'Map 5'!AK48)),CONCATENATE($AT48," ",'Map 5'!AK48)),'Map 5'!AK48)</f>
        <v>Tundra Island</v>
      </c>
      <c r="AL48" s="46" t="str" cm="1">
        <f t="array" aca="1" ref="AL48" ca="1">_xlfn.IFNA(_xlfn.IFS(AND(ISNUMBER(SEARCH("Rainshadow",'Map 5'!AL48)),ISNUMBER(SEARCH("Flatland",'Map 5'!AL48))),CONCATENATE($AT48, " Rainshadow"),'Map 5'!AL48="Flatland",$AT48,'Map 5'!AL48="Island",CONCATENATE($AT48, " Island"),ISNUMBER(SEARCH("Rainshadow",'Map 5'!AL48)),CONCATENATE($AT48," ",'Map 5'!AL48)),'Map 5'!AL48)</f>
        <v>Trench</v>
      </c>
      <c r="AM48" s="46" t="str" cm="1">
        <f t="array" aca="1" ref="AM48" ca="1">_xlfn.IFNA(_xlfn.IFS(AND(ISNUMBER(SEARCH("Rainshadow",'Map 5'!AM48)),ISNUMBER(SEARCH("Flatland",'Map 5'!AM48))),CONCATENATE($AT48, " Rainshadow"),'Map 5'!AM48="Flatland",$AT48,'Map 5'!AM48="Island",CONCATENATE($AT48, " Island"),ISNUMBER(SEARCH("Rainshadow",'Map 5'!AM48)),CONCATENATE($AT48," ",'Map 5'!AM48)),'Map 5'!AM48)</f>
        <v>Ocean</v>
      </c>
      <c r="AN48" s="46" t="str" cm="1">
        <f t="array" aca="1" ref="AN48" ca="1">_xlfn.IFNA(_xlfn.IFS(AND(ISNUMBER(SEARCH("Rainshadow",'Map 5'!AN48)),ISNUMBER(SEARCH("Flatland",'Map 5'!AN48))),CONCATENATE($AT48, " Rainshadow"),'Map 5'!AN48="Flatland",$AT48,'Map 5'!AN48="Island",CONCATENATE($AT48, " Island"),ISNUMBER(SEARCH("Rainshadow",'Map 5'!AN48)),CONCATENATE($AT48," ",'Map 5'!AN48)),'Map 5'!AN48)</f>
        <v>Ocean</v>
      </c>
      <c r="AO48" s="46" t="str" cm="1">
        <f t="array" aca="1" ref="AO48" ca="1">_xlfn.IFNA(_xlfn.IFS(AND(ISNUMBER(SEARCH("Rainshadow",'Map 5'!AO48)),ISNUMBER(SEARCH("Flatland",'Map 5'!AO48))),CONCATENATE($AT48, " Rainshadow"),'Map 5'!AO48="Flatland",$AT48,'Map 5'!AO48="Island",CONCATENATE($AT48, " Island"),ISNUMBER(SEARCH("Rainshadow",'Map 5'!AO48)),CONCATENATE($AT48," ",'Map 5'!AO48)),'Map 5'!AO48)</f>
        <v>Ocean</v>
      </c>
      <c r="AP48" s="46">
        <f>'Map 5'!AP48</f>
        <v>-34.200000000000003</v>
      </c>
      <c r="AQ48" s="46">
        <f>'Map 5'!AQ48</f>
        <v>-29.56</v>
      </c>
      <c r="AR48" s="46">
        <f>'Map 5'!AS48</f>
        <v>238.95000000000022</v>
      </c>
      <c r="AS48" s="47">
        <f>'Map 5'!AT48</f>
        <v>-85.5</v>
      </c>
      <c r="AT48" s="47" t="str">
        <f>'Map 5'!AU48</f>
        <v>Tundra</v>
      </c>
      <c r="AU48" s="47" t="str">
        <f>'Map 5'!AV48</f>
        <v>⤴</v>
      </c>
      <c r="AX48" s="47" t="str">
        <f>CONCATENATE($AX$24," ",$AX7)</f>
        <v>Grasslands Rainshadow Valley</v>
      </c>
    </row>
    <row r="49" spans="1:50" ht="18.75" customHeight="1">
      <c r="A49" s="46">
        <v>40</v>
      </c>
      <c r="B49" s="46" t="str" cm="1">
        <f t="array" aca="1" ref="B49" ca="1">_xlfn.IFNA(_xlfn.IFS(AND(ISNUMBER(SEARCH("Rainshadow",'Map 5'!B49)),ISNUMBER(SEARCH("Flatland",'Map 5'!B49))),CONCATENATE($AT49, " Rainshadow"),'Map 5'!B49="Flatland",$AT49,'Map 5'!B49="Island",CONCATENATE($AT49, " Island"),ISNUMBER(SEARCH("Rainshadow",'Map 5'!B49)),CONCATENATE($AT49," ",'Map 5'!B49)),'Map 5'!B49)</f>
        <v>Ocean</v>
      </c>
      <c r="C49" s="46" t="str" cm="1">
        <f t="array" aca="1" ref="C49" ca="1">_xlfn.IFNA(_xlfn.IFS(AND(ISNUMBER(SEARCH("Rainshadow",'Map 5'!C49)),ISNUMBER(SEARCH("Flatland",'Map 5'!C49))),CONCATENATE($AT49, " Rainshadow"),'Map 5'!C49="Flatland",$AT49,'Map 5'!C49="Island",CONCATENATE($AT49, " Island"),ISNUMBER(SEARCH("Rainshadow",'Map 5'!C49)),CONCATENATE($AT49," ",'Map 5'!C49)),'Map 5'!C49)</f>
        <v>Ocean</v>
      </c>
      <c r="D49" s="46" t="str" cm="1">
        <f t="array" aca="1" ref="D49" ca="1">_xlfn.IFNA(_xlfn.IFS(AND(ISNUMBER(SEARCH("Rainshadow",'Map 5'!D49)),ISNUMBER(SEARCH("Flatland",'Map 5'!D49))),CONCATENATE($AT49, " Rainshadow"),'Map 5'!D49="Flatland",$AT49,'Map 5'!D49="Island",CONCATENATE($AT49, " Island"),ISNUMBER(SEARCH("Rainshadow",'Map 5'!D49)),CONCATENATE($AT49," ",'Map 5'!D49)),'Map 5'!D49)</f>
        <v>Ocean</v>
      </c>
      <c r="E49" s="46" t="str" cm="1">
        <f t="array" aca="1" ref="E49" ca="1">_xlfn.IFNA(_xlfn.IFS(AND(ISNUMBER(SEARCH("Rainshadow",'Map 5'!E49)),ISNUMBER(SEARCH("Flatland",'Map 5'!E49))),CONCATENATE($AT49, " Rainshadow"),'Map 5'!E49="Flatland",$AT49,'Map 5'!E49="Island",CONCATENATE($AT49, " Island"),ISNUMBER(SEARCH("Rainshadow",'Map 5'!E49)),CONCATENATE($AT49," ",'Map 5'!E49)),'Map 5'!E49)</f>
        <v>Ocean</v>
      </c>
      <c r="F49" s="46" t="str" cm="1">
        <f t="array" aca="1" ref="F49" ca="1">_xlfn.IFNA(_xlfn.IFS(AND(ISNUMBER(SEARCH("Rainshadow",'Map 5'!F49)),ISNUMBER(SEARCH("Flatland",'Map 5'!F49))),CONCATENATE($AT49, " Rainshadow"),'Map 5'!F49="Flatland",$AT49,'Map 5'!F49="Island",CONCATENATE($AT49, " Island"),ISNUMBER(SEARCH("Rainshadow",'Map 5'!F49)),CONCATENATE($AT49," ",'Map 5'!F49)),'Map 5'!F49)</f>
        <v>Cliff</v>
      </c>
      <c r="G49" s="46" t="str" cm="1">
        <f t="array" aca="1" ref="G49" ca="1">_xlfn.IFNA(_xlfn.IFS(AND(ISNUMBER(SEARCH("Rainshadow",'Map 5'!G49)),ISNUMBER(SEARCH("Flatland",'Map 5'!G49))),CONCATENATE($AT49, " Rainshadow"),'Map 5'!G49="Flatland",$AT49,'Map 5'!G49="Island",CONCATENATE($AT49, " Island"),ISNUMBER(SEARCH("Rainshadow",'Map 5'!G49)),CONCATENATE($AT49," ",'Map 5'!G49)),'Map 5'!G49)</f>
        <v>Coast</v>
      </c>
      <c r="H49" s="46" t="str" cm="1">
        <f t="array" aca="1" ref="H49" ca="1">_xlfn.IFNA(_xlfn.IFS(AND(ISNUMBER(SEARCH("Rainshadow",'Map 5'!H49)),ISNUMBER(SEARCH("Flatland",'Map 5'!H49))),CONCATENATE($AT49, " Rainshadow"),'Map 5'!H49="Flatland",$AT49,'Map 5'!H49="Island",CONCATENATE($AT49, " Island"),ISNUMBER(SEARCH("Rainshadow",'Map 5'!H49)),CONCATENATE($AT49," ",'Map 5'!H49)),'Map 5'!H49)</f>
        <v>Tundra</v>
      </c>
      <c r="I49" s="46" t="str" cm="1">
        <f t="array" aca="1" ref="I49" ca="1">_xlfn.IFNA(_xlfn.IFS(AND(ISNUMBER(SEARCH("Rainshadow",'Map 5'!I49)),ISNUMBER(SEARCH("Flatland",'Map 5'!I49))),CONCATENATE($AT49, " Rainshadow"),'Map 5'!I49="Flatland",$AT49,'Map 5'!I49="Island",CONCATENATE($AT49, " Island"),ISNUMBER(SEARCH("Rainshadow",'Map 5'!I49)),CONCATENATE($AT49," ",'Map 5'!I49)),'Map 5'!I49)</f>
        <v>Tundra</v>
      </c>
      <c r="J49" s="46" t="str" cm="1">
        <f t="array" aca="1" ref="J49" ca="1">_xlfn.IFNA(_xlfn.IFS(AND(ISNUMBER(SEARCH("Rainshadow",'Map 5'!J49)),ISNUMBER(SEARCH("Flatland",'Map 5'!J49))),CONCATENATE($AT49, " Rainshadow"),'Map 5'!J49="Flatland",$AT49,'Map 5'!J49="Island",CONCATENATE($AT49, " Island"),ISNUMBER(SEARCH("Rainshadow",'Map 5'!J49)),CONCATENATE($AT49," ",'Map 5'!J49)),'Map 5'!J49)</f>
        <v>Ocean</v>
      </c>
      <c r="K49" s="46" t="str" cm="1">
        <f t="array" aca="1" ref="K49" ca="1">_xlfn.IFNA(_xlfn.IFS(AND(ISNUMBER(SEARCH("Rainshadow",'Map 5'!K49)),ISNUMBER(SEARCH("Flatland",'Map 5'!K49))),CONCATENATE($AT49, " Rainshadow"),'Map 5'!K49="Flatland",$AT49,'Map 5'!K49="Island",CONCATENATE($AT49, " Island"),ISNUMBER(SEARCH("Rainshadow",'Map 5'!K49)),CONCATENATE($AT49," ",'Map 5'!K49)),'Map 5'!K49)</f>
        <v>Ocean</v>
      </c>
      <c r="L49" s="46" t="str" cm="1">
        <f t="array" aca="1" ref="L49" ca="1">_xlfn.IFNA(_xlfn.IFS(AND(ISNUMBER(SEARCH("Rainshadow",'Map 5'!L49)),ISNUMBER(SEARCH("Flatland",'Map 5'!L49))),CONCATENATE($AT49, " Rainshadow"),'Map 5'!L49="Flatland",$AT49,'Map 5'!L49="Island",CONCATENATE($AT49, " Island"),ISNUMBER(SEARCH("Rainshadow",'Map 5'!L49)),CONCATENATE($AT49," ",'Map 5'!L49)),'Map 5'!L49)</f>
        <v>Ocean</v>
      </c>
      <c r="M49" s="46" t="str" cm="1">
        <f t="array" aca="1" ref="M49" ca="1">_xlfn.IFNA(_xlfn.IFS(AND(ISNUMBER(SEARCH("Rainshadow",'Map 5'!M49)),ISNUMBER(SEARCH("Flatland",'Map 5'!M49))),CONCATENATE($AT49, " Rainshadow"),'Map 5'!M49="Flatland",$AT49,'Map 5'!M49="Island",CONCATENATE($AT49, " Island"),ISNUMBER(SEARCH("Rainshadow",'Map 5'!M49)),CONCATENATE($AT49," ",'Map 5'!M49)),'Map 5'!M49)</f>
        <v>Coast</v>
      </c>
      <c r="N49" s="46" t="str" cm="1">
        <f t="array" aca="1" ref="N49" ca="1">_xlfn.IFNA(_xlfn.IFS(AND(ISNUMBER(SEARCH("Rainshadow",'Map 5'!N49)),ISNUMBER(SEARCH("Flatland",'Map 5'!N49))),CONCATENATE($AT49, " Rainshadow"),'Map 5'!N49="Flatland",$AT49,'Map 5'!N49="Island",CONCATENATE($AT49, " Island"),ISNUMBER(SEARCH("Rainshadow",'Map 5'!N49)),CONCATENATE($AT49," ",'Map 5'!N49)),'Map 5'!N49)</f>
        <v>Tundra</v>
      </c>
      <c r="O49" s="46" t="str" cm="1">
        <f t="array" aca="1" ref="O49" ca="1">_xlfn.IFNA(_xlfn.IFS(AND(ISNUMBER(SEARCH("Rainshadow",'Map 5'!O49)),ISNUMBER(SEARCH("Flatland",'Map 5'!O49))),CONCATENATE($AT49, " Rainshadow"),'Map 5'!O49="Flatland",$AT49,'Map 5'!O49="Island",CONCATENATE($AT49, " Island"),ISNUMBER(SEARCH("Rainshadow",'Map 5'!O49)),CONCATENATE($AT49," ",'Map 5'!O49)),'Map 5'!O49)</f>
        <v>Tundra</v>
      </c>
      <c r="P49" s="46" t="str" cm="1">
        <f t="array" aca="1" ref="P49" ca="1">_xlfn.IFNA(_xlfn.IFS(AND(ISNUMBER(SEARCH("Rainshadow",'Map 5'!P49)),ISNUMBER(SEARCH("Flatland",'Map 5'!P49))),CONCATENATE($AT49, " Rainshadow"),'Map 5'!P49="Flatland",$AT49,'Map 5'!P49="Island",CONCATENATE($AT49, " Island"),ISNUMBER(SEARCH("Rainshadow",'Map 5'!P49)),CONCATENATE($AT49," ",'Map 5'!P49)),'Map 5'!P49)</f>
        <v>Mountain</v>
      </c>
      <c r="Q49" s="46" t="str" cm="1">
        <f t="array" aca="1" ref="Q49" ca="1">_xlfn.IFNA(_xlfn.IFS(AND(ISNUMBER(SEARCH("Rainshadow",'Map 5'!Q49)),ISNUMBER(SEARCH("Flatland",'Map 5'!Q49))),CONCATENATE($AT49, " Rainshadow"),'Map 5'!Q49="Flatland",$AT49,'Map 5'!Q49="Island",CONCATENATE($AT49, " Island"),ISNUMBER(SEARCH("Rainshadow",'Map 5'!Q49)),CONCATENATE($AT49," ",'Map 5'!Q49)),'Map 5'!Q49)</f>
        <v>Tundra</v>
      </c>
      <c r="R49" s="46" t="str" cm="1">
        <f t="array" aca="1" ref="R49" ca="1">_xlfn.IFNA(_xlfn.IFS(AND(ISNUMBER(SEARCH("Rainshadow",'Map 5'!R49)),ISNUMBER(SEARCH("Flatland",'Map 5'!R49))),CONCATENATE($AT49, " Rainshadow"),'Map 5'!R49="Flatland",$AT49,'Map 5'!R49="Island",CONCATENATE($AT49, " Island"),ISNUMBER(SEARCH("Rainshadow",'Map 5'!R49)),CONCATENATE($AT49," ",'Map 5'!R49)),'Map 5'!R49)</f>
        <v>Tundra</v>
      </c>
      <c r="S49" s="46" t="str" cm="1">
        <f t="array" aca="1" ref="S49" ca="1">_xlfn.IFNA(_xlfn.IFS(AND(ISNUMBER(SEARCH("Rainshadow",'Map 5'!S49)),ISNUMBER(SEARCH("Flatland",'Map 5'!S49))),CONCATENATE($AT49, " Rainshadow"),'Map 5'!S49="Flatland",$AT49,'Map 5'!S49="Island",CONCATENATE($AT49, " Island"),ISNUMBER(SEARCH("Rainshadow",'Map 5'!S49)),CONCATENATE($AT49," ",'Map 5'!S49)),'Map 5'!S49)</f>
        <v>Tundra</v>
      </c>
      <c r="T49" s="46" t="str" cm="1">
        <f t="array" aca="1" ref="T49" ca="1">_xlfn.IFNA(_xlfn.IFS(AND(ISNUMBER(SEARCH("Rainshadow",'Map 5'!T49)),ISNUMBER(SEARCH("Flatland",'Map 5'!T49))),CONCATENATE($AT49, " Rainshadow"),'Map 5'!T49="Flatland",$AT49,'Map 5'!T49="Island",CONCATENATE($AT49, " Island"),ISNUMBER(SEARCH("Rainshadow",'Map 5'!T49)),CONCATENATE($AT49," ",'Map 5'!T49)),'Map 5'!T49)</f>
        <v>Tundra</v>
      </c>
      <c r="U49" s="46" t="str" cm="1">
        <f t="array" aca="1" ref="U49" ca="1">_xlfn.IFNA(_xlfn.IFS(AND(ISNUMBER(SEARCH("Rainshadow",'Map 5'!U49)),ISNUMBER(SEARCH("Flatland",'Map 5'!U49))),CONCATENATE($AT49, " Rainshadow"),'Map 5'!U49="Flatland",$AT49,'Map 5'!U49="Island",CONCATENATE($AT49, " Island"),ISNUMBER(SEARCH("Rainshadow",'Map 5'!U49)),CONCATENATE($AT49," ",'Map 5'!U49)),'Map 5'!U49)</f>
        <v>Mountain</v>
      </c>
      <c r="V49" s="46" t="str" cm="1">
        <f t="array" aca="1" ref="V49" ca="1">_xlfn.IFNA(_xlfn.IFS(AND(ISNUMBER(SEARCH("Rainshadow",'Map 5'!V49)),ISNUMBER(SEARCH("Flatland",'Map 5'!V49))),CONCATENATE($AT49, " Rainshadow"),'Map 5'!V49="Flatland",$AT49,'Map 5'!V49="Island",CONCATENATE($AT49, " Island"),ISNUMBER(SEARCH("Rainshadow",'Map 5'!V49)),CONCATENATE($AT49," ",'Map 5'!V49)),'Map 5'!V49)</f>
        <v>Coast</v>
      </c>
      <c r="W49" s="46" t="str" cm="1">
        <f t="array" aca="1" ref="W49" ca="1">_xlfn.IFNA(_xlfn.IFS(AND(ISNUMBER(SEARCH("Rainshadow",'Map 5'!W49)),ISNUMBER(SEARCH("Flatland",'Map 5'!W49))),CONCATENATE($AT49, " Rainshadow"),'Map 5'!W49="Flatland",$AT49,'Map 5'!W49="Island",CONCATENATE($AT49, " Island"),ISNUMBER(SEARCH("Rainshadow",'Map 5'!W49)),CONCATENATE($AT49," ",'Map 5'!W49)),'Map 5'!W49)</f>
        <v>Trench</v>
      </c>
      <c r="X49" s="46" t="str" cm="1">
        <f t="array" aca="1" ref="X49" ca="1">_xlfn.IFNA(_xlfn.IFS(AND(ISNUMBER(SEARCH("Rainshadow",'Map 5'!X49)),ISNUMBER(SEARCH("Flatland",'Map 5'!X49))),CONCATENATE($AT49, " Rainshadow"),'Map 5'!X49="Flatland",$AT49,'Map 5'!X49="Island",CONCATENATE($AT49, " Island"),ISNUMBER(SEARCH("Rainshadow",'Map 5'!X49)),CONCATENATE($AT49," ",'Map 5'!X49)),'Map 5'!X49)</f>
        <v>Ocean</v>
      </c>
      <c r="Y49" s="46" t="str" cm="1">
        <f t="array" aca="1" ref="Y49" ca="1">_xlfn.IFNA(_xlfn.IFS(AND(ISNUMBER(SEARCH("Rainshadow",'Map 5'!Y49)),ISNUMBER(SEARCH("Flatland",'Map 5'!Y49))),CONCATENATE($AT49, " Rainshadow"),'Map 5'!Y49="Flatland",$AT49,'Map 5'!Y49="Island",CONCATENATE($AT49, " Island"),ISNUMBER(SEARCH("Rainshadow",'Map 5'!Y49)),CONCATENATE($AT49," ",'Map 5'!Y49)),'Map 5'!Y49)</f>
        <v>Ocean</v>
      </c>
      <c r="Z49" s="46" t="str" cm="1">
        <f t="array" aca="1" ref="Z49" ca="1">_xlfn.IFNA(_xlfn.IFS(AND(ISNUMBER(SEARCH("Rainshadow",'Map 5'!Z49)),ISNUMBER(SEARCH("Flatland",'Map 5'!Z49))),CONCATENATE($AT49, " Rainshadow"),'Map 5'!Z49="Flatland",$AT49,'Map 5'!Z49="Island",CONCATENATE($AT49, " Island"),ISNUMBER(SEARCH("Rainshadow",'Map 5'!Z49)),CONCATENATE($AT49," ",'Map 5'!Z49)),'Map 5'!Z49)</f>
        <v>Ocean</v>
      </c>
      <c r="AA49" s="46" t="str" cm="1">
        <f t="array" aca="1" ref="AA49" ca="1">_xlfn.IFNA(_xlfn.IFS(AND(ISNUMBER(SEARCH("Rainshadow",'Map 5'!AA49)),ISNUMBER(SEARCH("Flatland",'Map 5'!AA49))),CONCATENATE($AT49, " Rainshadow"),'Map 5'!AA49="Flatland",$AT49,'Map 5'!AA49="Island",CONCATENATE($AT49, " Island"),ISNUMBER(SEARCH("Rainshadow",'Map 5'!AA49)),CONCATENATE($AT49," ",'Map 5'!AA49)),'Map 5'!AA49)</f>
        <v>Ocean</v>
      </c>
      <c r="AB49" s="46" t="str" cm="1">
        <f t="array" aca="1" ref="AB49" ca="1">_xlfn.IFNA(_xlfn.IFS(AND(ISNUMBER(SEARCH("Rainshadow",'Map 5'!AB49)),ISNUMBER(SEARCH("Flatland",'Map 5'!AB49))),CONCATENATE($AT49, " Rainshadow"),'Map 5'!AB49="Flatland",$AT49,'Map 5'!AB49="Island",CONCATENATE($AT49, " Island"),ISNUMBER(SEARCH("Rainshadow",'Map 5'!AB49)),CONCATENATE($AT49," ",'Map 5'!AB49)),'Map 5'!AB49)</f>
        <v>Ocean</v>
      </c>
      <c r="AC49" s="46" t="str" cm="1">
        <f t="array" aca="1" ref="AC49" ca="1">_xlfn.IFNA(_xlfn.IFS(AND(ISNUMBER(SEARCH("Rainshadow",'Map 5'!AC49)),ISNUMBER(SEARCH("Flatland",'Map 5'!AC49))),CONCATENATE($AT49, " Rainshadow"),'Map 5'!AC49="Flatland",$AT49,'Map 5'!AC49="Island",CONCATENATE($AT49, " Island"),ISNUMBER(SEARCH("Rainshadow",'Map 5'!AC49)),CONCATENATE($AT49," ",'Map 5'!AC49)),'Map 5'!AC49)</f>
        <v>Ocean</v>
      </c>
      <c r="AD49" s="46" t="str" cm="1">
        <f t="array" aca="1" ref="AD49" ca="1">_xlfn.IFNA(_xlfn.IFS(AND(ISNUMBER(SEARCH("Rainshadow",'Map 5'!AD49)),ISNUMBER(SEARCH("Flatland",'Map 5'!AD49))),CONCATENATE($AT49, " Rainshadow"),'Map 5'!AD49="Flatland",$AT49,'Map 5'!AD49="Island",CONCATENATE($AT49, " Island"),ISNUMBER(SEARCH("Rainshadow",'Map 5'!AD49)),CONCATENATE($AT49," ",'Map 5'!AD49)),'Map 5'!AD49)</f>
        <v>Ocean</v>
      </c>
      <c r="AE49" s="46" t="str" cm="1">
        <f t="array" aca="1" ref="AE49" ca="1">_xlfn.IFNA(_xlfn.IFS(AND(ISNUMBER(SEARCH("Rainshadow",'Map 5'!AE49)),ISNUMBER(SEARCH("Flatland",'Map 5'!AE49))),CONCATENATE($AT49, " Rainshadow"),'Map 5'!AE49="Flatland",$AT49,'Map 5'!AE49="Island",CONCATENATE($AT49, " Island"),ISNUMBER(SEARCH("Rainshadow",'Map 5'!AE49)),CONCATENATE($AT49," ",'Map 5'!AE49)),'Map 5'!AE49)</f>
        <v>Ocean</v>
      </c>
      <c r="AF49" s="46" t="str" cm="1">
        <f t="array" aca="1" ref="AF49" ca="1">_xlfn.IFNA(_xlfn.IFS(AND(ISNUMBER(SEARCH("Rainshadow",'Map 5'!AF49)),ISNUMBER(SEARCH("Flatland",'Map 5'!AF49))),CONCATENATE($AT49, " Rainshadow"),'Map 5'!AF49="Flatland",$AT49,'Map 5'!AF49="Island",CONCATENATE($AT49, " Island"),ISNUMBER(SEARCH("Rainshadow",'Map 5'!AF49)),CONCATENATE($AT49," ",'Map 5'!AF49)),'Map 5'!AF49)</f>
        <v>Ocean</v>
      </c>
      <c r="AG49" s="46" t="str" cm="1">
        <f t="array" aca="1" ref="AG49" ca="1">_xlfn.IFNA(_xlfn.IFS(AND(ISNUMBER(SEARCH("Rainshadow",'Map 5'!AG49)),ISNUMBER(SEARCH("Flatland",'Map 5'!AG49))),CONCATENATE($AT49, " Rainshadow"),'Map 5'!AG49="Flatland",$AT49,'Map 5'!AG49="Island",CONCATENATE($AT49, " Island"),ISNUMBER(SEARCH("Rainshadow",'Map 5'!AG49)),CONCATENATE($AT49," ",'Map 5'!AG49)),'Map 5'!AG49)</f>
        <v>Ocean</v>
      </c>
      <c r="AH49" s="46" t="str" cm="1">
        <f t="array" aca="1" ref="AH49" ca="1">_xlfn.IFNA(_xlfn.IFS(AND(ISNUMBER(SEARCH("Rainshadow",'Map 5'!AH49)),ISNUMBER(SEARCH("Flatland",'Map 5'!AH49))),CONCATENATE($AT49, " Rainshadow"),'Map 5'!AH49="Flatland",$AT49,'Map 5'!AH49="Island",CONCATENATE($AT49, " Island"),ISNUMBER(SEARCH("Rainshadow",'Map 5'!AH49)),CONCATENATE($AT49," ",'Map 5'!AH49)),'Map 5'!AH49)</f>
        <v>Ocean</v>
      </c>
      <c r="AI49" s="46" t="str" cm="1">
        <f t="array" aca="1" ref="AI49" ca="1">_xlfn.IFNA(_xlfn.IFS(AND(ISNUMBER(SEARCH("Rainshadow",'Map 5'!AI49)),ISNUMBER(SEARCH("Flatland",'Map 5'!AI49))),CONCATENATE($AT49, " Rainshadow"),'Map 5'!AI49="Flatland",$AT49,'Map 5'!AI49="Island",CONCATENATE($AT49, " Island"),ISNUMBER(SEARCH("Rainshadow",'Map 5'!AI49)),CONCATENATE($AT49," ",'Map 5'!AI49)),'Map 5'!AI49)</f>
        <v>Ocean</v>
      </c>
      <c r="AJ49" s="46" t="str" cm="1">
        <f t="array" aca="1" ref="AJ49" ca="1">_xlfn.IFNA(_xlfn.IFS(AND(ISNUMBER(SEARCH("Rainshadow",'Map 5'!AJ49)),ISNUMBER(SEARCH("Flatland",'Map 5'!AJ49))),CONCATENATE($AT49, " Rainshadow"),'Map 5'!AJ49="Flatland",$AT49,'Map 5'!AJ49="Island",CONCATENATE($AT49, " Island"),ISNUMBER(SEARCH("Rainshadow",'Map 5'!AJ49)),CONCATENATE($AT49," ",'Map 5'!AJ49)),'Map 5'!AJ49)</f>
        <v>Trench</v>
      </c>
      <c r="AK49" s="46" t="str" cm="1">
        <f t="array" aca="1" ref="AK49" ca="1">_xlfn.IFNA(_xlfn.IFS(AND(ISNUMBER(SEARCH("Rainshadow",'Map 5'!AK49)),ISNUMBER(SEARCH("Flatland",'Map 5'!AK49))),CONCATENATE($AT49, " Rainshadow"),'Map 5'!AK49="Flatland",$AT49,'Map 5'!AK49="Island",CONCATENATE($AT49, " Island"),ISNUMBER(SEARCH("Rainshadow",'Map 5'!AK49)),CONCATENATE($AT49," ",'Map 5'!AK49)),'Map 5'!AK49)</f>
        <v>Ocean</v>
      </c>
      <c r="AL49" s="46" t="str" cm="1">
        <f t="array" aca="1" ref="AL49" ca="1">_xlfn.IFNA(_xlfn.IFS(AND(ISNUMBER(SEARCH("Rainshadow",'Map 5'!AL49)),ISNUMBER(SEARCH("Flatland",'Map 5'!AL49))),CONCATENATE($AT49, " Rainshadow"),'Map 5'!AL49="Flatland",$AT49,'Map 5'!AL49="Island",CONCATENATE($AT49, " Island"),ISNUMBER(SEARCH("Rainshadow",'Map 5'!AL49)),CONCATENATE($AT49," ",'Map 5'!AL49)),'Map 5'!AL49)</f>
        <v>Ocean</v>
      </c>
      <c r="AM49" s="46" t="str" cm="1">
        <f t="array" aca="1" ref="AM49" ca="1">_xlfn.IFNA(_xlfn.IFS(AND(ISNUMBER(SEARCH("Rainshadow",'Map 5'!AM49)),ISNUMBER(SEARCH("Flatland",'Map 5'!AM49))),CONCATENATE($AT49, " Rainshadow"),'Map 5'!AM49="Flatland",$AT49,'Map 5'!AM49="Island",CONCATENATE($AT49, " Island"),ISNUMBER(SEARCH("Rainshadow",'Map 5'!AM49)),CONCATENATE($AT49," ",'Map 5'!AM49)),'Map 5'!AM49)</f>
        <v>Ocean</v>
      </c>
      <c r="AN49" s="46" t="str" cm="1">
        <f t="array" aca="1" ref="AN49" ca="1">_xlfn.IFNA(_xlfn.IFS(AND(ISNUMBER(SEARCH("Rainshadow",'Map 5'!AN49)),ISNUMBER(SEARCH("Flatland",'Map 5'!AN49))),CONCATENATE($AT49, " Rainshadow"),'Map 5'!AN49="Flatland",$AT49,'Map 5'!AN49="Island",CONCATENATE($AT49, " Island"),ISNUMBER(SEARCH("Rainshadow",'Map 5'!AN49)),CONCATENATE($AT49," ",'Map 5'!AN49)),'Map 5'!AN49)</f>
        <v>Ocean</v>
      </c>
      <c r="AO49" s="46" t="str" cm="1">
        <f t="array" aca="1" ref="AO49" ca="1">_xlfn.IFNA(_xlfn.IFS(AND(ISNUMBER(SEARCH("Rainshadow",'Map 5'!AO49)),ISNUMBER(SEARCH("Flatland",'Map 5'!AO49))),CONCATENATE($AT49, " Rainshadow"),'Map 5'!AO49="Flatland",$AT49,'Map 5'!AO49="Island",CONCATENATE($AT49, " Island"),ISNUMBER(SEARCH("Rainshadow",'Map 5'!AO49)),CONCATENATE($AT49," ",'Map 5'!AO49)),'Map 5'!AO49)</f>
        <v>Ocean</v>
      </c>
      <c r="AP49" s="46">
        <f>'Map 5'!AP49</f>
        <v>-41.15</v>
      </c>
      <c r="AQ49" s="46">
        <f>'Map 5'!AQ49</f>
        <v>-42.07</v>
      </c>
      <c r="AR49" s="46">
        <f>'Map 5'!AS49</f>
        <v>232.00000000000023</v>
      </c>
      <c r="AS49" s="47">
        <f>'Map 5'!AT49</f>
        <v>-90</v>
      </c>
      <c r="AT49" s="47" t="str">
        <f>'Map 5'!AU49</f>
        <v>Tundra</v>
      </c>
      <c r="AU49" s="47" t="str">
        <f>'Map 5'!AV49</f>
        <v>⤴</v>
      </c>
      <c r="AX49" s="47" t="str">
        <f>CONCATENATE($AX$25," ",$AX7)</f>
        <v>Rainforest Rainshadow Valley</v>
      </c>
    </row>
  </sheetData>
  <conditionalFormatting sqref="B10:AO49">
    <cfRule type="cellIs" dxfId="183" priority="39" operator="equal">
      <formula>$AL$3</formula>
    </cfRule>
    <cfRule type="expression" dxfId="182" priority="49">
      <formula>$AP9&lt;$N$6</formula>
    </cfRule>
    <cfRule type="cellIs" dxfId="181" priority="48" operator="equal">
      <formula>$AH$4</formula>
    </cfRule>
    <cfRule type="cellIs" dxfId="180" priority="47" operator="equal">
      <formula>$AL$2</formula>
    </cfRule>
    <cfRule type="cellIs" dxfId="179" priority="46" operator="equal">
      <formula>$AG$4</formula>
    </cfRule>
    <cfRule type="cellIs" dxfId="178" priority="45" operator="equal">
      <formula>$AG$3</formula>
    </cfRule>
    <cfRule type="cellIs" dxfId="177" priority="44" operator="equal">
      <formula>$AH$3</formula>
    </cfRule>
    <cfRule type="cellIs" dxfId="176" priority="43" operator="equal">
      <formula>$AH$2</formula>
    </cfRule>
    <cfRule type="cellIs" dxfId="175" priority="42" operator="equal">
      <formula>$AG$2</formula>
    </cfRule>
    <cfRule type="cellIs" dxfId="174" priority="41" operator="equal">
      <formula>$AK$2</formula>
    </cfRule>
    <cfRule type="cellIs" dxfId="173" priority="40" operator="equal">
      <formula>$AK$3</formula>
    </cfRule>
    <cfRule type="cellIs" dxfId="172" priority="37" operator="equal">
      <formula>$AK$4</formula>
    </cfRule>
    <cfRule type="cellIs" dxfId="171" priority="38" operator="equal">
      <formula>$AL$4</formula>
    </cfRule>
  </conditionalFormatting>
  <conditionalFormatting sqref="B11:AO49">
    <cfRule type="cellIs" dxfId="170" priority="444" operator="equal">
      <formula>$AL$4</formula>
    </cfRule>
    <cfRule type="cellIs" dxfId="169" priority="445" operator="equal">
      <formula>$AL$3</formula>
    </cfRule>
    <cfRule type="cellIs" dxfId="168" priority="443" operator="equal">
      <formula>$AK$4</formula>
    </cfRule>
    <cfRule type="expression" dxfId="167" priority="455">
      <formula>$AP10&lt;$N$6</formula>
    </cfRule>
    <cfRule type="cellIs" dxfId="166" priority="446" operator="equal">
      <formula>$AK$3</formula>
    </cfRule>
    <cfRule type="cellIs" dxfId="165" priority="447" operator="equal">
      <formula>$AK$2</formula>
    </cfRule>
    <cfRule type="cellIs" dxfId="164" priority="448" operator="equal">
      <formula>$AG$2</formula>
    </cfRule>
    <cfRule type="cellIs" dxfId="163" priority="450" operator="equal">
      <formula>$AH$3</formula>
    </cfRule>
    <cfRule type="cellIs" dxfId="162" priority="451" operator="equal">
      <formula>$AG$3</formula>
    </cfRule>
    <cfRule type="cellIs" dxfId="161" priority="452" operator="equal">
      <formula>$AG$4</formula>
    </cfRule>
    <cfRule type="cellIs" dxfId="160" priority="453" operator="equal">
      <formula>$AL$2</formula>
    </cfRule>
    <cfRule type="cellIs" dxfId="159" priority="449" operator="equal">
      <formula>$AH$2</formula>
    </cfRule>
    <cfRule type="cellIs" dxfId="158" priority="454" operator="equal">
      <formula>$AH$4</formula>
    </cfRule>
  </conditionalFormatting>
  <conditionalFormatting sqref="B49:AO49">
    <cfRule type="expression" dxfId="157" priority="62">
      <formula>$AP48&lt;$N$6</formula>
    </cfRule>
    <cfRule type="cellIs" dxfId="156" priority="96" operator="equal">
      <formula>$AG$3</formula>
    </cfRule>
    <cfRule type="cellIs" dxfId="155" priority="54" operator="equal">
      <formula>$AK$2</formula>
    </cfRule>
    <cfRule type="cellIs" dxfId="154" priority="55" operator="equal">
      <formula>$AG$2</formula>
    </cfRule>
    <cfRule type="cellIs" dxfId="153" priority="56" operator="equal">
      <formula>$AH$2</formula>
    </cfRule>
    <cfRule type="cellIs" dxfId="152" priority="57" operator="equal">
      <formula>$AH$3</formula>
    </cfRule>
    <cfRule type="cellIs" dxfId="151" priority="58" operator="equal">
      <formula>$AG$3</formula>
    </cfRule>
    <cfRule type="cellIs" dxfId="150" priority="59" operator="equal">
      <formula>$AG$4</formula>
    </cfRule>
    <cfRule type="cellIs" dxfId="149" priority="60" operator="equal">
      <formula>$AL$2</formula>
    </cfRule>
    <cfRule type="cellIs" dxfId="148" priority="61" operator="equal">
      <formula>$AH$4</formula>
    </cfRule>
    <cfRule type="cellIs" dxfId="147" priority="52" operator="equal">
      <formula>$AL$3</formula>
    </cfRule>
    <cfRule type="cellIs" dxfId="146" priority="51" operator="equal">
      <formula>$AL$4</formula>
    </cfRule>
    <cfRule type="cellIs" dxfId="145" priority="50" operator="equal">
      <formula>$AK$4</formula>
    </cfRule>
    <cfRule type="expression" dxfId="144" priority="100">
      <formula>$AP49&lt;$N$6</formula>
    </cfRule>
    <cfRule type="cellIs" dxfId="143" priority="99" operator="equal">
      <formula>$AH$4</formula>
    </cfRule>
    <cfRule type="cellIs" dxfId="142" priority="98" operator="equal">
      <formula>$AL$2</formula>
    </cfRule>
    <cfRule type="cellIs" dxfId="141" priority="97" operator="equal">
      <formula>$AG$4</formula>
    </cfRule>
    <cfRule type="cellIs" dxfId="140" priority="88" operator="equal">
      <formula>$AK$4</formula>
    </cfRule>
    <cfRule type="cellIs" dxfId="139" priority="89" operator="equal">
      <formula>$AL$4</formula>
    </cfRule>
    <cfRule type="cellIs" dxfId="138" priority="90" operator="equal">
      <formula>$AL$3</formula>
    </cfRule>
    <cfRule type="cellIs" dxfId="137" priority="91" operator="equal">
      <formula>$AK$3</formula>
    </cfRule>
    <cfRule type="cellIs" dxfId="136" priority="92" operator="equal">
      <formula>$AK$2</formula>
    </cfRule>
    <cfRule type="cellIs" dxfId="135" priority="93" operator="equal">
      <formula>$AG$2</formula>
    </cfRule>
    <cfRule type="cellIs" dxfId="134" priority="94" operator="equal">
      <formula>$AH$2</formula>
    </cfRule>
    <cfRule type="cellIs" dxfId="133" priority="95" operator="equal">
      <formula>$AH$3</formula>
    </cfRule>
    <cfRule type="cellIs" dxfId="132" priority="53" operator="equal">
      <formula>$AK$3</formula>
    </cfRule>
  </conditionalFormatting>
  <conditionalFormatting sqref="AP10:AP49">
    <cfRule type="cellIs" dxfId="131" priority="119" operator="between">
      <formula>-70</formula>
      <formula>-80</formula>
    </cfRule>
    <cfRule type="cellIs" dxfId="130" priority="122" operator="lessThan">
      <formula>-100</formula>
    </cfRule>
    <cfRule type="cellIs" dxfId="129" priority="121" operator="between">
      <formula>-90</formula>
      <formula>-100</formula>
    </cfRule>
    <cfRule type="cellIs" dxfId="128" priority="120" operator="between">
      <formula>-80</formula>
      <formula>-90</formula>
    </cfRule>
    <cfRule type="cellIs" dxfId="127" priority="101" operator="greaterThan">
      <formula>100</formula>
    </cfRule>
    <cfRule type="cellIs" dxfId="126" priority="102" operator="between">
      <formula>100</formula>
      <formula>90</formula>
    </cfRule>
    <cfRule type="cellIs" dxfId="125" priority="103" operator="between">
      <formula>90</formula>
      <formula>80</formula>
    </cfRule>
    <cfRule type="cellIs" dxfId="124" priority="104" operator="between">
      <formula>80</formula>
      <formula>70</formula>
    </cfRule>
    <cfRule type="cellIs" dxfId="123" priority="105" operator="between">
      <formula>70</formula>
      <formula>60</formula>
    </cfRule>
    <cfRule type="cellIs" dxfId="122" priority="106" operator="between">
      <formula>60</formula>
      <formula>50</formula>
    </cfRule>
    <cfRule type="cellIs" dxfId="121" priority="107" operator="between">
      <formula>50</formula>
      <formula>40</formula>
    </cfRule>
    <cfRule type="cellIs" dxfId="120" priority="108" operator="between">
      <formula>40</formula>
      <formula>30</formula>
    </cfRule>
    <cfRule type="cellIs" dxfId="119" priority="109" operator="between">
      <formula>30</formula>
      <formula>20</formula>
    </cfRule>
    <cfRule type="cellIs" dxfId="118" priority="110" operator="between">
      <formula>20</formula>
      <formula>10</formula>
    </cfRule>
    <cfRule type="cellIs" dxfId="117" priority="111" operator="between">
      <formula>10</formula>
      <formula>0</formula>
    </cfRule>
    <cfRule type="cellIs" dxfId="116" priority="112" operator="between">
      <formula>0</formula>
      <formula>-10</formula>
    </cfRule>
    <cfRule type="cellIs" dxfId="115" priority="113" operator="between">
      <formula>-10</formula>
      <formula>-20</formula>
    </cfRule>
    <cfRule type="cellIs" dxfId="114" priority="114" operator="between">
      <formula>-20</formula>
      <formula>-30</formula>
    </cfRule>
    <cfRule type="cellIs" dxfId="113" priority="115" operator="between">
      <formula>-30</formula>
      <formula>-40</formula>
    </cfRule>
    <cfRule type="cellIs" dxfId="112" priority="116" operator="between">
      <formula>-40</formula>
      <formula>-50</formula>
    </cfRule>
    <cfRule type="cellIs" dxfId="111" priority="117" operator="between">
      <formula>-50</formula>
      <formula>-60</formula>
    </cfRule>
    <cfRule type="cellIs" dxfId="110" priority="118" operator="between">
      <formula>-60</formula>
      <formula>-70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operator="containsText" id="{E9BF3639-7292-45B4-8E50-2055E45A6E8A}">
            <xm:f>NOT(ISERROR(SEARCH($AP$5,B10)))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32" operator="containsText" id="{17143E91-3E34-45C1-868D-1E361129F533}">
            <xm:f>NOT(ISERROR(SEARCH($AP$4,B10)))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33" operator="containsText" id="{7994EDC0-8CF7-4058-B0CB-8252CC4E5326}">
            <xm:f>NOT(ISERROR(SEARCH($AP$6,B10)))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34" operator="containsText" id="{D7CBFEB7-3319-4D66-A7C0-FE4B275A9542}">
            <xm:f>NOT(ISERROR(SEARCH($AP$3,B10)))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35" operator="containsText" id="{031E99C5-8DEA-4E68-BD60-04CF2767F6D7}">
            <xm:f>NOT(ISERROR(SEARCH($AP$2,B10)))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36" operator="containsText" id="{6C6FEAEB-1417-4EAC-825D-FADF41EDE87F}">
            <xm:f>NOT(ISERROR(SEARCH($AP$1,B10)))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m:sqref>B10:AO49</xm:sqref>
        </x14:conditionalFormatting>
        <x14:conditionalFormatting xmlns:xm="http://schemas.microsoft.com/office/excel/2006/main">
          <x14:cfRule type="containsText" priority="82" operator="containsText" id="{12085370-35F1-46B6-A4F4-74DE7143512F}">
            <xm:f>NOT(ISERROR(SEARCH($AP$5,A1)))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m:sqref>B11:AO49 A49:AU49 AX1:AX1048576 AY1:XFD1 A1:AP6 AR1:AU6 AY2 BA2:XFD2 AY3:XFD26 A7:AU9 A10:A48 AP10:AU48 AW13:AW1048576 AV20:AV49 AZ27:XFD44 AY45:XFD1048576 A50:AV1048576</xm:sqref>
        </x14:conditionalFormatting>
        <x14:conditionalFormatting xmlns:xm="http://schemas.microsoft.com/office/excel/2006/main">
          <x14:cfRule type="containsText" priority="10" operator="containsText" id="{C202074A-C7E1-4911-BA99-3AB12C6F1515}">
            <xm:f>NOT(ISERROR(SEARCH($AP$3,AX1)))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7" operator="containsText" id="{256F889A-3622-480A-8E5F-C83281838CD6}">
            <xm:f>NOT(ISERROR(SEARCH($AP$5,AX1)))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8" operator="containsText" id="{74D78E1F-A66E-48BC-BE3E-AB54AE6774C3}">
            <xm:f>NOT(ISERROR(SEARCH($AP$4,AX1)))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9" operator="containsText" id="{2C6E31ED-509C-46EB-94A8-072C8D5E7539}">
            <xm:f>NOT(ISERROR(SEARCH($AP$6,AX1)))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11" operator="containsText" id="{2316CFB9-5B13-4F38-B5EA-F5EC7BD5F907}">
            <xm:f>NOT(ISERROR(SEARCH($AP$2,AX1)))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12" operator="containsText" id="{F799432A-62FD-4ED9-ABCD-9C25AEEEA3D6}">
            <xm:f>NOT(ISERROR(SEARCH($AP$1,AX1)))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m:sqref>AX1:AX6</xm:sqref>
        </x14:conditionalFormatting>
        <x14:conditionalFormatting xmlns:xm="http://schemas.microsoft.com/office/excel/2006/main">
          <x14:cfRule type="containsText" priority="1" operator="containsText" id="{3AB2DA07-654D-47FA-86C5-91E73E850DF6}">
            <xm:f>NOT(ISERROR(SEARCH($AP$5,AX44)))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6" operator="containsText" id="{B645314D-583A-4256-B4EB-4876733F78B0}">
            <xm:f>NOT(ISERROR(SEARCH($AP$1,AX44)))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14:cfRule type="containsText" priority="5" operator="containsText" id="{EE2D8BEB-8CF0-40E8-97E8-EAAE1E6B6857}">
            <xm:f>NOT(ISERROR(SEARCH($AP$2,AX44)))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4" operator="containsText" id="{17DA12E9-CDE8-4725-B776-A17ECE54FE58}">
            <xm:f>NOT(ISERROR(SEARCH($AP$3,AX44)))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3" operator="containsText" id="{81B80D27-384F-4BE0-A9EF-F0C2CC5BD1A6}">
            <xm:f>NOT(ISERROR(SEARCH($AP$6,AX44)))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2" operator="containsText" id="{6AA1D56A-27B4-4498-8E33-60FEB00F100B}">
            <xm:f>NOT(ISERROR(SEARCH($AP$4,AX44)))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m:sqref>AX44:AX49</xm:sqref>
        </x14:conditionalFormatting>
        <x14:conditionalFormatting xmlns:xm="http://schemas.microsoft.com/office/excel/2006/main">
          <x14:cfRule type="containsText" priority="86" operator="containsText" id="{CA27832C-B63A-492B-A660-15535C912F38}">
            <xm:f>NOT(ISERROR(SEARCH($AP$2,A1)))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85" operator="containsText" id="{529FC551-8B05-4383-ADD2-9FDA4A693247}">
            <xm:f>NOT(ISERROR(SEARCH($AP$3,A1)))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84" operator="containsText" id="{340F9008-0E52-4FEC-B30E-65063BC5E02C}">
            <xm:f>NOT(ISERROR(SEARCH($AP$6,A1)))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83" operator="containsText" id="{7542A783-E750-4692-BD0E-AFFDE670F8AA}">
            <xm:f>NOT(ISERROR(SEARCH($AP$4,A1)))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87" operator="containsText" id="{F8630662-6426-4A68-83BB-5D4F27BBD04A}">
            <xm:f>NOT(ISERROR(SEARCH($AP$1,A1)))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m:sqref>AY1:XFD1 A1:AP6 AR1:AU6 AX1:AX1048576 AY2 BA2:XFD2 AY3:XFD26 A7:AU9 A10:A48 AP10:AU48 B11:AO49 AW13:AW1048576 AV20:AV49 AZ27:XFD44 AY45:XFD1048576 A49:AU49 A50:AV1048576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77DE-6E6C-4210-92DA-6EC0544EA1F4}">
  <sheetPr>
    <outlinePr summaryBelow="0" summaryRight="0"/>
  </sheetPr>
  <dimension ref="A1:AQ50"/>
  <sheetViews>
    <sheetView topLeftCell="A9" workbookViewId="0">
      <selection activeCell="A35" sqref="A35"/>
    </sheetView>
  </sheetViews>
  <sheetFormatPr defaultColWidth="13.140625" defaultRowHeight="43.5" customHeight="1"/>
  <cols>
    <col min="1" max="1" width="13.140625" style="81"/>
    <col min="2" max="41" width="14.28515625" style="81" customWidth="1"/>
    <col min="42" max="16384" width="13.140625" style="81"/>
  </cols>
  <sheetData>
    <row r="1" spans="1:43" ht="43.5" hidden="1" customHeight="1">
      <c r="A1" s="46"/>
      <c r="B1" s="46" t="s">
        <v>27</v>
      </c>
      <c r="C1" s="46" t="e">
        <f>#REF!</f>
        <v>#REF!</v>
      </c>
      <c r="D1" s="46"/>
      <c r="E1" s="46"/>
      <c r="F1" s="46"/>
      <c r="G1" s="46"/>
      <c r="H1" s="46"/>
      <c r="I1" s="46"/>
      <c r="J1" s="46"/>
      <c r="K1" s="46"/>
      <c r="L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 t="s">
        <v>1</v>
      </c>
      <c r="AG1" s="46" t="s">
        <v>0</v>
      </c>
      <c r="AH1" s="46" t="s">
        <v>1</v>
      </c>
      <c r="AI1" s="46"/>
      <c r="AJ1" s="46" t="s">
        <v>0</v>
      </c>
      <c r="AK1" s="46" t="s">
        <v>0</v>
      </c>
      <c r="AL1" s="46" t="s">
        <v>1</v>
      </c>
      <c r="AM1" s="46"/>
      <c r="AN1" s="46"/>
      <c r="AO1" s="81" t="s">
        <v>28</v>
      </c>
      <c r="AP1" s="81" t="s">
        <v>29</v>
      </c>
    </row>
    <row r="2" spans="1:43" ht="43.5" hidden="1" customHeight="1">
      <c r="A2" s="46"/>
      <c r="B2" s="46" t="s">
        <v>30</v>
      </c>
      <c r="C2" s="46" t="e">
        <f>#REF!</f>
        <v>#REF!</v>
      </c>
      <c r="D2" s="46"/>
      <c r="E2" s="46" t="e">
        <f>C2-C1</f>
        <v>#REF!</v>
      </c>
      <c r="F2" s="46"/>
      <c r="G2" s="46"/>
      <c r="H2" s="46"/>
      <c r="I2" s="46"/>
      <c r="J2" s="46"/>
      <c r="K2" s="46"/>
      <c r="L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8"/>
      <c r="Z2" s="46"/>
      <c r="AA2" s="48"/>
      <c r="AB2" s="46"/>
      <c r="AC2" s="46"/>
      <c r="AD2" s="46"/>
      <c r="AE2" s="46"/>
      <c r="AF2" s="46" t="s">
        <v>16</v>
      </c>
      <c r="AG2" s="49" t="s">
        <v>17</v>
      </c>
      <c r="AH2" s="50" t="s">
        <v>18</v>
      </c>
      <c r="AI2" s="46"/>
      <c r="AJ2" s="46" t="s">
        <v>16</v>
      </c>
      <c r="AK2" s="51" t="s">
        <v>19</v>
      </c>
      <c r="AL2" s="49" t="s">
        <v>17</v>
      </c>
      <c r="AM2" s="46"/>
      <c r="AN2" s="46"/>
      <c r="AO2" s="81" t="s">
        <v>31</v>
      </c>
      <c r="AP2" s="81" t="s">
        <v>32</v>
      </c>
    </row>
    <row r="3" spans="1:43" ht="43.5" hidden="1" customHeight="1">
      <c r="A3" s="46"/>
      <c r="B3" s="46"/>
      <c r="C3" s="46"/>
      <c r="D3" s="46"/>
      <c r="E3" s="46" t="e">
        <f>E2/20</f>
        <v>#REF!</v>
      </c>
      <c r="F3" s="46"/>
      <c r="G3" s="46"/>
      <c r="H3" s="46"/>
      <c r="I3" s="46"/>
      <c r="J3" s="46"/>
      <c r="K3" s="46"/>
      <c r="L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8"/>
      <c r="AB3" s="46"/>
      <c r="AC3" s="46"/>
      <c r="AD3" s="46"/>
      <c r="AE3" s="46"/>
      <c r="AF3" s="46" t="s">
        <v>15</v>
      </c>
      <c r="AG3" s="52" t="s">
        <v>20</v>
      </c>
      <c r="AH3" s="53" t="s">
        <v>21</v>
      </c>
      <c r="AI3" s="46"/>
      <c r="AJ3" s="46" t="s">
        <v>15</v>
      </c>
      <c r="AK3" s="54" t="s">
        <v>22</v>
      </c>
      <c r="AL3" s="52" t="s">
        <v>20</v>
      </c>
      <c r="AM3" s="46"/>
      <c r="AN3" s="46"/>
      <c r="AO3" s="81" t="s">
        <v>33</v>
      </c>
      <c r="AP3" s="81" t="s">
        <v>34</v>
      </c>
    </row>
    <row r="4" spans="1:43" ht="43.5" hidden="1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 t="s">
        <v>14</v>
      </c>
      <c r="AG4" s="55" t="s">
        <v>23</v>
      </c>
      <c r="AH4" s="56" t="s">
        <v>24</v>
      </c>
      <c r="AI4" s="46"/>
      <c r="AJ4" s="46" t="s">
        <v>14</v>
      </c>
      <c r="AK4" s="57" t="s">
        <v>25</v>
      </c>
      <c r="AL4" s="55" t="s">
        <v>23</v>
      </c>
      <c r="AM4" s="46"/>
      <c r="AN4" s="46"/>
      <c r="AO4" s="81" t="s">
        <v>35</v>
      </c>
      <c r="AP4" s="81" t="s">
        <v>36</v>
      </c>
    </row>
    <row r="5" spans="1:43" ht="43.5" hidden="1" customHeight="1">
      <c r="A5" s="46"/>
      <c r="B5" s="46"/>
      <c r="C5" s="58"/>
      <c r="D5" s="59"/>
      <c r="E5" s="60"/>
      <c r="F5" s="53"/>
      <c r="G5" s="61"/>
      <c r="H5" s="62"/>
      <c r="I5" s="63"/>
      <c r="J5" s="64"/>
      <c r="K5" s="65"/>
      <c r="L5" s="66"/>
      <c r="M5" s="67"/>
      <c r="N5" s="68"/>
      <c r="O5" s="54"/>
      <c r="P5" s="69"/>
      <c r="Q5" s="70"/>
      <c r="R5" s="51"/>
      <c r="S5" s="71"/>
      <c r="T5" s="72"/>
      <c r="U5" s="73"/>
      <c r="V5" s="74"/>
      <c r="W5" s="75"/>
      <c r="X5" s="76"/>
      <c r="Y5" s="77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81" t="s">
        <v>37</v>
      </c>
      <c r="AP5" s="81" t="s">
        <v>38</v>
      </c>
    </row>
    <row r="6" spans="1:43" ht="43.5" hidden="1" customHeight="1">
      <c r="A6" s="46"/>
      <c r="B6" s="46" t="s">
        <v>39</v>
      </c>
      <c r="C6" s="46" t="s">
        <v>40</v>
      </c>
      <c r="D6" s="46">
        <v>-100</v>
      </c>
      <c r="E6" s="46">
        <v>-90</v>
      </c>
      <c r="F6" s="46">
        <v>-80</v>
      </c>
      <c r="G6" s="46">
        <v>-70</v>
      </c>
      <c r="H6" s="46">
        <v>-60</v>
      </c>
      <c r="I6" s="46">
        <v>-50</v>
      </c>
      <c r="J6" s="46">
        <v>-40</v>
      </c>
      <c r="K6" s="46">
        <v>-30</v>
      </c>
      <c r="L6" s="46">
        <v>-20</v>
      </c>
      <c r="M6" s="46">
        <v>-10</v>
      </c>
      <c r="N6" s="46">
        <v>0</v>
      </c>
      <c r="O6" s="46">
        <v>10</v>
      </c>
      <c r="P6" s="46">
        <v>20</v>
      </c>
      <c r="Q6" s="46">
        <v>30</v>
      </c>
      <c r="R6" s="46">
        <v>40</v>
      </c>
      <c r="S6" s="46">
        <v>50</v>
      </c>
      <c r="T6" s="46">
        <v>60</v>
      </c>
      <c r="U6" s="46">
        <v>70</v>
      </c>
      <c r="V6" s="46">
        <v>80</v>
      </c>
      <c r="W6" s="46">
        <v>90</v>
      </c>
      <c r="X6" s="46">
        <v>100</v>
      </c>
      <c r="Y6" s="46" t="s">
        <v>41</v>
      </c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81" t="s">
        <v>42</v>
      </c>
      <c r="AP6" s="81" t="s">
        <v>43</v>
      </c>
    </row>
    <row r="7" spans="1:43" ht="43.5" hidden="1" customHeight="1">
      <c r="A7" s="46"/>
      <c r="B7" s="46" t="s">
        <v>44</v>
      </c>
      <c r="C7" s="46" t="s">
        <v>45</v>
      </c>
      <c r="D7" s="46">
        <f t="shared" ref="D7:X7" si="0">(D6*(9/5))+ 32</f>
        <v>-148</v>
      </c>
      <c r="E7" s="46">
        <f t="shared" si="0"/>
        <v>-130</v>
      </c>
      <c r="F7" s="46">
        <f t="shared" si="0"/>
        <v>-112</v>
      </c>
      <c r="G7" s="46">
        <f t="shared" si="0"/>
        <v>-94</v>
      </c>
      <c r="H7" s="46">
        <f t="shared" si="0"/>
        <v>-76</v>
      </c>
      <c r="I7" s="46">
        <f t="shared" si="0"/>
        <v>-58</v>
      </c>
      <c r="J7" s="46">
        <f t="shared" si="0"/>
        <v>-40</v>
      </c>
      <c r="K7" s="46">
        <f t="shared" si="0"/>
        <v>-22</v>
      </c>
      <c r="L7" s="46">
        <f t="shared" si="0"/>
        <v>-4</v>
      </c>
      <c r="M7" s="46">
        <f t="shared" si="0"/>
        <v>14</v>
      </c>
      <c r="N7" s="46">
        <f t="shared" si="0"/>
        <v>32</v>
      </c>
      <c r="O7" s="46">
        <f t="shared" si="0"/>
        <v>50</v>
      </c>
      <c r="P7" s="46">
        <f t="shared" si="0"/>
        <v>68</v>
      </c>
      <c r="Q7" s="46">
        <f t="shared" si="0"/>
        <v>86</v>
      </c>
      <c r="R7" s="46">
        <f t="shared" si="0"/>
        <v>104</v>
      </c>
      <c r="S7" s="46">
        <f t="shared" si="0"/>
        <v>122</v>
      </c>
      <c r="T7" s="46">
        <f t="shared" si="0"/>
        <v>140</v>
      </c>
      <c r="U7" s="46">
        <f t="shared" si="0"/>
        <v>158</v>
      </c>
      <c r="V7" s="46">
        <f t="shared" si="0"/>
        <v>176</v>
      </c>
      <c r="W7" s="46">
        <f t="shared" si="0"/>
        <v>194</v>
      </c>
      <c r="X7" s="46">
        <f t="shared" si="0"/>
        <v>212</v>
      </c>
      <c r="Y7" s="46" t="s">
        <v>46</v>
      </c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</row>
    <row r="8" spans="1:43" ht="43.5" hidden="1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</row>
    <row r="9" spans="1:43" ht="43.5" customHeight="1">
      <c r="A9" s="46"/>
      <c r="B9" s="80">
        <v>1</v>
      </c>
      <c r="C9" s="80">
        <v>2</v>
      </c>
      <c r="D9" s="80">
        <v>3</v>
      </c>
      <c r="E9" s="80">
        <v>4</v>
      </c>
      <c r="F9" s="80">
        <v>5</v>
      </c>
      <c r="G9" s="80">
        <v>6</v>
      </c>
      <c r="H9" s="80">
        <v>7</v>
      </c>
      <c r="I9" s="80">
        <v>8</v>
      </c>
      <c r="J9" s="80">
        <v>9</v>
      </c>
      <c r="K9" s="80">
        <v>10</v>
      </c>
      <c r="L9" s="80">
        <v>11</v>
      </c>
      <c r="M9" s="80">
        <v>12</v>
      </c>
      <c r="N9" s="80">
        <v>13</v>
      </c>
      <c r="O9" s="80">
        <v>14</v>
      </c>
      <c r="P9" s="80">
        <v>15</v>
      </c>
      <c r="Q9" s="80">
        <v>16</v>
      </c>
      <c r="R9" s="80">
        <v>17</v>
      </c>
      <c r="S9" s="80">
        <v>18</v>
      </c>
      <c r="T9" s="80">
        <v>19</v>
      </c>
      <c r="U9" s="80">
        <v>20</v>
      </c>
      <c r="V9" s="80">
        <v>21</v>
      </c>
      <c r="W9" s="80">
        <v>22</v>
      </c>
      <c r="X9" s="80">
        <v>23</v>
      </c>
      <c r="Y9" s="80">
        <v>24</v>
      </c>
      <c r="Z9" s="80">
        <v>25</v>
      </c>
      <c r="AA9" s="80">
        <v>26</v>
      </c>
      <c r="AB9" s="80">
        <v>27</v>
      </c>
      <c r="AC9" s="80">
        <v>28</v>
      </c>
      <c r="AD9" s="80">
        <v>29</v>
      </c>
      <c r="AE9" s="80">
        <v>30</v>
      </c>
      <c r="AF9" s="80">
        <v>31</v>
      </c>
      <c r="AG9" s="80">
        <v>32</v>
      </c>
      <c r="AH9" s="80">
        <v>33</v>
      </c>
      <c r="AI9" s="80">
        <v>34</v>
      </c>
      <c r="AJ9" s="80">
        <v>35</v>
      </c>
      <c r="AK9" s="80">
        <v>36</v>
      </c>
      <c r="AL9" s="80">
        <v>37</v>
      </c>
      <c r="AM9" s="80">
        <v>38</v>
      </c>
      <c r="AN9" s="80">
        <v>39</v>
      </c>
      <c r="AO9" s="80">
        <v>40</v>
      </c>
      <c r="AP9" s="46"/>
    </row>
    <row r="10" spans="1:43" ht="37.5" customHeight="1">
      <c r="A10" s="78">
        <v>1</v>
      </c>
      <c r="B10" s="83" t="str">
        <f ca="1">'Map 6'!B10</f>
        <v>Coast</v>
      </c>
      <c r="C10" s="84" t="str">
        <f ca="1">'Map 6'!C10</f>
        <v>Coast</v>
      </c>
      <c r="D10" s="84" t="str">
        <f ca="1">'Map 6'!D10</f>
        <v>Tundra</v>
      </c>
      <c r="E10" s="84" t="str">
        <f ca="1">'Map 6'!E10</f>
        <v>Tundra</v>
      </c>
      <c r="F10" s="84" t="str">
        <f ca="1">'Map 6'!F10</f>
        <v>Coast</v>
      </c>
      <c r="G10" s="84" t="str">
        <f ca="1">'Map 6'!G10</f>
        <v>Tundra Island</v>
      </c>
      <c r="H10" s="84" t="str">
        <f ca="1">'Map 6'!H10</f>
        <v>Ocean</v>
      </c>
      <c r="I10" s="84" t="str">
        <f ca="1">'Map 6'!I10</f>
        <v>Ocean</v>
      </c>
      <c r="J10" s="84" t="str">
        <f ca="1">'Map 6'!J10</f>
        <v>Ocean</v>
      </c>
      <c r="K10" s="84" t="str">
        <f ca="1">'Map 6'!K10</f>
        <v>Ocean</v>
      </c>
      <c r="L10" s="84" t="str">
        <f ca="1">'Map 6'!L10</f>
        <v>Tundra Island</v>
      </c>
      <c r="M10" s="84" t="str">
        <f ca="1">'Map 6'!M10</f>
        <v>Ocean</v>
      </c>
      <c r="N10" s="84" t="str">
        <f ca="1">'Map 6'!N10</f>
        <v>Ocean</v>
      </c>
      <c r="O10" s="84" t="str">
        <f ca="1">'Map 6'!O10</f>
        <v>Ocean</v>
      </c>
      <c r="P10" s="84" t="str">
        <f ca="1">'Map 6'!P10</f>
        <v>Ocean</v>
      </c>
      <c r="Q10" s="84" t="str">
        <f ca="1">'Map 6'!Q10</f>
        <v>Trench</v>
      </c>
      <c r="R10" s="84" t="str">
        <f ca="1">'Map 6'!R10</f>
        <v>Ocean</v>
      </c>
      <c r="S10" s="84" t="str">
        <f ca="1">'Map 6'!S10</f>
        <v>Ocean</v>
      </c>
      <c r="T10" s="84" t="str">
        <f ca="1">'Map 6'!T10</f>
        <v>Ocean</v>
      </c>
      <c r="U10" s="84" t="str">
        <f ca="1">'Map 6'!U10</f>
        <v>Tundra Island</v>
      </c>
      <c r="V10" s="84" t="str">
        <f ca="1">'Map 6'!V10</f>
        <v>Ocean</v>
      </c>
      <c r="W10" s="84" t="str">
        <f ca="1">'Map 6'!W10</f>
        <v>Ocean</v>
      </c>
      <c r="X10" s="84" t="str">
        <f ca="1">'Map 6'!X10</f>
        <v>Ocean</v>
      </c>
      <c r="Y10" s="84" t="str">
        <f ca="1">'Map 6'!Y10</f>
        <v>Ocean</v>
      </c>
      <c r="Z10" s="84" t="str">
        <f ca="1">'Map 6'!Z10</f>
        <v>Trench</v>
      </c>
      <c r="AA10" s="84" t="str">
        <f ca="1">'Map 6'!AA10</f>
        <v>Ocean</v>
      </c>
      <c r="AB10" s="84" t="str">
        <f ca="1">'Map 6'!AB10</f>
        <v>Ocean</v>
      </c>
      <c r="AC10" s="84" t="str">
        <f ca="1">'Map 6'!AC10</f>
        <v>Coast</v>
      </c>
      <c r="AD10" s="84" t="str">
        <f ca="1">'Map 6'!AD10</f>
        <v>Coast</v>
      </c>
      <c r="AE10" s="84" t="str">
        <f ca="1">'Map 6'!AE10</f>
        <v>Coast</v>
      </c>
      <c r="AF10" s="84" t="str">
        <f ca="1">'Map 6'!AF10</f>
        <v>Mountain</v>
      </c>
      <c r="AG10" s="84" t="str">
        <f ca="1">'Map 6'!AG10</f>
        <v>Tundra Rainshadow</v>
      </c>
      <c r="AH10" s="84" t="str">
        <f ca="1">'Map 6'!AH10</f>
        <v>Tundra</v>
      </c>
      <c r="AI10" s="84" t="str">
        <f ca="1">'Map 6'!AI10</f>
        <v>Tundra</v>
      </c>
      <c r="AJ10" s="84" t="str">
        <f ca="1">'Map 6'!AJ10</f>
        <v>Valley</v>
      </c>
      <c r="AK10" s="84" t="str">
        <f ca="1">'Map 6'!AK10</f>
        <v>Mountain</v>
      </c>
      <c r="AL10" s="84" t="str">
        <f ca="1">'Map 6'!AL10</f>
        <v>Drop Off</v>
      </c>
      <c r="AM10" s="84" t="str">
        <f ca="1">'Map 6'!AM10</f>
        <v>Ocean</v>
      </c>
      <c r="AN10" s="84" t="str">
        <f ca="1">'Map 6'!AN10</f>
        <v>Ocean</v>
      </c>
      <c r="AO10" s="85" t="str">
        <f ca="1">'Map 6'!AO10</f>
        <v>Coast</v>
      </c>
      <c r="AP10" s="79">
        <f>'Map 5'!AP10</f>
        <v>-41.15</v>
      </c>
      <c r="AQ10" s="81" t="str">
        <f>'Map 6'!AU10</f>
        <v>⤵</v>
      </c>
    </row>
    <row r="11" spans="1:43" ht="37.5" customHeight="1">
      <c r="A11" s="78">
        <v>2</v>
      </c>
      <c r="B11" s="86" t="str">
        <f ca="1">'Map 6'!B11</f>
        <v>Tundra</v>
      </c>
      <c r="C11" s="3" t="str">
        <f ca="1">'Map 6'!C11</f>
        <v>Tundra</v>
      </c>
      <c r="D11" s="3" t="str">
        <f ca="1">'Map 6'!D11</f>
        <v>Tundra</v>
      </c>
      <c r="E11" s="3" t="str">
        <f ca="1">'Map 6'!E11</f>
        <v>Tundra</v>
      </c>
      <c r="F11" s="3" t="str">
        <f ca="1">'Map 6'!F11</f>
        <v>Coast</v>
      </c>
      <c r="G11" s="3" t="str">
        <f ca="1">'Map 6'!G11</f>
        <v>Cliff</v>
      </c>
      <c r="H11" s="3" t="str">
        <f ca="1">'Map 6'!H11</f>
        <v>Ocean</v>
      </c>
      <c r="I11" s="3" t="str">
        <f ca="1">'Map 6'!I11</f>
        <v>Ocean</v>
      </c>
      <c r="J11" s="3" t="str">
        <f ca="1">'Map 6'!J11</f>
        <v>Ocean</v>
      </c>
      <c r="K11" s="3" t="str">
        <f ca="1">'Map 6'!K11</f>
        <v>Ocean</v>
      </c>
      <c r="L11" s="3" t="str">
        <f ca="1">'Map 6'!L11</f>
        <v>Tundra Island</v>
      </c>
      <c r="M11" s="3" t="str">
        <f ca="1">'Map 6'!M11</f>
        <v>Tundra Island</v>
      </c>
      <c r="N11" s="3" t="str">
        <f ca="1">'Map 6'!N11</f>
        <v>Ocean</v>
      </c>
      <c r="O11" s="3" t="str">
        <f ca="1">'Map 6'!O11</f>
        <v>Ocean</v>
      </c>
      <c r="P11" s="3" t="str">
        <f ca="1">'Map 6'!P11</f>
        <v>Tundra Island</v>
      </c>
      <c r="Q11" s="3" t="str">
        <f ca="1">'Map 6'!Q11</f>
        <v>Ocean</v>
      </c>
      <c r="R11" s="3" t="str">
        <f ca="1">'Map 6'!R11</f>
        <v>Ocean</v>
      </c>
      <c r="S11" s="3" t="str">
        <f ca="1">'Map 6'!S11</f>
        <v>Ocean</v>
      </c>
      <c r="T11" s="3" t="str">
        <f ca="1">'Map 6'!T11</f>
        <v>Ocean</v>
      </c>
      <c r="U11" s="3" t="str">
        <f ca="1">'Map 6'!U11</f>
        <v>Tundra Island</v>
      </c>
      <c r="V11" s="3" t="str">
        <f ca="1">'Map 6'!V11</f>
        <v>Ocean</v>
      </c>
      <c r="W11" s="3" t="str">
        <f ca="1">'Map 6'!W11</f>
        <v>Tundra Island</v>
      </c>
      <c r="X11" s="3" t="str">
        <f ca="1">'Map 6'!X11</f>
        <v>Ocean</v>
      </c>
      <c r="Y11" s="3" t="str">
        <f ca="1">'Map 6'!Y11</f>
        <v>Ocean</v>
      </c>
      <c r="Z11" s="3" t="str">
        <f ca="1">'Map 6'!Z11</f>
        <v>Ocean</v>
      </c>
      <c r="AA11" s="3" t="str">
        <f ca="1">'Map 6'!AA11</f>
        <v>Trench</v>
      </c>
      <c r="AB11" s="3" t="str">
        <f ca="1">'Map 6'!AB11</f>
        <v>Ocean</v>
      </c>
      <c r="AC11" s="3" t="str">
        <f ca="1">'Map 6'!AC11</f>
        <v>Coast</v>
      </c>
      <c r="AD11" s="3" t="str">
        <f ca="1">'Map 6'!AD11</f>
        <v>Coast</v>
      </c>
      <c r="AE11" s="3" t="str">
        <f ca="1">'Map 6'!AE11</f>
        <v>Tundra</v>
      </c>
      <c r="AF11" s="3" t="str">
        <f ca="1">'Map 6'!AF11</f>
        <v>Tundra</v>
      </c>
      <c r="AG11" s="3" t="str">
        <f ca="1">'Map 6'!AG11</f>
        <v>Mountain</v>
      </c>
      <c r="AH11" s="3" t="str">
        <f ca="1">'Map 6'!AH11</f>
        <v>Tundra</v>
      </c>
      <c r="AI11" s="3" t="str">
        <f ca="1">'Map 6'!AI11</f>
        <v>Tundra</v>
      </c>
      <c r="AJ11" s="3" t="str">
        <f ca="1">'Map 6'!AJ11</f>
        <v>Tundra</v>
      </c>
      <c r="AK11" s="3" t="str">
        <f ca="1">'Map 6'!AK11</f>
        <v>Valley</v>
      </c>
      <c r="AL11" s="3" t="str">
        <f ca="1">'Map 6'!AL11</f>
        <v>Tundra</v>
      </c>
      <c r="AM11" s="3" t="str">
        <f ca="1">'Map 6'!AM11</f>
        <v>Coast</v>
      </c>
      <c r="AN11" s="3" t="str">
        <f ca="1">'Map 6'!AN11</f>
        <v>Ocean</v>
      </c>
      <c r="AO11" s="87" t="str">
        <f ca="1">'Map 6'!AO11</f>
        <v>Tundra</v>
      </c>
      <c r="AP11" s="79">
        <f>'Map 5'!AP11</f>
        <v>-34.200000000000003</v>
      </c>
      <c r="AQ11" s="81" t="str">
        <f>'Map 6'!AU11</f>
        <v>⤵</v>
      </c>
    </row>
    <row r="12" spans="1:43" ht="37.5" customHeight="1">
      <c r="A12" s="78">
        <v>3</v>
      </c>
      <c r="B12" s="86" t="str">
        <f ca="1">'Map 6'!B12</f>
        <v>Ocean</v>
      </c>
      <c r="C12" s="3" t="str">
        <f ca="1">'Map 6'!C12</f>
        <v>Coast</v>
      </c>
      <c r="D12" s="3" t="str">
        <f ca="1">'Map 6'!D12</f>
        <v>Tundra</v>
      </c>
      <c r="E12" s="3" t="str">
        <f ca="1">'Map 6'!E12</f>
        <v>Tundra</v>
      </c>
      <c r="F12" s="3" t="str">
        <f ca="1">'Map 6'!F12</f>
        <v>Coast</v>
      </c>
      <c r="G12" s="3" t="str">
        <f ca="1">'Map 6'!G12</f>
        <v>Tundra Island</v>
      </c>
      <c r="H12" s="3" t="str">
        <f ca="1">'Map 6'!H12</f>
        <v>Ocean</v>
      </c>
      <c r="I12" s="3" t="str">
        <f ca="1">'Map 6'!I12</f>
        <v>Ocean</v>
      </c>
      <c r="J12" s="3" t="str">
        <f ca="1">'Map 6'!J12</f>
        <v>Ocean</v>
      </c>
      <c r="K12" s="3" t="str">
        <f ca="1">'Map 6'!K12</f>
        <v>Trench</v>
      </c>
      <c r="L12" s="3" t="str">
        <f ca="1">'Map 6'!L12</f>
        <v>Trench</v>
      </c>
      <c r="M12" s="3" t="str">
        <f ca="1">'Map 6'!M12</f>
        <v>Ocean</v>
      </c>
      <c r="N12" s="3" t="str">
        <f ca="1">'Map 6'!N12</f>
        <v>Ocean</v>
      </c>
      <c r="O12" s="3" t="str">
        <f ca="1">'Map 6'!O12</f>
        <v>Ocean</v>
      </c>
      <c r="P12" s="3" t="str">
        <f ca="1">'Map 6'!P12</f>
        <v>Ocean</v>
      </c>
      <c r="Q12" s="3" t="str">
        <f ca="1">'Map 6'!Q12</f>
        <v>Ocean</v>
      </c>
      <c r="R12" s="3" t="str">
        <f ca="1">'Map 6'!R12</f>
        <v>Ocean</v>
      </c>
      <c r="S12" s="3" t="str">
        <f ca="1">'Map 6'!S12</f>
        <v>Ocean</v>
      </c>
      <c r="T12" s="3" t="str">
        <f ca="1">'Map 6'!T12</f>
        <v>Ocean</v>
      </c>
      <c r="U12" s="3" t="str">
        <f ca="1">'Map 6'!U12</f>
        <v>Ocean</v>
      </c>
      <c r="V12" s="3" t="str">
        <f ca="1">'Map 6'!V12</f>
        <v>Trench</v>
      </c>
      <c r="W12" s="3" t="str">
        <f ca="1">'Map 6'!W12</f>
        <v>Ocean</v>
      </c>
      <c r="X12" s="3" t="str">
        <f ca="1">'Map 6'!X12</f>
        <v>Ocean</v>
      </c>
      <c r="Y12" s="3" t="str">
        <f ca="1">'Map 6'!Y12</f>
        <v>Ocean</v>
      </c>
      <c r="Z12" s="3" t="str">
        <f ca="1">'Map 6'!Z12</f>
        <v>Ocean</v>
      </c>
      <c r="AA12" s="3" t="str">
        <f ca="1">'Map 6'!AA12</f>
        <v>Ocean</v>
      </c>
      <c r="AB12" s="3" t="str">
        <f ca="1">'Map 6'!AB12</f>
        <v>Ocean</v>
      </c>
      <c r="AC12" s="3" t="str">
        <f ca="1">'Map 6'!AC12</f>
        <v>Ocean</v>
      </c>
      <c r="AD12" s="3" t="str">
        <f ca="1">'Map 6'!AD12</f>
        <v>Tundra</v>
      </c>
      <c r="AE12" s="3" t="str">
        <f ca="1">'Map 6'!AE12</f>
        <v>Tundra</v>
      </c>
      <c r="AF12" s="3" t="str">
        <f ca="1">'Map 6'!AF12</f>
        <v>Tundra</v>
      </c>
      <c r="AG12" s="3" t="str">
        <f ca="1">'Map 6'!AG12</f>
        <v>Tundra</v>
      </c>
      <c r="AH12" s="3" t="str">
        <f ca="1">'Map 6'!AH12</f>
        <v>Tundra</v>
      </c>
      <c r="AI12" s="3" t="str">
        <f ca="1">'Map 6'!AI12</f>
        <v>Tundra</v>
      </c>
      <c r="AJ12" s="3" t="str">
        <f ca="1">'Map 6'!AJ12</f>
        <v>Tundra</v>
      </c>
      <c r="AK12" s="3" t="str">
        <f ca="1">'Map 6'!AK12</f>
        <v>Tundra Rainshadow</v>
      </c>
      <c r="AL12" s="3" t="str">
        <f ca="1">'Map 6'!AL12</f>
        <v>Tundra</v>
      </c>
      <c r="AM12" s="3" t="str">
        <f ca="1">'Map 6'!AM12</f>
        <v>Ocean</v>
      </c>
      <c r="AN12" s="3" t="str">
        <f ca="1">'Map 6'!AN12</f>
        <v>Ocean</v>
      </c>
      <c r="AO12" s="87" t="str">
        <f ca="1">'Map 6'!AO12</f>
        <v>Coast</v>
      </c>
      <c r="AP12" s="79">
        <f>'Map 5'!AP12</f>
        <v>-27.25</v>
      </c>
      <c r="AQ12" s="81" t="str">
        <f>'Map 6'!AU12</f>
        <v>⤵</v>
      </c>
    </row>
    <row r="13" spans="1:43" ht="37.5" customHeight="1">
      <c r="A13" s="78">
        <v>4</v>
      </c>
      <c r="B13" s="86" t="str">
        <f ca="1">'Map 6'!B13</f>
        <v>Ocean</v>
      </c>
      <c r="C13" s="3" t="str">
        <f ca="1">'Map 6'!C13</f>
        <v>Forest</v>
      </c>
      <c r="D13" s="3" t="str">
        <f ca="1">'Map 6'!D13</f>
        <v>Forest</v>
      </c>
      <c r="E13" s="3" t="str">
        <f ca="1">'Map 6'!E13</f>
        <v>Coast</v>
      </c>
      <c r="F13" s="3" t="str">
        <f ca="1">'Map 6'!F13</f>
        <v>Ocean</v>
      </c>
      <c r="G13" s="3" t="str">
        <f ca="1">'Map 6'!G13</f>
        <v>Trench</v>
      </c>
      <c r="H13" s="3" t="str">
        <f ca="1">'Map 6'!H13</f>
        <v>Forest Island</v>
      </c>
      <c r="I13" s="3" t="str">
        <f ca="1">'Map 6'!I13</f>
        <v>Ocean</v>
      </c>
      <c r="J13" s="3" t="str">
        <f ca="1">'Map 6'!J13</f>
        <v>Ocean</v>
      </c>
      <c r="K13" s="3" t="str">
        <f ca="1">'Map 6'!K13</f>
        <v>Ocean</v>
      </c>
      <c r="L13" s="3" t="str">
        <f ca="1">'Map 6'!L13</f>
        <v>Trench</v>
      </c>
      <c r="M13" s="3" t="str">
        <f ca="1">'Map 6'!M13</f>
        <v>Ocean</v>
      </c>
      <c r="N13" s="3" t="str">
        <f ca="1">'Map 6'!N13</f>
        <v>Ocean</v>
      </c>
      <c r="O13" s="3" t="str">
        <f ca="1">'Map 6'!O13</f>
        <v>Ocean</v>
      </c>
      <c r="P13" s="3" t="str">
        <f ca="1">'Map 6'!P13</f>
        <v>Trench</v>
      </c>
      <c r="Q13" s="3" t="str">
        <f ca="1">'Map 6'!Q13</f>
        <v>Ocean</v>
      </c>
      <c r="R13" s="3" t="str">
        <f ca="1">'Map 6'!R13</f>
        <v>Trench</v>
      </c>
      <c r="S13" s="3" t="str">
        <f ca="1">'Map 6'!S13</f>
        <v>Ocean</v>
      </c>
      <c r="T13" s="3" t="str">
        <f ca="1">'Map 6'!T13</f>
        <v>Ocean</v>
      </c>
      <c r="U13" s="3" t="str">
        <f ca="1">'Map 6'!U13</f>
        <v>Ocean</v>
      </c>
      <c r="V13" s="3" t="str">
        <f ca="1">'Map 6'!V13</f>
        <v>Ocean</v>
      </c>
      <c r="W13" s="3" t="str">
        <f ca="1">'Map 6'!W13</f>
        <v>Ocean</v>
      </c>
      <c r="X13" s="3" t="str">
        <f ca="1">'Map 6'!X13</f>
        <v>Ocean</v>
      </c>
      <c r="Y13" s="3" t="str">
        <f ca="1">'Map 6'!Y13</f>
        <v>Ocean</v>
      </c>
      <c r="Z13" s="3" t="str">
        <f ca="1">'Map 6'!Z13</f>
        <v>Ocean</v>
      </c>
      <c r="AA13" s="3" t="str">
        <f ca="1">'Map 6'!AA13</f>
        <v>Ocean</v>
      </c>
      <c r="AB13" s="3" t="str">
        <f ca="1">'Map 6'!AB13</f>
        <v>Ocean</v>
      </c>
      <c r="AC13" s="3" t="str">
        <f ca="1">'Map 6'!AC13</f>
        <v>Ocean</v>
      </c>
      <c r="AD13" s="3" t="str">
        <f ca="1">'Map 6'!AD13</f>
        <v>Coast</v>
      </c>
      <c r="AE13" s="3" t="str">
        <f ca="1">'Map 6'!AE13</f>
        <v>Cliff</v>
      </c>
      <c r="AF13" s="3" t="str">
        <f ca="1">'Map 6'!AF13</f>
        <v>Forest</v>
      </c>
      <c r="AG13" s="3" t="str">
        <f ca="1">'Map 6'!AG13</f>
        <v>Forest</v>
      </c>
      <c r="AH13" s="3" t="str">
        <f ca="1">'Map 6'!AH13</f>
        <v>Forest</v>
      </c>
      <c r="AI13" s="3" t="str">
        <f ca="1">'Map 6'!AI13</f>
        <v>Forest</v>
      </c>
      <c r="AJ13" s="3" t="str">
        <f ca="1">'Map 6'!AJ13</f>
        <v>Forest</v>
      </c>
      <c r="AK13" s="3" t="str">
        <f ca="1">'Map 6'!AK13</f>
        <v>Mountain</v>
      </c>
      <c r="AL13" s="3" t="str">
        <f ca="1">'Map 6'!AL13</f>
        <v>Valley</v>
      </c>
      <c r="AM13" s="3" t="str">
        <f ca="1">'Map 6'!AM13</f>
        <v>Ocean</v>
      </c>
      <c r="AN13" s="3" t="str">
        <f ca="1">'Map 6'!AN13</f>
        <v>Coast</v>
      </c>
      <c r="AO13" s="87" t="str">
        <f ca="1">'Map 6'!AO13</f>
        <v>Forest</v>
      </c>
      <c r="AP13" s="79">
        <f>'Map 5'!AP13</f>
        <v>-20.3</v>
      </c>
      <c r="AQ13" s="81" t="str">
        <f>'Map 6'!AU13</f>
        <v>⤵</v>
      </c>
    </row>
    <row r="14" spans="1:43" ht="37.5" customHeight="1">
      <c r="A14" s="78">
        <v>5</v>
      </c>
      <c r="B14" s="86" t="str">
        <f ca="1">'Map 6'!B14</f>
        <v>Ocean</v>
      </c>
      <c r="C14" s="3" t="str">
        <f ca="1">'Map 6'!C14</f>
        <v>Coast</v>
      </c>
      <c r="D14" s="3" t="str">
        <f ca="1">'Map 6'!D14</f>
        <v>Coast</v>
      </c>
      <c r="E14" s="3" t="str">
        <f ca="1">'Map 6'!E14</f>
        <v>Cliff</v>
      </c>
      <c r="F14" s="3" t="str">
        <f ca="1">'Map 6'!F14</f>
        <v>Coast</v>
      </c>
      <c r="G14" s="3" t="str">
        <f ca="1">'Map 6'!G14</f>
        <v>Forest Island</v>
      </c>
      <c r="H14" s="3" t="str">
        <f ca="1">'Map 6'!H14</f>
        <v>Ocean</v>
      </c>
      <c r="I14" s="3" t="str">
        <f ca="1">'Map 6'!I14</f>
        <v>Trench</v>
      </c>
      <c r="J14" s="3" t="str">
        <f ca="1">'Map 6'!J14</f>
        <v>Ocean</v>
      </c>
      <c r="K14" s="3" t="str">
        <f ca="1">'Map 6'!K14</f>
        <v>Ocean</v>
      </c>
      <c r="L14" s="3" t="str">
        <f ca="1">'Map 6'!L14</f>
        <v>Ocean</v>
      </c>
      <c r="M14" s="3" t="str">
        <f ca="1">'Map 6'!M14</f>
        <v>Forest Island</v>
      </c>
      <c r="N14" s="3" t="str">
        <f ca="1">'Map 6'!N14</f>
        <v>Forest Island</v>
      </c>
      <c r="O14" s="3" t="str">
        <f ca="1">'Map 6'!O14</f>
        <v>Forest Island</v>
      </c>
      <c r="P14" s="3" t="str">
        <f ca="1">'Map 6'!P14</f>
        <v>Forest Island</v>
      </c>
      <c r="Q14" s="3" t="str">
        <f ca="1">'Map 6'!Q14</f>
        <v>Forest Island</v>
      </c>
      <c r="R14" s="3" t="str">
        <f ca="1">'Map 6'!R14</f>
        <v>Ocean</v>
      </c>
      <c r="S14" s="3" t="str">
        <f ca="1">'Map 6'!S14</f>
        <v>Ocean</v>
      </c>
      <c r="T14" s="3" t="str">
        <f ca="1">'Map 6'!T14</f>
        <v>Ocean</v>
      </c>
      <c r="U14" s="3" t="str">
        <f ca="1">'Map 6'!U14</f>
        <v>Ocean</v>
      </c>
      <c r="V14" s="3" t="str">
        <f ca="1">'Map 6'!V14</f>
        <v>Ocean</v>
      </c>
      <c r="W14" s="3" t="str">
        <f ca="1">'Map 6'!W14</f>
        <v>Ocean</v>
      </c>
      <c r="X14" s="3" t="str">
        <f ca="1">'Map 6'!X14</f>
        <v>Ocean</v>
      </c>
      <c r="Y14" s="3" t="str">
        <f ca="1">'Map 6'!Y14</f>
        <v>Ocean</v>
      </c>
      <c r="Z14" s="3" t="str">
        <f ca="1">'Map 6'!Z14</f>
        <v>Forest Island</v>
      </c>
      <c r="AA14" s="3" t="str">
        <f ca="1">'Map 6'!AA14</f>
        <v>Forest Island</v>
      </c>
      <c r="AB14" s="3" t="str">
        <f ca="1">'Map 6'!AB14</f>
        <v>Ocean</v>
      </c>
      <c r="AC14" s="3" t="str">
        <f ca="1">'Map 6'!AC14</f>
        <v>Trench</v>
      </c>
      <c r="AD14" s="3" t="str">
        <f ca="1">'Map 6'!AD14</f>
        <v>Ocean</v>
      </c>
      <c r="AE14" s="3" t="str">
        <f ca="1">'Map 6'!AE14</f>
        <v>Coast</v>
      </c>
      <c r="AF14" s="3" t="str">
        <f ca="1">'Map 6'!AF14</f>
        <v>Coast</v>
      </c>
      <c r="AG14" s="3" t="str">
        <f ca="1">'Map 6'!AG14</f>
        <v>Coast</v>
      </c>
      <c r="AH14" s="3" t="str">
        <f ca="1">'Map 6'!AH14</f>
        <v>Cliff</v>
      </c>
      <c r="AI14" s="3" t="str">
        <f ca="1">'Map 6'!AI14</f>
        <v>Ocean</v>
      </c>
      <c r="AJ14" s="3" t="str">
        <f ca="1">'Map 6'!AJ14</f>
        <v>Trench</v>
      </c>
      <c r="AK14" s="3" t="str">
        <f ca="1">'Map 6'!AK14</f>
        <v>Ocean</v>
      </c>
      <c r="AL14" s="3" t="str">
        <f ca="1">'Map 6'!AL14</f>
        <v>Ocean</v>
      </c>
      <c r="AM14" s="3" t="str">
        <f ca="1">'Map 6'!AM14</f>
        <v>Cliff</v>
      </c>
      <c r="AN14" s="3" t="str">
        <f ca="1">'Map 6'!AN14</f>
        <v>Forest Rainshadow Valley</v>
      </c>
      <c r="AO14" s="87" t="str">
        <f ca="1">'Map 6'!AO14</f>
        <v>Cliff</v>
      </c>
      <c r="AP14" s="79">
        <f>'Map 5'!AP14</f>
        <v>-13.35</v>
      </c>
      <c r="AQ14" s="81" t="str">
        <f>'Map 6'!AU14</f>
        <v>⤵</v>
      </c>
    </row>
    <row r="15" spans="1:43" ht="37.5" customHeight="1">
      <c r="A15" s="78">
        <v>6</v>
      </c>
      <c r="B15" s="86" t="str">
        <f ca="1">'Map 6'!B15</f>
        <v>Mountain</v>
      </c>
      <c r="C15" s="3" t="str">
        <f ca="1">'Map 6'!C15</f>
        <v>Drop Off</v>
      </c>
      <c r="D15" s="3" t="str">
        <f ca="1">'Map 6'!D15</f>
        <v>Coast</v>
      </c>
      <c r="E15" s="3" t="str">
        <f ca="1">'Map 6'!E15</f>
        <v>Forest Island</v>
      </c>
      <c r="F15" s="3" t="str">
        <f ca="1">'Map 6'!F15</f>
        <v>Ocean</v>
      </c>
      <c r="G15" s="3" t="str">
        <f ca="1">'Map 6'!G15</f>
        <v>Forest Island</v>
      </c>
      <c r="H15" s="3" t="str">
        <f ca="1">'Map 6'!H15</f>
        <v>Forest Island</v>
      </c>
      <c r="I15" s="3" t="str">
        <f ca="1">'Map 6'!I15</f>
        <v>Trench</v>
      </c>
      <c r="J15" s="3" t="str">
        <f ca="1">'Map 6'!J15</f>
        <v>Ocean</v>
      </c>
      <c r="K15" s="3" t="str">
        <f ca="1">'Map 6'!K15</f>
        <v>Trench</v>
      </c>
      <c r="L15" s="3" t="str">
        <f ca="1">'Map 6'!L15</f>
        <v>Ocean</v>
      </c>
      <c r="M15" s="3" t="str">
        <f ca="1">'Map 6'!M15</f>
        <v>Ocean</v>
      </c>
      <c r="N15" s="3" t="str">
        <f ca="1">'Map 6'!N15</f>
        <v>Ocean</v>
      </c>
      <c r="O15" s="3" t="str">
        <f ca="1">'Map 6'!O15</f>
        <v>Ocean</v>
      </c>
      <c r="P15" s="3" t="str">
        <f ca="1">'Map 6'!P15</f>
        <v>Forest Island</v>
      </c>
      <c r="Q15" s="3" t="str">
        <f ca="1">'Map 6'!Q15</f>
        <v>Ocean</v>
      </c>
      <c r="R15" s="3" t="str">
        <f ca="1">'Map 6'!R15</f>
        <v>Ocean</v>
      </c>
      <c r="S15" s="3" t="str">
        <f ca="1">'Map 6'!S15</f>
        <v>Ocean</v>
      </c>
      <c r="T15" s="3" t="str">
        <f ca="1">'Map 6'!T15</f>
        <v>Ocean</v>
      </c>
      <c r="U15" s="3" t="str">
        <f ca="1">'Map 6'!U15</f>
        <v>Ocean</v>
      </c>
      <c r="V15" s="3" t="str">
        <f ca="1">'Map 6'!V15</f>
        <v>Ocean</v>
      </c>
      <c r="W15" s="3" t="str">
        <f ca="1">'Map 6'!W15</f>
        <v>Forest Island</v>
      </c>
      <c r="X15" s="3" t="str">
        <f ca="1">'Map 6'!X15</f>
        <v>Forest Island</v>
      </c>
      <c r="Y15" s="3" t="str">
        <f ca="1">'Map 6'!Y15</f>
        <v>Ocean</v>
      </c>
      <c r="Z15" s="3" t="str">
        <f ca="1">'Map 6'!Z15</f>
        <v>Trench</v>
      </c>
      <c r="AA15" s="3" t="str">
        <f ca="1">'Map 6'!AA15</f>
        <v>Ocean</v>
      </c>
      <c r="AB15" s="3" t="str">
        <f ca="1">'Map 6'!AB15</f>
        <v>Forest Island</v>
      </c>
      <c r="AC15" s="3" t="str">
        <f ca="1">'Map 6'!AC15</f>
        <v>Ocean</v>
      </c>
      <c r="AD15" s="3" t="str">
        <f ca="1">'Map 6'!AD15</f>
        <v>Ocean</v>
      </c>
      <c r="AE15" s="3" t="str">
        <f ca="1">'Map 6'!AE15</f>
        <v>Coast</v>
      </c>
      <c r="AF15" s="3" t="str">
        <f ca="1">'Map 6'!AF15</f>
        <v>Ocean</v>
      </c>
      <c r="AG15" s="3" t="str">
        <f ca="1">'Map 6'!AG15</f>
        <v>Coast</v>
      </c>
      <c r="AH15" s="3" t="str">
        <f ca="1">'Map 6'!AH15</f>
        <v>Forest Island</v>
      </c>
      <c r="AI15" s="3" t="str">
        <f ca="1">'Map 6'!AI15</f>
        <v>Ocean</v>
      </c>
      <c r="AJ15" s="3" t="str">
        <f ca="1">'Map 6'!AJ15</f>
        <v>Forest Island</v>
      </c>
      <c r="AK15" s="3" t="str">
        <f ca="1">'Map 6'!AK15</f>
        <v>Trench</v>
      </c>
      <c r="AL15" s="3" t="str">
        <f ca="1">'Map 6'!AL15</f>
        <v>Coast</v>
      </c>
      <c r="AM15" s="3" t="str">
        <f ca="1">'Map 6'!AM15</f>
        <v>Forest</v>
      </c>
      <c r="AN15" s="3" t="str">
        <f ca="1">'Map 6'!AN15</f>
        <v>Mountain</v>
      </c>
      <c r="AO15" s="87" t="str">
        <f ca="1">'Map 6'!AO15</f>
        <v>Forest Rainshadow Valley</v>
      </c>
      <c r="AP15" s="79">
        <f>'Map 5'!AP15</f>
        <v>-6.4</v>
      </c>
      <c r="AQ15" s="81" t="str">
        <f>'Map 6'!AU15</f>
        <v>⤵</v>
      </c>
    </row>
    <row r="16" spans="1:43" ht="37.5" customHeight="1">
      <c r="A16" s="78">
        <v>7</v>
      </c>
      <c r="B16" s="86" t="str">
        <f ca="1">'Map 6'!B16</f>
        <v>Forest</v>
      </c>
      <c r="C16" s="3" t="str">
        <f ca="1">'Map 6'!C16</f>
        <v>Forest Island</v>
      </c>
      <c r="D16" s="3" t="str">
        <f ca="1">'Map 6'!D16</f>
        <v>Ocean</v>
      </c>
      <c r="E16" s="3" t="str">
        <f ca="1">'Map 6'!E16</f>
        <v>Ocean</v>
      </c>
      <c r="F16" s="3" t="str">
        <f ca="1">'Map 6'!F16</f>
        <v>Trench</v>
      </c>
      <c r="G16" s="3" t="str">
        <f ca="1">'Map 6'!G16</f>
        <v>Ocean</v>
      </c>
      <c r="H16" s="3" t="str">
        <f ca="1">'Map 6'!H16</f>
        <v>Ocean</v>
      </c>
      <c r="I16" s="3" t="str">
        <f ca="1">'Map 6'!I16</f>
        <v>Ocean</v>
      </c>
      <c r="J16" s="3" t="str">
        <f ca="1">'Map 6'!J16</f>
        <v>Ocean</v>
      </c>
      <c r="K16" s="3" t="str">
        <f ca="1">'Map 6'!K16</f>
        <v>Trench</v>
      </c>
      <c r="L16" s="3" t="str">
        <f ca="1">'Map 6'!L16</f>
        <v>Trench</v>
      </c>
      <c r="M16" s="3" t="str">
        <f ca="1">'Map 6'!M16</f>
        <v>Ocean</v>
      </c>
      <c r="N16" s="3" t="str">
        <f ca="1">'Map 6'!N16</f>
        <v>Forest Island</v>
      </c>
      <c r="O16" s="3" t="str">
        <f ca="1">'Map 6'!O16</f>
        <v>Ocean</v>
      </c>
      <c r="P16" s="3" t="str">
        <f ca="1">'Map 6'!P16</f>
        <v>Ocean</v>
      </c>
      <c r="Q16" s="3" t="str">
        <f ca="1">'Map 6'!Q16</f>
        <v>Ocean</v>
      </c>
      <c r="R16" s="3" t="str">
        <f ca="1">'Map 6'!R16</f>
        <v>Ocean</v>
      </c>
      <c r="S16" s="3" t="str">
        <f ca="1">'Map 6'!S16</f>
        <v>Ocean</v>
      </c>
      <c r="T16" s="3" t="str">
        <f ca="1">'Map 6'!T16</f>
        <v>Ocean</v>
      </c>
      <c r="U16" s="3" t="str">
        <f ca="1">'Map 6'!U16</f>
        <v>Ocean</v>
      </c>
      <c r="V16" s="3" t="str">
        <f ca="1">'Map 6'!V16</f>
        <v>Forest Island</v>
      </c>
      <c r="W16" s="3" t="str">
        <f ca="1">'Map 6'!W16</f>
        <v>Ocean</v>
      </c>
      <c r="X16" s="3" t="str">
        <f ca="1">'Map 6'!X16</f>
        <v>Forest Island</v>
      </c>
      <c r="Y16" s="3" t="str">
        <f ca="1">'Map 6'!Y16</f>
        <v>Ocean</v>
      </c>
      <c r="Z16" s="3" t="str">
        <f ca="1">'Map 6'!Z16</f>
        <v>Ocean</v>
      </c>
      <c r="AA16" s="3" t="str">
        <f ca="1">'Map 6'!AA16</f>
        <v>Forest Rainshadow Island</v>
      </c>
      <c r="AB16" s="3" t="str">
        <f ca="1">'Map 6'!AB16</f>
        <v>Ocean</v>
      </c>
      <c r="AC16" s="3" t="str">
        <f ca="1">'Map 6'!AC16</f>
        <v>Ocean</v>
      </c>
      <c r="AD16" s="3" t="str">
        <f ca="1">'Map 6'!AD16</f>
        <v>Ocean</v>
      </c>
      <c r="AE16" s="3" t="str">
        <f ca="1">'Map 6'!AE16</f>
        <v>Ocean</v>
      </c>
      <c r="AF16" s="3" t="str">
        <f ca="1">'Map 6'!AF16</f>
        <v>Ocean</v>
      </c>
      <c r="AG16" s="3" t="str">
        <f ca="1">'Map 6'!AG16</f>
        <v>Ocean</v>
      </c>
      <c r="AH16" s="3" t="str">
        <f ca="1">'Map 6'!AH16</f>
        <v>Ocean</v>
      </c>
      <c r="AI16" s="3" t="str">
        <f ca="1">'Map 6'!AI16</f>
        <v>Ocean</v>
      </c>
      <c r="AJ16" s="3" t="str">
        <f ca="1">'Map 6'!AJ16</f>
        <v>Forest Island</v>
      </c>
      <c r="AK16" s="3" t="str">
        <f ca="1">'Map 6'!AK16</f>
        <v>Coast</v>
      </c>
      <c r="AL16" s="3" t="str">
        <f ca="1">'Map 6'!AL16</f>
        <v>Coast</v>
      </c>
      <c r="AM16" s="3" t="str">
        <f ca="1">'Map 6'!AM16</f>
        <v>Coast</v>
      </c>
      <c r="AN16" s="3" t="str">
        <f ca="1">'Map 6'!AN16</f>
        <v>Forest</v>
      </c>
      <c r="AO16" s="87" t="str">
        <f ca="1">'Map 6'!AO16</f>
        <v>Mountain</v>
      </c>
      <c r="AP16" s="79">
        <f>'Map 5'!AP16</f>
        <v>0.55000000000000004</v>
      </c>
      <c r="AQ16" s="81" t="str">
        <f>'Map 6'!AU16</f>
        <v>⤵</v>
      </c>
    </row>
    <row r="17" spans="1:43" ht="37.5" customHeight="1">
      <c r="A17" s="78">
        <v>8</v>
      </c>
      <c r="B17" s="86" t="str">
        <f ca="1">'Map 6'!B17</f>
        <v>Coast</v>
      </c>
      <c r="C17" s="3" t="str">
        <f ca="1">'Map 6'!C17</f>
        <v>Ocean</v>
      </c>
      <c r="D17" s="3" t="str">
        <f ca="1">'Map 6'!D17</f>
        <v>Ocean</v>
      </c>
      <c r="E17" s="3" t="str">
        <f ca="1">'Map 6'!E17</f>
        <v>Ocean</v>
      </c>
      <c r="F17" s="3" t="str">
        <f ca="1">'Map 6'!F17</f>
        <v>Forest Island</v>
      </c>
      <c r="G17" s="3" t="str">
        <f ca="1">'Map 6'!G17</f>
        <v>Forest Island</v>
      </c>
      <c r="H17" s="3" t="str">
        <f ca="1">'Map 6'!H17</f>
        <v>Ocean</v>
      </c>
      <c r="I17" s="3" t="str">
        <f ca="1">'Map 6'!I17</f>
        <v>Ocean</v>
      </c>
      <c r="J17" s="3" t="str">
        <f ca="1">'Map 6'!J17</f>
        <v>Ocean</v>
      </c>
      <c r="K17" s="3" t="str">
        <f ca="1">'Map 6'!K17</f>
        <v>Forest Island</v>
      </c>
      <c r="L17" s="3" t="str">
        <f ca="1">'Map 6'!L17</f>
        <v>Ocean</v>
      </c>
      <c r="M17" s="3" t="str">
        <f ca="1">'Map 6'!M17</f>
        <v>Coast</v>
      </c>
      <c r="N17" s="3" t="str">
        <f ca="1">'Map 6'!N17</f>
        <v>Forest</v>
      </c>
      <c r="O17" s="3" t="str">
        <f ca="1">'Map 6'!O17</f>
        <v>Coast</v>
      </c>
      <c r="P17" s="3" t="str">
        <f ca="1">'Map 6'!P17</f>
        <v>Coast</v>
      </c>
      <c r="Q17" s="3" t="str">
        <f ca="1">'Map 6'!Q17</f>
        <v>Coast</v>
      </c>
      <c r="R17" s="3" t="str">
        <f ca="1">'Map 6'!R17</f>
        <v>Ocean</v>
      </c>
      <c r="S17" s="3" t="str">
        <f ca="1">'Map 6'!S17</f>
        <v>Ocean</v>
      </c>
      <c r="T17" s="3" t="str">
        <f ca="1">'Map 6'!T17</f>
        <v>Ocean</v>
      </c>
      <c r="U17" s="3" t="str">
        <f ca="1">'Map 6'!U17</f>
        <v>Ocean</v>
      </c>
      <c r="V17" s="3" t="str">
        <f ca="1">'Map 6'!V17</f>
        <v>Ocean</v>
      </c>
      <c r="W17" s="3" t="str">
        <f ca="1">'Map 6'!W17</f>
        <v>Ocean</v>
      </c>
      <c r="X17" s="3" t="str">
        <f ca="1">'Map 6'!X17</f>
        <v>Ocean</v>
      </c>
      <c r="Y17" s="3" t="str">
        <f ca="1">'Map 6'!Y17</f>
        <v>Ocean</v>
      </c>
      <c r="Z17" s="3" t="str">
        <f ca="1">'Map 6'!Z17</f>
        <v>Coast</v>
      </c>
      <c r="AA17" s="3" t="str">
        <f ca="1">'Map 6'!AA17</f>
        <v>Mountain</v>
      </c>
      <c r="AB17" s="3" t="str">
        <f ca="1">'Map 6'!AB17</f>
        <v>Forest</v>
      </c>
      <c r="AC17" s="3" t="str">
        <f ca="1">'Map 6'!AC17</f>
        <v>Coast</v>
      </c>
      <c r="AD17" s="3" t="str">
        <f ca="1">'Map 6'!AD17</f>
        <v>Ocean</v>
      </c>
      <c r="AE17" s="3" t="str">
        <f ca="1">'Map 6'!AE17</f>
        <v>Ocean</v>
      </c>
      <c r="AF17" s="3" t="str">
        <f ca="1">'Map 6'!AF17</f>
        <v>Ocean</v>
      </c>
      <c r="AG17" s="3" t="str">
        <f ca="1">'Map 6'!AG17</f>
        <v>Trench</v>
      </c>
      <c r="AH17" s="3" t="str">
        <f ca="1">'Map 6'!AH17</f>
        <v>Ocean</v>
      </c>
      <c r="AI17" s="3" t="str">
        <f ca="1">'Map 6'!AI17</f>
        <v>Ocean</v>
      </c>
      <c r="AJ17" s="3" t="str">
        <f ca="1">'Map 6'!AJ17</f>
        <v>Trench</v>
      </c>
      <c r="AK17" s="3" t="str">
        <f ca="1">'Map 6'!AK17</f>
        <v>Cliff</v>
      </c>
      <c r="AL17" s="3" t="str">
        <f ca="1">'Map 6'!AL17</f>
        <v>Ocean</v>
      </c>
      <c r="AM17" s="3" t="str">
        <f ca="1">'Map 6'!AM17</f>
        <v>Coast</v>
      </c>
      <c r="AN17" s="3" t="str">
        <f ca="1">'Map 6'!AN17</f>
        <v>Coast</v>
      </c>
      <c r="AO17" s="87" t="str">
        <f ca="1">'Map 6'!AO17</f>
        <v>Forest Rainshadow</v>
      </c>
      <c r="AP17" s="79">
        <f>'Map 5'!AP17</f>
        <v>7.5</v>
      </c>
      <c r="AQ17" s="81" t="str">
        <f>'Map 6'!AU17</f>
        <v>⤴</v>
      </c>
    </row>
    <row r="18" spans="1:43" ht="37.5" customHeight="1">
      <c r="A18" s="78">
        <v>9</v>
      </c>
      <c r="B18" s="86" t="str">
        <f ca="1">'Map 6'!B18</f>
        <v>Ocean</v>
      </c>
      <c r="C18" s="3" t="str">
        <f ca="1">'Map 6'!C18</f>
        <v>Ocean</v>
      </c>
      <c r="D18" s="3" t="str">
        <f ca="1">'Map 6'!D18</f>
        <v>Ocean</v>
      </c>
      <c r="E18" s="3" t="str">
        <f ca="1">'Map 6'!E18</f>
        <v>Ocean</v>
      </c>
      <c r="F18" s="3" t="str">
        <f ca="1">'Map 6'!F18</f>
        <v>Ocean</v>
      </c>
      <c r="G18" s="3" t="str">
        <f ca="1">'Map 6'!G18</f>
        <v>Ocean</v>
      </c>
      <c r="H18" s="3" t="str">
        <f ca="1">'Map 6'!H18</f>
        <v>Ocean</v>
      </c>
      <c r="I18" s="3" t="str">
        <f ca="1">'Map 6'!I18</f>
        <v>Ocean</v>
      </c>
      <c r="J18" s="3" t="str">
        <f ca="1">'Map 6'!J18</f>
        <v>Ocean</v>
      </c>
      <c r="K18" s="3" t="str">
        <f ca="1">'Map 6'!K18</f>
        <v>Trench</v>
      </c>
      <c r="L18" s="3" t="str">
        <f ca="1">'Map 6'!L18</f>
        <v>Trench</v>
      </c>
      <c r="M18" s="3" t="str">
        <f ca="1">'Map 6'!M18</f>
        <v>Forest</v>
      </c>
      <c r="N18" s="3" t="str">
        <f ca="1">'Map 6'!N18</f>
        <v>Forest</v>
      </c>
      <c r="O18" s="3" t="str">
        <f ca="1">'Map 6'!O18</f>
        <v>Coast</v>
      </c>
      <c r="P18" s="3" t="str">
        <f ca="1">'Map 6'!P18</f>
        <v>Forest</v>
      </c>
      <c r="Q18" s="3" t="str">
        <f ca="1">'Map 6'!Q18</f>
        <v>Ocean</v>
      </c>
      <c r="R18" s="3" t="str">
        <f ca="1">'Map 6'!R18</f>
        <v>Ocean</v>
      </c>
      <c r="S18" s="3" t="str">
        <f ca="1">'Map 6'!S18</f>
        <v>Ocean</v>
      </c>
      <c r="T18" s="3" t="str">
        <f ca="1">'Map 6'!T18</f>
        <v>Ocean</v>
      </c>
      <c r="U18" s="3" t="str">
        <f ca="1">'Map 6'!U18</f>
        <v>Ocean</v>
      </c>
      <c r="V18" s="3" t="str">
        <f ca="1">'Map 6'!V18</f>
        <v>Ocean</v>
      </c>
      <c r="W18" s="3" t="str">
        <f ca="1">'Map 6'!W18</f>
        <v>Ocean</v>
      </c>
      <c r="X18" s="3" t="str">
        <f ca="1">'Map 6'!X18</f>
        <v>Ocean</v>
      </c>
      <c r="Y18" s="3" t="str">
        <f ca="1">'Map 6'!Y18</f>
        <v>Coast</v>
      </c>
      <c r="Z18" s="3" t="str">
        <f ca="1">'Map 6'!Z18</f>
        <v>Forest</v>
      </c>
      <c r="AA18" s="3" t="str">
        <f ca="1">'Map 6'!AA18</f>
        <v>Forest Rainshadow</v>
      </c>
      <c r="AB18" s="3" t="str">
        <f ca="1">'Map 6'!AB18</f>
        <v>Coast</v>
      </c>
      <c r="AC18" s="3" t="str">
        <f ca="1">'Map 6'!AC18</f>
        <v>Ocean</v>
      </c>
      <c r="AD18" s="3" t="str">
        <f ca="1">'Map 6'!AD18</f>
        <v>Ocean</v>
      </c>
      <c r="AE18" s="3" t="str">
        <f ca="1">'Map 6'!AE18</f>
        <v>Ocean</v>
      </c>
      <c r="AF18" s="3" t="str">
        <f ca="1">'Map 6'!AF18</f>
        <v>Ocean</v>
      </c>
      <c r="AG18" s="3" t="str">
        <f ca="1">'Map 6'!AG18</f>
        <v>Ocean</v>
      </c>
      <c r="AH18" s="3" t="str">
        <f ca="1">'Map 6'!AH18</f>
        <v>Ocean</v>
      </c>
      <c r="AI18" s="3" t="str">
        <f ca="1">'Map 6'!AI18</f>
        <v>Ocean</v>
      </c>
      <c r="AJ18" s="3" t="str">
        <f ca="1">'Map 6'!AJ18</f>
        <v>Ocean</v>
      </c>
      <c r="AK18" s="3" t="str">
        <f ca="1">'Map 6'!AK18</f>
        <v>Drop Off</v>
      </c>
      <c r="AL18" s="3" t="str">
        <f ca="1">'Map 6'!AL18</f>
        <v>Forest Island</v>
      </c>
      <c r="AM18" s="3" t="str">
        <f ca="1">'Map 6'!AM18</f>
        <v>Ocean</v>
      </c>
      <c r="AN18" s="3" t="str">
        <f ca="1">'Map 6'!AN18</f>
        <v>Forest</v>
      </c>
      <c r="AO18" s="87" t="str">
        <f ca="1">'Map 6'!AO18</f>
        <v>Coast</v>
      </c>
      <c r="AP18" s="79">
        <f>'Map 5'!AP18</f>
        <v>14.45</v>
      </c>
      <c r="AQ18" s="81" t="str">
        <f>'Map 6'!AU18</f>
        <v>⤴</v>
      </c>
    </row>
    <row r="19" spans="1:43" ht="37.5" customHeight="1">
      <c r="A19" s="78">
        <v>10</v>
      </c>
      <c r="B19" s="86" t="str">
        <f ca="1">'Map 6'!B19</f>
        <v>Ocean</v>
      </c>
      <c r="C19" s="3" t="str">
        <f ca="1">'Map 6'!C19</f>
        <v>Ocean</v>
      </c>
      <c r="D19" s="3" t="str">
        <f ca="1">'Map 6'!D19</f>
        <v>Ocean</v>
      </c>
      <c r="E19" s="3" t="str">
        <f ca="1">'Map 6'!E19</f>
        <v>Ocean</v>
      </c>
      <c r="F19" s="3" t="str">
        <f ca="1">'Map 6'!F19</f>
        <v>Ocean</v>
      </c>
      <c r="G19" s="3" t="str">
        <f ca="1">'Map 6'!G19</f>
        <v>Forest Island</v>
      </c>
      <c r="H19" s="3" t="str">
        <f ca="1">'Map 6'!H19</f>
        <v>Forest Island</v>
      </c>
      <c r="I19" s="3" t="str">
        <f ca="1">'Map 6'!I19</f>
        <v>Trench</v>
      </c>
      <c r="J19" s="3" t="str">
        <f ca="1">'Map 6'!J19</f>
        <v>Forest Island</v>
      </c>
      <c r="K19" s="3" t="str">
        <f ca="1">'Map 6'!K19</f>
        <v>Ocean</v>
      </c>
      <c r="L19" s="3" t="str">
        <f ca="1">'Map 6'!L19</f>
        <v>Trench</v>
      </c>
      <c r="M19" s="3" t="str">
        <f ca="1">'Map 6'!M19</f>
        <v>Ocean</v>
      </c>
      <c r="N19" s="3" t="str">
        <f ca="1">'Map 6'!N19</f>
        <v>Coast</v>
      </c>
      <c r="O19" s="3" t="str">
        <f ca="1">'Map 6'!O19</f>
        <v>Valley</v>
      </c>
      <c r="P19" s="3" t="str">
        <f ca="1">'Map 6'!P19</f>
        <v>Forest</v>
      </c>
      <c r="Q19" s="3" t="str">
        <f ca="1">'Map 6'!Q19</f>
        <v>Forest</v>
      </c>
      <c r="R19" s="3" t="str">
        <f ca="1">'Map 6'!R19</f>
        <v>Coast</v>
      </c>
      <c r="S19" s="3" t="str">
        <f ca="1">'Map 6'!S19</f>
        <v>Ocean</v>
      </c>
      <c r="T19" s="3" t="str">
        <f ca="1">'Map 6'!T19</f>
        <v>Ocean</v>
      </c>
      <c r="U19" s="3" t="str">
        <f ca="1">'Map 6'!U19</f>
        <v>Ocean</v>
      </c>
      <c r="V19" s="3" t="str">
        <f ca="1">'Map 6'!V19</f>
        <v>Ocean</v>
      </c>
      <c r="W19" s="3" t="str">
        <f ca="1">'Map 6'!W19</f>
        <v>Ocean</v>
      </c>
      <c r="X19" s="3" t="str">
        <f ca="1">'Map 6'!X19</f>
        <v>Trench</v>
      </c>
      <c r="Y19" s="3" t="str">
        <f ca="1">'Map 6'!Y19</f>
        <v>Ocean</v>
      </c>
      <c r="Z19" s="3" t="str">
        <f ca="1">'Map 6'!Z19</f>
        <v>Coast</v>
      </c>
      <c r="AA19" s="3" t="str">
        <f ca="1">'Map 6'!AA19</f>
        <v>Mountain</v>
      </c>
      <c r="AB19" s="3" t="str">
        <f ca="1">'Map 6'!AB19</f>
        <v>Mountain</v>
      </c>
      <c r="AC19" s="3" t="str">
        <f ca="1">'Map 6'!AC19</f>
        <v>Valley</v>
      </c>
      <c r="AD19" s="3" t="str">
        <f ca="1">'Map 6'!AD19</f>
        <v>Coast</v>
      </c>
      <c r="AE19" s="3" t="str">
        <f ca="1">'Map 6'!AE19</f>
        <v>Ocean</v>
      </c>
      <c r="AF19" s="3" t="str">
        <f ca="1">'Map 6'!AF19</f>
        <v>Ocean</v>
      </c>
      <c r="AG19" s="3" t="str">
        <f ca="1">'Map 6'!AG19</f>
        <v>Ocean</v>
      </c>
      <c r="AH19" s="3" t="str">
        <f ca="1">'Map 6'!AH19</f>
        <v>Trench</v>
      </c>
      <c r="AI19" s="3" t="str">
        <f ca="1">'Map 6'!AI19</f>
        <v>Ocean</v>
      </c>
      <c r="AJ19" s="3" t="str">
        <f ca="1">'Map 6'!AJ19</f>
        <v>Ocean</v>
      </c>
      <c r="AK19" s="3" t="str">
        <f ca="1">'Map 6'!AK19</f>
        <v>Forest Island</v>
      </c>
      <c r="AL19" s="3" t="str">
        <f ca="1">'Map 6'!AL19</f>
        <v>Ocean</v>
      </c>
      <c r="AM19" s="3" t="str">
        <f ca="1">'Map 6'!AM19</f>
        <v>Ocean</v>
      </c>
      <c r="AN19" s="3" t="str">
        <f ca="1">'Map 6'!AN19</f>
        <v>Coast</v>
      </c>
      <c r="AO19" s="87" t="str">
        <f ca="1">'Map 6'!AO19</f>
        <v>Ocean</v>
      </c>
      <c r="AP19" s="79">
        <f>'Map 5'!AP19</f>
        <v>21.4</v>
      </c>
      <c r="AQ19" s="81" t="str">
        <f>'Map 6'!AU19</f>
        <v>⤴</v>
      </c>
    </row>
    <row r="20" spans="1:43" ht="37.5" customHeight="1">
      <c r="A20" s="78">
        <v>11</v>
      </c>
      <c r="B20" s="86" t="str">
        <f ca="1">'Map 6'!B20</f>
        <v>Ocean</v>
      </c>
      <c r="C20" s="3" t="str">
        <f ca="1">'Map 6'!C20</f>
        <v>Ocean</v>
      </c>
      <c r="D20" s="3" t="str">
        <f ca="1">'Map 6'!D20</f>
        <v>Trench</v>
      </c>
      <c r="E20" s="3" t="str">
        <f ca="1">'Map 6'!E20</f>
        <v>Ocean</v>
      </c>
      <c r="F20" s="3" t="str">
        <f ca="1">'Map 6'!F20</f>
        <v>Desert Island</v>
      </c>
      <c r="G20" s="3" t="str">
        <f ca="1">'Map 6'!G20</f>
        <v>Trench</v>
      </c>
      <c r="H20" s="3" t="str">
        <f ca="1">'Map 6'!H20</f>
        <v>Desert Island</v>
      </c>
      <c r="I20" s="3" t="str">
        <f ca="1">'Map 6'!I20</f>
        <v>Desert Island</v>
      </c>
      <c r="J20" s="3" t="str">
        <f ca="1">'Map 6'!J20</f>
        <v>Trench</v>
      </c>
      <c r="K20" s="3" t="str">
        <f ca="1">'Map 6'!K20</f>
        <v>Ocean</v>
      </c>
      <c r="L20" s="3" t="str">
        <f ca="1">'Map 6'!L20</f>
        <v>Ocean</v>
      </c>
      <c r="M20" s="3" t="str">
        <f ca="1">'Map 6'!M20</f>
        <v>Ocean</v>
      </c>
      <c r="N20" s="3" t="str">
        <f ca="1">'Map 6'!N20</f>
        <v>Desert</v>
      </c>
      <c r="O20" s="3" t="str">
        <f ca="1">'Map 6'!O20</f>
        <v>Desert</v>
      </c>
      <c r="P20" s="3" t="str">
        <f ca="1">'Map 6'!P20</f>
        <v>Desert</v>
      </c>
      <c r="Q20" s="3" t="str">
        <f ca="1">'Map 6'!Q20</f>
        <v>Valley</v>
      </c>
      <c r="R20" s="3" t="str">
        <f ca="1">'Map 6'!R20</f>
        <v>Coast</v>
      </c>
      <c r="S20" s="3" t="str">
        <f ca="1">'Map 6'!S20</f>
        <v>Ocean</v>
      </c>
      <c r="T20" s="3" t="str">
        <f ca="1">'Map 6'!T20</f>
        <v>Ocean</v>
      </c>
      <c r="U20" s="3" t="str">
        <f ca="1">'Map 6'!U20</f>
        <v>Ocean</v>
      </c>
      <c r="V20" s="3" t="str">
        <f ca="1">'Map 6'!V20</f>
        <v>Ocean</v>
      </c>
      <c r="W20" s="3" t="str">
        <f ca="1">'Map 6'!W20</f>
        <v>Ocean</v>
      </c>
      <c r="X20" s="3" t="str">
        <f ca="1">'Map 6'!X20</f>
        <v>Ocean</v>
      </c>
      <c r="Y20" s="3" t="str">
        <f ca="1">'Map 6'!Y20</f>
        <v>Drop Off</v>
      </c>
      <c r="Z20" s="3" t="str">
        <f ca="1">'Map 6'!Z20</f>
        <v>Desert</v>
      </c>
      <c r="AA20" s="3" t="str">
        <f ca="1">'Map 6'!AA20</f>
        <v>Desert Rainshadow Valley</v>
      </c>
      <c r="AB20" s="3" t="str">
        <f ca="1">'Map 6'!AB20</f>
        <v>Desert Rainshadow Valley</v>
      </c>
      <c r="AC20" s="3" t="str">
        <f ca="1">'Map 6'!AC20</f>
        <v>Mountain</v>
      </c>
      <c r="AD20" s="3" t="str">
        <f ca="1">'Map 6'!AD20</f>
        <v>Valley</v>
      </c>
      <c r="AE20" s="3" t="str">
        <f ca="1">'Map 6'!AE20</f>
        <v>Cliff</v>
      </c>
      <c r="AF20" s="3" t="str">
        <f ca="1">'Map 6'!AF20</f>
        <v>Trench</v>
      </c>
      <c r="AG20" s="3" t="str">
        <f ca="1">'Map 6'!AG20</f>
        <v>Ocean</v>
      </c>
      <c r="AH20" s="3" t="str">
        <f ca="1">'Map 6'!AH20</f>
        <v>Ocean</v>
      </c>
      <c r="AI20" s="3" t="str">
        <f ca="1">'Map 6'!AI20</f>
        <v>Ocean</v>
      </c>
      <c r="AJ20" s="3" t="str">
        <f ca="1">'Map 6'!AJ20</f>
        <v>Desert Island</v>
      </c>
      <c r="AK20" s="3" t="str">
        <f ca="1">'Map 6'!AK20</f>
        <v>Ocean</v>
      </c>
      <c r="AL20" s="3" t="str">
        <f ca="1">'Map 6'!AL20</f>
        <v>Ocean</v>
      </c>
      <c r="AM20" s="3" t="str">
        <f ca="1">'Map 6'!AM20</f>
        <v>Ocean</v>
      </c>
      <c r="AN20" s="3" t="str">
        <f ca="1">'Map 6'!AN20</f>
        <v>Ocean</v>
      </c>
      <c r="AO20" s="87" t="str">
        <f ca="1">'Map 6'!AO20</f>
        <v>Trench</v>
      </c>
      <c r="AP20" s="79">
        <f>'Map 5'!AP20</f>
        <v>28.35</v>
      </c>
      <c r="AQ20" s="81" t="str">
        <f>'Map 6'!AU20</f>
        <v>⤴</v>
      </c>
    </row>
    <row r="21" spans="1:43" ht="37.5" customHeight="1">
      <c r="A21" s="78">
        <v>12</v>
      </c>
      <c r="B21" s="86" t="str">
        <f ca="1">'Map 6'!B21</f>
        <v>Trench</v>
      </c>
      <c r="C21" s="3" t="str">
        <f ca="1">'Map 6'!C21</f>
        <v>Ocean</v>
      </c>
      <c r="D21" s="3" t="str">
        <f ca="1">'Map 6'!D21</f>
        <v>Ocean</v>
      </c>
      <c r="E21" s="3" t="str">
        <f ca="1">'Map 6'!E21</f>
        <v>Ocean</v>
      </c>
      <c r="F21" s="3" t="str">
        <f ca="1">'Map 6'!F21</f>
        <v>Trench</v>
      </c>
      <c r="G21" s="3" t="str">
        <f ca="1">'Map 6'!G21</f>
        <v>Desert Island</v>
      </c>
      <c r="H21" s="3" t="str">
        <f ca="1">'Map 6'!H21</f>
        <v>Ocean</v>
      </c>
      <c r="I21" s="3" t="str">
        <f ca="1">'Map 6'!I21</f>
        <v>Trench</v>
      </c>
      <c r="J21" s="3" t="str">
        <f ca="1">'Map 6'!J21</f>
        <v>Ocean</v>
      </c>
      <c r="K21" s="3" t="str">
        <f ca="1">'Map 6'!K21</f>
        <v>Ocean</v>
      </c>
      <c r="L21" s="3" t="str">
        <f ca="1">'Map 6'!L21</f>
        <v>Trench</v>
      </c>
      <c r="M21" s="3" t="str">
        <f ca="1">'Map 6'!M21</f>
        <v>Ocean</v>
      </c>
      <c r="N21" s="3" t="str">
        <f ca="1">'Map 6'!N21</f>
        <v>Drop Off</v>
      </c>
      <c r="O21" s="3" t="str">
        <f ca="1">'Map 6'!O21</f>
        <v>Ocean</v>
      </c>
      <c r="P21" s="3" t="str">
        <f ca="1">'Map 6'!P21</f>
        <v>Ocean</v>
      </c>
      <c r="Q21" s="3" t="str">
        <f ca="1">'Map 6'!Q21</f>
        <v>Coast</v>
      </c>
      <c r="R21" s="3" t="str">
        <f ca="1">'Map 6'!R21</f>
        <v>Coast</v>
      </c>
      <c r="S21" s="3" t="str">
        <f ca="1">'Map 6'!S21</f>
        <v>Ocean</v>
      </c>
      <c r="T21" s="3" t="str">
        <f ca="1">'Map 6'!T21</f>
        <v>Ocean</v>
      </c>
      <c r="U21" s="3" t="str">
        <f ca="1">'Map 6'!U21</f>
        <v>Ocean</v>
      </c>
      <c r="V21" s="3" t="str">
        <f ca="1">'Map 6'!V21</f>
        <v>Trench</v>
      </c>
      <c r="W21" s="3" t="str">
        <f ca="1">'Map 6'!W21</f>
        <v>Ocean</v>
      </c>
      <c r="X21" s="3" t="str">
        <f ca="1">'Map 6'!X21</f>
        <v>Ocean</v>
      </c>
      <c r="Y21" s="3" t="str">
        <f ca="1">'Map 6'!Y21</f>
        <v>Coast</v>
      </c>
      <c r="Z21" s="3" t="str">
        <f ca="1">'Map 6'!Z21</f>
        <v>Ocean</v>
      </c>
      <c r="AA21" s="3" t="str">
        <f ca="1">'Map 6'!AA21</f>
        <v>Ocean</v>
      </c>
      <c r="AB21" s="3" t="str">
        <f ca="1">'Map 6'!AB21</f>
        <v>Ocean</v>
      </c>
      <c r="AC21" s="3" t="str">
        <f ca="1">'Map 6'!AC21</f>
        <v>Desert Rainshadow Coast</v>
      </c>
      <c r="AD21" s="3" t="str">
        <f ca="1">'Map 6'!AD21</f>
        <v>Coast</v>
      </c>
      <c r="AE21" s="3" t="str">
        <f ca="1">'Map 6'!AE21</f>
        <v>Ocean</v>
      </c>
      <c r="AF21" s="3" t="str">
        <f ca="1">'Map 6'!AF21</f>
        <v>Ocean</v>
      </c>
      <c r="AG21" s="3" t="str">
        <f ca="1">'Map 6'!AG21</f>
        <v>Ocean</v>
      </c>
      <c r="AH21" s="3" t="str">
        <f ca="1">'Map 6'!AH21</f>
        <v>Desert Island</v>
      </c>
      <c r="AI21" s="3" t="str">
        <f ca="1">'Map 6'!AI21</f>
        <v>Ocean</v>
      </c>
      <c r="AJ21" s="3" t="str">
        <f ca="1">'Map 6'!AJ21</f>
        <v>Ocean</v>
      </c>
      <c r="AK21" s="3" t="str">
        <f ca="1">'Map 6'!AK21</f>
        <v>Ocean</v>
      </c>
      <c r="AL21" s="3" t="str">
        <f ca="1">'Map 6'!AL21</f>
        <v>Ocean</v>
      </c>
      <c r="AM21" s="3" t="str">
        <f ca="1">'Map 6'!AM21</f>
        <v>Ocean</v>
      </c>
      <c r="AN21" s="3" t="str">
        <f ca="1">'Map 6'!AN21</f>
        <v>Ocean</v>
      </c>
      <c r="AO21" s="87" t="str">
        <f ca="1">'Map 6'!AO21</f>
        <v>Desert Island</v>
      </c>
      <c r="AP21" s="79">
        <f>'Map 5'!AP21</f>
        <v>35.299999999999997</v>
      </c>
      <c r="AQ21" s="81" t="str">
        <f>'Map 6'!AU21</f>
        <v>⤴</v>
      </c>
    </row>
    <row r="22" spans="1:43" ht="37.5" customHeight="1">
      <c r="A22" s="78">
        <v>13</v>
      </c>
      <c r="B22" s="86" t="str">
        <f ca="1">'Map 6'!B22</f>
        <v>Ocean</v>
      </c>
      <c r="C22" s="3" t="str">
        <f ca="1">'Map 6'!C22</f>
        <v>Trench</v>
      </c>
      <c r="D22" s="3" t="str">
        <f ca="1">'Map 6'!D22</f>
        <v>Ocean</v>
      </c>
      <c r="E22" s="3" t="str">
        <f ca="1">'Map 6'!E22</f>
        <v>Ocean</v>
      </c>
      <c r="F22" s="3" t="str">
        <f ca="1">'Map 6'!F22</f>
        <v>Trench</v>
      </c>
      <c r="G22" s="3" t="str">
        <f ca="1">'Map 6'!G22</f>
        <v>Trench</v>
      </c>
      <c r="H22" s="3" t="str">
        <f ca="1">'Map 6'!H22</f>
        <v>Desert Island</v>
      </c>
      <c r="I22" s="3" t="str">
        <f ca="1">'Map 6'!I22</f>
        <v>Ocean</v>
      </c>
      <c r="J22" s="3" t="str">
        <f ca="1">'Map 6'!J22</f>
        <v>Ocean</v>
      </c>
      <c r="K22" s="3" t="str">
        <f ca="1">'Map 6'!K22</f>
        <v>Ocean</v>
      </c>
      <c r="L22" s="3" t="str">
        <f ca="1">'Map 6'!L22</f>
        <v>Ocean</v>
      </c>
      <c r="M22" s="3" t="str">
        <f ca="1">'Map 6'!M22</f>
        <v>Ocean</v>
      </c>
      <c r="N22" s="3" t="str">
        <f ca="1">'Map 6'!N22</f>
        <v>Ocean</v>
      </c>
      <c r="O22" s="3" t="str">
        <f ca="1">'Map 6'!O22</f>
        <v>Coast</v>
      </c>
      <c r="P22" s="3" t="str">
        <f ca="1">'Map 6'!P22</f>
        <v>Desert</v>
      </c>
      <c r="Q22" s="3" t="str">
        <f ca="1">'Map 6'!Q22</f>
        <v>Coast</v>
      </c>
      <c r="R22" s="3" t="str">
        <f ca="1">'Map 6'!R22</f>
        <v>Coast</v>
      </c>
      <c r="S22" s="3" t="str">
        <f ca="1">'Map 6'!S22</f>
        <v>Coast</v>
      </c>
      <c r="T22" s="3" t="str">
        <f ca="1">'Map 6'!T22</f>
        <v>Ocean</v>
      </c>
      <c r="U22" s="3" t="str">
        <f ca="1">'Map 6'!U22</f>
        <v>Ocean</v>
      </c>
      <c r="V22" s="3" t="str">
        <f ca="1">'Map 6'!V22</f>
        <v>Desert Island</v>
      </c>
      <c r="W22" s="3" t="str">
        <f ca="1">'Map 6'!W22</f>
        <v>Coast</v>
      </c>
      <c r="X22" s="3" t="str">
        <f ca="1">'Map 6'!X22</f>
        <v>Coast</v>
      </c>
      <c r="Y22" s="3" t="str">
        <f ca="1">'Map 6'!Y22</f>
        <v>Coast</v>
      </c>
      <c r="Z22" s="3" t="str">
        <f ca="1">'Map 6'!Z22</f>
        <v>Desert</v>
      </c>
      <c r="AA22" s="3" t="str">
        <f ca="1">'Map 6'!AA22</f>
        <v>Coast</v>
      </c>
      <c r="AB22" s="3" t="str">
        <f ca="1">'Map 6'!AB22</f>
        <v>Ocean</v>
      </c>
      <c r="AC22" s="3" t="str">
        <f ca="1">'Map 6'!AC22</f>
        <v>Coast</v>
      </c>
      <c r="AD22" s="3" t="str">
        <f ca="1">'Map 6'!AD22</f>
        <v>Ocean</v>
      </c>
      <c r="AE22" s="3" t="str">
        <f ca="1">'Map 6'!AE22</f>
        <v>Ocean</v>
      </c>
      <c r="AF22" s="3" t="str">
        <f ca="1">'Map 6'!AF22</f>
        <v>Ocean</v>
      </c>
      <c r="AG22" s="3" t="str">
        <f ca="1">'Map 6'!AG22</f>
        <v>Ocean</v>
      </c>
      <c r="AH22" s="3" t="str">
        <f ca="1">'Map 6'!AH22</f>
        <v>Ocean</v>
      </c>
      <c r="AI22" s="3" t="str">
        <f ca="1">'Map 6'!AI22</f>
        <v>Ocean</v>
      </c>
      <c r="AJ22" s="3" t="str">
        <f ca="1">'Map 6'!AJ22</f>
        <v>Ocean</v>
      </c>
      <c r="AK22" s="3" t="str">
        <f ca="1">'Map 6'!AK22</f>
        <v>Ocean</v>
      </c>
      <c r="AL22" s="3" t="str">
        <f ca="1">'Map 6'!AL22</f>
        <v>Ocean</v>
      </c>
      <c r="AM22" s="3" t="str">
        <f ca="1">'Map 6'!AM22</f>
        <v>Ocean</v>
      </c>
      <c r="AN22" s="3" t="str">
        <f ca="1">'Map 6'!AN22</f>
        <v>Ocean</v>
      </c>
      <c r="AO22" s="87" t="str">
        <f ca="1">'Map 6'!AO22</f>
        <v>Ocean</v>
      </c>
      <c r="AP22" s="79">
        <f>'Map 5'!AP22</f>
        <v>42.25</v>
      </c>
      <c r="AQ22" s="81" t="str">
        <f>'Map 6'!AU22</f>
        <v>⤴</v>
      </c>
    </row>
    <row r="23" spans="1:43" ht="37.5" customHeight="1">
      <c r="A23" s="78">
        <v>14</v>
      </c>
      <c r="B23" s="86" t="str">
        <f ca="1">'Map 6'!B23</f>
        <v>Ocean</v>
      </c>
      <c r="C23" s="3" t="str">
        <f ca="1">'Map 6'!C23</f>
        <v>Ocean</v>
      </c>
      <c r="D23" s="3" t="str">
        <f ca="1">'Map 6'!D23</f>
        <v>Ocean</v>
      </c>
      <c r="E23" s="3" t="str">
        <f ca="1">'Map 6'!E23</f>
        <v>Ocean</v>
      </c>
      <c r="F23" s="3" t="str">
        <f ca="1">'Map 6'!F23</f>
        <v>Ocean</v>
      </c>
      <c r="G23" s="3" t="str">
        <f ca="1">'Map 6'!G23</f>
        <v>Ocean</v>
      </c>
      <c r="H23" s="3" t="str">
        <f ca="1">'Map 6'!H23</f>
        <v>Ocean</v>
      </c>
      <c r="I23" s="3" t="str">
        <f ca="1">'Map 6'!I23</f>
        <v>Ocean</v>
      </c>
      <c r="J23" s="3" t="str">
        <f ca="1">'Map 6'!J23</f>
        <v>Ocean</v>
      </c>
      <c r="K23" s="3" t="str">
        <f ca="1">'Map 6'!K23</f>
        <v>Ocean</v>
      </c>
      <c r="L23" s="3" t="str">
        <f ca="1">'Map 6'!L23</f>
        <v>Ocean</v>
      </c>
      <c r="M23" s="3" t="str">
        <f ca="1">'Map 6'!M23</f>
        <v>Ocean</v>
      </c>
      <c r="N23" s="3" t="str">
        <f ca="1">'Map 6'!N23</f>
        <v>Ocean</v>
      </c>
      <c r="O23" s="3" t="str">
        <f ca="1">'Map 6'!O23</f>
        <v>Coast</v>
      </c>
      <c r="P23" s="3" t="str">
        <f ca="1">'Map 6'!P23</f>
        <v>Ocean</v>
      </c>
      <c r="Q23" s="3" t="str">
        <f ca="1">'Map 6'!Q23</f>
        <v>Ocean</v>
      </c>
      <c r="R23" s="3" t="str">
        <f ca="1">'Map 6'!R23</f>
        <v>Ocean</v>
      </c>
      <c r="S23" s="3" t="str">
        <f ca="1">'Map 6'!S23</f>
        <v>Ocean</v>
      </c>
      <c r="T23" s="3" t="str">
        <f ca="1">'Map 6'!T23</f>
        <v>Ocean</v>
      </c>
      <c r="U23" s="3" t="str">
        <f ca="1">'Map 6'!U23</f>
        <v>Coast</v>
      </c>
      <c r="V23" s="3" t="str">
        <f ca="1">'Map 6'!V23</f>
        <v>Desert</v>
      </c>
      <c r="W23" s="3" t="str">
        <f ca="1">'Map 6'!W23</f>
        <v>Desert</v>
      </c>
      <c r="X23" s="3" t="str">
        <f ca="1">'Map 6'!X23</f>
        <v>Coast</v>
      </c>
      <c r="Y23" s="3" t="str">
        <f ca="1">'Map 6'!Y23</f>
        <v>Coast</v>
      </c>
      <c r="Z23" s="3" t="str">
        <f ca="1">'Map 6'!Z23</f>
        <v>Coast</v>
      </c>
      <c r="AA23" s="3" t="str">
        <f ca="1">'Map 6'!AA23</f>
        <v>Ocean</v>
      </c>
      <c r="AB23" s="3" t="str">
        <f ca="1">'Map 6'!AB23</f>
        <v>Ocean</v>
      </c>
      <c r="AC23" s="3" t="str">
        <f ca="1">'Map 6'!AC23</f>
        <v>Ocean</v>
      </c>
      <c r="AD23" s="3" t="str">
        <f ca="1">'Map 6'!AD23</f>
        <v>Ocean</v>
      </c>
      <c r="AE23" s="3" t="str">
        <f ca="1">'Map 6'!AE23</f>
        <v>Ocean</v>
      </c>
      <c r="AF23" s="3" t="str">
        <f ca="1">'Map 6'!AF23</f>
        <v>Ocean</v>
      </c>
      <c r="AG23" s="3" t="str">
        <f ca="1">'Map 6'!AG23</f>
        <v>Ocean</v>
      </c>
      <c r="AH23" s="3" t="str">
        <f ca="1">'Map 6'!AH23</f>
        <v>Ocean</v>
      </c>
      <c r="AI23" s="3" t="str">
        <f ca="1">'Map 6'!AI23</f>
        <v>Ocean</v>
      </c>
      <c r="AJ23" s="3" t="str">
        <f ca="1">'Map 6'!AJ23</f>
        <v>Ocean</v>
      </c>
      <c r="AK23" s="3" t="str">
        <f ca="1">'Map 6'!AK23</f>
        <v>Ocean</v>
      </c>
      <c r="AL23" s="3" t="str">
        <f ca="1">'Map 6'!AL23</f>
        <v>Ocean</v>
      </c>
      <c r="AM23" s="3" t="str">
        <f ca="1">'Map 6'!AM23</f>
        <v>Ocean</v>
      </c>
      <c r="AN23" s="3" t="str">
        <f ca="1">'Map 6'!AN23</f>
        <v>Ocean</v>
      </c>
      <c r="AO23" s="87" t="str">
        <f ca="1">'Map 6'!AO23</f>
        <v>Trench</v>
      </c>
      <c r="AP23" s="79">
        <f>'Map 5'!AP23</f>
        <v>49.2</v>
      </c>
      <c r="AQ23" s="81" t="str">
        <f>'Map 6'!AU23</f>
        <v>⤴</v>
      </c>
    </row>
    <row r="24" spans="1:43" ht="37.5" customHeight="1">
      <c r="A24" s="78">
        <v>15</v>
      </c>
      <c r="B24" s="86" t="str">
        <f ca="1">'Map 6'!B24</f>
        <v>Ocean</v>
      </c>
      <c r="C24" s="3" t="str">
        <f ca="1">'Map 6'!C24</f>
        <v>Ocean</v>
      </c>
      <c r="D24" s="3" t="str">
        <f ca="1">'Map 6'!D24</f>
        <v>Ocean</v>
      </c>
      <c r="E24" s="3" t="str">
        <f ca="1">'Map 6'!E24</f>
        <v>Ocean</v>
      </c>
      <c r="F24" s="3" t="str">
        <f ca="1">'Map 6'!F24</f>
        <v>Desert Island</v>
      </c>
      <c r="G24" s="3" t="str">
        <f ca="1">'Map 6'!G24</f>
        <v>Desert Island</v>
      </c>
      <c r="H24" s="3" t="str">
        <f ca="1">'Map 6'!H24</f>
        <v>Trench</v>
      </c>
      <c r="I24" s="3" t="str">
        <f ca="1">'Map 6'!I24</f>
        <v>Desert Island</v>
      </c>
      <c r="J24" s="3" t="str">
        <f ca="1">'Map 6'!J24</f>
        <v>Ocean</v>
      </c>
      <c r="K24" s="3" t="str">
        <f ca="1">'Map 6'!K24</f>
        <v>Ocean</v>
      </c>
      <c r="L24" s="3" t="str">
        <f ca="1">'Map 6'!L24</f>
        <v>Ocean</v>
      </c>
      <c r="M24" s="3" t="str">
        <f ca="1">'Map 6'!M24</f>
        <v>Ocean</v>
      </c>
      <c r="N24" s="3" t="str">
        <f ca="1">'Map 6'!N24</f>
        <v>Ocean</v>
      </c>
      <c r="O24" s="3" t="str">
        <f ca="1">'Map 6'!O24</f>
        <v>Ocean</v>
      </c>
      <c r="P24" s="3" t="str">
        <f ca="1">'Map 6'!P24</f>
        <v>Ocean</v>
      </c>
      <c r="Q24" s="3" t="str">
        <f ca="1">'Map 6'!Q24</f>
        <v>Ocean</v>
      </c>
      <c r="R24" s="3" t="str">
        <f ca="1">'Map 6'!R24</f>
        <v>Trench</v>
      </c>
      <c r="S24" s="3" t="str">
        <f ca="1">'Map 6'!S24</f>
        <v>Ocean</v>
      </c>
      <c r="T24" s="3" t="str">
        <f ca="1">'Map 6'!T24</f>
        <v>Ocean</v>
      </c>
      <c r="U24" s="3" t="str">
        <f ca="1">'Map 6'!U24</f>
        <v>Desert</v>
      </c>
      <c r="V24" s="3" t="str">
        <f ca="1">'Map 6'!V24</f>
        <v>Coast</v>
      </c>
      <c r="W24" s="3" t="str">
        <f ca="1">'Map 6'!W24</f>
        <v>Coast</v>
      </c>
      <c r="X24" s="3" t="str">
        <f ca="1">'Map 6'!X24</f>
        <v>Desert</v>
      </c>
      <c r="Y24" s="3" t="str">
        <f ca="1">'Map 6'!Y24</f>
        <v>Coast</v>
      </c>
      <c r="Z24" s="3" t="str">
        <f ca="1">'Map 6'!Z24</f>
        <v>Coast</v>
      </c>
      <c r="AA24" s="3" t="str">
        <f ca="1">'Map 6'!AA24</f>
        <v>Desert Island</v>
      </c>
      <c r="AB24" s="3" t="str">
        <f ca="1">'Map 6'!AB24</f>
        <v>Trench</v>
      </c>
      <c r="AC24" s="3" t="str">
        <f ca="1">'Map 6'!AC24</f>
        <v>Ocean</v>
      </c>
      <c r="AD24" s="3" t="str">
        <f ca="1">'Map 6'!AD24</f>
        <v>Trench</v>
      </c>
      <c r="AE24" s="3" t="str">
        <f ca="1">'Map 6'!AE24</f>
        <v>Trench</v>
      </c>
      <c r="AF24" s="3" t="str">
        <f ca="1">'Map 6'!AF24</f>
        <v>Ocean</v>
      </c>
      <c r="AG24" s="3" t="str">
        <f ca="1">'Map 6'!AG24</f>
        <v>Ocean</v>
      </c>
      <c r="AH24" s="3" t="str">
        <f ca="1">'Map 6'!AH24</f>
        <v>Trench</v>
      </c>
      <c r="AI24" s="3" t="str">
        <f ca="1">'Map 6'!AI24</f>
        <v>Ocean</v>
      </c>
      <c r="AJ24" s="3" t="str">
        <f ca="1">'Map 6'!AJ24</f>
        <v>Ocean</v>
      </c>
      <c r="AK24" s="3" t="str">
        <f ca="1">'Map 6'!AK24</f>
        <v>Ocean</v>
      </c>
      <c r="AL24" s="3" t="str">
        <f ca="1">'Map 6'!AL24</f>
        <v>Ocean</v>
      </c>
      <c r="AM24" s="3" t="str">
        <f ca="1">'Map 6'!AM24</f>
        <v>Ocean</v>
      </c>
      <c r="AN24" s="3" t="str">
        <f ca="1">'Map 6'!AN24</f>
        <v>Ocean</v>
      </c>
      <c r="AO24" s="87" t="str">
        <f ca="1">'Map 6'!AO24</f>
        <v>Desert Island</v>
      </c>
      <c r="AP24" s="79">
        <f>'Map 5'!AP24</f>
        <v>56.15</v>
      </c>
      <c r="AQ24" s="81" t="str">
        <f>'Map 6'!AU24</f>
        <v>⤵</v>
      </c>
    </row>
    <row r="25" spans="1:43" ht="37.5" customHeight="1">
      <c r="A25" s="78">
        <v>16</v>
      </c>
      <c r="B25" s="86" t="str">
        <f ca="1">'Map 6'!B25</f>
        <v>Ocean</v>
      </c>
      <c r="C25" s="3" t="str">
        <f ca="1">'Map 6'!C25</f>
        <v>Ocean</v>
      </c>
      <c r="D25" s="3" t="str">
        <f ca="1">'Map 6'!D25</f>
        <v>Ocean</v>
      </c>
      <c r="E25" s="3" t="str">
        <f ca="1">'Map 6'!E25</f>
        <v>Ocean</v>
      </c>
      <c r="F25" s="3" t="str">
        <f ca="1">'Map 6'!F25</f>
        <v>Ocean</v>
      </c>
      <c r="G25" s="3" t="str">
        <f ca="1">'Map 6'!G25</f>
        <v>Desert Rainshadow Coast</v>
      </c>
      <c r="H25" s="3" t="str">
        <f ca="1">'Map 6'!H25</f>
        <v>Valley</v>
      </c>
      <c r="I25" s="3" t="str">
        <f ca="1">'Map 6'!I25</f>
        <v>Cliff</v>
      </c>
      <c r="J25" s="3" t="str">
        <f ca="1">'Map 6'!J25</f>
        <v>Desert Island</v>
      </c>
      <c r="K25" s="3" t="str">
        <f ca="1">'Map 6'!K25</f>
        <v>Desert Island</v>
      </c>
      <c r="L25" s="3" t="str">
        <f ca="1">'Map 6'!L25</f>
        <v>Ocean</v>
      </c>
      <c r="M25" s="3" t="str">
        <f ca="1">'Map 6'!M25</f>
        <v>Ocean</v>
      </c>
      <c r="N25" s="3" t="str">
        <f ca="1">'Map 6'!N25</f>
        <v>Ocean</v>
      </c>
      <c r="O25" s="3" t="str">
        <f ca="1">'Map 6'!O25</f>
        <v>Ocean</v>
      </c>
      <c r="P25" s="3" t="str">
        <f ca="1">'Map 6'!P25</f>
        <v>Ocean</v>
      </c>
      <c r="Q25" s="3" t="str">
        <f ca="1">'Map 6'!Q25</f>
        <v>Trench</v>
      </c>
      <c r="R25" s="3" t="str">
        <f ca="1">'Map 6'!R25</f>
        <v>Ocean</v>
      </c>
      <c r="S25" s="3" t="str">
        <f ca="1">'Map 6'!S25</f>
        <v>Ocean</v>
      </c>
      <c r="T25" s="3" t="str">
        <f ca="1">'Map 6'!T25</f>
        <v>Ocean</v>
      </c>
      <c r="U25" s="3" t="str">
        <f ca="1">'Map 6'!U25</f>
        <v>Desert</v>
      </c>
      <c r="V25" s="3" t="str">
        <f ca="1">'Map 6'!V25</f>
        <v>Ocean</v>
      </c>
      <c r="W25" s="3" t="str">
        <f ca="1">'Map 6'!W25</f>
        <v>Coast</v>
      </c>
      <c r="X25" s="3" t="str">
        <f ca="1">'Map 6'!X25</f>
        <v>Coast</v>
      </c>
      <c r="Y25" s="3" t="str">
        <f ca="1">'Map 6'!Y25</f>
        <v>Coast</v>
      </c>
      <c r="Z25" s="3" t="str">
        <f ca="1">'Map 6'!Z25</f>
        <v>Ocean</v>
      </c>
      <c r="AA25" s="3" t="str">
        <f ca="1">'Map 6'!AA25</f>
        <v>Ocean</v>
      </c>
      <c r="AB25" s="3" t="str">
        <f ca="1">'Map 6'!AB25</f>
        <v>Ocean</v>
      </c>
      <c r="AC25" s="3" t="str">
        <f ca="1">'Map 6'!AC25</f>
        <v>Trench</v>
      </c>
      <c r="AD25" s="3" t="str">
        <f ca="1">'Map 6'!AD25</f>
        <v>Ocean</v>
      </c>
      <c r="AE25" s="3" t="str">
        <f ca="1">'Map 6'!AE25</f>
        <v>Trench</v>
      </c>
      <c r="AF25" s="3" t="str">
        <f ca="1">'Map 6'!AF25</f>
        <v>Ocean</v>
      </c>
      <c r="AG25" s="3" t="str">
        <f ca="1">'Map 6'!AG25</f>
        <v>Ocean</v>
      </c>
      <c r="AH25" s="3" t="str">
        <f ca="1">'Map 6'!AH25</f>
        <v>Ocean</v>
      </c>
      <c r="AI25" s="3" t="str">
        <f ca="1">'Map 6'!AI25</f>
        <v>Ocean</v>
      </c>
      <c r="AJ25" s="3" t="str">
        <f ca="1">'Map 6'!AJ25</f>
        <v>Trench</v>
      </c>
      <c r="AK25" s="3" t="str">
        <f ca="1">'Map 6'!AK25</f>
        <v>Ocean</v>
      </c>
      <c r="AL25" s="3" t="str">
        <f ca="1">'Map 6'!AL25</f>
        <v>Ocean</v>
      </c>
      <c r="AM25" s="3" t="str">
        <f ca="1">'Map 6'!AM25</f>
        <v>Ocean</v>
      </c>
      <c r="AN25" s="3" t="str">
        <f ca="1">'Map 6'!AN25</f>
        <v>Ocean</v>
      </c>
      <c r="AO25" s="87" t="str">
        <f ca="1">'Map 6'!AO25</f>
        <v>Drop Off</v>
      </c>
      <c r="AP25" s="79">
        <f>'Map 5'!AP25</f>
        <v>63.1</v>
      </c>
      <c r="AQ25" s="81" t="str">
        <f>'Map 6'!AU25</f>
        <v>⤵</v>
      </c>
    </row>
    <row r="26" spans="1:43" ht="37.5" customHeight="1">
      <c r="A26" s="78">
        <v>17</v>
      </c>
      <c r="B26" s="86" t="str">
        <f ca="1">'Map 6'!B26</f>
        <v>Ocean</v>
      </c>
      <c r="C26" s="3" t="str">
        <f ca="1">'Map 6'!C26</f>
        <v>Ocean</v>
      </c>
      <c r="D26" s="3" t="str">
        <f ca="1">'Map 6'!D26</f>
        <v>Coast</v>
      </c>
      <c r="E26" s="3" t="str">
        <f ca="1">'Map 6'!E26</f>
        <v>Coast</v>
      </c>
      <c r="F26" s="3" t="str">
        <f ca="1">'Map 6'!F26</f>
        <v>Ocean</v>
      </c>
      <c r="G26" s="3" t="str">
        <f ca="1">'Map 6'!G26</f>
        <v>Mountain</v>
      </c>
      <c r="H26" s="3" t="str">
        <f ca="1">'Map 6'!H26</f>
        <v>Desert</v>
      </c>
      <c r="I26" s="3" t="str">
        <f ca="1">'Map 6'!I26</f>
        <v>Desert Island</v>
      </c>
      <c r="J26" s="3" t="str">
        <f ca="1">'Map 6'!J26</f>
        <v>Ocean</v>
      </c>
      <c r="K26" s="3" t="str">
        <f ca="1">'Map 6'!K26</f>
        <v>Desert Island</v>
      </c>
      <c r="L26" s="3" t="str">
        <f ca="1">'Map 6'!L26</f>
        <v>Desert Island</v>
      </c>
      <c r="M26" s="3" t="str">
        <f ca="1">'Map 6'!M26</f>
        <v>Ocean</v>
      </c>
      <c r="N26" s="3" t="str">
        <f ca="1">'Map 6'!N26</f>
        <v>Ocean</v>
      </c>
      <c r="O26" s="3" t="str">
        <f ca="1">'Map 6'!O26</f>
        <v>Ocean</v>
      </c>
      <c r="P26" s="3" t="str">
        <f ca="1">'Map 6'!P26</f>
        <v>Trench</v>
      </c>
      <c r="Q26" s="3" t="str">
        <f ca="1">'Map 6'!Q26</f>
        <v>Coast</v>
      </c>
      <c r="R26" s="3" t="str">
        <f ca="1">'Map 6'!R26</f>
        <v>Coast</v>
      </c>
      <c r="S26" s="3" t="str">
        <f ca="1">'Map 6'!S26</f>
        <v>Coast</v>
      </c>
      <c r="T26" s="3" t="str">
        <f ca="1">'Map 6'!T26</f>
        <v>Desert</v>
      </c>
      <c r="U26" s="3" t="str">
        <f ca="1">'Map 6'!U26</f>
        <v>Desert</v>
      </c>
      <c r="V26" s="3" t="str">
        <f ca="1">'Map 6'!V26</f>
        <v>Desert</v>
      </c>
      <c r="W26" s="3" t="str">
        <f ca="1">'Map 6'!W26</f>
        <v>Coast</v>
      </c>
      <c r="X26" s="3" t="str">
        <f ca="1">'Map 6'!X26</f>
        <v>Desert</v>
      </c>
      <c r="Y26" s="3" t="str">
        <f ca="1">'Map 6'!Y26</f>
        <v>Ocean</v>
      </c>
      <c r="Z26" s="3" t="str">
        <f ca="1">'Map 6'!Z26</f>
        <v>Trench</v>
      </c>
      <c r="AA26" s="3" t="str">
        <f ca="1">'Map 6'!AA26</f>
        <v>Desert Island</v>
      </c>
      <c r="AB26" s="3" t="str">
        <f ca="1">'Map 6'!AB26</f>
        <v>Ocean</v>
      </c>
      <c r="AC26" s="3" t="str">
        <f ca="1">'Map 6'!AC26</f>
        <v>Ocean</v>
      </c>
      <c r="AD26" s="3" t="str">
        <f ca="1">'Map 6'!AD26</f>
        <v>Ocean</v>
      </c>
      <c r="AE26" s="3" t="str">
        <f ca="1">'Map 6'!AE26</f>
        <v>Desert Island</v>
      </c>
      <c r="AF26" s="3" t="str">
        <f ca="1">'Map 6'!AF26</f>
        <v>Ocean</v>
      </c>
      <c r="AG26" s="3" t="str">
        <f ca="1">'Map 6'!AG26</f>
        <v>Trench</v>
      </c>
      <c r="AH26" s="3" t="str">
        <f ca="1">'Map 6'!AH26</f>
        <v>Trench</v>
      </c>
      <c r="AI26" s="3" t="str">
        <f ca="1">'Map 6'!AI26</f>
        <v>Ocean</v>
      </c>
      <c r="AJ26" s="3" t="str">
        <f ca="1">'Map 6'!AJ26</f>
        <v>Ocean</v>
      </c>
      <c r="AK26" s="3" t="str">
        <f ca="1">'Map 6'!AK26</f>
        <v>Desert Island</v>
      </c>
      <c r="AL26" s="3" t="str">
        <f ca="1">'Map 6'!AL26</f>
        <v>Ocean</v>
      </c>
      <c r="AM26" s="3" t="str">
        <f ca="1">'Map 6'!AM26</f>
        <v>Ocean</v>
      </c>
      <c r="AN26" s="3" t="str">
        <f ca="1">'Map 6'!AN26</f>
        <v>Ocean</v>
      </c>
      <c r="AO26" s="87" t="str">
        <f ca="1">'Map 6'!AO26</f>
        <v>Desert</v>
      </c>
      <c r="AP26" s="79">
        <f>'Map 5'!AP26</f>
        <v>70.05</v>
      </c>
      <c r="AQ26" s="81" t="str">
        <f>'Map 6'!AU26</f>
        <v>⤵</v>
      </c>
    </row>
    <row r="27" spans="1:43" ht="37.5" customHeight="1">
      <c r="A27" s="78">
        <v>18</v>
      </c>
      <c r="B27" s="86" t="str">
        <f ca="1">'Map 6'!B27</f>
        <v>Ocean</v>
      </c>
      <c r="C27" s="3" t="str">
        <f ca="1">'Map 6'!C27</f>
        <v>Coast</v>
      </c>
      <c r="D27" s="3" t="str">
        <f ca="1">'Map 6'!D27</f>
        <v>Rainforest</v>
      </c>
      <c r="E27" s="3" t="str">
        <f ca="1">'Map 6'!E27</f>
        <v>Coast</v>
      </c>
      <c r="F27" s="3" t="str">
        <f ca="1">'Map 6'!F27</f>
        <v>Rainforest</v>
      </c>
      <c r="G27" s="3" t="str">
        <f ca="1">'Map 6'!G27</f>
        <v>Rainforest</v>
      </c>
      <c r="H27" s="3" t="str">
        <f ca="1">'Map 6'!H27</f>
        <v>Rainforest</v>
      </c>
      <c r="I27" s="3" t="str">
        <f ca="1">'Map 6'!I27</f>
        <v>Coast</v>
      </c>
      <c r="J27" s="3" t="str">
        <f ca="1">'Map 6'!J27</f>
        <v>Coast</v>
      </c>
      <c r="K27" s="3" t="str">
        <f ca="1">'Map 6'!K27</f>
        <v>Ocean</v>
      </c>
      <c r="L27" s="3" t="str">
        <f ca="1">'Map 6'!L27</f>
        <v>Ocean</v>
      </c>
      <c r="M27" s="3" t="str">
        <f ca="1">'Map 6'!M27</f>
        <v>Ocean</v>
      </c>
      <c r="N27" s="3" t="str">
        <f ca="1">'Map 6'!N27</f>
        <v>Ocean</v>
      </c>
      <c r="O27" s="3" t="str">
        <f ca="1">'Map 6'!O27</f>
        <v>Ocean</v>
      </c>
      <c r="P27" s="3" t="str">
        <f ca="1">'Map 6'!P27</f>
        <v>Ocean</v>
      </c>
      <c r="Q27" s="3" t="str">
        <f ca="1">'Map 6'!Q27</f>
        <v>Coast</v>
      </c>
      <c r="R27" s="3" t="str">
        <f ca="1">'Map 6'!R27</f>
        <v>Ocean</v>
      </c>
      <c r="S27" s="3" t="str">
        <f ca="1">'Map 6'!S27</f>
        <v>Rainforest</v>
      </c>
      <c r="T27" s="3" t="str">
        <f ca="1">'Map 6'!T27</f>
        <v>Rainforest</v>
      </c>
      <c r="U27" s="3" t="str">
        <f ca="1">'Map 6'!U27</f>
        <v>Rainforest</v>
      </c>
      <c r="V27" s="3" t="str">
        <f ca="1">'Map 6'!V27</f>
        <v>Rainforest</v>
      </c>
      <c r="W27" s="3" t="str">
        <f ca="1">'Map 6'!W27</f>
        <v>Ocean</v>
      </c>
      <c r="X27" s="3" t="str">
        <f ca="1">'Map 6'!X27</f>
        <v>Coast</v>
      </c>
      <c r="Y27" s="3" t="str">
        <f ca="1">'Map 6'!Y27</f>
        <v>Ocean</v>
      </c>
      <c r="Z27" s="3" t="str">
        <f ca="1">'Map 6'!Z27</f>
        <v>Rainforest Island</v>
      </c>
      <c r="AA27" s="3" t="str">
        <f ca="1">'Map 6'!AA27</f>
        <v>Ocean</v>
      </c>
      <c r="AB27" s="3" t="str">
        <f ca="1">'Map 6'!AB27</f>
        <v>Ocean</v>
      </c>
      <c r="AC27" s="3" t="str">
        <f ca="1">'Map 6'!AC27</f>
        <v>Ocean</v>
      </c>
      <c r="AD27" s="3" t="str">
        <f ca="1">'Map 6'!AD27</f>
        <v>Ocean</v>
      </c>
      <c r="AE27" s="3" t="str">
        <f ca="1">'Map 6'!AE27</f>
        <v>Ocean</v>
      </c>
      <c r="AF27" s="3" t="str">
        <f ca="1">'Map 6'!AF27</f>
        <v>Ocean</v>
      </c>
      <c r="AG27" s="3" t="str">
        <f ca="1">'Map 6'!AG27</f>
        <v>Ocean</v>
      </c>
      <c r="AH27" s="3" t="str">
        <f ca="1">'Map 6'!AH27</f>
        <v>Ocean</v>
      </c>
      <c r="AI27" s="3" t="str">
        <f ca="1">'Map 6'!AI27</f>
        <v>Ocean</v>
      </c>
      <c r="AJ27" s="3" t="str">
        <f ca="1">'Map 6'!AJ27</f>
        <v>Ocean</v>
      </c>
      <c r="AK27" s="3" t="str">
        <f ca="1">'Map 6'!AK27</f>
        <v>Ocean</v>
      </c>
      <c r="AL27" s="3" t="str">
        <f ca="1">'Map 6'!AL27</f>
        <v>Ocean</v>
      </c>
      <c r="AM27" s="3" t="str">
        <f ca="1">'Map 6'!AM27</f>
        <v>Ocean</v>
      </c>
      <c r="AN27" s="3" t="str">
        <f ca="1">'Map 6'!AN27</f>
        <v>Ocean</v>
      </c>
      <c r="AO27" s="87" t="str">
        <f ca="1">'Map 6'!AO27</f>
        <v>Rainforest Rainshadow</v>
      </c>
      <c r="AP27" s="79">
        <f>'Map 5'!AP27</f>
        <v>77</v>
      </c>
      <c r="AQ27" s="81" t="str">
        <f>'Map 6'!AU27</f>
        <v>⤵</v>
      </c>
    </row>
    <row r="28" spans="1:43" ht="37.5" customHeight="1">
      <c r="A28" s="78">
        <v>19</v>
      </c>
      <c r="B28" s="86" t="str">
        <f ca="1">'Map 6'!B28</f>
        <v>Valley</v>
      </c>
      <c r="C28" s="3" t="str">
        <f ca="1">'Map 6'!C28</f>
        <v>Rainforest</v>
      </c>
      <c r="D28" s="3" t="str">
        <f ca="1">'Map 6'!D28</f>
        <v>Rainforest</v>
      </c>
      <c r="E28" s="3" t="str">
        <f ca="1">'Map 6'!E28</f>
        <v>Rainforest</v>
      </c>
      <c r="F28" s="3" t="str">
        <f ca="1">'Map 6'!F28</f>
        <v>Rainforest</v>
      </c>
      <c r="G28" s="3" t="str">
        <f ca="1">'Map 6'!G28</f>
        <v>Rainforest</v>
      </c>
      <c r="H28" s="3" t="str">
        <f ca="1">'Map 6'!H28</f>
        <v>Rainforest</v>
      </c>
      <c r="I28" s="3" t="str">
        <f ca="1">'Map 6'!I28</f>
        <v>Rainforest</v>
      </c>
      <c r="J28" s="3" t="str">
        <f ca="1">'Map 6'!J28</f>
        <v>Ocean</v>
      </c>
      <c r="K28" s="3" t="str">
        <f ca="1">'Map 6'!K28</f>
        <v>Ocean</v>
      </c>
      <c r="L28" s="3" t="str">
        <f ca="1">'Map 6'!L28</f>
        <v>Rainforest Island</v>
      </c>
      <c r="M28" s="3" t="str">
        <f ca="1">'Map 6'!M28</f>
        <v>Rainforest Island</v>
      </c>
      <c r="N28" s="3" t="str">
        <f ca="1">'Map 6'!N28</f>
        <v>Ocean</v>
      </c>
      <c r="O28" s="3" t="str">
        <f ca="1">'Map 6'!O28</f>
        <v>Ocean</v>
      </c>
      <c r="P28" s="3" t="str">
        <f ca="1">'Map 6'!P28</f>
        <v>Ocean</v>
      </c>
      <c r="Q28" s="3" t="str">
        <f ca="1">'Map 6'!Q28</f>
        <v>Ocean</v>
      </c>
      <c r="R28" s="3" t="str">
        <f ca="1">'Map 6'!R28</f>
        <v>Ocean</v>
      </c>
      <c r="S28" s="3" t="str">
        <f ca="1">'Map 6'!S28</f>
        <v>Rainforest</v>
      </c>
      <c r="T28" s="3" t="str">
        <f ca="1">'Map 6'!T28</f>
        <v>Rainforest</v>
      </c>
      <c r="U28" s="3" t="str">
        <f ca="1">'Map 6'!U28</f>
        <v>Coast</v>
      </c>
      <c r="V28" s="3" t="str">
        <f ca="1">'Map 6'!V28</f>
        <v>Coast</v>
      </c>
      <c r="W28" s="3" t="str">
        <f ca="1">'Map 6'!W28</f>
        <v>Ocean</v>
      </c>
      <c r="X28" s="3" t="str">
        <f ca="1">'Map 6'!X28</f>
        <v>Ocean</v>
      </c>
      <c r="Y28" s="3" t="str">
        <f ca="1">'Map 6'!Y28</f>
        <v>Ocean</v>
      </c>
      <c r="Z28" s="3" t="str">
        <f ca="1">'Map 6'!Z28</f>
        <v>Trench</v>
      </c>
      <c r="AA28" s="3" t="str">
        <f ca="1">'Map 6'!AA28</f>
        <v>Rainforest Island</v>
      </c>
      <c r="AB28" s="3" t="str">
        <f ca="1">'Map 6'!AB28</f>
        <v>Ocean</v>
      </c>
      <c r="AC28" s="3" t="str">
        <f ca="1">'Map 6'!AC28</f>
        <v>Ocean</v>
      </c>
      <c r="AD28" s="3" t="str">
        <f ca="1">'Map 6'!AD28</f>
        <v>Ocean</v>
      </c>
      <c r="AE28" s="3" t="str">
        <f ca="1">'Map 6'!AE28</f>
        <v>Ocean</v>
      </c>
      <c r="AF28" s="3" t="str">
        <f ca="1">'Map 6'!AF28</f>
        <v>Ocean</v>
      </c>
      <c r="AG28" s="3" t="str">
        <f ca="1">'Map 6'!AG28</f>
        <v>Ocean</v>
      </c>
      <c r="AH28" s="3" t="str">
        <f ca="1">'Map 6'!AH28</f>
        <v>Ocean</v>
      </c>
      <c r="AI28" s="3" t="str">
        <f ca="1">'Map 6'!AI28</f>
        <v>Ocean</v>
      </c>
      <c r="AJ28" s="3" t="str">
        <f ca="1">'Map 6'!AJ28</f>
        <v>Rainforest Island</v>
      </c>
      <c r="AK28" s="3" t="str">
        <f ca="1">'Map 6'!AK28</f>
        <v>Ocean</v>
      </c>
      <c r="AL28" s="3" t="str">
        <f ca="1">'Map 6'!AL28</f>
        <v>Ocean</v>
      </c>
      <c r="AM28" s="3" t="str">
        <f ca="1">'Map 6'!AM28</f>
        <v>Ocean</v>
      </c>
      <c r="AN28" s="3" t="str">
        <f ca="1">'Map 6'!AN28</f>
        <v>Ocean</v>
      </c>
      <c r="AO28" s="87" t="str">
        <f ca="1">'Map 6'!AO28</f>
        <v>Mountain</v>
      </c>
      <c r="AP28" s="79">
        <f>'Map 5'!AP28</f>
        <v>83.95</v>
      </c>
      <c r="AQ28" s="81" t="str">
        <f>'Map 6'!AU28</f>
        <v>⤵</v>
      </c>
    </row>
    <row r="29" spans="1:43" ht="37.5" customHeight="1">
      <c r="A29" s="78">
        <v>20</v>
      </c>
      <c r="B29" s="86" t="str">
        <f ca="1">'Map 6'!B29</f>
        <v>Ocean</v>
      </c>
      <c r="C29" s="3" t="str">
        <f ca="1">'Map 6'!C29</f>
        <v>Drop Off</v>
      </c>
      <c r="D29" s="3" t="str">
        <f ca="1">'Map 6'!D29</f>
        <v>Rainforest Rainshadow Valley</v>
      </c>
      <c r="E29" s="3" t="str">
        <f ca="1">'Map 6'!E29</f>
        <v>Rainforest</v>
      </c>
      <c r="F29" s="3" t="str">
        <f ca="1">'Map 6'!F29</f>
        <v>Valley</v>
      </c>
      <c r="G29" s="3" t="str">
        <f ca="1">'Map 6'!G29</f>
        <v>Valley</v>
      </c>
      <c r="H29" s="3" t="str">
        <f ca="1">'Map 6'!H29</f>
        <v>Valley</v>
      </c>
      <c r="I29" s="3" t="str">
        <f ca="1">'Map 6'!I29</f>
        <v>Coast</v>
      </c>
      <c r="J29" s="3" t="str">
        <f ca="1">'Map 6'!J29</f>
        <v>Coast</v>
      </c>
      <c r="K29" s="3" t="str">
        <f ca="1">'Map 6'!K29</f>
        <v>Drop Off</v>
      </c>
      <c r="L29" s="3" t="str">
        <f ca="1">'Map 6'!L29</f>
        <v>Trench</v>
      </c>
      <c r="M29" s="3" t="str">
        <f ca="1">'Map 6'!M29</f>
        <v>Ocean</v>
      </c>
      <c r="N29" s="3" t="str">
        <f ca="1">'Map 6'!N29</f>
        <v>Ocean</v>
      </c>
      <c r="O29" s="3" t="str">
        <f ca="1">'Map 6'!O29</f>
        <v>Ocean</v>
      </c>
      <c r="P29" s="3" t="str">
        <f ca="1">'Map 6'!P29</f>
        <v>Ocean</v>
      </c>
      <c r="Q29" s="3" t="str">
        <f ca="1">'Map 6'!Q29</f>
        <v>Ocean</v>
      </c>
      <c r="R29" s="3" t="str">
        <f ca="1">'Map 6'!R29</f>
        <v>Ocean</v>
      </c>
      <c r="S29" s="3" t="str">
        <f ca="1">'Map 6'!S29</f>
        <v>Rainforest</v>
      </c>
      <c r="T29" s="3" t="str">
        <f ca="1">'Map 6'!T29</f>
        <v>Coast</v>
      </c>
      <c r="U29" s="3" t="str">
        <f ca="1">'Map 6'!U29</f>
        <v>Ocean</v>
      </c>
      <c r="V29" s="3" t="str">
        <f ca="1">'Map 6'!V29</f>
        <v>Rainforest</v>
      </c>
      <c r="W29" s="3" t="str">
        <f ca="1">'Map 6'!W29</f>
        <v>Ocean</v>
      </c>
      <c r="X29" s="3" t="str">
        <f ca="1">'Map 6'!X29</f>
        <v>Ocean</v>
      </c>
      <c r="Y29" s="3" t="str">
        <f ca="1">'Map 6'!Y29</f>
        <v>Ocean</v>
      </c>
      <c r="Z29" s="3" t="str">
        <f ca="1">'Map 6'!Z29</f>
        <v>Ocean</v>
      </c>
      <c r="AA29" s="3" t="str">
        <f ca="1">'Map 6'!AA29</f>
        <v>Ocean</v>
      </c>
      <c r="AB29" s="3" t="str">
        <f ca="1">'Map 6'!AB29</f>
        <v>Ocean</v>
      </c>
      <c r="AC29" s="3" t="str">
        <f ca="1">'Map 6'!AC29</f>
        <v>Ocean</v>
      </c>
      <c r="AD29" s="3" t="str">
        <f ca="1">'Map 6'!AD29</f>
        <v>Ocean</v>
      </c>
      <c r="AE29" s="3" t="str">
        <f ca="1">'Map 6'!AE29</f>
        <v>Trench</v>
      </c>
      <c r="AF29" s="3" t="str">
        <f ca="1">'Map 6'!AF29</f>
        <v>Rainforest Island</v>
      </c>
      <c r="AG29" s="3" t="str">
        <f ca="1">'Map 6'!AG29</f>
        <v>Ocean</v>
      </c>
      <c r="AH29" s="3" t="str">
        <f ca="1">'Map 6'!AH29</f>
        <v>Ocean</v>
      </c>
      <c r="AI29" s="3" t="str">
        <f ca="1">'Map 6'!AI29</f>
        <v>Ocean</v>
      </c>
      <c r="AJ29" s="3" t="str">
        <f ca="1">'Map 6'!AJ29</f>
        <v>Trench</v>
      </c>
      <c r="AK29" s="3" t="str">
        <f ca="1">'Map 6'!AK29</f>
        <v>Ocean</v>
      </c>
      <c r="AL29" s="3" t="str">
        <f ca="1">'Map 6'!AL29</f>
        <v>Ocean</v>
      </c>
      <c r="AM29" s="3" t="str">
        <f ca="1">'Map 6'!AM29</f>
        <v>Trench</v>
      </c>
      <c r="AN29" s="3" t="str">
        <f ca="1">'Map 6'!AN29</f>
        <v>Trench</v>
      </c>
      <c r="AO29" s="87" t="str">
        <f ca="1">'Map 6'!AO29</f>
        <v>Drop Off</v>
      </c>
      <c r="AP29" s="79">
        <f>'Map 5'!AP29</f>
        <v>90.9</v>
      </c>
      <c r="AQ29" s="81" t="str">
        <f>'Map 6'!AU29</f>
        <v>⤵</v>
      </c>
    </row>
    <row r="30" spans="1:43" ht="37.5" customHeight="1">
      <c r="A30" s="78">
        <v>21</v>
      </c>
      <c r="B30" s="86" t="str">
        <f ca="1">'Map 6'!B30</f>
        <v>Coast</v>
      </c>
      <c r="C30" s="3" t="str">
        <f ca="1">'Map 6'!C30</f>
        <v>Rainforest</v>
      </c>
      <c r="D30" s="3" t="str">
        <f ca="1">'Map 6'!D30</f>
        <v>Mountain</v>
      </c>
      <c r="E30" s="3" t="str">
        <f ca="1">'Map 6'!E30</f>
        <v>Rainforest</v>
      </c>
      <c r="F30" s="3" t="str">
        <f ca="1">'Map 6'!F30</f>
        <v>Rainforest</v>
      </c>
      <c r="G30" s="3" t="str">
        <f ca="1">'Map 6'!G30</f>
        <v>Rainforest</v>
      </c>
      <c r="H30" s="3" t="str">
        <f ca="1">'Map 6'!H30</f>
        <v>Rainforest</v>
      </c>
      <c r="I30" s="3" t="str">
        <f ca="1">'Map 6'!I30</f>
        <v>Coast</v>
      </c>
      <c r="J30" s="3" t="str">
        <f ca="1">'Map 6'!J30</f>
        <v>Rainforest</v>
      </c>
      <c r="K30" s="3" t="str">
        <f ca="1">'Map 6'!K30</f>
        <v>Trench</v>
      </c>
      <c r="L30" s="3" t="str">
        <f ca="1">'Map 6'!L30</f>
        <v>Ocean</v>
      </c>
      <c r="M30" s="3" t="str">
        <f ca="1">'Map 6'!M30</f>
        <v>Ocean</v>
      </c>
      <c r="N30" s="3" t="str">
        <f ca="1">'Map 6'!N30</f>
        <v>Ocean</v>
      </c>
      <c r="O30" s="3" t="str">
        <f ca="1">'Map 6'!O30</f>
        <v>Ocean</v>
      </c>
      <c r="P30" s="3" t="str">
        <f ca="1">'Map 6'!P30</f>
        <v>Ocean</v>
      </c>
      <c r="Q30" s="3" t="str">
        <f ca="1">'Map 6'!Q30</f>
        <v>Ocean</v>
      </c>
      <c r="R30" s="3" t="str">
        <f ca="1">'Map 6'!R30</f>
        <v>Ocean</v>
      </c>
      <c r="S30" s="3" t="str">
        <f ca="1">'Map 6'!S30</f>
        <v>Coast</v>
      </c>
      <c r="T30" s="3" t="str">
        <f ca="1">'Map 6'!T30</f>
        <v>Coast</v>
      </c>
      <c r="U30" s="3" t="str">
        <f ca="1">'Map 6'!U30</f>
        <v>Coast</v>
      </c>
      <c r="V30" s="3" t="str">
        <f ca="1">'Map 6'!V30</f>
        <v>Coast</v>
      </c>
      <c r="W30" s="3" t="str">
        <f ca="1">'Map 6'!W30</f>
        <v>Ocean</v>
      </c>
      <c r="X30" s="3" t="str">
        <f ca="1">'Map 6'!X30</f>
        <v>Ocean</v>
      </c>
      <c r="Y30" s="3" t="str">
        <f ca="1">'Map 6'!Y30</f>
        <v>Ocean</v>
      </c>
      <c r="Z30" s="3" t="str">
        <f ca="1">'Map 6'!Z30</f>
        <v>Ocean</v>
      </c>
      <c r="AA30" s="3" t="str">
        <f ca="1">'Map 6'!AA30</f>
        <v>Ocean</v>
      </c>
      <c r="AB30" s="3" t="str">
        <f ca="1">'Map 6'!AB30</f>
        <v>Ocean</v>
      </c>
      <c r="AC30" s="3" t="str">
        <f ca="1">'Map 6'!AC30</f>
        <v>Ocean</v>
      </c>
      <c r="AD30" s="3" t="str">
        <f ca="1">'Map 6'!AD30</f>
        <v>Ocean</v>
      </c>
      <c r="AE30" s="3" t="str">
        <f ca="1">'Map 6'!AE30</f>
        <v>Rainforest Island</v>
      </c>
      <c r="AF30" s="3" t="str">
        <f ca="1">'Map 6'!AF30</f>
        <v>Trench</v>
      </c>
      <c r="AG30" s="3" t="str">
        <f ca="1">'Map 6'!AG30</f>
        <v>Ocean</v>
      </c>
      <c r="AH30" s="3" t="str">
        <f ca="1">'Map 6'!AH30</f>
        <v>Ocean</v>
      </c>
      <c r="AI30" s="3" t="str">
        <f ca="1">'Map 6'!AI30</f>
        <v>Ocean</v>
      </c>
      <c r="AJ30" s="3" t="str">
        <f ca="1">'Map 6'!AJ30</f>
        <v>Ocean</v>
      </c>
      <c r="AK30" s="3" t="str">
        <f ca="1">'Map 6'!AK30</f>
        <v>Trench</v>
      </c>
      <c r="AL30" s="3" t="str">
        <f ca="1">'Map 6'!AL30</f>
        <v>Rainforest Island</v>
      </c>
      <c r="AM30" s="3" t="str">
        <f ca="1">'Map 6'!AM30</f>
        <v>Ocean</v>
      </c>
      <c r="AN30" s="3" t="str">
        <f ca="1">'Map 6'!AN30</f>
        <v>Trench</v>
      </c>
      <c r="AO30" s="87" t="str">
        <f ca="1">'Map 6'!AO30</f>
        <v>Ocean</v>
      </c>
      <c r="AP30" s="79">
        <f>'Map 5'!AP30</f>
        <v>90.9</v>
      </c>
      <c r="AQ30" s="81" t="str">
        <f>'Map 6'!AU30</f>
        <v>⤴</v>
      </c>
    </row>
    <row r="31" spans="1:43" ht="37.5" customHeight="1">
      <c r="A31" s="78">
        <v>22</v>
      </c>
      <c r="B31" s="86" t="str">
        <f ca="1">'Map 6'!B31</f>
        <v>Rainforest</v>
      </c>
      <c r="C31" s="3" t="str">
        <f ca="1">'Map 6'!C31</f>
        <v>Rainforest</v>
      </c>
      <c r="D31" s="3" t="str">
        <f ca="1">'Map 6'!D31</f>
        <v>Rainforest Rainshadow</v>
      </c>
      <c r="E31" s="3" t="str">
        <f ca="1">'Map 6'!E31</f>
        <v>Rainforest</v>
      </c>
      <c r="F31" s="3" t="str">
        <f ca="1">'Map 6'!F31</f>
        <v>Mountain</v>
      </c>
      <c r="G31" s="3" t="str">
        <f ca="1">'Map 6'!G31</f>
        <v>Rainforest</v>
      </c>
      <c r="H31" s="3" t="str">
        <f ca="1">'Map 6'!H31</f>
        <v>Rainforest</v>
      </c>
      <c r="I31" s="3" t="str">
        <f ca="1">'Map 6'!I31</f>
        <v>Rainforest</v>
      </c>
      <c r="J31" s="3" t="str">
        <f ca="1">'Map 6'!J31</f>
        <v>Rainforest</v>
      </c>
      <c r="K31" s="3" t="str">
        <f ca="1">'Map 6'!K31</f>
        <v>Ocean</v>
      </c>
      <c r="L31" s="3" t="str">
        <f ca="1">'Map 6'!L31</f>
        <v>Ocean</v>
      </c>
      <c r="M31" s="3" t="str">
        <f ca="1">'Map 6'!M31</f>
        <v>Ocean</v>
      </c>
      <c r="N31" s="3" t="str">
        <f ca="1">'Map 6'!N31</f>
        <v>Ocean</v>
      </c>
      <c r="O31" s="3" t="str">
        <f ca="1">'Map 6'!O31</f>
        <v>Ocean</v>
      </c>
      <c r="P31" s="3" t="str">
        <f ca="1">'Map 6'!P31</f>
        <v>Ocean</v>
      </c>
      <c r="Q31" s="3" t="str">
        <f ca="1">'Map 6'!Q31</f>
        <v>Ocean</v>
      </c>
      <c r="R31" s="3" t="str">
        <f ca="1">'Map 6'!R31</f>
        <v>Ocean</v>
      </c>
      <c r="S31" s="3" t="str">
        <f ca="1">'Map 6'!S31</f>
        <v>Ocean</v>
      </c>
      <c r="T31" s="3" t="str">
        <f ca="1">'Map 6'!T31</f>
        <v>Coast</v>
      </c>
      <c r="U31" s="3" t="str">
        <f ca="1">'Map 6'!U31</f>
        <v>Ocean</v>
      </c>
      <c r="V31" s="3" t="str">
        <f ca="1">'Map 6'!V31</f>
        <v>Ocean</v>
      </c>
      <c r="W31" s="3" t="str">
        <f ca="1">'Map 6'!W31</f>
        <v>Ocean</v>
      </c>
      <c r="X31" s="3" t="str">
        <f ca="1">'Map 6'!X31</f>
        <v>Ocean</v>
      </c>
      <c r="Y31" s="3" t="str">
        <f ca="1">'Map 6'!Y31</f>
        <v>Ocean</v>
      </c>
      <c r="Z31" s="3" t="str">
        <f ca="1">'Map 6'!Z31</f>
        <v>Ocean</v>
      </c>
      <c r="AA31" s="3" t="str">
        <f ca="1">'Map 6'!AA31</f>
        <v>Trench</v>
      </c>
      <c r="AB31" s="3" t="str">
        <f ca="1">'Map 6'!AB31</f>
        <v>Rainforest Island</v>
      </c>
      <c r="AC31" s="3" t="str">
        <f ca="1">'Map 6'!AC31</f>
        <v>Ocean</v>
      </c>
      <c r="AD31" s="3" t="str">
        <f ca="1">'Map 6'!AD31</f>
        <v>Ocean</v>
      </c>
      <c r="AE31" s="3" t="str">
        <f ca="1">'Map 6'!AE31</f>
        <v>Ocean</v>
      </c>
      <c r="AF31" s="3" t="str">
        <f ca="1">'Map 6'!AF31</f>
        <v>Rainforest Island</v>
      </c>
      <c r="AG31" s="3" t="str">
        <f ca="1">'Map 6'!AG31</f>
        <v>Trench</v>
      </c>
      <c r="AH31" s="3" t="str">
        <f ca="1">'Map 6'!AH31</f>
        <v>Ocean</v>
      </c>
      <c r="AI31" s="3" t="str">
        <f ca="1">'Map 6'!AI31</f>
        <v>Ocean</v>
      </c>
      <c r="AJ31" s="3" t="str">
        <f ca="1">'Map 6'!AJ31</f>
        <v>Rainforest Island</v>
      </c>
      <c r="AK31" s="3" t="str">
        <f ca="1">'Map 6'!AK31</f>
        <v>Ocean</v>
      </c>
      <c r="AL31" s="3" t="str">
        <f ca="1">'Map 6'!AL31</f>
        <v>Ocean</v>
      </c>
      <c r="AM31" s="3" t="str">
        <f ca="1">'Map 6'!AM31</f>
        <v>Ocean</v>
      </c>
      <c r="AN31" s="3" t="str">
        <f ca="1">'Map 6'!AN31</f>
        <v>Ocean</v>
      </c>
      <c r="AO31" s="87" t="str">
        <f ca="1">'Map 6'!AO31</f>
        <v>Ocean</v>
      </c>
      <c r="AP31" s="79">
        <f>'Map 5'!AP31</f>
        <v>83.95</v>
      </c>
      <c r="AQ31" s="81" t="str">
        <f>'Map 6'!AU31</f>
        <v>⤴</v>
      </c>
    </row>
    <row r="32" spans="1:43" ht="37.5" customHeight="1">
      <c r="A32" s="78">
        <v>23</v>
      </c>
      <c r="B32" s="86" t="str">
        <f ca="1">'Map 6'!B32</f>
        <v>Ocean</v>
      </c>
      <c r="C32" s="3" t="str">
        <f ca="1">'Map 6'!C32</f>
        <v>Drop Off</v>
      </c>
      <c r="D32" s="3" t="str">
        <f ca="1">'Map 6'!D32</f>
        <v>Rainforest</v>
      </c>
      <c r="E32" s="3" t="str">
        <f ca="1">'Map 6'!E32</f>
        <v>Rainforest</v>
      </c>
      <c r="F32" s="3" t="str">
        <f ca="1">'Map 6'!F32</f>
        <v>Rainforest Rainshadow</v>
      </c>
      <c r="G32" s="3" t="str">
        <f ca="1">'Map 6'!G32</f>
        <v>Rainforest</v>
      </c>
      <c r="H32" s="3" t="str">
        <f ca="1">'Map 6'!H32</f>
        <v>Rainforest</v>
      </c>
      <c r="I32" s="3" t="str">
        <f ca="1">'Map 6'!I32</f>
        <v>Rainforest</v>
      </c>
      <c r="J32" s="3" t="str">
        <f ca="1">'Map 6'!J32</f>
        <v>Coast</v>
      </c>
      <c r="K32" s="3" t="str">
        <f ca="1">'Map 6'!K32</f>
        <v>Ocean</v>
      </c>
      <c r="L32" s="3" t="str">
        <f ca="1">'Map 6'!L32</f>
        <v>Ocean</v>
      </c>
      <c r="M32" s="3" t="str">
        <f ca="1">'Map 6'!M32</f>
        <v>Ocean</v>
      </c>
      <c r="N32" s="3" t="str">
        <f ca="1">'Map 6'!N32</f>
        <v>Ocean</v>
      </c>
      <c r="O32" s="3" t="str">
        <f ca="1">'Map 6'!O32</f>
        <v>Ocean</v>
      </c>
      <c r="P32" s="3" t="str">
        <f ca="1">'Map 6'!P32</f>
        <v>Ocean</v>
      </c>
      <c r="Q32" s="3" t="str">
        <f ca="1">'Map 6'!Q32</f>
        <v>Ocean</v>
      </c>
      <c r="R32" s="3" t="str">
        <f ca="1">'Map 6'!R32</f>
        <v>Ocean</v>
      </c>
      <c r="S32" s="3" t="str">
        <f ca="1">'Map 6'!S32</f>
        <v>Ocean</v>
      </c>
      <c r="T32" s="3" t="str">
        <f ca="1">'Map 6'!T32</f>
        <v>Ocean</v>
      </c>
      <c r="U32" s="3" t="str">
        <f ca="1">'Map 6'!U32</f>
        <v>Ocean</v>
      </c>
      <c r="V32" s="3" t="str">
        <f ca="1">'Map 6'!V32</f>
        <v>Ocean</v>
      </c>
      <c r="W32" s="3" t="str">
        <f ca="1">'Map 6'!W32</f>
        <v>Ocean</v>
      </c>
      <c r="X32" s="3" t="str">
        <f ca="1">'Map 6'!X32</f>
        <v>Ocean</v>
      </c>
      <c r="Y32" s="3" t="str">
        <f ca="1">'Map 6'!Y32</f>
        <v>Ocean</v>
      </c>
      <c r="Z32" s="3" t="str">
        <f ca="1">'Map 6'!Z32</f>
        <v>Rainforest Island</v>
      </c>
      <c r="AA32" s="3" t="str">
        <f ca="1">'Map 6'!AA32</f>
        <v>Ocean</v>
      </c>
      <c r="AB32" s="3" t="str">
        <f ca="1">'Map 6'!AB32</f>
        <v>Ocean</v>
      </c>
      <c r="AC32" s="3" t="str">
        <f ca="1">'Map 6'!AC32</f>
        <v>Ocean</v>
      </c>
      <c r="AD32" s="3" t="str">
        <f ca="1">'Map 6'!AD32</f>
        <v>Ocean</v>
      </c>
      <c r="AE32" s="3" t="str">
        <f ca="1">'Map 6'!AE32</f>
        <v>Trench</v>
      </c>
      <c r="AF32" s="3" t="str">
        <f ca="1">'Map 6'!AF32</f>
        <v>Rainforest Island</v>
      </c>
      <c r="AG32" s="3" t="str">
        <f ca="1">'Map 6'!AG32</f>
        <v>Ocean</v>
      </c>
      <c r="AH32" s="3" t="str">
        <f ca="1">'Map 6'!AH32</f>
        <v>Ocean</v>
      </c>
      <c r="AI32" s="3" t="str">
        <f ca="1">'Map 6'!AI32</f>
        <v>Ocean</v>
      </c>
      <c r="AJ32" s="3" t="str">
        <f ca="1">'Map 6'!AJ32</f>
        <v>Trench</v>
      </c>
      <c r="AK32" s="3" t="str">
        <f ca="1">'Map 6'!AK32</f>
        <v>Ocean</v>
      </c>
      <c r="AL32" s="3" t="str">
        <f ca="1">'Map 6'!AL32</f>
        <v>Rainforest Island</v>
      </c>
      <c r="AM32" s="3" t="str">
        <f ca="1">'Map 6'!AM32</f>
        <v>Ocean</v>
      </c>
      <c r="AN32" s="3" t="str">
        <f ca="1">'Map 6'!AN32</f>
        <v>Ocean</v>
      </c>
      <c r="AO32" s="87" t="str">
        <f ca="1">'Map 6'!AO32</f>
        <v>Ocean</v>
      </c>
      <c r="AP32" s="79">
        <f>'Map 5'!AP32</f>
        <v>77</v>
      </c>
      <c r="AQ32" s="81" t="str">
        <f>'Map 6'!AU32</f>
        <v>⤴</v>
      </c>
    </row>
    <row r="33" spans="1:43" ht="37.5" customHeight="1">
      <c r="A33" s="78">
        <v>24</v>
      </c>
      <c r="B33" s="86" t="str">
        <f ca="1">'Map 6'!B33</f>
        <v>Ocean</v>
      </c>
      <c r="C33" s="3" t="str">
        <f ca="1">'Map 6'!C33</f>
        <v>Coast</v>
      </c>
      <c r="D33" s="3" t="str">
        <f ca="1">'Map 6'!D33</f>
        <v>Coast</v>
      </c>
      <c r="E33" s="3" t="str">
        <f ca="1">'Map 6'!E33</f>
        <v>Coast</v>
      </c>
      <c r="F33" s="3" t="str">
        <f ca="1">'Map 6'!F33</f>
        <v>Coast</v>
      </c>
      <c r="G33" s="3" t="str">
        <f ca="1">'Map 6'!G33</f>
        <v>Coast</v>
      </c>
      <c r="H33" s="3" t="str">
        <f ca="1">'Map 6'!H33</f>
        <v>Desert</v>
      </c>
      <c r="I33" s="3" t="str">
        <f ca="1">'Map 6'!I33</f>
        <v>Coast</v>
      </c>
      <c r="J33" s="3" t="str">
        <f ca="1">'Map 6'!J33</f>
        <v>Ocean</v>
      </c>
      <c r="K33" s="3" t="str">
        <f ca="1">'Map 6'!K33</f>
        <v>Ocean</v>
      </c>
      <c r="L33" s="3" t="str">
        <f ca="1">'Map 6'!L33</f>
        <v>Ocean</v>
      </c>
      <c r="M33" s="3" t="str">
        <f ca="1">'Map 6'!M33</f>
        <v>Ocean</v>
      </c>
      <c r="N33" s="3" t="str">
        <f ca="1">'Map 6'!N33</f>
        <v>Ocean</v>
      </c>
      <c r="O33" s="3" t="str">
        <f ca="1">'Map 6'!O33</f>
        <v>Ocean</v>
      </c>
      <c r="P33" s="3" t="str">
        <f ca="1">'Map 6'!P33</f>
        <v>Ocean</v>
      </c>
      <c r="Q33" s="3" t="str">
        <f ca="1">'Map 6'!Q33</f>
        <v>Ocean</v>
      </c>
      <c r="R33" s="3" t="str">
        <f ca="1">'Map 6'!R33</f>
        <v>Ocean</v>
      </c>
      <c r="S33" s="3" t="str">
        <f ca="1">'Map 6'!S33</f>
        <v>Ocean</v>
      </c>
      <c r="T33" s="3" t="str">
        <f ca="1">'Map 6'!T33</f>
        <v>Ocean</v>
      </c>
      <c r="U33" s="3" t="str">
        <f ca="1">'Map 6'!U33</f>
        <v>Ocean</v>
      </c>
      <c r="V33" s="3" t="str">
        <f ca="1">'Map 6'!V33</f>
        <v>Ocean</v>
      </c>
      <c r="W33" s="3" t="str">
        <f ca="1">'Map 6'!W33</f>
        <v>Ocean</v>
      </c>
      <c r="X33" s="3" t="str">
        <f ca="1">'Map 6'!X33</f>
        <v>Ocean</v>
      </c>
      <c r="Y33" s="3" t="str">
        <f ca="1">'Map 6'!Y33</f>
        <v>Ocean</v>
      </c>
      <c r="Z33" s="3" t="str">
        <f ca="1">'Map 6'!Z33</f>
        <v>Ocean</v>
      </c>
      <c r="AA33" s="3" t="str">
        <f ca="1">'Map 6'!AA33</f>
        <v>Ocean</v>
      </c>
      <c r="AB33" s="3" t="str">
        <f ca="1">'Map 6'!AB33</f>
        <v>Ocean</v>
      </c>
      <c r="AC33" s="3" t="str">
        <f ca="1">'Map 6'!AC33</f>
        <v>Ocean</v>
      </c>
      <c r="AD33" s="3" t="str">
        <f ca="1">'Map 6'!AD33</f>
        <v>Ocean</v>
      </c>
      <c r="AE33" s="3" t="str">
        <f ca="1">'Map 6'!AE33</f>
        <v>Ocean</v>
      </c>
      <c r="AF33" s="3" t="str">
        <f ca="1">'Map 6'!AF33</f>
        <v>Trench</v>
      </c>
      <c r="AG33" s="3" t="str">
        <f ca="1">'Map 6'!AG33</f>
        <v>Ocean</v>
      </c>
      <c r="AH33" s="3" t="str">
        <f ca="1">'Map 6'!AH33</f>
        <v>Ocean</v>
      </c>
      <c r="AI33" s="3" t="str">
        <f ca="1">'Map 6'!AI33</f>
        <v>Ocean</v>
      </c>
      <c r="AJ33" s="3" t="str">
        <f ca="1">'Map 6'!AJ33</f>
        <v>Desert Island</v>
      </c>
      <c r="AK33" s="3" t="str">
        <f ca="1">'Map 6'!AK33</f>
        <v>Ocean</v>
      </c>
      <c r="AL33" s="3" t="str">
        <f ca="1">'Map 6'!AL33</f>
        <v>Ocean</v>
      </c>
      <c r="AM33" s="3" t="str">
        <f ca="1">'Map 6'!AM33</f>
        <v>Ocean</v>
      </c>
      <c r="AN33" s="3" t="str">
        <f ca="1">'Map 6'!AN33</f>
        <v>Ocean</v>
      </c>
      <c r="AO33" s="87" t="str">
        <f ca="1">'Map 6'!AO33</f>
        <v>Desert Island</v>
      </c>
      <c r="AP33" s="79">
        <f>'Map 5'!AP33</f>
        <v>70.05</v>
      </c>
      <c r="AQ33" s="81" t="str">
        <f>'Map 6'!AU33</f>
        <v>⤴</v>
      </c>
    </row>
    <row r="34" spans="1:43" ht="37.5" customHeight="1">
      <c r="A34" s="78">
        <v>25</v>
      </c>
      <c r="B34" s="86" t="str">
        <f ca="1">'Map 6'!B34</f>
        <v>Ocean</v>
      </c>
      <c r="C34" s="3" t="str">
        <f ca="1">'Map 6'!C34</f>
        <v>Coast</v>
      </c>
      <c r="D34" s="3" t="str">
        <f ca="1">'Map 6'!D34</f>
        <v>Coast</v>
      </c>
      <c r="E34" s="3" t="str">
        <f ca="1">'Map 6'!E34</f>
        <v>Desert</v>
      </c>
      <c r="F34" s="3" t="str">
        <f ca="1">'Map 6'!F34</f>
        <v>Coast</v>
      </c>
      <c r="G34" s="3" t="str">
        <f ca="1">'Map 6'!G34</f>
        <v>Desert</v>
      </c>
      <c r="H34" s="3" t="str">
        <f ca="1">'Map 6'!H34</f>
        <v>Desert</v>
      </c>
      <c r="I34" s="3" t="str">
        <f ca="1">'Map 6'!I34</f>
        <v>Coast</v>
      </c>
      <c r="J34" s="3" t="str">
        <f ca="1">'Map 6'!J34</f>
        <v>Desert</v>
      </c>
      <c r="K34" s="3" t="str">
        <f ca="1">'Map 6'!K34</f>
        <v>Coast</v>
      </c>
      <c r="L34" s="3" t="str">
        <f ca="1">'Map 6'!L34</f>
        <v>Desert Island</v>
      </c>
      <c r="M34" s="3" t="str">
        <f ca="1">'Map 6'!M34</f>
        <v>Ocean</v>
      </c>
      <c r="N34" s="3" t="str">
        <f ca="1">'Map 6'!N34</f>
        <v>Desert Island</v>
      </c>
      <c r="O34" s="3" t="str">
        <f ca="1">'Map 6'!O34</f>
        <v>Ocean</v>
      </c>
      <c r="P34" s="3" t="str">
        <f ca="1">'Map 6'!P34</f>
        <v>Ocean</v>
      </c>
      <c r="Q34" s="3" t="str">
        <f ca="1">'Map 6'!Q34</f>
        <v>Ocean</v>
      </c>
      <c r="R34" s="3" t="str">
        <f ca="1">'Map 6'!R34</f>
        <v>Desert Island</v>
      </c>
      <c r="S34" s="3" t="str">
        <f ca="1">'Map 6'!S34</f>
        <v>Trench</v>
      </c>
      <c r="T34" s="3" t="str">
        <f ca="1">'Map 6'!T34</f>
        <v>Ocean</v>
      </c>
      <c r="U34" s="3" t="str">
        <f ca="1">'Map 6'!U34</f>
        <v>Ocean</v>
      </c>
      <c r="V34" s="3" t="str">
        <f ca="1">'Map 6'!V34</f>
        <v>Ocean</v>
      </c>
      <c r="W34" s="3" t="str">
        <f ca="1">'Map 6'!W34</f>
        <v>Ocean</v>
      </c>
      <c r="X34" s="3" t="str">
        <f ca="1">'Map 6'!X34</f>
        <v>Ocean</v>
      </c>
      <c r="Y34" s="3" t="str">
        <f ca="1">'Map 6'!Y34</f>
        <v>Ocean</v>
      </c>
      <c r="Z34" s="3" t="str">
        <f ca="1">'Map 6'!Z34</f>
        <v>Trench</v>
      </c>
      <c r="AA34" s="3" t="str">
        <f ca="1">'Map 6'!AA34</f>
        <v>Desert Island</v>
      </c>
      <c r="AB34" s="3" t="str">
        <f ca="1">'Map 6'!AB34</f>
        <v>Ocean</v>
      </c>
      <c r="AC34" s="3" t="str">
        <f ca="1">'Map 6'!AC34</f>
        <v>Ocean</v>
      </c>
      <c r="AD34" s="3" t="str">
        <f ca="1">'Map 6'!AD34</f>
        <v>Ocean</v>
      </c>
      <c r="AE34" s="3" t="str">
        <f ca="1">'Map 6'!AE34</f>
        <v>Ocean</v>
      </c>
      <c r="AF34" s="3" t="str">
        <f ca="1">'Map 6'!AF34</f>
        <v>Ocean</v>
      </c>
      <c r="AG34" s="3" t="str">
        <f ca="1">'Map 6'!AG34</f>
        <v>Desert Island</v>
      </c>
      <c r="AH34" s="3" t="str">
        <f ca="1">'Map 6'!AH34</f>
        <v>Trench</v>
      </c>
      <c r="AI34" s="3" t="str">
        <f ca="1">'Map 6'!AI34</f>
        <v>Desert Island</v>
      </c>
      <c r="AJ34" s="3" t="str">
        <f ca="1">'Map 6'!AJ34</f>
        <v>Ocean</v>
      </c>
      <c r="AK34" s="3" t="str">
        <f ca="1">'Map 6'!AK34</f>
        <v>Ocean</v>
      </c>
      <c r="AL34" s="3" t="str">
        <f ca="1">'Map 6'!AL34</f>
        <v>Trench</v>
      </c>
      <c r="AM34" s="3" t="str">
        <f ca="1">'Map 6'!AM34</f>
        <v>Ocean</v>
      </c>
      <c r="AN34" s="3" t="str">
        <f ca="1">'Map 6'!AN34</f>
        <v>Desert Island</v>
      </c>
      <c r="AO34" s="87" t="str">
        <f ca="1">'Map 6'!AO34</f>
        <v>Trench</v>
      </c>
      <c r="AP34" s="79">
        <f>'Map 5'!AP34</f>
        <v>63.1</v>
      </c>
      <c r="AQ34" s="81" t="str">
        <f>'Map 6'!AU34</f>
        <v>⤴</v>
      </c>
    </row>
    <row r="35" spans="1:43" ht="37.5" customHeight="1">
      <c r="A35" s="78">
        <v>26</v>
      </c>
      <c r="B35" s="86" t="str">
        <f ca="1">'Map 6'!B35</f>
        <v>Ocean</v>
      </c>
      <c r="C35" s="3" t="str">
        <f ca="1">'Map 6'!C35</f>
        <v>Trench</v>
      </c>
      <c r="D35" s="3" t="str">
        <f ca="1">'Map 6'!D35</f>
        <v>Desert Island</v>
      </c>
      <c r="E35" s="3" t="str">
        <f ca="1">'Map 6'!E35</f>
        <v>Trench</v>
      </c>
      <c r="F35" s="3" t="str">
        <f ca="1">'Map 6'!F35</f>
        <v>Cliff</v>
      </c>
      <c r="G35" s="3" t="str">
        <f ca="1">'Map 6'!G35</f>
        <v>Valley</v>
      </c>
      <c r="H35" s="3" t="str">
        <f ca="1">'Map 6'!H35</f>
        <v>Mountain</v>
      </c>
      <c r="I35" s="3" t="str">
        <f ca="1">'Map 6'!I35</f>
        <v>Desert</v>
      </c>
      <c r="J35" s="3" t="str">
        <f ca="1">'Map 6'!J35</f>
        <v>Desert</v>
      </c>
      <c r="K35" s="3" t="str">
        <f ca="1">'Map 6'!K35</f>
        <v>Ocean</v>
      </c>
      <c r="L35" s="3" t="str">
        <f ca="1">'Map 6'!L35</f>
        <v>Trench</v>
      </c>
      <c r="M35" s="3" t="str">
        <f ca="1">'Map 6'!M35</f>
        <v>Trench</v>
      </c>
      <c r="N35" s="3" t="str">
        <f ca="1">'Map 6'!N35</f>
        <v>Ocean</v>
      </c>
      <c r="O35" s="3" t="str">
        <f ca="1">'Map 6'!O35</f>
        <v>Desert Island</v>
      </c>
      <c r="P35" s="3" t="str">
        <f ca="1">'Map 6'!P35</f>
        <v>Ocean</v>
      </c>
      <c r="Q35" s="3" t="str">
        <f ca="1">'Map 6'!Q35</f>
        <v>Desert Island</v>
      </c>
      <c r="R35" s="3" t="str">
        <f ca="1">'Map 6'!R35</f>
        <v>Trench</v>
      </c>
      <c r="S35" s="3" t="str">
        <f ca="1">'Map 6'!S35</f>
        <v>Ocean</v>
      </c>
      <c r="T35" s="3" t="str">
        <f ca="1">'Map 6'!T35</f>
        <v>Ocean</v>
      </c>
      <c r="U35" s="3" t="str">
        <f ca="1">'Map 6'!U35</f>
        <v>Ocean</v>
      </c>
      <c r="V35" s="3" t="str">
        <f ca="1">'Map 6'!V35</f>
        <v>Ocean</v>
      </c>
      <c r="W35" s="3" t="str">
        <f ca="1">'Map 6'!W35</f>
        <v>Ocean</v>
      </c>
      <c r="X35" s="3" t="str">
        <f ca="1">'Map 6'!X35</f>
        <v>Ocean</v>
      </c>
      <c r="Y35" s="3" t="str">
        <f ca="1">'Map 6'!Y35</f>
        <v>Ocean</v>
      </c>
      <c r="Z35" s="3" t="str">
        <f ca="1">'Map 6'!Z35</f>
        <v>Desert Island</v>
      </c>
      <c r="AA35" s="3" t="str">
        <f ca="1">'Map 6'!AA35</f>
        <v>Trench</v>
      </c>
      <c r="AB35" s="3" t="str">
        <f ca="1">'Map 6'!AB35</f>
        <v>Ocean</v>
      </c>
      <c r="AC35" s="3" t="str">
        <f ca="1">'Map 6'!AC35</f>
        <v>Ocean</v>
      </c>
      <c r="AD35" s="3" t="str">
        <f ca="1">'Map 6'!AD35</f>
        <v>Ocean</v>
      </c>
      <c r="AE35" s="3" t="str">
        <f ca="1">'Map 6'!AE35</f>
        <v>Ocean</v>
      </c>
      <c r="AF35" s="3" t="str">
        <f ca="1">'Map 6'!AF35</f>
        <v>Desert Island</v>
      </c>
      <c r="AG35" s="3" t="str">
        <f ca="1">'Map 6'!AG35</f>
        <v>Trench</v>
      </c>
      <c r="AH35" s="3" t="str">
        <f ca="1">'Map 6'!AH35</f>
        <v>Desert Island</v>
      </c>
      <c r="AI35" s="3" t="str">
        <f ca="1">'Map 6'!AI35</f>
        <v>Ocean</v>
      </c>
      <c r="AJ35" s="3" t="str">
        <f ca="1">'Map 6'!AJ35</f>
        <v>Ocean</v>
      </c>
      <c r="AK35" s="3" t="str">
        <f ca="1">'Map 6'!AK35</f>
        <v>Ocean</v>
      </c>
      <c r="AL35" s="3" t="str">
        <f ca="1">'Map 6'!AL35</f>
        <v>Ocean</v>
      </c>
      <c r="AM35" s="3" t="str">
        <f ca="1">'Map 6'!AM35</f>
        <v>Ocean</v>
      </c>
      <c r="AN35" s="3" t="str">
        <f ca="1">'Map 6'!AN35</f>
        <v>Ocean</v>
      </c>
      <c r="AO35" s="87" t="str">
        <f ca="1">'Map 6'!AO35</f>
        <v>Trench</v>
      </c>
      <c r="AP35" s="79">
        <f>'Map 5'!AP35</f>
        <v>56.15</v>
      </c>
      <c r="AQ35" s="81" t="str">
        <f>'Map 6'!AU35</f>
        <v>⤴</v>
      </c>
    </row>
    <row r="36" spans="1:43" ht="37.5" customHeight="1">
      <c r="A36" s="78">
        <v>27</v>
      </c>
      <c r="B36" s="86" t="str">
        <f ca="1">'Map 6'!B36</f>
        <v>Trench</v>
      </c>
      <c r="C36" s="3" t="str">
        <f ca="1">'Map 6'!C36</f>
        <v>Ocean</v>
      </c>
      <c r="D36" s="3" t="str">
        <f ca="1">'Map 6'!D36</f>
        <v>Trench</v>
      </c>
      <c r="E36" s="3" t="str">
        <f ca="1">'Map 6'!E36</f>
        <v>Ocean</v>
      </c>
      <c r="F36" s="3" t="str">
        <f ca="1">'Map 6'!F36</f>
        <v>Mountain</v>
      </c>
      <c r="G36" s="3" t="str">
        <f ca="1">'Map 6'!G36</f>
        <v>Desert</v>
      </c>
      <c r="H36" s="3" t="str">
        <f ca="1">'Map 6'!H36</f>
        <v>Desert</v>
      </c>
      <c r="I36" s="3" t="str">
        <f ca="1">'Map 6'!I36</f>
        <v>Coast</v>
      </c>
      <c r="J36" s="3" t="str">
        <f ca="1">'Map 6'!J36</f>
        <v>Ocean</v>
      </c>
      <c r="K36" s="3" t="str">
        <f ca="1">'Map 6'!K36</f>
        <v>Ocean</v>
      </c>
      <c r="L36" s="3" t="str">
        <f ca="1">'Map 6'!L36</f>
        <v>Desert Island</v>
      </c>
      <c r="M36" s="3" t="str">
        <f ca="1">'Map 6'!M36</f>
        <v>Ocean</v>
      </c>
      <c r="N36" s="3" t="str">
        <f ca="1">'Map 6'!N36</f>
        <v>Desert Island</v>
      </c>
      <c r="O36" s="3" t="str">
        <f ca="1">'Map 6'!O36</f>
        <v>Ocean</v>
      </c>
      <c r="P36" s="3" t="str">
        <f ca="1">'Map 6'!P36</f>
        <v>Ocean</v>
      </c>
      <c r="Q36" s="3" t="str">
        <f ca="1">'Map 6'!Q36</f>
        <v>Ocean</v>
      </c>
      <c r="R36" s="3" t="str">
        <f ca="1">'Map 6'!R36</f>
        <v>Desert Island</v>
      </c>
      <c r="S36" s="3" t="str">
        <f ca="1">'Map 6'!S36</f>
        <v>Ocean</v>
      </c>
      <c r="T36" s="3" t="str">
        <f ca="1">'Map 6'!T36</f>
        <v>Ocean</v>
      </c>
      <c r="U36" s="3" t="str">
        <f ca="1">'Map 6'!U36</f>
        <v>Trench</v>
      </c>
      <c r="V36" s="3" t="str">
        <f ca="1">'Map 6'!V36</f>
        <v>Desert Island</v>
      </c>
      <c r="W36" s="3" t="str">
        <f ca="1">'Map 6'!W36</f>
        <v>Trench</v>
      </c>
      <c r="X36" s="3" t="str">
        <f ca="1">'Map 6'!X36</f>
        <v>Ocean</v>
      </c>
      <c r="Y36" s="3" t="str">
        <f ca="1">'Map 6'!Y36</f>
        <v>Ocean</v>
      </c>
      <c r="Z36" s="3" t="str">
        <f ca="1">'Map 6'!Z36</f>
        <v>Trench</v>
      </c>
      <c r="AA36" s="3" t="str">
        <f ca="1">'Map 6'!AA36</f>
        <v>Ocean</v>
      </c>
      <c r="AB36" s="3" t="str">
        <f ca="1">'Map 6'!AB36</f>
        <v>Ocean</v>
      </c>
      <c r="AC36" s="3" t="str">
        <f ca="1">'Map 6'!AC36</f>
        <v>Ocean</v>
      </c>
      <c r="AD36" s="3" t="str">
        <f ca="1">'Map 6'!AD36</f>
        <v>Ocean</v>
      </c>
      <c r="AE36" s="3" t="str">
        <f ca="1">'Map 6'!AE36</f>
        <v>Ocean</v>
      </c>
      <c r="AF36" s="3" t="str">
        <f ca="1">'Map 6'!AF36</f>
        <v>Ocean</v>
      </c>
      <c r="AG36" s="3" t="str">
        <f ca="1">'Map 6'!AG36</f>
        <v>Desert Island</v>
      </c>
      <c r="AH36" s="3" t="str">
        <f ca="1">'Map 6'!AH36</f>
        <v>Ocean</v>
      </c>
      <c r="AI36" s="3" t="str">
        <f ca="1">'Map 6'!AI36</f>
        <v>Ocean</v>
      </c>
      <c r="AJ36" s="3" t="str">
        <f ca="1">'Map 6'!AJ36</f>
        <v>Ocean</v>
      </c>
      <c r="AK36" s="3" t="str">
        <f ca="1">'Map 6'!AK36</f>
        <v>Ocean</v>
      </c>
      <c r="AL36" s="3" t="str">
        <f ca="1">'Map 6'!AL36</f>
        <v>Ocean</v>
      </c>
      <c r="AM36" s="3" t="str">
        <f ca="1">'Map 6'!AM36</f>
        <v>Ocean</v>
      </c>
      <c r="AN36" s="3" t="str">
        <f ca="1">'Map 6'!AN36</f>
        <v>Trench</v>
      </c>
      <c r="AO36" s="87" t="str">
        <f ca="1">'Map 6'!AO36</f>
        <v>Ocean</v>
      </c>
      <c r="AP36" s="79">
        <f>'Map 5'!AP36</f>
        <v>49.2</v>
      </c>
      <c r="AQ36" s="81" t="str">
        <f>'Map 6'!AU36</f>
        <v>⤵</v>
      </c>
    </row>
    <row r="37" spans="1:43" ht="37.5" customHeight="1">
      <c r="A37" s="78">
        <v>28</v>
      </c>
      <c r="B37" s="86" t="str">
        <f ca="1">'Map 6'!B37</f>
        <v>Drop Off</v>
      </c>
      <c r="C37" s="3" t="str">
        <f ca="1">'Map 6'!C37</f>
        <v>Coast</v>
      </c>
      <c r="D37" s="3" t="str">
        <f ca="1">'Map 6'!D37</f>
        <v>Ocean</v>
      </c>
      <c r="E37" s="3" t="str">
        <f ca="1">'Map 6'!E37</f>
        <v>Ocean</v>
      </c>
      <c r="F37" s="3" t="str">
        <f ca="1">'Map 6'!F37</f>
        <v>Desert</v>
      </c>
      <c r="G37" s="3" t="str">
        <f ca="1">'Map 6'!G37</f>
        <v>Desert</v>
      </c>
      <c r="H37" s="3" t="str">
        <f ca="1">'Map 6'!H37</f>
        <v>Desert</v>
      </c>
      <c r="I37" s="3" t="str">
        <f ca="1">'Map 6'!I37</f>
        <v>Coast</v>
      </c>
      <c r="J37" s="3" t="str">
        <f ca="1">'Map 6'!J37</f>
        <v>Coast</v>
      </c>
      <c r="K37" s="3" t="str">
        <f ca="1">'Map 6'!K37</f>
        <v>Ocean</v>
      </c>
      <c r="L37" s="3" t="str">
        <f ca="1">'Map 6'!L37</f>
        <v>Trench</v>
      </c>
      <c r="M37" s="3" t="str">
        <f ca="1">'Map 6'!M37</f>
        <v>Trench</v>
      </c>
      <c r="N37" s="3" t="str">
        <f ca="1">'Map 6'!N37</f>
        <v>Ocean</v>
      </c>
      <c r="O37" s="3" t="str">
        <f ca="1">'Map 6'!O37</f>
        <v>Ocean</v>
      </c>
      <c r="P37" s="3" t="str">
        <f ca="1">'Map 6'!P37</f>
        <v>Ocean</v>
      </c>
      <c r="Q37" s="3" t="str">
        <f ca="1">'Map 6'!Q37</f>
        <v>Ocean</v>
      </c>
      <c r="R37" s="3" t="str">
        <f ca="1">'Map 6'!R37</f>
        <v>Desert Island</v>
      </c>
      <c r="S37" s="3" t="str">
        <f ca="1">'Map 6'!S37</f>
        <v>Ocean</v>
      </c>
      <c r="T37" s="3" t="str">
        <f ca="1">'Map 6'!T37</f>
        <v>Ocean</v>
      </c>
      <c r="U37" s="3" t="str">
        <f ca="1">'Map 6'!U37</f>
        <v>Desert Island</v>
      </c>
      <c r="V37" s="3" t="str">
        <f ca="1">'Map 6'!V37</f>
        <v>Trench</v>
      </c>
      <c r="W37" s="3" t="str">
        <f ca="1">'Map 6'!W37</f>
        <v>Ocean</v>
      </c>
      <c r="X37" s="3" t="str">
        <f ca="1">'Map 6'!X37</f>
        <v>Ocean</v>
      </c>
      <c r="Y37" s="3" t="str">
        <f ca="1">'Map 6'!Y37</f>
        <v>Ocean</v>
      </c>
      <c r="Z37" s="3" t="str">
        <f ca="1">'Map 6'!Z37</f>
        <v>Ocean</v>
      </c>
      <c r="AA37" s="3" t="str">
        <f ca="1">'Map 6'!AA37</f>
        <v>Ocean</v>
      </c>
      <c r="AB37" s="3" t="str">
        <f ca="1">'Map 6'!AB37</f>
        <v>Ocean</v>
      </c>
      <c r="AC37" s="3" t="str">
        <f ca="1">'Map 6'!AC37</f>
        <v>Ocean</v>
      </c>
      <c r="AD37" s="3" t="str">
        <f ca="1">'Map 6'!AD37</f>
        <v>Ocean</v>
      </c>
      <c r="AE37" s="3" t="str">
        <f ca="1">'Map 6'!AE37</f>
        <v>Desert Island</v>
      </c>
      <c r="AF37" s="3" t="str">
        <f ca="1">'Map 6'!AF37</f>
        <v>Ocean</v>
      </c>
      <c r="AG37" s="3" t="str">
        <f ca="1">'Map 6'!AG37</f>
        <v>Ocean</v>
      </c>
      <c r="AH37" s="3" t="str">
        <f ca="1">'Map 6'!AH37</f>
        <v>Ocean</v>
      </c>
      <c r="AI37" s="3" t="str">
        <f ca="1">'Map 6'!AI37</f>
        <v>Ocean</v>
      </c>
      <c r="AJ37" s="3" t="str">
        <f ca="1">'Map 6'!AJ37</f>
        <v>Trench</v>
      </c>
      <c r="AK37" s="3" t="str">
        <f ca="1">'Map 6'!AK37</f>
        <v>Desert Island</v>
      </c>
      <c r="AL37" s="3" t="str">
        <f ca="1">'Map 6'!AL37</f>
        <v>Ocean</v>
      </c>
      <c r="AM37" s="3" t="str">
        <f ca="1">'Map 6'!AM37</f>
        <v>Ocean</v>
      </c>
      <c r="AN37" s="3" t="str">
        <f ca="1">'Map 6'!AN37</f>
        <v>Ocean</v>
      </c>
      <c r="AO37" s="87" t="str">
        <f ca="1">'Map 6'!AO37</f>
        <v>Ocean</v>
      </c>
      <c r="AP37" s="79">
        <f>'Map 5'!AP37</f>
        <v>42.25</v>
      </c>
      <c r="AQ37" s="81" t="str">
        <f>'Map 6'!AU37</f>
        <v>⤵</v>
      </c>
    </row>
    <row r="38" spans="1:43" ht="37.5" customHeight="1">
      <c r="A38" s="78">
        <v>29</v>
      </c>
      <c r="B38" s="86" t="str">
        <f ca="1">'Map 6'!B38</f>
        <v>Ocean</v>
      </c>
      <c r="C38" s="3" t="str">
        <f ca="1">'Map 6'!C38</f>
        <v>Trench</v>
      </c>
      <c r="D38" s="3" t="str">
        <f ca="1">'Map 6'!D38</f>
        <v>Coast</v>
      </c>
      <c r="E38" s="3" t="str">
        <f ca="1">'Map 6'!E38</f>
        <v>Desert</v>
      </c>
      <c r="F38" s="3" t="str">
        <f ca="1">'Map 6'!F38</f>
        <v>Desert</v>
      </c>
      <c r="G38" s="3" t="str">
        <f ca="1">'Map 6'!G38</f>
        <v>Desert</v>
      </c>
      <c r="H38" s="3" t="str">
        <f ca="1">'Map 6'!H38</f>
        <v>Desert</v>
      </c>
      <c r="I38" s="3" t="str">
        <f ca="1">'Map 6'!I38</f>
        <v>Desert</v>
      </c>
      <c r="J38" s="3" t="str">
        <f ca="1">'Map 6'!J38</f>
        <v>Ocean</v>
      </c>
      <c r="K38" s="3" t="str">
        <f ca="1">'Map 6'!K38</f>
        <v>Ocean</v>
      </c>
      <c r="L38" s="3" t="str">
        <f ca="1">'Map 6'!L38</f>
        <v>Desert Island</v>
      </c>
      <c r="M38" s="3" t="str">
        <f ca="1">'Map 6'!M38</f>
        <v>Ocean</v>
      </c>
      <c r="N38" s="3" t="str">
        <f ca="1">'Map 6'!N38</f>
        <v>Ocean</v>
      </c>
      <c r="O38" s="3" t="str">
        <f ca="1">'Map 6'!O38</f>
        <v>Ocean</v>
      </c>
      <c r="P38" s="3" t="str">
        <f ca="1">'Map 6'!P38</f>
        <v>Ocean</v>
      </c>
      <c r="Q38" s="3" t="str">
        <f ca="1">'Map 6'!Q38</f>
        <v>Ocean</v>
      </c>
      <c r="R38" s="3" t="str">
        <f ca="1">'Map 6'!R38</f>
        <v>Ocean</v>
      </c>
      <c r="S38" s="3" t="str">
        <f ca="1">'Map 6'!S38</f>
        <v>Ocean</v>
      </c>
      <c r="T38" s="3" t="str">
        <f ca="1">'Map 6'!T38</f>
        <v>Ocean</v>
      </c>
      <c r="U38" s="3" t="str">
        <f ca="1">'Map 6'!U38</f>
        <v>Ocean</v>
      </c>
      <c r="V38" s="3" t="str">
        <f ca="1">'Map 6'!V38</f>
        <v>Ocean</v>
      </c>
      <c r="W38" s="3" t="str">
        <f ca="1">'Map 6'!W38</f>
        <v>Ocean</v>
      </c>
      <c r="X38" s="3" t="str">
        <f ca="1">'Map 6'!X38</f>
        <v>Ocean</v>
      </c>
      <c r="Y38" s="3" t="str">
        <f ca="1">'Map 6'!Y38</f>
        <v>Ocean</v>
      </c>
      <c r="Z38" s="3" t="str">
        <f ca="1">'Map 6'!Z38</f>
        <v>Ocean</v>
      </c>
      <c r="AA38" s="3" t="str">
        <f ca="1">'Map 6'!AA38</f>
        <v>Ocean</v>
      </c>
      <c r="AB38" s="3" t="str">
        <f ca="1">'Map 6'!AB38</f>
        <v>Ocean</v>
      </c>
      <c r="AC38" s="3" t="str">
        <f ca="1">'Map 6'!AC38</f>
        <v>Ocean</v>
      </c>
      <c r="AD38" s="3" t="str">
        <f ca="1">'Map 6'!AD38</f>
        <v>Ocean</v>
      </c>
      <c r="AE38" s="3" t="str">
        <f ca="1">'Map 6'!AE38</f>
        <v>Trench</v>
      </c>
      <c r="AF38" s="3" t="str">
        <f ca="1">'Map 6'!AF38</f>
        <v>Ocean</v>
      </c>
      <c r="AG38" s="3" t="str">
        <f ca="1">'Map 6'!AG38</f>
        <v>Desert Island</v>
      </c>
      <c r="AH38" s="3" t="str">
        <f ca="1">'Map 6'!AH38</f>
        <v>Ocean</v>
      </c>
      <c r="AI38" s="3" t="str">
        <f ca="1">'Map 6'!AI38</f>
        <v>Ocean</v>
      </c>
      <c r="AJ38" s="3" t="str">
        <f ca="1">'Map 6'!AJ38</f>
        <v>Ocean</v>
      </c>
      <c r="AK38" s="3" t="str">
        <f ca="1">'Map 6'!AK38</f>
        <v>Trench</v>
      </c>
      <c r="AL38" s="3" t="str">
        <f ca="1">'Map 6'!AL38</f>
        <v>Ocean</v>
      </c>
      <c r="AM38" s="3" t="str">
        <f ca="1">'Map 6'!AM38</f>
        <v>Ocean</v>
      </c>
      <c r="AN38" s="3" t="str">
        <f ca="1">'Map 6'!AN38</f>
        <v>Ocean</v>
      </c>
      <c r="AO38" s="87" t="str">
        <f ca="1">'Map 6'!AO38</f>
        <v>Ocean</v>
      </c>
      <c r="AP38" s="79">
        <f>'Map 5'!AP38</f>
        <v>35.299999999999997</v>
      </c>
      <c r="AQ38" s="81" t="str">
        <f>'Map 6'!AU38</f>
        <v>⤵</v>
      </c>
    </row>
    <row r="39" spans="1:43" ht="37.5" customHeight="1">
      <c r="A39" s="78">
        <v>30</v>
      </c>
      <c r="B39" s="86" t="str">
        <f ca="1">'Map 6'!B39</f>
        <v>Ocean</v>
      </c>
      <c r="C39" s="3" t="str">
        <f ca="1">'Map 6'!C39</f>
        <v>Drop Off</v>
      </c>
      <c r="D39" s="3" t="str">
        <f ca="1">'Map 6'!D39</f>
        <v>Valley</v>
      </c>
      <c r="E39" s="3" t="str">
        <f ca="1">'Map 6'!E39</f>
        <v>Desert</v>
      </c>
      <c r="F39" s="3" t="str">
        <f ca="1">'Map 6'!F39</f>
        <v>Valley</v>
      </c>
      <c r="G39" s="3" t="str">
        <f ca="1">'Map 6'!G39</f>
        <v>Desert</v>
      </c>
      <c r="H39" s="3" t="str">
        <f ca="1">'Map 6'!H39</f>
        <v>Desert</v>
      </c>
      <c r="I39" s="3" t="str">
        <f ca="1">'Map 6'!I39</f>
        <v>Coast</v>
      </c>
      <c r="J39" s="3" t="str">
        <f ca="1">'Map 6'!J39</f>
        <v>Ocean</v>
      </c>
      <c r="K39" s="3" t="str">
        <f ca="1">'Map 6'!K39</f>
        <v>Ocean</v>
      </c>
      <c r="L39" s="3" t="str">
        <f ca="1">'Map 6'!L39</f>
        <v>Trench</v>
      </c>
      <c r="M39" s="3" t="str">
        <f ca="1">'Map 6'!M39</f>
        <v>Ocean</v>
      </c>
      <c r="N39" s="3" t="str">
        <f ca="1">'Map 6'!N39</f>
        <v>Ocean</v>
      </c>
      <c r="O39" s="3" t="str">
        <f ca="1">'Map 6'!O39</f>
        <v>Trench</v>
      </c>
      <c r="P39" s="3" t="str">
        <f ca="1">'Map 6'!P39</f>
        <v>Trench</v>
      </c>
      <c r="Q39" s="3" t="str">
        <f ca="1">'Map 6'!Q39</f>
        <v>Trench</v>
      </c>
      <c r="R39" s="3" t="str">
        <f ca="1">'Map 6'!R39</f>
        <v>Desert Island</v>
      </c>
      <c r="S39" s="3" t="str">
        <f ca="1">'Map 6'!S39</f>
        <v>Desert Island</v>
      </c>
      <c r="T39" s="3" t="str">
        <f ca="1">'Map 6'!T39</f>
        <v>Ocean</v>
      </c>
      <c r="U39" s="3" t="str">
        <f ca="1">'Map 6'!U39</f>
        <v>Trench</v>
      </c>
      <c r="V39" s="3" t="str">
        <f ca="1">'Map 6'!V39</f>
        <v>Ocean</v>
      </c>
      <c r="W39" s="3" t="str">
        <f ca="1">'Map 6'!W39</f>
        <v>Ocean</v>
      </c>
      <c r="X39" s="3" t="str">
        <f ca="1">'Map 6'!X39</f>
        <v>Ocean</v>
      </c>
      <c r="Y39" s="3" t="str">
        <f ca="1">'Map 6'!Y39</f>
        <v>Ocean</v>
      </c>
      <c r="Z39" s="3" t="str">
        <f ca="1">'Map 6'!Z39</f>
        <v>Ocean</v>
      </c>
      <c r="AA39" s="3" t="str">
        <f ca="1">'Map 6'!AA39</f>
        <v>Ocean</v>
      </c>
      <c r="AB39" s="3" t="str">
        <f ca="1">'Map 6'!AB39</f>
        <v>Desert Island</v>
      </c>
      <c r="AC39" s="3" t="str">
        <f ca="1">'Map 6'!AC39</f>
        <v>Ocean</v>
      </c>
      <c r="AD39" s="3" t="str">
        <f ca="1">'Map 6'!AD39</f>
        <v>Trench</v>
      </c>
      <c r="AE39" s="3" t="str">
        <f ca="1">'Map 6'!AE39</f>
        <v>Desert Island</v>
      </c>
      <c r="AF39" s="3" t="str">
        <f ca="1">'Map 6'!AF39</f>
        <v>Ocean</v>
      </c>
      <c r="AG39" s="3" t="str">
        <f ca="1">'Map 6'!AG39</f>
        <v>Ocean</v>
      </c>
      <c r="AH39" s="3" t="str">
        <f ca="1">'Map 6'!AH39</f>
        <v>Ocean</v>
      </c>
      <c r="AI39" s="3" t="str">
        <f ca="1">'Map 6'!AI39</f>
        <v>Desert Island</v>
      </c>
      <c r="AJ39" s="3" t="str">
        <f ca="1">'Map 6'!AJ39</f>
        <v>Ocean</v>
      </c>
      <c r="AK39" s="3" t="str">
        <f ca="1">'Map 6'!AK39</f>
        <v>Desert Island</v>
      </c>
      <c r="AL39" s="3" t="str">
        <f ca="1">'Map 6'!AL39</f>
        <v>Trench</v>
      </c>
      <c r="AM39" s="3" t="str">
        <f ca="1">'Map 6'!AM39</f>
        <v>Ocean</v>
      </c>
      <c r="AN39" s="3" t="str">
        <f ca="1">'Map 6'!AN39</f>
        <v>Ocean</v>
      </c>
      <c r="AO39" s="87" t="str">
        <f ca="1">'Map 6'!AO39</f>
        <v>Desert Rainshadow Coast</v>
      </c>
      <c r="AP39" s="79">
        <f>'Map 5'!AP39</f>
        <v>28.35</v>
      </c>
      <c r="AQ39" s="81" t="str">
        <f>'Map 6'!AU39</f>
        <v>⤵</v>
      </c>
    </row>
    <row r="40" spans="1:43" ht="37.5" customHeight="1">
      <c r="A40" s="78">
        <v>31</v>
      </c>
      <c r="B40" s="86" t="str">
        <f ca="1">'Map 6'!B40</f>
        <v>Forest</v>
      </c>
      <c r="C40" s="3" t="str">
        <f ca="1">'Map 6'!C40</f>
        <v>Forest</v>
      </c>
      <c r="D40" s="3" t="str">
        <f ca="1">'Map 6'!D40</f>
        <v>Forest</v>
      </c>
      <c r="E40" s="3" t="str">
        <f ca="1">'Map 6'!E40</f>
        <v>Valley</v>
      </c>
      <c r="F40" s="3" t="str">
        <f ca="1">'Map 6'!F40</f>
        <v>Forest</v>
      </c>
      <c r="G40" s="3" t="str">
        <f ca="1">'Map 6'!G40</f>
        <v>Forest</v>
      </c>
      <c r="H40" s="3" t="str">
        <f ca="1">'Map 6'!H40</f>
        <v>Forest</v>
      </c>
      <c r="I40" s="3" t="str">
        <f ca="1">'Map 6'!I40</f>
        <v>Ocean</v>
      </c>
      <c r="J40" s="3" t="str">
        <f ca="1">'Map 6'!J40</f>
        <v>Coast</v>
      </c>
      <c r="K40" s="3" t="str">
        <f ca="1">'Map 6'!K40</f>
        <v>Coast</v>
      </c>
      <c r="L40" s="3" t="str">
        <f ca="1">'Map 6'!L40</f>
        <v>Ocean</v>
      </c>
      <c r="M40" s="3" t="str">
        <f ca="1">'Map 6'!M40</f>
        <v>Forest Island</v>
      </c>
      <c r="N40" s="3" t="str">
        <f ca="1">'Map 6'!N40</f>
        <v>Forest Island</v>
      </c>
      <c r="O40" s="3" t="str">
        <f ca="1">'Map 6'!O40</f>
        <v>Trench</v>
      </c>
      <c r="P40" s="3" t="str">
        <f ca="1">'Map 6'!P40</f>
        <v>Ocean</v>
      </c>
      <c r="Q40" s="3" t="str">
        <f ca="1">'Map 6'!Q40</f>
        <v>Trench</v>
      </c>
      <c r="R40" s="3" t="str">
        <f ca="1">'Map 6'!R40</f>
        <v>Forest Island</v>
      </c>
      <c r="S40" s="3" t="str">
        <f ca="1">'Map 6'!S40</f>
        <v>Trench</v>
      </c>
      <c r="T40" s="3" t="str">
        <f ca="1">'Map 6'!T40</f>
        <v>Ocean</v>
      </c>
      <c r="U40" s="3" t="str">
        <f ca="1">'Map 6'!U40</f>
        <v>Forest Island</v>
      </c>
      <c r="V40" s="3" t="str">
        <f ca="1">'Map 6'!V40</f>
        <v>Trench</v>
      </c>
      <c r="W40" s="3" t="str">
        <f ca="1">'Map 6'!W40</f>
        <v>Ocean</v>
      </c>
      <c r="X40" s="3" t="str">
        <f ca="1">'Map 6'!X40</f>
        <v>Ocean</v>
      </c>
      <c r="Y40" s="3" t="str">
        <f ca="1">'Map 6'!Y40</f>
        <v>Ocean</v>
      </c>
      <c r="Z40" s="3" t="str">
        <f ca="1">'Map 6'!Z40</f>
        <v>Ocean</v>
      </c>
      <c r="AA40" s="3" t="str">
        <f ca="1">'Map 6'!AA40</f>
        <v>Forest Island</v>
      </c>
      <c r="AB40" s="3" t="str">
        <f ca="1">'Map 6'!AB40</f>
        <v>Ocean</v>
      </c>
      <c r="AC40" s="3" t="str">
        <f ca="1">'Map 6'!AC40</f>
        <v>Trench</v>
      </c>
      <c r="AD40" s="3" t="str">
        <f ca="1">'Map 6'!AD40</f>
        <v>Forest Island</v>
      </c>
      <c r="AE40" s="3" t="str">
        <f ca="1">'Map 6'!AE40</f>
        <v>Ocean</v>
      </c>
      <c r="AF40" s="3" t="str">
        <f ca="1">'Map 6'!AF40</f>
        <v>Forest Island</v>
      </c>
      <c r="AG40" s="3" t="str">
        <f ca="1">'Map 6'!AG40</f>
        <v>Forest Island</v>
      </c>
      <c r="AH40" s="3" t="str">
        <f ca="1">'Map 6'!AH40</f>
        <v>Ocean</v>
      </c>
      <c r="AI40" s="3" t="str">
        <f ca="1">'Map 6'!AI40</f>
        <v>Ocean</v>
      </c>
      <c r="AJ40" s="3" t="str">
        <f ca="1">'Map 6'!AJ40</f>
        <v>Forest Island</v>
      </c>
      <c r="AK40" s="3" t="str">
        <f ca="1">'Map 6'!AK40</f>
        <v>Ocean</v>
      </c>
      <c r="AL40" s="3" t="str">
        <f ca="1">'Map 6'!AL40</f>
        <v>Ocean</v>
      </c>
      <c r="AM40" s="3" t="str">
        <f ca="1">'Map 6'!AM40</f>
        <v>Forest Island</v>
      </c>
      <c r="AN40" s="3" t="str">
        <f ca="1">'Map 6'!AN40</f>
        <v>Ocean</v>
      </c>
      <c r="AO40" s="87" t="str">
        <f ca="1">'Map 6'!AO40</f>
        <v>Mountain</v>
      </c>
      <c r="AP40" s="79">
        <f>'Map 5'!AP40</f>
        <v>21.4</v>
      </c>
      <c r="AQ40" s="81" t="str">
        <f>'Map 6'!AU40</f>
        <v>⤵</v>
      </c>
    </row>
    <row r="41" spans="1:43" ht="37.5" customHeight="1">
      <c r="A41" s="78">
        <v>32</v>
      </c>
      <c r="B41" s="86" t="str">
        <f ca="1">'Map 6'!B41</f>
        <v>Drop Off</v>
      </c>
      <c r="C41" s="3" t="str">
        <f ca="1">'Map 6'!C41</f>
        <v>Forest</v>
      </c>
      <c r="D41" s="3" t="str">
        <f ca="1">'Map 6'!D41</f>
        <v>Drop Off</v>
      </c>
      <c r="E41" s="3" t="str">
        <f ca="1">'Map 6'!E41</f>
        <v>Coast</v>
      </c>
      <c r="F41" s="3" t="str">
        <f ca="1">'Map 6'!F41</f>
        <v>Forest</v>
      </c>
      <c r="G41" s="3" t="str">
        <f ca="1">'Map 6'!G41</f>
        <v>Forest</v>
      </c>
      <c r="H41" s="3" t="str">
        <f ca="1">'Map 6'!H41</f>
        <v>Forest</v>
      </c>
      <c r="I41" s="3" t="str">
        <f ca="1">'Map 6'!I41</f>
        <v>Ocean</v>
      </c>
      <c r="J41" s="3" t="str">
        <f ca="1">'Map 6'!J41</f>
        <v>Coast</v>
      </c>
      <c r="K41" s="3" t="str">
        <f ca="1">'Map 6'!K41</f>
        <v>Ocean</v>
      </c>
      <c r="L41" s="3" t="str">
        <f ca="1">'Map 6'!L41</f>
        <v>Ocean</v>
      </c>
      <c r="M41" s="3" t="str">
        <f ca="1">'Map 6'!M41</f>
        <v>Trench</v>
      </c>
      <c r="N41" s="3" t="str">
        <f ca="1">'Map 6'!N41</f>
        <v>Coast</v>
      </c>
      <c r="O41" s="3" t="str">
        <f ca="1">'Map 6'!O41</f>
        <v>Coast</v>
      </c>
      <c r="P41" s="3" t="str">
        <f ca="1">'Map 6'!P41</f>
        <v>Coast</v>
      </c>
      <c r="Q41" s="3" t="str">
        <f ca="1">'Map 6'!Q41</f>
        <v>Coast</v>
      </c>
      <c r="R41" s="3" t="str">
        <f ca="1">'Map 6'!R41</f>
        <v>Trench</v>
      </c>
      <c r="S41" s="3" t="str">
        <f ca="1">'Map 6'!S41</f>
        <v>Ocean</v>
      </c>
      <c r="T41" s="3" t="str">
        <f ca="1">'Map 6'!T41</f>
        <v>Ocean</v>
      </c>
      <c r="U41" s="3" t="str">
        <f ca="1">'Map 6'!U41</f>
        <v>Trench</v>
      </c>
      <c r="V41" s="3" t="str">
        <f ca="1">'Map 6'!V41</f>
        <v>Ocean</v>
      </c>
      <c r="W41" s="3" t="str">
        <f ca="1">'Map 6'!W41</f>
        <v>Ocean</v>
      </c>
      <c r="X41" s="3" t="str">
        <f ca="1">'Map 6'!X41</f>
        <v>Ocean</v>
      </c>
      <c r="Y41" s="3" t="str">
        <f ca="1">'Map 6'!Y41</f>
        <v>Ocean</v>
      </c>
      <c r="Z41" s="3" t="str">
        <f ca="1">'Map 6'!Z41</f>
        <v>Forest Island</v>
      </c>
      <c r="AA41" s="3" t="str">
        <f ca="1">'Map 6'!AA41</f>
        <v>Ocean</v>
      </c>
      <c r="AB41" s="3" t="str">
        <f ca="1">'Map 6'!AB41</f>
        <v>Ocean</v>
      </c>
      <c r="AC41" s="3" t="str">
        <f ca="1">'Map 6'!AC41</f>
        <v>Forest Island</v>
      </c>
      <c r="AD41" s="3" t="str">
        <f ca="1">'Map 6'!AD41</f>
        <v>Ocean</v>
      </c>
      <c r="AE41" s="3" t="str">
        <f ca="1">'Map 6'!AE41</f>
        <v>Forest Island</v>
      </c>
      <c r="AF41" s="3" t="str">
        <f ca="1">'Map 6'!AF41</f>
        <v>Forest Island</v>
      </c>
      <c r="AG41" s="3" t="str">
        <f ca="1">'Map 6'!AG41</f>
        <v>Trench</v>
      </c>
      <c r="AH41" s="3" t="str">
        <f ca="1">'Map 6'!AH41</f>
        <v>Ocean</v>
      </c>
      <c r="AI41" s="3" t="str">
        <f ca="1">'Map 6'!AI41</f>
        <v>Ocean</v>
      </c>
      <c r="AJ41" s="3" t="str">
        <f ca="1">'Map 6'!AJ41</f>
        <v>Ocean</v>
      </c>
      <c r="AK41" s="3" t="str">
        <f ca="1">'Map 6'!AK41</f>
        <v>Ocean</v>
      </c>
      <c r="AL41" s="3" t="str">
        <f ca="1">'Map 6'!AL41</f>
        <v>Ocean</v>
      </c>
      <c r="AM41" s="3" t="str">
        <f ca="1">'Map 6'!AM41</f>
        <v>Ocean</v>
      </c>
      <c r="AN41" s="3" t="str">
        <f ca="1">'Map 6'!AN41</f>
        <v>Forest Island</v>
      </c>
      <c r="AO41" s="87" t="str">
        <f ca="1">'Map 6'!AO41</f>
        <v>Ocean</v>
      </c>
      <c r="AP41" s="79">
        <f>'Map 5'!AP41</f>
        <v>14.45</v>
      </c>
      <c r="AQ41" s="81" t="str">
        <f>'Map 6'!AU41</f>
        <v>⤵</v>
      </c>
    </row>
    <row r="42" spans="1:43" ht="37.5" customHeight="1">
      <c r="A42" s="78">
        <v>33</v>
      </c>
      <c r="B42" s="86" t="str">
        <f ca="1">'Map 6'!B42</f>
        <v>Ocean</v>
      </c>
      <c r="C42" s="3" t="str">
        <f ca="1">'Map 6'!C42</f>
        <v>Ocean</v>
      </c>
      <c r="D42" s="3" t="str">
        <f ca="1">'Map 6'!D42</f>
        <v>Coast</v>
      </c>
      <c r="E42" s="3" t="str">
        <f ca="1">'Map 6'!E42</f>
        <v>Forest</v>
      </c>
      <c r="F42" s="3" t="str">
        <f ca="1">'Map 6'!F42</f>
        <v>Forest</v>
      </c>
      <c r="G42" s="3" t="str">
        <f ca="1">'Map 6'!G42</f>
        <v>Forest</v>
      </c>
      <c r="H42" s="3" t="str">
        <f ca="1">'Map 6'!H42</f>
        <v>Forest</v>
      </c>
      <c r="I42" s="3" t="str">
        <f ca="1">'Map 6'!I42</f>
        <v>Ocean</v>
      </c>
      <c r="J42" s="3" t="str">
        <f ca="1">'Map 6'!J42</f>
        <v>Ocean</v>
      </c>
      <c r="K42" s="3" t="str">
        <f ca="1">'Map 6'!K42</f>
        <v>Coast</v>
      </c>
      <c r="L42" s="3" t="str">
        <f ca="1">'Map 6'!L42</f>
        <v>Coast</v>
      </c>
      <c r="M42" s="3" t="str">
        <f ca="1">'Map 6'!M42</f>
        <v>Ocean</v>
      </c>
      <c r="N42" s="3" t="str">
        <f ca="1">'Map 6'!N42</f>
        <v>Forest</v>
      </c>
      <c r="O42" s="3" t="str">
        <f ca="1">'Map 6'!O42</f>
        <v>Coast</v>
      </c>
      <c r="P42" s="3" t="str">
        <f ca="1">'Map 6'!P42</f>
        <v>Forest</v>
      </c>
      <c r="Q42" s="3" t="str">
        <f ca="1">'Map 6'!Q42</f>
        <v>Coast</v>
      </c>
      <c r="R42" s="3" t="str">
        <f ca="1">'Map 6'!R42</f>
        <v>Coast</v>
      </c>
      <c r="S42" s="3" t="str">
        <f ca="1">'Map 6'!S42</f>
        <v>Ocean</v>
      </c>
      <c r="T42" s="3" t="str">
        <f ca="1">'Map 6'!T42</f>
        <v>Ocean</v>
      </c>
      <c r="U42" s="3" t="str">
        <f ca="1">'Map 6'!U42</f>
        <v>Ocean</v>
      </c>
      <c r="V42" s="3" t="str">
        <f ca="1">'Map 6'!V42</f>
        <v>Ocean</v>
      </c>
      <c r="W42" s="3" t="str">
        <f ca="1">'Map 6'!W42</f>
        <v>Ocean</v>
      </c>
      <c r="X42" s="3" t="str">
        <f ca="1">'Map 6'!X42</f>
        <v>Ocean</v>
      </c>
      <c r="Y42" s="3" t="str">
        <f ca="1">'Map 6'!Y42</f>
        <v>Ocean</v>
      </c>
      <c r="Z42" s="3" t="str">
        <f ca="1">'Map 6'!Z42</f>
        <v>Ocean</v>
      </c>
      <c r="AA42" s="3" t="str">
        <f ca="1">'Map 6'!AA42</f>
        <v>Trench</v>
      </c>
      <c r="AB42" s="3" t="str">
        <f ca="1">'Map 6'!AB42</f>
        <v>Forest Island</v>
      </c>
      <c r="AC42" s="3" t="str">
        <f ca="1">'Map 6'!AC42</f>
        <v>Ocean</v>
      </c>
      <c r="AD42" s="3" t="str">
        <f ca="1">'Map 6'!AD42</f>
        <v>Ocean</v>
      </c>
      <c r="AE42" s="3" t="str">
        <f ca="1">'Map 6'!AE42</f>
        <v>Trench</v>
      </c>
      <c r="AF42" s="3" t="str">
        <f ca="1">'Map 6'!AF42</f>
        <v>Trench</v>
      </c>
      <c r="AG42" s="3" t="str">
        <f ca="1">'Map 6'!AG42</f>
        <v>Ocean</v>
      </c>
      <c r="AH42" s="3" t="str">
        <f ca="1">'Map 6'!AH42</f>
        <v>Ocean</v>
      </c>
      <c r="AI42" s="3" t="str">
        <f ca="1">'Map 6'!AI42</f>
        <v>Ocean</v>
      </c>
      <c r="AJ42" s="3" t="str">
        <f ca="1">'Map 6'!AJ42</f>
        <v>Ocean</v>
      </c>
      <c r="AK42" s="3" t="str">
        <f ca="1">'Map 6'!AK42</f>
        <v>Ocean</v>
      </c>
      <c r="AL42" s="3" t="str">
        <f ca="1">'Map 6'!AL42</f>
        <v>Ocean</v>
      </c>
      <c r="AM42" s="3" t="str">
        <f ca="1">'Map 6'!AM42</f>
        <v>Ocean</v>
      </c>
      <c r="AN42" s="3" t="str">
        <f ca="1">'Map 6'!AN42</f>
        <v>Ocean</v>
      </c>
      <c r="AO42" s="87" t="str">
        <f ca="1">'Map 6'!AO42</f>
        <v>Trench</v>
      </c>
      <c r="AP42" s="79">
        <f>'Map 5'!AP42</f>
        <v>7.5</v>
      </c>
      <c r="AQ42" s="81" t="str">
        <f>'Map 6'!AU42</f>
        <v>⤵</v>
      </c>
    </row>
    <row r="43" spans="1:43" ht="37.5" customHeight="1">
      <c r="A43" s="78">
        <v>34</v>
      </c>
      <c r="B43" s="86" t="str">
        <f ca="1">'Map 6'!B43</f>
        <v>Ocean</v>
      </c>
      <c r="C43" s="3" t="str">
        <f ca="1">'Map 6'!C43</f>
        <v>Ocean</v>
      </c>
      <c r="D43" s="3" t="str">
        <f ca="1">'Map 6'!D43</f>
        <v>Coast</v>
      </c>
      <c r="E43" s="3" t="str">
        <f ca="1">'Map 6'!E43</f>
        <v>Ocean</v>
      </c>
      <c r="F43" s="3" t="str">
        <f ca="1">'Map 6'!F43</f>
        <v>Ocean</v>
      </c>
      <c r="G43" s="3" t="str">
        <f ca="1">'Map 6'!G43</f>
        <v>Ocean</v>
      </c>
      <c r="H43" s="3" t="str">
        <f ca="1">'Map 6'!H43</f>
        <v>Ocean</v>
      </c>
      <c r="I43" s="3" t="str">
        <f ca="1">'Map 6'!I43</f>
        <v>Ocean</v>
      </c>
      <c r="J43" s="3" t="str">
        <f ca="1">'Map 6'!J43</f>
        <v>Coast</v>
      </c>
      <c r="K43" s="3" t="str">
        <f ca="1">'Map 6'!K43</f>
        <v>Forest</v>
      </c>
      <c r="L43" s="3" t="str">
        <f ca="1">'Map 6'!L43</f>
        <v>Coast</v>
      </c>
      <c r="M43" s="3" t="str">
        <f ca="1">'Map 6'!M43</f>
        <v>Forest</v>
      </c>
      <c r="N43" s="3" t="str">
        <f ca="1">'Map 6'!N43</f>
        <v>Forest</v>
      </c>
      <c r="O43" s="3" t="str">
        <f ca="1">'Map 6'!O43</f>
        <v>Forest</v>
      </c>
      <c r="P43" s="3" t="str">
        <f ca="1">'Map 6'!P43</f>
        <v>Forest</v>
      </c>
      <c r="Q43" s="3" t="str">
        <f ca="1">'Map 6'!Q43</f>
        <v>Coast</v>
      </c>
      <c r="R43" s="3" t="str">
        <f ca="1">'Map 6'!R43</f>
        <v>Ocean</v>
      </c>
      <c r="S43" s="3" t="str">
        <f ca="1">'Map 6'!S43</f>
        <v>Ocean</v>
      </c>
      <c r="T43" s="3" t="str">
        <f ca="1">'Map 6'!T43</f>
        <v>Ocean</v>
      </c>
      <c r="U43" s="3" t="str">
        <f ca="1">'Map 6'!U43</f>
        <v>Ocean</v>
      </c>
      <c r="V43" s="3" t="str">
        <f ca="1">'Map 6'!V43</f>
        <v>Ocean</v>
      </c>
      <c r="W43" s="3" t="str">
        <f ca="1">'Map 6'!W43</f>
        <v>Ocean</v>
      </c>
      <c r="X43" s="3" t="str">
        <f ca="1">'Map 6'!X43</f>
        <v>Ocean</v>
      </c>
      <c r="Y43" s="3" t="str">
        <f ca="1">'Map 6'!Y43</f>
        <v>Ocean</v>
      </c>
      <c r="Z43" s="3" t="str">
        <f ca="1">'Map 6'!Z43</f>
        <v>Trench</v>
      </c>
      <c r="AA43" s="3" t="str">
        <f ca="1">'Map 6'!AA43</f>
        <v>Forest Island</v>
      </c>
      <c r="AB43" s="3" t="str">
        <f ca="1">'Map 6'!AB43</f>
        <v>Ocean</v>
      </c>
      <c r="AC43" s="3" t="str">
        <f ca="1">'Map 6'!AC43</f>
        <v>Ocean</v>
      </c>
      <c r="AD43" s="3" t="str">
        <f ca="1">'Map 6'!AD43</f>
        <v>Ocean</v>
      </c>
      <c r="AE43" s="3" t="str">
        <f ca="1">'Map 6'!AE43</f>
        <v>Ocean</v>
      </c>
      <c r="AF43" s="3" t="str">
        <f ca="1">'Map 6'!AF43</f>
        <v>Ocean</v>
      </c>
      <c r="AG43" s="3" t="str">
        <f ca="1">'Map 6'!AG43</f>
        <v>Ocean</v>
      </c>
      <c r="AH43" s="3" t="str">
        <f ca="1">'Map 6'!AH43</f>
        <v>Ocean</v>
      </c>
      <c r="AI43" s="3" t="str">
        <f ca="1">'Map 6'!AI43</f>
        <v>Ocean</v>
      </c>
      <c r="AJ43" s="3" t="str">
        <f ca="1">'Map 6'!AJ43</f>
        <v>Ocean</v>
      </c>
      <c r="AK43" s="3" t="str">
        <f ca="1">'Map 6'!AK43</f>
        <v>Ocean</v>
      </c>
      <c r="AL43" s="3" t="str">
        <f ca="1">'Map 6'!AL43</f>
        <v>Ocean</v>
      </c>
      <c r="AM43" s="3" t="str">
        <f ca="1">'Map 6'!AM43</f>
        <v>Ocean</v>
      </c>
      <c r="AN43" s="3" t="str">
        <f ca="1">'Map 6'!AN43</f>
        <v>Ocean</v>
      </c>
      <c r="AO43" s="87" t="str">
        <f ca="1">'Map 6'!AO43</f>
        <v>Ocean</v>
      </c>
      <c r="AP43" s="79">
        <f>'Map 5'!AP43</f>
        <v>0.55000000000000004</v>
      </c>
      <c r="AQ43" s="81" t="str">
        <f>'Map 6'!AU43</f>
        <v>⤴</v>
      </c>
    </row>
    <row r="44" spans="1:43" ht="37.5" customHeight="1">
      <c r="A44" s="78">
        <v>35</v>
      </c>
      <c r="B44" s="86" t="str">
        <f ca="1">'Map 6'!B44</f>
        <v>Ocean</v>
      </c>
      <c r="C44" s="3" t="str">
        <f ca="1">'Map 6'!C44</f>
        <v>Ocean</v>
      </c>
      <c r="D44" s="3" t="str">
        <f ca="1">'Map 6'!D44</f>
        <v>Ocean</v>
      </c>
      <c r="E44" s="3" t="str">
        <f ca="1">'Map 6'!E44</f>
        <v>Ocean</v>
      </c>
      <c r="F44" s="3" t="str">
        <f ca="1">'Map 6'!F44</f>
        <v>Ocean</v>
      </c>
      <c r="G44" s="3" t="str">
        <f ca="1">'Map 6'!G44</f>
        <v>Ocean</v>
      </c>
      <c r="H44" s="3" t="str">
        <f ca="1">'Map 6'!H44</f>
        <v>Ocean</v>
      </c>
      <c r="I44" s="3" t="str">
        <f ca="1">'Map 6'!I44</f>
        <v>Ocean</v>
      </c>
      <c r="J44" s="3" t="str">
        <f ca="1">'Map 6'!J44</f>
        <v>Coast</v>
      </c>
      <c r="K44" s="3" t="str">
        <f ca="1">'Map 6'!K44</f>
        <v>Coast</v>
      </c>
      <c r="L44" s="3" t="str">
        <f ca="1">'Map 6'!L44</f>
        <v>Forest</v>
      </c>
      <c r="M44" s="3" t="str">
        <f ca="1">'Map 6'!M44</f>
        <v>Forest</v>
      </c>
      <c r="N44" s="3" t="str">
        <f ca="1">'Map 6'!N44</f>
        <v>Forest</v>
      </c>
      <c r="O44" s="3" t="str">
        <f ca="1">'Map 6'!O44</f>
        <v>Forest</v>
      </c>
      <c r="P44" s="3" t="str">
        <f ca="1">'Map 6'!P44</f>
        <v>Forest</v>
      </c>
      <c r="Q44" s="3" t="str">
        <f ca="1">'Map 6'!Q44</f>
        <v>Coast</v>
      </c>
      <c r="R44" s="3" t="str">
        <f ca="1">'Map 6'!R44</f>
        <v>Cliff</v>
      </c>
      <c r="S44" s="3" t="str">
        <f ca="1">'Map 6'!S44</f>
        <v>Trench</v>
      </c>
      <c r="T44" s="3" t="str">
        <f ca="1">'Map 6'!T44</f>
        <v>Ocean</v>
      </c>
      <c r="U44" s="3" t="str">
        <f ca="1">'Map 6'!U44</f>
        <v>Ocean</v>
      </c>
      <c r="V44" s="3" t="str">
        <f ca="1">'Map 6'!V44</f>
        <v>Ocean</v>
      </c>
      <c r="W44" s="3" t="str">
        <f ca="1">'Map 6'!W44</f>
        <v>Ocean</v>
      </c>
      <c r="X44" s="3" t="str">
        <f ca="1">'Map 6'!X44</f>
        <v>Ocean</v>
      </c>
      <c r="Y44" s="3" t="str">
        <f ca="1">'Map 6'!Y44</f>
        <v>Ocean</v>
      </c>
      <c r="Z44" s="3" t="str">
        <f ca="1">'Map 6'!Z44</f>
        <v>Ocean</v>
      </c>
      <c r="AA44" s="3" t="str">
        <f ca="1">'Map 6'!AA44</f>
        <v>Ocean</v>
      </c>
      <c r="AB44" s="3" t="str">
        <f ca="1">'Map 6'!AB44</f>
        <v>Ocean</v>
      </c>
      <c r="AC44" s="3" t="str">
        <f ca="1">'Map 6'!AC44</f>
        <v>Ocean</v>
      </c>
      <c r="AD44" s="3" t="str">
        <f ca="1">'Map 6'!AD44</f>
        <v>Ocean</v>
      </c>
      <c r="AE44" s="3" t="str">
        <f ca="1">'Map 6'!AE44</f>
        <v>Forest Island</v>
      </c>
      <c r="AF44" s="3" t="str">
        <f ca="1">'Map 6'!AF44</f>
        <v>Forest Island</v>
      </c>
      <c r="AG44" s="3" t="str">
        <f ca="1">'Map 6'!AG44</f>
        <v>Trench</v>
      </c>
      <c r="AH44" s="3" t="str">
        <f ca="1">'Map 6'!AH44</f>
        <v>Ocean</v>
      </c>
      <c r="AI44" s="3" t="str">
        <f ca="1">'Map 6'!AI44</f>
        <v>Ocean</v>
      </c>
      <c r="AJ44" s="3" t="str">
        <f ca="1">'Map 6'!AJ44</f>
        <v>Ocean</v>
      </c>
      <c r="AK44" s="3" t="str">
        <f ca="1">'Map 6'!AK44</f>
        <v>Ocean</v>
      </c>
      <c r="AL44" s="3" t="str">
        <f ca="1">'Map 6'!AL44</f>
        <v>Ocean</v>
      </c>
      <c r="AM44" s="3" t="str">
        <f ca="1">'Map 6'!AM44</f>
        <v>Trench</v>
      </c>
      <c r="AN44" s="3" t="str">
        <f ca="1">'Map 6'!AN44</f>
        <v>Ocean</v>
      </c>
      <c r="AO44" s="87" t="str">
        <f ca="1">'Map 6'!AO44</f>
        <v>Ocean</v>
      </c>
      <c r="AP44" s="79">
        <f>'Map 5'!AP44</f>
        <v>-6.4</v>
      </c>
      <c r="AQ44" s="81" t="str">
        <f>'Map 6'!AU44</f>
        <v>⤴</v>
      </c>
    </row>
    <row r="45" spans="1:43" ht="37.5" customHeight="1">
      <c r="A45" s="78">
        <v>36</v>
      </c>
      <c r="B45" s="86" t="str">
        <f ca="1">'Map 6'!B45</f>
        <v>Ocean</v>
      </c>
      <c r="C45" s="3" t="str">
        <f ca="1">'Map 6'!C45</f>
        <v>Ocean</v>
      </c>
      <c r="D45" s="3" t="str">
        <f ca="1">'Map 6'!D45</f>
        <v>Ocean</v>
      </c>
      <c r="E45" s="3" t="str">
        <f ca="1">'Map 6'!E45</f>
        <v>Coast</v>
      </c>
      <c r="F45" s="3" t="str">
        <f ca="1">'Map 6'!F45</f>
        <v>Coast</v>
      </c>
      <c r="G45" s="3" t="str">
        <f ca="1">'Map 6'!G45</f>
        <v>Coast</v>
      </c>
      <c r="H45" s="3" t="str">
        <f ca="1">'Map 6'!H45</f>
        <v>Coast</v>
      </c>
      <c r="I45" s="3" t="str">
        <f ca="1">'Map 6'!I45</f>
        <v>Ocean</v>
      </c>
      <c r="J45" s="3" t="str">
        <f ca="1">'Map 6'!J45</f>
        <v>Coast</v>
      </c>
      <c r="K45" s="3" t="str">
        <f ca="1">'Map 6'!K45</f>
        <v>Forest</v>
      </c>
      <c r="L45" s="3" t="str">
        <f ca="1">'Map 6'!L45</f>
        <v>Coast</v>
      </c>
      <c r="M45" s="3" t="str">
        <f ca="1">'Map 6'!M45</f>
        <v>Coast</v>
      </c>
      <c r="N45" s="3" t="str">
        <f ca="1">'Map 6'!N45</f>
        <v>Forest</v>
      </c>
      <c r="O45" s="3" t="str">
        <f ca="1">'Map 6'!O45</f>
        <v>Forest</v>
      </c>
      <c r="P45" s="3" t="str">
        <f ca="1">'Map 6'!P45</f>
        <v>Forest</v>
      </c>
      <c r="Q45" s="3" t="str">
        <f ca="1">'Map 6'!Q45</f>
        <v>Forest</v>
      </c>
      <c r="R45" s="3" t="str">
        <f ca="1">'Map 6'!R45</f>
        <v>Coast</v>
      </c>
      <c r="S45" s="3" t="str">
        <f ca="1">'Map 6'!S45</f>
        <v>Coast</v>
      </c>
      <c r="T45" s="3" t="str">
        <f ca="1">'Map 6'!T45</f>
        <v>Ocean</v>
      </c>
      <c r="U45" s="3" t="str">
        <f ca="1">'Map 6'!U45</f>
        <v>Ocean</v>
      </c>
      <c r="V45" s="3" t="str">
        <f ca="1">'Map 6'!V45</f>
        <v>Trench</v>
      </c>
      <c r="W45" s="3" t="str">
        <f ca="1">'Map 6'!W45</f>
        <v>Ocean</v>
      </c>
      <c r="X45" s="3" t="str">
        <f ca="1">'Map 6'!X45</f>
        <v>Ocean</v>
      </c>
      <c r="Y45" s="3" t="str">
        <f ca="1">'Map 6'!Y45</f>
        <v>Ocean</v>
      </c>
      <c r="Z45" s="3" t="str">
        <f ca="1">'Map 6'!Z45</f>
        <v>Forest Island</v>
      </c>
      <c r="AA45" s="3" t="str">
        <f ca="1">'Map 6'!AA45</f>
        <v>Ocean</v>
      </c>
      <c r="AB45" s="3" t="str">
        <f ca="1">'Map 6'!AB45</f>
        <v>Ocean</v>
      </c>
      <c r="AC45" s="3" t="str">
        <f ca="1">'Map 6'!AC45</f>
        <v>Ocean</v>
      </c>
      <c r="AD45" s="3" t="str">
        <f ca="1">'Map 6'!AD45</f>
        <v>Ocean</v>
      </c>
      <c r="AE45" s="3" t="str">
        <f ca="1">'Map 6'!AE45</f>
        <v>Trench</v>
      </c>
      <c r="AF45" s="3" t="str">
        <f ca="1">'Map 6'!AF45</f>
        <v>Trench</v>
      </c>
      <c r="AG45" s="3" t="str">
        <f ca="1">'Map 6'!AG45</f>
        <v>Forest Island</v>
      </c>
      <c r="AH45" s="3" t="str">
        <f ca="1">'Map 6'!AH45</f>
        <v>Ocean</v>
      </c>
      <c r="AI45" s="3" t="str">
        <f ca="1">'Map 6'!AI45</f>
        <v>Ocean</v>
      </c>
      <c r="AJ45" s="3" t="str">
        <f ca="1">'Map 6'!AJ45</f>
        <v>Ocean</v>
      </c>
      <c r="AK45" s="3" t="str">
        <f ca="1">'Map 6'!AK45</f>
        <v>Trench</v>
      </c>
      <c r="AL45" s="3" t="str">
        <f ca="1">'Map 6'!AL45</f>
        <v>Trench</v>
      </c>
      <c r="AM45" s="3" t="str">
        <f ca="1">'Map 6'!AM45</f>
        <v>Ocean</v>
      </c>
      <c r="AN45" s="3" t="str">
        <f ca="1">'Map 6'!AN45</f>
        <v>Ocean</v>
      </c>
      <c r="AO45" s="87" t="str">
        <f ca="1">'Map 6'!AO45</f>
        <v>Ocean</v>
      </c>
      <c r="AP45" s="79">
        <f>'Map 5'!AP45</f>
        <v>-13.35</v>
      </c>
      <c r="AQ45" s="81" t="str">
        <f>'Map 6'!AU45</f>
        <v>⤴</v>
      </c>
    </row>
    <row r="46" spans="1:43" ht="37.5" customHeight="1">
      <c r="A46" s="78">
        <v>37</v>
      </c>
      <c r="B46" s="86" t="str">
        <f ca="1">'Map 6'!B46</f>
        <v>Ocean</v>
      </c>
      <c r="C46" s="3" t="str">
        <f ca="1">'Map 6'!C46</f>
        <v>Ocean</v>
      </c>
      <c r="D46" s="3" t="str">
        <f ca="1">'Map 6'!D46</f>
        <v>Ocean</v>
      </c>
      <c r="E46" s="3" t="str">
        <f ca="1">'Map 6'!E46</f>
        <v>Ocean</v>
      </c>
      <c r="F46" s="3" t="str">
        <f ca="1">'Map 6'!F46</f>
        <v>Coast</v>
      </c>
      <c r="G46" s="3" t="str">
        <f ca="1">'Map 6'!G46</f>
        <v>Forest</v>
      </c>
      <c r="H46" s="3" t="str">
        <f ca="1">'Map 6'!H46</f>
        <v>Coast</v>
      </c>
      <c r="I46" s="3" t="str">
        <f ca="1">'Map 6'!I46</f>
        <v>Coast</v>
      </c>
      <c r="J46" s="3" t="str">
        <f ca="1">'Map 6'!J46</f>
        <v>Forest</v>
      </c>
      <c r="K46" s="3" t="str">
        <f ca="1">'Map 6'!K46</f>
        <v>Coast</v>
      </c>
      <c r="L46" s="3" t="str">
        <f ca="1">'Map 6'!L46</f>
        <v>Ocean</v>
      </c>
      <c r="M46" s="3" t="str">
        <f ca="1">'Map 6'!M46</f>
        <v>Forest</v>
      </c>
      <c r="N46" s="3" t="str">
        <f ca="1">'Map 6'!N46</f>
        <v>Coast</v>
      </c>
      <c r="O46" s="3" t="str">
        <f ca="1">'Map 6'!O46</f>
        <v>Coast</v>
      </c>
      <c r="P46" s="3" t="str">
        <f ca="1">'Map 6'!P46</f>
        <v>Mountain</v>
      </c>
      <c r="Q46" s="3" t="str">
        <f ca="1">'Map 6'!Q46</f>
        <v>Forest</v>
      </c>
      <c r="R46" s="3" t="str">
        <f ca="1">'Map 6'!R46</f>
        <v>Forest</v>
      </c>
      <c r="S46" s="3" t="str">
        <f ca="1">'Map 6'!S46</f>
        <v>Ocean</v>
      </c>
      <c r="T46" s="3" t="str">
        <f ca="1">'Map 6'!T46</f>
        <v>Coast</v>
      </c>
      <c r="U46" s="3" t="str">
        <f ca="1">'Map 6'!U46</f>
        <v>Coast</v>
      </c>
      <c r="V46" s="3" t="str">
        <f ca="1">'Map 6'!V46</f>
        <v>Forest Island</v>
      </c>
      <c r="W46" s="3" t="str">
        <f ca="1">'Map 6'!W46</f>
        <v>Trench</v>
      </c>
      <c r="X46" s="3" t="str">
        <f ca="1">'Map 6'!X46</f>
        <v>Ocean</v>
      </c>
      <c r="Y46" s="3" t="str">
        <f ca="1">'Map 6'!Y46</f>
        <v>Ocean</v>
      </c>
      <c r="Z46" s="3" t="str">
        <f ca="1">'Map 6'!Z46</f>
        <v>Trench</v>
      </c>
      <c r="AA46" s="3" t="str">
        <f ca="1">'Map 6'!AA46</f>
        <v>Ocean</v>
      </c>
      <c r="AB46" s="3" t="str">
        <f ca="1">'Map 6'!AB46</f>
        <v>Forest Island</v>
      </c>
      <c r="AC46" s="3" t="str">
        <f ca="1">'Map 6'!AC46</f>
        <v>Ocean</v>
      </c>
      <c r="AD46" s="3" t="str">
        <f ca="1">'Map 6'!AD46</f>
        <v>Ocean</v>
      </c>
      <c r="AE46" s="3" t="str">
        <f ca="1">'Map 6'!AE46</f>
        <v>Ocean</v>
      </c>
      <c r="AF46" s="3" t="str">
        <f ca="1">'Map 6'!AF46</f>
        <v>Trench</v>
      </c>
      <c r="AG46" s="3" t="str">
        <f ca="1">'Map 6'!AG46</f>
        <v>Ocean</v>
      </c>
      <c r="AH46" s="3" t="str">
        <f ca="1">'Map 6'!AH46</f>
        <v>Ocean</v>
      </c>
      <c r="AI46" s="3" t="str">
        <f ca="1">'Map 6'!AI46</f>
        <v>Ocean</v>
      </c>
      <c r="AJ46" s="3" t="str">
        <f ca="1">'Map 6'!AJ46</f>
        <v>Ocean</v>
      </c>
      <c r="AK46" s="3" t="str">
        <f ca="1">'Map 6'!AK46</f>
        <v>Trench</v>
      </c>
      <c r="AL46" s="3" t="str">
        <f ca="1">'Map 6'!AL46</f>
        <v>Ocean</v>
      </c>
      <c r="AM46" s="3" t="str">
        <f ca="1">'Map 6'!AM46</f>
        <v>Ocean</v>
      </c>
      <c r="AN46" s="3" t="str">
        <f ca="1">'Map 6'!AN46</f>
        <v>Trench</v>
      </c>
      <c r="AO46" s="87" t="str">
        <f ca="1">'Map 6'!AO46</f>
        <v>Ocean</v>
      </c>
      <c r="AP46" s="79">
        <f>'Map 5'!AP46</f>
        <v>-20.3</v>
      </c>
      <c r="AQ46" s="81" t="str">
        <f>'Map 6'!AU46</f>
        <v>⤴</v>
      </c>
    </row>
    <row r="47" spans="1:43" ht="37.5" customHeight="1">
      <c r="A47" s="78">
        <v>38</v>
      </c>
      <c r="B47" s="86" t="str">
        <f ca="1">'Map 6'!B47</f>
        <v>Ocean</v>
      </c>
      <c r="C47" s="3" t="str">
        <f ca="1">'Map 6'!C47</f>
        <v>Ocean</v>
      </c>
      <c r="D47" s="3" t="str">
        <f ca="1">'Map 6'!D47</f>
        <v>Ocean</v>
      </c>
      <c r="E47" s="3" t="str">
        <f ca="1">'Map 6'!E47</f>
        <v>Ocean</v>
      </c>
      <c r="F47" s="3" t="str">
        <f ca="1">'Map 6'!F47</f>
        <v>Cliff</v>
      </c>
      <c r="G47" s="3" t="str">
        <f ca="1">'Map 6'!G47</f>
        <v>Coast</v>
      </c>
      <c r="H47" s="3" t="str">
        <f ca="1">'Map 6'!H47</f>
        <v>Tundra</v>
      </c>
      <c r="I47" s="3" t="str">
        <f ca="1">'Map 6'!I47</f>
        <v>Tundra</v>
      </c>
      <c r="J47" s="3" t="str">
        <f ca="1">'Map 6'!J47</f>
        <v>Tundra</v>
      </c>
      <c r="K47" s="3" t="str">
        <f ca="1">'Map 6'!K47</f>
        <v>Ocean</v>
      </c>
      <c r="L47" s="3" t="str">
        <f ca="1">'Map 6'!L47</f>
        <v>Ocean</v>
      </c>
      <c r="M47" s="3" t="str">
        <f ca="1">'Map 6'!M47</f>
        <v>Coast</v>
      </c>
      <c r="N47" s="3" t="str">
        <f ca="1">'Map 6'!N47</f>
        <v>Coast</v>
      </c>
      <c r="O47" s="3" t="str">
        <f ca="1">'Map 6'!O47</f>
        <v>Tundra</v>
      </c>
      <c r="P47" s="3" t="str">
        <f ca="1">'Map 6'!P47</f>
        <v>Tundra Rainshadow</v>
      </c>
      <c r="Q47" s="3" t="str">
        <f ca="1">'Map 6'!Q47</f>
        <v>Valley</v>
      </c>
      <c r="R47" s="3" t="str">
        <f ca="1">'Map 6'!R47</f>
        <v>Mountain</v>
      </c>
      <c r="S47" s="3" t="str">
        <f ca="1">'Map 6'!S47</f>
        <v>Coast</v>
      </c>
      <c r="T47" s="3" t="str">
        <f ca="1">'Map 6'!T47</f>
        <v>Tundra</v>
      </c>
      <c r="U47" s="3" t="str">
        <f ca="1">'Map 6'!U47</f>
        <v>Coast</v>
      </c>
      <c r="V47" s="3" t="str">
        <f ca="1">'Map 6'!V47</f>
        <v>Coast</v>
      </c>
      <c r="W47" s="3" t="str">
        <f ca="1">'Map 6'!W47</f>
        <v>Ocean</v>
      </c>
      <c r="X47" s="3" t="str">
        <f ca="1">'Map 6'!X47</f>
        <v>Ocean</v>
      </c>
      <c r="Y47" s="3" t="str">
        <f ca="1">'Map 6'!Y47</f>
        <v>Ocean</v>
      </c>
      <c r="Z47" s="3" t="str">
        <f ca="1">'Map 6'!Z47</f>
        <v>Ocean</v>
      </c>
      <c r="AA47" s="3" t="str">
        <f ca="1">'Map 6'!AA47</f>
        <v>Ocean</v>
      </c>
      <c r="AB47" s="3" t="str">
        <f ca="1">'Map 6'!AB47</f>
        <v>Ocean</v>
      </c>
      <c r="AC47" s="3" t="str">
        <f ca="1">'Map 6'!AC47</f>
        <v>Ocean</v>
      </c>
      <c r="AD47" s="3" t="str">
        <f ca="1">'Map 6'!AD47</f>
        <v>Ocean</v>
      </c>
      <c r="AE47" s="3" t="str">
        <f ca="1">'Map 6'!AE47</f>
        <v>Ocean</v>
      </c>
      <c r="AF47" s="3" t="str">
        <f ca="1">'Map 6'!AF47</f>
        <v>Ocean</v>
      </c>
      <c r="AG47" s="3" t="str">
        <f ca="1">'Map 6'!AG47</f>
        <v>Ocean</v>
      </c>
      <c r="AH47" s="3" t="str">
        <f ca="1">'Map 6'!AH47</f>
        <v>Ocean</v>
      </c>
      <c r="AI47" s="3" t="str">
        <f ca="1">'Map 6'!AI47</f>
        <v>Ocean</v>
      </c>
      <c r="AJ47" s="3" t="str">
        <f ca="1">'Map 6'!AJ47</f>
        <v>Ocean</v>
      </c>
      <c r="AK47" s="3" t="str">
        <f ca="1">'Map 6'!AK47</f>
        <v>Ocean</v>
      </c>
      <c r="AL47" s="3" t="str">
        <f ca="1">'Map 6'!AL47</f>
        <v>Ocean</v>
      </c>
      <c r="AM47" s="3" t="str">
        <f ca="1">'Map 6'!AM47</f>
        <v>Ocean</v>
      </c>
      <c r="AN47" s="3" t="str">
        <f ca="1">'Map 6'!AN47</f>
        <v>Ocean</v>
      </c>
      <c r="AO47" s="87" t="str">
        <f ca="1">'Map 6'!AO47</f>
        <v>Trench</v>
      </c>
      <c r="AP47" s="79">
        <f>'Map 5'!AP47</f>
        <v>-27.25</v>
      </c>
      <c r="AQ47" s="81" t="str">
        <f>'Map 6'!AU47</f>
        <v>⤴</v>
      </c>
    </row>
    <row r="48" spans="1:43" ht="37.5" customHeight="1">
      <c r="A48" s="78">
        <v>39</v>
      </c>
      <c r="B48" s="86" t="str">
        <f ca="1">'Map 6'!B48</f>
        <v>Ocean</v>
      </c>
      <c r="C48" s="3" t="str">
        <f ca="1">'Map 6'!C48</f>
        <v>Ocean</v>
      </c>
      <c r="D48" s="3" t="str">
        <f ca="1">'Map 6'!D48</f>
        <v>Ocean</v>
      </c>
      <c r="E48" s="3" t="str">
        <f ca="1">'Map 6'!E48</f>
        <v>Ocean</v>
      </c>
      <c r="F48" s="3" t="str">
        <f ca="1">'Map 6'!F48</f>
        <v>Drop Off</v>
      </c>
      <c r="G48" s="3" t="str">
        <f ca="1">'Map 6'!G48</f>
        <v>Tundra</v>
      </c>
      <c r="H48" s="3" t="str">
        <f ca="1">'Map 6'!H48</f>
        <v>Tundra</v>
      </c>
      <c r="I48" s="3" t="str">
        <f ca="1">'Map 6'!I48</f>
        <v>Tundra</v>
      </c>
      <c r="J48" s="3" t="str">
        <f ca="1">'Map 6'!J48</f>
        <v>Coast</v>
      </c>
      <c r="K48" s="3" t="str">
        <f ca="1">'Map 6'!K48</f>
        <v>Ocean</v>
      </c>
      <c r="L48" s="3" t="str">
        <f ca="1">'Map 6'!L48</f>
        <v>Ocean</v>
      </c>
      <c r="M48" s="3" t="str">
        <f ca="1">'Map 6'!M48</f>
        <v>Ocean</v>
      </c>
      <c r="N48" s="3" t="str">
        <f ca="1">'Map 6'!N48</f>
        <v>Coast</v>
      </c>
      <c r="O48" s="3" t="str">
        <f ca="1">'Map 6'!O48</f>
        <v>Coast</v>
      </c>
      <c r="P48" s="3" t="str">
        <f ca="1">'Map 6'!P48</f>
        <v>Valley</v>
      </c>
      <c r="Q48" s="3" t="str">
        <f ca="1">'Map 6'!Q48</f>
        <v>Tundra</v>
      </c>
      <c r="R48" s="3" t="str">
        <f ca="1">'Map 6'!R48</f>
        <v>Tundra Rainshadow</v>
      </c>
      <c r="S48" s="3" t="str">
        <f ca="1">'Map 6'!S48</f>
        <v>Tundra</v>
      </c>
      <c r="T48" s="3" t="str">
        <f ca="1">'Map 6'!T48</f>
        <v>Tundra</v>
      </c>
      <c r="U48" s="3" t="str">
        <f ca="1">'Map 6'!U48</f>
        <v>Valley</v>
      </c>
      <c r="V48" s="3" t="str">
        <f ca="1">'Map 6'!V48</f>
        <v>Coast</v>
      </c>
      <c r="W48" s="3" t="str">
        <f ca="1">'Map 6'!W48</f>
        <v>Ocean</v>
      </c>
      <c r="X48" s="3" t="str">
        <f ca="1">'Map 6'!X48</f>
        <v>Ocean</v>
      </c>
      <c r="Y48" s="3" t="str">
        <f ca="1">'Map 6'!Y48</f>
        <v>Ocean</v>
      </c>
      <c r="Z48" s="3" t="str">
        <f ca="1">'Map 6'!Z48</f>
        <v>Ocean</v>
      </c>
      <c r="AA48" s="3" t="str">
        <f ca="1">'Map 6'!AA48</f>
        <v>Ocean</v>
      </c>
      <c r="AB48" s="3" t="str">
        <f ca="1">'Map 6'!AB48</f>
        <v>Ocean</v>
      </c>
      <c r="AC48" s="3" t="str">
        <f ca="1">'Map 6'!AC48</f>
        <v>Ocean</v>
      </c>
      <c r="AD48" s="3" t="str">
        <f ca="1">'Map 6'!AD48</f>
        <v>Ocean</v>
      </c>
      <c r="AE48" s="3" t="str">
        <f ca="1">'Map 6'!AE48</f>
        <v>Ocean</v>
      </c>
      <c r="AF48" s="3" t="str">
        <f ca="1">'Map 6'!AF48</f>
        <v>Ocean</v>
      </c>
      <c r="AG48" s="3" t="str">
        <f ca="1">'Map 6'!AG48</f>
        <v>Ocean</v>
      </c>
      <c r="AH48" s="3" t="str">
        <f ca="1">'Map 6'!AH48</f>
        <v>Ocean</v>
      </c>
      <c r="AI48" s="3" t="str">
        <f ca="1">'Map 6'!AI48</f>
        <v>Ocean</v>
      </c>
      <c r="AJ48" s="3" t="str">
        <f ca="1">'Map 6'!AJ48</f>
        <v>Ocean</v>
      </c>
      <c r="AK48" s="3" t="str">
        <f ca="1">'Map 6'!AK48</f>
        <v>Tundra Island</v>
      </c>
      <c r="AL48" s="3" t="str">
        <f ca="1">'Map 6'!AL48</f>
        <v>Trench</v>
      </c>
      <c r="AM48" s="3" t="str">
        <f ca="1">'Map 6'!AM48</f>
        <v>Ocean</v>
      </c>
      <c r="AN48" s="3" t="str">
        <f ca="1">'Map 6'!AN48</f>
        <v>Ocean</v>
      </c>
      <c r="AO48" s="87" t="str">
        <f ca="1">'Map 6'!AO48</f>
        <v>Ocean</v>
      </c>
      <c r="AP48" s="79">
        <f>'Map 5'!AP48</f>
        <v>-34.200000000000003</v>
      </c>
      <c r="AQ48" s="81" t="str">
        <f>'Map 6'!AU48</f>
        <v>⤴</v>
      </c>
    </row>
    <row r="49" spans="1:43" ht="37.5" customHeight="1">
      <c r="A49" s="78">
        <v>40</v>
      </c>
      <c r="B49" s="88" t="str">
        <f ca="1">'Map 6'!B49</f>
        <v>Ocean</v>
      </c>
      <c r="C49" s="89" t="str">
        <f ca="1">'Map 6'!C49</f>
        <v>Ocean</v>
      </c>
      <c r="D49" s="89" t="str">
        <f ca="1">'Map 6'!D49</f>
        <v>Ocean</v>
      </c>
      <c r="E49" s="89" t="str">
        <f ca="1">'Map 6'!E49</f>
        <v>Ocean</v>
      </c>
      <c r="F49" s="89" t="str">
        <f ca="1">'Map 6'!F49</f>
        <v>Cliff</v>
      </c>
      <c r="G49" s="89" t="str">
        <f ca="1">'Map 6'!G49</f>
        <v>Coast</v>
      </c>
      <c r="H49" s="89" t="str">
        <f ca="1">'Map 6'!H49</f>
        <v>Tundra</v>
      </c>
      <c r="I49" s="89" t="str">
        <f ca="1">'Map 6'!I49</f>
        <v>Tundra</v>
      </c>
      <c r="J49" s="89" t="str">
        <f ca="1">'Map 6'!J49</f>
        <v>Ocean</v>
      </c>
      <c r="K49" s="89" t="str">
        <f ca="1">'Map 6'!K49</f>
        <v>Ocean</v>
      </c>
      <c r="L49" s="89" t="str">
        <f ca="1">'Map 6'!L49</f>
        <v>Ocean</v>
      </c>
      <c r="M49" s="89" t="str">
        <f ca="1">'Map 6'!M49</f>
        <v>Coast</v>
      </c>
      <c r="N49" s="89" t="str">
        <f ca="1">'Map 6'!N49</f>
        <v>Tundra</v>
      </c>
      <c r="O49" s="89" t="str">
        <f ca="1">'Map 6'!O49</f>
        <v>Tundra</v>
      </c>
      <c r="P49" s="89" t="str">
        <f ca="1">'Map 6'!P49</f>
        <v>Mountain</v>
      </c>
      <c r="Q49" s="89" t="str">
        <f ca="1">'Map 6'!Q49</f>
        <v>Tundra</v>
      </c>
      <c r="R49" s="89" t="str">
        <f ca="1">'Map 6'!R49</f>
        <v>Tundra</v>
      </c>
      <c r="S49" s="89" t="str">
        <f ca="1">'Map 6'!S49</f>
        <v>Tundra</v>
      </c>
      <c r="T49" s="89" t="str">
        <f ca="1">'Map 6'!T49</f>
        <v>Tundra</v>
      </c>
      <c r="U49" s="89" t="str">
        <f ca="1">'Map 6'!U49</f>
        <v>Mountain</v>
      </c>
      <c r="V49" s="89" t="str">
        <f ca="1">'Map 6'!V49</f>
        <v>Coast</v>
      </c>
      <c r="W49" s="89" t="str">
        <f ca="1">'Map 6'!W49</f>
        <v>Trench</v>
      </c>
      <c r="X49" s="89" t="str">
        <f ca="1">'Map 6'!X49</f>
        <v>Ocean</v>
      </c>
      <c r="Y49" s="89" t="str">
        <f ca="1">'Map 6'!Y49</f>
        <v>Ocean</v>
      </c>
      <c r="Z49" s="89" t="str">
        <f ca="1">'Map 6'!Z49</f>
        <v>Ocean</v>
      </c>
      <c r="AA49" s="89" t="str">
        <f ca="1">'Map 6'!AA49</f>
        <v>Ocean</v>
      </c>
      <c r="AB49" s="89" t="str">
        <f ca="1">'Map 6'!AB49</f>
        <v>Ocean</v>
      </c>
      <c r="AC49" s="89" t="str">
        <f ca="1">'Map 6'!AC49</f>
        <v>Ocean</v>
      </c>
      <c r="AD49" s="89" t="str">
        <f ca="1">'Map 6'!AD49</f>
        <v>Ocean</v>
      </c>
      <c r="AE49" s="89" t="str">
        <f ca="1">'Map 6'!AE49</f>
        <v>Ocean</v>
      </c>
      <c r="AF49" s="89" t="str">
        <f ca="1">'Map 6'!AF49</f>
        <v>Ocean</v>
      </c>
      <c r="AG49" s="89" t="str">
        <f ca="1">'Map 6'!AG49</f>
        <v>Ocean</v>
      </c>
      <c r="AH49" s="89" t="str">
        <f ca="1">'Map 6'!AH49</f>
        <v>Ocean</v>
      </c>
      <c r="AI49" s="89" t="str">
        <f ca="1">'Map 6'!AI49</f>
        <v>Ocean</v>
      </c>
      <c r="AJ49" s="89" t="str">
        <f ca="1">'Map 6'!AJ49</f>
        <v>Trench</v>
      </c>
      <c r="AK49" s="89" t="str">
        <f ca="1">'Map 6'!AK49</f>
        <v>Ocean</v>
      </c>
      <c r="AL49" s="89" t="str">
        <f ca="1">'Map 6'!AL49</f>
        <v>Ocean</v>
      </c>
      <c r="AM49" s="89" t="str">
        <f ca="1">'Map 6'!AM49</f>
        <v>Ocean</v>
      </c>
      <c r="AN49" s="89" t="str">
        <f ca="1">'Map 6'!AN49</f>
        <v>Ocean</v>
      </c>
      <c r="AO49" s="90" t="str">
        <f ca="1">'Map 6'!AO49</f>
        <v>Ocean</v>
      </c>
      <c r="AP49" s="79">
        <f>'Map 5'!AP49</f>
        <v>-41.15</v>
      </c>
      <c r="AQ49" s="81" t="str">
        <f>'Map 6'!AU49</f>
        <v>⤴</v>
      </c>
    </row>
    <row r="50" spans="1:43" ht="43.5" customHeight="1"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</row>
  </sheetData>
  <conditionalFormatting sqref="B10:AO49">
    <cfRule type="cellIs" dxfId="85" priority="31" operator="equal">
      <formula>$AK$4</formula>
    </cfRule>
    <cfRule type="cellIs" dxfId="84" priority="32" operator="equal">
      <formula>$AL$4</formula>
    </cfRule>
    <cfRule type="cellIs" dxfId="83" priority="33" operator="equal">
      <formula>$AL$3</formula>
    </cfRule>
    <cfRule type="cellIs" dxfId="82" priority="34" operator="equal">
      <formula>$AK$3</formula>
    </cfRule>
    <cfRule type="cellIs" dxfId="81" priority="35" operator="equal">
      <formula>$AK$2</formula>
    </cfRule>
    <cfRule type="cellIs" dxfId="80" priority="36" operator="equal">
      <formula>$AG$2</formula>
    </cfRule>
    <cfRule type="cellIs" dxfId="79" priority="37" operator="equal">
      <formula>$AH$2</formula>
    </cfRule>
    <cfRule type="cellIs" dxfId="78" priority="38" operator="equal">
      <formula>$AH$3</formula>
    </cfRule>
    <cfRule type="cellIs" dxfId="77" priority="39" operator="equal">
      <formula>$AG$3</formula>
    </cfRule>
    <cfRule type="cellIs" dxfId="76" priority="40" operator="equal">
      <formula>$AG$4</formula>
    </cfRule>
    <cfRule type="cellIs" dxfId="75" priority="41" operator="equal">
      <formula>$AL$2</formula>
    </cfRule>
    <cfRule type="cellIs" dxfId="74" priority="42" operator="equal">
      <formula>$AH$4</formula>
    </cfRule>
    <cfRule type="expression" dxfId="73" priority="43">
      <formula>$AP9&lt;$N$6</formula>
    </cfRule>
  </conditionalFormatting>
  <conditionalFormatting sqref="B11:AO49">
    <cfRule type="expression" dxfId="72" priority="110">
      <formula>$AP10&lt;$N$6</formula>
    </cfRule>
    <cfRule type="cellIs" dxfId="71" priority="98" operator="equal">
      <formula>$AK$4</formula>
    </cfRule>
    <cfRule type="cellIs" dxfId="70" priority="109" operator="equal">
      <formula>$AH$4</formula>
    </cfRule>
    <cfRule type="cellIs" dxfId="69" priority="108" operator="equal">
      <formula>$AL$2</formula>
    </cfRule>
    <cfRule type="cellIs" dxfId="68" priority="107" operator="equal">
      <formula>$AG$4</formula>
    </cfRule>
    <cfRule type="cellIs" dxfId="67" priority="106" operator="equal">
      <formula>$AG$3</formula>
    </cfRule>
    <cfRule type="cellIs" dxfId="66" priority="105" operator="equal">
      <formula>$AH$3</formula>
    </cfRule>
    <cfRule type="cellIs" dxfId="65" priority="104" operator="equal">
      <formula>$AH$2</formula>
    </cfRule>
    <cfRule type="cellIs" dxfId="64" priority="103" operator="equal">
      <formula>$AG$2</formula>
    </cfRule>
    <cfRule type="cellIs" dxfId="63" priority="102" operator="equal">
      <formula>$AK$2</formula>
    </cfRule>
    <cfRule type="cellIs" dxfId="62" priority="101" operator="equal">
      <formula>$AK$3</formula>
    </cfRule>
    <cfRule type="cellIs" dxfId="61" priority="100" operator="equal">
      <formula>$AL$3</formula>
    </cfRule>
    <cfRule type="cellIs" dxfId="60" priority="99" operator="equal">
      <formula>$AL$4</formula>
    </cfRule>
  </conditionalFormatting>
  <conditionalFormatting sqref="B49:AO49">
    <cfRule type="cellIs" dxfId="59" priority="68" operator="equal">
      <formula>$AG$2</formula>
    </cfRule>
    <cfRule type="expression" dxfId="58" priority="56">
      <formula>$AP48&lt;$N$6</formula>
    </cfRule>
    <cfRule type="cellIs" dxfId="57" priority="47" operator="equal">
      <formula>$AK$3</formula>
    </cfRule>
    <cfRule type="cellIs" dxfId="56" priority="48" operator="equal">
      <formula>$AK$2</formula>
    </cfRule>
    <cfRule type="cellIs" dxfId="55" priority="49" operator="equal">
      <formula>$AG$2</formula>
    </cfRule>
    <cfRule type="cellIs" dxfId="54" priority="63" operator="equal">
      <formula>$AK$4</formula>
    </cfRule>
    <cfRule type="cellIs" dxfId="53" priority="64" operator="equal">
      <formula>$AL$4</formula>
    </cfRule>
    <cfRule type="cellIs" dxfId="52" priority="65" operator="equal">
      <formula>$AL$3</formula>
    </cfRule>
    <cfRule type="cellIs" dxfId="51" priority="66" operator="equal">
      <formula>$AK$3</formula>
    </cfRule>
    <cfRule type="cellIs" dxfId="50" priority="67" operator="equal">
      <formula>$AK$2</formula>
    </cfRule>
    <cfRule type="cellIs" dxfId="49" priority="44" operator="equal">
      <formula>$AK$4</formula>
    </cfRule>
    <cfRule type="cellIs" dxfId="48" priority="69" operator="equal">
      <formula>$AH$2</formula>
    </cfRule>
    <cfRule type="cellIs" dxfId="47" priority="70" operator="equal">
      <formula>$AH$3</formula>
    </cfRule>
    <cfRule type="cellIs" dxfId="46" priority="71" operator="equal">
      <formula>$AG$3</formula>
    </cfRule>
    <cfRule type="cellIs" dxfId="45" priority="72" operator="equal">
      <formula>$AG$4</formula>
    </cfRule>
    <cfRule type="cellIs" dxfId="44" priority="73" operator="equal">
      <formula>$AL$2</formula>
    </cfRule>
    <cfRule type="cellIs" dxfId="43" priority="74" operator="equal">
      <formula>$AH$4</formula>
    </cfRule>
    <cfRule type="expression" dxfId="42" priority="75">
      <formula>$AP49&lt;$N$6</formula>
    </cfRule>
    <cfRule type="cellIs" dxfId="41" priority="50" operator="equal">
      <formula>$AH$2</formula>
    </cfRule>
    <cfRule type="cellIs" dxfId="40" priority="51" operator="equal">
      <formula>$AH$3</formula>
    </cfRule>
    <cfRule type="cellIs" dxfId="39" priority="46" operator="equal">
      <formula>$AL$3</formula>
    </cfRule>
    <cfRule type="cellIs" dxfId="38" priority="52" operator="equal">
      <formula>$AG$3</formula>
    </cfRule>
    <cfRule type="cellIs" dxfId="37" priority="53" operator="equal">
      <formula>$AG$4</formula>
    </cfRule>
    <cfRule type="cellIs" dxfId="36" priority="54" operator="equal">
      <formula>$AL$2</formula>
    </cfRule>
    <cfRule type="cellIs" dxfId="35" priority="55" operator="equal">
      <formula>$AH$4</formula>
    </cfRule>
    <cfRule type="cellIs" dxfId="34" priority="45" operator="equal">
      <formula>$AL$4</formula>
    </cfRule>
  </conditionalFormatting>
  <conditionalFormatting sqref="AP10:AP49">
    <cfRule type="cellIs" dxfId="33" priority="78" operator="between">
      <formula>90</formula>
      <formula>80</formula>
    </cfRule>
    <cfRule type="cellIs" dxfId="32" priority="76" operator="greaterThan">
      <formula>100</formula>
    </cfRule>
    <cfRule type="cellIs" dxfId="31" priority="86" operator="between">
      <formula>10</formula>
      <formula>0</formula>
    </cfRule>
    <cfRule type="cellIs" dxfId="30" priority="87" operator="between">
      <formula>0</formula>
      <formula>-10</formula>
    </cfRule>
    <cfRule type="cellIs" dxfId="29" priority="88" operator="between">
      <formula>-10</formula>
      <formula>-20</formula>
    </cfRule>
    <cfRule type="cellIs" dxfId="28" priority="89" operator="between">
      <formula>-20</formula>
      <formula>-30</formula>
    </cfRule>
    <cfRule type="cellIs" dxfId="27" priority="90" operator="between">
      <formula>-30</formula>
      <formula>-40</formula>
    </cfRule>
    <cfRule type="cellIs" dxfId="26" priority="91" operator="between">
      <formula>-40</formula>
      <formula>-50</formula>
    </cfRule>
    <cfRule type="cellIs" dxfId="25" priority="92" operator="between">
      <formula>-50</formula>
      <formula>-60</formula>
    </cfRule>
    <cfRule type="cellIs" dxfId="24" priority="93" operator="between">
      <formula>-60</formula>
      <formula>-70</formula>
    </cfRule>
    <cfRule type="cellIs" dxfId="23" priority="94" operator="between">
      <formula>-70</formula>
      <formula>-80</formula>
    </cfRule>
    <cfRule type="cellIs" dxfId="22" priority="95" operator="between">
      <formula>-80</formula>
      <formula>-90</formula>
    </cfRule>
    <cfRule type="cellIs" dxfId="21" priority="96" operator="between">
      <formula>-90</formula>
      <formula>-100</formula>
    </cfRule>
    <cfRule type="cellIs" dxfId="20" priority="97" operator="lessThan">
      <formula>-100</formula>
    </cfRule>
    <cfRule type="cellIs" dxfId="19" priority="85" operator="between">
      <formula>20</formula>
      <formula>10</formula>
    </cfRule>
    <cfRule type="cellIs" dxfId="18" priority="84" operator="between">
      <formula>30</formula>
      <formula>20</formula>
    </cfRule>
    <cfRule type="cellIs" dxfId="17" priority="83" operator="between">
      <formula>40</formula>
      <formula>30</formula>
    </cfRule>
    <cfRule type="cellIs" dxfId="16" priority="82" operator="between">
      <formula>50</formula>
      <formula>40</formula>
    </cfRule>
    <cfRule type="cellIs" dxfId="15" priority="81" operator="between">
      <formula>60</formula>
      <formula>50</formula>
    </cfRule>
    <cfRule type="cellIs" dxfId="14" priority="80" operator="between">
      <formula>70</formula>
      <formula>60</formula>
    </cfRule>
    <cfRule type="cellIs" dxfId="13" priority="79" operator="between">
      <formula>80</formula>
      <formula>70</formula>
    </cfRule>
    <cfRule type="cellIs" dxfId="12" priority="77" operator="between">
      <formula>100</formula>
      <formula>90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7" operator="containsText" id="{E66B756B-344E-4EA1-BA29-C4A0DB637A68}">
            <xm:f>NOT(ISERROR(SEARCH($AP$5,A1)))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m:sqref>A49:AP49 B11:AP48 AS1:XFD1 A1:AQ9 AS2 AU2:XFD2 AS3:XFD26 AP10:AQ10 A10:A48 AQ11:AQ49 AR20:AR49 AT27:XFD44 AS45:XFD1048576 A50:AR1048576</xm:sqref>
        </x14:conditionalFormatting>
        <x14:conditionalFormatting xmlns:xm="http://schemas.microsoft.com/office/excel/2006/main">
          <x14:cfRule type="containsText" priority="26" operator="containsText" id="{4DF1D65F-708A-49AA-8CFD-F9F894D8A917}">
            <xm:f>NOT(ISERROR(SEARCH($AP$4,B10)))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27" operator="containsText" id="{8BCAE9A9-EC92-47AF-8829-7F18F9AB0D4B}">
            <xm:f>NOT(ISERROR(SEARCH($AP$6,B10)))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14:cfRule type="containsText" priority="28" operator="containsText" id="{F96A08A4-2ECA-4CE9-BAF0-BD3F60996726}">
            <xm:f>NOT(ISERROR(SEARCH($AP$3,B10)))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29" operator="containsText" id="{DC4C342D-28FD-485C-8CD2-AB5FA843156A}">
            <xm:f>NOT(ISERROR(SEARCH($AP$2,B10)))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30" operator="containsText" id="{E9AF3EF1-D9CB-4FAE-9C1E-8B896B38BA83}">
            <xm:f>NOT(ISERROR(SEARCH($AP$1,B10)))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14:cfRule type="containsText" priority="25" operator="containsText" id="{E65E9DFD-A8BE-443D-9BC8-80B3A195D91C}">
            <xm:f>NOT(ISERROR(SEARCH($AP$5,B10)))</xm:f>
            <xm:f>$AP$5</xm:f>
            <x14:dxf>
              <font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m:sqref>B10:AO49</xm:sqref>
        </x14:conditionalFormatting>
        <x14:conditionalFormatting xmlns:xm="http://schemas.microsoft.com/office/excel/2006/main">
          <x14:cfRule type="containsText" priority="58" operator="containsText" id="{AA2F39E2-7931-4A17-9B18-CD33D525CE26}">
            <xm:f>NOT(ISERROR(SEARCH($AP$4,A1)))</xm:f>
            <xm:f>$AP$4</xm:f>
            <x14:dxf>
              <font>
                <color theme="1"/>
              </font>
              <fill>
                <patternFill patternType="solid">
                  <bgColor theme="6"/>
                </patternFill>
              </fill>
            </x14:dxf>
          </x14:cfRule>
          <x14:cfRule type="containsText" priority="62" operator="containsText" id="{18AD4EF5-3A1D-48DF-8E56-661ECC333D26}">
            <xm:f>NOT(ISERROR(SEARCH($AP$1,A1)))</xm:f>
            <xm:f>$AP$1</xm:f>
            <x14:dxf>
              <fill>
                <patternFill patternType="solid">
                  <bgColor theme="4" tint="0.79998168889431442"/>
                </patternFill>
              </fill>
            </x14:dxf>
          </x14:cfRule>
          <x14:cfRule type="containsText" priority="61" operator="containsText" id="{C9A79428-BB07-4F8C-A5D3-0965E0795E88}">
            <xm:f>NOT(ISERROR(SEARCH($AP$2,A1)))</xm:f>
            <xm:f>$AP$2</xm:f>
            <x14:dxf>
              <font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60" operator="containsText" id="{AB48D56D-8B87-491E-8DBC-8F454E7681BB}">
            <xm:f>NOT(ISERROR(SEARCH($AP$3,A1)))</xm:f>
            <xm:f>$AP$3</xm:f>
            <x14:dxf>
              <font>
                <color theme="1"/>
              </font>
              <fill>
                <patternFill patternType="solid">
                  <bgColor theme="8" tint="0.59999389629810485"/>
                </patternFill>
              </fill>
            </x14:dxf>
          </x14:cfRule>
          <x14:cfRule type="containsText" priority="59" operator="containsText" id="{2A291417-B9FE-4E07-9B69-88C3873CA700}">
            <xm:f>NOT(ISERROR(SEARCH($AP$6,A1)))</xm:f>
            <xm:f>$AP$6</xm:f>
            <x14:dxf>
              <font>
                <color theme="0"/>
              </font>
              <fill>
                <patternFill patternType="solid">
                  <bgColor theme="7" tint="-0.499984740745262"/>
                </patternFill>
              </fill>
            </x14:dxf>
          </x14:cfRule>
          <xm:sqref>AS1:XFD1 A1:AQ9 AS2 AU2:XFD2 AS3:XFD26 AP10:AQ10 A10:A48 B11:AP48 AQ11:AQ49 AR20:AR49 AT27:XFD44 AS45:XFD1048576 A49:AP49 A50:AR1048576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2024-10-29T01:52:24Z</dcterms:created>
  <dcterms:modified xsi:type="dcterms:W3CDTF">2025-12-12T01:13:24Z</dcterms:modified>
  <cp:category/>
  <cp:contentStatus/>
</cp:coreProperties>
</file>