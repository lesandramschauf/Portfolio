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showInkAnnotation="0" defaultThemeVersion="166925"/>
  <xr:revisionPtr revIDLastSave="0" documentId="8_{0A2B9D07-C58D-46F1-8941-E60A78371CB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usic Chords" sheetId="1" r:id="rId1"/>
    <sheet name="Similarity" sheetId="5" r:id="rId2"/>
  </sheets>
  <definedNames>
    <definedName name="_xlnm._FilterDatabase" localSheetId="0" hidden="1">'Music Chords'!$A$1:$B$2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5" l="1" a="1"/>
  <c r="O18" i="5"/>
  <c r="O2" i="5"/>
  <c r="O1" i="5" a="1"/>
  <c r="O1" i="5"/>
  <c r="L20" i="1"/>
  <c r="L19" i="1"/>
  <c r="L18" i="1"/>
  <c r="L17" i="1"/>
  <c r="L16" i="1"/>
  <c r="L15" i="1"/>
  <c r="L14" i="1"/>
  <c r="L13" i="1"/>
  <c r="L12" i="1"/>
  <c r="AT12" i="1"/>
  <c r="AT13" i="1"/>
  <c r="AT14" i="1"/>
  <c r="AT15" i="1"/>
  <c r="AT16" i="1"/>
  <c r="AT17" i="1"/>
  <c r="E18" i="1"/>
  <c r="AT18" i="1"/>
  <c r="E19" i="1"/>
  <c r="AT19" i="1"/>
  <c r="E20" i="1"/>
  <c r="AT20" i="1"/>
  <c r="BA12" i="1"/>
  <c r="AU12" i="1"/>
  <c r="AU13" i="1"/>
  <c r="AU14" i="1"/>
  <c r="AU15" i="1"/>
  <c r="AU16" i="1"/>
  <c r="AU17" i="1"/>
  <c r="F18" i="1"/>
  <c r="AU18" i="1"/>
  <c r="F19" i="1"/>
  <c r="AU19" i="1"/>
  <c r="F20" i="1"/>
  <c r="AU20" i="1"/>
  <c r="BB12" i="1"/>
  <c r="AV12" i="1"/>
  <c r="AV13" i="1"/>
  <c r="AV14" i="1"/>
  <c r="AV15" i="1"/>
  <c r="AV16" i="1"/>
  <c r="AV17" i="1"/>
  <c r="G18" i="1"/>
  <c r="AV18" i="1"/>
  <c r="G19" i="1"/>
  <c r="AV19" i="1"/>
  <c r="G20" i="1"/>
  <c r="AV20" i="1"/>
  <c r="BC12" i="1"/>
  <c r="AW12" i="1"/>
  <c r="AW13" i="1"/>
  <c r="AW14" i="1"/>
  <c r="AW15" i="1"/>
  <c r="AW16" i="1"/>
  <c r="AW17" i="1"/>
  <c r="H18" i="1"/>
  <c r="AW18" i="1"/>
  <c r="H19" i="1"/>
  <c r="AW19" i="1"/>
  <c r="H20" i="1"/>
  <c r="AW20" i="1"/>
  <c r="BD12" i="1"/>
  <c r="AX12" i="1"/>
  <c r="AX13" i="1"/>
  <c r="AX14" i="1"/>
  <c r="AX15" i="1"/>
  <c r="AX16" i="1"/>
  <c r="AX17" i="1"/>
  <c r="I18" i="1"/>
  <c r="AX18" i="1"/>
  <c r="I19" i="1"/>
  <c r="AX19" i="1"/>
  <c r="I20" i="1"/>
  <c r="AX20" i="1"/>
  <c r="BE12" i="1"/>
  <c r="AY12" i="1"/>
  <c r="AY13" i="1"/>
  <c r="AY14" i="1"/>
  <c r="AY15" i="1"/>
  <c r="AY16" i="1"/>
  <c r="AY17" i="1"/>
  <c r="J18" i="1"/>
  <c r="AY18" i="1"/>
  <c r="J19" i="1"/>
  <c r="AY19" i="1"/>
  <c r="J20" i="1"/>
  <c r="AY20" i="1"/>
  <c r="BF12" i="1"/>
  <c r="AZ12" i="1"/>
  <c r="AZ13" i="1"/>
  <c r="AZ14" i="1"/>
  <c r="AZ15" i="1"/>
  <c r="AZ16" i="1"/>
  <c r="AZ17" i="1"/>
  <c r="K18" i="1"/>
  <c r="AZ18" i="1"/>
  <c r="K19" i="1"/>
  <c r="AZ19" i="1"/>
  <c r="K20" i="1"/>
  <c r="AZ20" i="1"/>
  <c r="BG12" i="1"/>
  <c r="BH12" i="1"/>
  <c r="AS13" i="1"/>
  <c r="AS14" i="1"/>
  <c r="AS15" i="1"/>
  <c r="AS16" i="1"/>
  <c r="AS17" i="1"/>
  <c r="AS18" i="1"/>
  <c r="AS19" i="1"/>
  <c r="AS20" i="1"/>
  <c r="B24" i="1" a="1"/>
  <c r="B24" i="1"/>
  <c r="D24" i="1"/>
  <c r="C24" i="1"/>
  <c r="C25" i="1"/>
  <c r="D25" i="1" a="1"/>
  <c r="D25" i="1"/>
  <c r="U10" i="1"/>
  <c r="B5" i="1" a="1"/>
  <c r="B5" i="1"/>
  <c r="C5" i="1" s="1"/>
  <c r="I25" i="1"/>
  <c r="H25" i="1"/>
  <c r="H26" i="1"/>
  <c r="H31" i="1"/>
  <c r="I31" i="1" a="1"/>
  <c r="I31" i="1"/>
  <c r="I26" i="1" a="1"/>
  <c r="I26" i="1"/>
  <c r="H28" i="1"/>
  <c r="I28" i="1" a="1"/>
  <c r="I28" i="1"/>
  <c r="L31" i="1"/>
  <c r="H27" i="1"/>
  <c r="I27" i="1" a="1"/>
  <c r="I27" i="1"/>
  <c r="H29" i="1"/>
  <c r="I29" i="1" a="1"/>
  <c r="I29" i="1"/>
  <c r="J25" i="1"/>
  <c r="E1" i="1" a="1"/>
  <c r="E1" i="1"/>
  <c r="F1" i="1"/>
  <c r="B6" i="1" a="1"/>
  <c r="B6" i="1"/>
  <c r="I34" i="1"/>
  <c r="I36" i="1"/>
  <c r="I40" i="1"/>
  <c r="H30" i="1"/>
  <c r="I30" i="1" a="1"/>
  <c r="I30" i="1"/>
  <c r="I38" i="1"/>
  <c r="I37" i="1"/>
  <c r="S26" i="1"/>
  <c r="I35" i="1"/>
  <c r="O30" i="1"/>
  <c r="I39" i="1"/>
  <c r="O28" i="1"/>
  <c r="P28" i="1"/>
  <c r="J28" i="1"/>
  <c r="R29" i="1"/>
  <c r="J29" i="1"/>
  <c r="T31" i="1"/>
  <c r="S27" i="1"/>
  <c r="P25" i="1"/>
  <c r="O26" i="1"/>
  <c r="O25" i="1"/>
  <c r="O29" i="1"/>
  <c r="N26" i="1"/>
  <c r="K26" i="1"/>
  <c r="N25" i="1"/>
  <c r="N29" i="1"/>
  <c r="N30" i="1"/>
  <c r="K30" i="1"/>
  <c r="N27" i="1"/>
  <c r="K27" i="1"/>
  <c r="C30" i="1"/>
  <c r="D30" i="1" a="1"/>
  <c r="D30" i="1"/>
  <c r="C29" i="1"/>
  <c r="D29" i="1" a="1"/>
  <c r="D29" i="1"/>
  <c r="C28" i="1"/>
  <c r="D28" i="1" a="1"/>
  <c r="D28" i="1"/>
  <c r="C27" i="1"/>
  <c r="D27" i="1" a="1"/>
  <c r="D27" i="1"/>
  <c r="C26" i="1"/>
  <c r="D26" i="1" a="1"/>
  <c r="D26" i="1"/>
  <c r="D34" i="1"/>
  <c r="A33" i="1"/>
  <c r="E35" i="1"/>
  <c r="D35" i="1"/>
  <c r="B33" i="1"/>
  <c r="F34" i="1"/>
  <c r="F35" i="1"/>
  <c r="E34" i="1"/>
  <c r="L40" i="1"/>
  <c r="J34" i="1"/>
  <c r="U40" i="1"/>
  <c r="S40" i="1"/>
  <c r="R40" i="1"/>
  <c r="Q40" i="1"/>
  <c r="P40" i="1"/>
  <c r="O40" i="1"/>
  <c r="N40" i="1"/>
  <c r="M40" i="1"/>
  <c r="K40" i="1"/>
  <c r="J40" i="1"/>
  <c r="U39" i="1"/>
  <c r="T39" i="1"/>
  <c r="S39" i="1"/>
  <c r="R39" i="1"/>
  <c r="Q39" i="1"/>
  <c r="P39" i="1"/>
  <c r="O39" i="1"/>
  <c r="M39" i="1"/>
  <c r="L39" i="1"/>
  <c r="J39" i="1"/>
  <c r="U38" i="1"/>
  <c r="T38" i="1"/>
  <c r="S38" i="1"/>
  <c r="Q38" i="1"/>
  <c r="P38" i="1"/>
  <c r="M38" i="1"/>
  <c r="L38" i="1"/>
  <c r="K38" i="1"/>
  <c r="U37" i="1"/>
  <c r="T37" i="1"/>
  <c r="S37" i="1"/>
  <c r="R37" i="1"/>
  <c r="Q37" i="1"/>
  <c r="N37" i="1"/>
  <c r="M37" i="1"/>
  <c r="L37" i="1"/>
  <c r="K37" i="1"/>
  <c r="U36" i="1"/>
  <c r="T36" i="1"/>
  <c r="R36" i="1"/>
  <c r="Q36" i="1"/>
  <c r="P36" i="1"/>
  <c r="O36" i="1"/>
  <c r="M36" i="1"/>
  <c r="L36" i="1"/>
  <c r="J36" i="1"/>
  <c r="U35" i="1"/>
  <c r="T35" i="1"/>
  <c r="S35" i="1"/>
  <c r="R35" i="1"/>
  <c r="Q35" i="1"/>
  <c r="P35" i="1"/>
  <c r="M35" i="1"/>
  <c r="L35" i="1"/>
  <c r="J35" i="1"/>
  <c r="U34" i="1"/>
  <c r="T34" i="1"/>
  <c r="S34" i="1"/>
  <c r="R34" i="1"/>
  <c r="Q34" i="1"/>
  <c r="M34" i="1"/>
  <c r="L34" i="1"/>
  <c r="K34" i="1"/>
  <c r="O37" i="1"/>
  <c r="P37" i="1"/>
  <c r="J37" i="1"/>
  <c r="R38" i="1"/>
  <c r="J38" i="1"/>
  <c r="T40" i="1"/>
  <c r="S36" i="1"/>
  <c r="P34" i="1"/>
  <c r="O35" i="1"/>
  <c r="O34" i="1"/>
  <c r="O38" i="1"/>
  <c r="N35" i="1"/>
  <c r="K35" i="1"/>
  <c r="N34" i="1"/>
  <c r="N38" i="1"/>
  <c r="N39" i="1"/>
  <c r="K39" i="1"/>
  <c r="N36" i="1"/>
  <c r="K36" i="1"/>
  <c r="A1" i="5" l="1"/>
  <c r="L1" i="5"/>
  <c r="K1" i="5"/>
  <c r="J1" i="5"/>
  <c r="I1" i="5"/>
  <c r="H1" i="5"/>
  <c r="G1" i="5"/>
  <c r="F1" i="5"/>
  <c r="E1" i="5"/>
  <c r="D1" i="5"/>
  <c r="C1" i="5"/>
  <c r="B1" i="5"/>
  <c r="Z13" i="5" l="1"/>
  <c r="Y13" i="5"/>
  <c r="X13" i="5"/>
  <c r="W13" i="5"/>
  <c r="V13" i="5"/>
  <c r="U13" i="5"/>
  <c r="T13" i="5"/>
  <c r="S13" i="5"/>
  <c r="R13" i="5"/>
  <c r="Q13" i="5"/>
  <c r="P13" i="5"/>
  <c r="O13" i="5"/>
  <c r="O29" i="5" s="1" a="1"/>
  <c r="O29" i="5" s="1"/>
  <c r="Z12" i="5"/>
  <c r="Y12" i="5"/>
  <c r="X12" i="5"/>
  <c r="W12" i="5"/>
  <c r="V12" i="5"/>
  <c r="U12" i="5"/>
  <c r="T12" i="5"/>
  <c r="S12" i="5"/>
  <c r="R12" i="5"/>
  <c r="Q12" i="5"/>
  <c r="P12" i="5"/>
  <c r="O12" i="5"/>
  <c r="O28" i="5" s="1" a="1"/>
  <c r="O28" i="5" s="1"/>
  <c r="Z11" i="5"/>
  <c r="Y11" i="5"/>
  <c r="X11" i="5"/>
  <c r="W11" i="5"/>
  <c r="V11" i="5"/>
  <c r="U11" i="5"/>
  <c r="T11" i="5"/>
  <c r="S11" i="5"/>
  <c r="R11" i="5"/>
  <c r="Q11" i="5"/>
  <c r="P11" i="5"/>
  <c r="O11" i="5"/>
  <c r="O27" i="5" s="1" a="1"/>
  <c r="O27" i="5" s="1"/>
  <c r="Z10" i="5"/>
  <c r="Y10" i="5"/>
  <c r="X10" i="5"/>
  <c r="W10" i="5"/>
  <c r="V10" i="5"/>
  <c r="U10" i="5"/>
  <c r="T10" i="5"/>
  <c r="S10" i="5"/>
  <c r="R10" i="5"/>
  <c r="Q10" i="5"/>
  <c r="P10" i="5"/>
  <c r="O10" i="5"/>
  <c r="O26" i="5" s="1" a="1"/>
  <c r="O26" i="5" s="1"/>
  <c r="Z9" i="5"/>
  <c r="Y9" i="5"/>
  <c r="X9" i="5"/>
  <c r="W9" i="5"/>
  <c r="V9" i="5"/>
  <c r="U9" i="5"/>
  <c r="T9" i="5"/>
  <c r="S9" i="5"/>
  <c r="R9" i="5"/>
  <c r="Q9" i="5"/>
  <c r="P9" i="5"/>
  <c r="O9" i="5"/>
  <c r="O25" i="5" s="1" a="1"/>
  <c r="O25" i="5" s="1"/>
  <c r="Z8" i="5"/>
  <c r="Y8" i="5"/>
  <c r="X8" i="5"/>
  <c r="W8" i="5"/>
  <c r="V8" i="5"/>
  <c r="U8" i="5"/>
  <c r="T8" i="5"/>
  <c r="S8" i="5"/>
  <c r="R8" i="5"/>
  <c r="Q8" i="5"/>
  <c r="P8" i="5"/>
  <c r="O8" i="5"/>
  <c r="O24" i="5" s="1" a="1"/>
  <c r="O24" i="5" s="1"/>
  <c r="Z7" i="5"/>
  <c r="Y7" i="5"/>
  <c r="X7" i="5"/>
  <c r="W7" i="5"/>
  <c r="V7" i="5"/>
  <c r="U7" i="5"/>
  <c r="T7" i="5"/>
  <c r="S7" i="5"/>
  <c r="R7" i="5"/>
  <c r="Q7" i="5"/>
  <c r="P7" i="5"/>
  <c r="O7" i="5"/>
  <c r="O23" i="5" s="1" a="1"/>
  <c r="O23" i="5" s="1"/>
  <c r="Z6" i="5"/>
  <c r="Y6" i="5"/>
  <c r="X6" i="5"/>
  <c r="W6" i="5"/>
  <c r="V6" i="5"/>
  <c r="U6" i="5"/>
  <c r="T6" i="5"/>
  <c r="S6" i="5"/>
  <c r="R6" i="5"/>
  <c r="Q6" i="5"/>
  <c r="P6" i="5"/>
  <c r="O6" i="5"/>
  <c r="O22" i="5" s="1" a="1"/>
  <c r="O22" i="5" s="1"/>
  <c r="Z5" i="5"/>
  <c r="Y5" i="5"/>
  <c r="X5" i="5"/>
  <c r="W5" i="5"/>
  <c r="V5" i="5"/>
  <c r="U5" i="5"/>
  <c r="T5" i="5"/>
  <c r="S5" i="5"/>
  <c r="R5" i="5"/>
  <c r="Q5" i="5"/>
  <c r="P5" i="5"/>
  <c r="O5" i="5"/>
  <c r="O21" i="5" s="1" a="1"/>
  <c r="O21" i="5" s="1"/>
  <c r="Z4" i="5"/>
  <c r="Y4" i="5"/>
  <c r="X4" i="5"/>
  <c r="W4" i="5"/>
  <c r="V4" i="5"/>
  <c r="U4" i="5"/>
  <c r="T4" i="5"/>
  <c r="S4" i="5"/>
  <c r="R4" i="5"/>
  <c r="Q4" i="5"/>
  <c r="P4" i="5"/>
  <c r="O4" i="5"/>
  <c r="O20" i="5" s="1" a="1"/>
  <c r="O20" i="5" s="1"/>
  <c r="Z3" i="5"/>
  <c r="Y3" i="5"/>
  <c r="X3" i="5"/>
  <c r="W3" i="5"/>
  <c r="V3" i="5"/>
  <c r="U3" i="5"/>
  <c r="T3" i="5"/>
  <c r="S3" i="5"/>
  <c r="R3" i="5"/>
  <c r="Q3" i="5"/>
  <c r="P3" i="5"/>
  <c r="O3" i="5"/>
  <c r="O19" i="5" s="1" a="1"/>
  <c r="O19" i="5" s="1"/>
  <c r="Z2" i="5"/>
  <c r="Y2" i="5"/>
  <c r="X2" i="5"/>
  <c r="W2" i="5"/>
  <c r="V2" i="5"/>
  <c r="U2" i="5"/>
  <c r="T2" i="5"/>
  <c r="S2" i="5"/>
  <c r="R2" i="5"/>
  <c r="Q2" i="5"/>
  <c r="P2" i="5"/>
  <c r="O17" i="5" l="1" a="1"/>
  <c r="Z16" i="5" l="1"/>
  <c r="Z15" i="5" s="1"/>
  <c r="Y16" i="5"/>
  <c r="Y15" i="5" s="1"/>
  <c r="X16" i="5"/>
  <c r="X15" i="5" s="1"/>
  <c r="W16" i="5"/>
  <c r="W15" i="5" s="1"/>
  <c r="V16" i="5"/>
  <c r="V15" i="5" s="1"/>
  <c r="U16" i="5"/>
  <c r="U15" i="5" s="1"/>
  <c r="T16" i="5"/>
  <c r="T15" i="5" s="1"/>
  <c r="S16" i="5"/>
  <c r="S15" i="5" s="1"/>
  <c r="R16" i="5"/>
  <c r="R15" i="5" s="1"/>
  <c r="Q16" i="5"/>
  <c r="Q15" i="5" s="1"/>
  <c r="P16" i="5"/>
  <c r="P15" i="5" s="1"/>
  <c r="O17" i="5"/>
  <c r="O16" i="5" s="1"/>
  <c r="O15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<sst xmlns="http://schemas.openxmlformats.org/spreadsheetml/2006/main" count="522" uniqueCount="162">
  <si>
    <t>Mode</t>
  </si>
  <si>
    <t>Major</t>
  </si>
  <si>
    <t xml:space="preserve">Major or Minor </t>
  </si>
  <si>
    <t>Key</t>
  </si>
  <si>
    <t>B|</t>
  </si>
  <si>
    <t>Minor</t>
  </si>
  <si>
    <t>Death, Eternity, Judgement</t>
  </si>
  <si>
    <t>Obscure, Plaintive, Funereal</t>
  </si>
  <si>
    <t>Terable, the Night, Mocking</t>
  </si>
  <si>
    <t>Innocently Sad, Love-Sick</t>
  </si>
  <si>
    <t>Grief, Depressive</t>
  </si>
  <si>
    <t>Cruel, Hard, Yet Full of Devotion</t>
  </si>
  <si>
    <t>Discontent, Uneasiness</t>
  </si>
  <si>
    <t>G#/A♭|</t>
  </si>
  <si>
    <t>F|</t>
  </si>
  <si>
    <t>A#/B♭|</t>
  </si>
  <si>
    <t>C|</t>
  </si>
  <si>
    <t>C#/D♭|</t>
  </si>
  <si>
    <t>D#/E♭|</t>
  </si>
  <si>
    <t>G|</t>
  </si>
  <si>
    <t>Happy</t>
  </si>
  <si>
    <t>Sad</t>
  </si>
  <si>
    <t>Melancholic</t>
  </si>
  <si>
    <t>Mysterious</t>
  </si>
  <si>
    <t>Over-sweet</t>
  </si>
  <si>
    <t>Content</t>
  </si>
  <si>
    <t>Bizarre</t>
  </si>
  <si>
    <t>Note</t>
  </si>
  <si>
    <t>Num♭er</t>
  </si>
  <si>
    <t>Scales</t>
  </si>
  <si>
    <t>Dorian</t>
  </si>
  <si>
    <t>Phrygian</t>
  </si>
  <si>
    <t>Lydian</t>
  </si>
  <si>
    <t>Mixolydian</t>
  </si>
  <si>
    <t>Locrian</t>
  </si>
  <si>
    <t>Feeling of Major &amp; Minor Keys</t>
  </si>
  <si>
    <t>Feeling</t>
  </si>
  <si>
    <t>Note Length List</t>
  </si>
  <si>
    <t>Chords</t>
  </si>
  <si>
    <t>Num♭ers</t>
  </si>
  <si>
    <t>A|</t>
  </si>
  <si>
    <t>D|</t>
  </si>
  <si>
    <t>E|</t>
  </si>
  <si>
    <t>C Major</t>
  </si>
  <si>
    <t>Innocently Happy</t>
  </si>
  <si>
    <t>x</t>
  </si>
  <si>
    <t>Whole</t>
  </si>
  <si>
    <t>Dotted Half</t>
  </si>
  <si>
    <t>Half</t>
  </si>
  <si>
    <t>Quarter</t>
  </si>
  <si>
    <t>1</t>
  </si>
  <si>
    <t>5</t>
  </si>
  <si>
    <t>8</t>
  </si>
  <si>
    <t>F#/G♭|</t>
  </si>
  <si>
    <t>C Minor</t>
  </si>
  <si>
    <t>Dark</t>
  </si>
  <si>
    <t>4</t>
  </si>
  <si>
    <t>C# Minor</t>
  </si>
  <si>
    <t>Despair, Wailing, Weeping</t>
  </si>
  <si>
    <t>Demented</t>
  </si>
  <si>
    <t>Diminished</t>
  </si>
  <si>
    <t>7</t>
  </si>
  <si>
    <t>D♭ Major</t>
  </si>
  <si>
    <t>Question</t>
  </si>
  <si>
    <t>Augment</t>
  </si>
  <si>
    <t>9</t>
  </si>
  <si>
    <t>D Major</t>
  </si>
  <si>
    <t>Triumphant, Victorious War-Cries</t>
  </si>
  <si>
    <t>Angel</t>
  </si>
  <si>
    <t>Susended 4th</t>
  </si>
  <si>
    <t>6</t>
  </si>
  <si>
    <t>D Minor</t>
  </si>
  <si>
    <t>Serious, Pious, Ruminating</t>
  </si>
  <si>
    <t>Hollow</t>
  </si>
  <si>
    <t>Suspended 2nd</t>
  </si>
  <si>
    <t>3</t>
  </si>
  <si>
    <t>D# Minor</t>
  </si>
  <si>
    <t>Deep Distress, Existential Angst</t>
  </si>
  <si>
    <t>Jazz Singer</t>
  </si>
  <si>
    <t>Major 7</t>
  </si>
  <si>
    <t>12</t>
  </si>
  <si>
    <t>E♭ Major</t>
  </si>
  <si>
    <t>Detective Cord</t>
  </si>
  <si>
    <t>Minor Major 7</t>
  </si>
  <si>
    <t>E Major</t>
  </si>
  <si>
    <t>Quarrelsome, Boisterous, Incomplete Pleasure</t>
  </si>
  <si>
    <t>Blues</t>
  </si>
  <si>
    <t>Dominant 7</t>
  </si>
  <si>
    <t>11</t>
  </si>
  <si>
    <t>E minor</t>
  </si>
  <si>
    <t>Effeminate, Amorous, Restless</t>
  </si>
  <si>
    <t>Reggae</t>
  </si>
  <si>
    <t>Minor 7</t>
  </si>
  <si>
    <t>F Major</t>
  </si>
  <si>
    <t>Furious, Quick-Tempered, Passing Regret</t>
  </si>
  <si>
    <t>Off Settling</t>
  </si>
  <si>
    <t>Minor 7 ♭5</t>
  </si>
  <si>
    <t>F Minor</t>
  </si>
  <si>
    <t>Extra Demented</t>
  </si>
  <si>
    <t>Diminished 7</t>
  </si>
  <si>
    <t>10</t>
  </si>
  <si>
    <t>F# Minor</t>
  </si>
  <si>
    <t>Conquering Difficulties, Sighs of Relief</t>
  </si>
  <si>
    <t>Notes in Key</t>
  </si>
  <si>
    <t>Chords in Key</t>
  </si>
  <si>
    <t>F# Major</t>
  </si>
  <si>
    <t>Gloomy, Passionate Resentment</t>
  </si>
  <si>
    <t>G Major</t>
  </si>
  <si>
    <t>Serious, Magnificent, Fantasy</t>
  </si>
  <si>
    <t>G Minor</t>
  </si>
  <si>
    <t>A♭ Major</t>
  </si>
  <si>
    <t>A♭ Minor</t>
  </si>
  <si>
    <t>Grum♭ling, Moaning, Wailing</t>
  </si>
  <si>
    <t>A Major</t>
  </si>
  <si>
    <t>Joyful, Pastoral, Declaration of Love</t>
  </si>
  <si>
    <t>A Minor</t>
  </si>
  <si>
    <t>Tender, Plaintive, Pious</t>
  </si>
  <si>
    <t>B♭ Major</t>
  </si>
  <si>
    <t>Joyful, Quaint, Cheerful</t>
  </si>
  <si>
    <t>Want</t>
  </si>
  <si>
    <t>Don't Want</t>
  </si>
  <si>
    <t>Rest</t>
  </si>
  <si>
    <t>Direction</t>
  </si>
  <si>
    <t>Movement</t>
  </si>
  <si>
    <t>B♭ Minor</t>
  </si>
  <si>
    <t>Tonic</t>
  </si>
  <si>
    <t>Dominant</t>
  </si>
  <si>
    <t>Subdominant</t>
  </si>
  <si>
    <t>Chord Picker Helper</t>
  </si>
  <si>
    <t>B Major</t>
  </si>
  <si>
    <t>Harsh, Strong, Wild, Rage</t>
  </si>
  <si>
    <t>B Minor</t>
  </si>
  <si>
    <t>Solitary, Melancholic, Patience</t>
  </si>
  <si>
    <t>Names</t>
  </si>
  <si>
    <t>Numbers</t>
  </si>
  <si>
    <t>1,3,5</t>
  </si>
  <si>
    <t>1,5,8</t>
  </si>
  <si>
    <t>1,b3,5</t>
  </si>
  <si>
    <t>1,4,8</t>
  </si>
  <si>
    <t>1,b3,b5</t>
  </si>
  <si>
    <t>1,4,7</t>
  </si>
  <si>
    <t>1,3,#5</t>
  </si>
  <si>
    <t>1,5,9</t>
  </si>
  <si>
    <t>1,4,5</t>
  </si>
  <si>
    <t>1,6,8</t>
  </si>
  <si>
    <t>1,2,5</t>
  </si>
  <si>
    <t>1,3,8</t>
  </si>
  <si>
    <t>1,3,5,7</t>
  </si>
  <si>
    <t>1,5,8,12</t>
  </si>
  <si>
    <t>1,b3,5,7</t>
  </si>
  <si>
    <t>1,4,8,12</t>
  </si>
  <si>
    <t>1,3,5,b7</t>
  </si>
  <si>
    <t>1,5,8,11</t>
  </si>
  <si>
    <t>1,b3,5,b7</t>
  </si>
  <si>
    <t>1,4,8,11</t>
  </si>
  <si>
    <t>Minor 7 b5</t>
  </si>
  <si>
    <t>1,b3,b5,b7</t>
  </si>
  <si>
    <t>1,4,7,11</t>
  </si>
  <si>
    <t>1,b3,b5,6</t>
  </si>
  <si>
    <t>1,4,7,10</t>
  </si>
  <si>
    <t>Percentage Same</t>
  </si>
  <si>
    <t>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</si>
</sst>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Arial"/>
    </font>
    <font>
      <sz val="10"/>
      <color rgb="FF1C1C1C"/>
      <name val="Arial"/>
    </font>
    <font>
      <sz val="10"/>
      <color rgb="FF222222"/>
      <name val="Arial"/>
    </font>
    <font>
      <sz val="10"/>
      <color rgb="FF1E1E1E"/>
      <name val="Arial"/>
    </font>
    <font>
      <sz val="10"/>
      <color theme="1"/>
      <name val="Calibri"/>
      <scheme val="minor"/>
    </font>
    <font>
      <sz val="10"/>
      <color rgb="FF1C1C1C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theme="8"/>
        </patternFill>
      </fill>
    </dxf>
    <dxf>
      <font>
        <color theme="0"/>
      </font>
      <fill>
        <patternFill patternType="solid">
          <bgColor rgb="FF0070C0"/>
        </patternFill>
      </fill>
    </dxf>
    <dxf>
      <font>
        <color theme="0"/>
      </font>
      <fill>
        <patternFill patternType="solid">
          <bgColor rgb="FF00206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965C-98EC-7E43-9680-3420E8426E99}">
  <dimension ref="A1:BH51"/>
  <sheetViews>
    <sheetView tabSelected="1" topLeftCell="A29" zoomScaleNormal="60" zoomScaleSheetLayoutView="100" workbookViewId="0">
      <selection activeCell="J23" sqref="J23"/>
    </sheetView>
  </sheetViews>
  <sheetFormatPr defaultColWidth="8.5703125" defaultRowHeight="15"/>
  <cols>
    <col min="1" max="1" width="11" style="12" customWidth="1"/>
    <col min="2" max="3" width="8.5703125" style="12"/>
    <col min="4" max="4" width="13" style="12" customWidth="1"/>
    <col min="5" max="13" width="8.5703125" style="12"/>
    <col min="14" max="14" width="12.85546875" style="12" customWidth="1"/>
    <col min="15" max="15" width="23.140625" style="12" customWidth="1"/>
    <col min="16" max="16" width="8.5703125" style="12"/>
    <col min="17" max="17" width="13.42578125" style="12" customWidth="1"/>
    <col min="18" max="18" width="12.28515625" style="12" customWidth="1"/>
    <col min="19" max="19" width="13.7109375" style="12" customWidth="1"/>
    <col min="20" max="20" width="14" style="12" customWidth="1"/>
    <col min="21" max="24" width="8.5703125" style="12"/>
    <col min="25" max="25" width="19.140625" style="12" customWidth="1"/>
    <col min="26" max="52" width="8.5703125" style="12"/>
    <col min="53" max="54" width="30.85546875" style="12" customWidth="1"/>
    <col min="55" max="55" width="23" style="12" customWidth="1"/>
    <col min="56" max="56" width="20" style="12" customWidth="1"/>
    <col min="57" max="57" width="18" style="12" customWidth="1"/>
    <col min="58" max="58" width="17.140625" style="12" customWidth="1"/>
    <col min="59" max="59" width="35.7109375" style="12" customWidth="1"/>
    <col min="60" max="60" width="75.7109375" style="12" customWidth="1"/>
    <col min="61" max="16384" width="8.5703125" style="12"/>
  </cols>
  <sheetData>
    <row r="1" spans="1:60" ht="30.75">
      <c r="A1" s="20" t="s">
        <v>0</v>
      </c>
      <c r="B1" s="20" t="s">
        <v>1</v>
      </c>
      <c r="C1" s="20"/>
      <c r="D1" s="20" t="s">
        <v>2</v>
      </c>
      <c r="E1" s="20" t="str" cm="1">
        <f t="array" ref="E1">INDEX(E8:K8,0,MATCH(B1,E10:K10,0))</f>
        <v>Major</v>
      </c>
      <c r="F1" s="20">
        <f>MATCH(E1,A5:A6,0)</f>
        <v>1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</row>
    <row r="2" spans="1:60">
      <c r="A2" s="20" t="s">
        <v>3</v>
      </c>
      <c r="B2" s="20" t="s">
        <v>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</row>
    <row r="5" spans="1:60">
      <c r="A5" s="20" t="s">
        <v>1</v>
      </c>
      <c r="B5" s="20" t="str" cm="1">
        <f t="array" ref="B5">INDEX($N$11:$N$22,$U$10,1)</f>
        <v>B|</v>
      </c>
      <c r="C5" s="20">
        <f>MATCH(B5,A11:A22,0)</f>
        <v>12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</row>
    <row r="6" spans="1:60" ht="15.75">
      <c r="A6" s="1" t="s">
        <v>5</v>
      </c>
      <c r="B6" s="20" t="str" cm="1">
        <f t="array" ref="B6">INDEX($O$11:$O$22,$U$10,1)</f>
        <v>G#/A♭|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</row>
    <row r="7" spans="1:60" ht="54.7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4" t="s">
        <v>6</v>
      </c>
      <c r="O7" s="20" t="s">
        <v>7</v>
      </c>
      <c r="P7" s="20" t="s">
        <v>8</v>
      </c>
      <c r="Q7" s="20" t="s">
        <v>9</v>
      </c>
      <c r="R7" s="20" t="s">
        <v>10</v>
      </c>
      <c r="S7" s="20" t="s">
        <v>11</v>
      </c>
      <c r="T7" s="20" t="s">
        <v>12</v>
      </c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</row>
    <row r="8" spans="1:60">
      <c r="A8" s="20"/>
      <c r="B8" s="20"/>
      <c r="C8" s="20"/>
      <c r="D8" s="20"/>
      <c r="E8" s="1" t="s">
        <v>1</v>
      </c>
      <c r="F8" s="1" t="s">
        <v>5</v>
      </c>
      <c r="G8" s="1" t="s">
        <v>5</v>
      </c>
      <c r="H8" s="1" t="s">
        <v>5</v>
      </c>
      <c r="I8" s="1" t="s">
        <v>1</v>
      </c>
      <c r="J8" s="1" t="s">
        <v>1</v>
      </c>
      <c r="K8" s="1" t="s">
        <v>5</v>
      </c>
      <c r="L8" s="20"/>
      <c r="M8" s="20"/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</row>
    <row r="9" spans="1:60" ht="24">
      <c r="A9" s="20"/>
      <c r="B9" s="20"/>
      <c r="C9" s="20"/>
      <c r="D9" s="1"/>
      <c r="E9" s="1" t="s">
        <v>20</v>
      </c>
      <c r="F9" s="1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26</v>
      </c>
      <c r="L9" s="20"/>
      <c r="M9" s="20"/>
      <c r="N9" s="1" t="s">
        <v>1</v>
      </c>
      <c r="O9" s="1" t="s">
        <v>5</v>
      </c>
      <c r="P9" s="1" t="s">
        <v>5</v>
      </c>
      <c r="Q9" s="1" t="s">
        <v>5</v>
      </c>
      <c r="R9" s="1" t="s">
        <v>1</v>
      </c>
      <c r="S9" s="1" t="s">
        <v>1</v>
      </c>
      <c r="T9" s="1" t="s">
        <v>5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</row>
    <row r="10" spans="1:60" ht="47.25">
      <c r="A10" s="20" t="s">
        <v>27</v>
      </c>
      <c r="B10" s="20" t="s">
        <v>28</v>
      </c>
      <c r="C10" s="20"/>
      <c r="D10" s="1" t="s">
        <v>29</v>
      </c>
      <c r="E10" s="1" t="s">
        <v>1</v>
      </c>
      <c r="F10" s="1" t="s">
        <v>5</v>
      </c>
      <c r="G10" s="2" t="s">
        <v>30</v>
      </c>
      <c r="H10" s="2" t="s">
        <v>31</v>
      </c>
      <c r="I10" s="2" t="s">
        <v>32</v>
      </c>
      <c r="J10" s="2" t="s">
        <v>33</v>
      </c>
      <c r="K10" s="2" t="s">
        <v>34</v>
      </c>
      <c r="L10" s="20"/>
      <c r="M10" s="1"/>
      <c r="N10" s="1" t="s">
        <v>1</v>
      </c>
      <c r="O10" s="1" t="s">
        <v>5</v>
      </c>
      <c r="P10" s="2" t="s">
        <v>30</v>
      </c>
      <c r="Q10" s="2" t="s">
        <v>31</v>
      </c>
      <c r="R10" s="2" t="s">
        <v>32</v>
      </c>
      <c r="S10" s="2" t="s">
        <v>33</v>
      </c>
      <c r="T10" s="2" t="s">
        <v>34</v>
      </c>
      <c r="U10" s="20">
        <f>MATCH(B2,INDEX($N$11:$T$22,0,MATCH(B1,$N$10:$T$10,0)),0)</f>
        <v>6</v>
      </c>
      <c r="V10" s="20"/>
      <c r="W10" s="1" t="s">
        <v>35</v>
      </c>
      <c r="X10" s="1" t="s">
        <v>3</v>
      </c>
      <c r="Y10" s="1" t="s">
        <v>36</v>
      </c>
      <c r="Z10" s="20"/>
      <c r="AA10" s="20"/>
      <c r="AB10" s="20" t="s">
        <v>37</v>
      </c>
      <c r="AC10" s="20">
        <v>1</v>
      </c>
      <c r="AD10" s="20">
        <v>2</v>
      </c>
      <c r="AE10" s="20">
        <v>2</v>
      </c>
      <c r="AF10" s="20">
        <v>2</v>
      </c>
      <c r="AG10" s="20">
        <v>3</v>
      </c>
      <c r="AH10" s="20">
        <v>3</v>
      </c>
      <c r="AI10" s="20">
        <v>3</v>
      </c>
      <c r="AJ10" s="20">
        <v>4</v>
      </c>
      <c r="AK10" s="20"/>
      <c r="AL10" s="8" t="s">
        <v>36</v>
      </c>
      <c r="AM10" s="20" t="s">
        <v>38</v>
      </c>
      <c r="AN10" s="20" t="s">
        <v>39</v>
      </c>
      <c r="AO10" s="20"/>
      <c r="AP10" s="20"/>
      <c r="AQ10" s="20"/>
      <c r="AR10" s="20"/>
      <c r="AS10" s="20"/>
      <c r="AT10" s="1" t="s">
        <v>1</v>
      </c>
      <c r="AU10" s="1" t="s">
        <v>5</v>
      </c>
      <c r="AV10" s="2" t="s">
        <v>30</v>
      </c>
      <c r="AW10" s="2" t="s">
        <v>31</v>
      </c>
      <c r="AX10" s="2" t="s">
        <v>32</v>
      </c>
      <c r="AY10" s="2" t="s">
        <v>33</v>
      </c>
      <c r="AZ10" s="2" t="s">
        <v>34</v>
      </c>
      <c r="BA10" s="1" t="s">
        <v>1</v>
      </c>
      <c r="BB10" s="1" t="s">
        <v>5</v>
      </c>
      <c r="BC10" s="2" t="s">
        <v>30</v>
      </c>
      <c r="BD10" s="2" t="s">
        <v>31</v>
      </c>
      <c r="BE10" s="2" t="s">
        <v>32</v>
      </c>
      <c r="BF10" s="2" t="s">
        <v>33</v>
      </c>
      <c r="BG10" s="2" t="s">
        <v>34</v>
      </c>
      <c r="BH10" s="20"/>
    </row>
    <row r="11" spans="1:60" ht="30.75">
      <c r="A11" s="20" t="s">
        <v>16</v>
      </c>
      <c r="B11" s="20">
        <v>0</v>
      </c>
      <c r="C11" s="20"/>
      <c r="D11" s="20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20"/>
      <c r="M11" s="1">
        <v>1</v>
      </c>
      <c r="N11" s="17" t="s">
        <v>16</v>
      </c>
      <c r="O11" s="17" t="s">
        <v>40</v>
      </c>
      <c r="P11" s="17" t="s">
        <v>41</v>
      </c>
      <c r="Q11" s="17" t="s">
        <v>42</v>
      </c>
      <c r="R11" s="17" t="s">
        <v>14</v>
      </c>
      <c r="S11" s="17" t="s">
        <v>19</v>
      </c>
      <c r="T11" s="17" t="s">
        <v>4</v>
      </c>
      <c r="U11" s="1"/>
      <c r="V11" s="20"/>
      <c r="W11" s="1"/>
      <c r="X11" s="1" t="s">
        <v>43</v>
      </c>
      <c r="Y11" s="1" t="s">
        <v>44</v>
      </c>
      <c r="Z11" s="20" t="s">
        <v>45</v>
      </c>
      <c r="AA11" s="20"/>
      <c r="AB11" s="20"/>
      <c r="AC11" s="20" t="s">
        <v>46</v>
      </c>
      <c r="AD11" s="20" t="s">
        <v>47</v>
      </c>
      <c r="AE11" s="20" t="s">
        <v>48</v>
      </c>
      <c r="AF11" s="20" t="s">
        <v>49</v>
      </c>
      <c r="AG11" s="20" t="s">
        <v>48</v>
      </c>
      <c r="AH11" s="20" t="s">
        <v>49</v>
      </c>
      <c r="AI11" s="20" t="s">
        <v>49</v>
      </c>
      <c r="AJ11" s="20" t="s">
        <v>49</v>
      </c>
      <c r="AK11" s="20"/>
      <c r="AL11" s="8" t="s">
        <v>20</v>
      </c>
      <c r="AM11" s="1" t="s">
        <v>1</v>
      </c>
      <c r="AN11" s="1" t="s">
        <v>50</v>
      </c>
      <c r="AO11" s="20" t="s">
        <v>51</v>
      </c>
      <c r="AP11" s="20" t="s">
        <v>52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</row>
    <row r="12" spans="1:60" ht="30.75">
      <c r="A12" s="20" t="s">
        <v>17</v>
      </c>
      <c r="B12" s="20">
        <v>1</v>
      </c>
      <c r="C12" s="20"/>
      <c r="D12" s="20">
        <v>3</v>
      </c>
      <c r="E12" s="1">
        <v>3</v>
      </c>
      <c r="F12" s="1">
        <v>3</v>
      </c>
      <c r="G12" s="1">
        <v>3</v>
      </c>
      <c r="H12" s="1">
        <v>2</v>
      </c>
      <c r="I12" s="1">
        <v>3</v>
      </c>
      <c r="J12" s="1">
        <v>3</v>
      </c>
      <c r="K12" s="1">
        <v>2</v>
      </c>
      <c r="L12" s="20" t="str">
        <f>IF((E12-E11)=2,"Black","")</f>
        <v>Black</v>
      </c>
      <c r="M12" s="1">
        <v>2</v>
      </c>
      <c r="N12" s="17" t="s">
        <v>19</v>
      </c>
      <c r="O12" s="17" t="s">
        <v>42</v>
      </c>
      <c r="P12" s="17" t="s">
        <v>40</v>
      </c>
      <c r="Q12" s="17" t="s">
        <v>4</v>
      </c>
      <c r="R12" s="17" t="s">
        <v>16</v>
      </c>
      <c r="S12" s="17" t="s">
        <v>41</v>
      </c>
      <c r="T12" s="17" t="s">
        <v>53</v>
      </c>
      <c r="U12" s="1"/>
      <c r="V12" s="20"/>
      <c r="W12" s="1"/>
      <c r="X12" s="1" t="s">
        <v>54</v>
      </c>
      <c r="Y12" s="1" t="s">
        <v>9</v>
      </c>
      <c r="Z12" s="20"/>
      <c r="AA12" s="20"/>
      <c r="AB12" s="20"/>
      <c r="AC12" s="20"/>
      <c r="AD12" s="20"/>
      <c r="AE12" s="20"/>
      <c r="AF12" s="20" t="s">
        <v>47</v>
      </c>
      <c r="AG12" s="20"/>
      <c r="AH12" s="20" t="s">
        <v>48</v>
      </c>
      <c r="AI12" s="20" t="s">
        <v>49</v>
      </c>
      <c r="AJ12" s="20" t="s">
        <v>49</v>
      </c>
      <c r="AK12" s="20"/>
      <c r="AL12" s="8" t="s">
        <v>55</v>
      </c>
      <c r="AM12" s="1" t="s">
        <v>5</v>
      </c>
      <c r="AN12" s="1" t="s">
        <v>50</v>
      </c>
      <c r="AO12" s="20" t="s">
        <v>56</v>
      </c>
      <c r="AP12" s="20" t="s">
        <v>52</v>
      </c>
      <c r="AQ12" s="20"/>
      <c r="AR12" s="20"/>
      <c r="AS12" s="20">
        <v>0</v>
      </c>
      <c r="AT12" s="20">
        <f>E12-E11</f>
        <v>2</v>
      </c>
      <c r="AU12" s="20">
        <f>F12-F11</f>
        <v>2</v>
      </c>
      <c r="AV12" s="20">
        <f>G12-G11</f>
        <v>2</v>
      </c>
      <c r="AW12" s="20">
        <f>H12-H11</f>
        <v>1</v>
      </c>
      <c r="AX12" s="20">
        <f>I12-I11</f>
        <v>2</v>
      </c>
      <c r="AY12" s="20">
        <f>J12-J11</f>
        <v>2</v>
      </c>
      <c r="AZ12" s="20">
        <f>K12-K11</f>
        <v>1</v>
      </c>
      <c r="BA12" s="20" t="str">
        <f>CONCATENATE("[",_xlfn.TEXTJOIN(",",TRUE,AT12:AT20),"]")</f>
        <v>[2,2,1,2,2,2,1,2,2]</v>
      </c>
      <c r="BB12" s="20" t="str">
        <f>CONCATENATE("[",_xlfn.TEXTJOIN(",",TRUE,AU12:AU20),"]")</f>
        <v>[2,1,2,2,1,2,2,2,1]</v>
      </c>
      <c r="BC12" s="20" t="str">
        <f>CONCATENATE("[",_xlfn.TEXTJOIN(",",TRUE,AV12:AV20),"]")</f>
        <v>[2,1,2,2,2,1,2,2,1]</v>
      </c>
      <c r="BD12" s="20" t="str">
        <f>CONCATENATE("[",_xlfn.TEXTJOIN(",",TRUE,AW12:AW20),"]")</f>
        <v>[1,2,2,2,1,2,2,1,2]</v>
      </c>
      <c r="BE12" s="20" t="str">
        <f>CONCATENATE("[",_xlfn.TEXTJOIN(",",TRUE,AX12:AX20),"]")</f>
        <v>[2,2,2,1,2,2,1,2,2]</v>
      </c>
      <c r="BF12" s="20" t="str">
        <f>CONCATENATE("[",_xlfn.TEXTJOIN(",",TRUE,AY12:AY20),"]")</f>
        <v>[2,2,1,2,2,1,2,2,2]</v>
      </c>
      <c r="BG12" s="20" t="str">
        <f>CONCATENATE("[",_xlfn.TEXTJOIN(",",TRUE,AZ12:AZ20),"]")</f>
        <v>[1,2,2,1,2,2,2,1,2]</v>
      </c>
      <c r="BH12" s="20" t="str">
        <f>CONCATENATE("[",_xlfn.TEXTJOIN(",",TRUE,BA12:BG12),"]")</f>
        <v>[[2,2,1,2,2,2,1,2,2],[2,1,2,2,1,2,2,2,1],[2,1,2,2,2,1,2,2,1],[1,2,2,2,1,2,2,1,2],[2,2,2,1,2,2,1,2,2],[2,2,1,2,2,1,2,2,2],[1,2,2,1,2,2,2,1,2]]</v>
      </c>
    </row>
    <row r="13" spans="1:60" ht="27">
      <c r="A13" s="20" t="s">
        <v>41</v>
      </c>
      <c r="B13" s="20">
        <v>2</v>
      </c>
      <c r="C13" s="20"/>
      <c r="D13" s="20">
        <v>5</v>
      </c>
      <c r="E13" s="1">
        <v>5</v>
      </c>
      <c r="F13" s="1">
        <v>4</v>
      </c>
      <c r="G13" s="1">
        <v>4</v>
      </c>
      <c r="H13" s="1">
        <v>4</v>
      </c>
      <c r="I13" s="1">
        <v>5</v>
      </c>
      <c r="J13" s="1">
        <v>5</v>
      </c>
      <c r="K13" s="1">
        <v>4</v>
      </c>
      <c r="L13" s="20" t="str">
        <f t="shared" ref="L13:L20" si="0">IF((E13-E12)=2,"Black","")</f>
        <v>Black</v>
      </c>
      <c r="M13" s="1">
        <v>3</v>
      </c>
      <c r="N13" s="17" t="s">
        <v>41</v>
      </c>
      <c r="O13" s="17" t="s">
        <v>4</v>
      </c>
      <c r="P13" s="17" t="s">
        <v>42</v>
      </c>
      <c r="Q13" s="17" t="s">
        <v>53</v>
      </c>
      <c r="R13" s="17" t="s">
        <v>19</v>
      </c>
      <c r="S13" s="17" t="s">
        <v>40</v>
      </c>
      <c r="T13" s="17" t="s">
        <v>17</v>
      </c>
      <c r="U13" s="1"/>
      <c r="V13" s="20"/>
      <c r="W13" s="1"/>
      <c r="X13" s="1" t="s">
        <v>57</v>
      </c>
      <c r="Y13" s="1" t="s">
        <v>58</v>
      </c>
      <c r="Z13" s="20"/>
      <c r="AA13" s="20"/>
      <c r="AB13" s="20"/>
      <c r="AC13" s="20"/>
      <c r="AD13" s="20"/>
      <c r="AE13" s="20" t="s">
        <v>48</v>
      </c>
      <c r="AF13" s="20"/>
      <c r="AG13" s="20" t="s">
        <v>49</v>
      </c>
      <c r="AH13" s="20"/>
      <c r="AI13" s="20" t="s">
        <v>48</v>
      </c>
      <c r="AJ13" s="20" t="s">
        <v>49</v>
      </c>
      <c r="AK13" s="20"/>
      <c r="AL13" s="8" t="s">
        <v>59</v>
      </c>
      <c r="AM13" s="1" t="s">
        <v>60</v>
      </c>
      <c r="AN13" s="1" t="s">
        <v>50</v>
      </c>
      <c r="AO13" s="20" t="s">
        <v>56</v>
      </c>
      <c r="AP13" s="20" t="s">
        <v>61</v>
      </c>
      <c r="AQ13" s="20"/>
      <c r="AR13" s="20"/>
      <c r="AS13" s="20">
        <f>AS12+1</f>
        <v>1</v>
      </c>
      <c r="AT13" s="20">
        <f>E13-E12</f>
        <v>2</v>
      </c>
      <c r="AU13" s="20">
        <f>F13-F12</f>
        <v>1</v>
      </c>
      <c r="AV13" s="20">
        <f>G13-G12</f>
        <v>1</v>
      </c>
      <c r="AW13" s="20">
        <f>H13-H12</f>
        <v>2</v>
      </c>
      <c r="AX13" s="20">
        <f>I13-I12</f>
        <v>2</v>
      </c>
      <c r="AY13" s="20">
        <f>J13-J12</f>
        <v>2</v>
      </c>
      <c r="AZ13" s="20">
        <f>K13-K12</f>
        <v>2</v>
      </c>
      <c r="BA13" s="20"/>
      <c r="BB13" s="20"/>
      <c r="BC13" s="20"/>
      <c r="BD13" s="20"/>
      <c r="BE13" s="20"/>
      <c r="BF13" s="20"/>
      <c r="BG13" s="20"/>
      <c r="BH13" s="20"/>
    </row>
    <row r="14" spans="1:60" ht="16.5">
      <c r="A14" s="20" t="s">
        <v>18</v>
      </c>
      <c r="B14" s="20">
        <v>3</v>
      </c>
      <c r="C14" s="20"/>
      <c r="D14" s="20"/>
      <c r="E14" s="1">
        <v>6</v>
      </c>
      <c r="F14" s="1">
        <v>6</v>
      </c>
      <c r="G14" s="1">
        <v>6</v>
      </c>
      <c r="H14" s="1">
        <v>6</v>
      </c>
      <c r="I14" s="1">
        <v>7</v>
      </c>
      <c r="J14" s="1">
        <v>6</v>
      </c>
      <c r="K14" s="1">
        <v>6</v>
      </c>
      <c r="L14" s="20" t="str">
        <f t="shared" si="0"/>
        <v/>
      </c>
      <c r="M14" s="1">
        <v>4</v>
      </c>
      <c r="N14" s="17" t="s">
        <v>40</v>
      </c>
      <c r="O14" s="17" t="s">
        <v>53</v>
      </c>
      <c r="P14" s="17" t="s">
        <v>4</v>
      </c>
      <c r="Q14" s="17" t="s">
        <v>17</v>
      </c>
      <c r="R14" s="17" t="s">
        <v>41</v>
      </c>
      <c r="S14" s="17" t="s">
        <v>42</v>
      </c>
      <c r="T14" s="17" t="s">
        <v>13</v>
      </c>
      <c r="U14" s="1"/>
      <c r="V14" s="20"/>
      <c r="W14" s="1"/>
      <c r="X14" s="1" t="s">
        <v>62</v>
      </c>
      <c r="Y14" s="3" t="s">
        <v>10</v>
      </c>
      <c r="Z14" s="20" t="s">
        <v>45</v>
      </c>
      <c r="AA14" s="20"/>
      <c r="AB14" s="20"/>
      <c r="AC14" s="20"/>
      <c r="AD14" s="20" t="s">
        <v>49</v>
      </c>
      <c r="AE14" s="20"/>
      <c r="AF14" s="20"/>
      <c r="AG14" s="20" t="s">
        <v>49</v>
      </c>
      <c r="AH14" s="20" t="s">
        <v>49</v>
      </c>
      <c r="AI14" s="20"/>
      <c r="AJ14" s="20" t="s">
        <v>49</v>
      </c>
      <c r="AK14" s="20"/>
      <c r="AL14" s="8" t="s">
        <v>63</v>
      </c>
      <c r="AM14" s="1" t="s">
        <v>64</v>
      </c>
      <c r="AN14" s="1" t="s">
        <v>50</v>
      </c>
      <c r="AO14" s="20" t="s">
        <v>51</v>
      </c>
      <c r="AP14" s="20" t="s">
        <v>65</v>
      </c>
      <c r="AQ14" s="20"/>
      <c r="AR14" s="20"/>
      <c r="AS14" s="20">
        <f>AS13+1</f>
        <v>2</v>
      </c>
      <c r="AT14" s="20">
        <f>E14-E13</f>
        <v>1</v>
      </c>
      <c r="AU14" s="20">
        <f>F14-F13</f>
        <v>2</v>
      </c>
      <c r="AV14" s="20">
        <f>G14-G13</f>
        <v>2</v>
      </c>
      <c r="AW14" s="20">
        <f>H14-H13</f>
        <v>2</v>
      </c>
      <c r="AX14" s="20">
        <f>I14-I13</f>
        <v>2</v>
      </c>
      <c r="AY14" s="20">
        <f>J14-J13</f>
        <v>1</v>
      </c>
      <c r="AZ14" s="20">
        <f>K14-K13</f>
        <v>2</v>
      </c>
      <c r="BA14" s="20"/>
      <c r="BB14" s="20"/>
      <c r="BC14" s="20"/>
      <c r="BD14" s="20"/>
      <c r="BE14" s="20"/>
      <c r="BF14" s="20"/>
      <c r="BG14" s="20"/>
      <c r="BH14" s="20"/>
    </row>
    <row r="15" spans="1:60" ht="23.25">
      <c r="A15" s="20" t="s">
        <v>42</v>
      </c>
      <c r="B15" s="20">
        <v>4</v>
      </c>
      <c r="C15" s="20"/>
      <c r="D15" s="20">
        <v>8</v>
      </c>
      <c r="E15" s="1">
        <v>8</v>
      </c>
      <c r="F15" s="1">
        <v>8</v>
      </c>
      <c r="G15" s="1">
        <v>8</v>
      </c>
      <c r="H15" s="1">
        <v>8</v>
      </c>
      <c r="I15" s="1">
        <v>8</v>
      </c>
      <c r="J15" s="1">
        <v>8</v>
      </c>
      <c r="K15" s="1">
        <v>7</v>
      </c>
      <c r="L15" s="20" t="str">
        <f t="shared" si="0"/>
        <v>Black</v>
      </c>
      <c r="M15" s="1">
        <v>5</v>
      </c>
      <c r="N15" s="17" t="s">
        <v>42</v>
      </c>
      <c r="O15" s="17" t="s">
        <v>17</v>
      </c>
      <c r="P15" s="17" t="s">
        <v>53</v>
      </c>
      <c r="Q15" s="17" t="s">
        <v>13</v>
      </c>
      <c r="R15" s="17" t="s">
        <v>40</v>
      </c>
      <c r="S15" s="17" t="s">
        <v>4</v>
      </c>
      <c r="T15" s="17" t="s">
        <v>18</v>
      </c>
      <c r="U15" s="1"/>
      <c r="V15" s="20"/>
      <c r="W15" s="1"/>
      <c r="X15" s="3" t="s">
        <v>66</v>
      </c>
      <c r="Y15" s="3" t="s">
        <v>67</v>
      </c>
      <c r="Z15" s="20" t="s">
        <v>45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8" t="s">
        <v>68</v>
      </c>
      <c r="AM15" s="1" t="s">
        <v>69</v>
      </c>
      <c r="AN15" s="1" t="s">
        <v>50</v>
      </c>
      <c r="AO15" s="20" t="s">
        <v>70</v>
      </c>
      <c r="AP15" s="20" t="s">
        <v>52</v>
      </c>
      <c r="AQ15" s="20"/>
      <c r="AR15" s="20"/>
      <c r="AS15" s="20">
        <f>AS14+1</f>
        <v>3</v>
      </c>
      <c r="AT15" s="20">
        <f>E15-E14</f>
        <v>2</v>
      </c>
      <c r="AU15" s="20">
        <f>F15-F14</f>
        <v>2</v>
      </c>
      <c r="AV15" s="20">
        <f>G15-G14</f>
        <v>2</v>
      </c>
      <c r="AW15" s="20">
        <f>H15-H14</f>
        <v>2</v>
      </c>
      <c r="AX15" s="20">
        <f>I15-I14</f>
        <v>1</v>
      </c>
      <c r="AY15" s="20">
        <f>J15-J14</f>
        <v>2</v>
      </c>
      <c r="AZ15" s="20">
        <f>K15-K14</f>
        <v>1</v>
      </c>
      <c r="BA15" s="20"/>
      <c r="BB15" s="20"/>
      <c r="BC15" s="20"/>
      <c r="BD15" s="20"/>
      <c r="BE15" s="20"/>
      <c r="BF15" s="20"/>
      <c r="BG15" s="20"/>
      <c r="BH15" s="20"/>
    </row>
    <row r="16" spans="1:60" ht="23.25">
      <c r="A16" s="20" t="s">
        <v>14</v>
      </c>
      <c r="B16" s="20">
        <v>5</v>
      </c>
      <c r="C16" s="20"/>
      <c r="D16" s="20">
        <v>10</v>
      </c>
      <c r="E16" s="1">
        <v>10</v>
      </c>
      <c r="F16" s="1">
        <v>9</v>
      </c>
      <c r="G16" s="1">
        <v>10</v>
      </c>
      <c r="H16" s="1">
        <v>9</v>
      </c>
      <c r="I16" s="1">
        <v>10</v>
      </c>
      <c r="J16" s="1">
        <v>10</v>
      </c>
      <c r="K16" s="1">
        <v>9</v>
      </c>
      <c r="L16" s="20" t="str">
        <f t="shared" si="0"/>
        <v>Black</v>
      </c>
      <c r="M16" s="1">
        <v>6</v>
      </c>
      <c r="N16" s="17" t="s">
        <v>4</v>
      </c>
      <c r="O16" s="17" t="s">
        <v>13</v>
      </c>
      <c r="P16" s="17" t="s">
        <v>17</v>
      </c>
      <c r="Q16" s="17" t="s">
        <v>18</v>
      </c>
      <c r="R16" s="17" t="s">
        <v>42</v>
      </c>
      <c r="S16" s="17" t="s">
        <v>53</v>
      </c>
      <c r="T16" s="17" t="s">
        <v>15</v>
      </c>
      <c r="U16" s="1"/>
      <c r="V16" s="20"/>
      <c r="W16" s="1"/>
      <c r="X16" s="3" t="s">
        <v>71</v>
      </c>
      <c r="Y16" s="3" t="s">
        <v>72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8" t="s">
        <v>73</v>
      </c>
      <c r="AM16" s="1" t="s">
        <v>74</v>
      </c>
      <c r="AN16" s="1" t="s">
        <v>50</v>
      </c>
      <c r="AO16" s="20" t="s">
        <v>75</v>
      </c>
      <c r="AP16" s="20" t="s">
        <v>52</v>
      </c>
      <c r="AQ16" s="20"/>
      <c r="AR16" s="20"/>
      <c r="AS16" s="20">
        <f>AS15+1</f>
        <v>4</v>
      </c>
      <c r="AT16" s="20">
        <f>E16-E15</f>
        <v>2</v>
      </c>
      <c r="AU16" s="20">
        <f>F16-F15</f>
        <v>1</v>
      </c>
      <c r="AV16" s="20">
        <f>G16-G15</f>
        <v>2</v>
      </c>
      <c r="AW16" s="20">
        <f>H16-H15</f>
        <v>1</v>
      </c>
      <c r="AX16" s="20">
        <f>I16-I15</f>
        <v>2</v>
      </c>
      <c r="AY16" s="20">
        <f>J16-J15</f>
        <v>2</v>
      </c>
      <c r="AZ16" s="20">
        <f>K16-K15</f>
        <v>2</v>
      </c>
      <c r="BA16" s="20"/>
      <c r="BB16" s="20"/>
      <c r="BC16" s="20"/>
      <c r="BD16" s="20"/>
      <c r="BE16" s="20"/>
      <c r="BF16" s="20"/>
      <c r="BG16" s="20"/>
      <c r="BH16" s="20"/>
    </row>
    <row r="17" spans="1:52" ht="27">
      <c r="A17" s="20" t="s">
        <v>53</v>
      </c>
      <c r="B17" s="20">
        <v>6</v>
      </c>
      <c r="C17" s="20"/>
      <c r="D17" s="20">
        <v>12</v>
      </c>
      <c r="E17" s="1">
        <v>12</v>
      </c>
      <c r="F17" s="1">
        <v>11</v>
      </c>
      <c r="G17" s="1">
        <v>11</v>
      </c>
      <c r="H17" s="1">
        <v>11</v>
      </c>
      <c r="I17" s="1">
        <v>12</v>
      </c>
      <c r="J17" s="1">
        <v>11</v>
      </c>
      <c r="K17" s="1">
        <v>11</v>
      </c>
      <c r="L17" s="20" t="str">
        <f t="shared" si="0"/>
        <v>Black</v>
      </c>
      <c r="M17" s="1">
        <v>7</v>
      </c>
      <c r="N17" s="17" t="s">
        <v>14</v>
      </c>
      <c r="O17" s="17" t="s">
        <v>41</v>
      </c>
      <c r="P17" s="17" t="s">
        <v>19</v>
      </c>
      <c r="Q17" s="17" t="s">
        <v>40</v>
      </c>
      <c r="R17" s="17" t="s">
        <v>15</v>
      </c>
      <c r="S17" s="17" t="s">
        <v>16</v>
      </c>
      <c r="T17" s="17" t="s">
        <v>42</v>
      </c>
      <c r="U17" s="1"/>
      <c r="V17" s="20"/>
      <c r="W17" s="1"/>
      <c r="X17" s="3" t="s">
        <v>76</v>
      </c>
      <c r="Y17" s="3" t="s">
        <v>77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8" t="s">
        <v>78</v>
      </c>
      <c r="AM17" s="1" t="s">
        <v>79</v>
      </c>
      <c r="AN17" s="20" t="s">
        <v>50</v>
      </c>
      <c r="AO17" s="20" t="s">
        <v>51</v>
      </c>
      <c r="AP17" s="20" t="s">
        <v>52</v>
      </c>
      <c r="AQ17" s="20" t="s">
        <v>80</v>
      </c>
      <c r="AR17" s="20"/>
      <c r="AS17" s="20">
        <f>AS16+1</f>
        <v>5</v>
      </c>
      <c r="AT17" s="20">
        <f>E17-E16</f>
        <v>2</v>
      </c>
      <c r="AU17" s="20">
        <f>F17-F16</f>
        <v>2</v>
      </c>
      <c r="AV17" s="20">
        <f>G17-G16</f>
        <v>1</v>
      </c>
      <c r="AW17" s="20">
        <f>H17-H16</f>
        <v>2</v>
      </c>
      <c r="AX17" s="20">
        <f>I17-I16</f>
        <v>2</v>
      </c>
      <c r="AY17" s="20">
        <f>J17-J16</f>
        <v>1</v>
      </c>
      <c r="AZ17" s="20">
        <f>K17-K16</f>
        <v>2</v>
      </c>
    </row>
    <row r="18" spans="1:52" ht="27">
      <c r="A18" s="20" t="s">
        <v>19</v>
      </c>
      <c r="B18" s="20">
        <v>7</v>
      </c>
      <c r="C18" s="20"/>
      <c r="D18" s="20"/>
      <c r="E18" s="20">
        <f>12+E11</f>
        <v>13</v>
      </c>
      <c r="F18" s="20">
        <f>12+F11</f>
        <v>13</v>
      </c>
      <c r="G18" s="20">
        <f>12+G11</f>
        <v>13</v>
      </c>
      <c r="H18" s="20">
        <f>12+H11</f>
        <v>13</v>
      </c>
      <c r="I18" s="20">
        <f>12+I11</f>
        <v>13</v>
      </c>
      <c r="J18" s="20">
        <f>12+J11</f>
        <v>13</v>
      </c>
      <c r="K18" s="20">
        <f>12+K11</f>
        <v>13</v>
      </c>
      <c r="L18" s="20" t="str">
        <f t="shared" si="0"/>
        <v/>
      </c>
      <c r="M18" s="1">
        <v>8</v>
      </c>
      <c r="N18" s="17" t="s">
        <v>15</v>
      </c>
      <c r="O18" s="17" t="s">
        <v>19</v>
      </c>
      <c r="P18" s="17" t="s">
        <v>16</v>
      </c>
      <c r="Q18" s="17" t="s">
        <v>41</v>
      </c>
      <c r="R18" s="17" t="s">
        <v>18</v>
      </c>
      <c r="S18" s="17" t="s">
        <v>14</v>
      </c>
      <c r="T18" s="17" t="s">
        <v>40</v>
      </c>
      <c r="U18" s="1"/>
      <c r="V18" s="20"/>
      <c r="W18" s="1"/>
      <c r="X18" s="3" t="s">
        <v>81</v>
      </c>
      <c r="Y18" s="3" t="s">
        <v>11</v>
      </c>
      <c r="Z18" s="20" t="s">
        <v>45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8" t="s">
        <v>82</v>
      </c>
      <c r="AM18" s="1" t="s">
        <v>83</v>
      </c>
      <c r="AN18" s="20" t="s">
        <v>50</v>
      </c>
      <c r="AO18" s="20" t="s">
        <v>56</v>
      </c>
      <c r="AP18" s="20" t="s">
        <v>52</v>
      </c>
      <c r="AQ18" s="20" t="s">
        <v>80</v>
      </c>
      <c r="AR18" s="20"/>
      <c r="AS18" s="20">
        <f>AS17+1</f>
        <v>6</v>
      </c>
      <c r="AT18" s="20">
        <f>E18-E17</f>
        <v>1</v>
      </c>
      <c r="AU18" s="20">
        <f>F18-F17</f>
        <v>2</v>
      </c>
      <c r="AV18" s="20">
        <f>G18-G17</f>
        <v>2</v>
      </c>
      <c r="AW18" s="20">
        <f>H18-H17</f>
        <v>2</v>
      </c>
      <c r="AX18" s="20">
        <f>I18-I17</f>
        <v>1</v>
      </c>
      <c r="AY18" s="20">
        <f>J18-J17</f>
        <v>2</v>
      </c>
      <c r="AZ18" s="20">
        <f>K18-K17</f>
        <v>2</v>
      </c>
    </row>
    <row r="19" spans="1:52" ht="35.25">
      <c r="A19" s="20" t="s">
        <v>13</v>
      </c>
      <c r="B19" s="20">
        <v>8</v>
      </c>
      <c r="C19" s="20"/>
      <c r="D19" s="20"/>
      <c r="E19" s="20">
        <f>12+E12</f>
        <v>15</v>
      </c>
      <c r="F19" s="20">
        <f>12+F12</f>
        <v>15</v>
      </c>
      <c r="G19" s="20">
        <f>12+G12</f>
        <v>15</v>
      </c>
      <c r="H19" s="20">
        <f>12+H12</f>
        <v>14</v>
      </c>
      <c r="I19" s="20">
        <f>12+I12</f>
        <v>15</v>
      </c>
      <c r="J19" s="20">
        <f>12+J12</f>
        <v>15</v>
      </c>
      <c r="K19" s="20">
        <f>12+K12</f>
        <v>14</v>
      </c>
      <c r="L19" s="20" t="str">
        <f t="shared" si="0"/>
        <v>Black</v>
      </c>
      <c r="M19" s="1">
        <v>9</v>
      </c>
      <c r="N19" s="17" t="s">
        <v>18</v>
      </c>
      <c r="O19" s="17" t="s">
        <v>16</v>
      </c>
      <c r="P19" s="17" t="s">
        <v>14</v>
      </c>
      <c r="Q19" s="17" t="s">
        <v>19</v>
      </c>
      <c r="R19" s="17" t="s">
        <v>13</v>
      </c>
      <c r="S19" s="17" t="s">
        <v>15</v>
      </c>
      <c r="T19" s="17" t="s">
        <v>41</v>
      </c>
      <c r="U19" s="1"/>
      <c r="V19" s="20"/>
      <c r="W19" s="1"/>
      <c r="X19" s="3" t="s">
        <v>84</v>
      </c>
      <c r="Y19" s="3" t="s">
        <v>85</v>
      </c>
      <c r="Z19" s="20" t="s">
        <v>45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8" t="s">
        <v>86</v>
      </c>
      <c r="AM19" s="1" t="s">
        <v>87</v>
      </c>
      <c r="AN19" s="20" t="s">
        <v>50</v>
      </c>
      <c r="AO19" s="20" t="s">
        <v>51</v>
      </c>
      <c r="AP19" s="20" t="s">
        <v>52</v>
      </c>
      <c r="AQ19" s="20" t="s">
        <v>88</v>
      </c>
      <c r="AR19" s="20"/>
      <c r="AS19" s="20">
        <f>AS18+1</f>
        <v>7</v>
      </c>
      <c r="AT19" s="20">
        <f>E19-E18</f>
        <v>2</v>
      </c>
      <c r="AU19" s="20">
        <f>F19-F18</f>
        <v>2</v>
      </c>
      <c r="AV19" s="20">
        <f>G19-G18</f>
        <v>2</v>
      </c>
      <c r="AW19" s="20">
        <f>H19-H18</f>
        <v>1</v>
      </c>
      <c r="AX19" s="20">
        <f>I19-I18</f>
        <v>2</v>
      </c>
      <c r="AY19" s="20">
        <f>J19-J18</f>
        <v>2</v>
      </c>
      <c r="AZ19" s="20">
        <f>K19-K18</f>
        <v>1</v>
      </c>
    </row>
    <row r="20" spans="1:52" ht="23.25">
      <c r="A20" s="20" t="s">
        <v>40</v>
      </c>
      <c r="B20" s="20">
        <v>9</v>
      </c>
      <c r="C20" s="20"/>
      <c r="D20" s="20"/>
      <c r="E20" s="20">
        <f>12+E13</f>
        <v>17</v>
      </c>
      <c r="F20" s="20">
        <f>12+F13</f>
        <v>16</v>
      </c>
      <c r="G20" s="20">
        <f>12+G13</f>
        <v>16</v>
      </c>
      <c r="H20" s="20">
        <f>12+H13</f>
        <v>16</v>
      </c>
      <c r="I20" s="20">
        <f>12+I13</f>
        <v>17</v>
      </c>
      <c r="J20" s="20">
        <f>12+J13</f>
        <v>17</v>
      </c>
      <c r="K20" s="20">
        <f>12+K13</f>
        <v>16</v>
      </c>
      <c r="L20" s="20" t="str">
        <f t="shared" si="0"/>
        <v>Black</v>
      </c>
      <c r="M20" s="1">
        <v>10</v>
      </c>
      <c r="N20" s="17" t="s">
        <v>13</v>
      </c>
      <c r="O20" s="17" t="s">
        <v>14</v>
      </c>
      <c r="P20" s="17" t="s">
        <v>15</v>
      </c>
      <c r="Q20" s="17" t="s">
        <v>16</v>
      </c>
      <c r="R20" s="17" t="s">
        <v>17</v>
      </c>
      <c r="S20" s="17" t="s">
        <v>18</v>
      </c>
      <c r="T20" s="17" t="s">
        <v>19</v>
      </c>
      <c r="U20" s="1"/>
      <c r="V20" s="20"/>
      <c r="W20" s="1"/>
      <c r="X20" s="1" t="s">
        <v>89</v>
      </c>
      <c r="Y20" s="4" t="s">
        <v>90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8" t="s">
        <v>91</v>
      </c>
      <c r="AM20" s="1" t="s">
        <v>92</v>
      </c>
      <c r="AN20" s="20" t="s">
        <v>50</v>
      </c>
      <c r="AO20" s="20" t="s">
        <v>56</v>
      </c>
      <c r="AP20" s="20" t="s">
        <v>52</v>
      </c>
      <c r="AQ20" s="20" t="s">
        <v>88</v>
      </c>
      <c r="AR20" s="20"/>
      <c r="AS20" s="20">
        <f>AS19+1</f>
        <v>8</v>
      </c>
      <c r="AT20" s="20">
        <f>E20-E19</f>
        <v>2</v>
      </c>
      <c r="AU20" s="20">
        <f>F20-F19</f>
        <v>1</v>
      </c>
      <c r="AV20" s="20">
        <f>G20-G19</f>
        <v>1</v>
      </c>
      <c r="AW20" s="20">
        <f>H20-H19</f>
        <v>2</v>
      </c>
      <c r="AX20" s="20">
        <f>I20-I19</f>
        <v>2</v>
      </c>
      <c r="AY20" s="20">
        <f>J20-J19</f>
        <v>2</v>
      </c>
      <c r="AZ20" s="20">
        <f>K20-K19</f>
        <v>2</v>
      </c>
    </row>
    <row r="21" spans="1:52" ht="35.25">
      <c r="A21" s="20" t="s">
        <v>15</v>
      </c>
      <c r="B21" s="20">
        <v>10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1">
        <v>11</v>
      </c>
      <c r="N21" s="17" t="s">
        <v>17</v>
      </c>
      <c r="O21" s="17" t="s">
        <v>15</v>
      </c>
      <c r="P21" s="17" t="s">
        <v>18</v>
      </c>
      <c r="Q21" s="17" t="s">
        <v>14</v>
      </c>
      <c r="R21" s="17" t="s">
        <v>53</v>
      </c>
      <c r="S21" s="17" t="s">
        <v>13</v>
      </c>
      <c r="T21" s="17" t="s">
        <v>16</v>
      </c>
      <c r="U21" s="1"/>
      <c r="V21" s="20"/>
      <c r="W21" s="1"/>
      <c r="X21" s="1" t="s">
        <v>93</v>
      </c>
      <c r="Y21" s="4" t="s">
        <v>94</v>
      </c>
      <c r="Z21" s="20" t="s">
        <v>45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8" t="s">
        <v>95</v>
      </c>
      <c r="AM21" s="1" t="s">
        <v>96</v>
      </c>
      <c r="AN21" s="20" t="s">
        <v>50</v>
      </c>
      <c r="AO21" s="20" t="s">
        <v>56</v>
      </c>
      <c r="AP21" s="20" t="s">
        <v>61</v>
      </c>
      <c r="AQ21" s="20" t="s">
        <v>88</v>
      </c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40.5">
      <c r="A22" s="20" t="s">
        <v>4</v>
      </c>
      <c r="B22" s="20">
        <v>11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">
        <v>12</v>
      </c>
      <c r="N22" s="17" t="s">
        <v>53</v>
      </c>
      <c r="O22" s="17" t="s">
        <v>18</v>
      </c>
      <c r="P22" s="17" t="s">
        <v>13</v>
      </c>
      <c r="Q22" s="17" t="s">
        <v>18</v>
      </c>
      <c r="R22" s="17" t="s">
        <v>4</v>
      </c>
      <c r="S22" s="17" t="s">
        <v>17</v>
      </c>
      <c r="T22" s="17" t="s">
        <v>14</v>
      </c>
      <c r="U22" s="1"/>
      <c r="V22" s="20"/>
      <c r="W22" s="1"/>
      <c r="X22" s="1" t="s">
        <v>97</v>
      </c>
      <c r="Y22" s="4" t="s">
        <v>7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8" t="s">
        <v>98</v>
      </c>
      <c r="AM22" s="1" t="s">
        <v>99</v>
      </c>
      <c r="AN22" s="20" t="s">
        <v>50</v>
      </c>
      <c r="AO22" s="20" t="s">
        <v>56</v>
      </c>
      <c r="AP22" s="20" t="s">
        <v>61</v>
      </c>
      <c r="AQ22" s="20" t="s">
        <v>100</v>
      </c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35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1"/>
      <c r="X23" s="1" t="s">
        <v>101</v>
      </c>
      <c r="Y23" s="4" t="s">
        <v>102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30.75">
      <c r="A24" s="20" t="s">
        <v>103</v>
      </c>
      <c r="B24" s="20" cm="1">
        <f t="array" ref="B24:B30">INDEX($E$11:$K$17,0,MATCH(B1,$E$10:$K$10,0))</f>
        <v>1</v>
      </c>
      <c r="C24" s="20">
        <f>INDEX($B$11:$B$22,MATCH($D$24,$A$11:$A$22,0),1)</f>
        <v>11</v>
      </c>
      <c r="D24" s="20" t="str">
        <f>B2</f>
        <v>B|</v>
      </c>
      <c r="E24" s="20"/>
      <c r="F24" s="20"/>
      <c r="G24" s="20"/>
      <c r="H24" s="20"/>
      <c r="I24" s="20" t="s">
        <v>104</v>
      </c>
      <c r="J24" s="20" t="s">
        <v>1</v>
      </c>
      <c r="K24" s="20" t="s">
        <v>5</v>
      </c>
      <c r="L24" s="20" t="s">
        <v>60</v>
      </c>
      <c r="M24" s="20" t="s">
        <v>64</v>
      </c>
      <c r="N24" s="20" t="s">
        <v>69</v>
      </c>
      <c r="O24" s="20" t="s">
        <v>74</v>
      </c>
      <c r="P24" s="20" t="s">
        <v>79</v>
      </c>
      <c r="Q24" s="20" t="s">
        <v>83</v>
      </c>
      <c r="R24" s="20" t="s">
        <v>87</v>
      </c>
      <c r="S24" s="20" t="s">
        <v>92</v>
      </c>
      <c r="T24" s="20" t="s">
        <v>96</v>
      </c>
      <c r="U24" s="20" t="s">
        <v>99</v>
      </c>
      <c r="V24" s="20"/>
      <c r="W24" s="1"/>
      <c r="X24" s="1" t="s">
        <v>105</v>
      </c>
      <c r="Y24" s="4" t="s">
        <v>106</v>
      </c>
      <c r="Z24" s="20" t="s">
        <v>45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66">
      <c r="A25" s="20"/>
      <c r="B25" s="20">
        <v>3</v>
      </c>
      <c r="C25" s="20">
        <f>MOD(($C$24+B25)-1,12)+1</f>
        <v>2</v>
      </c>
      <c r="D25" s="20" t="str" cm="1">
        <f t="array" ref="D25">INDEX($A$11:$A$22,C25,1)</f>
        <v>C#/D♭|</v>
      </c>
      <c r="E25" s="20"/>
      <c r="F25" s="20"/>
      <c r="G25" s="1">
        <v>1</v>
      </c>
      <c r="H25" s="20">
        <f>INDEX($B$11:$B$22,MATCH(I25,$A$11:$A$22,0),1)</f>
        <v>11</v>
      </c>
      <c r="I25" s="20" t="str">
        <f>B5</f>
        <v>B|</v>
      </c>
      <c r="J25" s="20" t="str">
        <f>_xlfn.TEXTJOIN("\",TRUE,$I25,$I27,$I29)</f>
        <v>B|\D#/E♭|\F#/G♭|</v>
      </c>
      <c r="K25" s="20"/>
      <c r="L25" s="20"/>
      <c r="M25" s="20"/>
      <c r="N25" s="20" t="str">
        <f>_xlfn.TEXTJOIN("\",TRUE,$I25,$I28,$I29)</f>
        <v>B|\E|\F#/G♭|</v>
      </c>
      <c r="O25" s="20" t="str">
        <f>_xlfn.TEXTJOIN("\",TRUE,$I25,$I26,$I29)</f>
        <v>B|\C#/D♭|\F#/G♭|</v>
      </c>
      <c r="P25" s="20" t="str">
        <f>_xlfn.TEXTJOIN("\",TRUE,$I25,$I27,$I29,$I31)</f>
        <v>B|\D#/E♭|\F#/G♭|\A#/B♭|</v>
      </c>
      <c r="Q25" s="20"/>
      <c r="R25" s="20"/>
      <c r="S25" s="20"/>
      <c r="T25" s="20"/>
      <c r="U25" s="20"/>
      <c r="V25" s="20"/>
      <c r="W25" s="1"/>
      <c r="X25" s="1" t="s">
        <v>107</v>
      </c>
      <c r="Y25" s="4" t="s">
        <v>108</v>
      </c>
      <c r="Z25" s="20" t="s">
        <v>45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43.5">
      <c r="A26" s="20"/>
      <c r="B26" s="20">
        <v>5</v>
      </c>
      <c r="C26" s="20">
        <f t="shared" ref="C26:C30" si="1">MOD(($C$24+B26)-1,12)+1</f>
        <v>4</v>
      </c>
      <c r="D26" s="7" t="str" cm="1">
        <f t="array" ref="D26">INDEX($A$11:$A$22,C26,1)</f>
        <v>D#/E♭|</v>
      </c>
      <c r="E26" s="20"/>
      <c r="F26" s="20"/>
      <c r="G26" s="1">
        <v>3</v>
      </c>
      <c r="H26" s="20">
        <f>IF(MOD($H$25+G26,12)=0,12,MOD($H$25+G26,12))</f>
        <v>2</v>
      </c>
      <c r="I26" s="20" t="str" cm="1">
        <f t="array" ref="I26">INDEX($A$11:$A$22,H26,1)</f>
        <v>C#/D♭|</v>
      </c>
      <c r="J26" s="20"/>
      <c r="K26" s="20" t="str">
        <f>_xlfn.TEXTJOIN("\",TRUE,$I26,$I28,$I30)</f>
        <v>C#/D♭|\E|\G#/A♭|</v>
      </c>
      <c r="L26" s="20"/>
      <c r="M26" s="20"/>
      <c r="N26" s="20" t="str">
        <f>_xlfn.TEXTJOIN("\",TRUE,$I26,$I29,$I30)</f>
        <v>C#/D♭|\F#/G♭|\G#/A♭|</v>
      </c>
      <c r="O26" s="20" t="str">
        <f>_xlfn.TEXTJOIN("\",TRUE,$I26,$I27,$I30)</f>
        <v>C#/D♭|\D#/E♭|\G#/A♭|</v>
      </c>
      <c r="P26" s="20"/>
      <c r="Q26" s="20"/>
      <c r="R26" s="20"/>
      <c r="S26" s="20" t="str">
        <f>_xlfn.TEXTJOIN("\",TRUE,$I26,$I28,$I30,$I25)</f>
        <v>C#/D♭|\E|\G#/A♭|\B|</v>
      </c>
      <c r="T26" s="20"/>
      <c r="U26" s="20"/>
      <c r="V26" s="20"/>
      <c r="W26" s="1"/>
      <c r="X26" s="1" t="s">
        <v>109</v>
      </c>
      <c r="Y26" s="4" t="s">
        <v>12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51">
      <c r="A27" s="20"/>
      <c r="B27" s="20">
        <v>6</v>
      </c>
      <c r="C27" s="20">
        <f t="shared" si="1"/>
        <v>5</v>
      </c>
      <c r="D27" s="5" t="str" cm="1">
        <f t="array" ref="D27">INDEX($A$11:$A$22,C27,1)</f>
        <v>E|</v>
      </c>
      <c r="E27" s="20"/>
      <c r="F27" s="20"/>
      <c r="G27" s="1">
        <v>5</v>
      </c>
      <c r="H27" s="20">
        <f>IF(MOD($H$25+G27,12)=0,12,MOD($H$25+G27,12))</f>
        <v>4</v>
      </c>
      <c r="I27" s="20" t="str" cm="1">
        <f t="array" ref="I27">INDEX($A$11:$A$22,H27,1)</f>
        <v>D#/E♭|</v>
      </c>
      <c r="J27" s="20"/>
      <c r="K27" s="20" t="str">
        <f>_xlfn.TEXTJOIN("\",TRUE,$I27,$I29,$I31)</f>
        <v>D#/E♭|\F#/G♭|\A#/B♭|</v>
      </c>
      <c r="L27" s="20"/>
      <c r="M27" s="20"/>
      <c r="N27" s="20" t="str">
        <f>_xlfn.TEXTJOIN("\",TRUE,$I27,$I30,$I31)</f>
        <v>D#/E♭|\G#/A♭|\A#/B♭|</v>
      </c>
      <c r="O27" s="20"/>
      <c r="P27" s="20"/>
      <c r="Q27" s="20"/>
      <c r="R27" s="20"/>
      <c r="S27" s="20" t="str">
        <f>_xlfn.TEXTJOIN("\",TRUE,$I27,$I29,$I31,$I26)</f>
        <v>D#/E♭|\F#/G♭|\A#/B♭|\C#/D♭|</v>
      </c>
      <c r="T27" s="20"/>
      <c r="U27" s="20"/>
      <c r="V27" s="20"/>
      <c r="W27" s="1"/>
      <c r="X27" s="1" t="s">
        <v>110</v>
      </c>
      <c r="Y27" s="4" t="s">
        <v>6</v>
      </c>
      <c r="Z27" s="20" t="s">
        <v>45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43.5">
      <c r="A28" s="20"/>
      <c r="B28" s="20">
        <v>8</v>
      </c>
      <c r="C28" s="20">
        <f t="shared" si="1"/>
        <v>7</v>
      </c>
      <c r="D28" s="20" t="str" cm="1">
        <f t="array" ref="D28">INDEX($A$11:$A$22,C28,1)</f>
        <v>F#/G♭|</v>
      </c>
      <c r="E28" s="20"/>
      <c r="F28" s="20"/>
      <c r="G28" s="1">
        <v>6</v>
      </c>
      <c r="H28" s="20">
        <f t="shared" ref="H27:H31" si="2">IF(MOD($H$25+G28,12)=0,12,MOD($H$25+G28,12))</f>
        <v>5</v>
      </c>
      <c r="I28" s="20" t="str" cm="1">
        <f t="array" ref="I28">INDEX($A$11:$A$22,H28,1)</f>
        <v>E|</v>
      </c>
      <c r="J28" s="20" t="str">
        <f>_xlfn.TEXTJOIN("\",TRUE,$I28,$I30,$I25)</f>
        <v>E|\G#/A♭|\B|</v>
      </c>
      <c r="K28" s="20"/>
      <c r="L28" s="20"/>
      <c r="M28" s="20"/>
      <c r="N28" s="20"/>
      <c r="O28" s="20" t="str">
        <f>_xlfn.TEXTJOIN("\",TRUE,$I28,$I29,$I25)</f>
        <v>E|\F#/G♭|\B|</v>
      </c>
      <c r="P28" s="20" t="str">
        <f>_xlfn.TEXTJOIN("\",TRUE,$I28,$I30,$I25,I27)</f>
        <v>E|\G#/A♭|\B|\D#/E♭|</v>
      </c>
      <c r="Q28" s="20"/>
      <c r="R28" s="20"/>
      <c r="S28" s="20"/>
      <c r="T28" s="20"/>
      <c r="U28" s="20"/>
      <c r="V28" s="20"/>
      <c r="W28" s="1"/>
      <c r="X28" s="1" t="s">
        <v>111</v>
      </c>
      <c r="Y28" s="4" t="s">
        <v>112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51">
      <c r="A29" s="20"/>
      <c r="B29" s="20">
        <v>10</v>
      </c>
      <c r="C29" s="20">
        <f t="shared" si="1"/>
        <v>9</v>
      </c>
      <c r="D29" s="20" t="str" cm="1">
        <f t="array" ref="D29">INDEX($A$11:$A$22,C29,1)</f>
        <v>G#/A♭|</v>
      </c>
      <c r="E29" s="20"/>
      <c r="F29" s="20"/>
      <c r="G29" s="1">
        <v>8</v>
      </c>
      <c r="H29" s="20">
        <f t="shared" si="2"/>
        <v>7</v>
      </c>
      <c r="I29" s="20" t="str" cm="1">
        <f t="array" ref="I29">INDEX($A$11:$A$22,H29,1)</f>
        <v>F#/G♭|</v>
      </c>
      <c r="J29" s="20" t="str">
        <f>_xlfn.TEXTJOIN("\",TRUE,$I29,$I31,$I26)</f>
        <v>F#/G♭|\A#/B♭|\C#/D♭|</v>
      </c>
      <c r="K29" s="20"/>
      <c r="L29" s="20"/>
      <c r="M29" s="20"/>
      <c r="N29" s="20" t="str">
        <f>_xlfn.TEXTJOIN("\",TRUE,$I29,$I25,$I26)</f>
        <v>F#/G♭|\B|\C#/D♭|</v>
      </c>
      <c r="O29" s="20" t="str">
        <f>_xlfn.TEXTJOIN("\",TRUE,$I29,$I30,$I26)</f>
        <v>F#/G♭|\G#/A♭|\C#/D♭|</v>
      </c>
      <c r="P29" s="20"/>
      <c r="Q29" s="20"/>
      <c r="R29" s="20" t="str">
        <f>_xlfn.TEXTJOIN("\",TRUE,$I29,$I31,$I26,$I28)</f>
        <v>F#/G♭|\A#/B♭|\C#/D♭|\E|</v>
      </c>
      <c r="S29" s="20"/>
      <c r="T29" s="20"/>
      <c r="U29" s="20"/>
      <c r="V29" s="20"/>
      <c r="W29" s="1"/>
      <c r="X29" s="1" t="s">
        <v>113</v>
      </c>
      <c r="Y29" s="4" t="s">
        <v>114</v>
      </c>
      <c r="Z29" s="20" t="s">
        <v>45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43.5">
      <c r="A30" s="20"/>
      <c r="B30" s="20">
        <v>12</v>
      </c>
      <c r="C30" s="20">
        <f t="shared" si="1"/>
        <v>11</v>
      </c>
      <c r="D30" s="6" t="str" cm="1">
        <f t="array" ref="D30">INDEX($A$11:$A$22,C30,1)</f>
        <v>A#/B♭|</v>
      </c>
      <c r="E30" s="20"/>
      <c r="F30" s="20"/>
      <c r="G30" s="1">
        <v>10</v>
      </c>
      <c r="H30" s="20">
        <f t="shared" si="2"/>
        <v>9</v>
      </c>
      <c r="I30" s="20" t="str" cm="1">
        <f t="array" ref="I30">INDEX($A$11:$A$22,H30,1)</f>
        <v>G#/A♭|</v>
      </c>
      <c r="J30" s="20"/>
      <c r="K30" s="20" t="str">
        <f>_xlfn.TEXTJOIN("\",TRUE,$I30,$I25,$I27)</f>
        <v>G#/A♭|\B|\D#/E♭|</v>
      </c>
      <c r="L30" s="20"/>
      <c r="M30" s="20"/>
      <c r="N30" s="20" t="str">
        <f>_xlfn.TEXTJOIN("\",TRUE,$I30,$I26,$I27)</f>
        <v>G#/A♭|\C#/D♭|\D#/E♭|</v>
      </c>
      <c r="O30" s="20" t="str">
        <f>_xlfn.TEXTJOIN("\",TRUE,$I30,$I31,$I27)</f>
        <v>G#/A♭|\A#/B♭|\D#/E♭|</v>
      </c>
      <c r="P30" s="20"/>
      <c r="Q30" s="20"/>
      <c r="R30" s="20"/>
      <c r="S30" s="20"/>
      <c r="T30" s="20"/>
      <c r="U30" s="20"/>
      <c r="V30" s="20"/>
      <c r="W30" s="1"/>
      <c r="X30" s="1" t="s">
        <v>115</v>
      </c>
      <c r="Y30" s="4" t="s">
        <v>116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51">
      <c r="A31" s="20"/>
      <c r="B31" s="20"/>
      <c r="C31" s="20"/>
      <c r="D31" s="20"/>
      <c r="E31" s="20"/>
      <c r="F31" s="20"/>
      <c r="G31" s="1">
        <v>12</v>
      </c>
      <c r="H31" s="20">
        <f t="shared" si="2"/>
        <v>11</v>
      </c>
      <c r="I31" s="20" t="str" cm="1">
        <f t="array" ref="I31">INDEX($A$11:$A$22,H31,1)</f>
        <v>A#/B♭|</v>
      </c>
      <c r="J31" s="20"/>
      <c r="K31" s="20"/>
      <c r="L31" s="20" t="str">
        <f>_xlfn.TEXTJOIN("\",TRUE,$I31,$I26,$I28)</f>
        <v>A#/B♭|\C#/D♭|\E|</v>
      </c>
      <c r="M31" s="20"/>
      <c r="N31" s="20"/>
      <c r="O31" s="20"/>
      <c r="P31" s="20"/>
      <c r="Q31" s="20"/>
      <c r="R31" s="20"/>
      <c r="S31" s="20"/>
      <c r="T31" s="20" t="str">
        <f>_xlfn.TEXTJOIN("\",TRUE,$I31,$I26,$I28,$I30)</f>
        <v>A#/B♭|\C#/D♭|\E|\G#/A♭|</v>
      </c>
      <c r="U31" s="20"/>
      <c r="V31" s="20"/>
      <c r="W31" s="1"/>
      <c r="X31" s="1" t="s">
        <v>117</v>
      </c>
      <c r="Y31" s="4" t="s">
        <v>118</v>
      </c>
      <c r="Z31" s="20" t="s">
        <v>45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27.75">
      <c r="A32" s="20" t="s">
        <v>119</v>
      </c>
      <c r="B32" s="20" t="s">
        <v>120</v>
      </c>
      <c r="C32" s="20"/>
      <c r="D32" s="8" t="s">
        <v>121</v>
      </c>
      <c r="E32" s="8" t="s">
        <v>122</v>
      </c>
      <c r="F32" s="8" t="s">
        <v>123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1"/>
      <c r="X32" s="1" t="s">
        <v>124</v>
      </c>
      <c r="Y32" s="4" t="s">
        <v>8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26" ht="45.75">
      <c r="A33" s="20" t="str">
        <f>INDEX(D34:F34,1,MATCH($C$33, D33:F33,0))</f>
        <v>D#/E♭|</v>
      </c>
      <c r="B33" s="20" t="str">
        <f>INDEX(D35:F35,1,MATCH($C$33, D33:F33,0))</f>
        <v>E|</v>
      </c>
      <c r="C33" s="8" t="s">
        <v>125</v>
      </c>
      <c r="D33" s="10" t="s">
        <v>125</v>
      </c>
      <c r="E33" s="9" t="s">
        <v>126</v>
      </c>
      <c r="F33" s="11" t="s">
        <v>127</v>
      </c>
      <c r="G33" s="20"/>
      <c r="H33" s="20"/>
      <c r="I33" s="20" t="s">
        <v>128</v>
      </c>
      <c r="J33" s="20" t="s">
        <v>1</v>
      </c>
      <c r="K33" s="20" t="s">
        <v>5</v>
      </c>
      <c r="L33" s="20" t="s">
        <v>60</v>
      </c>
      <c r="M33" s="20" t="s">
        <v>64</v>
      </c>
      <c r="N33" s="20" t="s">
        <v>69</v>
      </c>
      <c r="O33" s="20" t="s">
        <v>74</v>
      </c>
      <c r="P33" s="20" t="s">
        <v>79</v>
      </c>
      <c r="Q33" s="20" t="s">
        <v>83</v>
      </c>
      <c r="R33" s="20" t="s">
        <v>87</v>
      </c>
      <c r="S33" s="20" t="s">
        <v>92</v>
      </c>
      <c r="T33" s="20" t="s">
        <v>96</v>
      </c>
      <c r="U33" s="20" t="s">
        <v>99</v>
      </c>
      <c r="V33" s="20"/>
      <c r="W33" s="1"/>
      <c r="X33" s="1" t="s">
        <v>129</v>
      </c>
      <c r="Y33" s="4" t="s">
        <v>130</v>
      </c>
      <c r="Z33" s="20" t="s">
        <v>45</v>
      </c>
    </row>
    <row r="34" spans="1:26" ht="43.5">
      <c r="A34" s="20"/>
      <c r="B34" s="20"/>
      <c r="C34" s="20" t="s">
        <v>119</v>
      </c>
      <c r="D34" s="20" t="str">
        <f>D26</f>
        <v>D#/E♭|</v>
      </c>
      <c r="E34" s="20" t="str">
        <f>D30</f>
        <v>A#/B♭|</v>
      </c>
      <c r="F34" s="20" t="str">
        <f>D27</f>
        <v>E|</v>
      </c>
      <c r="G34" s="20"/>
      <c r="H34" s="20"/>
      <c r="I34" s="20" t="str">
        <f>I25</f>
        <v>B|</v>
      </c>
      <c r="J34" s="20" t="str">
        <f>IF(AND(ISNUMBER(SEARCH($A$33,J25)),NOT(ISNUMBER(SEARCH($B$33,J25)))),J25, "")</f>
        <v>B|\D#/E♭|\F#/G♭|</v>
      </c>
      <c r="K34" s="20" t="str">
        <f>IF(AND(ISNUMBER(SEARCH($A$33,K25)),NOT(ISNUMBER(SEARCH($B$33,K25)))),K25, "")</f>
        <v/>
      </c>
      <c r="L34" s="20" t="str">
        <f>IF(AND(ISNUMBER(SEARCH($A$33,L25)),NOT(ISNUMBER(SEARCH($B$33,L25)))),L25, "")</f>
        <v/>
      </c>
      <c r="M34" s="20" t="str">
        <f>IF(AND(ISNUMBER(SEARCH($A$33,M25)),NOT(ISNUMBER(SEARCH($B$33,M25)))),M25, "")</f>
        <v/>
      </c>
      <c r="N34" s="20" t="str">
        <f>IF(AND(ISNUMBER(SEARCH($A$33,N25)),NOT(ISNUMBER(SEARCH($B$33,N25)))),N25, "")</f>
        <v/>
      </c>
      <c r="O34" s="20" t="str">
        <f>IF(AND(ISNUMBER(SEARCH($A$33,O25)),NOT(ISNUMBER(SEARCH($B$33,O25)))),O25, "")</f>
        <v/>
      </c>
      <c r="P34" s="20" t="str">
        <f>IF(AND(ISNUMBER(SEARCH($A$33,P25)),NOT(ISNUMBER(SEARCH($B$33,P25)))),P25, "")</f>
        <v>B|\D#/E♭|\F#/G♭|\A#/B♭|</v>
      </c>
      <c r="Q34" s="20" t="str">
        <f>IF(AND(ISNUMBER(SEARCH($A$33,Q25)),NOT(ISNUMBER(SEARCH($B$33,Q25)))),Q25, "")</f>
        <v/>
      </c>
      <c r="R34" s="20" t="str">
        <f>IF(AND(ISNUMBER(SEARCH($A$33,R25)),NOT(ISNUMBER(SEARCH($B$33,R25)))),R25, "")</f>
        <v/>
      </c>
      <c r="S34" s="20" t="str">
        <f>IF(AND(ISNUMBER(SEARCH($A$33,S25)),NOT(ISNUMBER(SEARCH($B$33,S25)))),S25, "")</f>
        <v/>
      </c>
      <c r="T34" s="20" t="str">
        <f>IF(AND(ISNUMBER(SEARCH($A$33,T25)),NOT(ISNUMBER(SEARCH($B$33,T25)))),T25, "")</f>
        <v/>
      </c>
      <c r="U34" s="20" t="str">
        <f>IF(AND(ISNUMBER(SEARCH($A$33,U25)),NOT(ISNUMBER(SEARCH($B$33,U25)))),U25, "")</f>
        <v/>
      </c>
      <c r="V34" s="20"/>
      <c r="W34" s="1"/>
      <c r="X34" s="1" t="s">
        <v>131</v>
      </c>
      <c r="Y34" s="4" t="s">
        <v>132</v>
      </c>
      <c r="Z34" s="20"/>
    </row>
    <row r="35" spans="1:26" ht="27.75">
      <c r="A35" s="20"/>
      <c r="B35" s="20"/>
      <c r="C35" s="20" t="s">
        <v>120</v>
      </c>
      <c r="D35" s="20" t="str">
        <f>D27</f>
        <v>E|</v>
      </c>
      <c r="E35" s="20" t="str">
        <f>D26</f>
        <v>D#/E♭|</v>
      </c>
      <c r="F35" s="20" t="str">
        <f>D30</f>
        <v>A#/B♭|</v>
      </c>
      <c r="G35" s="20"/>
      <c r="H35" s="20"/>
      <c r="I35" s="20" t="str">
        <f>I26</f>
        <v>C#/D♭|</v>
      </c>
      <c r="J35" s="20" t="str">
        <f>IF(AND(ISNUMBER(SEARCH($A$33,J26)),NOT(ISNUMBER(SEARCH($B$33,J26)))),J26, "")</f>
        <v/>
      </c>
      <c r="K35" s="20" t="str">
        <f>IF(AND(ISNUMBER(SEARCH($A$33,K26)),NOT(ISNUMBER(SEARCH($B$33,K26)))),K26, "")</f>
        <v/>
      </c>
      <c r="L35" s="20" t="str">
        <f>IF(AND(ISNUMBER(SEARCH($A$33,L26)),NOT(ISNUMBER(SEARCH($B$33,L26)))),L26, "")</f>
        <v/>
      </c>
      <c r="M35" s="20" t="str">
        <f>IF(AND(ISNUMBER(SEARCH($A$33,M26)),NOT(ISNUMBER(SEARCH($B$33,M26)))),M26, "")</f>
        <v/>
      </c>
      <c r="N35" s="20" t="str">
        <f>IF(AND(ISNUMBER(SEARCH($A$33,N26)),NOT(ISNUMBER(SEARCH($B$33,N26)))),N26, "")</f>
        <v/>
      </c>
      <c r="O35" s="20" t="str">
        <f>IF(AND(ISNUMBER(SEARCH($A$33,O26)),NOT(ISNUMBER(SEARCH($B$33,O26)))),O26, "")</f>
        <v>C#/D♭|\D#/E♭|\G#/A♭|</v>
      </c>
      <c r="P35" s="20" t="str">
        <f>IF(AND(ISNUMBER(SEARCH($A$33,P26)),NOT(ISNUMBER(SEARCH($B$33,P26)))),P26, "")</f>
        <v/>
      </c>
      <c r="Q35" s="20" t="str">
        <f>IF(AND(ISNUMBER(SEARCH($A$33,Q26)),NOT(ISNUMBER(SEARCH($B$33,Q26)))),Q26, "")</f>
        <v/>
      </c>
      <c r="R35" s="20" t="str">
        <f>IF(AND(ISNUMBER(SEARCH($A$33,R26)),NOT(ISNUMBER(SEARCH($B$33,R26)))),R26, "")</f>
        <v/>
      </c>
      <c r="S35" s="20" t="str">
        <f>IF(AND(ISNUMBER(SEARCH($A$33,S26)),NOT(ISNUMBER(SEARCH($B$33,S26)))),S26, "")</f>
        <v/>
      </c>
      <c r="T35" s="20" t="str">
        <f>IF(AND(ISNUMBER(SEARCH($A$33,T26)),NOT(ISNUMBER(SEARCH($B$33,T26)))),T26, "")</f>
        <v/>
      </c>
      <c r="U35" s="20" t="str">
        <f>IF(AND(ISNUMBER(SEARCH($A$33,U26)),NOT(ISNUMBER(SEARCH($B$33,U26)))),U26, "")</f>
        <v/>
      </c>
      <c r="V35" s="20"/>
      <c r="W35" s="20"/>
      <c r="X35" s="20"/>
      <c r="Y35" s="20"/>
      <c r="Z35" s="20"/>
    </row>
    <row r="36" spans="1:26" ht="15.75">
      <c r="A36" s="20"/>
      <c r="B36" s="20"/>
      <c r="C36" s="20"/>
      <c r="D36" s="20"/>
      <c r="E36" s="20"/>
      <c r="F36" s="20"/>
      <c r="G36" s="20"/>
      <c r="H36" s="20"/>
      <c r="I36" s="20" t="str">
        <f>I27</f>
        <v>D#/E♭|</v>
      </c>
      <c r="J36" s="20" t="str">
        <f>IF(AND(ISNUMBER(SEARCH($A$33,J27)),NOT(ISNUMBER(SEARCH($B$33,J27)))),J27, "")</f>
        <v/>
      </c>
      <c r="K36" s="20" t="str">
        <f>IF(AND(ISNUMBER(SEARCH($A$33,K27)),NOT(ISNUMBER(SEARCH($B$33,K27)))),K27, "")</f>
        <v>D#/E♭|\F#/G♭|\A#/B♭|</v>
      </c>
      <c r="L36" s="20" t="str">
        <f>IF(AND(ISNUMBER(SEARCH($A$33,L27)),NOT(ISNUMBER(SEARCH($B$33,L27)))),L27, "")</f>
        <v/>
      </c>
      <c r="M36" s="20" t="str">
        <f>IF(AND(ISNUMBER(SEARCH($A$33,M27)),NOT(ISNUMBER(SEARCH($B$33,M27)))),M27, "")</f>
        <v/>
      </c>
      <c r="N36" s="20" t="str">
        <f>IF(AND(ISNUMBER(SEARCH($A$33,N27)),NOT(ISNUMBER(SEARCH($B$33,N27)))),N27, "")</f>
        <v>D#/E♭|\G#/A♭|\A#/B♭|</v>
      </c>
      <c r="O36" s="20" t="str">
        <f>IF(AND(ISNUMBER(SEARCH($A$33,O27)),NOT(ISNUMBER(SEARCH($B$33,O27)))),O27, "")</f>
        <v/>
      </c>
      <c r="P36" s="20" t="str">
        <f>IF(AND(ISNUMBER(SEARCH($A$33,P27)),NOT(ISNUMBER(SEARCH($B$33,P27)))),P27, "")</f>
        <v/>
      </c>
      <c r="Q36" s="20" t="str">
        <f>IF(AND(ISNUMBER(SEARCH($A$33,Q27)),NOT(ISNUMBER(SEARCH($B$33,Q27)))),Q27, "")</f>
        <v/>
      </c>
      <c r="R36" s="20" t="str">
        <f>IF(AND(ISNUMBER(SEARCH($A$33,R27)),NOT(ISNUMBER(SEARCH($B$33,R27)))),R27, "")</f>
        <v/>
      </c>
      <c r="S36" s="20" t="str">
        <f>IF(AND(ISNUMBER(SEARCH($A$33,S27)),NOT(ISNUMBER(SEARCH($B$33,S27)))),S27, "")</f>
        <v>D#/E♭|\F#/G♭|\A#/B♭|\C#/D♭|</v>
      </c>
      <c r="T36" s="20" t="str">
        <f>IF(AND(ISNUMBER(SEARCH($A$33,T27)),NOT(ISNUMBER(SEARCH($B$33,T27)))),T27, "")</f>
        <v/>
      </c>
      <c r="U36" s="20" t="str">
        <f>IF(AND(ISNUMBER(SEARCH($A$33,U27)),NOT(ISNUMBER(SEARCH($B$33,U27)))),U27, "")</f>
        <v/>
      </c>
      <c r="V36" s="20"/>
      <c r="W36" s="20"/>
      <c r="X36" s="20"/>
      <c r="Y36" s="20"/>
      <c r="Z36" s="20"/>
    </row>
    <row r="37" spans="1:26" ht="43.5">
      <c r="A37" s="20"/>
      <c r="B37" s="20"/>
      <c r="C37" s="20"/>
      <c r="D37" s="20"/>
      <c r="E37" s="20"/>
      <c r="F37" s="20"/>
      <c r="G37" s="20"/>
      <c r="H37" s="20"/>
      <c r="I37" s="20" t="str">
        <f>I28</f>
        <v>E|</v>
      </c>
      <c r="J37" s="20" t="str">
        <f>IF(AND(ISNUMBER(SEARCH($A$33,J28)),NOT(ISNUMBER(SEARCH($B$33,J28)))),J28, "")</f>
        <v/>
      </c>
      <c r="K37" s="20" t="str">
        <f>IF(AND(ISNUMBER(SEARCH($A$33,K28)),NOT(ISNUMBER(SEARCH($B$33,K28)))),K28, "")</f>
        <v/>
      </c>
      <c r="L37" s="20" t="str">
        <f>IF(AND(ISNUMBER(SEARCH($A$33,L28)),NOT(ISNUMBER(SEARCH($B$33,L28)))),L28, "")</f>
        <v/>
      </c>
      <c r="M37" s="20" t="str">
        <f>IF(AND(ISNUMBER(SEARCH($A$33,M28)),NOT(ISNUMBER(SEARCH($B$33,M28)))),M28, "")</f>
        <v/>
      </c>
      <c r="N37" s="20" t="str">
        <f>IF(AND(ISNUMBER(SEARCH($A$33,N28)),NOT(ISNUMBER(SEARCH($B$33,N28)))),N28, "")</f>
        <v/>
      </c>
      <c r="O37" s="20" t="str">
        <f>IF(AND(ISNUMBER(SEARCH($A$33,O28)),NOT(ISNUMBER(SEARCH($B$33,O28)))),O28, "")</f>
        <v/>
      </c>
      <c r="P37" s="20" t="str">
        <f>IF(AND(ISNUMBER(SEARCH($A$33,P28)),NOT(ISNUMBER(SEARCH($B$33,P28)))),P28, "")</f>
        <v/>
      </c>
      <c r="Q37" s="20" t="str">
        <f>IF(AND(ISNUMBER(SEARCH($A$33,Q28)),NOT(ISNUMBER(SEARCH($B$33,Q28)))),Q28, "")</f>
        <v/>
      </c>
      <c r="R37" s="20" t="str">
        <f>IF(AND(ISNUMBER(SEARCH($A$33,R28)),NOT(ISNUMBER(SEARCH($B$33,R28)))),R28, "")</f>
        <v/>
      </c>
      <c r="S37" s="20" t="str">
        <f>IF(AND(ISNUMBER(SEARCH($A$33,S28)),NOT(ISNUMBER(SEARCH($B$33,S28)))),S28, "")</f>
        <v/>
      </c>
      <c r="T37" s="20" t="str">
        <f>IF(AND(ISNUMBER(SEARCH($A$33,T28)),NOT(ISNUMBER(SEARCH($B$33,T28)))),T28, "")</f>
        <v/>
      </c>
      <c r="U37" s="20" t="str">
        <f>IF(AND(ISNUMBER(SEARCH($A$33,U28)),NOT(ISNUMBER(SEARCH($B$33,U28)))),U28, "")</f>
        <v/>
      </c>
      <c r="V37" s="20"/>
      <c r="W37" s="20"/>
      <c r="X37" s="20"/>
      <c r="Y37" s="20"/>
      <c r="Z37" s="20"/>
    </row>
    <row r="38" spans="1:26">
      <c r="A38" s="20"/>
      <c r="B38" s="20"/>
      <c r="C38" s="20"/>
      <c r="D38" s="20"/>
      <c r="E38" s="20"/>
      <c r="F38" s="20"/>
      <c r="G38" s="20"/>
      <c r="H38" s="20"/>
      <c r="I38" s="20" t="str">
        <f>I29</f>
        <v>F#/G♭|</v>
      </c>
      <c r="J38" s="20" t="str">
        <f>IF(AND(ISNUMBER(SEARCH($A$33,J29)),NOT(ISNUMBER(SEARCH($B$33,J29)))),J29, "")</f>
        <v/>
      </c>
      <c r="K38" s="20" t="str">
        <f>IF(AND(ISNUMBER(SEARCH($A$33,K29)),NOT(ISNUMBER(SEARCH($B$33,K29)))),K29, "")</f>
        <v/>
      </c>
      <c r="L38" s="20" t="str">
        <f>IF(AND(ISNUMBER(SEARCH($A$33,L29)),NOT(ISNUMBER(SEARCH($B$33,L29)))),L29, "")</f>
        <v/>
      </c>
      <c r="M38" s="20" t="str">
        <f>IF(AND(ISNUMBER(SEARCH($A$33,M29)),NOT(ISNUMBER(SEARCH($B$33,M29)))),M29, "")</f>
        <v/>
      </c>
      <c r="N38" s="20" t="str">
        <f>IF(AND(ISNUMBER(SEARCH($A$33,N29)),NOT(ISNUMBER(SEARCH($B$33,N29)))),N29, "")</f>
        <v/>
      </c>
      <c r="O38" s="20" t="str">
        <f>IF(AND(ISNUMBER(SEARCH($A$33,O29)),NOT(ISNUMBER(SEARCH($B$33,O29)))),O29, "")</f>
        <v/>
      </c>
      <c r="P38" s="20" t="str">
        <f>IF(AND(ISNUMBER(SEARCH($A$33,P29)),NOT(ISNUMBER(SEARCH($B$33,P29)))),P29, "")</f>
        <v/>
      </c>
      <c r="Q38" s="20" t="str">
        <f>IF(AND(ISNUMBER(SEARCH($A$33,Q29)),NOT(ISNUMBER(SEARCH($B$33,Q29)))),Q29, "")</f>
        <v/>
      </c>
      <c r="R38" s="20" t="str">
        <f>IF(AND(ISNUMBER(SEARCH($A$33,R29)),NOT(ISNUMBER(SEARCH($B$33,R29)))),R29, "")</f>
        <v/>
      </c>
      <c r="S38" s="20" t="str">
        <f>IF(AND(ISNUMBER(SEARCH($A$33,S29)),NOT(ISNUMBER(SEARCH($B$33,S29)))),S29, "")</f>
        <v/>
      </c>
      <c r="T38" s="20" t="str">
        <f>IF(AND(ISNUMBER(SEARCH($A$33,T29)),NOT(ISNUMBER(SEARCH($B$33,T29)))),T29, "")</f>
        <v/>
      </c>
      <c r="U38" s="20" t="str">
        <f>IF(AND(ISNUMBER(SEARCH($A$33,U29)),NOT(ISNUMBER(SEARCH($B$33,U29)))),U29, "")</f>
        <v/>
      </c>
      <c r="V38" s="20"/>
      <c r="W38" s="20"/>
      <c r="X38" s="20"/>
      <c r="Y38" s="20"/>
      <c r="Z38" s="20"/>
    </row>
    <row r="39" spans="1:26" ht="43.5">
      <c r="A39" s="20" t="s">
        <v>38</v>
      </c>
      <c r="B39" s="20" t="s">
        <v>133</v>
      </c>
      <c r="C39" s="20" t="s">
        <v>134</v>
      </c>
      <c r="D39" s="20" t="s">
        <v>36</v>
      </c>
      <c r="E39" s="20"/>
      <c r="F39" s="20"/>
      <c r="G39" s="20"/>
      <c r="H39" s="20"/>
      <c r="I39" s="20" t="str">
        <f>I30</f>
        <v>G#/A♭|</v>
      </c>
      <c r="J39" s="20" t="str">
        <f>IF(AND(ISNUMBER(SEARCH($A$33,J30)),NOT(ISNUMBER(SEARCH($B$33,J30)))),J30, "")</f>
        <v/>
      </c>
      <c r="K39" s="20" t="str">
        <f>IF(AND(ISNUMBER(SEARCH($A$33,K30)),NOT(ISNUMBER(SEARCH($B$33,K30)))),K30, "")</f>
        <v>G#/A♭|\B|\D#/E♭|</v>
      </c>
      <c r="L39" s="20" t="str">
        <f>IF(AND(ISNUMBER(SEARCH($A$33,L30)),NOT(ISNUMBER(SEARCH($B$33,L30)))),L30, "")</f>
        <v/>
      </c>
      <c r="M39" s="20" t="str">
        <f>IF(AND(ISNUMBER(SEARCH($A$33,M30)),NOT(ISNUMBER(SEARCH($B$33,M30)))),M30, "")</f>
        <v/>
      </c>
      <c r="N39" s="20" t="str">
        <f>IF(AND(ISNUMBER(SEARCH($A$33,N30)),NOT(ISNUMBER(SEARCH($B$33,N30)))),N30, "")</f>
        <v>G#/A♭|\C#/D♭|\D#/E♭|</v>
      </c>
      <c r="O39" s="20" t="str">
        <f>IF(AND(ISNUMBER(SEARCH($A$33,O30)),NOT(ISNUMBER(SEARCH($B$33,O30)))),O30, "")</f>
        <v>G#/A♭|\A#/B♭|\D#/E♭|</v>
      </c>
      <c r="P39" s="20" t="str">
        <f>IF(AND(ISNUMBER(SEARCH($A$33,P30)),NOT(ISNUMBER(SEARCH($B$33,P30)))),P30, "")</f>
        <v/>
      </c>
      <c r="Q39" s="20" t="str">
        <f>IF(AND(ISNUMBER(SEARCH($A$33,Q30)),NOT(ISNUMBER(SEARCH($B$33,Q30)))),Q30, "")</f>
        <v/>
      </c>
      <c r="R39" s="20" t="str">
        <f>IF(AND(ISNUMBER(SEARCH($A$33,R30)),NOT(ISNUMBER(SEARCH($B$33,R30)))),R30, "")</f>
        <v/>
      </c>
      <c r="S39" s="20" t="str">
        <f>IF(AND(ISNUMBER(SEARCH($A$33,S30)),NOT(ISNUMBER(SEARCH($B$33,S30)))),S30, "")</f>
        <v/>
      </c>
      <c r="T39" s="20" t="str">
        <f>IF(AND(ISNUMBER(SEARCH($A$33,T30)),NOT(ISNUMBER(SEARCH($B$33,T30)))),T30, "")</f>
        <v/>
      </c>
      <c r="U39" s="20" t="str">
        <f>IF(AND(ISNUMBER(SEARCH($A$33,U30)),NOT(ISNUMBER(SEARCH($B$33,U30)))),U30, "")</f>
        <v/>
      </c>
      <c r="V39" s="20"/>
      <c r="W39" s="20"/>
      <c r="X39" s="20"/>
      <c r="Y39" s="20"/>
      <c r="Z39" s="20"/>
    </row>
    <row r="40" spans="1:26" ht="15.75">
      <c r="A40" s="20" t="s">
        <v>1</v>
      </c>
      <c r="B40" s="20" t="s">
        <v>135</v>
      </c>
      <c r="C40" s="20" t="s">
        <v>136</v>
      </c>
      <c r="D40" s="20" t="s">
        <v>20</v>
      </c>
      <c r="E40" s="20"/>
      <c r="F40" s="20"/>
      <c r="G40" s="20"/>
      <c r="H40" s="20"/>
      <c r="I40" s="20" t="str">
        <f>I31</f>
        <v>A#/B♭|</v>
      </c>
      <c r="J40" s="20" t="str">
        <f>IF(AND(ISNUMBER(SEARCH($A$33,J31)),NOT(ISNUMBER(SEARCH($B$33,J31)))),J31, "")</f>
        <v/>
      </c>
      <c r="K40" s="20" t="str">
        <f>IF(AND(ISNUMBER(SEARCH($A$33,K31)),NOT(ISNUMBER(SEARCH($B$33,K31)))),K31, "")</f>
        <v/>
      </c>
      <c r="L40" s="20" t="str">
        <f>IF(AND(ISNUMBER(SEARCH($A$33,L31)),NOT(ISNUMBER(SEARCH($B$33,L31)))),L31, "")</f>
        <v/>
      </c>
      <c r="M40" s="20" t="str">
        <f>IF(AND(ISNUMBER(SEARCH($A$33,M31)),NOT(ISNUMBER(SEARCH($B$33,M31)))),M31, "")</f>
        <v/>
      </c>
      <c r="N40" s="20" t="str">
        <f>IF(AND(ISNUMBER(SEARCH($A$33,N31)),NOT(ISNUMBER(SEARCH($B$33,N31)))),N31, "")</f>
        <v/>
      </c>
      <c r="O40" s="20" t="str">
        <f>IF(AND(ISNUMBER(SEARCH($A$33,O31)),NOT(ISNUMBER(SEARCH($B$33,O31)))),O31, "")</f>
        <v/>
      </c>
      <c r="P40" s="20" t="str">
        <f>IF(AND(ISNUMBER(SEARCH($A$33,P31)),NOT(ISNUMBER(SEARCH($B$33,P31)))),P31, "")</f>
        <v/>
      </c>
      <c r="Q40" s="20" t="str">
        <f>IF(AND(ISNUMBER(SEARCH($A$33,Q31)),NOT(ISNUMBER(SEARCH($B$33,Q31)))),Q31, "")</f>
        <v/>
      </c>
      <c r="R40" s="20" t="str">
        <f>IF(AND(ISNUMBER(SEARCH($A$33,R31)),NOT(ISNUMBER(SEARCH($B$33,R31)))),R31, "")</f>
        <v/>
      </c>
      <c r="S40" s="20" t="str">
        <f>IF(AND(ISNUMBER(SEARCH($A$33,S31)),NOT(ISNUMBER(SEARCH($B$33,S31)))),S31, "")</f>
        <v/>
      </c>
      <c r="T40" s="20" t="str">
        <f>IF(AND(ISNUMBER(SEARCH($A$33,T31)),NOT(ISNUMBER(SEARCH($B$33,T31)))),T31, "")</f>
        <v/>
      </c>
      <c r="U40" s="20" t="str">
        <f>IF(AND(ISNUMBER(SEARCH($A$33,U31)),NOT(ISNUMBER(SEARCH($B$33,U31)))),U31, "")</f>
        <v/>
      </c>
      <c r="V40" s="20"/>
      <c r="W40" s="20"/>
      <c r="X40" s="20"/>
      <c r="Y40" s="20"/>
      <c r="Z40" s="20"/>
    </row>
    <row r="41" spans="1:26">
      <c r="A41" s="20" t="s">
        <v>5</v>
      </c>
      <c r="B41" s="20" t="s">
        <v>137</v>
      </c>
      <c r="C41" s="20" t="s">
        <v>138</v>
      </c>
      <c r="D41" s="20" t="s">
        <v>55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>
      <c r="A42" s="20" t="s">
        <v>60</v>
      </c>
      <c r="B42" s="20" t="s">
        <v>139</v>
      </c>
      <c r="C42" s="20" t="s">
        <v>140</v>
      </c>
      <c r="D42" s="20" t="s">
        <v>59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>
      <c r="A43" s="20" t="s">
        <v>64</v>
      </c>
      <c r="B43" s="20" t="s">
        <v>141</v>
      </c>
      <c r="C43" s="20" t="s">
        <v>142</v>
      </c>
      <c r="D43" s="20" t="s">
        <v>63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27.75">
      <c r="A44" s="20" t="s">
        <v>69</v>
      </c>
      <c r="B44" s="20" t="s">
        <v>143</v>
      </c>
      <c r="C44" s="20" t="s">
        <v>144</v>
      </c>
      <c r="D44" s="20" t="s">
        <v>68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27.75">
      <c r="A45" s="20" t="s">
        <v>74</v>
      </c>
      <c r="B45" s="20" t="s">
        <v>145</v>
      </c>
      <c r="C45" s="20" t="s">
        <v>146</v>
      </c>
      <c r="D45" s="20" t="s">
        <v>73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>
      <c r="A46" s="20" t="s">
        <v>79</v>
      </c>
      <c r="B46" s="20" t="s">
        <v>147</v>
      </c>
      <c r="C46" s="20" t="s">
        <v>148</v>
      </c>
      <c r="D46" s="20" t="s">
        <v>78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27.75">
      <c r="A47" s="20" t="s">
        <v>83</v>
      </c>
      <c r="B47" s="20" t="s">
        <v>149</v>
      </c>
      <c r="C47" s="20" t="s">
        <v>150</v>
      </c>
      <c r="D47" s="20" t="s">
        <v>82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>
      <c r="A48" s="20" t="s">
        <v>87</v>
      </c>
      <c r="B48" s="20" t="s">
        <v>151</v>
      </c>
      <c r="C48" s="20" t="s">
        <v>152</v>
      </c>
      <c r="D48" s="20" t="s">
        <v>86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4">
      <c r="A49" s="20" t="s">
        <v>92</v>
      </c>
      <c r="B49" s="20" t="s">
        <v>153</v>
      </c>
      <c r="C49" s="20" t="s">
        <v>154</v>
      </c>
      <c r="D49" s="20" t="s">
        <v>91</v>
      </c>
    </row>
    <row r="50" spans="1:4" ht="27.75">
      <c r="A50" s="20" t="s">
        <v>155</v>
      </c>
      <c r="B50" s="20" t="s">
        <v>156</v>
      </c>
      <c r="C50" s="20" t="s">
        <v>157</v>
      </c>
      <c r="D50" s="20" t="s">
        <v>95</v>
      </c>
    </row>
    <row r="51" spans="1:4" ht="27.75">
      <c r="A51" s="20" t="s">
        <v>99</v>
      </c>
      <c r="B51" s="20" t="s">
        <v>158</v>
      </c>
      <c r="C51" s="20" t="s">
        <v>159</v>
      </c>
      <c r="D51" s="20" t="s">
        <v>98</v>
      </c>
    </row>
  </sheetData>
  <conditionalFormatting sqref="E11:K17">
    <cfRule type="cellIs" dxfId="16" priority="1" operator="equal">
      <formula>$D11</formula>
    </cfRule>
  </conditionalFormatting>
  <dataValidations count="3">
    <dataValidation type="list" allowBlank="1" showInputMessage="1" showErrorMessage="1" sqref="B2" xr:uid="{11796B3D-BFE8-4139-A9D6-70D1D954B886}">
      <formula1>$A$11:$A$22</formula1>
    </dataValidation>
    <dataValidation type="list" allowBlank="1" showInputMessage="1" showErrorMessage="1" sqref="B1" xr:uid="{73F32DC1-D1C7-48AB-8A9C-1BA75071E90F}">
      <formula1>$E$10:$K$10</formula1>
    </dataValidation>
    <dataValidation type="list" allowBlank="1" sqref="C33" xr:uid="{E3F9C16B-E11F-420C-8C8E-66CDD45FB1EF}">
      <formula1>$D$33:$F$33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C91B-A933-4338-B5E1-D565667D2EB7}">
  <dimension ref="A1:AR160"/>
  <sheetViews>
    <sheetView topLeftCell="H1" zoomScaleNormal="60" zoomScaleSheetLayoutView="100" workbookViewId="0">
      <selection activeCell="O19" sqref="O19"/>
    </sheetView>
  </sheetViews>
  <sheetFormatPr defaultColWidth="9.140625" defaultRowHeight="15"/>
  <cols>
    <col min="1" max="3" width="9.140625" style="13"/>
    <col min="4" max="4" width="9.140625" style="16"/>
    <col min="5" max="7" width="9.140625" style="13"/>
    <col min="8" max="8" width="9.140625" style="13" bestFit="1" customWidth="1"/>
    <col min="9" max="13" width="9.140625" style="13" customWidth="1"/>
    <col min="14" max="14" width="12.5703125" style="13" customWidth="1"/>
    <col min="15" max="15" width="9.5703125" style="13" customWidth="1"/>
    <col min="16" max="16" width="12.85546875" style="13" customWidth="1"/>
    <col min="17" max="17" width="12.42578125" style="13" customWidth="1"/>
    <col min="18" max="18" width="10.42578125" style="13" customWidth="1"/>
    <col min="19" max="19" width="9.7109375" style="13" customWidth="1"/>
    <col min="20" max="20" width="8.7109375" style="13" customWidth="1"/>
    <col min="21" max="21" width="10.140625" style="13" customWidth="1"/>
    <col min="22" max="22" width="10.5703125" style="13" customWidth="1"/>
    <col min="23" max="23" width="9.85546875" style="13" customWidth="1"/>
    <col min="24" max="24" width="8.42578125" style="13" customWidth="1"/>
    <col min="25" max="25" width="9.28515625" style="13" customWidth="1"/>
    <col min="26" max="26" width="9.85546875" style="13" customWidth="1"/>
    <col min="27" max="27" width="9.140625" style="13" customWidth="1"/>
    <col min="28" max="34" width="9.140625" style="13"/>
    <col min="35" max="35" width="52.5703125" style="13" customWidth="1"/>
    <col min="36" max="43" width="9.140625" style="13"/>
    <col min="44" max="44" width="43.5703125" style="13" customWidth="1"/>
    <col min="45" max="16384" width="9.140625" style="13"/>
  </cols>
  <sheetData>
    <row r="1" spans="1:44" ht="27">
      <c r="A1" s="8" t="str">
        <f>O1</f>
        <v>C|</v>
      </c>
      <c r="B1" s="8" t="str">
        <f t="shared" ref="B1:H1" si="0">P1</f>
        <v>C#/D♭|</v>
      </c>
      <c r="C1" s="8" t="str">
        <f t="shared" si="0"/>
        <v>D|</v>
      </c>
      <c r="D1" s="14" t="str">
        <f t="shared" si="0"/>
        <v>D#/E♭|</v>
      </c>
      <c r="E1" s="8" t="str">
        <f t="shared" si="0"/>
        <v>E|</v>
      </c>
      <c r="F1" s="8" t="str">
        <f t="shared" si="0"/>
        <v>F|</v>
      </c>
      <c r="G1" s="8" t="str">
        <f t="shared" si="0"/>
        <v>F#/G♭|</v>
      </c>
      <c r="H1" s="8" t="str">
        <f t="shared" si="0"/>
        <v>G|</v>
      </c>
      <c r="I1" s="8" t="str">
        <f t="shared" ref="I1" si="1">W1</f>
        <v>G#/A♭|</v>
      </c>
      <c r="J1" s="8" t="str">
        <f t="shared" ref="J1" si="2">X1</f>
        <v>A|</v>
      </c>
      <c r="K1" s="8" t="str">
        <f t="shared" ref="K1" si="3">Y1</f>
        <v>A#/B♭|</v>
      </c>
      <c r="L1" s="8" t="str">
        <f t="shared" ref="L1" si="4">Z1</f>
        <v>B|</v>
      </c>
      <c r="M1" s="8"/>
      <c r="N1" s="8" t="s">
        <v>160</v>
      </c>
      <c r="O1" s="19" t="str" cm="1">
        <f t="array" ref="O1:Z1">_xlfn.TEXTSPLIT(_xlfn.TEXTJOIN(",",TRUE,N2:N13),",")</f>
        <v>C|</v>
      </c>
      <c r="P1" s="19" t="str">
        <v>C#/D♭|</v>
      </c>
      <c r="Q1" s="19" t="str">
        <v>D|</v>
      </c>
      <c r="R1" s="19" t="str">
        <v>D#/E♭|</v>
      </c>
      <c r="S1" s="19" t="str">
        <v>E|</v>
      </c>
      <c r="T1" s="21" t="str">
        <v>F|</v>
      </c>
      <c r="U1" s="21" t="str">
        <v>F#/G♭|</v>
      </c>
      <c r="V1" s="8" t="str">
        <v>G|</v>
      </c>
      <c r="W1" s="8" t="str">
        <v>G#/A♭|</v>
      </c>
      <c r="X1" s="19" t="str">
        <v>A|</v>
      </c>
      <c r="Y1" s="19" t="str">
        <v>A#/B♭|</v>
      </c>
      <c r="Z1" s="19" t="str">
        <v>B|</v>
      </c>
      <c r="AA1" s="19"/>
      <c r="AB1" s="8"/>
      <c r="AC1" s="8"/>
      <c r="AD1" s="19"/>
      <c r="AE1" s="19"/>
      <c r="AF1" s="19"/>
      <c r="AG1" s="19"/>
      <c r="AH1" s="19"/>
      <c r="AI1" s="22"/>
      <c r="AJ1" s="21"/>
      <c r="AK1" s="8"/>
      <c r="AL1" s="8"/>
      <c r="AM1" s="19"/>
      <c r="AN1" s="19"/>
      <c r="AO1" s="19"/>
      <c r="AP1" s="19"/>
      <c r="AQ1" s="19"/>
      <c r="AR1" s="22"/>
    </row>
    <row r="2" spans="1:44" ht="27.75" customHeight="1">
      <c r="A2" s="8" t="s">
        <v>16</v>
      </c>
      <c r="B2" s="8" t="s">
        <v>17</v>
      </c>
      <c r="C2" s="8" t="s">
        <v>41</v>
      </c>
      <c r="D2" s="14" t="s">
        <v>18</v>
      </c>
      <c r="E2" s="8" t="s">
        <v>42</v>
      </c>
      <c r="F2" s="8" t="s">
        <v>14</v>
      </c>
      <c r="G2" s="8" t="s">
        <v>53</v>
      </c>
      <c r="H2" s="21" t="s">
        <v>19</v>
      </c>
      <c r="I2" s="21" t="s">
        <v>13</v>
      </c>
      <c r="J2" s="21" t="s">
        <v>40</v>
      </c>
      <c r="K2" s="21" t="s">
        <v>15</v>
      </c>
      <c r="L2" s="21" t="s">
        <v>4</v>
      </c>
      <c r="M2" s="22"/>
      <c r="N2" s="22" t="s">
        <v>16</v>
      </c>
      <c r="O2" s="23">
        <f>((7 - (COUNTA(_xlfn.UNIQUE(_xlfn.TEXTSPLIT(_xlfn.TEXTJOIN(",",TRUE,INDEX($A$2:$L$8,0,MATCH($N2,$A$1:$L$1,0)),INDEX($A$2:$L$8,0,MATCH(O$1,$A$1:$L$1,0))),,",")))-7))/7)*100</f>
        <v>100</v>
      </c>
      <c r="P2" s="23">
        <f t="shared" ref="P2:Z13" si="5">((7 - (COUNTA(_xlfn.UNIQUE(_xlfn.TEXTSPLIT(_xlfn.TEXTJOIN(",",TRUE,INDEX($A$2:$L$8,0,MATCH($N2,$A$1:$L$1,0)),INDEX($A$2:$L$8,0,MATCH(P$1,$A$1:$L$1,0))),,",")))-7))/7)*100</f>
        <v>28.571428571428569</v>
      </c>
      <c r="Q2" s="23">
        <f t="shared" si="5"/>
        <v>71.428571428571431</v>
      </c>
      <c r="R2" s="23">
        <f t="shared" si="5"/>
        <v>57.142857142857139</v>
      </c>
      <c r="S2" s="23">
        <f t="shared" si="5"/>
        <v>42.857142857142854</v>
      </c>
      <c r="T2" s="23">
        <f t="shared" si="5"/>
        <v>85.714285714285708</v>
      </c>
      <c r="U2" s="23">
        <f t="shared" si="5"/>
        <v>28.571428571428569</v>
      </c>
      <c r="V2" s="23">
        <f t="shared" si="5"/>
        <v>85.714285714285708</v>
      </c>
      <c r="W2" s="23">
        <f t="shared" si="5"/>
        <v>42.857142857142854</v>
      </c>
      <c r="X2" s="23">
        <f t="shared" si="5"/>
        <v>57.142857142857139</v>
      </c>
      <c r="Y2" s="23">
        <f t="shared" si="5"/>
        <v>71.428571428571431</v>
      </c>
      <c r="Z2" s="23">
        <f t="shared" si="5"/>
        <v>28.571428571428569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44" ht="16.5">
      <c r="A3" s="8" t="s">
        <v>41</v>
      </c>
      <c r="B3" s="8" t="s">
        <v>18</v>
      </c>
      <c r="C3" s="8" t="s">
        <v>42</v>
      </c>
      <c r="D3" s="14" t="s">
        <v>14</v>
      </c>
      <c r="E3" s="8" t="s">
        <v>53</v>
      </c>
      <c r="F3" s="8" t="s">
        <v>19</v>
      </c>
      <c r="G3" s="8" t="s">
        <v>13</v>
      </c>
      <c r="H3" s="21" t="s">
        <v>40</v>
      </c>
      <c r="I3" s="21" t="s">
        <v>15</v>
      </c>
      <c r="J3" s="21" t="s">
        <v>4</v>
      </c>
      <c r="K3" s="21" t="s">
        <v>16</v>
      </c>
      <c r="L3" s="21" t="s">
        <v>17</v>
      </c>
      <c r="M3" s="22"/>
      <c r="N3" s="22" t="s">
        <v>17</v>
      </c>
      <c r="O3" s="23">
        <f t="shared" ref="O3:Z13" si="6">((7 - (COUNTA(_xlfn.UNIQUE(_xlfn.TEXTSPLIT(_xlfn.TEXTJOIN(",",TRUE,INDEX($A$2:$L$8,0,MATCH($N3,$A$1:$L$1,0)),INDEX($A$2:$L$8,0,MATCH(O$1,$A$1:$L$1,0))),,",")))-7))/7)*100</f>
        <v>28.571428571428569</v>
      </c>
      <c r="P3" s="23">
        <f t="shared" si="5"/>
        <v>100</v>
      </c>
      <c r="Q3" s="23">
        <f t="shared" si="5"/>
        <v>28.571428571428569</v>
      </c>
      <c r="R3" s="23">
        <f t="shared" si="5"/>
        <v>71.428571428571431</v>
      </c>
      <c r="S3" s="23">
        <f t="shared" si="5"/>
        <v>57.142857142857139</v>
      </c>
      <c r="T3" s="23">
        <f t="shared" si="5"/>
        <v>42.857142857142854</v>
      </c>
      <c r="U3" s="23">
        <f t="shared" si="5"/>
        <v>85.714285714285708</v>
      </c>
      <c r="V3" s="23">
        <f t="shared" si="5"/>
        <v>28.571428571428569</v>
      </c>
      <c r="W3" s="23">
        <f t="shared" si="5"/>
        <v>85.714285714285708</v>
      </c>
      <c r="X3" s="23">
        <f t="shared" si="5"/>
        <v>42.857142857142854</v>
      </c>
      <c r="Y3" s="23">
        <f t="shared" si="5"/>
        <v>57.142857142857139</v>
      </c>
      <c r="Z3" s="23">
        <f t="shared" si="5"/>
        <v>71.428571428571431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</row>
    <row r="4" spans="1:44" ht="16.5">
      <c r="A4" s="8" t="s">
        <v>42</v>
      </c>
      <c r="B4" s="8" t="s">
        <v>14</v>
      </c>
      <c r="C4" s="8" t="s">
        <v>53</v>
      </c>
      <c r="D4" s="14" t="s">
        <v>19</v>
      </c>
      <c r="E4" s="8" t="s">
        <v>13</v>
      </c>
      <c r="F4" s="8" t="s">
        <v>40</v>
      </c>
      <c r="G4" s="8" t="s">
        <v>15</v>
      </c>
      <c r="H4" s="21" t="s">
        <v>4</v>
      </c>
      <c r="I4" s="21" t="s">
        <v>16</v>
      </c>
      <c r="J4" s="21" t="s">
        <v>17</v>
      </c>
      <c r="K4" s="21" t="s">
        <v>41</v>
      </c>
      <c r="L4" s="21" t="s">
        <v>18</v>
      </c>
      <c r="M4" s="22"/>
      <c r="N4" s="22" t="s">
        <v>41</v>
      </c>
      <c r="O4" s="23">
        <f t="shared" si="6"/>
        <v>71.428571428571431</v>
      </c>
      <c r="P4" s="23">
        <f t="shared" si="5"/>
        <v>28.571428571428569</v>
      </c>
      <c r="Q4" s="23">
        <f t="shared" si="5"/>
        <v>100</v>
      </c>
      <c r="R4" s="23">
        <f t="shared" si="5"/>
        <v>28.571428571428569</v>
      </c>
      <c r="S4" s="23">
        <f t="shared" si="5"/>
        <v>71.428571428571431</v>
      </c>
      <c r="T4" s="23">
        <f t="shared" si="5"/>
        <v>57.142857142857139</v>
      </c>
      <c r="U4" s="23">
        <f t="shared" si="5"/>
        <v>42.857142857142854</v>
      </c>
      <c r="V4" s="23">
        <f t="shared" si="5"/>
        <v>85.714285714285708</v>
      </c>
      <c r="W4" s="23">
        <f t="shared" si="5"/>
        <v>28.571428571428569</v>
      </c>
      <c r="X4" s="23">
        <f t="shared" si="5"/>
        <v>85.714285714285708</v>
      </c>
      <c r="Y4" s="23">
        <f t="shared" si="5"/>
        <v>42.857142857142854</v>
      </c>
      <c r="Z4" s="23">
        <f t="shared" si="5"/>
        <v>57.142857142857139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</row>
    <row r="5" spans="1:44" ht="16.5">
      <c r="A5" s="8" t="s">
        <v>14</v>
      </c>
      <c r="B5" s="8" t="s">
        <v>53</v>
      </c>
      <c r="C5" s="8" t="s">
        <v>19</v>
      </c>
      <c r="D5" s="14" t="s">
        <v>13</v>
      </c>
      <c r="E5" s="8" t="s">
        <v>40</v>
      </c>
      <c r="F5" s="8" t="s">
        <v>15</v>
      </c>
      <c r="G5" s="8" t="s">
        <v>4</v>
      </c>
      <c r="H5" s="21" t="s">
        <v>16</v>
      </c>
      <c r="I5" s="21" t="s">
        <v>17</v>
      </c>
      <c r="J5" s="21" t="s">
        <v>41</v>
      </c>
      <c r="K5" s="21" t="s">
        <v>18</v>
      </c>
      <c r="L5" s="21" t="s">
        <v>42</v>
      </c>
      <c r="M5" s="22"/>
      <c r="N5" s="22" t="s">
        <v>18</v>
      </c>
      <c r="O5" s="23">
        <f t="shared" si="6"/>
        <v>57.142857142857139</v>
      </c>
      <c r="P5" s="23">
        <f t="shared" si="5"/>
        <v>71.428571428571431</v>
      </c>
      <c r="Q5" s="23">
        <f t="shared" si="5"/>
        <v>28.571428571428569</v>
      </c>
      <c r="R5" s="23">
        <f t="shared" si="5"/>
        <v>100</v>
      </c>
      <c r="S5" s="23">
        <f t="shared" si="5"/>
        <v>28.571428571428569</v>
      </c>
      <c r="T5" s="23">
        <f t="shared" si="5"/>
        <v>71.428571428571431</v>
      </c>
      <c r="U5" s="23">
        <f t="shared" si="5"/>
        <v>57.142857142857139</v>
      </c>
      <c r="V5" s="23">
        <f t="shared" si="5"/>
        <v>42.857142857142854</v>
      </c>
      <c r="W5" s="23">
        <f t="shared" si="5"/>
        <v>85.714285714285708</v>
      </c>
      <c r="X5" s="23">
        <f t="shared" si="5"/>
        <v>28.571428571428569</v>
      </c>
      <c r="Y5" s="23">
        <f t="shared" si="5"/>
        <v>85.714285714285708</v>
      </c>
      <c r="Z5" s="23">
        <f t="shared" si="5"/>
        <v>42.857142857142854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</row>
    <row r="6" spans="1:44" ht="16.5">
      <c r="A6" s="8" t="s">
        <v>19</v>
      </c>
      <c r="B6" s="8" t="s">
        <v>13</v>
      </c>
      <c r="C6" s="8" t="s">
        <v>40</v>
      </c>
      <c r="D6" s="14" t="s">
        <v>15</v>
      </c>
      <c r="E6" s="8" t="s">
        <v>4</v>
      </c>
      <c r="F6" s="8" t="s">
        <v>16</v>
      </c>
      <c r="G6" s="8" t="s">
        <v>17</v>
      </c>
      <c r="H6" s="21" t="s">
        <v>41</v>
      </c>
      <c r="I6" s="21" t="s">
        <v>18</v>
      </c>
      <c r="J6" s="21" t="s">
        <v>42</v>
      </c>
      <c r="K6" s="21" t="s">
        <v>14</v>
      </c>
      <c r="L6" s="21" t="s">
        <v>53</v>
      </c>
      <c r="M6" s="22"/>
      <c r="N6" s="22" t="s">
        <v>42</v>
      </c>
      <c r="O6" s="23">
        <f t="shared" si="6"/>
        <v>42.857142857142854</v>
      </c>
      <c r="P6" s="23">
        <f t="shared" si="5"/>
        <v>57.142857142857139</v>
      </c>
      <c r="Q6" s="23">
        <f t="shared" si="5"/>
        <v>71.428571428571431</v>
      </c>
      <c r="R6" s="23">
        <f t="shared" si="5"/>
        <v>28.571428571428569</v>
      </c>
      <c r="S6" s="23">
        <f t="shared" si="5"/>
        <v>100</v>
      </c>
      <c r="T6" s="23">
        <f t="shared" si="5"/>
        <v>28.571428571428569</v>
      </c>
      <c r="U6" s="23">
        <f t="shared" si="5"/>
        <v>71.428571428571431</v>
      </c>
      <c r="V6" s="23">
        <f t="shared" si="5"/>
        <v>57.142857142857139</v>
      </c>
      <c r="W6" s="23">
        <f t="shared" si="5"/>
        <v>42.857142857142854</v>
      </c>
      <c r="X6" s="23">
        <f t="shared" si="5"/>
        <v>85.714285714285708</v>
      </c>
      <c r="Y6" s="23">
        <f t="shared" si="5"/>
        <v>28.571428571428569</v>
      </c>
      <c r="Z6" s="23">
        <f t="shared" si="5"/>
        <v>85.714285714285708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</row>
    <row r="7" spans="1:44" ht="16.5">
      <c r="A7" s="8" t="s">
        <v>40</v>
      </c>
      <c r="B7" s="8" t="s">
        <v>15</v>
      </c>
      <c r="C7" s="8" t="s">
        <v>4</v>
      </c>
      <c r="D7" s="14" t="s">
        <v>16</v>
      </c>
      <c r="E7" s="8" t="s">
        <v>17</v>
      </c>
      <c r="F7" s="8" t="s">
        <v>41</v>
      </c>
      <c r="G7" s="8" t="s">
        <v>18</v>
      </c>
      <c r="H7" s="21" t="s">
        <v>42</v>
      </c>
      <c r="I7" s="21" t="s">
        <v>14</v>
      </c>
      <c r="J7" s="21" t="s">
        <v>53</v>
      </c>
      <c r="K7" s="21" t="s">
        <v>19</v>
      </c>
      <c r="L7" s="21" t="s">
        <v>13</v>
      </c>
      <c r="M7" s="22"/>
      <c r="N7" s="22" t="s">
        <v>14</v>
      </c>
      <c r="O7" s="23">
        <f t="shared" si="6"/>
        <v>85.714285714285708</v>
      </c>
      <c r="P7" s="23">
        <f t="shared" si="5"/>
        <v>42.857142857142854</v>
      </c>
      <c r="Q7" s="23">
        <f t="shared" si="5"/>
        <v>57.142857142857139</v>
      </c>
      <c r="R7" s="23">
        <f t="shared" si="5"/>
        <v>71.428571428571431</v>
      </c>
      <c r="S7" s="23">
        <f t="shared" si="5"/>
        <v>28.571428571428569</v>
      </c>
      <c r="T7" s="23">
        <f t="shared" si="5"/>
        <v>100</v>
      </c>
      <c r="U7" s="23">
        <f t="shared" si="5"/>
        <v>28.571428571428569</v>
      </c>
      <c r="V7" s="23">
        <f t="shared" si="5"/>
        <v>71.428571428571431</v>
      </c>
      <c r="W7" s="23">
        <f t="shared" si="5"/>
        <v>57.142857142857139</v>
      </c>
      <c r="X7" s="23">
        <f t="shared" si="5"/>
        <v>42.857142857142854</v>
      </c>
      <c r="Y7" s="23">
        <f t="shared" si="5"/>
        <v>85.714285714285708</v>
      </c>
      <c r="Z7" s="23">
        <f t="shared" si="5"/>
        <v>28.571428571428569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</row>
    <row r="8" spans="1:44" ht="16.5">
      <c r="A8" s="8" t="s">
        <v>4</v>
      </c>
      <c r="B8" s="8" t="s">
        <v>16</v>
      </c>
      <c r="C8" s="8" t="s">
        <v>17</v>
      </c>
      <c r="D8" s="14" t="s">
        <v>41</v>
      </c>
      <c r="E8" s="8" t="s">
        <v>18</v>
      </c>
      <c r="F8" s="8" t="s">
        <v>42</v>
      </c>
      <c r="G8" s="8" t="s">
        <v>14</v>
      </c>
      <c r="H8" s="21" t="s">
        <v>53</v>
      </c>
      <c r="I8" s="21" t="s">
        <v>19</v>
      </c>
      <c r="J8" s="21" t="s">
        <v>13</v>
      </c>
      <c r="K8" s="21" t="s">
        <v>40</v>
      </c>
      <c r="L8" s="21" t="s">
        <v>15</v>
      </c>
      <c r="M8" s="22"/>
      <c r="N8" s="22" t="s">
        <v>53</v>
      </c>
      <c r="O8" s="23">
        <f t="shared" si="6"/>
        <v>28.571428571428569</v>
      </c>
      <c r="P8" s="23">
        <f t="shared" si="5"/>
        <v>85.714285714285708</v>
      </c>
      <c r="Q8" s="23">
        <f t="shared" si="5"/>
        <v>42.857142857142854</v>
      </c>
      <c r="R8" s="23">
        <f t="shared" si="5"/>
        <v>57.142857142857139</v>
      </c>
      <c r="S8" s="23">
        <f t="shared" si="5"/>
        <v>71.428571428571431</v>
      </c>
      <c r="T8" s="23">
        <f t="shared" si="5"/>
        <v>28.571428571428569</v>
      </c>
      <c r="U8" s="23">
        <f t="shared" si="5"/>
        <v>100</v>
      </c>
      <c r="V8" s="23">
        <f t="shared" si="5"/>
        <v>28.571428571428569</v>
      </c>
      <c r="W8" s="23">
        <f t="shared" si="5"/>
        <v>71.428571428571431</v>
      </c>
      <c r="X8" s="23">
        <f t="shared" si="5"/>
        <v>57.142857142857139</v>
      </c>
      <c r="Y8" s="23">
        <f t="shared" si="5"/>
        <v>42.857142857142854</v>
      </c>
      <c r="Z8" s="23">
        <f t="shared" si="5"/>
        <v>85.714285714285708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</row>
    <row r="9" spans="1:44">
      <c r="A9" s="22"/>
      <c r="B9" s="22"/>
      <c r="C9" s="22"/>
      <c r="D9" s="24"/>
      <c r="E9" s="22"/>
      <c r="F9" s="22"/>
      <c r="G9" s="22"/>
      <c r="H9" s="21"/>
      <c r="I9" s="21"/>
      <c r="J9" s="21"/>
      <c r="K9" s="21"/>
      <c r="L9" s="21"/>
      <c r="M9" s="22"/>
      <c r="N9" s="22" t="s">
        <v>19</v>
      </c>
      <c r="O9" s="23">
        <f t="shared" si="6"/>
        <v>85.714285714285708</v>
      </c>
      <c r="P9" s="23">
        <f t="shared" si="5"/>
        <v>28.571428571428569</v>
      </c>
      <c r="Q9" s="23">
        <f t="shared" si="5"/>
        <v>85.714285714285708</v>
      </c>
      <c r="R9" s="23">
        <f t="shared" si="5"/>
        <v>42.857142857142854</v>
      </c>
      <c r="S9" s="23">
        <f t="shared" si="5"/>
        <v>57.142857142857139</v>
      </c>
      <c r="T9" s="23">
        <f t="shared" si="5"/>
        <v>71.428571428571431</v>
      </c>
      <c r="U9" s="23">
        <f t="shared" si="5"/>
        <v>28.571428571428569</v>
      </c>
      <c r="V9" s="23">
        <f t="shared" si="5"/>
        <v>100</v>
      </c>
      <c r="W9" s="23">
        <f t="shared" si="5"/>
        <v>28.571428571428569</v>
      </c>
      <c r="X9" s="23">
        <f t="shared" si="5"/>
        <v>71.428571428571431</v>
      </c>
      <c r="Y9" s="23">
        <f t="shared" si="5"/>
        <v>57.142857142857139</v>
      </c>
      <c r="Z9" s="23">
        <f t="shared" si="5"/>
        <v>42.857142857142854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</row>
    <row r="10" spans="1:44" ht="16.5">
      <c r="A10" s="22"/>
      <c r="B10" s="22"/>
      <c r="C10" s="22"/>
      <c r="D10" s="24"/>
      <c r="E10" s="22"/>
      <c r="F10" s="22"/>
      <c r="G10" s="22"/>
      <c r="H10" s="21"/>
      <c r="I10" s="21"/>
      <c r="J10" s="21"/>
      <c r="K10" s="21"/>
      <c r="L10" s="21"/>
      <c r="M10" s="22"/>
      <c r="N10" s="22" t="s">
        <v>13</v>
      </c>
      <c r="O10" s="23">
        <f t="shared" si="6"/>
        <v>42.857142857142854</v>
      </c>
      <c r="P10" s="23">
        <f t="shared" si="5"/>
        <v>85.714285714285708</v>
      </c>
      <c r="Q10" s="23">
        <f t="shared" si="5"/>
        <v>28.571428571428569</v>
      </c>
      <c r="R10" s="23">
        <f t="shared" si="5"/>
        <v>85.714285714285708</v>
      </c>
      <c r="S10" s="23">
        <f t="shared" si="5"/>
        <v>42.857142857142854</v>
      </c>
      <c r="T10" s="23">
        <f t="shared" si="5"/>
        <v>57.142857142857139</v>
      </c>
      <c r="U10" s="23">
        <f t="shared" si="5"/>
        <v>71.428571428571431</v>
      </c>
      <c r="V10" s="23">
        <f t="shared" si="5"/>
        <v>28.571428571428569</v>
      </c>
      <c r="W10" s="23">
        <f t="shared" si="5"/>
        <v>100</v>
      </c>
      <c r="X10" s="23">
        <f t="shared" si="5"/>
        <v>28.571428571428569</v>
      </c>
      <c r="Y10" s="23">
        <f t="shared" si="5"/>
        <v>71.428571428571431</v>
      </c>
      <c r="Z10" s="23">
        <f t="shared" si="5"/>
        <v>57.142857142857139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</row>
    <row r="11" spans="1:44">
      <c r="A11" s="22"/>
      <c r="B11" s="22"/>
      <c r="C11" s="22"/>
      <c r="D11" s="24"/>
      <c r="E11" s="22"/>
      <c r="F11" s="22"/>
      <c r="G11" s="22"/>
      <c r="H11" s="21"/>
      <c r="I11" s="21"/>
      <c r="J11" s="21"/>
      <c r="K11" s="21"/>
      <c r="L11" s="21"/>
      <c r="M11" s="22"/>
      <c r="N11" s="22" t="s">
        <v>40</v>
      </c>
      <c r="O11" s="23">
        <f t="shared" si="6"/>
        <v>57.142857142857139</v>
      </c>
      <c r="P11" s="23">
        <f t="shared" si="5"/>
        <v>42.857142857142854</v>
      </c>
      <c r="Q11" s="23">
        <f t="shared" si="5"/>
        <v>85.714285714285708</v>
      </c>
      <c r="R11" s="23">
        <f t="shared" si="5"/>
        <v>28.571428571428569</v>
      </c>
      <c r="S11" s="23">
        <f t="shared" si="5"/>
        <v>85.714285714285708</v>
      </c>
      <c r="T11" s="23">
        <f t="shared" si="5"/>
        <v>42.857142857142854</v>
      </c>
      <c r="U11" s="23">
        <f t="shared" si="5"/>
        <v>57.142857142857139</v>
      </c>
      <c r="V11" s="23">
        <f t="shared" si="5"/>
        <v>71.428571428571431</v>
      </c>
      <c r="W11" s="23">
        <f t="shared" si="5"/>
        <v>28.571428571428569</v>
      </c>
      <c r="X11" s="23">
        <f t="shared" si="5"/>
        <v>100</v>
      </c>
      <c r="Y11" s="23">
        <f t="shared" si="5"/>
        <v>28.571428571428569</v>
      </c>
      <c r="Z11" s="23">
        <f t="shared" si="5"/>
        <v>71.428571428571431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</row>
    <row r="12" spans="1:44" ht="18" customHeight="1">
      <c r="A12" s="22"/>
      <c r="B12" s="22"/>
      <c r="C12" s="22"/>
      <c r="D12" s="24"/>
      <c r="E12" s="22"/>
      <c r="F12" s="22"/>
      <c r="G12" s="22"/>
      <c r="H12" s="21"/>
      <c r="I12" s="21"/>
      <c r="J12" s="21"/>
      <c r="K12" s="21"/>
      <c r="L12" s="21"/>
      <c r="M12" s="21"/>
      <c r="N12" s="21" t="s">
        <v>15</v>
      </c>
      <c r="O12" s="23">
        <f t="shared" si="6"/>
        <v>71.428571428571431</v>
      </c>
      <c r="P12" s="23">
        <f t="shared" si="5"/>
        <v>57.142857142857139</v>
      </c>
      <c r="Q12" s="23">
        <f t="shared" si="5"/>
        <v>42.857142857142854</v>
      </c>
      <c r="R12" s="23">
        <f t="shared" si="5"/>
        <v>85.714285714285708</v>
      </c>
      <c r="S12" s="23">
        <f t="shared" si="5"/>
        <v>28.571428571428569</v>
      </c>
      <c r="T12" s="23">
        <f t="shared" si="5"/>
        <v>85.714285714285708</v>
      </c>
      <c r="U12" s="23">
        <f t="shared" si="5"/>
        <v>42.857142857142854</v>
      </c>
      <c r="V12" s="23">
        <f t="shared" si="5"/>
        <v>57.142857142857139</v>
      </c>
      <c r="W12" s="23">
        <f t="shared" si="5"/>
        <v>71.428571428571431</v>
      </c>
      <c r="X12" s="23">
        <f t="shared" si="5"/>
        <v>28.571428571428569</v>
      </c>
      <c r="Y12" s="23">
        <f t="shared" si="5"/>
        <v>100</v>
      </c>
      <c r="Z12" s="23">
        <f t="shared" si="5"/>
        <v>28.571428571428569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</row>
    <row r="13" spans="1:44" ht="17.25" customHeight="1">
      <c r="A13" s="8"/>
      <c r="B13" s="8"/>
      <c r="C13" s="19"/>
      <c r="D13" s="15"/>
      <c r="E13" s="19"/>
      <c r="F13" s="19"/>
      <c r="G13" s="19"/>
      <c r="H13" s="21"/>
      <c r="I13" s="21"/>
      <c r="J13" s="21"/>
      <c r="K13" s="21"/>
      <c r="L13" s="21"/>
      <c r="M13" s="21"/>
      <c r="N13" s="21" t="s">
        <v>4</v>
      </c>
      <c r="O13" s="23">
        <f t="shared" si="6"/>
        <v>28.571428571428569</v>
      </c>
      <c r="P13" s="23">
        <f t="shared" si="5"/>
        <v>71.428571428571431</v>
      </c>
      <c r="Q13" s="23">
        <f t="shared" si="5"/>
        <v>57.142857142857139</v>
      </c>
      <c r="R13" s="23">
        <f t="shared" si="5"/>
        <v>42.857142857142854</v>
      </c>
      <c r="S13" s="23">
        <f t="shared" si="5"/>
        <v>85.714285714285708</v>
      </c>
      <c r="T13" s="23">
        <f t="shared" si="5"/>
        <v>28.571428571428569</v>
      </c>
      <c r="U13" s="23">
        <f t="shared" si="5"/>
        <v>85.714285714285708</v>
      </c>
      <c r="V13" s="23">
        <f t="shared" si="5"/>
        <v>42.857142857142854</v>
      </c>
      <c r="W13" s="23">
        <f t="shared" si="5"/>
        <v>57.142857142857139</v>
      </c>
      <c r="X13" s="23">
        <f t="shared" si="5"/>
        <v>71.428571428571431</v>
      </c>
      <c r="Y13" s="23">
        <f t="shared" si="5"/>
        <v>28.571428571428569</v>
      </c>
      <c r="Z13" s="23">
        <f t="shared" si="5"/>
        <v>100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</row>
    <row r="14" spans="1:44">
      <c r="A14" s="8"/>
      <c r="B14" s="22"/>
      <c r="C14" s="8"/>
      <c r="D14" s="14"/>
      <c r="E14" s="8"/>
      <c r="F14" s="8"/>
      <c r="G14" s="8"/>
      <c r="H14" s="22"/>
      <c r="I14" s="22"/>
      <c r="J14" s="22"/>
      <c r="K14" s="22"/>
      <c r="L14" s="22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</row>
    <row r="15" spans="1:44">
      <c r="A15" s="21"/>
      <c r="B15" s="21"/>
      <c r="C15" s="21"/>
      <c r="D15" s="25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>
        <f>7-O16</f>
        <v>0</v>
      </c>
      <c r="P15" s="21">
        <f t="shared" ref="P15:Z15" si="7">7-P16</f>
        <v>1</v>
      </c>
      <c r="Q15" s="21">
        <f t="shared" si="7"/>
        <v>1</v>
      </c>
      <c r="R15" s="21">
        <f t="shared" si="7"/>
        <v>2</v>
      </c>
      <c r="S15" s="21">
        <f t="shared" si="7"/>
        <v>2</v>
      </c>
      <c r="T15" s="21">
        <f t="shared" si="7"/>
        <v>3</v>
      </c>
      <c r="U15" s="21">
        <f t="shared" si="7"/>
        <v>3</v>
      </c>
      <c r="V15" s="21">
        <f t="shared" si="7"/>
        <v>4</v>
      </c>
      <c r="W15" s="21">
        <f t="shared" si="7"/>
        <v>4</v>
      </c>
      <c r="X15" s="21">
        <f t="shared" si="7"/>
        <v>5</v>
      </c>
      <c r="Y15" s="21">
        <f t="shared" si="7"/>
        <v>5</v>
      </c>
      <c r="Z15" s="21">
        <f t="shared" si="7"/>
        <v>5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>
      <c r="A16" s="8"/>
      <c r="B16" s="8"/>
      <c r="C16" s="8"/>
      <c r="D16" s="14"/>
      <c r="E16" s="8"/>
      <c r="F16" s="8"/>
      <c r="G16" s="8"/>
      <c r="H16" s="21"/>
      <c r="I16" s="21"/>
      <c r="J16" s="21"/>
      <c r="K16" s="21"/>
      <c r="L16" s="21"/>
      <c r="M16" s="21"/>
      <c r="N16" s="21" t="s">
        <v>161</v>
      </c>
      <c r="O16" s="21">
        <f>((O17/100)*7)</f>
        <v>7</v>
      </c>
      <c r="P16" s="21">
        <f t="shared" ref="P16:Z16" si="8">((P17/100)*7)</f>
        <v>6</v>
      </c>
      <c r="Q16" s="21">
        <f t="shared" si="8"/>
        <v>6</v>
      </c>
      <c r="R16" s="21">
        <f t="shared" si="8"/>
        <v>5</v>
      </c>
      <c r="S16" s="21">
        <f t="shared" si="8"/>
        <v>5</v>
      </c>
      <c r="T16" s="21">
        <f t="shared" si="8"/>
        <v>4</v>
      </c>
      <c r="U16" s="21">
        <f t="shared" si="8"/>
        <v>4</v>
      </c>
      <c r="V16" s="21">
        <f t="shared" si="8"/>
        <v>3</v>
      </c>
      <c r="W16" s="21">
        <f t="shared" si="8"/>
        <v>3</v>
      </c>
      <c r="X16" s="21">
        <f t="shared" si="8"/>
        <v>2</v>
      </c>
      <c r="Y16" s="21">
        <f t="shared" si="8"/>
        <v>2</v>
      </c>
      <c r="Z16" s="21">
        <f t="shared" si="8"/>
        <v>2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</row>
    <row r="17" spans="14:43">
      <c r="N17" s="21"/>
      <c r="O17" s="26" cm="1">
        <f t="array" ref="O17:Z17">_xlfn._xlws.SORT(O2:Z2,,-1,TRUE)</f>
        <v>100</v>
      </c>
      <c r="P17" s="26">
        <v>85.714285714285708</v>
      </c>
      <c r="Q17" s="26">
        <v>85.714285714285708</v>
      </c>
      <c r="R17" s="26">
        <v>71.428571428571431</v>
      </c>
      <c r="S17" s="26">
        <v>71.428571428571431</v>
      </c>
      <c r="T17" s="26">
        <v>57.142857142857139</v>
      </c>
      <c r="U17" s="26">
        <v>57.142857142857139</v>
      </c>
      <c r="V17" s="26">
        <v>42.857142857142854</v>
      </c>
      <c r="W17" s="26">
        <v>42.857142857142854</v>
      </c>
      <c r="X17" s="26">
        <v>28.571428571428569</v>
      </c>
      <c r="Y17" s="26">
        <v>28.571428571428569</v>
      </c>
      <c r="Z17" s="26">
        <v>28.571428571428569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</row>
    <row r="18" spans="14:43">
      <c r="N18" s="22" t="s">
        <v>16</v>
      </c>
      <c r="O18" s="21" t="str" cm="1">
        <f t="array" ref="O18:Z18">_xlfn.SORTBY($O$1:$Z$1,O2:Z2,-1)</f>
        <v>C|</v>
      </c>
      <c r="P18" s="21" t="str">
        <v>F|</v>
      </c>
      <c r="Q18" s="21" t="str">
        <v>G|</v>
      </c>
      <c r="R18" s="21" t="str">
        <v>D|</v>
      </c>
      <c r="S18" s="21" t="str">
        <v>A#/B♭|</v>
      </c>
      <c r="T18" s="21" t="str">
        <v>D#/E♭|</v>
      </c>
      <c r="U18" s="21" t="str">
        <v>A|</v>
      </c>
      <c r="V18" s="21" t="str">
        <v>E|</v>
      </c>
      <c r="W18" s="21" t="str">
        <v>G#/A♭|</v>
      </c>
      <c r="X18" s="21" t="str">
        <v>C#/D♭|</v>
      </c>
      <c r="Y18" s="21" t="str">
        <v>F#/G♭|</v>
      </c>
      <c r="Z18" s="21" t="str">
        <v>B|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</row>
    <row r="19" spans="14:43" ht="16.5">
      <c r="N19" s="22" t="s">
        <v>17</v>
      </c>
      <c r="O19" s="21" t="str" cm="1">
        <f t="array" ref="O19:Z19">_xlfn.SORTBY($O$1:$Z$1,O3:Z3,-1)</f>
        <v>C#/D♭|</v>
      </c>
      <c r="P19" s="21" t="str">
        <v>F#/G♭|</v>
      </c>
      <c r="Q19" s="21" t="str">
        <v>G#/A♭|</v>
      </c>
      <c r="R19" s="21" t="str">
        <v>D#/E♭|</v>
      </c>
      <c r="S19" s="21" t="str">
        <v>B|</v>
      </c>
      <c r="T19" s="21" t="str">
        <v>E|</v>
      </c>
      <c r="U19" s="21" t="str">
        <v>A#/B♭|</v>
      </c>
      <c r="V19" s="21" t="str">
        <v>F|</v>
      </c>
      <c r="W19" s="21" t="str">
        <v>A|</v>
      </c>
      <c r="X19" s="21" t="str">
        <v>C|</v>
      </c>
      <c r="Y19" s="21" t="str">
        <v>D|</v>
      </c>
      <c r="Z19" s="21" t="str">
        <v>G|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</row>
    <row r="20" spans="14:43">
      <c r="N20" s="22" t="s">
        <v>41</v>
      </c>
      <c r="O20" s="21" t="str" cm="1">
        <f t="array" ref="O20:Z20">_xlfn.SORTBY($O$1:$Z$1,O4:Z4,-1)</f>
        <v>D|</v>
      </c>
      <c r="P20" s="21" t="str">
        <v>G|</v>
      </c>
      <c r="Q20" s="21" t="str">
        <v>A|</v>
      </c>
      <c r="R20" s="21" t="str">
        <v>C|</v>
      </c>
      <c r="S20" s="21" t="str">
        <v>E|</v>
      </c>
      <c r="T20" s="21" t="str">
        <v>F|</v>
      </c>
      <c r="U20" s="21" t="str">
        <v>B|</v>
      </c>
      <c r="V20" s="21" t="str">
        <v>F#/G♭|</v>
      </c>
      <c r="W20" s="21" t="str">
        <v>A#/B♭|</v>
      </c>
      <c r="X20" s="21" t="str">
        <v>C#/D♭|</v>
      </c>
      <c r="Y20" s="21" t="str">
        <v>D#/E♭|</v>
      </c>
      <c r="Z20" s="21" t="str">
        <v>G#/A♭|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</row>
    <row r="21" spans="14:43" ht="16.5">
      <c r="N21" s="22" t="s">
        <v>18</v>
      </c>
      <c r="O21" s="21" t="str" cm="1">
        <f t="array" ref="O21:Z21">_xlfn.SORTBY($O$1:$Z$1,O5:Z5,-1)</f>
        <v>D#/E♭|</v>
      </c>
      <c r="P21" s="21" t="str">
        <v>G#/A♭|</v>
      </c>
      <c r="Q21" s="21" t="str">
        <v>A#/B♭|</v>
      </c>
      <c r="R21" s="21" t="str">
        <v>C#/D♭|</v>
      </c>
      <c r="S21" s="21" t="str">
        <v>F|</v>
      </c>
      <c r="T21" s="21" t="str">
        <v>C|</v>
      </c>
      <c r="U21" s="21" t="str">
        <v>F#/G♭|</v>
      </c>
      <c r="V21" s="21" t="str">
        <v>G|</v>
      </c>
      <c r="W21" s="21" t="str">
        <v>B|</v>
      </c>
      <c r="X21" s="21" t="str">
        <v>D|</v>
      </c>
      <c r="Y21" s="21" t="str">
        <v>E|</v>
      </c>
      <c r="Z21" s="21" t="str">
        <v>A|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</row>
    <row r="22" spans="14:43">
      <c r="N22" s="22" t="s">
        <v>42</v>
      </c>
      <c r="O22" s="21" t="str" cm="1">
        <f t="array" ref="O22:Z22">_xlfn.SORTBY($O$1:$Z$1,O6:Z6,-1)</f>
        <v>E|</v>
      </c>
      <c r="P22" s="21" t="str">
        <v>A|</v>
      </c>
      <c r="Q22" s="21" t="str">
        <v>B|</v>
      </c>
      <c r="R22" s="21" t="str">
        <v>D|</v>
      </c>
      <c r="S22" s="21" t="str">
        <v>F#/G♭|</v>
      </c>
      <c r="T22" s="21" t="str">
        <v>C#/D♭|</v>
      </c>
      <c r="U22" s="21" t="str">
        <v>G|</v>
      </c>
      <c r="V22" s="21" t="str">
        <v>C|</v>
      </c>
      <c r="W22" s="21" t="str">
        <v>G#/A♭|</v>
      </c>
      <c r="X22" s="21" t="str">
        <v>D#/E♭|</v>
      </c>
      <c r="Y22" s="21" t="str">
        <v>F|</v>
      </c>
      <c r="Z22" s="21" t="str">
        <v>A#/B♭|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</row>
    <row r="23" spans="14:43">
      <c r="N23" s="22" t="s">
        <v>14</v>
      </c>
      <c r="O23" s="21" t="str" cm="1">
        <f t="array" ref="O23:Z23">_xlfn.SORTBY($O$1:$Z$1,O7:Z7,-1)</f>
        <v>F|</v>
      </c>
      <c r="P23" s="21" t="str">
        <v>C|</v>
      </c>
      <c r="Q23" s="21" t="str">
        <v>A#/B♭|</v>
      </c>
      <c r="R23" s="21" t="str">
        <v>D#/E♭|</v>
      </c>
      <c r="S23" s="21" t="str">
        <v>G|</v>
      </c>
      <c r="T23" s="21" t="str">
        <v>D|</v>
      </c>
      <c r="U23" s="21" t="str">
        <v>G#/A♭|</v>
      </c>
      <c r="V23" s="21" t="str">
        <v>C#/D♭|</v>
      </c>
      <c r="W23" s="21" t="str">
        <v>A|</v>
      </c>
      <c r="X23" s="21" t="str">
        <v>E|</v>
      </c>
      <c r="Y23" s="21" t="str">
        <v>F#/G♭|</v>
      </c>
      <c r="Z23" s="21" t="str">
        <v>B|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</row>
    <row r="24" spans="14:43" ht="16.5">
      <c r="N24" s="22" t="s">
        <v>53</v>
      </c>
      <c r="O24" s="21" t="str" cm="1">
        <f t="array" ref="O24:Z24">_xlfn.SORTBY($O$1:$Z$1,O8:Z8,-1)</f>
        <v>F#/G♭|</v>
      </c>
      <c r="P24" s="21" t="str">
        <v>C#/D♭|</v>
      </c>
      <c r="Q24" s="21" t="str">
        <v>B|</v>
      </c>
      <c r="R24" s="21" t="str">
        <v>E|</v>
      </c>
      <c r="S24" s="21" t="str">
        <v>G#/A♭|</v>
      </c>
      <c r="T24" s="21" t="str">
        <v>D#/E♭|</v>
      </c>
      <c r="U24" s="21" t="str">
        <v>A|</v>
      </c>
      <c r="V24" s="21" t="str">
        <v>D|</v>
      </c>
      <c r="W24" s="21" t="str">
        <v>A#/B♭|</v>
      </c>
      <c r="X24" s="21" t="str">
        <v>C|</v>
      </c>
      <c r="Y24" s="21" t="str">
        <v>F|</v>
      </c>
      <c r="Z24" s="21" t="str">
        <v>G|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</row>
    <row r="25" spans="14:43">
      <c r="N25" s="22" t="s">
        <v>19</v>
      </c>
      <c r="O25" s="21" t="str" cm="1">
        <f t="array" ref="O25:Z25">_xlfn.SORTBY($O$1:$Z$1,O9:Z9,-1)</f>
        <v>G|</v>
      </c>
      <c r="P25" s="21" t="str">
        <v>C|</v>
      </c>
      <c r="Q25" s="21" t="str">
        <v>D|</v>
      </c>
      <c r="R25" s="21" t="str">
        <v>F|</v>
      </c>
      <c r="S25" s="21" t="str">
        <v>A|</v>
      </c>
      <c r="T25" s="21" t="str">
        <v>E|</v>
      </c>
      <c r="U25" s="21" t="str">
        <v>A#/B♭|</v>
      </c>
      <c r="V25" s="21" t="str">
        <v>D#/E♭|</v>
      </c>
      <c r="W25" s="21" t="str">
        <v>B|</v>
      </c>
      <c r="X25" s="21" t="str">
        <v>C#/D♭|</v>
      </c>
      <c r="Y25" s="21" t="str">
        <v>F#/G♭|</v>
      </c>
      <c r="Z25" s="21" t="str">
        <v>G#/A♭|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</row>
    <row r="26" spans="14:43" ht="16.5">
      <c r="N26" s="22" t="s">
        <v>13</v>
      </c>
      <c r="O26" s="21" t="str" cm="1">
        <f t="array" ref="O26:Z26">_xlfn.SORTBY($O$1:$Z$1,O10:Z10,-1)</f>
        <v>G#/A♭|</v>
      </c>
      <c r="P26" s="21" t="str">
        <v>C#/D♭|</v>
      </c>
      <c r="Q26" s="21" t="str">
        <v>D#/E♭|</v>
      </c>
      <c r="R26" s="21" t="str">
        <v>F#/G♭|</v>
      </c>
      <c r="S26" s="21" t="str">
        <v>A#/B♭|</v>
      </c>
      <c r="T26" s="21" t="str">
        <v>F|</v>
      </c>
      <c r="U26" s="21" t="str">
        <v>B|</v>
      </c>
      <c r="V26" s="21" t="str">
        <v>C|</v>
      </c>
      <c r="W26" s="21" t="str">
        <v>E|</v>
      </c>
      <c r="X26" s="21" t="str">
        <v>D|</v>
      </c>
      <c r="Y26" s="21" t="str">
        <v>G|</v>
      </c>
      <c r="Z26" s="21" t="str">
        <v>A|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</row>
    <row r="27" spans="14:43">
      <c r="N27" s="22" t="s">
        <v>40</v>
      </c>
      <c r="O27" s="21" t="str" cm="1">
        <f t="array" ref="O27:Z27">_xlfn.SORTBY($O$1:$Z$1,O11:Z11,-1)</f>
        <v>A|</v>
      </c>
      <c r="P27" s="21" t="str">
        <v>D|</v>
      </c>
      <c r="Q27" s="21" t="str">
        <v>E|</v>
      </c>
      <c r="R27" s="21" t="str">
        <v>G|</v>
      </c>
      <c r="S27" s="21" t="str">
        <v>B|</v>
      </c>
      <c r="T27" s="21" t="str">
        <v>C|</v>
      </c>
      <c r="U27" s="21" t="str">
        <v>F#/G♭|</v>
      </c>
      <c r="V27" s="21" t="str">
        <v>C#/D♭|</v>
      </c>
      <c r="W27" s="21" t="str">
        <v>F|</v>
      </c>
      <c r="X27" s="21" t="str">
        <v>D#/E♭|</v>
      </c>
      <c r="Y27" s="21" t="str">
        <v>G#/A♭|</v>
      </c>
      <c r="Z27" s="21" t="str">
        <v>A#/B♭|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</row>
    <row r="28" spans="14:43" ht="16.5">
      <c r="N28" s="21" t="s">
        <v>15</v>
      </c>
      <c r="O28" s="21" t="str" cm="1">
        <f t="array" ref="O28:Z28">_xlfn.SORTBY($O$1:$Z$1,O12:Z12,-1)</f>
        <v>A#/B♭|</v>
      </c>
      <c r="P28" s="21" t="str">
        <v>D#/E♭|</v>
      </c>
      <c r="Q28" s="21" t="str">
        <v>F|</v>
      </c>
      <c r="R28" s="21" t="str">
        <v>C|</v>
      </c>
      <c r="S28" s="21" t="str">
        <v>G#/A♭|</v>
      </c>
      <c r="T28" s="21" t="str">
        <v>C#/D♭|</v>
      </c>
      <c r="U28" s="21" t="str">
        <v>G|</v>
      </c>
      <c r="V28" s="21" t="str">
        <v>D|</v>
      </c>
      <c r="W28" s="21" t="str">
        <v>F#/G♭|</v>
      </c>
      <c r="X28" s="21" t="str">
        <v>E|</v>
      </c>
      <c r="Y28" s="21" t="str">
        <v>A|</v>
      </c>
      <c r="Z28" s="21" t="str">
        <v>B|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</row>
    <row r="29" spans="14:43">
      <c r="N29" s="21" t="s">
        <v>4</v>
      </c>
      <c r="O29" s="21" t="str" cm="1">
        <f t="array" ref="O29:Z29">_xlfn.SORTBY($O$1:$Z$1,O13:Z13,-1)</f>
        <v>B|</v>
      </c>
      <c r="P29" s="21" t="str">
        <v>E|</v>
      </c>
      <c r="Q29" s="21" t="str">
        <v>F#/G♭|</v>
      </c>
      <c r="R29" s="21" t="str">
        <v>C#/D♭|</v>
      </c>
      <c r="S29" s="21" t="str">
        <v>A|</v>
      </c>
      <c r="T29" s="21" t="str">
        <v>D|</v>
      </c>
      <c r="U29" s="21" t="str">
        <v>G#/A♭|</v>
      </c>
      <c r="V29" s="21" t="str">
        <v>D#/E♭|</v>
      </c>
      <c r="W29" s="21" t="str">
        <v>G|</v>
      </c>
      <c r="X29" s="21" t="str">
        <v>C|</v>
      </c>
      <c r="Y29" s="21" t="str">
        <v>F|</v>
      </c>
      <c r="Z29" s="21" t="str">
        <v>A#/B♭|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</row>
    <row r="30" spans="14:43"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</row>
    <row r="31" spans="14:43"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</row>
    <row r="32" spans="14:43" ht="16.5" customHeight="1">
      <c r="N32" s="27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27"/>
    </row>
    <row r="33" spans="14:43">
      <c r="N33" s="28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</row>
    <row r="34" spans="14:43">
      <c r="N34" s="28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</row>
    <row r="35" spans="14:43">
      <c r="N35" s="28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</row>
    <row r="36" spans="14:43">
      <c r="N36" s="28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</row>
    <row r="37" spans="14:43">
      <c r="N37" s="28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</row>
    <row r="38" spans="14:43">
      <c r="N38" s="28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</row>
    <row r="39" spans="14:43">
      <c r="N39" s="28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</row>
    <row r="40" spans="14:43">
      <c r="N40" s="28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4:43">
      <c r="N41" s="28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</row>
    <row r="42" spans="14:43">
      <c r="N42" s="28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</row>
    <row r="43" spans="14:43"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</row>
    <row r="44" spans="14:43"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</row>
    <row r="45" spans="14:43"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</row>
    <row r="46" spans="14:43"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</row>
    <row r="47" spans="14:43"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</row>
    <row r="48" spans="14:43"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</row>
    <row r="49" spans="14:43"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</row>
    <row r="50" spans="14:43"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</row>
    <row r="51" spans="14:43"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</row>
    <row r="52" spans="14:43"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</row>
    <row r="53" spans="14:43"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</row>
    <row r="54" spans="14:43"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</row>
    <row r="55" spans="14:43"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</row>
    <row r="56" spans="14:43"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</row>
    <row r="57" spans="14:43"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</row>
    <row r="58" spans="14:43"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</row>
    <row r="59" spans="14:43"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</row>
    <row r="60" spans="14:43"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</row>
    <row r="61" spans="14:43"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</row>
    <row r="62" spans="14:43"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</row>
    <row r="63" spans="14:43"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</row>
    <row r="64" spans="14:43"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</row>
    <row r="65" spans="15:15">
      <c r="O65" s="21"/>
    </row>
    <row r="66" spans="15:15">
      <c r="O66" s="21"/>
    </row>
    <row r="67" spans="15:15">
      <c r="O67" s="21"/>
    </row>
    <row r="68" spans="15:15">
      <c r="O68" s="21"/>
    </row>
    <row r="69" spans="15:15">
      <c r="O69" s="21"/>
    </row>
    <row r="70" spans="15:15">
      <c r="O70" s="21"/>
    </row>
    <row r="71" spans="15:15">
      <c r="O71" s="21"/>
    </row>
    <row r="72" spans="15:15">
      <c r="O72" s="21"/>
    </row>
    <row r="73" spans="15:15">
      <c r="O73" s="21"/>
    </row>
    <row r="74" spans="15:15">
      <c r="O74" s="21"/>
    </row>
    <row r="75" spans="15:15">
      <c r="O75" s="21"/>
    </row>
    <row r="76" spans="15:15">
      <c r="O76" s="21"/>
    </row>
    <row r="77" spans="15:15">
      <c r="O77" s="21"/>
    </row>
    <row r="78" spans="15:15">
      <c r="O78" s="21"/>
    </row>
    <row r="79" spans="15:15">
      <c r="O79" s="21"/>
    </row>
    <row r="80" spans="15:15">
      <c r="O80" s="21"/>
    </row>
    <row r="81" spans="15:15">
      <c r="O81" s="21"/>
    </row>
    <row r="82" spans="15:15">
      <c r="O82" s="21"/>
    </row>
    <row r="83" spans="15:15">
      <c r="O83" s="21"/>
    </row>
    <row r="84" spans="15:15">
      <c r="O84" s="21"/>
    </row>
    <row r="85" spans="15:15">
      <c r="O85" s="21"/>
    </row>
    <row r="86" spans="15:15">
      <c r="O86" s="21"/>
    </row>
    <row r="87" spans="15:15">
      <c r="O87" s="21"/>
    </row>
    <row r="88" spans="15:15">
      <c r="O88" s="21"/>
    </row>
    <row r="89" spans="15:15">
      <c r="O89" s="21"/>
    </row>
    <row r="90" spans="15:15">
      <c r="O90" s="21"/>
    </row>
    <row r="91" spans="15:15">
      <c r="O91" s="21"/>
    </row>
    <row r="92" spans="15:15">
      <c r="O92" s="21"/>
    </row>
    <row r="93" spans="15:15">
      <c r="O93" s="21"/>
    </row>
    <row r="94" spans="15:15">
      <c r="O94" s="21"/>
    </row>
    <row r="95" spans="15:15">
      <c r="O95" s="21"/>
    </row>
    <row r="96" spans="15:15">
      <c r="O96" s="21"/>
    </row>
    <row r="97" spans="15:15">
      <c r="O97" s="21"/>
    </row>
    <row r="98" spans="15:15">
      <c r="O98" s="21"/>
    </row>
    <row r="99" spans="15:15">
      <c r="O99" s="21"/>
    </row>
    <row r="100" spans="15:15">
      <c r="O100" s="21"/>
    </row>
    <row r="101" spans="15:15">
      <c r="O101" s="21"/>
    </row>
    <row r="102" spans="15:15">
      <c r="O102" s="21"/>
    </row>
    <row r="103" spans="15:15">
      <c r="O103" s="21"/>
    </row>
    <row r="104" spans="15:15">
      <c r="O104" s="21"/>
    </row>
    <row r="105" spans="15:15">
      <c r="O105" s="21"/>
    </row>
    <row r="106" spans="15:15">
      <c r="O106" s="21"/>
    </row>
    <row r="107" spans="15:15">
      <c r="O107" s="21"/>
    </row>
    <row r="108" spans="15:15">
      <c r="O108" s="21"/>
    </row>
    <row r="109" spans="15:15">
      <c r="O109" s="21"/>
    </row>
    <row r="110" spans="15:15">
      <c r="O110" s="21"/>
    </row>
    <row r="111" spans="15:15">
      <c r="O111" s="21"/>
    </row>
    <row r="112" spans="15:15">
      <c r="O112" s="21"/>
    </row>
    <row r="113" spans="15:15">
      <c r="O113" s="21"/>
    </row>
    <row r="114" spans="15:15">
      <c r="O114" s="21"/>
    </row>
    <row r="115" spans="15:15">
      <c r="O115" s="21"/>
    </row>
    <row r="116" spans="15:15">
      <c r="O116" s="21"/>
    </row>
    <row r="117" spans="15:15">
      <c r="O117" s="21"/>
    </row>
    <row r="118" spans="15:15">
      <c r="O118" s="21"/>
    </row>
    <row r="119" spans="15:15">
      <c r="O119" s="21"/>
    </row>
    <row r="120" spans="15:15">
      <c r="O120" s="21"/>
    </row>
    <row r="121" spans="15:15">
      <c r="O121" s="21"/>
    </row>
    <row r="122" spans="15:15">
      <c r="O122" s="21"/>
    </row>
    <row r="123" spans="15:15">
      <c r="O123" s="21"/>
    </row>
    <row r="124" spans="15:15">
      <c r="O124" s="21"/>
    </row>
    <row r="125" spans="15:15">
      <c r="O125" s="21"/>
    </row>
    <row r="126" spans="15:15">
      <c r="O126" s="21"/>
    </row>
    <row r="127" spans="15:15">
      <c r="O127" s="21"/>
    </row>
    <row r="128" spans="15:15">
      <c r="O128" s="21"/>
    </row>
    <row r="129" spans="15:15">
      <c r="O129" s="21"/>
    </row>
    <row r="130" spans="15:15">
      <c r="O130" s="21"/>
    </row>
    <row r="131" spans="15:15">
      <c r="O131" s="21"/>
    </row>
    <row r="132" spans="15:15">
      <c r="O132" s="21"/>
    </row>
    <row r="133" spans="15:15">
      <c r="O133" s="21"/>
    </row>
    <row r="134" spans="15:15">
      <c r="O134" s="21"/>
    </row>
    <row r="135" spans="15:15">
      <c r="O135" s="21"/>
    </row>
    <row r="136" spans="15:15">
      <c r="O136" s="21"/>
    </row>
    <row r="137" spans="15:15">
      <c r="O137" s="21"/>
    </row>
    <row r="138" spans="15:15">
      <c r="O138" s="21"/>
    </row>
    <row r="139" spans="15:15">
      <c r="O139" s="21"/>
    </row>
    <row r="140" spans="15:15">
      <c r="O140" s="21"/>
    </row>
    <row r="141" spans="15:15">
      <c r="O141" s="21"/>
    </row>
    <row r="142" spans="15:15">
      <c r="O142" s="21"/>
    </row>
    <row r="143" spans="15:15">
      <c r="O143" s="21"/>
    </row>
    <row r="144" spans="15:15">
      <c r="O144" s="21"/>
    </row>
    <row r="145" spans="15:15">
      <c r="O145" s="21"/>
    </row>
    <row r="146" spans="15:15">
      <c r="O146" s="21"/>
    </row>
    <row r="147" spans="15:15">
      <c r="O147" s="21"/>
    </row>
    <row r="148" spans="15:15">
      <c r="O148" s="21"/>
    </row>
    <row r="149" spans="15:15">
      <c r="O149" s="21"/>
    </row>
    <row r="150" spans="15:15">
      <c r="O150" s="21"/>
    </row>
    <row r="151" spans="15:15">
      <c r="O151" s="21"/>
    </row>
    <row r="152" spans="15:15">
      <c r="O152" s="21"/>
    </row>
    <row r="153" spans="15:15">
      <c r="O153" s="21"/>
    </row>
    <row r="154" spans="15:15">
      <c r="O154" s="21"/>
    </row>
    <row r="155" spans="15:15">
      <c r="O155" s="21"/>
    </row>
    <row r="156" spans="15:15">
      <c r="O156" s="21"/>
    </row>
    <row r="157" spans="15:15">
      <c r="O157" s="21"/>
    </row>
    <row r="158" spans="15:15">
      <c r="O158" s="21"/>
    </row>
    <row r="159" spans="15:15">
      <c r="O159" s="21"/>
    </row>
    <row r="160" spans="15:15">
      <c r="O160" s="21"/>
    </row>
  </sheetData>
  <conditionalFormatting sqref="A1:XFD31 A33:XFD1048576 A32:O32 S32 X32 AQ32:XFD32 AC32 AG32 AL32">
    <cfRule type="cellIs" dxfId="15" priority="8" operator="equal">
      <formula>$N$13</formula>
    </cfRule>
    <cfRule type="cellIs" dxfId="14" priority="9" operator="equal">
      <formula>$N$12</formula>
    </cfRule>
    <cfRule type="cellIs" dxfId="13" priority="10" operator="equal">
      <formula>$N$11</formula>
    </cfRule>
    <cfRule type="cellIs" dxfId="12" priority="11" operator="equal">
      <formula>$N$10</formula>
    </cfRule>
    <cfRule type="cellIs" dxfId="11" priority="12" operator="equal">
      <formula>$N$9</formula>
    </cfRule>
    <cfRule type="cellIs" dxfId="10" priority="13" operator="equal">
      <formula>$N$8</formula>
    </cfRule>
    <cfRule type="cellIs" dxfId="9" priority="14" operator="equal">
      <formula>$N$7</formula>
    </cfRule>
    <cfRule type="cellIs" dxfId="8" priority="15" operator="equal">
      <formula>$N$6</formula>
    </cfRule>
    <cfRule type="cellIs" dxfId="7" priority="16" operator="equal">
      <formula>$N$5</formula>
    </cfRule>
    <cfRule type="cellIs" dxfId="6" priority="17" operator="equal">
      <formula>$N$4</formula>
    </cfRule>
    <cfRule type="cellIs" dxfId="5" priority="18" operator="equal">
      <formula>$N$3</formula>
    </cfRule>
    <cfRule type="cellIs" dxfId="4" priority="19" operator="equal">
      <formula>$N$2</formula>
    </cfRule>
  </conditionalFormatting>
  <conditionalFormatting sqref="O2:Z13">
    <cfRule type="cellIs" dxfId="3" priority="2" stopIfTrue="1" operator="greaterThan">
      <formula>66.6666666666666</formula>
    </cfRule>
    <cfRule type="cellIs" dxfId="2" priority="4" operator="between">
      <formula>33.3333333333333</formula>
      <formula>50</formula>
    </cfRule>
    <cfRule type="cellIs" dxfId="1" priority="6" stopIfTrue="1" operator="lessThan">
      <formula>33.3333333</formula>
    </cfRule>
  </conditionalFormatting>
  <conditionalFormatting sqref="A1:XFD31 A33:XFD1048576 A32:O32 S32 X32 AQ32:XFD32 AC32 AG32 AL32">
    <cfRule type="cellIs" dxfId="0" priority="7" operator="between">
      <formula>50</formula>
      <formula>66.666666666</formula>
    </cfRule>
  </conditionalFormatting>
  <dataValidations count="1">
    <dataValidation type="list" allowBlank="1" showInputMessage="1" showErrorMessage="1" sqref="H14:L14 B14" xr:uid="{1F23399B-10B3-4684-93CF-FE15B7971BDC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Sandy S.</dc:creator>
  <cp:keywords/>
  <dc:description/>
  <cp:lastModifiedBy/>
  <cp:revision/>
  <dcterms:created xsi:type="dcterms:W3CDTF">2023-08-15T10:30:55Z</dcterms:created>
  <dcterms:modified xsi:type="dcterms:W3CDTF">2025-12-12T00:07:41Z</dcterms:modified>
  <cp:category/>
  <cp:contentStatus/>
</cp:coreProperties>
</file>